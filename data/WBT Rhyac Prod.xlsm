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575" yWindow="60" windowWidth="9840" windowHeight="802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F212" i="1"/>
  <c r="DG212"/>
  <c r="DH212"/>
  <c r="DG213"/>
  <c r="DH213"/>
  <c r="DG214"/>
  <c r="DH214"/>
  <c r="DG215"/>
  <c r="DH215"/>
  <c r="DG216"/>
  <c r="DH216"/>
  <c r="DG217"/>
  <c r="DH217"/>
  <c r="DG218"/>
  <c r="DH218"/>
  <c r="DG219"/>
  <c r="DH219"/>
  <c r="DG220"/>
  <c r="DH220"/>
  <c r="DG221"/>
  <c r="DH221"/>
  <c r="DI213"/>
  <c r="DJ213"/>
  <c r="DK213"/>
  <c r="DI214"/>
  <c r="DJ214"/>
  <c r="DK214"/>
  <c r="DI215"/>
  <c r="DJ215"/>
  <c r="DK215"/>
  <c r="DI216"/>
  <c r="DJ216"/>
  <c r="DK216"/>
  <c r="DI217"/>
  <c r="DJ217"/>
  <c r="DK217"/>
  <c r="DI218"/>
  <c r="DJ218"/>
  <c r="DK218"/>
  <c r="DI219"/>
  <c r="DJ219"/>
  <c r="DK219"/>
  <c r="DI220"/>
  <c r="DJ220"/>
  <c r="DK220"/>
  <c r="DI221"/>
  <c r="DJ221"/>
  <c r="DK221"/>
  <c r="DL215"/>
  <c r="DM215"/>
  <c r="DN215"/>
  <c r="DO215"/>
  <c r="DL216"/>
  <c r="DM216"/>
  <c r="DN216"/>
  <c r="DO216"/>
  <c r="DL217"/>
  <c r="DM217"/>
  <c r="DN217"/>
  <c r="DO217"/>
  <c r="DL218"/>
  <c r="DM218"/>
  <c r="DN218"/>
  <c r="DO218"/>
  <c r="DL219"/>
  <c r="DM219"/>
  <c r="DN219"/>
  <c r="DO219"/>
  <c r="DL220"/>
  <c r="DM220"/>
  <c r="DN220"/>
  <c r="DO220"/>
  <c r="DL221"/>
  <c r="DM221"/>
  <c r="DN221"/>
  <c r="DO221"/>
  <c r="DP218"/>
  <c r="DQ218"/>
  <c r="DP219"/>
  <c r="DQ219"/>
  <c r="DP220"/>
  <c r="DQ220"/>
  <c r="DP221"/>
  <c r="DQ221"/>
  <c r="DW212"/>
  <c r="DU214"/>
  <c r="DV214"/>
  <c r="DU215"/>
  <c r="DV215"/>
  <c r="DU216"/>
  <c r="DV216"/>
  <c r="DU217"/>
  <c r="DV217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EI217"/>
  <c r="EH217"/>
  <c r="EG217"/>
  <c r="EF217"/>
  <c r="EE217"/>
  <c r="ED217"/>
  <c r="EC217"/>
  <c r="EB217"/>
  <c r="EA217"/>
  <c r="DZ217"/>
  <c r="DY217"/>
  <c r="DX217"/>
  <c r="DW217"/>
  <c r="DT217"/>
  <c r="DS217"/>
  <c r="DR217"/>
  <c r="DQ217"/>
  <c r="DP217"/>
  <c r="EI216"/>
  <c r="EH216"/>
  <c r="EG216"/>
  <c r="EF216"/>
  <c r="EE216"/>
  <c r="ED216"/>
  <c r="EC216"/>
  <c r="EB216"/>
  <c r="EA216"/>
  <c r="DZ216"/>
  <c r="DY216"/>
  <c r="DX216"/>
  <c r="DW216"/>
  <c r="DT216"/>
  <c r="DS216"/>
  <c r="DR216"/>
  <c r="DQ216"/>
  <c r="DP216"/>
  <c r="EI215"/>
  <c r="EH215"/>
  <c r="EG215"/>
  <c r="EF215"/>
  <c r="EE215"/>
  <c r="ED215"/>
  <c r="EC215"/>
  <c r="EB215"/>
  <c r="EA215"/>
  <c r="DZ215"/>
  <c r="DY215"/>
  <c r="DX215"/>
  <c r="DW215"/>
  <c r="DT215"/>
  <c r="DS215"/>
  <c r="DR215"/>
  <c r="DQ215"/>
  <c r="DP215"/>
  <c r="EI214"/>
  <c r="EH214"/>
  <c r="EG214"/>
  <c r="EF214"/>
  <c r="EE214"/>
  <c r="ED214"/>
  <c r="EC214"/>
  <c r="EB214"/>
  <c r="EA214"/>
  <c r="DZ214"/>
  <c r="DY214"/>
  <c r="DX214"/>
  <c r="DW214"/>
  <c r="DT214"/>
  <c r="DS214"/>
  <c r="DR214"/>
  <c r="DQ214"/>
  <c r="DP214"/>
  <c r="DO214"/>
  <c r="DN214"/>
  <c r="DM214"/>
  <c r="DL214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EI212"/>
  <c r="EH212"/>
  <c r="EG212"/>
  <c r="EF212"/>
  <c r="EE212"/>
  <c r="ED212"/>
  <c r="EC212"/>
  <c r="EB212"/>
  <c r="EA212"/>
  <c r="DZ212"/>
  <c r="DY212"/>
  <c r="DX212"/>
  <c r="DV212"/>
  <c r="DU212"/>
  <c r="DT212"/>
  <c r="DS212"/>
  <c r="DR212"/>
  <c r="DQ212"/>
  <c r="DP212"/>
  <c r="DO212"/>
  <c r="DN212"/>
  <c r="DM212"/>
  <c r="DL212"/>
  <c r="DK212"/>
  <c r="DJ212"/>
  <c r="DI212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4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5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3"/>
  <c r="CX184"/>
  <c r="CZ184"/>
  <c r="DF184"/>
  <c r="DL184"/>
  <c r="DT184"/>
  <c r="EA184"/>
  <c r="EI184"/>
  <c r="DD184"/>
  <c r="BA184"/>
  <c r="CM184"/>
  <c r="CL184"/>
  <c r="CK184"/>
  <c r="AY184"/>
  <c r="B187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1"/>
  <c r="CX182"/>
  <c r="CZ182"/>
  <c r="DF182"/>
  <c r="DG182"/>
  <c r="DH182"/>
  <c r="DI182"/>
  <c r="ES182" s="1"/>
  <c r="DJ182"/>
  <c r="DK182"/>
  <c r="DL182"/>
  <c r="DM182"/>
  <c r="EW182" s="1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9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0"/>
  <c r="CX180"/>
  <c r="CZ180"/>
  <c r="DF180"/>
  <c r="DH180"/>
  <c r="DJ180"/>
  <c r="DK180"/>
  <c r="DN180"/>
  <c r="DP180"/>
  <c r="DQ180"/>
  <c r="FA180" s="1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6"/>
  <c r="CX179"/>
  <c r="CZ179"/>
  <c r="DP179"/>
  <c r="DR179"/>
  <c r="EF179"/>
  <c r="EH179"/>
  <c r="DD179"/>
  <c r="DC179" s="1"/>
  <c r="BA179"/>
  <c r="CM179"/>
  <c r="CL179"/>
  <c r="CK179"/>
  <c r="AY179"/>
  <c r="B178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2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69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3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0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7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4"/>
  <c r="CZ172"/>
  <c r="DD172"/>
  <c r="DE172" s="1"/>
  <c r="DC172"/>
  <c r="BA172"/>
  <c r="CM172" s="1"/>
  <c r="CL172"/>
  <c r="CK172"/>
  <c r="AY172"/>
  <c r="B168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1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5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2"/>
  <c r="CX168"/>
  <c r="CZ168"/>
  <c r="DZ168" s="1"/>
  <c r="DJ168"/>
  <c r="DP168"/>
  <c r="EF168"/>
  <c r="DD168"/>
  <c r="DC168" s="1"/>
  <c r="DE168"/>
  <c r="CL168"/>
  <c r="CK168"/>
  <c r="AY168"/>
  <c r="B176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7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59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1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3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0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6"/>
  <c r="CX161"/>
  <c r="CZ161"/>
  <c r="DP161"/>
  <c r="DV161"/>
  <c r="DD161"/>
  <c r="BA161"/>
  <c r="CM161"/>
  <c r="CL161"/>
  <c r="CK161"/>
  <c r="AY161"/>
  <c r="B165"/>
  <c r="CW160"/>
  <c r="CX160"/>
  <c r="CZ160"/>
  <c r="EB160"/>
  <c r="ED160"/>
  <c r="DD160"/>
  <c r="DC160" s="1"/>
  <c r="DE160"/>
  <c r="BA160"/>
  <c r="CM160"/>
  <c r="CL160"/>
  <c r="CK160"/>
  <c r="AY160"/>
  <c r="B162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4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58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50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5"/>
  <c r="CZ155"/>
  <c r="DK155" s="1"/>
  <c r="DG155"/>
  <c r="DO155"/>
  <c r="DW155"/>
  <c r="EE155"/>
  <c r="DD155"/>
  <c r="DE155"/>
  <c r="DC155"/>
  <c r="BA155"/>
  <c r="CM155" s="1"/>
  <c r="CL155"/>
  <c r="CK155"/>
  <c r="AY155"/>
  <c r="B152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4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48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49"/>
  <c r="CZ151"/>
  <c r="DK151" s="1"/>
  <c r="DG151"/>
  <c r="DO151"/>
  <c r="DW151"/>
  <c r="EE151"/>
  <c r="DD151"/>
  <c r="DE151"/>
  <c r="DC151"/>
  <c r="BA151"/>
  <c r="CM151" s="1"/>
  <c r="CL151"/>
  <c r="CK151"/>
  <c r="AY151"/>
  <c r="B157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1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6"/>
  <c r="CZ148"/>
  <c r="DF148"/>
  <c r="DJ148"/>
  <c r="DN148"/>
  <c r="DR148"/>
  <c r="DV148"/>
  <c r="DZ148"/>
  <c r="ED148"/>
  <c r="EH148"/>
  <c r="DD148"/>
  <c r="CL148"/>
  <c r="CK148"/>
  <c r="AY148"/>
  <c r="B153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0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6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8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1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39"/>
  <c r="CX142"/>
  <c r="CZ142"/>
  <c r="DI142"/>
  <c r="DM142"/>
  <c r="EW142" s="1"/>
  <c r="DN142"/>
  <c r="DO142"/>
  <c r="DP142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4"/>
  <c r="CW141"/>
  <c r="CX141"/>
  <c r="CZ141"/>
  <c r="DI141"/>
  <c r="ES141" s="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47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2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5"/>
  <c r="CZ138"/>
  <c r="DF138"/>
  <c r="DG138"/>
  <c r="DH138"/>
  <c r="DI138"/>
  <c r="DJ138"/>
  <c r="DK138"/>
  <c r="DL138"/>
  <c r="DM138"/>
  <c r="EW138" s="1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3"/>
  <c r="CZ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29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4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0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6"/>
  <c r="CZ133"/>
  <c r="DG133" s="1"/>
  <c r="DD133"/>
  <c r="DE133"/>
  <c r="DC133"/>
  <c r="BA133"/>
  <c r="CM133" s="1"/>
  <c r="CL133"/>
  <c r="CK133"/>
  <c r="AY133"/>
  <c r="B137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28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5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1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3"/>
  <c r="CW128"/>
  <c r="CX128"/>
  <c r="CZ128"/>
  <c r="DH128"/>
  <c r="DL128"/>
  <c r="DP128"/>
  <c r="DT128"/>
  <c r="DX128"/>
  <c r="EB128"/>
  <c r="EF128"/>
  <c r="EJ128"/>
  <c r="DD128"/>
  <c r="CL128"/>
  <c r="CK128"/>
  <c r="AY128"/>
  <c r="B132"/>
  <c r="CX127"/>
  <c r="CZ127"/>
  <c r="DD127"/>
  <c r="DE127"/>
  <c r="DC127"/>
  <c r="BA127"/>
  <c r="CM127" s="1"/>
  <c r="CL127"/>
  <c r="CK127"/>
  <c r="AY127"/>
  <c r="B119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2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1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3"/>
  <c r="CX123"/>
  <c r="CZ123"/>
  <c r="DD123"/>
  <c r="DE123"/>
  <c r="DC123"/>
  <c r="BA123"/>
  <c r="CM123" s="1"/>
  <c r="CL123"/>
  <c r="CK123"/>
  <c r="AY123"/>
  <c r="B120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4"/>
  <c r="CW121"/>
  <c r="CX121"/>
  <c r="CZ121"/>
  <c r="DD121"/>
  <c r="BA121"/>
  <c r="CM121"/>
  <c r="CL121"/>
  <c r="CK121"/>
  <c r="AY121"/>
  <c r="B127"/>
  <c r="CZ120"/>
  <c r="DF120"/>
  <c r="DG120"/>
  <c r="DH120"/>
  <c r="DI120"/>
  <c r="ES120" s="1"/>
  <c r="DJ120"/>
  <c r="DK120"/>
  <c r="DL120"/>
  <c r="DM120"/>
  <c r="EW120" s="1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6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18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5"/>
  <c r="CZ117"/>
  <c r="DI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2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5"/>
  <c r="CZ115"/>
  <c r="DI115"/>
  <c r="DM115"/>
  <c r="EW115" s="1"/>
  <c r="DQ115"/>
  <c r="DU115"/>
  <c r="DY115"/>
  <c r="EC115"/>
  <c r="EG115"/>
  <c r="DD115"/>
  <c r="DE115"/>
  <c r="DC115"/>
  <c r="BA115"/>
  <c r="CM115" s="1"/>
  <c r="CL115"/>
  <c r="CK115"/>
  <c r="AY115"/>
  <c r="B117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08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09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1"/>
  <c r="CZ111"/>
  <c r="DI111"/>
  <c r="DM111"/>
  <c r="EW111" s="1"/>
  <c r="DQ111"/>
  <c r="DU111"/>
  <c r="DY111"/>
  <c r="EC111"/>
  <c r="EG111"/>
  <c r="DD111"/>
  <c r="DE111"/>
  <c r="DC111"/>
  <c r="BA111"/>
  <c r="CM111" s="1"/>
  <c r="CL111"/>
  <c r="CK111"/>
  <c r="AY111"/>
  <c r="B114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0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13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6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99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1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3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6"/>
  <c r="CZ103"/>
  <c r="DI103"/>
  <c r="DM103"/>
  <c r="EW103" s="1"/>
  <c r="DQ103"/>
  <c r="DU103"/>
  <c r="DY103"/>
  <c r="EC103"/>
  <c r="EG103"/>
  <c r="DD103"/>
  <c r="DE103"/>
  <c r="DC103"/>
  <c r="BA103"/>
  <c r="CM103" s="1"/>
  <c r="CL103"/>
  <c r="CK103"/>
  <c r="AY103"/>
  <c r="B104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2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98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5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0"/>
  <c r="CZ98"/>
  <c r="DI98"/>
  <c r="DM98"/>
  <c r="DQ98"/>
  <c r="DU98"/>
  <c r="DY98"/>
  <c r="EC98"/>
  <c r="EG98"/>
  <c r="DD98"/>
  <c r="DE98" s="1"/>
  <c r="DC98"/>
  <c r="CL98"/>
  <c r="CK98"/>
  <c r="AY98"/>
  <c r="B107"/>
  <c r="CZ97"/>
  <c r="DG97" s="1"/>
  <c r="DD97"/>
  <c r="DE97" s="1"/>
  <c r="DC97"/>
  <c r="BA97"/>
  <c r="CM97" s="1"/>
  <c r="CL97"/>
  <c r="CK97"/>
  <c r="AY97"/>
  <c r="B88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0"/>
  <c r="CZ95"/>
  <c r="DD95"/>
  <c r="DE95" s="1"/>
  <c r="DC95"/>
  <c r="BA95"/>
  <c r="CM95" s="1"/>
  <c r="CL95"/>
  <c r="CK95"/>
  <c r="AY95"/>
  <c r="B91"/>
  <c r="CZ94"/>
  <c r="DF94"/>
  <c r="DG94"/>
  <c r="DH94"/>
  <c r="DI94"/>
  <c r="ES94" s="1"/>
  <c r="DJ94"/>
  <c r="DK94"/>
  <c r="DL94"/>
  <c r="DM94"/>
  <c r="EW94" s="1"/>
  <c r="DN94"/>
  <c r="DO94"/>
  <c r="DP94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89"/>
  <c r="CZ93"/>
  <c r="DD93"/>
  <c r="DE93" s="1"/>
  <c r="DC93"/>
  <c r="BA93"/>
  <c r="CM93" s="1"/>
  <c r="CL93"/>
  <c r="CK93"/>
  <c r="AY93"/>
  <c r="B97"/>
  <c r="CZ92"/>
  <c r="DF92"/>
  <c r="DG92"/>
  <c r="DH92"/>
  <c r="DI92"/>
  <c r="DJ92"/>
  <c r="DK92"/>
  <c r="DL92"/>
  <c r="DM92"/>
  <c r="DN92"/>
  <c r="DO92"/>
  <c r="DP92"/>
  <c r="DQ92"/>
  <c r="DR92"/>
  <c r="DS92"/>
  <c r="DT92"/>
  <c r="DU92"/>
  <c r="DV92"/>
  <c r="DW92"/>
  <c r="DX92"/>
  <c r="DY92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5"/>
  <c r="CZ91"/>
  <c r="DG91" s="1"/>
  <c r="DD91"/>
  <c r="DE91" s="1"/>
  <c r="DC91"/>
  <c r="BA91"/>
  <c r="CM91" s="1"/>
  <c r="CL91"/>
  <c r="CK91"/>
  <c r="AY91"/>
  <c r="B93"/>
  <c r="CZ90"/>
  <c r="DF90"/>
  <c r="DG90"/>
  <c r="DH90"/>
  <c r="DI90"/>
  <c r="ES90" s="1"/>
  <c r="DJ90"/>
  <c r="DK90"/>
  <c r="DL90"/>
  <c r="DM90"/>
  <c r="EW90" s="1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6"/>
  <c r="CX89"/>
  <c r="CZ89"/>
  <c r="DN89" s="1"/>
  <c r="DO89"/>
  <c r="DQ89"/>
  <c r="DS89"/>
  <c r="DU89"/>
  <c r="DW89"/>
  <c r="DY89"/>
  <c r="FI89" s="1"/>
  <c r="EA89"/>
  <c r="EC89"/>
  <c r="EE89"/>
  <c r="EG89"/>
  <c r="FQ89" s="1"/>
  <c r="EI89"/>
  <c r="DD89"/>
  <c r="DE89"/>
  <c r="DC89"/>
  <c r="BA89"/>
  <c r="CM89" s="1"/>
  <c r="CL89"/>
  <c r="CK89"/>
  <c r="AY89"/>
  <c r="B94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2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Z94" l="1"/>
  <c r="EZ99"/>
  <c r="EZ142"/>
  <c r="EZ143"/>
  <c r="EZ150"/>
  <c r="FM96"/>
  <c r="FI96"/>
  <c r="EW96"/>
  <c r="ES96"/>
  <c r="EW98"/>
  <c r="ES101"/>
  <c r="ES105"/>
  <c r="FI107"/>
  <c r="ES107"/>
  <c r="ES113"/>
  <c r="FI115"/>
  <c r="ES115"/>
  <c r="FM119"/>
  <c r="EW119"/>
  <c r="FM130"/>
  <c r="EW130"/>
  <c r="FM131"/>
  <c r="FI131"/>
  <c r="EW131"/>
  <c r="ES131"/>
  <c r="FI139"/>
  <c r="ES139"/>
  <c r="FM141"/>
  <c r="EW141"/>
  <c r="FM143"/>
  <c r="FI143"/>
  <c r="ES145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FC109"/>
  <c r="EY144"/>
  <c r="EY165"/>
  <c r="FC181"/>
  <c r="EZ10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X94"/>
  <c r="EV99"/>
  <c r="FJ102"/>
  <c r="FB102"/>
  <c r="FJ104"/>
  <c r="FB104"/>
  <c r="FS105"/>
  <c r="FF106"/>
  <c r="EX106"/>
  <c r="FJ110"/>
  <c r="FB110"/>
  <c r="FJ112"/>
  <c r="FB112"/>
  <c r="FF114"/>
  <c r="FF116"/>
  <c r="EX116"/>
  <c r="FJ120"/>
  <c r="FF120"/>
  <c r="FB120"/>
  <c r="FS124"/>
  <c r="EY124"/>
  <c r="FB125"/>
  <c r="FB126"/>
  <c r="FF129"/>
  <c r="FB132"/>
  <c r="FF134"/>
  <c r="FB135"/>
  <c r="FS137"/>
  <c r="EY137"/>
  <c r="EY139"/>
  <c r="EY140"/>
  <c r="FF142"/>
  <c r="FB142"/>
  <c r="EX142"/>
  <c r="EV143"/>
  <c r="FJ146"/>
  <c r="FB146"/>
  <c r="FF149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F122"/>
  <c r="EX122"/>
  <c r="FR124"/>
  <c r="FJ124"/>
  <c r="FF124"/>
  <c r="FB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FF152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P124"/>
  <c r="FF131"/>
  <c r="FB131"/>
  <c r="FB136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ET94"/>
  <c r="FL99"/>
  <c r="FP101"/>
  <c r="FH101"/>
  <c r="ET104"/>
  <c r="ET110"/>
  <c r="ET120"/>
  <c r="FH136"/>
  <c r="ET139"/>
  <c r="FT145"/>
  <c r="FL147"/>
  <c r="FL150"/>
  <c r="FH152"/>
  <c r="FH162"/>
  <c r="ET171"/>
  <c r="FP173"/>
  <c r="FP177"/>
  <c r="FP178"/>
  <c r="FH180"/>
  <c r="FM89"/>
  <c r="FQ90"/>
  <c r="FM90"/>
  <c r="FI90"/>
  <c r="FT92"/>
  <c r="FP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ET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R92"/>
  <c r="FG92"/>
  <c r="FA96"/>
  <c r="FA103"/>
  <c r="FR104"/>
  <c r="FK109"/>
  <c r="FK117"/>
  <c r="FR120"/>
  <c r="FK124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L92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F374"/>
  <c r="AB372"/>
  <c r="AB380" s="1"/>
  <c r="M372"/>
  <c r="M380" s="1"/>
  <c r="H466"/>
  <c r="FO90"/>
  <c r="FG90"/>
  <c r="EU92"/>
  <c r="FR94"/>
  <c r="FR99"/>
  <c r="FD99"/>
  <c r="FD101"/>
  <c r="FR102"/>
  <c r="EU109"/>
  <c r="FR110"/>
  <c r="FR112"/>
  <c r="EU117"/>
  <c r="EU118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N373"/>
  <c r="AI372"/>
  <c r="AI378" s="1"/>
  <c r="FD90"/>
  <c r="EV90"/>
  <c r="FO92"/>
  <c r="FD92"/>
  <c r="EV92"/>
  <c r="FO94"/>
  <c r="FR96"/>
  <c r="EX96"/>
  <c r="FA98"/>
  <c r="EX99"/>
  <c r="FA101"/>
  <c r="FD102"/>
  <c r="EV102"/>
  <c r="FD104"/>
  <c r="EV104"/>
  <c r="FO109"/>
  <c r="FD110"/>
  <c r="FD112"/>
  <c r="FO117"/>
  <c r="FO119"/>
  <c r="FO120"/>
  <c r="FR122"/>
  <c r="FD124"/>
  <c r="FD125"/>
  <c r="EV125"/>
  <c r="FD126"/>
  <c r="FR131"/>
  <c r="EX131"/>
  <c r="FD132"/>
  <c r="FD135"/>
  <c r="EV135"/>
  <c r="FR136"/>
  <c r="FD137"/>
  <c r="FA140"/>
  <c r="FO141"/>
  <c r="FO142"/>
  <c r="FR143"/>
  <c r="FA145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C89"/>
  <c r="FT90"/>
  <c r="FH90"/>
  <c r="EZ90"/>
  <c r="FS92"/>
  <c r="FK92"/>
  <c r="FH92"/>
  <c r="EZ92"/>
  <c r="FS94"/>
  <c r="FK94"/>
  <c r="FC94"/>
  <c r="EY94"/>
  <c r="EU94"/>
  <c r="EQ94"/>
  <c r="FN96"/>
  <c r="ET96"/>
  <c r="FS99"/>
  <c r="FK100"/>
  <c r="EU100"/>
  <c r="FM101"/>
  <c r="FI101"/>
  <c r="FE101"/>
  <c r="FT102"/>
  <c r="EQ102"/>
  <c r="FE103"/>
  <c r="FT104"/>
  <c r="EQ104"/>
  <c r="EQ105"/>
  <c r="FH106"/>
  <c r="ER106"/>
  <c r="FM107"/>
  <c r="ER108"/>
  <c r="EY109"/>
  <c r="FT110"/>
  <c r="EQ110"/>
  <c r="FE111"/>
  <c r="FT112"/>
  <c r="EQ112"/>
  <c r="EQ113"/>
  <c r="FH114"/>
  <c r="ER114"/>
  <c r="FM115"/>
  <c r="FH116"/>
  <c r="EY117"/>
  <c r="EY119"/>
  <c r="EQ119"/>
  <c r="FK120"/>
  <c r="EY120"/>
  <c r="EU120"/>
  <c r="EQ120"/>
  <c r="FT124"/>
  <c r="FH124"/>
  <c r="FT125"/>
  <c r="EQ125"/>
  <c r="FT126"/>
  <c r="EQ130"/>
  <c r="FN131"/>
  <c r="FT132"/>
  <c r="FT135"/>
  <c r="ET136"/>
  <c r="FT137"/>
  <c r="FH137"/>
  <c r="FK139"/>
  <c r="EU139"/>
  <c r="FI140"/>
  <c r="EY141"/>
  <c r="FS142"/>
  <c r="FK142"/>
  <c r="FC142"/>
  <c r="EY142"/>
  <c r="FK144"/>
  <c r="EU144"/>
  <c r="FM145"/>
  <c r="FI145"/>
  <c r="FT146"/>
  <c r="EQ146"/>
  <c r="FH149"/>
  <c r="EZ149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N381"/>
  <c r="AD372"/>
  <c r="AD379" s="1"/>
  <c r="EQ90"/>
  <c r="EQ92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EQ109"/>
  <c r="FH110"/>
  <c r="EZ110"/>
  <c r="FM111"/>
  <c r="FH112"/>
  <c r="EY113"/>
  <c r="FT114"/>
  <c r="EQ114"/>
  <c r="FT116"/>
  <c r="EQ117"/>
  <c r="EQ118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K141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N374"/>
  <c r="Z372"/>
  <c r="Z378" s="1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EY118"/>
  <c r="FP128"/>
  <c r="ES138"/>
  <c r="FR148"/>
  <c r="FT178"/>
  <c r="FM178"/>
  <c r="FC178"/>
  <c r="FP88"/>
  <c r="FE98"/>
  <c r="FN108"/>
  <c r="FR88"/>
  <c r="FJ88"/>
  <c r="FB88"/>
  <c r="ET88"/>
  <c r="FI98"/>
  <c r="ES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X38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N375"/>
  <c r="N378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AD426" l="1"/>
  <c r="AD444" s="1"/>
  <c r="V425"/>
  <c r="V443" s="1"/>
  <c r="AE424"/>
  <c r="AE442" s="1"/>
  <c r="O423"/>
  <c r="O441" s="1"/>
  <c r="Y423"/>
  <c r="Y441" s="1"/>
  <c r="AD429"/>
  <c r="AD447" s="1"/>
  <c r="V423"/>
  <c r="V441" s="1"/>
  <c r="U423"/>
  <c r="U441" s="1"/>
  <c r="M424"/>
  <c r="M442" s="1"/>
  <c r="Y426"/>
  <c r="Y444" s="1"/>
  <c r="T429"/>
  <c r="T447" s="1"/>
  <c r="AI428"/>
  <c r="AI446" s="1"/>
  <c r="Q429"/>
  <c r="Q447" s="1"/>
  <c r="AF429"/>
  <c r="AF447" s="1"/>
  <c r="AB430"/>
  <c r="AB448" s="1"/>
  <c r="W431"/>
  <c r="W449" s="1"/>
  <c r="AJ428"/>
  <c r="AJ446" s="1"/>
  <c r="AC425"/>
  <c r="AC443" s="1"/>
  <c r="AH423"/>
  <c r="AH441" s="1"/>
  <c r="AE429"/>
  <c r="AE447" s="1"/>
  <c r="J424"/>
  <c r="J442" s="1"/>
  <c r="Z424"/>
  <c r="Z442" s="1"/>
  <c r="AI426"/>
  <c r="AI444" s="1"/>
  <c r="J426"/>
  <c r="J444" s="1"/>
  <c r="Z426"/>
  <c r="Z444" s="1"/>
  <c r="N428"/>
  <c r="N446" s="1"/>
  <c r="AD428"/>
  <c r="AD446" s="1"/>
  <c r="R430"/>
  <c r="R448" s="1"/>
  <c r="AH430"/>
  <c r="AH448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AD424"/>
  <c r="AD442" s="1"/>
  <c r="R428"/>
  <c r="R446" s="1"/>
  <c r="N425"/>
  <c r="N443" s="1"/>
  <c r="V430"/>
  <c r="V448" s="1"/>
  <c r="O424"/>
  <c r="O442" s="1"/>
  <c r="R429"/>
  <c r="R447" s="1"/>
  <c r="AE423"/>
  <c r="AE441" s="1"/>
  <c r="Z427"/>
  <c r="Z445" s="1"/>
  <c r="X423"/>
  <c r="X441" s="1"/>
  <c r="AK61"/>
  <c r="AK432"/>
  <c r="AK450" s="1"/>
  <c r="Y424"/>
  <c r="Y442" s="1"/>
  <c r="I426"/>
  <c r="I444" s="1"/>
  <c r="I427"/>
  <c r="I445" s="1"/>
  <c r="AA427"/>
  <c r="AA445" s="1"/>
  <c r="K429"/>
  <c r="K447" s="1"/>
  <c r="AG429"/>
  <c r="AG447" s="1"/>
  <c r="W430"/>
  <c r="W448" s="1"/>
  <c r="U430"/>
  <c r="U448" s="1"/>
  <c r="AF431"/>
  <c r="AF449" s="1"/>
  <c r="L428"/>
  <c r="L446" s="1"/>
  <c r="I425"/>
  <c r="I443" s="1"/>
  <c r="Y431"/>
  <c r="Y449" s="1"/>
  <c r="H426"/>
  <c r="H444" s="1"/>
  <c r="V426"/>
  <c r="V444" s="1"/>
  <c r="Z428"/>
  <c r="Z446" s="1"/>
  <c r="R425"/>
  <c r="R443" s="1"/>
  <c r="Z425"/>
  <c r="Z443" s="1"/>
  <c r="AH425"/>
  <c r="AH443" s="1"/>
  <c r="N430"/>
  <c r="N448" s="1"/>
  <c r="AD430"/>
  <c r="AD448" s="1"/>
  <c r="AB423"/>
  <c r="AB441" s="1"/>
  <c r="AJ423"/>
  <c r="AJ441" s="1"/>
  <c r="W424"/>
  <c r="W442" s="1"/>
  <c r="H423"/>
  <c r="H441" s="1"/>
  <c r="V427"/>
  <c r="V445" s="1"/>
  <c r="AH429"/>
  <c r="AH447" s="1"/>
  <c r="AH431"/>
  <c r="AH449" s="1"/>
  <c r="W423"/>
  <c r="W441" s="1"/>
  <c r="T423"/>
  <c r="T441" s="1"/>
  <c r="J427"/>
  <c r="J445" s="1"/>
  <c r="N429"/>
  <c r="N447" s="1"/>
  <c r="V431"/>
  <c r="V449" s="1"/>
  <c r="S61"/>
  <c r="S432"/>
  <c r="S450" s="1"/>
  <c r="N423"/>
  <c r="N441" s="1"/>
  <c r="AD423"/>
  <c r="AD441" s="1"/>
  <c r="M423"/>
  <c r="M441" s="1"/>
  <c r="AC432"/>
  <c r="AC450" s="1"/>
  <c r="T432"/>
  <c r="T450" s="1"/>
  <c r="AA432"/>
  <c r="AA450" s="1"/>
  <c r="Q425"/>
  <c r="Q443" s="1"/>
  <c r="AC424"/>
  <c r="AC442" s="1"/>
  <c r="AB425"/>
  <c r="AB443" s="1"/>
  <c r="AE425"/>
  <c r="AE443" s="1"/>
  <c r="Q426"/>
  <c r="Q444" s="1"/>
  <c r="AG426"/>
  <c r="AG444" s="1"/>
  <c r="H427"/>
  <c r="H445" s="1"/>
  <c r="Q427"/>
  <c r="Q445" s="1"/>
  <c r="AK427"/>
  <c r="AK445" s="1"/>
  <c r="S427"/>
  <c r="S445" s="1"/>
  <c r="AI427"/>
  <c r="AI445" s="1"/>
  <c r="X429"/>
  <c r="X447" s="1"/>
  <c r="AC428"/>
  <c r="AC446" s="1"/>
  <c r="AF428"/>
  <c r="AF446" s="1"/>
  <c r="P428"/>
  <c r="P446" s="1"/>
  <c r="K428"/>
  <c r="K446" s="1"/>
  <c r="AA428"/>
  <c r="AA446" s="1"/>
  <c r="U428"/>
  <c r="U446" s="1"/>
  <c r="S429"/>
  <c r="S447" s="1"/>
  <c r="I429"/>
  <c r="I447" s="1"/>
  <c r="Y429"/>
  <c r="Y447" s="1"/>
  <c r="H430"/>
  <c r="H448" s="1"/>
  <c r="O430"/>
  <c r="O448" s="1"/>
  <c r="AI430"/>
  <c r="AI448" s="1"/>
  <c r="AK430"/>
  <c r="AK448" s="1"/>
  <c r="M430"/>
  <c r="M448" s="1"/>
  <c r="P431"/>
  <c r="P449" s="1"/>
  <c r="Q431"/>
  <c r="Q449" s="1"/>
  <c r="H431"/>
  <c r="H449" s="1"/>
  <c r="K431"/>
  <c r="K449" s="1"/>
  <c r="AI431"/>
  <c r="AI449" s="1"/>
  <c r="X428"/>
  <c r="X446" s="1"/>
  <c r="L424"/>
  <c r="L442" s="1"/>
  <c r="AB424"/>
  <c r="AB442" s="1"/>
  <c r="K425"/>
  <c r="K443" s="1"/>
  <c r="U425"/>
  <c r="U443" s="1"/>
  <c r="AK425"/>
  <c r="AK443" s="1"/>
  <c r="AB426"/>
  <c r="AB444" s="1"/>
  <c r="AJ427"/>
  <c r="AJ445" s="1"/>
  <c r="AF430"/>
  <c r="AF448" s="1"/>
  <c r="AF425"/>
  <c r="AF443" s="1"/>
  <c r="AK423"/>
  <c r="AK441" s="1"/>
  <c r="X426"/>
  <c r="X444" s="1"/>
  <c r="P430"/>
  <c r="P448" s="1"/>
  <c r="N424"/>
  <c r="N442" s="1"/>
  <c r="W426"/>
  <c r="W444" s="1"/>
  <c r="N426"/>
  <c r="N444" s="1"/>
  <c r="AH428"/>
  <c r="AH446" s="1"/>
  <c r="AD425"/>
  <c r="AD443" s="1"/>
  <c r="I61"/>
  <c r="I432"/>
  <c r="I450" s="1"/>
  <c r="R431"/>
  <c r="R449" s="1"/>
  <c r="W425"/>
  <c r="W443" s="1"/>
  <c r="G432"/>
  <c r="G450" s="1"/>
  <c r="L432"/>
  <c r="L450" s="1"/>
  <c r="H425"/>
  <c r="H443" s="1"/>
  <c r="S425"/>
  <c r="S443" s="1"/>
  <c r="X427"/>
  <c r="X445" s="1"/>
  <c r="AC427"/>
  <c r="AC445" s="1"/>
  <c r="O427"/>
  <c r="O445" s="1"/>
  <c r="Q428"/>
  <c r="Q446" s="1"/>
  <c r="L429"/>
  <c r="L447" s="1"/>
  <c r="S428"/>
  <c r="S446" s="1"/>
  <c r="AA429"/>
  <c r="AA447" s="1"/>
  <c r="AC430"/>
  <c r="AC448" s="1"/>
  <c r="I431"/>
  <c r="I449" s="1"/>
  <c r="AC431"/>
  <c r="AC449" s="1"/>
  <c r="S431"/>
  <c r="S449" s="1"/>
  <c r="T424"/>
  <c r="T442" s="1"/>
  <c r="AJ424"/>
  <c r="AJ442" s="1"/>
  <c r="L426"/>
  <c r="L444" s="1"/>
  <c r="AB427"/>
  <c r="AB445" s="1"/>
  <c r="L425"/>
  <c r="L443" s="1"/>
  <c r="AJ430"/>
  <c r="AJ448" s="1"/>
  <c r="S426"/>
  <c r="S444" s="1"/>
  <c r="V424"/>
  <c r="V442" s="1"/>
  <c r="O426"/>
  <c r="O444" s="1"/>
  <c r="AE426"/>
  <c r="AE444" s="1"/>
  <c r="R424"/>
  <c r="R442" s="1"/>
  <c r="AH424"/>
  <c r="AH442" s="1"/>
  <c r="K426"/>
  <c r="K444" s="1"/>
  <c r="AA426"/>
  <c r="AA444" s="1"/>
  <c r="R426"/>
  <c r="R444" s="1"/>
  <c r="AH426"/>
  <c r="AH444" s="1"/>
  <c r="V428"/>
  <c r="V446" s="1"/>
  <c r="Z430"/>
  <c r="Z448" s="1"/>
  <c r="AF423"/>
  <c r="AF441" s="1"/>
  <c r="S424"/>
  <c r="S442" s="1"/>
  <c r="AI424"/>
  <c r="AI442" s="1"/>
  <c r="N427"/>
  <c r="N445" s="1"/>
  <c r="Z429"/>
  <c r="Z447" s="1"/>
  <c r="Z431"/>
  <c r="Z449" s="1"/>
  <c r="S423"/>
  <c r="S441" s="1"/>
  <c r="AI423"/>
  <c r="AI441" s="1"/>
  <c r="M61"/>
  <c r="M432"/>
  <c r="M450" s="1"/>
  <c r="AK424"/>
  <c r="AK442" s="1"/>
  <c r="AH427"/>
  <c r="AH445" s="1"/>
  <c r="N431"/>
  <c r="N449" s="1"/>
  <c r="K432"/>
  <c r="K450" s="1"/>
  <c r="AG432"/>
  <c r="AG450" s="1"/>
  <c r="Z423"/>
  <c r="Z441" s="1"/>
  <c r="I423"/>
  <c r="I441" s="1"/>
  <c r="Y432"/>
  <c r="Y450" s="1"/>
  <c r="H432"/>
  <c r="H450" s="1"/>
  <c r="O432"/>
  <c r="O450" s="1"/>
  <c r="U61"/>
  <c r="U432"/>
  <c r="U450" s="1"/>
  <c r="P425"/>
  <c r="P443" s="1"/>
  <c r="AA425"/>
  <c r="AA443" s="1"/>
  <c r="M426"/>
  <c r="M444" s="1"/>
  <c r="AC426"/>
  <c r="AC444" s="1"/>
  <c r="M427"/>
  <c r="M445" s="1"/>
  <c r="AG427"/>
  <c r="AG445" s="1"/>
  <c r="K427"/>
  <c r="K445" s="1"/>
  <c r="AE427"/>
  <c r="AE445" s="1"/>
  <c r="Y428"/>
  <c r="Y446" s="1"/>
  <c r="H428"/>
  <c r="H446" s="1"/>
  <c r="AJ429"/>
  <c r="AJ447" s="1"/>
  <c r="AG428"/>
  <c r="AG446" s="1"/>
  <c r="W428"/>
  <c r="W446" s="1"/>
  <c r="M428"/>
  <c r="M446" s="1"/>
  <c r="O429"/>
  <c r="O447" s="1"/>
  <c r="AI429"/>
  <c r="AI447" s="1"/>
  <c r="U429"/>
  <c r="U447" s="1"/>
  <c r="AK429"/>
  <c r="AK447" s="1"/>
  <c r="AE430"/>
  <c r="AE448" s="1"/>
  <c r="K430"/>
  <c r="K448" s="1"/>
  <c r="AA430"/>
  <c r="AA448" s="1"/>
  <c r="AG430"/>
  <c r="AG448" s="1"/>
  <c r="X431"/>
  <c r="X449" s="1"/>
  <c r="L431"/>
  <c r="L449" s="1"/>
  <c r="M431"/>
  <c r="M449" s="1"/>
  <c r="AG431"/>
  <c r="AG449" s="1"/>
  <c r="AB431"/>
  <c r="AB449" s="1"/>
  <c r="AE431"/>
  <c r="AE449" s="1"/>
  <c r="AA431"/>
  <c r="AA449" s="1"/>
  <c r="T428"/>
  <c r="T446" s="1"/>
  <c r="P427"/>
  <c r="P445" s="1"/>
  <c r="X424"/>
  <c r="X442" s="1"/>
  <c r="T425"/>
  <c r="T443" s="1"/>
  <c r="M425"/>
  <c r="M443" s="1"/>
  <c r="AG425"/>
  <c r="AG443" s="1"/>
  <c r="T426"/>
  <c r="T444" s="1"/>
  <c r="L427"/>
  <c r="L445" s="1"/>
  <c r="U427"/>
  <c r="U445" s="1"/>
  <c r="X425"/>
  <c r="X443" s="1"/>
  <c r="Q423"/>
  <c r="Q441" s="1"/>
  <c r="P426"/>
  <c r="P444" s="1"/>
  <c r="L430"/>
  <c r="L448" s="1"/>
  <c r="AK431"/>
  <c r="AK449" s="1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FU92"/>
  <c r="DF216"/>
  <c r="FU131"/>
  <c r="DF214"/>
  <c r="DF218"/>
  <c r="FU137"/>
  <c r="DF219"/>
  <c r="DF217"/>
  <c r="DF221"/>
  <c r="FR168"/>
  <c r="FT168"/>
  <c r="EJ220"/>
  <c r="FS168"/>
  <c r="FC168"/>
  <c r="FH118"/>
  <c r="FO98"/>
  <c r="FG148"/>
  <c r="EY148"/>
  <c r="FM88"/>
  <c r="FE88"/>
  <c r="FQ128"/>
  <c r="ES128"/>
  <c r="FT98"/>
  <c r="EJ213"/>
  <c r="FD98"/>
  <c r="FK108"/>
  <c r="ER168"/>
  <c r="FR118"/>
  <c r="FB118"/>
  <c r="FB128"/>
  <c r="FK98"/>
  <c r="EZ148"/>
  <c r="FI148"/>
  <c r="FK128"/>
  <c r="EU128"/>
  <c r="FF98"/>
  <c r="FA108"/>
  <c r="FI108"/>
  <c r="FQ108"/>
  <c r="FH168"/>
  <c r="FD168"/>
  <c r="FO168"/>
  <c r="FG168"/>
  <c r="EQ168"/>
  <c r="FT118"/>
  <c r="EJ215"/>
  <c r="FL118"/>
  <c r="FD118"/>
  <c r="EX128"/>
  <c r="FN128"/>
  <c r="FA118"/>
  <c r="FQ118"/>
  <c r="EQ98"/>
  <c r="FG98"/>
  <c r="FT148"/>
  <c r="EJ218"/>
  <c r="FD148"/>
  <c r="FS148"/>
  <c r="FK148"/>
  <c r="FC148"/>
  <c r="FQ88"/>
  <c r="FI88"/>
  <c r="ES88"/>
  <c r="FM128"/>
  <c r="FE128"/>
  <c r="EW128"/>
  <c r="FP98"/>
  <c r="FH98"/>
  <c r="ER98"/>
  <c r="DF215"/>
  <c r="EJ221"/>
  <c r="FU102"/>
  <c r="FU162"/>
  <c r="EJ212"/>
  <c r="EJ217"/>
  <c r="FE108"/>
  <c r="FM108"/>
  <c r="FN168"/>
  <c r="FK168"/>
  <c r="FP118"/>
  <c r="EZ118"/>
  <c r="FF128"/>
  <c r="FI118"/>
  <c r="FL148"/>
  <c r="FO148"/>
  <c r="FI128"/>
  <c r="FA128"/>
  <c r="FL98"/>
  <c r="EW178"/>
  <c r="FU178" s="1"/>
  <c r="FC108"/>
  <c r="FS108"/>
  <c r="FM168"/>
  <c r="FE168"/>
  <c r="FJ118"/>
  <c r="FR128"/>
  <c r="FE118"/>
  <c r="FP148"/>
  <c r="FQ148"/>
  <c r="FA148"/>
  <c r="FO88"/>
  <c r="FG88"/>
  <c r="EQ88"/>
  <c r="FS128"/>
  <c r="FC128"/>
  <c r="FN98"/>
  <c r="EY108"/>
  <c r="FG108"/>
  <c r="FO108"/>
  <c r="FB168"/>
  <c r="FF168"/>
  <c r="FL168"/>
  <c r="FQ168"/>
  <c r="FI168"/>
  <c r="FA168"/>
  <c r="FN118"/>
  <c r="FF118"/>
  <c r="EX118"/>
  <c r="ET128"/>
  <c r="FJ128"/>
  <c r="FM118"/>
  <c r="FC98"/>
  <c r="FS98"/>
  <c r="FH148"/>
  <c r="FM148"/>
  <c r="FE148"/>
  <c r="FS88"/>
  <c r="FK88"/>
  <c r="FC88"/>
  <c r="FO128"/>
  <c r="FG128"/>
  <c r="EY128"/>
  <c r="FR98"/>
  <c r="FJ98"/>
  <c r="FB98"/>
  <c r="ET98"/>
  <c r="FU170"/>
  <c r="FU173"/>
  <c r="FU125"/>
  <c r="FU106"/>
  <c r="DF220"/>
  <c r="DF213"/>
  <c r="FU129"/>
  <c r="FU158"/>
  <c r="EJ219"/>
  <c r="EK171"/>
  <c r="EK156"/>
  <c r="EJ214"/>
  <c r="EJ216"/>
  <c r="EW147"/>
  <c r="EU147"/>
  <c r="EW118"/>
  <c r="ET118"/>
  <c r="FA91"/>
  <c r="EU91"/>
  <c r="EV123"/>
  <c r="EU123"/>
  <c r="ET155"/>
  <c r="ES155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EW175"/>
  <c r="EU175"/>
  <c r="FU165"/>
  <c r="EV153"/>
  <c r="EW154"/>
  <c r="EU154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29" l="1"/>
  <c r="J447" s="1"/>
  <c r="C447" s="1"/>
  <c r="J431"/>
  <c r="J449" s="1"/>
  <c r="C449" s="1"/>
  <c r="I472"/>
  <c r="J472" s="1"/>
  <c r="K474" s="1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AE7" s="1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80"/>
  <c r="K468"/>
  <c r="C429" l="1"/>
  <c r="C431"/>
  <c r="K472"/>
  <c r="K482"/>
  <c r="DH231"/>
  <c r="K476"/>
  <c r="DH227"/>
  <c r="DH232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F7" s="1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6" l="1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<sst xmlns="http://schemas.openxmlformats.org/spreadsheetml/2006/main" count="1028" uniqueCount="150">
  <si>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</si>
  <si>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</si>
  <si>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</si>
  <si>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</si>
  <si>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</si>
  <si>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</si>
  <si>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</si>
  <si>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</si>
  <si>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</si>
  <si>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</si>
  <si>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</si>
  <si>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</si>
  <si>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</si>
  <si>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</si>
  <si>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</si>
  <si>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</si>
  <si>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</si>
  <si>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</si>
  <si>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</si>
  <si>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</si>
  <si>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</si>
  <si>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</si>
  <si>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</si>
  <si>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</si>
  <si>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</si>
  <si>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</si>
  <si>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</si>
  <si>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</si>
  <si>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</si>
  <si>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</si>
  <si>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</si>
  <si>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</si>
  <si>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</si>
  <si>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</si>
  <si>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</si>
  <si>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</si>
  <si>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</si>
  <si>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</si>
  <si>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</si>
  <si>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</si>
  <si>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</si>
  <si>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</si>
  <si>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</si>
  <si>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</si>
  <si>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</si>
  <si>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</si>
  <si>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</si>
  <si>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</si>
  <si>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</si>
  <si>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</si>
  <si>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</si>
  <si>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</si>
  <si>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</si>
  <si>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</si>
  <si>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</si>
  <si>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</si>
  <si>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</si>
  <si>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</si>
  <si>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</si>
  <si>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</si>
  <si>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</si>
  <si>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</si>
  <si>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</si>
  <si>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</si>
  <si>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</si>
  <si>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</si>
  <si>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</si>
  <si>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</si>
  <si>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</si>
  <si>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</si>
  <si>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</si>
  <si>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</si>
  <si>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</si>
  <si>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</si>
  <si>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</si>
  <si>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</si>
  <si>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</si>
  <si>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</si>
  <si>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</si>
  <si>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</si>
  <si>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</si>
  <si>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</si>
  <si>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</si>
  <si>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</si>
  <si>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</si>
  <si>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</si>
  <si>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</si>
  <si>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</si>
  <si>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</si>
  <si>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</si>
  <si>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</si>
  <si>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</si>
  <si>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</si>
  <si>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</si>
  <si>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</si>
  <si>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</si>
  <si>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</si>
  <si>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</si>
  <si>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</si>
  <si>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</si>
  <si>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</si>
  <si>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</si>
  <si>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</si>
  <si>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</si>
  <si>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</si>
  <si>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</si>
  <si>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</si>
  <si>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</si>
  <si>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</si>
  <si>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</si>
  <si>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</si>
  <si>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</si>
  <si>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</si>
  <si>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</si>
  <si>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</si>
  <si>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</si>
  <si>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</si>
  <si>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</si>
  <si>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</si>
  <si>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</si>
  <si>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</si>
  <si>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</si>
  <si>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</si>
  <si>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</si>
  <si>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</si>
  <si>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</si>
  <si>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</si>
  <si>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</si>
  <si>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</si>
  <si>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</si>
  <si>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</si>
  <si>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</si>
  <si>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</si>
  <si>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</si>
  <si>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</si>
  <si>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</si>
  <si>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</si>
  <si>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</si>
  <si>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</si>
  <si>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</si>
  <si>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</si>
  <si>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</si>
  <si>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</si>
  <si>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</si>
  <si>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</si>
  <si>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</si>
  <si>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</si>
  <si>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</si>
  <si>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</si>
  <si>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Rhyacophila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</si>
</sst>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3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DC202" zoomScale="85" zoomScaleNormal="85" workbookViewId="0">
      <selection activeCell="DG225" sqref="DG225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8" t="s">
        <v>144</v>
      </c>
      <c r="GD2" s="228"/>
      <c r="GE2" s="228"/>
      <c r="GF2" s="228"/>
      <c r="GG2" s="228"/>
      <c r="GH2" s="228"/>
      <c r="GI2" s="228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55.276572808619719</v>
      </c>
      <c r="N4" s="130">
        <v>69.644214290132851</v>
      </c>
      <c r="O4" s="130">
        <v>508.58690038029698</v>
      </c>
      <c r="P4" s="130">
        <v>212.16819326705308</v>
      </c>
      <c r="Q4" s="130">
        <v>65.312383281111906</v>
      </c>
      <c r="R4" s="130">
        <v>396.05086203142935</v>
      </c>
      <c r="S4" s="131">
        <v>25.182106505386177</v>
      </c>
      <c r="T4" s="131">
        <v>0.53216813080006897</v>
      </c>
      <c r="U4" s="5"/>
      <c r="V4" s="4"/>
      <c r="W4" s="127">
        <f t="shared" ref="W4:W13" si="0">C4</f>
        <v>39646</v>
      </c>
      <c r="X4" s="132">
        <f>AVERAGE(EK88:EK97)</f>
        <v>19.791666666666664</v>
      </c>
      <c r="Y4" s="131">
        <f>COUNT(EK88:EK97)</f>
        <v>10</v>
      </c>
      <c r="Z4" s="130">
        <f>STDEV(EK88:EK97)</f>
        <v>26.19169745228626</v>
      </c>
      <c r="AA4" s="130">
        <f>Z4/SQRT(Y4)</f>
        <v>8.2825419735253885</v>
      </c>
      <c r="AB4" s="131"/>
      <c r="AC4" s="130">
        <f>AVERAGE($FU88:$FU97)</f>
        <v>20.254064425261326</v>
      </c>
      <c r="AD4" s="132">
        <f>COUNT($FU88:$FU97)</f>
        <v>10</v>
      </c>
      <c r="AE4" s="130">
        <f>STDEV($FU88:$FU97)</f>
        <v>39.169521777683549</v>
      </c>
      <c r="AF4" s="130">
        <f>AE4/SQRT(AD4)</f>
        <v>12.38649036770475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1" t="s">
        <v>148</v>
      </c>
      <c r="FK4" s="231"/>
      <c r="FL4" s="231"/>
      <c r="FM4" s="231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55.523104236734412</v>
      </c>
      <c r="N5" s="130">
        <f t="shared" si="1"/>
        <v>70.060254670618363</v>
      </c>
      <c r="O5" s="130">
        <f t="shared" si="1"/>
        <v>511.13298706434853</v>
      </c>
      <c r="P5" s="130">
        <f t="shared" si="1"/>
        <v>212.76012147444007</v>
      </c>
      <c r="Q5" s="130">
        <f t="shared" si="1"/>
        <v>65.655778472965366</v>
      </c>
      <c r="R5" s="130">
        <f t="shared" si="1"/>
        <v>380.094589546522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84.856442577030819</v>
      </c>
      <c r="Y5" s="131">
        <f>COUNT(EK98:EK107)</f>
        <v>10</v>
      </c>
      <c r="Z5" s="130">
        <f>STDEV(EK98:EK107)</f>
        <v>135.6693017631496</v>
      </c>
      <c r="AA5" s="130">
        <f t="shared" ref="AA5:AA13" si="2">Z5/SQRT(Y5)</f>
        <v>42.90240021362505</v>
      </c>
      <c r="AB5" s="131"/>
      <c r="AC5" s="130">
        <f>AVERAGE($FU98:$FU107)</f>
        <v>36.860242740318014</v>
      </c>
      <c r="AD5" s="132">
        <f>COUNT($FU98:$FU107)</f>
        <v>10</v>
      </c>
      <c r="AE5" s="130">
        <f>STDEV($FU98:$FU107)</f>
        <v>29.677132104555852</v>
      </c>
      <c r="AF5" s="130">
        <f t="shared" ref="AF5:AF13" si="3">AE5/SQRT(AD5)</f>
        <v>9.3847331872102764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72.080348078409003</v>
      </c>
      <c r="N6" s="130">
        <f t="shared" si="4"/>
        <v>97.005415056284974</v>
      </c>
      <c r="O6" s="130">
        <f t="shared" si="4"/>
        <v>720.49669714629249</v>
      </c>
      <c r="P6" s="130">
        <f t="shared" si="4"/>
        <v>273.74124556851393</v>
      </c>
      <c r="Q6" s="130">
        <f t="shared" si="4"/>
        <v>90.198569729547984</v>
      </c>
      <c r="R6" s="130">
        <f t="shared" si="4"/>
        <v>587.32949725280275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50.651041666666664</v>
      </c>
      <c r="Y6" s="131">
        <f>COUNT(EK108:EK117)</f>
        <v>10</v>
      </c>
      <c r="Z6" s="130">
        <f>STDEV(EK108:EK117)</f>
        <v>46.261945625841861</v>
      </c>
      <c r="AA6" s="130">
        <f t="shared" si="2"/>
        <v>14.629311716852397</v>
      </c>
      <c r="AB6" s="131"/>
      <c r="AC6" s="130">
        <f>AVERAGE($FU108:$FU117)</f>
        <v>80.445904434228908</v>
      </c>
      <c r="AD6" s="132">
        <f>COUNT($FU108:$FU117)</f>
        <v>10</v>
      </c>
      <c r="AE6" s="130">
        <f>STDEV($FU108:$FU117)</f>
        <v>118.4645205409837</v>
      </c>
      <c r="AF6" s="130">
        <f t="shared" si="3"/>
        <v>37.461770682931082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9" t="s">
        <v>145</v>
      </c>
      <c r="FJ6" s="229"/>
      <c r="FK6" s="230" t="s">
        <v>146</v>
      </c>
      <c r="FL6" s="230"/>
      <c r="FM6" s="230" t="s">
        <v>147</v>
      </c>
      <c r="FN6" s="230"/>
      <c r="FO6" s="5"/>
      <c r="FY6" s="210">
        <v>1</v>
      </c>
      <c r="FZ6">
        <v>20.319345721516882</v>
      </c>
      <c r="GA6">
        <v>57.093773024770286</v>
      </c>
      <c r="GB6">
        <v>25.956698617738503</v>
      </c>
      <c r="GC6">
        <v>9.2854912245725902</v>
      </c>
      <c r="GD6">
        <v>4.2207099331752858</v>
      </c>
      <c r="GE6">
        <v>4.253575162284287</v>
      </c>
      <c r="GF6">
        <v>14.17312597877492</v>
      </c>
      <c r="GG6">
        <v>33.863764570098965</v>
      </c>
      <c r="GH6">
        <v>44.700924199993949</v>
      </c>
      <c r="GI6">
        <v>33.906894179011687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41.051219220198824</v>
      </c>
      <c r="N7" s="130">
        <f t="shared" si="5"/>
        <v>46.116882175488378</v>
      </c>
      <c r="O7" s="130">
        <f t="shared" si="5"/>
        <v>326.99375773218731</v>
      </c>
      <c r="P7" s="130">
        <f t="shared" si="5"/>
        <v>157.12805307251486</v>
      </c>
      <c r="Q7" s="130">
        <f t="shared" si="5"/>
        <v>43.079426914225259</v>
      </c>
      <c r="R7" s="130">
        <f t="shared" si="5"/>
        <v>242.47005985546571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121.64680984724089</v>
      </c>
      <c r="Y7" s="131">
        <f>COUNT(EK118:EK127)</f>
        <v>10</v>
      </c>
      <c r="Z7" s="130">
        <f>STDEV(EK118:EK127)</f>
        <v>147.58655471446346</v>
      </c>
      <c r="AA7" s="130">
        <f t="shared" si="2"/>
        <v>46.670966491476598</v>
      </c>
      <c r="AB7" s="131"/>
      <c r="AC7" s="130">
        <f>AVERAGE($FU118:$FU127)</f>
        <v>175.17368389109706</v>
      </c>
      <c r="AD7" s="132">
        <f>COUNT($FU118:$FU127)</f>
        <v>10</v>
      </c>
      <c r="AE7" s="130">
        <f>STDEV($FU118:$FU127)</f>
        <v>321.7090227031174</v>
      </c>
      <c r="AF7" s="130">
        <f t="shared" si="3"/>
        <v>101.733325556867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32">
        <f>AVERAGE(FZ6:FZ1005)</f>
        <v>23.530526649400006</v>
      </c>
      <c r="FJ7" s="232"/>
      <c r="FK7" s="232">
        <f>PERCENTILE($FZ$6:$FZ$1005,0.975)</f>
        <v>33.808220241917617</v>
      </c>
      <c r="FL7" s="232"/>
      <c r="FM7" s="232">
        <f>PERCENTILE($FZ$6:$FZ$1005,0.025)</f>
        <v>13.638606954717346</v>
      </c>
      <c r="FN7" s="232"/>
      <c r="FO7" s="5"/>
      <c r="FY7" s="210">
        <v>2</v>
      </c>
      <c r="FZ7">
        <v>15.408255908203834</v>
      </c>
      <c r="GA7">
        <v>55.980250207000694</v>
      </c>
      <c r="GB7">
        <v>32.842563866263973</v>
      </c>
      <c r="GC7">
        <v>12.598194645630437</v>
      </c>
      <c r="GD7">
        <v>7.6325410152943984</v>
      </c>
      <c r="GE7">
        <v>7.6596203828346061</v>
      </c>
      <c r="GF7">
        <v>11.788719767228981</v>
      </c>
      <c r="GG7">
        <v>21.45714593800432</v>
      </c>
      <c r="GH7">
        <v>17.896729259183815</v>
      </c>
      <c r="GI7">
        <v>35.644191997569997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80.234672734672714</v>
      </c>
      <c r="Y8" s="131">
        <f>COUNT(EK128:EK137)</f>
        <v>10</v>
      </c>
      <c r="Z8" s="130">
        <f>STDEV(EK128:EK137)</f>
        <v>98.723525010636877</v>
      </c>
      <c r="AA8" s="130">
        <f t="shared" si="2"/>
        <v>31.219119767421123</v>
      </c>
      <c r="AB8" s="131"/>
      <c r="AC8" s="130">
        <f>AVERAGE($FU128:$FU137)</f>
        <v>108.74528380258872</v>
      </c>
      <c r="AD8" s="132">
        <f>COUNT($FU128:$FU137)</f>
        <v>10</v>
      </c>
      <c r="AE8" s="130">
        <f>STDEV($FU128:$FU137)</f>
        <v>135.06764407740232</v>
      </c>
      <c r="AF8" s="130">
        <f t="shared" si="3"/>
        <v>42.712139347754324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32">
        <f>AVERAGE(GA6:GA1005)</f>
        <v>53.017286452186184</v>
      </c>
      <c r="FJ8" s="232"/>
      <c r="FK8" s="232">
        <f>PERCENTILE($GA$6:$GA$1005,0.975)</f>
        <v>81.954279184333586</v>
      </c>
      <c r="FL8" s="232"/>
      <c r="FM8" s="232">
        <f>PERCENTILE($GA$6:$GA$1005,0.025)</f>
        <v>29.79976642987911</v>
      </c>
      <c r="FN8" s="232"/>
      <c r="FO8" s="5"/>
      <c r="FY8" s="210">
        <v>3</v>
      </c>
      <c r="FZ8">
        <v>20.456691690311448</v>
      </c>
      <c r="GA8">
        <v>50.095211786992401</v>
      </c>
      <c r="GB8">
        <v>40.752748708722713</v>
      </c>
      <c r="GC8">
        <v>14.400072850506087</v>
      </c>
      <c r="GD8">
        <v>6.6048451572917104</v>
      </c>
      <c r="GE8">
        <v>2.9638483212964459</v>
      </c>
      <c r="GF8">
        <v>5.4361521573004623</v>
      </c>
      <c r="GG8">
        <v>15.950929253055261</v>
      </c>
      <c r="GH8">
        <v>21.478759089123503</v>
      </c>
      <c r="GI8">
        <v>36.371373188753751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84.588792183268922</v>
      </c>
      <c r="Y9" s="131">
        <f>COUNT(EK138:EK147)</f>
        <v>10</v>
      </c>
      <c r="Z9" s="130">
        <f>STDEV(EK138:EK147)</f>
        <v>97.867063862364247</v>
      </c>
      <c r="AA9" s="130">
        <f t="shared" si="2"/>
        <v>30.948282971822653</v>
      </c>
      <c r="AB9" s="131"/>
      <c r="AC9" s="130">
        <f>AVERAGE($FU138:$FU147)</f>
        <v>66.471730814406328</v>
      </c>
      <c r="AD9" s="132">
        <f>COUNT($FU138:$FU147)</f>
        <v>10</v>
      </c>
      <c r="AE9" s="130">
        <f>STDEV($FU138:$FU147)</f>
        <v>113.62411225025332</v>
      </c>
      <c r="AF9" s="130">
        <f t="shared" si="3"/>
        <v>35.931099182544031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32">
        <f>AVERAGE(GB6:GB1005)</f>
        <v>34.054962286256398</v>
      </c>
      <c r="FJ9" s="232"/>
      <c r="FK9" s="232">
        <f>PERCENTILE($GB$6:$GB$1005,0.975)</f>
        <v>56.633399997994694</v>
      </c>
      <c r="FL9" s="232"/>
      <c r="FM9" s="232">
        <f>PERCENTILE($GB$6:$GB$1005,0.025)</f>
        <v>17.037675575398982</v>
      </c>
      <c r="FN9" s="232"/>
      <c r="FO9" s="5"/>
      <c r="FY9" s="210">
        <v>4</v>
      </c>
      <c r="FZ9">
        <v>24.087297827335846</v>
      </c>
      <c r="GA9">
        <v>69.554111657987889</v>
      </c>
      <c r="GB9">
        <v>41.319913465134334</v>
      </c>
      <c r="GC9">
        <v>9.6305312240891787</v>
      </c>
      <c r="GD9">
        <v>4.8816469951337114</v>
      </c>
      <c r="GE9">
        <v>5.0527145009404348</v>
      </c>
      <c r="GF9">
        <v>10.538646088231486</v>
      </c>
      <c r="GG9">
        <v>18.611233169188729</v>
      </c>
      <c r="GH9">
        <v>22.539725925818747</v>
      </c>
      <c r="GI9">
        <v>34.356057649782556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15.190972222222223</v>
      </c>
      <c r="Y10" s="131">
        <f>COUNT(EK148:EK157)</f>
        <v>10</v>
      </c>
      <c r="Z10" s="130">
        <f>STDEV(EK148:EK157)</f>
        <v>20.806188913553619</v>
      </c>
      <c r="AA10" s="130">
        <f t="shared" si="2"/>
        <v>6.5794946394573612</v>
      </c>
      <c r="AB10" s="131"/>
      <c r="AC10" s="130">
        <f>AVERAGE($FU148:$FU157)</f>
        <v>17.778487481338853</v>
      </c>
      <c r="AD10" s="132">
        <f>COUNT($FU148:$FU157)</f>
        <v>10</v>
      </c>
      <c r="AE10" s="130">
        <f>STDEV($FU148:$FU157)</f>
        <v>26.835963173217664</v>
      </c>
      <c r="AF10" s="130">
        <f t="shared" si="3"/>
        <v>8.4862766831767544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32">
        <f>AVERAGE(GC6:GC1005)</f>
        <v>10.999866039318974</v>
      </c>
      <c r="FJ10" s="232"/>
      <c r="FK10" s="232">
        <f>PERCENTILE($GC$6:$GC$1005,0.975)</f>
        <v>15.854060425534614</v>
      </c>
      <c r="FL10" s="232"/>
      <c r="FM10" s="232">
        <f>PERCENTILE($GC$6:$GC$1005,0.025)</f>
        <v>6.2583798621721431</v>
      </c>
      <c r="FN10" s="232"/>
      <c r="FO10" s="5"/>
      <c r="FY10" s="210">
        <v>5</v>
      </c>
      <c r="FZ10">
        <v>15.891003078966843</v>
      </c>
      <c r="GA10">
        <v>49.234465385552795</v>
      </c>
      <c r="GB10">
        <v>39.738865425796888</v>
      </c>
      <c r="GC10">
        <v>12.820870007638792</v>
      </c>
      <c r="GD10">
        <v>9.5663199121753983</v>
      </c>
      <c r="GE10">
        <v>11.014609488190917</v>
      </c>
      <c r="GF10">
        <v>7.3390451893494761</v>
      </c>
      <c r="GG10">
        <v>11.235606299733492</v>
      </c>
      <c r="GH10">
        <v>15.474652906054455</v>
      </c>
      <c r="GI10">
        <v>34.397212469176914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19.820075757575758</v>
      </c>
      <c r="Y11" s="131">
        <f>COUNT(EK158:EK167)</f>
        <v>10</v>
      </c>
      <c r="Z11" s="130">
        <f>STDEV(EK158:EK167)</f>
        <v>19.983930231806074</v>
      </c>
      <c r="AA11" s="130">
        <f t="shared" si="2"/>
        <v>6.3194736134403842</v>
      </c>
      <c r="AB11" s="131"/>
      <c r="AC11" s="130">
        <f>AVERAGE($FU158:$FU167)</f>
        <v>56.21420175388711</v>
      </c>
      <c r="AD11" s="132">
        <f>COUNT($FU158:$FU167)</f>
        <v>10</v>
      </c>
      <c r="AE11" s="130">
        <f>STDEV($FU158:$FU167)</f>
        <v>86.320376005411489</v>
      </c>
      <c r="AF11" s="130">
        <f t="shared" si="3"/>
        <v>27.296899665924734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32">
        <f>AVERAGE(GD5:GD1005)</f>
        <v>6.6160921111982054</v>
      </c>
      <c r="FJ11" s="232"/>
      <c r="FK11" s="232">
        <f>PERCENTILE($GD$6:$GD$1005,0.975)</f>
        <v>10.057782612546703</v>
      </c>
      <c r="FL11" s="232"/>
      <c r="FM11" s="232">
        <f>PERCENTILE($GD$6:$GD$1005,0.025)</f>
        <v>3.5413248030391338</v>
      </c>
      <c r="FN11" s="232"/>
      <c r="FO11" s="5"/>
      <c r="FY11" s="210">
        <v>6</v>
      </c>
      <c r="FZ11">
        <v>21.002166931472459</v>
      </c>
      <c r="GA11">
        <v>50.613481650362132</v>
      </c>
      <c r="GB11">
        <v>47.878623301245554</v>
      </c>
      <c r="GC11">
        <v>10.854073300718959</v>
      </c>
      <c r="GD11">
        <v>7.2995539519447501</v>
      </c>
      <c r="GE11">
        <v>10.051827994158915</v>
      </c>
      <c r="GF11">
        <v>13.031771414636198</v>
      </c>
      <c r="GG11">
        <v>21.938479267268551</v>
      </c>
      <c r="GH11">
        <v>14.458825874061018</v>
      </c>
      <c r="GI11">
        <v>40.395261064797786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24.270025306706273</v>
      </c>
      <c r="Y12" s="131">
        <f>COUNT(EK168:EK177)</f>
        <v>10</v>
      </c>
      <c r="Z12" s="130">
        <f>STDEV(EK168:EK177)</f>
        <v>22.30416786839206</v>
      </c>
      <c r="AA12" s="130">
        <f t="shared" si="2"/>
        <v>7.0531971778861591</v>
      </c>
      <c r="AB12" s="131"/>
      <c r="AC12" s="130">
        <f>AVERAGE($FU168:$FU177)</f>
        <v>67.446151511449401</v>
      </c>
      <c r="AD12" s="132">
        <f>COUNT($FU168:$FU177)</f>
        <v>10</v>
      </c>
      <c r="AE12" s="130">
        <f>STDEV($FU168:$FU177)</f>
        <v>100.84963560758096</v>
      </c>
      <c r="AF12" s="130">
        <f t="shared" si="3"/>
        <v>31.891454971797479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32">
        <f>AVERAGE(GE6:GE1005)</f>
        <v>7.3739386234410169</v>
      </c>
      <c r="FJ12" s="232"/>
      <c r="FK12" s="232">
        <f>PERCENTILE($GE$6:$GE$1005,0.975)</f>
        <v>13.502815046815545</v>
      </c>
      <c r="FL12" s="232"/>
      <c r="FM12" s="232">
        <f>PERCENTILE($GE$6:$GE$1005,0.025)</f>
        <v>2.8034874297759624</v>
      </c>
      <c r="FN12" s="232"/>
      <c r="FO12" s="5"/>
      <c r="FY12" s="210">
        <v>7</v>
      </c>
      <c r="FZ12">
        <v>19.297708052109471</v>
      </c>
      <c r="GA12">
        <v>62.851765971273281</v>
      </c>
      <c r="GB12">
        <v>32.934949857796973</v>
      </c>
      <c r="GC12">
        <v>11.255008004194131</v>
      </c>
      <c r="GD12">
        <v>5.2700558520337761</v>
      </c>
      <c r="GE12">
        <v>5.6821233033676828</v>
      </c>
      <c r="GF12">
        <v>6.4436663024215948</v>
      </c>
      <c r="GG12">
        <v>9.2310458631294132</v>
      </c>
      <c r="GH12">
        <v>8.8968534230494409</v>
      </c>
      <c r="GI12">
        <v>23.956891696210644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19.176687602124183</v>
      </c>
      <c r="Y13" s="131">
        <f>COUNT(EK178:EK187)</f>
        <v>10</v>
      </c>
      <c r="Z13" s="130">
        <f>STDEV(EK178:EK187)</f>
        <v>28.569273011809713</v>
      </c>
      <c r="AA13" s="130">
        <f t="shared" si="2"/>
        <v>9.0343973812497236</v>
      </c>
      <c r="AB13" s="131"/>
      <c r="AC13" s="130">
        <f>AVERAGE($FU178:$FU187)</f>
        <v>23.734081956543399</v>
      </c>
      <c r="AD13" s="132">
        <f>COUNT($FU178:$FU187)</f>
        <v>10</v>
      </c>
      <c r="AE13" s="130">
        <f>STDEV($FU178:$FU187)</f>
        <v>45.519191400858254</v>
      </c>
      <c r="AF13" s="130">
        <f t="shared" si="3"/>
        <v>14.394432207586265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32">
        <f>AVERAGE(GF6:GF1005)</f>
        <v>9.528168885596747</v>
      </c>
      <c r="FJ13" s="232"/>
      <c r="FK13" s="232">
        <f>PERCENTILE($GF$6:$GF$1005,0.975)</f>
        <v>13.81350905705542</v>
      </c>
      <c r="FL13" s="232"/>
      <c r="FM13" s="232">
        <f>PERCENTILE($GF$6:$GF$1005,0.025)</f>
        <v>5.2114784398784204</v>
      </c>
      <c r="FN13" s="232"/>
      <c r="FO13" s="5"/>
      <c r="FY13" s="210">
        <v>8</v>
      </c>
      <c r="FZ13">
        <v>25.19054329663598</v>
      </c>
      <c r="GA13">
        <v>43.841252369376377</v>
      </c>
      <c r="GB13">
        <v>52.355254234247759</v>
      </c>
      <c r="GC13">
        <v>13.886759404849474</v>
      </c>
      <c r="GD13">
        <v>3.7036658369635309</v>
      </c>
      <c r="GE13">
        <v>2.2493260023814643</v>
      </c>
      <c r="GF13">
        <v>6.8982526711959586</v>
      </c>
      <c r="GG13">
        <v>16.454714139625196</v>
      </c>
      <c r="GH13">
        <v>24.578181670829792</v>
      </c>
      <c r="GI13">
        <v>39.313704962183515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32">
        <f>AVERAGE(GG6:GG1005)</f>
        <v>16.756810371590383</v>
      </c>
      <c r="FJ14" s="232"/>
      <c r="FK14" s="232">
        <f>PERCENTILE($GG$6:$GG$1005,0.975)</f>
        <v>26.941476311910371</v>
      </c>
      <c r="FL14" s="232"/>
      <c r="FM14" s="232">
        <f>PERCENTILE($GG$6:$GG$1005,0.025)</f>
        <v>7.8229178865421964</v>
      </c>
      <c r="FN14" s="232"/>
      <c r="FO14" s="5"/>
      <c r="FY14" s="210">
        <v>9</v>
      </c>
      <c r="FZ14">
        <v>12.826998179762075</v>
      </c>
      <c r="GA14">
        <v>44.11389935256873</v>
      </c>
      <c r="GB14">
        <v>25.258039949029204</v>
      </c>
      <c r="GC14">
        <v>8.4020501039114901</v>
      </c>
      <c r="GD14">
        <v>6.6621995495468873</v>
      </c>
      <c r="GE14">
        <v>8.0441640572174276</v>
      </c>
      <c r="GF14">
        <v>8.1319353015060614</v>
      </c>
      <c r="GG14">
        <v>14.077619325173588</v>
      </c>
      <c r="GH14">
        <v>18.831363288569214</v>
      </c>
      <c r="GI14">
        <v>26.825740118069923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72.630744381706364</v>
      </c>
      <c r="AO15" s="163">
        <f>D48</f>
        <v>84.7825707812719</v>
      </c>
      <c r="AP15" s="163">
        <f>D63</f>
        <v>623.51726634304339</v>
      </c>
      <c r="AQ15" s="163">
        <f>C453</f>
        <v>265.0464393928259</v>
      </c>
      <c r="AR15" s="163">
        <f>G520</f>
        <v>80.264061794152056</v>
      </c>
      <c r="AS15" s="163">
        <f>I523</f>
        <v>443.44733841548168</v>
      </c>
      <c r="AT15" s="122">
        <f>G556</f>
        <v>31.62900090535631</v>
      </c>
      <c r="AU15" s="122">
        <f>I556</f>
        <v>-36.902738978016913</v>
      </c>
      <c r="AV15" s="23"/>
      <c r="AW15" s="23"/>
      <c r="FG15" s="5"/>
      <c r="FH15" s="213">
        <f t="shared" si="6"/>
        <v>39949</v>
      </c>
      <c r="FI15" s="232">
        <f>AVERAGE(GH6:GH1005)</f>
        <v>17.81283663153479</v>
      </c>
      <c r="FJ15" s="232"/>
      <c r="FK15" s="232">
        <f>PERCENTILE($GH$6:$GH$1005,0.975)</f>
        <v>33.907889080024226</v>
      </c>
      <c r="FL15" s="232"/>
      <c r="FM15" s="232">
        <f>PERCENTILE($GH$6:$GH$1005,0.025)</f>
        <v>5.8425664640718926</v>
      </c>
      <c r="FN15" s="232"/>
      <c r="FO15" s="5"/>
      <c r="FY15" s="210">
        <v>10</v>
      </c>
      <c r="FZ15">
        <v>20.199583361459705</v>
      </c>
      <c r="GA15">
        <v>47.411357285870565</v>
      </c>
      <c r="GB15">
        <v>49.589074679569393</v>
      </c>
      <c r="GC15">
        <v>13.923086466951602</v>
      </c>
      <c r="GD15">
        <v>5.168260742752393</v>
      </c>
      <c r="GE15">
        <v>2.6660010827817855</v>
      </c>
      <c r="GF15">
        <v>9.3355181043789983</v>
      </c>
      <c r="GG15">
        <v>16.171687895916531</v>
      </c>
      <c r="GH15">
        <v>11.732353040158239</v>
      </c>
      <c r="GI15">
        <v>37.343074648500675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32">
        <f>AVERAGE(GI6:GI1005)</f>
        <v>33.069633423917317</v>
      </c>
      <c r="FJ16" s="232"/>
      <c r="FK16" s="232">
        <f>PERCENTILE($GI$6:$GI$1005,0.975)</f>
        <v>44.227893564106644</v>
      </c>
      <c r="FL16" s="232"/>
      <c r="FM16" s="232">
        <f>PERCENTILE($GI$6:$GI$1005,0.025)</f>
        <v>22.931035784840574</v>
      </c>
      <c r="FN16" s="232"/>
      <c r="FO16" s="5"/>
      <c r="FY16" s="210">
        <v>11</v>
      </c>
      <c r="FZ16">
        <v>31.150483538574768</v>
      </c>
      <c r="GA16">
        <v>54.801185994066685</v>
      </c>
      <c r="GB16">
        <v>50.603411800524569</v>
      </c>
      <c r="GC16">
        <v>13.777264894657298</v>
      </c>
      <c r="GD16">
        <v>7.9062160487822748</v>
      </c>
      <c r="GE16">
        <v>8.5248653560172407</v>
      </c>
      <c r="GF16">
        <v>7.7183033520828808</v>
      </c>
      <c r="GG16">
        <v>9.1901090248827266</v>
      </c>
      <c r="GH16">
        <v>3.6891641996593556</v>
      </c>
      <c r="GI16">
        <v>40.395594032801526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49.83740339421756</v>
      </c>
      <c r="AO17">
        <v>71.214721199346627</v>
      </c>
      <c r="AP17">
        <v>604.36331712096808</v>
      </c>
      <c r="AQ17">
        <v>247.77430261193737</v>
      </c>
      <c r="AR17">
        <v>68.222791326872397</v>
      </c>
      <c r="AS17">
        <v>454.37192081479577</v>
      </c>
      <c r="AT17">
        <v>32.890232930108787</v>
      </c>
      <c r="AU17">
        <v>-28.627375364657006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16.41895820687931</v>
      </c>
      <c r="GA17">
        <v>55.762024465625075</v>
      </c>
      <c r="GB17">
        <v>29.697608600001015</v>
      </c>
      <c r="GC17">
        <v>9.3873763735461893</v>
      </c>
      <c r="GD17">
        <v>5.5117214678286519</v>
      </c>
      <c r="GE17">
        <v>5.7287663765391521</v>
      </c>
      <c r="GF17">
        <v>11.747790516844322</v>
      </c>
      <c r="GG17">
        <v>29.101345491705494</v>
      </c>
      <c r="GH17">
        <v>31.666546901016851</v>
      </c>
      <c r="GI17">
        <v>34.129525682160285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50.996794313559512</v>
      </c>
      <c r="AO18">
        <v>77.374063359629034</v>
      </c>
      <c r="AP18">
        <v>569.86147955525576</v>
      </c>
      <c r="AQ18">
        <v>218.90821298721505</v>
      </c>
      <c r="AR18">
        <v>70.920896616291373</v>
      </c>
      <c r="AS18">
        <v>465.1951225388226</v>
      </c>
      <c r="AT18">
        <v>30.811407674216269</v>
      </c>
      <c r="AU18">
        <v>27.134642790710998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16.824138235045368</v>
      </c>
      <c r="GA18">
        <v>51.255099507142248</v>
      </c>
      <c r="GB18">
        <v>30.774263629671971</v>
      </c>
      <c r="GC18">
        <v>8.9272632620268642</v>
      </c>
      <c r="GD18">
        <v>5.8313500591074039</v>
      </c>
      <c r="GE18">
        <v>7.805863927943574</v>
      </c>
      <c r="GF18">
        <v>9.3165285506063373</v>
      </c>
      <c r="GG18">
        <v>11.431160500702152</v>
      </c>
      <c r="GH18">
        <v>7.7209823859528086</v>
      </c>
      <c r="GI18">
        <v>26.293353966582679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45.250221545382253</v>
      </c>
      <c r="AO19">
        <v>79.387354975622344</v>
      </c>
      <c r="AP19">
        <v>557.84952587670011</v>
      </c>
      <c r="AQ19">
        <v>214.51063220335379</v>
      </c>
      <c r="AR19">
        <v>73.09436669026698</v>
      </c>
      <c r="AS19">
        <v>424.61098069097335</v>
      </c>
      <c r="AT19">
        <v>29.977625943580037</v>
      </c>
      <c r="AU19">
        <v>-62.771178298547554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21.90004427263808</v>
      </c>
      <c r="GA19">
        <v>63.20870713070947</v>
      </c>
      <c r="GB19">
        <v>47.622058082233188</v>
      </c>
      <c r="GC19">
        <v>10.544395395338379</v>
      </c>
      <c r="GD19">
        <v>7.753143624229776</v>
      </c>
      <c r="GE19">
        <v>11.79725452283764</v>
      </c>
      <c r="GF19">
        <v>6.9176077747272648</v>
      </c>
      <c r="GG19">
        <v>13.211780373834234</v>
      </c>
      <c r="GH19">
        <v>16.062477593408378</v>
      </c>
      <c r="GI19">
        <v>38.009112162872903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58.665426013087448</v>
      </c>
      <c r="AO20">
        <v>73.700373560283552</v>
      </c>
      <c r="AP20">
        <v>590.22186138909933</v>
      </c>
      <c r="AQ20">
        <v>240.57187850364284</v>
      </c>
      <c r="AR20">
        <v>69.032060465924374</v>
      </c>
      <c r="AS20">
        <v>458.29421511863592</v>
      </c>
      <c r="AT20">
        <v>27.20360291545305</v>
      </c>
      <c r="AU20">
        <v>-34.00673566356987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24.440833828592211</v>
      </c>
      <c r="GA20">
        <v>57.349478990207039</v>
      </c>
      <c r="GB20">
        <v>37.830867514712004</v>
      </c>
      <c r="GC20">
        <v>12.298780217101346</v>
      </c>
      <c r="GD20">
        <v>7.1779923472533707</v>
      </c>
      <c r="GE20">
        <v>7.3360542566316385</v>
      </c>
      <c r="GF20">
        <v>9.9057496628854267</v>
      </c>
      <c r="GG20">
        <v>15.882789754306431</v>
      </c>
      <c r="GH20">
        <v>16.422628356689145</v>
      </c>
      <c r="GI20">
        <v>35.059857879332831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49.571078431372548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3.125</v>
      </c>
      <c r="I21" s="18">
        <f t="shared" si="9"/>
        <v>14.297385620915032</v>
      </c>
      <c r="J21" s="18">
        <f t="shared" si="9"/>
        <v>12.877859477124183</v>
      </c>
      <c r="K21" s="18">
        <f t="shared" si="9"/>
        <v>7.2916666666666661</v>
      </c>
      <c r="L21" s="18">
        <f t="shared" si="9"/>
        <v>0.52083333333333326</v>
      </c>
      <c r="M21" s="18">
        <f t="shared" si="9"/>
        <v>1.5624999999999998</v>
      </c>
      <c r="N21" s="18">
        <f t="shared" si="9"/>
        <v>3.645833333333333</v>
      </c>
      <c r="O21" s="18">
        <f t="shared" si="9"/>
        <v>3.125</v>
      </c>
      <c r="P21" s="18">
        <f t="shared" si="9"/>
        <v>1.0416666666666665</v>
      </c>
      <c r="Q21" s="18">
        <f t="shared" si="9"/>
        <v>0.52083333333333326</v>
      </c>
      <c r="R21" s="18">
        <f t="shared" si="9"/>
        <v>0</v>
      </c>
      <c r="S21" s="18">
        <f t="shared" si="9"/>
        <v>0.52083333333333326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1.0416666666666665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50.879855922447334</v>
      </c>
      <c r="AO21">
        <v>72.799036502657685</v>
      </c>
      <c r="AP21">
        <v>493.01067184074014</v>
      </c>
      <c r="AQ21">
        <v>206.71265016263595</v>
      </c>
      <c r="AR21">
        <v>67.765013345275108</v>
      </c>
      <c r="AS21">
        <v>442.69970279936024</v>
      </c>
      <c r="AT21">
        <v>27.543712249485651</v>
      </c>
      <c r="AU21">
        <v>-0.38858435421385362</v>
      </c>
      <c r="AV21"/>
      <c r="AW21"/>
      <c r="FY21" s="210">
        <v>16</v>
      </c>
      <c r="FZ21">
        <v>19.170266628596224</v>
      </c>
      <c r="GA21">
        <v>23.282968501346474</v>
      </c>
      <c r="GB21">
        <v>21.780841099868347</v>
      </c>
      <c r="GC21">
        <v>8.7480648151131746</v>
      </c>
      <c r="GD21">
        <v>5.1795958153135961</v>
      </c>
      <c r="GE21">
        <v>5.281482480414466</v>
      </c>
      <c r="GF21">
        <v>12.56550165030453</v>
      </c>
      <c r="GG21">
        <v>23.066283953106307</v>
      </c>
      <c r="GH21">
        <v>16.662338908839498</v>
      </c>
      <c r="GI21">
        <v>26.935476534029643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72.943474264705884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27.77394812091503</v>
      </c>
      <c r="J22" s="18">
        <f t="shared" si="10"/>
        <v>13.398692810457515</v>
      </c>
      <c r="K22" s="18">
        <f t="shared" si="10"/>
        <v>7.8125</v>
      </c>
      <c r="L22" s="18">
        <f t="shared" si="10"/>
        <v>0.52083333333333326</v>
      </c>
      <c r="M22" s="18">
        <f t="shared" si="10"/>
        <v>2.083333333333333</v>
      </c>
      <c r="N22" s="18">
        <f t="shared" si="10"/>
        <v>4.1666666666666661</v>
      </c>
      <c r="O22" s="18">
        <f t="shared" si="10"/>
        <v>3.125</v>
      </c>
      <c r="P22" s="18">
        <f t="shared" si="10"/>
        <v>3.125</v>
      </c>
      <c r="Q22" s="18">
        <f t="shared" si="10"/>
        <v>1.5624999999999998</v>
      </c>
      <c r="R22" s="18">
        <f t="shared" si="10"/>
        <v>1.5625</v>
      </c>
      <c r="S22" s="18">
        <f t="shared" si="10"/>
        <v>3.645833333333333</v>
      </c>
      <c r="T22" s="18">
        <f t="shared" si="10"/>
        <v>1.0416666666666665</v>
      </c>
      <c r="U22" s="18">
        <f t="shared" si="10"/>
        <v>0</v>
      </c>
      <c r="V22" s="18">
        <f t="shared" si="10"/>
        <v>3.125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59.159229011054848</v>
      </c>
      <c r="AO22">
        <v>88.899976771767911</v>
      </c>
      <c r="AP22">
        <v>663.44877442542543</v>
      </c>
      <c r="AQ22">
        <v>237.5240647506663</v>
      </c>
      <c r="AR22">
        <v>83.427654343542557</v>
      </c>
      <c r="AS22">
        <v>518.67721149331499</v>
      </c>
      <c r="AT22">
        <v>33.504251787595869</v>
      </c>
      <c r="AU22">
        <v>-22.92738491960035</v>
      </c>
      <c r="AV22"/>
      <c r="AW22"/>
      <c r="FY22" s="210">
        <v>17</v>
      </c>
      <c r="FZ22">
        <v>31.830267981554787</v>
      </c>
      <c r="GA22">
        <v>59.548814024973836</v>
      </c>
      <c r="GB22">
        <v>53.372087758798749</v>
      </c>
      <c r="GC22">
        <v>12.959006798498244</v>
      </c>
      <c r="GD22">
        <v>6.5409379836752395</v>
      </c>
      <c r="GE22">
        <v>8.42892608666142</v>
      </c>
      <c r="GF22">
        <v>9.3749242704549545</v>
      </c>
      <c r="GG22">
        <v>13.24310512879795</v>
      </c>
      <c r="GH22">
        <v>9.035495798226167</v>
      </c>
      <c r="GI22">
        <v>42.968686549711556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109.36457205988455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6.510416666666667</v>
      </c>
      <c r="I23" s="18">
        <f t="shared" si="11"/>
        <v>36.522310155122653</v>
      </c>
      <c r="J23" s="18">
        <f t="shared" si="11"/>
        <v>25.037202380952383</v>
      </c>
      <c r="K23" s="18">
        <f t="shared" si="11"/>
        <v>2.083333333333333</v>
      </c>
      <c r="L23" s="18">
        <f t="shared" si="11"/>
        <v>7.9613095238095246</v>
      </c>
      <c r="M23" s="18">
        <f t="shared" si="11"/>
        <v>1.0416666666666665</v>
      </c>
      <c r="N23" s="18">
        <f t="shared" si="11"/>
        <v>0.52083333333333326</v>
      </c>
      <c r="O23" s="18">
        <f t="shared" si="11"/>
        <v>0.52083333333333326</v>
      </c>
      <c r="P23" s="18">
        <f t="shared" si="11"/>
        <v>3.125</v>
      </c>
      <c r="Q23" s="18">
        <f t="shared" si="11"/>
        <v>1.5624999999999998</v>
      </c>
      <c r="R23" s="18">
        <f t="shared" si="11"/>
        <v>3.645833333333333</v>
      </c>
      <c r="S23" s="18">
        <f t="shared" si="11"/>
        <v>5.7291666666666661</v>
      </c>
      <c r="T23" s="18">
        <f t="shared" si="11"/>
        <v>2.6041666666666665</v>
      </c>
      <c r="U23" s="18">
        <f t="shared" si="11"/>
        <v>3.6458333333333335</v>
      </c>
      <c r="V23" s="18">
        <f t="shared" si="11"/>
        <v>7.03125</v>
      </c>
      <c r="W23" s="18">
        <f t="shared" si="11"/>
        <v>1.8229166666666667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50.764747138124093</v>
      </c>
      <c r="AO23">
        <v>48.006662430518382</v>
      </c>
      <c r="AP23">
        <v>395.87055699779427</v>
      </c>
      <c r="AQ23">
        <v>185.82006832558645</v>
      </c>
      <c r="AR23">
        <v>45.433046993838367</v>
      </c>
      <c r="AS23">
        <v>299.42922599000002</v>
      </c>
      <c r="AT23">
        <v>19.288749691879584</v>
      </c>
      <c r="AU23">
        <v>3.8026098433211688</v>
      </c>
      <c r="AV23"/>
      <c r="AW23"/>
      <c r="FY23" s="210">
        <v>18</v>
      </c>
      <c r="FZ23">
        <v>18.063667097051617</v>
      </c>
      <c r="GA23">
        <v>55.646300855229541</v>
      </c>
      <c r="GB23">
        <v>30.330926240699217</v>
      </c>
      <c r="GC23">
        <v>8.7294592024490729</v>
      </c>
      <c r="GD23">
        <v>4.5897212039350617</v>
      </c>
      <c r="GE23">
        <v>4.4472853044456082</v>
      </c>
      <c r="GF23">
        <v>7.7402039469199044</v>
      </c>
      <c r="GG23">
        <v>14.131000508127022</v>
      </c>
      <c r="GH23">
        <v>15.80440271924229</v>
      </c>
      <c r="GI23">
        <v>30.095017117465922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129.70008868446365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6.510416666666667</v>
      </c>
      <c r="I24" s="18">
        <f t="shared" si="12"/>
        <v>38.486614658489657</v>
      </c>
      <c r="J24" s="18">
        <f t="shared" si="12"/>
        <v>32.392000360750359</v>
      </c>
      <c r="K24" s="18">
        <f t="shared" si="12"/>
        <v>11.284722222222223</v>
      </c>
      <c r="L24" s="18">
        <f t="shared" si="12"/>
        <v>9.7132034632034632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1.0416666666666665</v>
      </c>
      <c r="R24" s="18">
        <f t="shared" si="12"/>
        <v>11.284722222222221</v>
      </c>
      <c r="S24" s="18">
        <f t="shared" si="12"/>
        <v>4.3560606060606055</v>
      </c>
      <c r="T24" s="18">
        <f t="shared" si="12"/>
        <v>4.545454545454545</v>
      </c>
      <c r="U24" s="18">
        <f t="shared" si="12"/>
        <v>3.6458333333333335</v>
      </c>
      <c r="V24" s="18">
        <f t="shared" si="12"/>
        <v>4.6164772727272725</v>
      </c>
      <c r="W24" s="18">
        <f t="shared" si="12"/>
        <v>1.8229166666666667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54.06170559854435</v>
      </c>
      <c r="AO24">
        <v>89.569472007060511</v>
      </c>
      <c r="AP24">
        <v>663.77956260044289</v>
      </c>
      <c r="AQ24">
        <v>228.47165458828903</v>
      </c>
      <c r="AR24">
        <v>83.259643781345574</v>
      </c>
      <c r="AS24">
        <v>369.97945129244511</v>
      </c>
      <c r="AT24">
        <v>32.713548184171366</v>
      </c>
      <c r="AU24">
        <v>17.828275920014622</v>
      </c>
      <c r="AV24"/>
      <c r="AW24"/>
      <c r="FY24" s="210">
        <v>19</v>
      </c>
      <c r="FZ24">
        <v>23.84634701428217</v>
      </c>
      <c r="GA24">
        <v>54.651842008574874</v>
      </c>
      <c r="GB24">
        <v>38.423565612830153</v>
      </c>
      <c r="GC24">
        <v>12.270270972105921</v>
      </c>
      <c r="GD24">
        <v>7.4509447156614801</v>
      </c>
      <c r="GE24">
        <v>7.5381175723788827</v>
      </c>
      <c r="GF24">
        <v>10.27396784931268</v>
      </c>
      <c r="GG24">
        <v>14.970959116611967</v>
      </c>
      <c r="GH24">
        <v>10.913009289948599</v>
      </c>
      <c r="GI24">
        <v>34.353120702977748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131.82795214045214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31.446475977725974</v>
      </c>
      <c r="J25" s="18">
        <f t="shared" si="13"/>
        <v>46.256087662337677</v>
      </c>
      <c r="K25" s="18">
        <f t="shared" si="13"/>
        <v>26.869658119658119</v>
      </c>
      <c r="L25" s="18">
        <f t="shared" si="13"/>
        <v>2.7935606060606055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4.1266025641025639</v>
      </c>
      <c r="R25" s="18">
        <f t="shared" si="13"/>
        <v>10.763888888888889</v>
      </c>
      <c r="S25" s="18">
        <f t="shared" si="13"/>
        <v>5.8784965034965033</v>
      </c>
      <c r="T25" s="18">
        <f t="shared" si="13"/>
        <v>2.982954545454545</v>
      </c>
      <c r="U25" s="18">
        <f t="shared" si="13"/>
        <v>0</v>
      </c>
      <c r="V25" s="18">
        <f t="shared" si="13"/>
        <v>0.71022727272727271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44.603985818263602</v>
      </c>
      <c r="AO25">
        <v>54.682504963181145</v>
      </c>
      <c r="AP25">
        <v>382.49973907486668</v>
      </c>
      <c r="AQ25">
        <v>173.17400922535461</v>
      </c>
      <c r="AR25">
        <v>52.239950643987569</v>
      </c>
      <c r="AS25">
        <v>335.11934237096756</v>
      </c>
      <c r="AT25">
        <v>20.72927455754532</v>
      </c>
      <c r="AU25">
        <v>-4.1129105449889849</v>
      </c>
      <c r="AV25"/>
      <c r="AW25"/>
      <c r="FY25" s="210">
        <v>20</v>
      </c>
      <c r="FZ25">
        <v>32.733096606316572</v>
      </c>
      <c r="GA25">
        <v>54.142761698529299</v>
      </c>
      <c r="GB25">
        <v>34.291789646195447</v>
      </c>
      <c r="GC25">
        <v>10.986334899938537</v>
      </c>
      <c r="GD25">
        <v>4.9332248697646257</v>
      </c>
      <c r="GE25">
        <v>4.0619937065360165</v>
      </c>
      <c r="GF25">
        <v>8.1572599468590674</v>
      </c>
      <c r="GG25">
        <v>22.07012513808942</v>
      </c>
      <c r="GH25">
        <v>29.87707788942549</v>
      </c>
      <c r="GI25">
        <v>33.336386755147345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86.340525793650798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16.005608974358971</v>
      </c>
      <c r="J26" s="18">
        <f t="shared" si="14"/>
        <v>41.635664682539691</v>
      </c>
      <c r="K26" s="18">
        <f t="shared" si="14"/>
        <v>17.841880341880341</v>
      </c>
      <c r="L26" s="18">
        <f t="shared" si="14"/>
        <v>0.52083333333333326</v>
      </c>
      <c r="M26" s="18">
        <f t="shared" si="14"/>
        <v>0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3.6057692307692308</v>
      </c>
      <c r="R26" s="18">
        <f t="shared" si="14"/>
        <v>1.5625</v>
      </c>
      <c r="S26" s="18">
        <f t="shared" si="14"/>
        <v>4.1266025641025639</v>
      </c>
      <c r="T26" s="18">
        <f t="shared" si="14"/>
        <v>1.0416666666666665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52.870277687811722</v>
      </c>
      <c r="AO26">
        <v>81.787388471504556</v>
      </c>
      <c r="AP26">
        <v>606.68406770609261</v>
      </c>
      <c r="AQ26">
        <v>213.53999730833988</v>
      </c>
      <c r="AR26">
        <v>77.396726231745944</v>
      </c>
      <c r="AS26">
        <v>466.76313994086172</v>
      </c>
      <c r="AT26">
        <v>29.512398304755465</v>
      </c>
      <c r="AU26">
        <v>20.373639035835083</v>
      </c>
      <c r="AV26"/>
      <c r="AW26"/>
      <c r="FY26" s="210">
        <v>21</v>
      </c>
      <c r="FZ26">
        <v>26.658102765936668</v>
      </c>
      <c r="GA26">
        <v>43.341545679889187</v>
      </c>
      <c r="GB26">
        <v>31.845202239671149</v>
      </c>
      <c r="GC26">
        <v>13.781174594850931</v>
      </c>
      <c r="GD26">
        <v>10.39446289716132</v>
      </c>
      <c r="GE26">
        <v>13.079880015304026</v>
      </c>
      <c r="GF26">
        <v>8.9315190244196572</v>
      </c>
      <c r="GG26">
        <v>13.968913991662573</v>
      </c>
      <c r="GH26">
        <v>11.844434427010826</v>
      </c>
      <c r="GI26">
        <v>34.964031693803435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21.373895202020204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5.338541666666667</v>
      </c>
      <c r="K27" s="18">
        <f t="shared" si="15"/>
        <v>2.7777777777777777</v>
      </c>
      <c r="L27" s="18">
        <f t="shared" si="15"/>
        <v>1.0416666666666665</v>
      </c>
      <c r="M27" s="18">
        <f t="shared" si="15"/>
        <v>3.8825757575757569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3.125</v>
      </c>
      <c r="T27" s="18">
        <f t="shared" si="15"/>
        <v>1.0416666666666665</v>
      </c>
      <c r="U27" s="18">
        <f t="shared" si="15"/>
        <v>2.6041666666666665</v>
      </c>
      <c r="V27" s="18">
        <f t="shared" si="15"/>
        <v>0</v>
      </c>
      <c r="W27" s="18">
        <f t="shared" si="15"/>
        <v>1.5625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57.360859516101598</v>
      </c>
      <c r="AO27">
        <v>88.044241294898256</v>
      </c>
      <c r="AP27">
        <v>590.85369113936292</v>
      </c>
      <c r="AQ27">
        <v>227.75659824204934</v>
      </c>
      <c r="AR27">
        <v>82.55431012492663</v>
      </c>
      <c r="AS27">
        <v>691.07895228949985</v>
      </c>
      <c r="AT27">
        <v>32.08217708040636</v>
      </c>
      <c r="AU27">
        <v>41.604590609552737</v>
      </c>
      <c r="AV27"/>
      <c r="AW27"/>
      <c r="FY27" s="210">
        <v>22</v>
      </c>
      <c r="FZ27">
        <v>27.307054702674662</v>
      </c>
      <c r="GA27">
        <v>43.116337622590095</v>
      </c>
      <c r="GB27">
        <v>29.923205783203315</v>
      </c>
      <c r="GC27">
        <v>11.204520514527148</v>
      </c>
      <c r="GD27">
        <v>6.605377993605309</v>
      </c>
      <c r="GE27">
        <v>6.4610086008658589</v>
      </c>
      <c r="GF27">
        <v>9.9233074244586224</v>
      </c>
      <c r="GG27">
        <v>22.002646229958625</v>
      </c>
      <c r="GH27">
        <v>20.940464653732644</v>
      </c>
      <c r="GI27">
        <v>31.416426307984665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28.473662708117644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4.8872716894977168</v>
      </c>
      <c r="K28" s="18">
        <f t="shared" si="15"/>
        <v>7.2038152610441752</v>
      </c>
      <c r="L28" s="18">
        <f t="shared" si="15"/>
        <v>1.0416666666666665</v>
      </c>
      <c r="M28" s="18">
        <f t="shared" si="15"/>
        <v>3.8825757575757569</v>
      </c>
      <c r="N28" s="18">
        <f t="shared" si="15"/>
        <v>0</v>
      </c>
      <c r="O28" s="18">
        <f t="shared" si="15"/>
        <v>0.52083333333333326</v>
      </c>
      <c r="P28" s="18">
        <f t="shared" si="15"/>
        <v>0.52083333333333326</v>
      </c>
      <c r="Q28" s="18">
        <f t="shared" si="15"/>
        <v>0</v>
      </c>
      <c r="R28" s="18">
        <f t="shared" si="15"/>
        <v>0</v>
      </c>
      <c r="S28" s="18">
        <f t="shared" si="15"/>
        <v>4.1666666666666661</v>
      </c>
      <c r="T28" s="18">
        <f t="shared" si="15"/>
        <v>0</v>
      </c>
      <c r="U28" s="18">
        <f t="shared" si="15"/>
        <v>3.645833333333333</v>
      </c>
      <c r="V28" s="18">
        <f t="shared" si="15"/>
        <v>0</v>
      </c>
      <c r="W28" s="18">
        <f t="shared" si="15"/>
        <v>2.6041666666666665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49.525607363510993</v>
      </c>
      <c r="AO28">
        <v>73.185037914013392</v>
      </c>
      <c r="AP28">
        <v>556.71402740556425</v>
      </c>
      <c r="AQ28">
        <v>229.15166408214637</v>
      </c>
      <c r="AR28">
        <v>68.469326321833407</v>
      </c>
      <c r="AS28">
        <v>310.5096755355973</v>
      </c>
      <c r="AT28">
        <v>30.931253351989827</v>
      </c>
      <c r="AU28">
        <v>48.249880714519847</v>
      </c>
      <c r="AV28"/>
      <c r="AW28"/>
      <c r="FY28" s="210">
        <v>23</v>
      </c>
      <c r="FZ28">
        <v>18.049236104896732</v>
      </c>
      <c r="GA28">
        <v>64.484380411319833</v>
      </c>
      <c r="GB28">
        <v>28.372397153616319</v>
      </c>
      <c r="GC28">
        <v>8.7296316536209577</v>
      </c>
      <c r="GD28">
        <v>7.8540989038819609</v>
      </c>
      <c r="GE28">
        <v>10.053700707116546</v>
      </c>
      <c r="GF28">
        <v>6.0992970421254045</v>
      </c>
      <c r="GG28">
        <v>22.229789526720026</v>
      </c>
      <c r="GH28">
        <v>40.305902525805315</v>
      </c>
      <c r="GI28">
        <v>32.82055879916733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28.570579138041893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11.991763876997716</v>
      </c>
      <c r="K29" s="18">
        <f t="shared" si="15"/>
        <v>8.2454819277108413</v>
      </c>
      <c r="L29" s="18">
        <f t="shared" si="15"/>
        <v>0</v>
      </c>
      <c r="M29" s="18">
        <f t="shared" si="15"/>
        <v>1.0416666666666665</v>
      </c>
      <c r="N29" s="18">
        <f t="shared" si="15"/>
        <v>0</v>
      </c>
      <c r="O29" s="18">
        <f t="shared" si="15"/>
        <v>0.52083333333333326</v>
      </c>
      <c r="P29" s="18">
        <f t="shared" si="15"/>
        <v>2.6041666666666661</v>
      </c>
      <c r="Q29" s="18">
        <f t="shared" si="15"/>
        <v>0</v>
      </c>
      <c r="R29" s="18">
        <f t="shared" si="15"/>
        <v>0</v>
      </c>
      <c r="S29" s="18">
        <f t="shared" si="15"/>
        <v>1.0416666666666665</v>
      </c>
      <c r="T29" s="18">
        <f t="shared" si="15"/>
        <v>0</v>
      </c>
      <c r="U29" s="18">
        <f t="shared" si="15"/>
        <v>1.0416666666666665</v>
      </c>
      <c r="V29" s="18">
        <f t="shared" si="15"/>
        <v>0</v>
      </c>
      <c r="W29" s="18">
        <f t="shared" si="15"/>
        <v>1.0416666666666665</v>
      </c>
      <c r="X29" s="18">
        <f t="shared" si="15"/>
        <v>0</v>
      </c>
      <c r="Y29" s="18">
        <f t="shared" si="15"/>
        <v>0</v>
      </c>
      <c r="Z29" s="18">
        <f t="shared" si="15"/>
        <v>1.0416666666666665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55.095241430201781</v>
      </c>
      <c r="AO29">
        <v>53.366102243635304</v>
      </c>
      <c r="AP29">
        <v>397.87646270109485</v>
      </c>
      <c r="AQ29">
        <v>176.18000402478145</v>
      </c>
      <c r="AR29">
        <v>49.667169775829649</v>
      </c>
      <c r="AS29">
        <v>339.18290912183772</v>
      </c>
      <c r="AT29">
        <v>19.803315862528692</v>
      </c>
      <c r="AU29">
        <v>66.313353068130738</v>
      </c>
      <c r="AV29"/>
      <c r="AW29"/>
      <c r="FY29" s="210">
        <v>24</v>
      </c>
      <c r="FZ29">
        <v>23.544895540307191</v>
      </c>
      <c r="GA29">
        <v>48.606614583191202</v>
      </c>
      <c r="GB29">
        <v>37.774665283471691</v>
      </c>
      <c r="GC29">
        <v>12.8959030902982</v>
      </c>
      <c r="GD29">
        <v>7.730572513614411</v>
      </c>
      <c r="GE29">
        <v>8.7721097279899229</v>
      </c>
      <c r="GF29">
        <v>8.9841798605210546</v>
      </c>
      <c r="GG29">
        <v>18.040593536760788</v>
      </c>
      <c r="GH29">
        <v>19.561823376611642</v>
      </c>
      <c r="GI29">
        <v>35.247663688219475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68.141615394354275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1.9270833333333335</v>
      </c>
      <c r="I30" s="18">
        <f t="shared" si="16"/>
        <v>16.453234350752734</v>
      </c>
      <c r="J30" s="18">
        <f t="shared" si="16"/>
        <v>20.300291012815727</v>
      </c>
      <c r="K30" s="18">
        <f t="shared" si="16"/>
        <v>9.4535835650293496</v>
      </c>
      <c r="L30" s="18">
        <f t="shared" si="16"/>
        <v>2.4634740259740262</v>
      </c>
      <c r="M30" s="18">
        <f t="shared" si="16"/>
        <v>1.5056818181818179</v>
      </c>
      <c r="N30" s="18">
        <f t="shared" si="16"/>
        <v>0.83333333333333326</v>
      </c>
      <c r="O30" s="18">
        <f t="shared" si="16"/>
        <v>0.83333333333333326</v>
      </c>
      <c r="P30" s="18">
        <f t="shared" si="16"/>
        <v>1.3541666666666665</v>
      </c>
      <c r="Q30" s="18">
        <f t="shared" si="16"/>
        <v>1.2419871794871793</v>
      </c>
      <c r="R30" s="18">
        <f t="shared" si="16"/>
        <v>2.8819444444444442</v>
      </c>
      <c r="S30" s="18">
        <f t="shared" si="16"/>
        <v>3.2590326340326343</v>
      </c>
      <c r="T30" s="18">
        <f t="shared" si="16"/>
        <v>1.3257575757575755</v>
      </c>
      <c r="U30" s="18">
        <f t="shared" si="16"/>
        <v>1.4583333333333333</v>
      </c>
      <c r="V30" s="18">
        <f t="shared" si="16"/>
        <v>1.5482954545454546</v>
      </c>
      <c r="W30" s="18">
        <f t="shared" si="16"/>
        <v>0.88541666666666674</v>
      </c>
      <c r="X30" s="18">
        <f t="shared" si="16"/>
        <v>0.20833333333333331</v>
      </c>
      <c r="Y30" s="18">
        <f t="shared" si="16"/>
        <v>0</v>
      </c>
      <c r="Z30" s="18">
        <f t="shared" si="16"/>
        <v>0.20833333333333331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55.865621726266149</v>
      </c>
      <c r="AO30">
        <v>82.451157356143383</v>
      </c>
      <c r="AP30">
        <v>583.57225195216495</v>
      </c>
      <c r="AQ30">
        <v>237.02658093282932</v>
      </c>
      <c r="AR30">
        <v>75.757106374256225</v>
      </c>
      <c r="AS30">
        <v>488.6464018677417</v>
      </c>
      <c r="AT30">
        <v>30.298669023660278</v>
      </c>
      <c r="AU30">
        <v>-46.421126104374601</v>
      </c>
      <c r="AV30"/>
      <c r="AW30"/>
      <c r="FY30" s="210">
        <v>25</v>
      </c>
      <c r="FZ30">
        <v>32.664987676778608</v>
      </c>
      <c r="GA30">
        <v>48.829699727060188</v>
      </c>
      <c r="GB30">
        <v>40.188260370525654</v>
      </c>
      <c r="GC30">
        <v>11.43937019283082</v>
      </c>
      <c r="GD30">
        <v>4.7395787886834961</v>
      </c>
      <c r="GE30">
        <v>5.0920715385149951</v>
      </c>
      <c r="GF30">
        <v>10.226240187177828</v>
      </c>
      <c r="GG30">
        <v>18.537308899888238</v>
      </c>
      <c r="GH30">
        <v>20.813148254134433</v>
      </c>
      <c r="GI30">
        <v>34.996773807736623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58.864410941884458</v>
      </c>
      <c r="AO31">
        <v>71.690220445429645</v>
      </c>
      <c r="AP31">
        <v>508.14322346576745</v>
      </c>
      <c r="AQ31">
        <v>223.70503280771143</v>
      </c>
      <c r="AR31">
        <v>66.403288025834627</v>
      </c>
      <c r="AS31">
        <v>379.87501896482075</v>
      </c>
      <c r="AT31">
        <v>27.657357683496709</v>
      </c>
      <c r="AU31">
        <v>72.819846115669009</v>
      </c>
      <c r="AV31"/>
      <c r="AW31"/>
      <c r="FY31" s="210">
        <v>26</v>
      </c>
      <c r="FZ31">
        <v>24.38244435871799</v>
      </c>
      <c r="GA31">
        <v>58.354094732623452</v>
      </c>
      <c r="GB31">
        <v>30.075292918556599</v>
      </c>
      <c r="GC31">
        <v>7.6872626920315525</v>
      </c>
      <c r="GD31">
        <v>6.4854891346666381</v>
      </c>
      <c r="GE31">
        <v>10.249407916799855</v>
      </c>
      <c r="GF31">
        <v>12.442221581489942</v>
      </c>
      <c r="GG31">
        <v>16.674122971627106</v>
      </c>
      <c r="GH31">
        <v>10.886470036353705</v>
      </c>
      <c r="GI31">
        <v>31.200203834056911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72.630744381706364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45.92178060229817</v>
      </c>
      <c r="AO32">
        <v>58.232778111146516</v>
      </c>
      <c r="AP32">
        <v>428.60421947722676</v>
      </c>
      <c r="AQ32">
        <v>162.67282038693224</v>
      </c>
      <c r="AR32">
        <v>55.719398692194105</v>
      </c>
      <c r="AS32">
        <v>334.49958081058037</v>
      </c>
      <c r="AT32">
        <v>22.633861276924502</v>
      </c>
      <c r="AU32">
        <v>37.498106194498561</v>
      </c>
      <c r="AV32"/>
      <c r="AW32"/>
      <c r="FY32" s="210">
        <v>27</v>
      </c>
      <c r="FZ32">
        <v>32.684245668243904</v>
      </c>
      <c r="GA32">
        <v>34.843931388604268</v>
      </c>
      <c r="GB32">
        <v>17.561624760279585</v>
      </c>
      <c r="GC32">
        <v>12.434058125114779</v>
      </c>
      <c r="GD32">
        <v>6.577514950106595</v>
      </c>
      <c r="GE32">
        <v>5.7914186917010166</v>
      </c>
      <c r="GF32">
        <v>9.0705497632160981</v>
      </c>
      <c r="GG32">
        <v>19.303060726651381</v>
      </c>
      <c r="GH32">
        <v>22.728256349290934</v>
      </c>
      <c r="GI32">
        <v>29.248078949436472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67.118215654694922</v>
      </c>
      <c r="AO33">
        <v>98.765871191839025</v>
      </c>
      <c r="AP33">
        <v>701.55921748271442</v>
      </c>
      <c r="AQ33">
        <v>247.3022523813529</v>
      </c>
      <c r="AR33">
        <v>90.689133119900191</v>
      </c>
      <c r="AS33">
        <v>573.14163341359608</v>
      </c>
      <c r="AT33">
        <v>34.937423640883551</v>
      </c>
      <c r="AU33">
        <v>20.667386714185319</v>
      </c>
      <c r="AV33"/>
      <c r="AW33"/>
      <c r="FY33" s="210">
        <v>28</v>
      </c>
      <c r="FZ33">
        <v>22.745826907412077</v>
      </c>
      <c r="GA33">
        <v>58.244978294333322</v>
      </c>
      <c r="GB33">
        <v>34.337646679857514</v>
      </c>
      <c r="GC33">
        <v>11.233488665262966</v>
      </c>
      <c r="GD33">
        <v>8.3137182483795211</v>
      </c>
      <c r="GE33">
        <v>10.473557964181456</v>
      </c>
      <c r="GF33">
        <v>8.6114725513252015</v>
      </c>
      <c r="GG33">
        <v>17.968798744360157</v>
      </c>
      <c r="GH33">
        <v>21.094487998402347</v>
      </c>
      <c r="GI33">
        <v>35.054688729827532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41.221437464882563</v>
      </c>
      <c r="AO34">
        <v>64.835077690798201</v>
      </c>
      <c r="AP34">
        <v>458.97706216825156</v>
      </c>
      <c r="AQ34">
        <v>189.57798419556525</v>
      </c>
      <c r="AR34">
        <v>59.695962648335851</v>
      </c>
      <c r="AS34">
        <v>344.72035988968446</v>
      </c>
      <c r="AT34">
        <v>24.46311601253937</v>
      </c>
      <c r="AU34">
        <v>-45.164897794333299</v>
      </c>
      <c r="AV34"/>
      <c r="AW34"/>
      <c r="FY34" s="210">
        <v>29</v>
      </c>
      <c r="FZ34">
        <v>20.187132104638277</v>
      </c>
      <c r="GA34">
        <v>50.613264776552704</v>
      </c>
      <c r="GB34">
        <v>34.595658630235057</v>
      </c>
      <c r="GC34">
        <v>10.568946830894305</v>
      </c>
      <c r="GD34">
        <v>4.8559741523657376</v>
      </c>
      <c r="GE34">
        <v>4.4739947011231669</v>
      </c>
      <c r="GF34">
        <v>10.805166506531512</v>
      </c>
      <c r="GG34">
        <v>17.536077196215885</v>
      </c>
      <c r="GH34">
        <v>12.19920439419573</v>
      </c>
      <c r="GI34">
        <v>30.222963730971301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58.401610401356912</v>
      </c>
      <c r="AO35">
        <v>71.65416245864624</v>
      </c>
      <c r="AP35">
        <v>525.3660688171434</v>
      </c>
      <c r="AQ35">
        <v>214.69214485468447</v>
      </c>
      <c r="AR35">
        <v>67.49032288908316</v>
      </c>
      <c r="AS35">
        <v>344.88347457226109</v>
      </c>
      <c r="AT35">
        <v>26.404825427643612</v>
      </c>
      <c r="AU35">
        <v>-29.811554934299469</v>
      </c>
      <c r="AV35"/>
      <c r="AW35"/>
      <c r="FY35" s="210">
        <v>30</v>
      </c>
      <c r="FZ35">
        <v>34.835968300621985</v>
      </c>
      <c r="GA35">
        <v>73.593546576298422</v>
      </c>
      <c r="GB35">
        <v>32.759959875481968</v>
      </c>
      <c r="GC35">
        <v>11.335238948243244</v>
      </c>
      <c r="GD35">
        <v>10.056614336082545</v>
      </c>
      <c r="GE35">
        <v>13.224462036576838</v>
      </c>
      <c r="GF35">
        <v>11.39346680321643</v>
      </c>
      <c r="GG35">
        <v>13.381210318363451</v>
      </c>
      <c r="GH35">
        <v>9.6893219543423967</v>
      </c>
      <c r="GI35">
        <v>37.524450545335604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1.5970676574776279E-3</v>
      </c>
      <c r="H36" s="59">
        <f t="shared" ref="H36:AK36" si="17">(1-($A$43/100))*($A$39*(H35^$A$41))</f>
        <v>8.9100000000000013E-3</v>
      </c>
      <c r="I36" s="59">
        <f t="shared" si="17"/>
        <v>4.9708664268728449E-2</v>
      </c>
      <c r="J36" s="59">
        <f t="shared" si="17"/>
        <v>0.13587464291257986</v>
      </c>
      <c r="K36" s="59">
        <f t="shared" si="17"/>
        <v>0.27732337860619083</v>
      </c>
      <c r="L36" s="59">
        <f t="shared" si="17"/>
        <v>0.48230672197979785</v>
      </c>
      <c r="M36" s="59">
        <f t="shared" si="17"/>
        <v>0.7580411904797747</v>
      </c>
      <c r="N36" s="59">
        <f t="shared" si="17"/>
        <v>1.1110173556223539</v>
      </c>
      <c r="O36" s="59">
        <f t="shared" si="17"/>
        <v>1.547180103367521</v>
      </c>
      <c r="P36" s="59">
        <f t="shared" si="17"/>
        <v>2.072044734749841</v>
      </c>
      <c r="Q36" s="59">
        <f t="shared" si="17"/>
        <v>2.6907769828781971</v>
      </c>
      <c r="R36" s="59">
        <f t="shared" si="17"/>
        <v>3.4082509405286605</v>
      </c>
      <c r="S36" s="59">
        <f t="shared" si="17"/>
        <v>4.2290925970175506</v>
      </c>
      <c r="T36" s="59">
        <f t="shared" si="17"/>
        <v>5.1577135406092971</v>
      </c>
      <c r="U36" s="59">
        <f t="shared" si="17"/>
        <v>6.1983376798386134</v>
      </c>
      <c r="V36" s="59">
        <f t="shared" si="17"/>
        <v>7.3550228533492659</v>
      </c>
      <c r="W36" s="59">
        <f t="shared" si="17"/>
        <v>8.6316785995008587</v>
      </c>
      <c r="X36" s="59">
        <f t="shared" si="17"/>
        <v>10.032080977320962</v>
      </c>
      <c r="Y36" s="59">
        <f t="shared" si="17"/>
        <v>11.559885080748183</v>
      </c>
      <c r="Z36" s="59">
        <f t="shared" si="17"/>
        <v>13.218635718938282</v>
      </c>
      <c r="AA36" s="59">
        <f t="shared" si="17"/>
        <v>15.011776617723273</v>
      </c>
      <c r="AB36" s="59">
        <f t="shared" si="17"/>
        <v>16.94265841356523</v>
      </c>
      <c r="AC36" s="59">
        <f t="shared" si="17"/>
        <v>19.01454565054064</v>
      </c>
      <c r="AD36" s="59">
        <f t="shared" si="17"/>
        <v>21.230622945949783</v>
      </c>
      <c r="AE36" s="59">
        <f t="shared" si="17"/>
        <v>23.594000456398458</v>
      </c>
      <c r="AF36" s="59">
        <f t="shared" si="17"/>
        <v>26.107718750493603</v>
      </c>
      <c r="AG36" s="59">
        <f t="shared" si="17"/>
        <v>28.774753174458162</v>
      </c>
      <c r="AH36" s="59">
        <f t="shared" si="17"/>
        <v>31.598017781484351</v>
      </c>
      <c r="AI36" s="59">
        <f t="shared" si="17"/>
        <v>34.580368883423944</v>
      </c>
      <c r="AJ36" s="59">
        <f t="shared" si="17"/>
        <v>37.724608273673908</v>
      </c>
      <c r="AK36" s="59">
        <f t="shared" si="17"/>
        <v>41.033486162285527</v>
      </c>
      <c r="AL36" s="42"/>
      <c r="AM36" s="43">
        <v>20</v>
      </c>
      <c r="AN36">
        <v>50.759352998308216</v>
      </c>
      <c r="AO36">
        <v>72.287197436899746</v>
      </c>
      <c r="AP36">
        <v>578.30057544923454</v>
      </c>
      <c r="AQ36">
        <v>234.59005115680179</v>
      </c>
      <c r="AR36">
        <v>68.749504648077817</v>
      </c>
      <c r="AS36">
        <v>359.61776027190922</v>
      </c>
      <c r="AT36">
        <v>29.130717012017751</v>
      </c>
      <c r="AU36">
        <v>-6.3005081513542951</v>
      </c>
      <c r="AV36"/>
      <c r="AW36"/>
      <c r="FY36" s="210">
        <v>31</v>
      </c>
      <c r="FZ36">
        <v>11.948276455581322</v>
      </c>
      <c r="GA36">
        <v>39.594831965156338</v>
      </c>
      <c r="GB36">
        <v>24.271273210378862</v>
      </c>
      <c r="GC36">
        <v>10.433531910169508</v>
      </c>
      <c r="GD36">
        <v>4.135051892691858</v>
      </c>
      <c r="GE36">
        <v>3.0424663960922582</v>
      </c>
      <c r="GF36">
        <v>8.8260799096709235</v>
      </c>
      <c r="GG36">
        <v>18.133748724744596</v>
      </c>
      <c r="GH36">
        <v>27.007589750093803</v>
      </c>
      <c r="GI36">
        <v>26.300371802460184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31.044197618175296</v>
      </c>
      <c r="E37" s="107">
        <f t="shared" ref="E37:E46" si="19">+D37/D21</f>
        <v>0.62625624861386997</v>
      </c>
      <c r="F37" s="18"/>
      <c r="G37" s="49">
        <f t="shared" ref="G37:G43" si="20">G21*G$36</f>
        <v>0</v>
      </c>
      <c r="H37" s="49">
        <f t="shared" ref="H37:AK40" si="21">H21*H$36</f>
        <v>2.7843750000000004E-2</v>
      </c>
      <c r="I37" s="49">
        <f t="shared" si="21"/>
        <v>0.71070394175061091</v>
      </c>
      <c r="J37" s="49">
        <f t="shared" si="21"/>
        <v>1.7497745579326307</v>
      </c>
      <c r="K37" s="49">
        <f t="shared" si="21"/>
        <v>2.0221496356701412</v>
      </c>
      <c r="L37" s="49">
        <f t="shared" si="21"/>
        <v>0.25120141769781135</v>
      </c>
      <c r="M37" s="49">
        <f t="shared" si="21"/>
        <v>1.1844393601246479</v>
      </c>
      <c r="N37" s="49">
        <f t="shared" si="21"/>
        <v>4.050584109039832</v>
      </c>
      <c r="O37" s="49">
        <f t="shared" si="21"/>
        <v>4.8349378230235027</v>
      </c>
      <c r="P37" s="49">
        <f t="shared" si="21"/>
        <v>2.1583799320310839</v>
      </c>
      <c r="Q37" s="49">
        <f t="shared" si="21"/>
        <v>1.4014463452490609</v>
      </c>
      <c r="R37" s="49">
        <f t="shared" si="21"/>
        <v>0</v>
      </c>
      <c r="S37" s="49">
        <f t="shared" si="21"/>
        <v>2.2026523942799741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10.450084351376001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62.014049729028635</v>
      </c>
      <c r="AO37">
        <v>71.5055908438069</v>
      </c>
      <c r="AP37">
        <v>434.33163355870533</v>
      </c>
      <c r="AQ37">
        <v>208.80926732970977</v>
      </c>
      <c r="AR37">
        <v>66.654470936542225</v>
      </c>
      <c r="AS37">
        <v>501.53457218295864</v>
      </c>
      <c r="AT37">
        <v>26.07722644523119</v>
      </c>
      <c r="AU37">
        <v>79.298007449002824</v>
      </c>
      <c r="AV37"/>
      <c r="AW37"/>
      <c r="FY37" s="210">
        <v>32</v>
      </c>
      <c r="FZ37">
        <v>13.639288285428197</v>
      </c>
      <c r="GA37">
        <v>50.213804315625822</v>
      </c>
      <c r="GB37">
        <v>24.301102961308015</v>
      </c>
      <c r="GC37">
        <v>8.3372353032466737</v>
      </c>
      <c r="GD37">
        <v>4.1067572039166311</v>
      </c>
      <c r="GE37">
        <v>5.3174285856226406</v>
      </c>
      <c r="GF37">
        <v>13.311841521625118</v>
      </c>
      <c r="GG37">
        <v>28.271535308726278</v>
      </c>
      <c r="GH37">
        <v>36.800491083913627</v>
      </c>
      <c r="GI37">
        <v>26.265321045536535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76.442870436244846</v>
      </c>
      <c r="E38" s="107">
        <f t="shared" si="19"/>
        <v>1.0479740813940386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1.3806058625596467</v>
      </c>
      <c r="J38" s="49">
        <f t="shared" si="21"/>
        <v>1.820542601116266</v>
      </c>
      <c r="K38" s="49">
        <f t="shared" si="21"/>
        <v>2.1665888953608659</v>
      </c>
      <c r="L38" s="49">
        <f t="shared" si="21"/>
        <v>0.25120141769781135</v>
      </c>
      <c r="M38" s="49">
        <f t="shared" si="21"/>
        <v>1.5792524801661971</v>
      </c>
      <c r="N38" s="49">
        <f t="shared" si="21"/>
        <v>4.6292389817598076</v>
      </c>
      <c r="O38" s="49">
        <f t="shared" si="21"/>
        <v>4.8349378230235027</v>
      </c>
      <c r="P38" s="49">
        <f t="shared" si="21"/>
        <v>6.4751397960932531</v>
      </c>
      <c r="Q38" s="49">
        <f t="shared" si="21"/>
        <v>4.2043390357471822</v>
      </c>
      <c r="R38" s="49">
        <f t="shared" si="21"/>
        <v>5.3253920945760322</v>
      </c>
      <c r="S38" s="49">
        <f t="shared" si="21"/>
        <v>15.418566759959818</v>
      </c>
      <c r="T38" s="49">
        <f t="shared" si="21"/>
        <v>5.3726182714680171</v>
      </c>
      <c r="U38" s="49">
        <f t="shared" si="21"/>
        <v>0</v>
      </c>
      <c r="V38" s="49">
        <f t="shared" si="21"/>
        <v>22.984446416716455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57.367813858693424</v>
      </c>
      <c r="AO38">
        <v>65.275296565732646</v>
      </c>
      <c r="AP38">
        <v>479.38144151741886</v>
      </c>
      <c r="AQ38">
        <v>208.90034983360093</v>
      </c>
      <c r="AR38">
        <v>61.086509339396777</v>
      </c>
      <c r="AS38">
        <v>397.96030051725228</v>
      </c>
      <c r="AT38">
        <v>24.598165497576531</v>
      </c>
      <c r="AU38">
        <v>21.654313621214023</v>
      </c>
      <c r="AV38"/>
      <c r="AW38"/>
      <c r="FY38" s="210">
        <v>33</v>
      </c>
      <c r="FZ38">
        <v>25.698437663148709</v>
      </c>
      <c r="GA38">
        <v>46.972888631124128</v>
      </c>
      <c r="GB38">
        <v>42.507642053218675</v>
      </c>
      <c r="GC38">
        <v>10.787922425360238</v>
      </c>
      <c r="GD38">
        <v>3.9725530077758835</v>
      </c>
      <c r="GE38">
        <v>5.1855949673902613</v>
      </c>
      <c r="GF38">
        <v>7.8714897828874131</v>
      </c>
      <c r="GG38">
        <v>9.4196952485690062</v>
      </c>
      <c r="GH38">
        <v>10.28056832314854</v>
      </c>
      <c r="GI38">
        <v>29.639709969882713</v>
      </c>
      <c r="GJ38"/>
      <c r="GK38"/>
      <c r="GL38"/>
      <c r="GM38"/>
    </row>
    <row r="39" spans="1:195" s="7" customFormat="1">
      <c r="A39" s="114">
        <v>9.9000000000000008E-3</v>
      </c>
      <c r="B39" s="57"/>
      <c r="C39" s="48" t="s">
        <v>40</v>
      </c>
      <c r="D39" s="49">
        <f t="shared" si="18"/>
        <v>162.68111529782428</v>
      </c>
      <c r="E39" s="107">
        <f t="shared" si="19"/>
        <v>1.4875120181400727</v>
      </c>
      <c r="F39" s="18"/>
      <c r="G39" s="49">
        <f t="shared" si="20"/>
        <v>0</v>
      </c>
      <c r="H39" s="49">
        <f t="shared" si="21"/>
        <v>5.8007812500000012E-2</v>
      </c>
      <c r="I39" s="49">
        <f t="shared" si="21"/>
        <v>1.8154752538193637</v>
      </c>
      <c r="J39" s="49">
        <f t="shared" si="21"/>
        <v>3.4019209330418994</v>
      </c>
      <c r="K39" s="49">
        <f t="shared" si="21"/>
        <v>0.57775703876289752</v>
      </c>
      <c r="L39" s="49">
        <f t="shared" si="21"/>
        <v>3.8397930990951172</v>
      </c>
      <c r="M39" s="49">
        <f t="shared" si="21"/>
        <v>0.78962624008309856</v>
      </c>
      <c r="N39" s="49">
        <f t="shared" si="21"/>
        <v>0.57865487271997595</v>
      </c>
      <c r="O39" s="49">
        <f t="shared" si="21"/>
        <v>0.80582297050391705</v>
      </c>
      <c r="P39" s="49">
        <f t="shared" si="21"/>
        <v>6.4751397960932531</v>
      </c>
      <c r="Q39" s="49">
        <f t="shared" si="21"/>
        <v>4.2043390357471822</v>
      </c>
      <c r="R39" s="49">
        <f t="shared" si="21"/>
        <v>12.425914887344074</v>
      </c>
      <c r="S39" s="49">
        <f t="shared" si="21"/>
        <v>24.229176337079714</v>
      </c>
      <c r="T39" s="49">
        <f t="shared" si="21"/>
        <v>13.431545678670044</v>
      </c>
      <c r="U39" s="49">
        <f t="shared" si="21"/>
        <v>22.598106124411611</v>
      </c>
      <c r="V39" s="49">
        <f t="shared" si="21"/>
        <v>51.715004437612023</v>
      </c>
      <c r="W39" s="49">
        <f t="shared" si="21"/>
        <v>15.734830780340108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46.829589958819419</v>
      </c>
      <c r="AO39">
        <v>69.127662637256549</v>
      </c>
      <c r="AP39">
        <v>530.60871181063953</v>
      </c>
      <c r="AQ39">
        <v>238.99899282827045</v>
      </c>
      <c r="AR39">
        <v>64.755132297777081</v>
      </c>
      <c r="AS39">
        <v>404.88359484130399</v>
      </c>
      <c r="AT39">
        <v>29.389403974142734</v>
      </c>
      <c r="AU39">
        <v>-10.707182575364685</v>
      </c>
      <c r="AV39"/>
      <c r="AW39"/>
      <c r="FY39" s="210">
        <v>34</v>
      </c>
      <c r="FZ39">
        <v>17.24191226124108</v>
      </c>
      <c r="GA39">
        <v>28.89969039768534</v>
      </c>
      <c r="GB39">
        <v>18.429295959491704</v>
      </c>
      <c r="GC39">
        <v>12.221649069973084</v>
      </c>
      <c r="GD39">
        <v>8.4698567124506692</v>
      </c>
      <c r="GE39">
        <v>6.8269905023317268</v>
      </c>
      <c r="GF39">
        <v>8.8376764642002588</v>
      </c>
      <c r="GG39">
        <v>18.41075145099402</v>
      </c>
      <c r="GH39">
        <v>19.853436116058031</v>
      </c>
      <c r="GI39">
        <v>29.339791835071196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169.60426480138506</v>
      </c>
      <c r="E40" s="107">
        <f t="shared" si="19"/>
        <v>1.3076649871381421</v>
      </c>
      <c r="F40" s="18"/>
      <c r="G40" s="49">
        <f t="shared" si="20"/>
        <v>0</v>
      </c>
      <c r="H40" s="49">
        <f t="shared" si="21"/>
        <v>5.8007812500000012E-2</v>
      </c>
      <c r="I40" s="49">
        <f t="shared" si="21"/>
        <v>1.9131182068987853</v>
      </c>
      <c r="J40" s="49">
        <f t="shared" si="21"/>
        <v>4.4012514822411131</v>
      </c>
      <c r="K40" s="49">
        <f t="shared" si="21"/>
        <v>3.1295172932990289</v>
      </c>
      <c r="L40" s="49">
        <f t="shared" si="21"/>
        <v>4.6847433222604824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2.8028926904981217</v>
      </c>
      <c r="R40" s="49">
        <f t="shared" si="21"/>
        <v>38.461165127493565</v>
      </c>
      <c r="S40" s="49">
        <f t="shared" si="21"/>
        <v>18.422183661250692</v>
      </c>
      <c r="T40" s="49">
        <f t="shared" si="21"/>
        <v>23.444152457314985</v>
      </c>
      <c r="U40" s="49">
        <f t="shared" si="21"/>
        <v>22.598106124411611</v>
      </c>
      <c r="V40" s="49">
        <f t="shared" si="21"/>
        <v>33.954295842876583</v>
      </c>
      <c r="W40" s="49">
        <f t="shared" si="21"/>
        <v>15.734830780340108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52.429925776187318</v>
      </c>
      <c r="AO40">
        <v>73.238261763198878</v>
      </c>
      <c r="AP40">
        <v>510.29972105893336</v>
      </c>
      <c r="AQ40">
        <v>221.15902120098559</v>
      </c>
      <c r="AR40">
        <v>67.951858415350344</v>
      </c>
      <c r="AS40">
        <v>409.21884691677485</v>
      </c>
      <c r="AT40">
        <v>27.127108331359803</v>
      </c>
      <c r="AU40">
        <v>-5.2505340535308154</v>
      </c>
      <c r="AV40"/>
      <c r="AW40"/>
      <c r="FY40" s="210">
        <v>35</v>
      </c>
      <c r="FZ40">
        <v>27.245404882326639</v>
      </c>
      <c r="GA40">
        <v>53.212325124735344</v>
      </c>
      <c r="GB40">
        <v>38.020898046197779</v>
      </c>
      <c r="GC40">
        <v>11.108705636655642</v>
      </c>
      <c r="GD40">
        <v>7.6381326204263242</v>
      </c>
      <c r="GE40">
        <v>9.8214274817738829</v>
      </c>
      <c r="GF40">
        <v>11.204443272322363</v>
      </c>
      <c r="GG40">
        <v>19.690033879981534</v>
      </c>
      <c r="GH40">
        <v>12.76494519487704</v>
      </c>
      <c r="GI40">
        <v>38.149386447005774</v>
      </c>
      <c r="GJ40"/>
      <c r="GK40"/>
      <c r="GL40"/>
      <c r="GM40"/>
    </row>
    <row r="41" spans="1:195" s="7" customFormat="1">
      <c r="A41" s="114">
        <v>2.48</v>
      </c>
      <c r="B41" s="57"/>
      <c r="C41" s="48" t="s">
        <v>42</v>
      </c>
      <c r="D41" s="49">
        <f t="shared" si="18"/>
        <v>109.90659968366185</v>
      </c>
      <c r="E41" s="107">
        <f t="shared" si="19"/>
        <v>0.83371240999454466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1.5631623168114146</v>
      </c>
      <c r="J41" s="49">
        <f t="shared" si="22"/>
        <v>6.2850293936531232</v>
      </c>
      <c r="K41" s="49">
        <f t="shared" si="22"/>
        <v>7.4515843717368577</v>
      </c>
      <c r="L41" s="49">
        <f t="shared" si="22"/>
        <v>1.3473530585609881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11.10376719697333</v>
      </c>
      <c r="R41" s="49">
        <f t="shared" si="22"/>
        <v>36.686034429301557</v>
      </c>
      <c r="S41" s="49">
        <f t="shared" si="22"/>
        <v>24.86070604453062</v>
      </c>
      <c r="T41" s="49">
        <f t="shared" si="22"/>
        <v>15.385225050112957</v>
      </c>
      <c r="U41" s="49">
        <f t="shared" si="22"/>
        <v>0</v>
      </c>
      <c r="V41" s="49">
        <f t="shared" si="22"/>
        <v>5.2237378219810129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57.856011996878202</v>
      </c>
      <c r="AO41">
        <v>74.676847078729722</v>
      </c>
      <c r="AP41">
        <v>574.81012926902645</v>
      </c>
      <c r="AQ41">
        <v>227.52743944333091</v>
      </c>
      <c r="AR41">
        <v>71.304027396932</v>
      </c>
      <c r="AS41">
        <v>348.83080453740109</v>
      </c>
      <c r="AT41">
        <v>27.989218733321565</v>
      </c>
      <c r="AU41">
        <v>-16.401826800367317</v>
      </c>
      <c r="AV41"/>
      <c r="AW41"/>
      <c r="FY41" s="210">
        <v>36</v>
      </c>
      <c r="FZ41">
        <v>23.942576458666277</v>
      </c>
      <c r="GA41">
        <v>41.425878001743058</v>
      </c>
      <c r="GB41">
        <v>37.510598559269539</v>
      </c>
      <c r="GC41">
        <v>10.449664171796142</v>
      </c>
      <c r="GD41">
        <v>9.2112422947740384</v>
      </c>
      <c r="GE41">
        <v>13.002941771344826</v>
      </c>
      <c r="GF41">
        <v>7.5756792424068209</v>
      </c>
      <c r="GG41">
        <v>14.648679903718318</v>
      </c>
      <c r="GH41">
        <v>11.286295307920742</v>
      </c>
      <c r="GI41">
        <v>33.013124231093663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49.504136041334505</v>
      </c>
      <c r="E42" s="107">
        <f t="shared" si="19"/>
        <v>0.57335921441626059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0.79561744292295722</v>
      </c>
      <c r="J42" s="49">
        <f t="shared" si="22"/>
        <v>5.6572310711679936</v>
      </c>
      <c r="K42" s="49">
        <f t="shared" si="22"/>
        <v>4.9479705370976355</v>
      </c>
      <c r="L42" s="49">
        <f t="shared" si="22"/>
        <v>0.25120141769781135</v>
      </c>
      <c r="M42" s="49">
        <f t="shared" si="22"/>
        <v>0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9.7023208517242683</v>
      </c>
      <c r="R42" s="49">
        <f t="shared" si="22"/>
        <v>5.3253920945760322</v>
      </c>
      <c r="S42" s="49">
        <f t="shared" si="22"/>
        <v>17.451784354679795</v>
      </c>
      <c r="T42" s="49">
        <f t="shared" si="22"/>
        <v>5.3726182714680171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46.579873584219058</v>
      </c>
      <c r="AO42">
        <v>64.02825752414671</v>
      </c>
      <c r="AP42">
        <v>473.20151219996075</v>
      </c>
      <c r="AQ42">
        <v>208.43701017692374</v>
      </c>
      <c r="AR42">
        <v>59.763806451353418</v>
      </c>
      <c r="AS42">
        <v>354.03610549431619</v>
      </c>
      <c r="AT42">
        <v>26.608485154883173</v>
      </c>
      <c r="AU42">
        <v>63.665071078178634</v>
      </c>
      <c r="AV42"/>
      <c r="AW42"/>
      <c r="FY42" s="210">
        <v>37</v>
      </c>
      <c r="FZ42">
        <v>25.939824380713549</v>
      </c>
      <c r="GA42">
        <v>64.041347926890666</v>
      </c>
      <c r="GB42">
        <v>26.349703270401825</v>
      </c>
      <c r="GC42">
        <v>9.110141239667648</v>
      </c>
      <c r="GD42">
        <v>5.9609541688563343</v>
      </c>
      <c r="GE42">
        <v>5.1769999558238204</v>
      </c>
      <c r="GF42">
        <v>12.037769765988317</v>
      </c>
      <c r="GG42">
        <v>17.821543481453709</v>
      </c>
      <c r="GH42">
        <v>7.5015820708906817</v>
      </c>
      <c r="GI42">
        <v>28.549702453870797</v>
      </c>
      <c r="GJ42"/>
      <c r="GK42"/>
      <c r="GL42"/>
      <c r="GM42"/>
    </row>
    <row r="43" spans="1:195" s="7" customFormat="1">
      <c r="A43" s="95">
        <v>10</v>
      </c>
      <c r="B43" s="1"/>
      <c r="C43" s="48" t="s">
        <v>119</v>
      </c>
      <c r="D43" s="49">
        <f>IF(SUM(G43:AK43)&lt;0.0001, 0, SUM(G43:AK43))</f>
        <v>53.158305169226722</v>
      </c>
      <c r="E43" s="107">
        <f t="shared" si="19"/>
        <v>2.4870668011978623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0.7253724426322623</v>
      </c>
      <c r="K43" s="49">
        <f t="shared" si="22"/>
        <v>0.77034271835053003</v>
      </c>
      <c r="L43" s="49">
        <f t="shared" si="22"/>
        <v>0.50240283539562269</v>
      </c>
      <c r="M43" s="49">
        <f t="shared" si="22"/>
        <v>2.94315234940064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13.215914365679845</v>
      </c>
      <c r="T43" s="49">
        <f t="shared" si="22"/>
        <v>5.3726182714680171</v>
      </c>
      <c r="U43" s="49">
        <f t="shared" si="22"/>
        <v>16.141504374579721</v>
      </c>
      <c r="V43" s="49">
        <f t="shared" si="22"/>
        <v>0</v>
      </c>
      <c r="W43" s="49">
        <f t="shared" si="22"/>
        <v>13.486997811720091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53.028022917128666</v>
      </c>
      <c r="AO43">
        <v>58.948743317046208</v>
      </c>
      <c r="AP43">
        <v>385.00800719714255</v>
      </c>
      <c r="AQ43">
        <v>190.24273937264502</v>
      </c>
      <c r="AR43">
        <v>56.104549581825609</v>
      </c>
      <c r="AS43">
        <v>306.25783867960996</v>
      </c>
      <c r="AT43">
        <v>23.218782857127014</v>
      </c>
      <c r="AU43">
        <v>34.536979460321199</v>
      </c>
      <c r="AV43"/>
      <c r="AW43"/>
      <c r="FY43" s="210">
        <v>38</v>
      </c>
      <c r="FZ43">
        <v>18.028542168682339</v>
      </c>
      <c r="GA43">
        <v>72.98340331259746</v>
      </c>
      <c r="GB43">
        <v>40.145195252514355</v>
      </c>
      <c r="GC43">
        <v>9.5729368314511625</v>
      </c>
      <c r="GD43">
        <v>5.5639098244958367</v>
      </c>
      <c r="GE43">
        <v>7.1732522671124013</v>
      </c>
      <c r="GF43">
        <v>14.646813899015665</v>
      </c>
      <c r="GG43">
        <v>19.519610120251151</v>
      </c>
      <c r="GH43">
        <v>8.4198241346214289</v>
      </c>
      <c r="GI43">
        <v>33.573377102180984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70.690065768842146</v>
      </c>
      <c r="E44" s="107">
        <f t="shared" si="19"/>
        <v>2.4826474378615471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0.6640562956272632</v>
      </c>
      <c r="K44" s="49">
        <f t="shared" si="23"/>
        <v>1.9977863870476091</v>
      </c>
      <c r="L44" s="49">
        <f t="shared" si="23"/>
        <v>0.50240283539562269</v>
      </c>
      <c r="M44" s="49">
        <f t="shared" si="23"/>
        <v>2.94315234940064</v>
      </c>
      <c r="N44" s="49">
        <f t="shared" si="23"/>
        <v>0</v>
      </c>
      <c r="O44" s="49">
        <f t="shared" si="23"/>
        <v>0.80582297050391705</v>
      </c>
      <c r="P44" s="49">
        <f t="shared" si="23"/>
        <v>1.079189966015542</v>
      </c>
      <c r="Q44" s="49">
        <f t="shared" si="23"/>
        <v>0</v>
      </c>
      <c r="R44" s="49">
        <f t="shared" si="23"/>
        <v>0</v>
      </c>
      <c r="S44" s="49">
        <f t="shared" si="23"/>
        <v>17.621219154239792</v>
      </c>
      <c r="T44" s="49">
        <f t="shared" si="23"/>
        <v>0</v>
      </c>
      <c r="U44" s="49">
        <f t="shared" si="23"/>
        <v>22.598106124411608</v>
      </c>
      <c r="V44" s="49">
        <f t="shared" si="23"/>
        <v>0</v>
      </c>
      <c r="W44" s="49">
        <f t="shared" si="23"/>
        <v>22.478329686200151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64.015329895124765</v>
      </c>
      <c r="AO44">
        <v>72.652303201559306</v>
      </c>
      <c r="AP44">
        <v>498.15962974487985</v>
      </c>
      <c r="AQ44">
        <v>228.07866478334211</v>
      </c>
      <c r="AR44">
        <v>67.099048042379351</v>
      </c>
      <c r="AS44">
        <v>335.9064945970469</v>
      </c>
      <c r="AT44">
        <v>26.07174190804891</v>
      </c>
      <c r="AU44">
        <v>-17.129000148374509</v>
      </c>
      <c r="AV44"/>
      <c r="AW44"/>
      <c r="FY44" s="210">
        <v>39</v>
      </c>
      <c r="FZ44">
        <v>22.168164467286864</v>
      </c>
      <c r="GA44">
        <v>46.231226836929977</v>
      </c>
      <c r="GB44">
        <v>30.219250639422093</v>
      </c>
      <c r="GC44">
        <v>8.6427358547938393</v>
      </c>
      <c r="GD44">
        <v>3.4945572768497306</v>
      </c>
      <c r="GE44">
        <v>3.7495478938102451</v>
      </c>
      <c r="GF44">
        <v>13.808979910652054</v>
      </c>
      <c r="GG44">
        <v>20.533168110030459</v>
      </c>
      <c r="GH44">
        <v>18.191101947125841</v>
      </c>
      <c r="GI44">
        <v>30.335919152055212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44.530091201872096</v>
      </c>
      <c r="E45" s="107">
        <f t="shared" si="19"/>
        <v>1.5585995294922117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1.6293766346790388</v>
      </c>
      <c r="K45" s="49">
        <f t="shared" si="24"/>
        <v>2.2866649064290581</v>
      </c>
      <c r="L45" s="49">
        <f t="shared" si="24"/>
        <v>0</v>
      </c>
      <c r="M45" s="49">
        <f t="shared" si="24"/>
        <v>0.78962624008309856</v>
      </c>
      <c r="N45" s="49">
        <f t="shared" si="24"/>
        <v>0</v>
      </c>
      <c r="O45" s="49">
        <f t="shared" si="24"/>
        <v>0.80582297050391705</v>
      </c>
      <c r="P45" s="49">
        <f t="shared" si="24"/>
        <v>5.3959498300777096</v>
      </c>
      <c r="Q45" s="49">
        <f t="shared" si="24"/>
        <v>0</v>
      </c>
      <c r="R45" s="49">
        <f t="shared" si="24"/>
        <v>0</v>
      </c>
      <c r="S45" s="49">
        <f t="shared" si="24"/>
        <v>4.4053047885599481</v>
      </c>
      <c r="T45" s="49">
        <f t="shared" si="24"/>
        <v>0</v>
      </c>
      <c r="U45" s="49">
        <f t="shared" si="24"/>
        <v>6.4566017498318882</v>
      </c>
      <c r="V45" s="49">
        <f t="shared" si="24"/>
        <v>0</v>
      </c>
      <c r="W45" s="49">
        <f t="shared" si="24"/>
        <v>8.9913318744800605</v>
      </c>
      <c r="X45" s="49">
        <f t="shared" si="24"/>
        <v>0</v>
      </c>
      <c r="Y45" s="49">
        <f t="shared" si="24"/>
        <v>0</v>
      </c>
      <c r="Z45" s="49">
        <f t="shared" si="24"/>
        <v>13.769412207227376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46.299828688221993</v>
      </c>
      <c r="AO45">
        <v>65.916338758650824</v>
      </c>
      <c r="AP45">
        <v>514.21437990408458</v>
      </c>
      <c r="AQ45">
        <v>196.05838302372365</v>
      </c>
      <c r="AR45">
        <v>62.063183837387506</v>
      </c>
      <c r="AS45">
        <v>361.66791798250574</v>
      </c>
      <c r="AT45">
        <v>27.487138226347298</v>
      </c>
      <c r="AU45">
        <v>-32.776303908871583</v>
      </c>
      <c r="AV45"/>
      <c r="AW45"/>
      <c r="FY45" s="210">
        <v>40</v>
      </c>
      <c r="FZ45">
        <v>20.48131443422395</v>
      </c>
      <c r="GA45">
        <v>71.47413511539024</v>
      </c>
      <c r="GB45">
        <v>32.209495281021624</v>
      </c>
      <c r="GC45">
        <v>10.244393257495402</v>
      </c>
      <c r="GD45">
        <v>8.0734485385591128</v>
      </c>
      <c r="GE45">
        <v>10.980395449820035</v>
      </c>
      <c r="GF45">
        <v>10.043402727321391</v>
      </c>
      <c r="GG45">
        <v>15.908887683270942</v>
      </c>
      <c r="GH45">
        <v>14.720404260413487</v>
      </c>
      <c r="GI45">
        <v>35.210234070856224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80.264061794152042</v>
      </c>
      <c r="E46" s="107">
        <f t="shared" si="19"/>
        <v>1.177900778102219</v>
      </c>
      <c r="F46" s="18"/>
      <c r="G46" s="49">
        <f>G30*G36</f>
        <v>0</v>
      </c>
      <c r="H46" s="49">
        <f t="shared" ref="H46:AK46" si="25">H30*H36</f>
        <v>1.7170312500000003E-2</v>
      </c>
      <c r="I46" s="49">
        <f t="shared" si="25"/>
        <v>0.81786830247627795</v>
      </c>
      <c r="J46" s="49">
        <f t="shared" si="25"/>
        <v>2.7582947923877912</v>
      </c>
      <c r="K46" s="49">
        <f t="shared" si="25"/>
        <v>2.6216997341898978</v>
      </c>
      <c r="L46" s="49">
        <f t="shared" si="25"/>
        <v>1.188150082149908</v>
      </c>
      <c r="M46" s="49">
        <f t="shared" si="25"/>
        <v>1.1413688379382969</v>
      </c>
      <c r="N46" s="49">
        <f t="shared" si="25"/>
        <v>0.92584779635196157</v>
      </c>
      <c r="O46" s="49">
        <f t="shared" si="25"/>
        <v>1.2893167528062675</v>
      </c>
      <c r="P46" s="49">
        <f t="shared" si="25"/>
        <v>2.8058939116404091</v>
      </c>
      <c r="Q46" s="49">
        <f t="shared" si="25"/>
        <v>3.3419105155939142</v>
      </c>
      <c r="R46" s="49">
        <f t="shared" si="25"/>
        <v>9.8223898633291249</v>
      </c>
      <c r="S46" s="49">
        <f t="shared" si="25"/>
        <v>13.782750786026021</v>
      </c>
      <c r="T46" s="49">
        <f t="shared" si="25"/>
        <v>6.8378778000502027</v>
      </c>
      <c r="U46" s="49">
        <f t="shared" si="25"/>
        <v>9.0392424497646449</v>
      </c>
      <c r="V46" s="49">
        <f t="shared" si="25"/>
        <v>11.387748451918608</v>
      </c>
      <c r="W46" s="49">
        <f t="shared" si="25"/>
        <v>7.6426320933080527</v>
      </c>
      <c r="X46" s="49">
        <f t="shared" si="25"/>
        <v>2.0900168702752002</v>
      </c>
      <c r="Y46" s="49">
        <f t="shared" si="25"/>
        <v>0</v>
      </c>
      <c r="Z46" s="49">
        <f t="shared" si="25"/>
        <v>2.7538824414454752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69.387358339076741</v>
      </c>
      <c r="AO46">
        <v>76.256850782887426</v>
      </c>
      <c r="AP46">
        <v>532.39068196154881</v>
      </c>
      <c r="AQ46">
        <v>247.79423969456289</v>
      </c>
      <c r="AR46">
        <v>72.641002949784735</v>
      </c>
      <c r="AS46">
        <v>426.57341430220004</v>
      </c>
      <c r="AT46">
        <v>28.355379974804453</v>
      </c>
      <c r="AU46">
        <v>40.269568406825499</v>
      </c>
      <c r="AV46"/>
      <c r="AW46"/>
      <c r="FY46" s="210">
        <v>41</v>
      </c>
      <c r="FZ46">
        <v>28.347729061563165</v>
      </c>
      <c r="GA46">
        <v>48.814556746558125</v>
      </c>
      <c r="GB46">
        <v>23.254272921069983</v>
      </c>
      <c r="GC46">
        <v>7.405201192529046</v>
      </c>
      <c r="GD46">
        <v>4.4794768705302097</v>
      </c>
      <c r="GE46">
        <v>4.3460301570247539</v>
      </c>
      <c r="GF46">
        <v>5.9006533747480789</v>
      </c>
      <c r="GG46">
        <v>13.862793508105781</v>
      </c>
      <c r="GH46">
        <v>19.916053318547871</v>
      </c>
      <c r="GI46">
        <v>23.729122716066325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46.848937726834137</v>
      </c>
      <c r="AO47">
        <v>55.03686443297179</v>
      </c>
      <c r="AP47">
        <v>417.36498451953651</v>
      </c>
      <c r="AQ47">
        <v>173.69322201703963</v>
      </c>
      <c r="AR47">
        <v>51.632081832275261</v>
      </c>
      <c r="AS47">
        <v>406.74007173877044</v>
      </c>
      <c r="AT47">
        <v>23.363513751272365</v>
      </c>
      <c r="AU47">
        <v>-25.912823865413202</v>
      </c>
      <c r="AV47"/>
      <c r="AW47"/>
      <c r="FY47" s="210">
        <v>42</v>
      </c>
      <c r="FZ47">
        <v>25.046107680086838</v>
      </c>
      <c r="GA47">
        <v>53.725764879634006</v>
      </c>
      <c r="GB47">
        <v>34.86292079224112</v>
      </c>
      <c r="GC47">
        <v>10.441285651213731</v>
      </c>
      <c r="GD47">
        <v>3.5576959261306267</v>
      </c>
      <c r="GE47">
        <v>2.8393500314510285</v>
      </c>
      <c r="GF47">
        <v>14.51335055049957</v>
      </c>
      <c r="GG47">
        <v>24.000579577435694</v>
      </c>
      <c r="GH47">
        <v>11.583656553150211</v>
      </c>
      <c r="GI47">
        <v>32.05643068398961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84.7825707812719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44.567781733960928</v>
      </c>
      <c r="AO48">
        <v>53.671717532373236</v>
      </c>
      <c r="AP48">
        <v>457.22083538056347</v>
      </c>
      <c r="AQ48">
        <v>210.56480561494951</v>
      </c>
      <c r="AR48">
        <v>49.239140349424481</v>
      </c>
      <c r="AS48">
        <v>278.331027729205</v>
      </c>
      <c r="AT48">
        <v>24.697543507024317</v>
      </c>
      <c r="AU48">
        <v>-5.8681753963683745</v>
      </c>
      <c r="AV48"/>
      <c r="AW48"/>
      <c r="FY48" s="210">
        <v>43</v>
      </c>
      <c r="FZ48">
        <v>22.318443945415087</v>
      </c>
      <c r="GA48">
        <v>37.00127136655756</v>
      </c>
      <c r="GB48">
        <v>41.903971517955121</v>
      </c>
      <c r="GC48">
        <v>12.543163471201439</v>
      </c>
      <c r="GD48">
        <v>6.8583448512826015</v>
      </c>
      <c r="GE48">
        <v>6.3707979032409918</v>
      </c>
      <c r="GF48">
        <v>8.0037641493926763</v>
      </c>
      <c r="GG48">
        <v>13.046352694824547</v>
      </c>
      <c r="GH48">
        <v>14.846499324494136</v>
      </c>
      <c r="GI48">
        <v>36.437653514822479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50.618864462422273</v>
      </c>
      <c r="AO49">
        <v>61.536279506073868</v>
      </c>
      <c r="AP49">
        <v>455.86418452356691</v>
      </c>
      <c r="AQ49">
        <v>192.33650207250557</v>
      </c>
      <c r="AR49">
        <v>58.476405309464639</v>
      </c>
      <c r="AS49">
        <v>295.65952857494415</v>
      </c>
      <c r="AT49">
        <v>21.879596943739958</v>
      </c>
      <c r="AU49">
        <v>-34.359436863051073</v>
      </c>
      <c r="AV49"/>
      <c r="AW49"/>
      <c r="FY49" s="210">
        <v>44</v>
      </c>
      <c r="FZ49">
        <v>24.299933486954661</v>
      </c>
      <c r="GA49">
        <v>49.007312921725379</v>
      </c>
      <c r="GB49">
        <v>46.28781910040599</v>
      </c>
      <c r="GC49">
        <v>13.926602927045428</v>
      </c>
      <c r="GD49">
        <v>9.3113855156017262</v>
      </c>
      <c r="GE49">
        <v>12.709318337576493</v>
      </c>
      <c r="GF49">
        <v>13.271069974993948</v>
      </c>
      <c r="GG49">
        <v>20.848057586977738</v>
      </c>
      <c r="GH49">
        <v>17.614744713070561</v>
      </c>
      <c r="GI49">
        <v>41.774230910802558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47.57477251995509</v>
      </c>
      <c r="AO50">
        <v>62.354982298975258</v>
      </c>
      <c r="AP50">
        <v>376.67495041879693</v>
      </c>
      <c r="AQ50">
        <v>168.53105076949709</v>
      </c>
      <c r="AR50">
        <v>57.756819925198911</v>
      </c>
      <c r="AS50">
        <v>370.06951607299561</v>
      </c>
      <c r="AT50">
        <v>23.3347676561492</v>
      </c>
      <c r="AU50">
        <v>-13.613243389804209</v>
      </c>
      <c r="AV50"/>
      <c r="AW50"/>
      <c r="FY50" s="210">
        <v>45</v>
      </c>
      <c r="FZ50">
        <v>26.223792122863465</v>
      </c>
      <c r="GA50">
        <v>36.304844271753879</v>
      </c>
      <c r="GB50">
        <v>45.027245133877358</v>
      </c>
      <c r="GC50">
        <v>15.024585447455745</v>
      </c>
      <c r="GD50">
        <v>8.5393832796092912</v>
      </c>
      <c r="GE50">
        <v>10.196695789916671</v>
      </c>
      <c r="GF50">
        <v>10.060387550125313</v>
      </c>
      <c r="GG50">
        <v>13.066095473405209</v>
      </c>
      <c r="GH50">
        <v>4.3838211253493355</v>
      </c>
      <c r="GI50">
        <v>39.018641508712491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71.676846837417685</v>
      </c>
      <c r="AO51">
        <v>83.02750211758925</v>
      </c>
      <c r="AP51">
        <v>596.48356567332519</v>
      </c>
      <c r="AQ51">
        <v>228.85570258630233</v>
      </c>
      <c r="AR51">
        <v>76.829705897220578</v>
      </c>
      <c r="AS51">
        <v>362.31825210487688</v>
      </c>
      <c r="AT51">
        <v>29.414254650490236</v>
      </c>
      <c r="AU51">
        <v>30.260497060561182</v>
      </c>
      <c r="AV51"/>
      <c r="AW51"/>
      <c r="FY51" s="210">
        <v>46</v>
      </c>
      <c r="FZ51">
        <v>26.609362474362719</v>
      </c>
      <c r="GA51">
        <v>47.301545159428542</v>
      </c>
      <c r="GB51">
        <v>39.098256509914613</v>
      </c>
      <c r="GC51">
        <v>9.7009486481871239</v>
      </c>
      <c r="GD51">
        <v>3.9148157903128666</v>
      </c>
      <c r="GE51">
        <v>4.6548514789670348</v>
      </c>
      <c r="GF51">
        <v>17.261706087976332</v>
      </c>
      <c r="GG51">
        <v>24.245247878108486</v>
      </c>
      <c r="GH51">
        <v>13.018778222448177</v>
      </c>
      <c r="GI51">
        <v>35.930786155266041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32.502725821384857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2.9151913772103428E-2</v>
      </c>
      <c r="I52" s="49">
        <f t="shared" si="26"/>
        <v>0.74409445665213292</v>
      </c>
      <c r="J52" s="49">
        <f t="shared" si="26"/>
        <v>1.8319830135478317</v>
      </c>
      <c r="K52" s="49">
        <f t="shared" si="26"/>
        <v>2.1171549023872975</v>
      </c>
      <c r="L52" s="49">
        <f t="shared" si="26"/>
        <v>0.26300344128060094</v>
      </c>
      <c r="M52" s="49">
        <f t="shared" si="26"/>
        <v>1.2400870606379921</v>
      </c>
      <c r="N52" s="49">
        <f t="shared" si="26"/>
        <v>4.2408899186848599</v>
      </c>
      <c r="O52" s="49">
        <f t="shared" si="26"/>
        <v>5.0620943842069623</v>
      </c>
      <c r="P52" s="49">
        <f t="shared" si="26"/>
        <v>2.2597856131450902</v>
      </c>
      <c r="Q52" s="49">
        <f t="shared" si="26"/>
        <v>1.4672895358179163</v>
      </c>
      <c r="R52" s="49">
        <f t="shared" si="26"/>
        <v>0</v>
      </c>
      <c r="S52" s="49">
        <f t="shared" si="26"/>
        <v>2.3061380980639088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10.941053483188167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65.515450990964183</v>
      </c>
      <c r="AO52">
        <v>67.859479597738357</v>
      </c>
      <c r="AP52">
        <v>466.66044587158137</v>
      </c>
      <c r="AQ52">
        <v>202.0666799427334</v>
      </c>
      <c r="AR52">
        <v>63.017523891695369</v>
      </c>
      <c r="AS52">
        <v>337.52470785541698</v>
      </c>
      <c r="AT52">
        <v>24.846209333871585</v>
      </c>
      <c r="AU52">
        <v>-24.345297730698455</v>
      </c>
      <c r="AV52"/>
      <c r="AW52"/>
      <c r="FY52" s="210">
        <v>47</v>
      </c>
      <c r="FZ52">
        <v>19.72149164676987</v>
      </c>
      <c r="GA52">
        <v>51.426267012088388</v>
      </c>
      <c r="GB52">
        <v>38.759815228208289</v>
      </c>
      <c r="GC52">
        <v>11.685077889990399</v>
      </c>
      <c r="GD52">
        <v>8.7077407510138354</v>
      </c>
      <c r="GE52">
        <v>11.896706627996982</v>
      </c>
      <c r="GF52">
        <v>5.880810894618528</v>
      </c>
      <c r="GG52">
        <v>16.623893072987105</v>
      </c>
      <c r="GH52">
        <v>30.714647625045853</v>
      </c>
      <c r="GI52">
        <v>37.686741168825613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105.2010731151434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1.899996918763897</v>
      </c>
      <c r="J53" s="49">
        <f t="shared" si="28"/>
        <v>2.5054401306005425</v>
      </c>
      <c r="K53" s="49">
        <f t="shared" si="28"/>
        <v>2.9816708280390007</v>
      </c>
      <c r="L53" s="49">
        <f t="shared" si="28"/>
        <v>0.34570468846922203</v>
      </c>
      <c r="M53" s="49">
        <f t="shared" si="28"/>
        <v>2.17337541990655</v>
      </c>
      <c r="N53" s="49">
        <f t="shared" si="28"/>
        <v>6.3707825963149265</v>
      </c>
      <c r="O53" s="49">
        <f t="shared" si="28"/>
        <v>6.6538664040786646</v>
      </c>
      <c r="P53" s="49">
        <f t="shared" si="28"/>
        <v>8.9111208309179197</v>
      </c>
      <c r="Q53" s="49">
        <f t="shared" si="28"/>
        <v>5.7860330960410522</v>
      </c>
      <c r="R53" s="49">
        <f t="shared" si="28"/>
        <v>7.3288321057429497</v>
      </c>
      <c r="S53" s="49">
        <f t="shared" si="28"/>
        <v>21.219111210614209</v>
      </c>
      <c r="T53" s="49">
        <f t="shared" si="28"/>
        <v>7.3938250143007993</v>
      </c>
      <c r="U53" s="49">
        <f t="shared" si="28"/>
        <v>0</v>
      </c>
      <c r="V53" s="49">
        <f t="shared" si="28"/>
        <v>31.631313871353676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53.32720279393267</v>
      </c>
      <c r="AO53">
        <v>57.957734717152711</v>
      </c>
      <c r="AP53">
        <v>454.07436656807278</v>
      </c>
      <c r="AQ53">
        <v>202.48956871455738</v>
      </c>
      <c r="AR53">
        <v>56.017328559601559</v>
      </c>
      <c r="AS53">
        <v>375.99992349977788</v>
      </c>
      <c r="AT53">
        <v>23.76142748873762</v>
      </c>
      <c r="AU53">
        <v>42.440877148381496</v>
      </c>
      <c r="AV53"/>
      <c r="AW53"/>
      <c r="FY53" s="210">
        <v>48</v>
      </c>
      <c r="FZ53">
        <v>33.869518379684905</v>
      </c>
      <c r="GA53">
        <v>44.548563147986485</v>
      </c>
      <c r="GB53">
        <v>12.909772707764718</v>
      </c>
      <c r="GC53">
        <v>6.4527617037637581</v>
      </c>
      <c r="GD53">
        <v>7.9533776167612853</v>
      </c>
      <c r="GE53">
        <v>12.46342756860647</v>
      </c>
      <c r="GF53">
        <v>10.605935833950669</v>
      </c>
      <c r="GG53">
        <v>15.281405862349983</v>
      </c>
      <c r="GH53">
        <v>18.677088641003241</v>
      </c>
      <c r="GI53">
        <v>27.700543289611272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192.50093603127164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6.8640777283421078E-2</v>
      </c>
      <c r="I54" s="49">
        <f t="shared" si="29"/>
        <v>2.148256022600012</v>
      </c>
      <c r="J54" s="49">
        <f t="shared" si="29"/>
        <v>4.0255008254403144</v>
      </c>
      <c r="K54" s="49">
        <f t="shared" si="29"/>
        <v>0.68366122617798963</v>
      </c>
      <c r="L54" s="49">
        <f t="shared" si="29"/>
        <v>4.5436359616112929</v>
      </c>
      <c r="M54" s="49">
        <f t="shared" si="29"/>
        <v>0.93436653696757022</v>
      </c>
      <c r="N54" s="49">
        <f t="shared" si="29"/>
        <v>0.68472363515411361</v>
      </c>
      <c r="O54" s="49">
        <f t="shared" si="29"/>
        <v>0.95353216514110317</v>
      </c>
      <c r="P54" s="49">
        <f t="shared" si="29"/>
        <v>7.6620477392188064</v>
      </c>
      <c r="Q54" s="49">
        <f t="shared" si="29"/>
        <v>4.9750040027231774</v>
      </c>
      <c r="R54" s="49">
        <f t="shared" si="29"/>
        <v>14.703613523177257</v>
      </c>
      <c r="S54" s="49">
        <f t="shared" si="29"/>
        <v>28.670439808676189</v>
      </c>
      <c r="T54" s="49">
        <f t="shared" si="29"/>
        <v>15.893578739961743</v>
      </c>
      <c r="U54" s="49">
        <f t="shared" si="29"/>
        <v>26.740390693285509</v>
      </c>
      <c r="V54" s="49">
        <f t="shared" si="29"/>
        <v>61.194483101965936</v>
      </c>
      <c r="W54" s="49">
        <f t="shared" si="29"/>
        <v>18.61906127188719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44.860153665871564</v>
      </c>
      <c r="AO54">
        <v>72.722501166062187</v>
      </c>
      <c r="AP54">
        <v>606.50959064249582</v>
      </c>
      <c r="AQ54">
        <v>229.62686491292274</v>
      </c>
      <c r="AR54">
        <v>68.027115616728835</v>
      </c>
      <c r="AS54">
        <v>411.29099488292769</v>
      </c>
      <c r="AT54">
        <v>31.443119174862534</v>
      </c>
      <c r="AU54">
        <v>-55.538169199217933</v>
      </c>
      <c r="AV54"/>
      <c r="AW54"/>
      <c r="FY54" s="210">
        <v>49</v>
      </c>
      <c r="FZ54">
        <v>24.295273416756668</v>
      </c>
      <c r="GA54">
        <v>57.179220043402751</v>
      </c>
      <c r="GB54">
        <v>42.720033672134427</v>
      </c>
      <c r="GC54">
        <v>12.016257756613546</v>
      </c>
      <c r="GD54">
        <v>8.8448065771599271</v>
      </c>
      <c r="GE54">
        <v>13.531030154539868</v>
      </c>
      <c r="GF54">
        <v>11.659211980717824</v>
      </c>
      <c r="GG54">
        <v>21.697422618613654</v>
      </c>
      <c r="GH54">
        <v>18.174185254561252</v>
      </c>
      <c r="GI54">
        <v>40.428858512339161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23.744597072193912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8.1210937500000024E-3</v>
      </c>
      <c r="I55" s="49">
        <f t="shared" si="30"/>
        <v>0.26783654896582998</v>
      </c>
      <c r="J55" s="49">
        <f t="shared" si="30"/>
        <v>0.61617520751375587</v>
      </c>
      <c r="K55" s="49">
        <f t="shared" si="30"/>
        <v>0.43813242106186412</v>
      </c>
      <c r="L55" s="49">
        <f t="shared" si="30"/>
        <v>0.65586406511646755</v>
      </c>
      <c r="M55" s="49">
        <f t="shared" si="30"/>
        <v>0</v>
      </c>
      <c r="N55" s="49">
        <f t="shared" si="30"/>
        <v>0</v>
      </c>
      <c r="O55" s="49">
        <f t="shared" si="30"/>
        <v>0</v>
      </c>
      <c r="P55" s="49">
        <f t="shared" si="30"/>
        <v>0</v>
      </c>
      <c r="Q55" s="49">
        <f t="shared" si="30"/>
        <v>0.39240497666973706</v>
      </c>
      <c r="R55" s="49">
        <f t="shared" si="30"/>
        <v>5.3845631178490994</v>
      </c>
      <c r="S55" s="49">
        <f t="shared" si="30"/>
        <v>2.5791057125750969</v>
      </c>
      <c r="T55" s="49">
        <f t="shared" si="30"/>
        <v>3.2821813440240981</v>
      </c>
      <c r="U55" s="49">
        <f t="shared" si="30"/>
        <v>3.1637348574176261</v>
      </c>
      <c r="V55" s="49">
        <f t="shared" si="30"/>
        <v>4.753601418002722</v>
      </c>
      <c r="W55" s="49">
        <f t="shared" si="30"/>
        <v>2.2028763092476153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43.158137858876017</v>
      </c>
      <c r="AO55">
        <v>66.258909345330991</v>
      </c>
      <c r="AP55">
        <v>529.54711168612084</v>
      </c>
      <c r="AQ55">
        <v>197.37465208895628</v>
      </c>
      <c r="AR55">
        <v>61.584024443711222</v>
      </c>
      <c r="AS55">
        <v>328.51783435033855</v>
      </c>
      <c r="AT55">
        <v>27.985570523368363</v>
      </c>
      <c r="AU55">
        <v>52.270901715273872</v>
      </c>
      <c r="AV55"/>
      <c r="AW55"/>
      <c r="FY55" s="210">
        <v>50</v>
      </c>
      <c r="FZ55">
        <v>32.625319691776724</v>
      </c>
      <c r="GA55">
        <v>62.481249775916361</v>
      </c>
      <c r="GB55">
        <v>34.82264980489343</v>
      </c>
      <c r="GC55">
        <v>13.789121882500837</v>
      </c>
      <c r="GD55">
        <v>4.8401577542321128</v>
      </c>
      <c r="GE55">
        <v>3.1665970354318498</v>
      </c>
      <c r="GF55">
        <v>12.077198754322835</v>
      </c>
      <c r="GG55">
        <v>20.354685837591294</v>
      </c>
      <c r="GH55">
        <v>21.763212311818691</v>
      </c>
      <c r="GI55">
        <v>35.74295856630993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13.188791962039424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0.18757947801736974</v>
      </c>
      <c r="J56" s="49">
        <f t="shared" si="31"/>
        <v>0.7542035272383748</v>
      </c>
      <c r="K56" s="49">
        <f t="shared" si="31"/>
        <v>0.89419012460842284</v>
      </c>
      <c r="L56" s="49">
        <f t="shared" si="31"/>
        <v>0.16168236702731856</v>
      </c>
      <c r="M56" s="49">
        <f t="shared" si="31"/>
        <v>0</v>
      </c>
      <c r="N56" s="49">
        <f t="shared" si="31"/>
        <v>0</v>
      </c>
      <c r="O56" s="49">
        <f t="shared" si="31"/>
        <v>0</v>
      </c>
      <c r="P56" s="49">
        <f t="shared" si="31"/>
        <v>0</v>
      </c>
      <c r="Q56" s="49">
        <f t="shared" si="31"/>
        <v>1.3324520636367996</v>
      </c>
      <c r="R56" s="49">
        <f t="shared" si="31"/>
        <v>4.4023241315161865</v>
      </c>
      <c r="S56" s="49">
        <f t="shared" si="31"/>
        <v>2.9832847253436743</v>
      </c>
      <c r="T56" s="49">
        <f t="shared" si="31"/>
        <v>1.8462270060135548</v>
      </c>
      <c r="U56" s="49">
        <f t="shared" si="31"/>
        <v>0</v>
      </c>
      <c r="V56" s="49">
        <f t="shared" si="31"/>
        <v>0.6268485386377215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54.283506450307883</v>
      </c>
      <c r="AO56">
        <v>72.604238935671802</v>
      </c>
      <c r="AP56">
        <v>506.01786847125197</v>
      </c>
      <c r="AQ56">
        <v>229.34611081837241</v>
      </c>
      <c r="AR56">
        <v>68.142920530151343</v>
      </c>
      <c r="AS56">
        <v>457.34057671600357</v>
      </c>
      <c r="AT56">
        <v>29.532304939663547</v>
      </c>
      <c r="AU56">
        <v>18.46720137391198</v>
      </c>
      <c r="AV56"/>
      <c r="AW56"/>
      <c r="FY56" s="210">
        <v>51</v>
      </c>
      <c r="FZ56">
        <v>29.527835060181193</v>
      </c>
      <c r="GA56">
        <v>60.186308538300338</v>
      </c>
      <c r="GB56">
        <v>42.30681507729382</v>
      </c>
      <c r="GC56">
        <v>9.8825678198971776</v>
      </c>
      <c r="GD56">
        <v>7.3050085140746166</v>
      </c>
      <c r="GE56">
        <v>10.560327226246093</v>
      </c>
      <c r="GF56">
        <v>9.1924389870757608</v>
      </c>
      <c r="GG56">
        <v>16.882883937655151</v>
      </c>
      <c r="GH56">
        <v>14.837793741452719</v>
      </c>
      <c r="GI56">
        <v>40.241659211922489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11.88099264992028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0.19094818630150973</v>
      </c>
      <c r="J57" s="49">
        <f t="shared" si="32"/>
        <v>1.3577354570803184</v>
      </c>
      <c r="K57" s="49">
        <f t="shared" si="32"/>
        <v>1.1875129289034325</v>
      </c>
      <c r="L57" s="49">
        <f t="shared" si="32"/>
        <v>6.0288340247474724E-2</v>
      </c>
      <c r="M57" s="49">
        <f t="shared" si="32"/>
        <v>0</v>
      </c>
      <c r="N57" s="49">
        <f t="shared" si="32"/>
        <v>0</v>
      </c>
      <c r="O57" s="49">
        <f t="shared" si="32"/>
        <v>0</v>
      </c>
      <c r="P57" s="49">
        <f t="shared" si="32"/>
        <v>0</v>
      </c>
      <c r="Q57" s="49">
        <f t="shared" si="32"/>
        <v>2.3285570044138244</v>
      </c>
      <c r="R57" s="49">
        <f t="shared" si="32"/>
        <v>1.2780941026982477</v>
      </c>
      <c r="S57" s="49">
        <f t="shared" si="32"/>
        <v>4.1884282451231503</v>
      </c>
      <c r="T57" s="49">
        <f t="shared" si="32"/>
        <v>1.2894283851523241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50.656371105781936</v>
      </c>
      <c r="AO57">
        <v>47.838510048198046</v>
      </c>
      <c r="AP57">
        <v>372.07162690789352</v>
      </c>
      <c r="AQ57">
        <v>180.05588986674334</v>
      </c>
      <c r="AR57">
        <v>45.1857028311384</v>
      </c>
      <c r="AS57">
        <v>288.02132077695109</v>
      </c>
      <c r="AT57">
        <v>17.831382647735641</v>
      </c>
      <c r="AU57">
        <v>-16.12554408912446</v>
      </c>
      <c r="AV57"/>
      <c r="AW57"/>
      <c r="FY57" s="210">
        <v>52</v>
      </c>
      <c r="FZ57">
        <v>22.349133391262043</v>
      </c>
      <c r="GA57">
        <v>35.14726500435431</v>
      </c>
      <c r="GB57">
        <v>32.6053830259508</v>
      </c>
      <c r="GC57">
        <v>9.9680393333439294</v>
      </c>
      <c r="GD57">
        <v>6.7365178158937384</v>
      </c>
      <c r="GE57">
        <v>10.891078056938767</v>
      </c>
      <c r="GF57">
        <v>10.520824765234002</v>
      </c>
      <c r="GG57">
        <v>13.737459122890547</v>
      </c>
      <c r="GH57">
        <v>8.4967270981587131</v>
      </c>
      <c r="GI57">
        <v>29.598911497086991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66.397977604417605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0.90603458946693971</v>
      </c>
      <c r="K58" s="49">
        <f t="shared" si="33"/>
        <v>0.96220521700106554</v>
      </c>
      <c r="L58" s="49">
        <f t="shared" si="33"/>
        <v>0.62753189942379251</v>
      </c>
      <c r="M58" s="49">
        <f t="shared" si="33"/>
        <v>3.6761774695371727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16.507486145030459</v>
      </c>
      <c r="T58" s="49">
        <f t="shared" si="33"/>
        <v>6.710729142518435</v>
      </c>
      <c r="U58" s="49">
        <f t="shared" si="33"/>
        <v>20.161727176083772</v>
      </c>
      <c r="V58" s="49">
        <f t="shared" si="33"/>
        <v>0</v>
      </c>
      <c r="W58" s="49">
        <f t="shared" si="33"/>
        <v>16.846085965355964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52.18734114220964</v>
      </c>
      <c r="AO58">
        <v>68.727333376321752</v>
      </c>
      <c r="AP58">
        <v>545.95050981978136</v>
      </c>
      <c r="AQ58">
        <v>212.62714232583247</v>
      </c>
      <c r="AR58">
        <v>65.047688193365786</v>
      </c>
      <c r="AS58">
        <v>421.717099207763</v>
      </c>
      <c r="AT58">
        <v>26.588545357669563</v>
      </c>
      <c r="AU58">
        <v>13.170755076786588</v>
      </c>
      <c r="AV58"/>
      <c r="AW58"/>
      <c r="FY58" s="210">
        <v>53</v>
      </c>
      <c r="FZ58">
        <v>31.200227615816168</v>
      </c>
      <c r="GA58">
        <v>43.875740681428397</v>
      </c>
      <c r="GB58">
        <v>23.339766328528913</v>
      </c>
      <c r="GC58">
        <v>8.2719931381905081</v>
      </c>
      <c r="GD58">
        <v>4.5295446882396773</v>
      </c>
      <c r="GE58">
        <v>4.6354796368716862</v>
      </c>
      <c r="GF58">
        <v>13.717674222551416</v>
      </c>
      <c r="GG58">
        <v>21.581003247780377</v>
      </c>
      <c r="GH58">
        <v>11.316199657630138</v>
      </c>
      <c r="GI58">
        <v>27.240053714864967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54.658548513389505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0.51345762456713862</v>
      </c>
      <c r="K59" s="49">
        <f t="shared" si="34"/>
        <v>1.5447164034746299</v>
      </c>
      <c r="L59" s="49">
        <f t="shared" si="34"/>
        <v>0.38846490596759098</v>
      </c>
      <c r="M59" s="49">
        <f t="shared" si="34"/>
        <v>2.2756866006894665</v>
      </c>
      <c r="N59" s="49">
        <f t="shared" si="34"/>
        <v>0</v>
      </c>
      <c r="O59" s="49">
        <f t="shared" si="34"/>
        <v>0.62307360231521569</v>
      </c>
      <c r="P59" s="49">
        <f t="shared" si="34"/>
        <v>0.83444479038274122</v>
      </c>
      <c r="Q59" s="49">
        <f t="shared" si="34"/>
        <v>0</v>
      </c>
      <c r="R59" s="49">
        <f t="shared" si="34"/>
        <v>0</v>
      </c>
      <c r="S59" s="49">
        <f t="shared" si="34"/>
        <v>13.624973347126366</v>
      </c>
      <c r="T59" s="49">
        <f t="shared" si="34"/>
        <v>0</v>
      </c>
      <c r="U59" s="49">
        <f t="shared" si="34"/>
        <v>17.473172028880796</v>
      </c>
      <c r="V59" s="49">
        <f t="shared" si="34"/>
        <v>0</v>
      </c>
      <c r="W59" s="49">
        <f t="shared" si="34"/>
        <v>17.380559209985563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50.007845291168664</v>
      </c>
      <c r="AO59">
        <v>81.439733656991891</v>
      </c>
      <c r="AP59">
        <v>566.99076372566924</v>
      </c>
      <c r="AQ59">
        <v>199.33026273918665</v>
      </c>
      <c r="AR59">
        <v>76.189750817483812</v>
      </c>
      <c r="AS59">
        <v>320.4053428924999</v>
      </c>
      <c r="AT59">
        <v>30.326377632492111</v>
      </c>
      <c r="AU59">
        <v>9.6349991881648371</v>
      </c>
      <c r="AV59"/>
      <c r="AW59"/>
      <c r="FY59" s="210">
        <v>54</v>
      </c>
      <c r="FZ59">
        <v>28.148890767857822</v>
      </c>
      <c r="GA59">
        <v>41.820683971849753</v>
      </c>
      <c r="GB59">
        <v>29.403677868345213</v>
      </c>
      <c r="GC59">
        <v>11.054003157655494</v>
      </c>
      <c r="GD59">
        <v>4.917568185972665</v>
      </c>
      <c r="GE59">
        <v>3.4322454500695487</v>
      </c>
      <c r="GF59">
        <v>8.2879233023625876</v>
      </c>
      <c r="GG59">
        <v>20.772243320509261</v>
      </c>
      <c r="GH59">
        <v>21.405069320582445</v>
      </c>
      <c r="GI59">
        <v>27.019267933303492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56.019811666194947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2.0497908210927016</v>
      </c>
      <c r="K60" s="49">
        <f t="shared" si="35"/>
        <v>2.8766735918220561</v>
      </c>
      <c r="L60" s="49">
        <f t="shared" si="35"/>
        <v>0</v>
      </c>
      <c r="M60" s="49">
        <f t="shared" si="35"/>
        <v>0.9933667787835373</v>
      </c>
      <c r="N60" s="49">
        <f t="shared" si="35"/>
        <v>0</v>
      </c>
      <c r="O60" s="49">
        <f t="shared" si="35"/>
        <v>1.0137426137143277</v>
      </c>
      <c r="P60" s="49">
        <f t="shared" si="35"/>
        <v>6.7882208430887232</v>
      </c>
      <c r="Q60" s="49">
        <f t="shared" si="35"/>
        <v>0</v>
      </c>
      <c r="R60" s="49">
        <f t="shared" si="35"/>
        <v>0</v>
      </c>
      <c r="S60" s="49">
        <f t="shared" si="35"/>
        <v>5.541968092284975</v>
      </c>
      <c r="T60" s="49">
        <f t="shared" si="35"/>
        <v>0</v>
      </c>
      <c r="U60" s="49">
        <f t="shared" si="35"/>
        <v>8.1225437511343106</v>
      </c>
      <c r="V60" s="49">
        <f t="shared" si="35"/>
        <v>0</v>
      </c>
      <c r="W60" s="49">
        <f t="shared" si="35"/>
        <v>11.31128871830051</v>
      </c>
      <c r="X60" s="49">
        <f t="shared" si="35"/>
        <v>0</v>
      </c>
      <c r="Y60" s="49">
        <f t="shared" si="35"/>
        <v>0</v>
      </c>
      <c r="Z60" s="49">
        <f t="shared" si="35"/>
        <v>17.322216455973809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70.797183704853396</v>
      </c>
      <c r="AO60">
        <v>91.01912217776173</v>
      </c>
      <c r="AP60">
        <v>666.10099715026911</v>
      </c>
      <c r="AQ60">
        <v>249.05047547515449</v>
      </c>
      <c r="AR60">
        <v>84.120678170840634</v>
      </c>
      <c r="AS60">
        <v>535.03781003610936</v>
      </c>
      <c r="AT60">
        <v>33.894129446532766</v>
      </c>
      <c r="AU60">
        <v>19.832439471279475</v>
      </c>
      <c r="AV60"/>
      <c r="AW60"/>
      <c r="FY60" s="210">
        <v>55</v>
      </c>
      <c r="FZ60">
        <v>18.725829944515525</v>
      </c>
      <c r="GA60">
        <v>55.853882923944418</v>
      </c>
      <c r="GB60">
        <v>39.31771342599815</v>
      </c>
      <c r="GC60">
        <v>13.243601421752052</v>
      </c>
      <c r="GD60">
        <v>7.7205720188516169</v>
      </c>
      <c r="GE60">
        <v>8.4653563842481141</v>
      </c>
      <c r="GF60">
        <v>12.066138918502903</v>
      </c>
      <c r="GG60">
        <v>20.033972105778957</v>
      </c>
      <c r="GH60">
        <v>20.919006473361236</v>
      </c>
      <c r="GI60">
        <v>38.202616648073622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67.421811907087729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1.4423062500000004E-2</v>
      </c>
      <c r="I61" s="49">
        <f t="shared" si="36"/>
        <v>0.68700937408007356</v>
      </c>
      <c r="J61" s="49">
        <f t="shared" si="36"/>
        <v>2.316967625605745</v>
      </c>
      <c r="K61" s="49">
        <f t="shared" si="36"/>
        <v>2.2022277767195142</v>
      </c>
      <c r="L61" s="49">
        <f t="shared" si="36"/>
        <v>0.99804606900592285</v>
      </c>
      <c r="M61" s="49">
        <f t="shared" si="36"/>
        <v>0.95874982386816954</v>
      </c>
      <c r="N61" s="49">
        <f t="shared" si="36"/>
        <v>0.77771214893564777</v>
      </c>
      <c r="O61" s="49">
        <f t="shared" si="36"/>
        <v>1.0830260723572647</v>
      </c>
      <c r="P61" s="49">
        <f t="shared" si="36"/>
        <v>2.3569508857779438</v>
      </c>
      <c r="Q61" s="49">
        <f t="shared" si="36"/>
        <v>2.8072048330988881</v>
      </c>
      <c r="R61" s="49">
        <f t="shared" si="36"/>
        <v>8.2508074851964661</v>
      </c>
      <c r="S61" s="49">
        <f t="shared" si="36"/>
        <v>11.57751066026186</v>
      </c>
      <c r="T61" s="49">
        <f t="shared" si="36"/>
        <v>5.7438173520421705</v>
      </c>
      <c r="U61" s="49">
        <f t="shared" si="36"/>
        <v>7.5929636578023025</v>
      </c>
      <c r="V61" s="49">
        <f t="shared" si="36"/>
        <v>9.5657086996116316</v>
      </c>
      <c r="W61" s="49">
        <f t="shared" si="36"/>
        <v>6.4198109583787648</v>
      </c>
      <c r="X61" s="49">
        <f t="shared" si="36"/>
        <v>1.7556141710311683</v>
      </c>
      <c r="Y61" s="49">
        <f t="shared" si="36"/>
        <v>0</v>
      </c>
      <c r="Z61" s="49">
        <f t="shared" si="36"/>
        <v>2.3132612508141994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61.759640900662667</v>
      </c>
      <c r="AO61">
        <v>83.783072696726521</v>
      </c>
      <c r="AP61">
        <v>534.53064549639078</v>
      </c>
      <c r="AQ61">
        <v>207.84549170306872</v>
      </c>
      <c r="AR61">
        <v>77.64426742681357</v>
      </c>
      <c r="AS61">
        <v>385.20343853782441</v>
      </c>
      <c r="AT61">
        <v>29.814735176072045</v>
      </c>
      <c r="AU61">
        <v>23.350970370224537</v>
      </c>
      <c r="AV61"/>
      <c r="AW61"/>
      <c r="FY61" s="210">
        <v>56</v>
      </c>
      <c r="FZ61">
        <v>16.009019460206076</v>
      </c>
      <c r="GA61">
        <v>66.039032577567482</v>
      </c>
      <c r="GB61">
        <v>62.260097428627773</v>
      </c>
      <c r="GC61">
        <v>15.412611035623215</v>
      </c>
      <c r="GD61">
        <v>8.5968581937158817</v>
      </c>
      <c r="GE61">
        <v>10.985510314094096</v>
      </c>
      <c r="GF61">
        <v>8.023683451056991</v>
      </c>
      <c r="GG61">
        <v>8.6217055823621731</v>
      </c>
      <c r="GH61">
        <v>6.3851959761487667</v>
      </c>
      <c r="GI61">
        <v>44.499424260757372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58.366567225525422</v>
      </c>
      <c r="AO62">
        <v>77.678529071604331</v>
      </c>
      <c r="AP62">
        <v>607.68348590354276</v>
      </c>
      <c r="AQ62">
        <v>221.73629840497199</v>
      </c>
      <c r="AR62">
        <v>73.072165185342442</v>
      </c>
      <c r="AS62">
        <v>511.08128729101861</v>
      </c>
      <c r="AT62">
        <v>30.647873068949085</v>
      </c>
      <c r="AU62">
        <v>12.395685271318031</v>
      </c>
      <c r="AV62"/>
      <c r="AW62"/>
      <c r="FY62" s="210">
        <v>57</v>
      </c>
      <c r="FZ62">
        <v>24.091980060436349</v>
      </c>
      <c r="GA62">
        <v>36.438426799446752</v>
      </c>
      <c r="GB62">
        <v>32.431068864967287</v>
      </c>
      <c r="GC62">
        <v>15.082610242253825</v>
      </c>
      <c r="GD62">
        <v>8.566948129605338</v>
      </c>
      <c r="GE62">
        <v>7.2206927734382687</v>
      </c>
      <c r="GF62">
        <v>5.8007858802501904</v>
      </c>
      <c r="GG62">
        <v>13.784140325337173</v>
      </c>
      <c r="GH62">
        <v>20.6376216186638</v>
      </c>
      <c r="GI62">
        <v>36.476702090417419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623.51726634304339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66.261403915069181</v>
      </c>
      <c r="AO63">
        <v>79.249891059956582</v>
      </c>
      <c r="AP63">
        <v>520.0830955669926</v>
      </c>
      <c r="AQ63">
        <v>233.10319191754485</v>
      </c>
      <c r="AR63">
        <v>73.448890013179806</v>
      </c>
      <c r="AS63">
        <v>373.78726106525306</v>
      </c>
      <c r="AT63">
        <v>28.667121187515988</v>
      </c>
      <c r="AU63">
        <v>12.043066682633377</v>
      </c>
      <c r="AV63"/>
      <c r="AW63"/>
      <c r="FY63" s="210">
        <v>58</v>
      </c>
      <c r="FZ63">
        <v>23.962167695415161</v>
      </c>
      <c r="GA63">
        <v>50.342067804740338</v>
      </c>
      <c r="GB63">
        <v>25.141450918285262</v>
      </c>
      <c r="GC63">
        <v>8.6660646770854104</v>
      </c>
      <c r="GD63">
        <v>5.1446417495961176</v>
      </c>
      <c r="GE63">
        <v>4.9064955303534656</v>
      </c>
      <c r="GF63">
        <v>13.020210737576271</v>
      </c>
      <c r="GG63">
        <v>22.128846304356848</v>
      </c>
      <c r="GH63">
        <v>15.401323683450148</v>
      </c>
      <c r="GI63">
        <v>30.685488404914992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56.089366178404397</v>
      </c>
      <c r="AO64">
        <v>56.276164683478214</v>
      </c>
      <c r="AP64">
        <v>396.63370969253532</v>
      </c>
      <c r="AQ64">
        <v>190.46239475148278</v>
      </c>
      <c r="AR64">
        <v>53.943548116949898</v>
      </c>
      <c r="AS64">
        <v>289.63251547133098</v>
      </c>
      <c r="AT64">
        <v>22.892292091690962</v>
      </c>
      <c r="AU64">
        <v>68.205329733614718</v>
      </c>
      <c r="AV64"/>
      <c r="AW64"/>
      <c r="FY64" s="210">
        <v>59</v>
      </c>
      <c r="FZ64">
        <v>27.956370538364638</v>
      </c>
      <c r="GA64">
        <v>49.724263994325327</v>
      </c>
      <c r="GB64">
        <v>20.265153401974974</v>
      </c>
      <c r="GC64">
        <v>8.6330332341832534</v>
      </c>
      <c r="GD64">
        <v>5.0459879753889405</v>
      </c>
      <c r="GE64">
        <v>5.4796704475941311</v>
      </c>
      <c r="GF64">
        <v>9.3625379678945517</v>
      </c>
      <c r="GG64">
        <v>17.044542826779718</v>
      </c>
      <c r="GH64">
        <v>19.101512274724069</v>
      </c>
      <c r="GI64">
        <v>27.142906273277404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69.703927320571339</v>
      </c>
      <c r="AO65">
        <v>85.022036040749796</v>
      </c>
      <c r="AP65">
        <v>593.60283138806062</v>
      </c>
      <c r="AQ65">
        <v>250.54629998683907</v>
      </c>
      <c r="AR65">
        <v>77.902888682922523</v>
      </c>
      <c r="AS65">
        <v>362.48253678897038</v>
      </c>
      <c r="AT65">
        <v>31.131244589843046</v>
      </c>
      <c r="AU65">
        <v>43.07531365044796</v>
      </c>
      <c r="AV65"/>
      <c r="AW65"/>
      <c r="FY65" s="210">
        <v>60</v>
      </c>
      <c r="FZ65">
        <v>19.819003207830935</v>
      </c>
      <c r="GA65">
        <v>65.021226855639739</v>
      </c>
      <c r="GB65">
        <v>33.768059274102853</v>
      </c>
      <c r="GC65">
        <v>11.871501192193422</v>
      </c>
      <c r="GD65">
        <v>7.8896696244968183</v>
      </c>
      <c r="GE65">
        <v>6.1553970863925791</v>
      </c>
      <c r="GF65">
        <v>8.5279493904030144</v>
      </c>
      <c r="GG65">
        <v>21.28649551688089</v>
      </c>
      <c r="GH65">
        <v>27.308297747527543</v>
      </c>
      <c r="GI65">
        <v>35.210764494206586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65.79671245745223</v>
      </c>
      <c r="AO66">
        <v>74.598414558949145</v>
      </c>
      <c r="AP66">
        <v>555.7611584051383</v>
      </c>
      <c r="AQ66">
        <v>241.66315141479407</v>
      </c>
      <c r="AR66">
        <v>71.021369102274377</v>
      </c>
      <c r="AS66">
        <v>513.34342062734561</v>
      </c>
      <c r="AT66">
        <v>28.391181082775358</v>
      </c>
      <c r="AU66">
        <v>14.056263296972954</v>
      </c>
      <c r="AV66"/>
      <c r="AW66"/>
      <c r="FY66" s="210">
        <v>61</v>
      </c>
      <c r="FZ66">
        <v>22.879754313210739</v>
      </c>
      <c r="GA66">
        <v>37.637441207851282</v>
      </c>
      <c r="GB66">
        <v>35.039582795905091</v>
      </c>
      <c r="GC66">
        <v>13.124224302284498</v>
      </c>
      <c r="GD66">
        <v>9.190224818582946</v>
      </c>
      <c r="GE66">
        <v>11.576274203883132</v>
      </c>
      <c r="GF66">
        <v>10.432578536690038</v>
      </c>
      <c r="GG66">
        <v>12.944014115562869</v>
      </c>
      <c r="GH66">
        <v>11.165358253601203</v>
      </c>
      <c r="GI66">
        <v>36.197492599762803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60.214670211203192</v>
      </c>
      <c r="AO67">
        <v>86.523807862142974</v>
      </c>
      <c r="AP67">
        <v>596.80587337322936</v>
      </c>
      <c r="AQ67">
        <v>240.92363811409939</v>
      </c>
      <c r="AR67">
        <v>80.311502427771401</v>
      </c>
      <c r="AS67">
        <v>362.58041966587109</v>
      </c>
      <c r="AT67">
        <v>31.104582655041867</v>
      </c>
      <c r="AU67">
        <v>53.238069942223959</v>
      </c>
      <c r="AV67"/>
      <c r="AW67"/>
      <c r="FY67" s="210">
        <v>62</v>
      </c>
      <c r="FZ67">
        <v>18.395554176366279</v>
      </c>
      <c r="GA67">
        <v>45.373936205741096</v>
      </c>
      <c r="GB67">
        <v>40.478470075690886</v>
      </c>
      <c r="GC67">
        <v>13.88306445890978</v>
      </c>
      <c r="GD67">
        <v>6.6916940782427634</v>
      </c>
      <c r="GE67">
        <v>4.6642446766736319</v>
      </c>
      <c r="GF67">
        <v>5.7623971111690029</v>
      </c>
      <c r="GG67">
        <v>11.403093030160644</v>
      </c>
      <c r="GH67">
        <v>14.843173862171342</v>
      </c>
      <c r="GI67">
        <v>35.622848745768501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59.790444390812432</v>
      </c>
      <c r="AO68">
        <v>61.76486357409842</v>
      </c>
      <c r="AP68">
        <v>430.44925831047004</v>
      </c>
      <c r="AQ68">
        <v>180.05133911111383</v>
      </c>
      <c r="AR68">
        <v>57.629439326779739</v>
      </c>
      <c r="AS68">
        <v>299.14323541641443</v>
      </c>
      <c r="AT68">
        <v>22.377240838061621</v>
      </c>
      <c r="AU68">
        <v>1.1260639675955355</v>
      </c>
      <c r="AV68"/>
      <c r="AW68"/>
      <c r="FY68" s="210">
        <v>63</v>
      </c>
      <c r="FZ68">
        <v>31.378052560455593</v>
      </c>
      <c r="GA68">
        <v>69.760793557993836</v>
      </c>
      <c r="GB68">
        <v>33.632262742236065</v>
      </c>
      <c r="GC68">
        <v>11.334735735788406</v>
      </c>
      <c r="GD68">
        <v>7.2688803737934444</v>
      </c>
      <c r="GE68">
        <v>6.9587515025616646</v>
      </c>
      <c r="GF68">
        <v>6.933011846425738</v>
      </c>
      <c r="GG68">
        <v>12.925415164270968</v>
      </c>
      <c r="GH68">
        <v>13.224802980768745</v>
      </c>
      <c r="GI68">
        <v>33.020140098509962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54.316129373248053</v>
      </c>
      <c r="AO69">
        <v>55.453587503682932</v>
      </c>
      <c r="AP69">
        <v>438.73651220133752</v>
      </c>
      <c r="AQ69">
        <v>189.70768293190224</v>
      </c>
      <c r="AR69">
        <v>53.568022102895171</v>
      </c>
      <c r="AS69">
        <v>285.30023063178237</v>
      </c>
      <c r="AT69">
        <v>22.321530235085003</v>
      </c>
      <c r="AU69">
        <v>12.620338137273819</v>
      </c>
      <c r="AV69"/>
      <c r="AW69"/>
      <c r="FY69" s="210">
        <v>64</v>
      </c>
      <c r="FZ69">
        <v>22.374776610964059</v>
      </c>
      <c r="GA69">
        <v>65.936290743687309</v>
      </c>
      <c r="GB69">
        <v>48.927380878750185</v>
      </c>
      <c r="GC69">
        <v>9.9975748493534482</v>
      </c>
      <c r="GD69">
        <v>4.2521083811125262</v>
      </c>
      <c r="GE69">
        <v>3.7667361212168364</v>
      </c>
      <c r="GF69">
        <v>8.2283257928789393</v>
      </c>
      <c r="GG69">
        <v>15.186005845742285</v>
      </c>
      <c r="GH69">
        <v>18.187109630572117</v>
      </c>
      <c r="GI69">
        <v>35.616590972930595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16.666666666666664</v>
      </c>
      <c r="E70" s="64"/>
      <c r="F70" s="64"/>
      <c r="G70" s="18">
        <f>AVERAGE(E228:E237)</f>
        <v>0</v>
      </c>
      <c r="H70" s="18">
        <f t="shared" ref="H70:AK70" si="39">AVERAGE(F228:F237)</f>
        <v>6.25</v>
      </c>
      <c r="I70" s="18">
        <f t="shared" si="39"/>
        <v>0</v>
      </c>
      <c r="J70" s="18">
        <f t="shared" si="39"/>
        <v>1.0416666666666665</v>
      </c>
      <c r="K70" s="18">
        <f t="shared" si="39"/>
        <v>2.083333333333333</v>
      </c>
      <c r="L70" s="18">
        <f t="shared" si="39"/>
        <v>1.0416666666666665</v>
      </c>
      <c r="M70" s="18">
        <f t="shared" si="39"/>
        <v>1.0416666666666665</v>
      </c>
      <c r="N70" s="18">
        <f t="shared" si="39"/>
        <v>0</v>
      </c>
      <c r="O70" s="18">
        <f t="shared" si="39"/>
        <v>1.0416666666666665</v>
      </c>
      <c r="P70" s="18">
        <f t="shared" si="39"/>
        <v>2.083333333333333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2.083333333333333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48.35515338988337</v>
      </c>
      <c r="AO70">
        <v>54.449631239606205</v>
      </c>
      <c r="AP70">
        <v>436.58002747677625</v>
      </c>
      <c r="AQ70">
        <v>196.26157327850828</v>
      </c>
      <c r="AR70">
        <v>51.393657681394352</v>
      </c>
      <c r="AS70">
        <v>335.15033051663869</v>
      </c>
      <c r="AT70">
        <v>22.382740084363864</v>
      </c>
      <c r="AU70">
        <v>-14.478490315077575</v>
      </c>
      <c r="AV70"/>
      <c r="AW70"/>
      <c r="FY70" s="210">
        <v>65</v>
      </c>
      <c r="FZ70">
        <v>16.244325825370829</v>
      </c>
      <c r="GA70">
        <v>64.97526684533814</v>
      </c>
      <c r="GB70">
        <v>40.374980715718557</v>
      </c>
      <c r="GC70">
        <v>9.9435893359702963</v>
      </c>
      <c r="GD70">
        <v>7.1454244245859764</v>
      </c>
      <c r="GE70">
        <v>9.6105289706722363</v>
      </c>
      <c r="GF70">
        <v>4.3997853827931515</v>
      </c>
      <c r="GG70">
        <v>6.8906454289088357</v>
      </c>
      <c r="GH70">
        <v>13.175447495093573</v>
      </c>
      <c r="GI70">
        <v>29.627000621015451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82.475490196078439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28.594771241830063</v>
      </c>
      <c r="J71" s="18">
        <f t="shared" si="40"/>
        <v>24.714052287581698</v>
      </c>
      <c r="K71" s="18">
        <f t="shared" si="40"/>
        <v>12.5</v>
      </c>
      <c r="L71" s="18">
        <f t="shared" si="40"/>
        <v>0</v>
      </c>
      <c r="M71" s="18">
        <f t="shared" si="40"/>
        <v>2.083333333333333</v>
      </c>
      <c r="N71" s="18">
        <f t="shared" si="40"/>
        <v>7.2916666666666661</v>
      </c>
      <c r="O71" s="18">
        <f t="shared" si="40"/>
        <v>5.208333333333333</v>
      </c>
      <c r="P71" s="18">
        <f t="shared" si="40"/>
        <v>0</v>
      </c>
      <c r="Q71" s="18">
        <f t="shared" si="40"/>
        <v>1.0416666666666665</v>
      </c>
      <c r="R71" s="18">
        <f t="shared" si="40"/>
        <v>0</v>
      </c>
      <c r="S71" s="18">
        <f t="shared" si="40"/>
        <v>1.0416666666666665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65.940073274672841</v>
      </c>
      <c r="AO71">
        <v>82.093821639971651</v>
      </c>
      <c r="AP71">
        <v>577.92082012824312</v>
      </c>
      <c r="AQ71">
        <v>234.54869026502658</v>
      </c>
      <c r="AR71">
        <v>76.218231843204606</v>
      </c>
      <c r="AS71">
        <v>445.39121512426505</v>
      </c>
      <c r="AT71">
        <v>30.68507566970548</v>
      </c>
      <c r="AU71">
        <v>23.554184595579212</v>
      </c>
      <c r="AV71"/>
      <c r="AW71"/>
      <c r="FY71" s="210">
        <v>66</v>
      </c>
      <c r="FZ71">
        <v>38.706678382793854</v>
      </c>
      <c r="GA71">
        <v>65.528314189683186</v>
      </c>
      <c r="GB71">
        <v>39.866853969623506</v>
      </c>
      <c r="GC71">
        <v>12.136117562817345</v>
      </c>
      <c r="GD71">
        <v>7.5395107989522234</v>
      </c>
      <c r="GE71">
        <v>9.1535518121739745</v>
      </c>
      <c r="GF71">
        <v>9.571942664388521</v>
      </c>
      <c r="GG71">
        <v>13.341898939743526</v>
      </c>
      <c r="GH71">
        <v>9.289091579727641</v>
      </c>
      <c r="GI71">
        <v>34.666910334218379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63.411458333333329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26.953125</v>
      </c>
      <c r="J72" s="18">
        <f t="shared" si="41"/>
        <v>2.083333333333333</v>
      </c>
      <c r="K72" s="18">
        <f t="shared" si="41"/>
        <v>3.125</v>
      </c>
      <c r="L72" s="18">
        <f t="shared" si="41"/>
        <v>1.0416666666666665</v>
      </c>
      <c r="M72" s="18">
        <f t="shared" si="41"/>
        <v>2.083333333333333</v>
      </c>
      <c r="N72" s="18">
        <f t="shared" si="41"/>
        <v>1.0416666666666665</v>
      </c>
      <c r="O72" s="18">
        <f t="shared" si="41"/>
        <v>1.0416666666666665</v>
      </c>
      <c r="P72" s="18">
        <f t="shared" si="41"/>
        <v>6.25</v>
      </c>
      <c r="Q72" s="18">
        <f t="shared" si="41"/>
        <v>2.083333333333333</v>
      </c>
      <c r="R72" s="18">
        <f t="shared" si="41"/>
        <v>3.125</v>
      </c>
      <c r="S72" s="18">
        <f t="shared" si="41"/>
        <v>6.2499999999999991</v>
      </c>
      <c r="T72" s="18">
        <f t="shared" si="41"/>
        <v>2.083333333333333</v>
      </c>
      <c r="U72" s="18">
        <f t="shared" si="41"/>
        <v>0</v>
      </c>
      <c r="V72" s="18">
        <f t="shared" si="41"/>
        <v>6.25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63.37435456019476</v>
      </c>
      <c r="AO72">
        <v>98.145806190216604</v>
      </c>
      <c r="AP72">
        <v>658.21730926934572</v>
      </c>
      <c r="AQ72">
        <v>246.83313828015986</v>
      </c>
      <c r="AR72">
        <v>89.859630317133963</v>
      </c>
      <c r="AS72">
        <v>1052.9863309505631</v>
      </c>
      <c r="AT72">
        <v>34.995445116610775</v>
      </c>
      <c r="AU72">
        <v>-46.217168359121978</v>
      </c>
      <c r="AV72"/>
      <c r="AW72"/>
      <c r="FY72" s="210">
        <v>67</v>
      </c>
      <c r="FZ72">
        <v>26.023109117465495</v>
      </c>
      <c r="GA72">
        <v>50.736052831236861</v>
      </c>
      <c r="GB72">
        <v>24.135244209471484</v>
      </c>
      <c r="GC72">
        <v>10.35509360019441</v>
      </c>
      <c r="GD72">
        <v>6.8585653222237912</v>
      </c>
      <c r="GE72">
        <v>8.1215679325907253</v>
      </c>
      <c r="GF72">
        <v>9.2280860976527936</v>
      </c>
      <c r="GG72">
        <v>15.87888447683282</v>
      </c>
      <c r="GH72">
        <v>16.111240464284482</v>
      </c>
      <c r="GI72">
        <v>28.565852651367177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155.31768578643582</v>
      </c>
      <c r="E73" s="64"/>
      <c r="F73" s="64"/>
      <c r="G73" s="18">
        <f>AVERAGE(E258:E267)</f>
        <v>0</v>
      </c>
      <c r="H73" s="18">
        <f t="shared" ref="H73:AK73" si="42">AVERAGE(F258:F267)</f>
        <v>13.020833333333334</v>
      </c>
      <c r="I73" s="18">
        <f t="shared" si="42"/>
        <v>46.091495310245314</v>
      </c>
      <c r="J73" s="18">
        <f t="shared" si="42"/>
        <v>47.991071428571431</v>
      </c>
      <c r="K73" s="18">
        <f t="shared" si="42"/>
        <v>1.0416666666666665</v>
      </c>
      <c r="L73" s="18">
        <f t="shared" si="42"/>
        <v>14.880952380952383</v>
      </c>
      <c r="M73" s="18">
        <f t="shared" si="42"/>
        <v>0</v>
      </c>
      <c r="N73" s="18">
        <f t="shared" si="42"/>
        <v>0</v>
      </c>
      <c r="O73" s="18">
        <f t="shared" si="42"/>
        <v>0</v>
      </c>
      <c r="P73" s="18">
        <f t="shared" si="42"/>
        <v>0</v>
      </c>
      <c r="Q73" s="18">
        <f t="shared" si="42"/>
        <v>1.0416666666666665</v>
      </c>
      <c r="R73" s="18">
        <f t="shared" si="42"/>
        <v>4.1666666666666661</v>
      </c>
      <c r="S73" s="18">
        <f t="shared" si="42"/>
        <v>5.2083333333333339</v>
      </c>
      <c r="T73" s="18">
        <f t="shared" si="42"/>
        <v>3.125</v>
      </c>
      <c r="U73" s="18">
        <f t="shared" si="42"/>
        <v>7.291666666666667</v>
      </c>
      <c r="V73" s="18">
        <f t="shared" si="42"/>
        <v>7.8125</v>
      </c>
      <c r="W73" s="18">
        <f t="shared" si="42"/>
        <v>3.6458333333333335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63.963221570955191</v>
      </c>
      <c r="AO73">
        <v>78.720866744513373</v>
      </c>
      <c r="AP73">
        <v>497.91426801525762</v>
      </c>
      <c r="AQ73">
        <v>200.5309767848164</v>
      </c>
      <c r="AR73">
        <v>72.982599870658603</v>
      </c>
      <c r="AS73">
        <v>377.61949612646384</v>
      </c>
      <c r="AT73">
        <v>27.749116360445921</v>
      </c>
      <c r="AU73">
        <v>106.65741645485436</v>
      </c>
      <c r="AV73"/>
      <c r="AW73"/>
      <c r="FY73" s="210">
        <v>68</v>
      </c>
      <c r="FZ73">
        <v>24.26622051207665</v>
      </c>
      <c r="GA73">
        <v>67.580877911478524</v>
      </c>
      <c r="GB73">
        <v>34.654680873888267</v>
      </c>
      <c r="GC73">
        <v>14.055634337468772</v>
      </c>
      <c r="GD73">
        <v>10.275198030785514</v>
      </c>
      <c r="GE73">
        <v>11.660674622041508</v>
      </c>
      <c r="GF73">
        <v>9.6066334303346412</v>
      </c>
      <c r="GG73">
        <v>14.824712695248703</v>
      </c>
      <c r="GH73">
        <v>17.909521679258365</v>
      </c>
      <c r="GI73">
        <v>37.505372461911278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104.08249158249158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30.881734006734007</v>
      </c>
      <c r="J74" s="18">
        <f t="shared" si="43"/>
        <v>16.792929292929294</v>
      </c>
      <c r="K74" s="18">
        <f t="shared" si="43"/>
        <v>21.527777777777779</v>
      </c>
      <c r="L74" s="18">
        <f t="shared" si="43"/>
        <v>4.545454545454545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1.0416666666666665</v>
      </c>
      <c r="R74" s="18">
        <f t="shared" si="43"/>
        <v>18.402777777777779</v>
      </c>
      <c r="S74" s="18">
        <f t="shared" si="43"/>
        <v>3.503787878787878</v>
      </c>
      <c r="T74" s="18">
        <f t="shared" si="43"/>
        <v>5.9659090909090899</v>
      </c>
      <c r="U74" s="18">
        <f t="shared" si="43"/>
        <v>0</v>
      </c>
      <c r="V74" s="18">
        <f t="shared" si="43"/>
        <v>1.4204545454545454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49.597795257278705</v>
      </c>
      <c r="AO74">
        <v>68.970280440754067</v>
      </c>
      <c r="AP74">
        <v>532.95086558750802</v>
      </c>
      <c r="AQ74">
        <v>199.39875750577403</v>
      </c>
      <c r="AR74">
        <v>63.968437957189366</v>
      </c>
      <c r="AS74">
        <v>275.20420051470717</v>
      </c>
      <c r="AT74">
        <v>27.125064913351409</v>
      </c>
      <c r="AU74">
        <v>80.143806984238012</v>
      </c>
      <c r="AV74"/>
      <c r="AW74"/>
      <c r="FY74" s="210">
        <v>69</v>
      </c>
      <c r="FZ74">
        <v>25.093466997140396</v>
      </c>
      <c r="GA74">
        <v>31.825422085365282</v>
      </c>
      <c r="GB74">
        <v>14.561326180213356</v>
      </c>
      <c r="GC74">
        <v>10.630493114207095</v>
      </c>
      <c r="GD74">
        <v>4.8213583228361161</v>
      </c>
      <c r="GE74">
        <v>3.0226807840082248</v>
      </c>
      <c r="GF74">
        <v>9.1815555662222597</v>
      </c>
      <c r="GG74">
        <v>14.006624466109468</v>
      </c>
      <c r="GH74">
        <v>7.8811591365080735</v>
      </c>
      <c r="GI74">
        <v>21.746114162178753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159.57341269841271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32.011217948717942</v>
      </c>
      <c r="J75" s="18">
        <f t="shared" si="44"/>
        <v>75.719246031746053</v>
      </c>
      <c r="K75" s="18">
        <f t="shared" si="44"/>
        <v>32.21153846153846</v>
      </c>
      <c r="L75" s="18">
        <f t="shared" si="44"/>
        <v>1.0416666666666665</v>
      </c>
      <c r="M75" s="18">
        <f t="shared" si="44"/>
        <v>0</v>
      </c>
      <c r="N75" s="18">
        <f t="shared" si="44"/>
        <v>0</v>
      </c>
      <c r="O75" s="18">
        <f t="shared" si="44"/>
        <v>0</v>
      </c>
      <c r="P75" s="18">
        <f t="shared" si="44"/>
        <v>0</v>
      </c>
      <c r="Q75" s="18">
        <f t="shared" si="44"/>
        <v>7.2115384615384617</v>
      </c>
      <c r="R75" s="18">
        <f t="shared" si="44"/>
        <v>3.125</v>
      </c>
      <c r="S75" s="18">
        <f t="shared" si="44"/>
        <v>8.2532051282051277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44.24611848073166</v>
      </c>
      <c r="AO75">
        <v>57.407863130580779</v>
      </c>
      <c r="AP75">
        <v>429.38989856914463</v>
      </c>
      <c r="AQ75">
        <v>189.75597893450703</v>
      </c>
      <c r="AR75">
        <v>53.613192286986177</v>
      </c>
      <c r="AS75">
        <v>336.16358172912999</v>
      </c>
      <c r="AT75">
        <v>22.492056027905267</v>
      </c>
      <c r="AU75">
        <v>7.6376334169228404</v>
      </c>
      <c r="AV75"/>
      <c r="AW75"/>
      <c r="FY75" s="210">
        <v>70</v>
      </c>
      <c r="FZ75">
        <v>28.306083094956612</v>
      </c>
      <c r="GA75">
        <v>64.910738902125772</v>
      </c>
      <c r="GB75">
        <v>48.009758202748863</v>
      </c>
      <c r="GC75">
        <v>11.807689761942738</v>
      </c>
      <c r="GD75">
        <v>6.2266194278732279</v>
      </c>
      <c r="GE75">
        <v>7.9951778381285346</v>
      </c>
      <c r="GF75">
        <v>7.3018832069810671</v>
      </c>
      <c r="GG75">
        <v>17.055143594476586</v>
      </c>
      <c r="GH75">
        <v>24.63024829173418</v>
      </c>
      <c r="GI75">
        <v>41.507467252441387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13.107638888888889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7.5520833333333339</v>
      </c>
      <c r="K76" s="18">
        <f t="shared" si="45"/>
        <v>3.4722222222222223</v>
      </c>
      <c r="L76" s="18">
        <f t="shared" si="45"/>
        <v>0</v>
      </c>
      <c r="M76" s="18">
        <f t="shared" si="45"/>
        <v>0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2.083333333333333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53.57273525346185</v>
      </c>
      <c r="AO76">
        <v>74.895177716305</v>
      </c>
      <c r="AP76">
        <v>560.74460341824908</v>
      </c>
      <c r="AQ76">
        <v>236.85836438967439</v>
      </c>
      <c r="AR76">
        <v>69.498414138968755</v>
      </c>
      <c r="AS76">
        <v>477.34090992626102</v>
      </c>
      <c r="AT76">
        <v>27.973798913006974</v>
      </c>
      <c r="AU76">
        <v>11.367025093637364</v>
      </c>
      <c r="AV76"/>
      <c r="AW76"/>
      <c r="FY76" s="210">
        <v>71</v>
      </c>
      <c r="FZ76">
        <v>13.650561400594956</v>
      </c>
      <c r="GA76">
        <v>39.439728473387383</v>
      </c>
      <c r="GB76">
        <v>35.201252578817822</v>
      </c>
      <c r="GC76">
        <v>8.0825734405294813</v>
      </c>
      <c r="GD76">
        <v>4.5434808351612874</v>
      </c>
      <c r="GE76">
        <v>6.4691649352732883</v>
      </c>
      <c r="GF76">
        <v>8.2488355307958123</v>
      </c>
      <c r="GG76">
        <v>15.257576773738112</v>
      </c>
      <c r="GH76">
        <v>21.868287354133848</v>
      </c>
      <c r="GI76">
        <v>28.46228725636028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29.640151515151512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3.125</v>
      </c>
      <c r="K77" s="18">
        <f t="shared" si="46"/>
        <v>2.083333333333333</v>
      </c>
      <c r="L77" s="18">
        <f t="shared" si="46"/>
        <v>2.083333333333333</v>
      </c>
      <c r="M77" s="18">
        <f t="shared" si="46"/>
        <v>7.7651515151515138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6.25</v>
      </c>
      <c r="T77" s="18">
        <f t="shared" si="46"/>
        <v>0</v>
      </c>
      <c r="U77" s="18">
        <f t="shared" si="46"/>
        <v>5.208333333333333</v>
      </c>
      <c r="V77" s="18">
        <f t="shared" si="46"/>
        <v>0</v>
      </c>
      <c r="W77" s="18">
        <f t="shared" si="46"/>
        <v>3.125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64.652515996195319</v>
      </c>
      <c r="AO77">
        <v>76.921998629338418</v>
      </c>
      <c r="AP77">
        <v>494.28320285568452</v>
      </c>
      <c r="AQ77">
        <v>200.18694514733463</v>
      </c>
      <c r="AR77">
        <v>71.576703217505042</v>
      </c>
      <c r="AS77">
        <v>381.25829372754168</v>
      </c>
      <c r="AT77">
        <v>27.201279473318934</v>
      </c>
      <c r="AU77">
        <v>25.823780348131937</v>
      </c>
      <c r="AV77"/>
      <c r="AW77"/>
      <c r="FY77" s="210">
        <v>72</v>
      </c>
      <c r="FZ77">
        <v>23.52197749981773</v>
      </c>
      <c r="GA77">
        <v>48.573375849583513</v>
      </c>
      <c r="GB77">
        <v>34.536015135424613</v>
      </c>
      <c r="GC77">
        <v>9.931451892265871</v>
      </c>
      <c r="GD77">
        <v>4.2878240077547289</v>
      </c>
      <c r="GE77">
        <v>3.2124099206051095</v>
      </c>
      <c r="GF77">
        <v>9.6216825183530652</v>
      </c>
      <c r="GG77">
        <v>17.047248160423223</v>
      </c>
      <c r="GH77">
        <v>11.010408916639651</v>
      </c>
      <c r="GI77">
        <v>30.512715685819934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27.307173901083782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6.6495433789954337</v>
      </c>
      <c r="K78" s="18">
        <f t="shared" si="47"/>
        <v>12.324297188755018</v>
      </c>
      <c r="L78" s="18">
        <f t="shared" si="47"/>
        <v>0</v>
      </c>
      <c r="M78" s="18">
        <f t="shared" si="47"/>
        <v>0</v>
      </c>
      <c r="N78" s="18">
        <f t="shared" si="47"/>
        <v>0</v>
      </c>
      <c r="O78" s="18">
        <f t="shared" si="47"/>
        <v>1.0416666666666665</v>
      </c>
      <c r="P78" s="18">
        <f t="shared" si="47"/>
        <v>1.0416666666666665</v>
      </c>
      <c r="Q78" s="18">
        <f t="shared" si="47"/>
        <v>0</v>
      </c>
      <c r="R78" s="18">
        <f t="shared" si="47"/>
        <v>0</v>
      </c>
      <c r="S78" s="18">
        <f t="shared" si="47"/>
        <v>2.083333333333333</v>
      </c>
      <c r="T78" s="18">
        <f t="shared" si="47"/>
        <v>0</v>
      </c>
      <c r="U78" s="18">
        <f t="shared" si="47"/>
        <v>2.083333333333333</v>
      </c>
      <c r="V78" s="18">
        <f t="shared" si="47"/>
        <v>0</v>
      </c>
      <c r="W78" s="18">
        <f t="shared" si="47"/>
        <v>2.083333333333333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57.432261217164843</v>
      </c>
      <c r="AO78">
        <v>79.745796755572414</v>
      </c>
      <c r="AP78">
        <v>545.8372015213032</v>
      </c>
      <c r="AQ78">
        <v>197.11847642089393</v>
      </c>
      <c r="AR78">
        <v>74.636070540661891</v>
      </c>
      <c r="AS78">
        <v>343.1463614820081</v>
      </c>
      <c r="AT78">
        <v>26.994349739598604</v>
      </c>
      <c r="AU78">
        <v>-24.102595343101029</v>
      </c>
      <c r="AV78"/>
      <c r="AW78"/>
      <c r="FY78" s="210">
        <v>73</v>
      </c>
      <c r="FZ78">
        <v>23.825004791934198</v>
      </c>
      <c r="GA78">
        <v>57.606878054918539</v>
      </c>
      <c r="GB78">
        <v>27.688153536512473</v>
      </c>
      <c r="GC78">
        <v>10.279241100813405</v>
      </c>
      <c r="GD78">
        <v>8.2346909842622296</v>
      </c>
      <c r="GE78">
        <v>10.10303456293834</v>
      </c>
      <c r="GF78">
        <v>8.2591067219928522</v>
      </c>
      <c r="GG78">
        <v>13.345376293801193</v>
      </c>
      <c r="GH78">
        <v>14.719076919603474</v>
      </c>
      <c r="GI78">
        <v>29.749063133359712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29.833984374999996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17.333984375</v>
      </c>
      <c r="K79" s="18">
        <f t="shared" si="48"/>
        <v>4.1666666666666661</v>
      </c>
      <c r="L79" s="18">
        <f t="shared" si="48"/>
        <v>0</v>
      </c>
      <c r="M79" s="18">
        <f t="shared" si="48"/>
        <v>2.083333333333333</v>
      </c>
      <c r="N79" s="18">
        <f t="shared" si="48"/>
        <v>0</v>
      </c>
      <c r="O79" s="18">
        <f t="shared" si="48"/>
        <v>0</v>
      </c>
      <c r="P79" s="18">
        <f t="shared" si="48"/>
        <v>4.1666666666666661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2.083333333333333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65.982936397888651</v>
      </c>
      <c r="AO79">
        <v>70.019384465944142</v>
      </c>
      <c r="AP79">
        <v>529.73186081071708</v>
      </c>
      <c r="AQ79">
        <v>226.43684656280439</v>
      </c>
      <c r="AR79">
        <v>66.264662717803745</v>
      </c>
      <c r="AS79">
        <v>395.31468868414754</v>
      </c>
      <c r="AT79">
        <v>26.619535779812242</v>
      </c>
      <c r="AU79">
        <v>29.309221282590755</v>
      </c>
      <c r="AV79"/>
      <c r="AW79"/>
      <c r="FY79" s="210">
        <v>74</v>
      </c>
      <c r="FZ79">
        <v>20.805793747171453</v>
      </c>
      <c r="GA79">
        <v>72.804309263758256</v>
      </c>
      <c r="GB79">
        <v>39.810261735106515</v>
      </c>
      <c r="GC79">
        <v>10.797089205755164</v>
      </c>
      <c r="GD79">
        <v>6.932258841274586</v>
      </c>
      <c r="GE79">
        <v>6.9380861146189545</v>
      </c>
      <c r="GF79">
        <v>5.6274006989358254</v>
      </c>
      <c r="GG79">
        <v>9.9514169602431917</v>
      </c>
      <c r="GH79">
        <v>15.765551234600395</v>
      </c>
      <c r="GI79">
        <v>31.356143488269975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54.501788206347086</v>
      </c>
      <c r="AO80">
        <v>78.348375474744174</v>
      </c>
      <c r="AP80">
        <v>617.45415863700407</v>
      </c>
      <c r="AQ80">
        <v>232.47289982720827</v>
      </c>
      <c r="AR80">
        <v>74.109289810131401</v>
      </c>
      <c r="AS80">
        <v>411.28867767271765</v>
      </c>
      <c r="AT80">
        <v>27.463272721684604</v>
      </c>
      <c r="AU80">
        <v>9.4676670122332816</v>
      </c>
      <c r="AV80"/>
      <c r="AW80"/>
      <c r="FY80" s="210">
        <v>75</v>
      </c>
      <c r="FZ80">
        <v>21.222786051271274</v>
      </c>
      <c r="GA80">
        <v>65.404614193520715</v>
      </c>
      <c r="GB80">
        <v>35.163199108197702</v>
      </c>
      <c r="GC80">
        <v>10.182219393330353</v>
      </c>
      <c r="GD80">
        <v>5.8249094368907119</v>
      </c>
      <c r="GE80">
        <v>4.6059909781210653</v>
      </c>
      <c r="GF80">
        <v>9.4754149644575651</v>
      </c>
      <c r="GG80">
        <v>20.144236814529307</v>
      </c>
      <c r="GH80">
        <v>19.259146643585868</v>
      </c>
      <c r="GI80">
        <v>31.593059292238781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55.570162156230595</v>
      </c>
      <c r="AO81">
        <v>61.511654536218863</v>
      </c>
      <c r="AP81">
        <v>463.13431042186676</v>
      </c>
      <c r="AQ81">
        <v>202.38699504546705</v>
      </c>
      <c r="AR81">
        <v>57.884883885859558</v>
      </c>
      <c r="AS81">
        <v>307.05378034248861</v>
      </c>
      <c r="AT81">
        <v>21.898328436344332</v>
      </c>
      <c r="AU81">
        <v>-26.655269799755612</v>
      </c>
      <c r="AV81"/>
      <c r="AW81"/>
      <c r="FY81" s="210">
        <v>76</v>
      </c>
      <c r="FZ81">
        <v>31.645243753544996</v>
      </c>
      <c r="GA81">
        <v>85.662901392195209</v>
      </c>
      <c r="GB81">
        <v>40.842301180371003</v>
      </c>
      <c r="GC81">
        <v>10.196318658529609</v>
      </c>
      <c r="GD81">
        <v>5.5309880930926383</v>
      </c>
      <c r="GE81">
        <v>5.7304679605415432</v>
      </c>
      <c r="GF81">
        <v>9.8999659614608699</v>
      </c>
      <c r="GG81">
        <v>13.850414773526628</v>
      </c>
      <c r="GH81">
        <v>8.8663875252363749</v>
      </c>
      <c r="GI81">
        <v>31.794918050367972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68.866754712068399</v>
      </c>
      <c r="AO82">
        <v>70.837173160267426</v>
      </c>
      <c r="AP82">
        <v>533.15702306381752</v>
      </c>
      <c r="AQ82">
        <v>239.80087023412216</v>
      </c>
      <c r="AR82">
        <v>67.368034531761268</v>
      </c>
      <c r="AS82">
        <v>424.8848094161134</v>
      </c>
      <c r="AT82">
        <v>26.565280897479198</v>
      </c>
      <c r="AU82">
        <v>24.548892185906944</v>
      </c>
      <c r="AV82"/>
      <c r="AW82"/>
      <c r="FY82" s="210">
        <v>77</v>
      </c>
      <c r="FZ82">
        <v>15.675923206499215</v>
      </c>
      <c r="GA82">
        <v>51.952107868728362</v>
      </c>
      <c r="GB82">
        <v>45.326642917746589</v>
      </c>
      <c r="GC82">
        <v>12.183284599707715</v>
      </c>
      <c r="GD82">
        <v>8.7070507920249849</v>
      </c>
      <c r="GE82">
        <v>11.746982182199652</v>
      </c>
      <c r="GF82">
        <v>7.7070359103977415</v>
      </c>
      <c r="GG82">
        <v>20.253473172381415</v>
      </c>
      <c r="GH82">
        <v>26.200162065591766</v>
      </c>
      <c r="GI82">
        <v>38.849519875836663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56.239349934419991</v>
      </c>
      <c r="AO83">
        <v>57.483240855321448</v>
      </c>
      <c r="AP83">
        <v>420.80096431661099</v>
      </c>
      <c r="AQ83">
        <v>196.01369670332005</v>
      </c>
      <c r="AR83">
        <v>55.292645064581322</v>
      </c>
      <c r="AS83">
        <v>349.65331515296225</v>
      </c>
      <c r="AT83">
        <v>23.024302297895602</v>
      </c>
      <c r="AU83">
        <v>38.729813513912958</v>
      </c>
      <c r="AV83"/>
      <c r="AW83"/>
      <c r="FY83" s="210">
        <v>78</v>
      </c>
      <c r="FZ83">
        <v>23.257103042429662</v>
      </c>
      <c r="GA83">
        <v>61.750247892110409</v>
      </c>
      <c r="GB83">
        <v>47.290306426985104</v>
      </c>
      <c r="GC83">
        <v>13.563755955730146</v>
      </c>
      <c r="GD83">
        <v>10.65487340185668</v>
      </c>
      <c r="GE83">
        <v>13.625015308955803</v>
      </c>
      <c r="GF83">
        <v>7.3858396342357509</v>
      </c>
      <c r="GG83">
        <v>11.933637966676136</v>
      </c>
      <c r="GH83">
        <v>16.888465645491966</v>
      </c>
      <c r="GI83">
        <v>41.857204071528336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61.122266956166172</v>
      </c>
      <c r="AO84">
        <v>78.697330200741391</v>
      </c>
      <c r="AP84">
        <v>559.07491762102586</v>
      </c>
      <c r="AQ84">
        <v>242.33952655449224</v>
      </c>
      <c r="AR84">
        <v>73.823235455897432</v>
      </c>
      <c r="AS84">
        <v>379.53572608648545</v>
      </c>
      <c r="AT84">
        <v>30.979557452432928</v>
      </c>
      <c r="AU84">
        <v>-34.483252107681231</v>
      </c>
      <c r="AV84"/>
      <c r="AW84"/>
      <c r="AX84" s="157" t="s">
        <v>111</v>
      </c>
      <c r="CJ84" s="157" t="s">
        <v>112</v>
      </c>
      <c r="FY84" s="210">
        <v>79</v>
      </c>
      <c r="FZ84">
        <v>22.93880646118933</v>
      </c>
      <c r="GA84">
        <v>50.573351824301689</v>
      </c>
      <c r="GB84">
        <v>38.430413937165248</v>
      </c>
      <c r="GC84">
        <v>9.2388187595387201</v>
      </c>
      <c r="GD84">
        <v>4.2841049644985993</v>
      </c>
      <c r="GE84">
        <v>4.4508873293026427</v>
      </c>
      <c r="GF84">
        <v>10.796419984917778</v>
      </c>
      <c r="GG84">
        <v>22.199515816909564</v>
      </c>
      <c r="GH84">
        <v>23.352174538346066</v>
      </c>
      <c r="GI84">
        <v>31.551921505455919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53.048235016650167</v>
      </c>
      <c r="AO85">
        <v>44.159065677350789</v>
      </c>
      <c r="AP85">
        <v>297.62811931547128</v>
      </c>
      <c r="AQ85">
        <v>142.77020081478904</v>
      </c>
      <c r="AR85">
        <v>42.227209843059001</v>
      </c>
      <c r="AS85">
        <v>230.93024528290019</v>
      </c>
      <c r="AT85">
        <v>16.759840768925162</v>
      </c>
      <c r="AU85">
        <v>1.310540976913277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25.534988891555493</v>
      </c>
      <c r="GA85">
        <v>51.139265911275366</v>
      </c>
      <c r="GB85">
        <v>39.14949798996777</v>
      </c>
      <c r="GC85">
        <v>14.257197772946347</v>
      </c>
      <c r="GD85">
        <v>5.8564351761702129</v>
      </c>
      <c r="GE85">
        <v>3.8097109649637861</v>
      </c>
      <c r="GF85">
        <v>12.452798463514187</v>
      </c>
      <c r="GG85">
        <v>18.846066671081463</v>
      </c>
      <c r="GH85">
        <v>19.963385231500798</v>
      </c>
      <c r="GI85">
        <v>37.975137717604689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55.544988993814037</v>
      </c>
      <c r="AO86">
        <v>91.472391797183079</v>
      </c>
      <c r="AP86">
        <v>672.75859524935879</v>
      </c>
      <c r="AQ86">
        <v>257.75080957340896</v>
      </c>
      <c r="AR86">
        <v>84.728151607682804</v>
      </c>
      <c r="AS86">
        <v>370.29570964762701</v>
      </c>
      <c r="AT86">
        <v>34.327293678592007</v>
      </c>
      <c r="AU86">
        <v>-12.153358505662062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6" t="s">
        <v>123</v>
      </c>
      <c r="CX86" s="226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22.144714437644847</v>
      </c>
      <c r="GA86">
        <v>36.617447763830071</v>
      </c>
      <c r="GB86">
        <v>21.261955462293109</v>
      </c>
      <c r="GC86">
        <v>12.601405168593587</v>
      </c>
      <c r="GD86">
        <v>6.6262020765899878</v>
      </c>
      <c r="GE86">
        <v>5.2194027829732708</v>
      </c>
      <c r="GF86">
        <v>10.929325868334134</v>
      </c>
      <c r="GG86">
        <v>15.583007092127595</v>
      </c>
      <c r="GH86">
        <v>11.527590544298155</v>
      </c>
      <c r="GI86">
        <v>28.564486635903553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46.802857743284406</v>
      </c>
      <c r="AO87">
        <v>59.766616831021324</v>
      </c>
      <c r="AP87">
        <v>433.05635588976946</v>
      </c>
      <c r="AQ87">
        <v>181.22374857879228</v>
      </c>
      <c r="AR87">
        <v>56.152152504091241</v>
      </c>
      <c r="AS87">
        <v>296.74036258739352</v>
      </c>
      <c r="AT87">
        <v>21.192301368693695</v>
      </c>
      <c r="AU87">
        <v>-5.5279864780177785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25.040351744690646</v>
      </c>
      <c r="GA87">
        <v>46.889061207788188</v>
      </c>
      <c r="GB87">
        <v>22.454001089971204</v>
      </c>
      <c r="GC87">
        <v>9.6227046393564866</v>
      </c>
      <c r="GD87">
        <v>8.5727015508561877</v>
      </c>
      <c r="GE87">
        <v>10.518817462917507</v>
      </c>
      <c r="GF87">
        <v>11.05080259691813</v>
      </c>
      <c r="GG87">
        <v>21.711983871599735</v>
      </c>
      <c r="GH87">
        <v>26.750422146354186</v>
      </c>
      <c r="GI87">
        <v>33.285521099194284</v>
      </c>
      <c r="GJ87"/>
      <c r="GK87"/>
      <c r="GL87"/>
      <c r="GM87"/>
    </row>
    <row r="88" spans="1:195" s="7" customFormat="1">
      <c r="A88" s="128"/>
      <c r="B88" s="76">
        <f t="shared" ref="B88:B119" ca="1" si="49">IF(C88="", "", RAND())</f>
        <v>0.86643842089493983</v>
      </c>
      <c r="C88">
        <v>5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45.500010787544426</v>
      </c>
      <c r="AO88">
        <v>64.849910705735809</v>
      </c>
      <c r="AP88">
        <v>483.80297400593372</v>
      </c>
      <c r="AQ88">
        <v>192.25510958668741</v>
      </c>
      <c r="AR88">
        <v>60.96789707416341</v>
      </c>
      <c r="AS88">
        <v>301.4478023047198</v>
      </c>
      <c r="AT88">
        <v>24.232946712018858</v>
      </c>
      <c r="AU88">
        <v>-21.823514819825483</v>
      </c>
      <c r="AV88"/>
      <c r="AW88"/>
      <c r="AX88" s="128"/>
      <c r="AY88" s="76">
        <f ca="1">IF(AZ88="", "", RAND())</f>
        <v>0.12560288810486497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>
        <v>2</v>
      </c>
      <c r="BG88">
        <v>1</v>
      </c>
      <c r="BH88">
        <v>1</v>
      </c>
      <c r="BI88"/>
      <c r="BJ88">
        <v>1</v>
      </c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0.98278837143741371</v>
      </c>
      <c r="CL88" s="179">
        <f>IF(AZ88="", "", AZ88)</f>
        <v>1</v>
      </c>
      <c r="CM88" s="180">
        <f>IF(AZ88="", "", BA88)</f>
        <v>39646</v>
      </c>
      <c r="CN88">
        <v>1</v>
      </c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1.9686372471666935E-2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20.833333333333332</v>
      </c>
      <c r="DG88" s="161">
        <f t="shared" si="52"/>
        <v>0</v>
      </c>
      <c r="DH88" s="161">
        <f t="shared" si="52"/>
        <v>0</v>
      </c>
      <c r="DI88" s="161">
        <f t="shared" si="52"/>
        <v>0</v>
      </c>
      <c r="DJ88" s="161">
        <f t="shared" si="52"/>
        <v>20.833333333333332</v>
      </c>
      <c r="DK88" s="161">
        <f t="shared" si="52"/>
        <v>10.416666666666666</v>
      </c>
      <c r="DL88" s="161">
        <f t="shared" si="52"/>
        <v>10.416666666666666</v>
      </c>
      <c r="DM88" s="161">
        <f t="shared" si="52"/>
        <v>0</v>
      </c>
      <c r="DN88" s="161">
        <f t="shared" ref="DN88:EJ88" si="53">IF($AZ88="", "", (BJ88*$CW88)/$CZ88)</f>
        <v>10.416666666666666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72.916666666666657</v>
      </c>
      <c r="EL88" s="149"/>
      <c r="EN88" s="146"/>
      <c r="EO88" s="146"/>
      <c r="EP88" s="139">
        <f t="shared" ref="EP88:EP119" si="55">IF(DF88="", "", DF88*G$36)</f>
        <v>3.3272242864117244E-2</v>
      </c>
      <c r="EQ88" s="139">
        <f t="shared" ref="EQ88:EQ119" si="56">IF(DG88="", "", DG88*H$36)</f>
        <v>0</v>
      </c>
      <c r="ER88" s="139">
        <f t="shared" ref="ER88:ER119" si="57">IF(DH88="", "", DH88*I$36)</f>
        <v>0</v>
      </c>
      <c r="ES88" s="139">
        <f t="shared" ref="ES88:ES119" si="58">IF(DI88="", "", DI88*J$36)</f>
        <v>0</v>
      </c>
      <c r="ET88" s="139">
        <f t="shared" ref="ET88:ET119" si="59">IF(DJ88="", "", DJ88*K$36)</f>
        <v>5.777570387628975</v>
      </c>
      <c r="EU88" s="139">
        <f t="shared" ref="EU88:EU119" si="60">IF(DK88="", "", DK88*L$36)</f>
        <v>5.0240283539562274</v>
      </c>
      <c r="EV88" s="139">
        <f t="shared" ref="EV88:EV119" si="61">IF(DL88="", "", DL88*M$36)</f>
        <v>7.8962624008309863</v>
      </c>
      <c r="EW88" s="139">
        <f t="shared" ref="EW88:EW119" si="62">IF(DM88="", "", DM88*N$36)</f>
        <v>0</v>
      </c>
      <c r="EX88" s="139">
        <f t="shared" ref="EX88:EX119" si="63">IF(DN88="", "", DN88*O$36)</f>
        <v>16.116459410078342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34.847592795358651</v>
      </c>
      <c r="FV88" s="149"/>
      <c r="FY88" s="210">
        <v>83</v>
      </c>
      <c r="FZ88">
        <v>23.99628591444538</v>
      </c>
      <c r="GA88">
        <v>30.900588035785525</v>
      </c>
      <c r="GB88">
        <v>18.118505146296133</v>
      </c>
      <c r="GC88">
        <v>12.711542412820823</v>
      </c>
      <c r="GD88">
        <v>8.6316515317323397</v>
      </c>
      <c r="GE88">
        <v>8.3798488416066217</v>
      </c>
      <c r="GF88">
        <v>11.992853325429461</v>
      </c>
      <c r="GG88">
        <v>17.553290696420699</v>
      </c>
      <c r="GH88">
        <v>14.257410231451241</v>
      </c>
      <c r="GI88">
        <v>30.81327645105954</v>
      </c>
      <c r="GJ88"/>
      <c r="GK88"/>
      <c r="GL88"/>
      <c r="GM88"/>
    </row>
    <row r="89" spans="1:195" s="7" customFormat="1">
      <c r="A89" s="115"/>
      <c r="B89" s="76">
        <f t="shared" ca="1" si="49"/>
        <v>0.17229570885272061</v>
      </c>
      <c r="C89">
        <v>9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53.466707860370114</v>
      </c>
      <c r="AO89">
        <v>62.078361342035656</v>
      </c>
      <c r="AP89">
        <v>451.22747563655292</v>
      </c>
      <c r="AQ89">
        <v>203.80962610013643</v>
      </c>
      <c r="AR89">
        <v>58.363476569095305</v>
      </c>
      <c r="AS89">
        <v>320.07490027151852</v>
      </c>
      <c r="AT89">
        <v>23.275946903198584</v>
      </c>
      <c r="AU89">
        <v>28.955109630223394</v>
      </c>
      <c r="AV89"/>
      <c r="AW89"/>
      <c r="AX89" s="150"/>
      <c r="AY89" s="76">
        <f t="shared" ref="AY89:AY151" ca="1" si="87">IF(AZ89="", "", RAND())</f>
        <v>0.13533246637759611</v>
      </c>
      <c r="AZ89">
        <v>2</v>
      </c>
      <c r="BA89" s="129">
        <f t="shared" ref="BA89:BA97" si="88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>
        <v>1</v>
      </c>
      <c r="BL89"/>
      <c r="BM89"/>
      <c r="BN89"/>
      <c r="BO89"/>
      <c r="BP89"/>
      <c r="BQ89"/>
      <c r="BR89"/>
      <c r="BS89">
        <v>1</v>
      </c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9">IF(AZ89="", "", RAND())</f>
        <v>0.40167537509576712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>
        <v>1</v>
      </c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0.9507034269142296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20.833333333333332</v>
      </c>
      <c r="DH89" s="161">
        <f t="shared" ref="DH89:DH152" si="96">IF($AZ89="", "", ((BD89*$CW89)+(CP89*$CX89))/$CZ89)</f>
        <v>0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10.416666666666666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10.416666666666666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41.666666666666664</v>
      </c>
      <c r="EL89" s="149"/>
      <c r="EN89" s="150"/>
      <c r="EO89" s="150"/>
      <c r="EP89" s="139">
        <f t="shared" si="55"/>
        <v>0</v>
      </c>
      <c r="EQ89" s="139">
        <f t="shared" si="56"/>
        <v>0.18562500000000001</v>
      </c>
      <c r="ER89" s="139">
        <f t="shared" si="57"/>
        <v>0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21.583799320310842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104.50084351376002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126.27026783407086</v>
      </c>
      <c r="FV89" s="149"/>
      <c r="FY89" s="210">
        <v>84</v>
      </c>
      <c r="FZ89">
        <v>19.719613511700182</v>
      </c>
      <c r="GA89">
        <v>53.733120558634553</v>
      </c>
      <c r="GB89">
        <v>23.567232570372752</v>
      </c>
      <c r="GC89">
        <v>10.510584214025505</v>
      </c>
      <c r="GD89">
        <v>5.1755313977306123</v>
      </c>
      <c r="GE89">
        <v>3.2089686594006506</v>
      </c>
      <c r="GF89">
        <v>12.391022026465865</v>
      </c>
      <c r="GG89">
        <v>17.952930891244286</v>
      </c>
      <c r="GH89">
        <v>9.1917871940062756</v>
      </c>
      <c r="GI89">
        <v>26.735878595377141</v>
      </c>
      <c r="GJ89"/>
      <c r="GK89"/>
      <c r="GL89"/>
      <c r="GM89"/>
    </row>
    <row r="90" spans="1:195" s="7" customFormat="1">
      <c r="A90" s="115"/>
      <c r="B90" s="76">
        <f t="shared" ca="1" si="49"/>
        <v>6.5220299781210356E-2</v>
      </c>
      <c r="C90">
        <v>4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10.416666666666666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47.936974970551098</v>
      </c>
      <c r="AO90">
        <v>68.037550233145367</v>
      </c>
      <c r="AP90">
        <v>563.91272254238868</v>
      </c>
      <c r="AQ90">
        <v>220.78831128973428</v>
      </c>
      <c r="AR90">
        <v>65.14112811992878</v>
      </c>
      <c r="AS90">
        <v>313.94591997396998</v>
      </c>
      <c r="AT90">
        <v>28.568352652001952</v>
      </c>
      <c r="AU90">
        <v>-67.950896903652961</v>
      </c>
      <c r="AV90"/>
      <c r="AW90"/>
      <c r="AX90" s="150"/>
      <c r="AY90" s="76">
        <f t="shared" ca="1" si="87"/>
        <v>0.5122129455274278</v>
      </c>
      <c r="AZ90">
        <v>3</v>
      </c>
      <c r="BA90" s="129">
        <f t="shared" si="88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9"/>
        <v>0.44965854971775188</v>
      </c>
      <c r="CL90" s="179">
        <f t="shared" si="90"/>
        <v>3</v>
      </c>
      <c r="CM90" s="180">
        <f t="shared" si="91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0.15981147321921352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0</v>
      </c>
      <c r="DJ90" s="161">
        <f t="shared" si="98"/>
        <v>0</v>
      </c>
      <c r="DK90" s="161">
        <f t="shared" si="99"/>
        <v>0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0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0</v>
      </c>
      <c r="ET90" s="139">
        <f t="shared" si="59"/>
        <v>0</v>
      </c>
      <c r="EU90" s="139">
        <f t="shared" si="60"/>
        <v>0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0</v>
      </c>
      <c r="FV90" s="149"/>
      <c r="FY90" s="210">
        <v>85</v>
      </c>
      <c r="FZ90">
        <v>22.539064746620493</v>
      </c>
      <c r="GA90">
        <v>57.477705998647473</v>
      </c>
      <c r="GB90">
        <v>34.030472013379118</v>
      </c>
      <c r="GC90">
        <v>14.161385884855685</v>
      </c>
      <c r="GD90">
        <v>8.8041701617314843</v>
      </c>
      <c r="GE90">
        <v>8.5748769398403653</v>
      </c>
      <c r="GF90">
        <v>13.186632093688182</v>
      </c>
      <c r="GG90">
        <v>22.011236531773758</v>
      </c>
      <c r="GH90">
        <v>18.458465031124561</v>
      </c>
      <c r="GI90">
        <v>42.588097276392901</v>
      </c>
      <c r="GJ90"/>
      <c r="GK90"/>
      <c r="GL90"/>
      <c r="GM90"/>
    </row>
    <row r="91" spans="1:195" s="7" customFormat="1">
      <c r="A91" s="77"/>
      <c r="B91" s="76">
        <f t="shared" ca="1" si="49"/>
        <v>0.54470236070713529</v>
      </c>
      <c r="C91">
        <v>2</v>
      </c>
      <c r="D91">
        <v>39646</v>
      </c>
      <c r="E91">
        <v>0</v>
      </c>
      <c r="F91">
        <v>20.833333333333332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10.416666666666666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10.416666666666666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53.681377836105504</v>
      </c>
      <c r="AO91">
        <v>68.252043530998009</v>
      </c>
      <c r="AP91">
        <v>557.82377415823521</v>
      </c>
      <c r="AQ91">
        <v>222.87557687614336</v>
      </c>
      <c r="AR91">
        <v>63.923937922012541</v>
      </c>
      <c r="AS91">
        <v>368.30419201923632</v>
      </c>
      <c r="AT91">
        <v>27.213459454486994</v>
      </c>
      <c r="AU91">
        <v>-43.911484280223021</v>
      </c>
      <c r="AV91"/>
      <c r="AW91"/>
      <c r="AX91" s="151"/>
      <c r="AY91" s="76">
        <f t="shared" ca="1" si="87"/>
        <v>0.64101785412279733</v>
      </c>
      <c r="AZ91">
        <v>4</v>
      </c>
      <c r="BA91" s="129">
        <f t="shared" si="88"/>
        <v>39646</v>
      </c>
      <c r="BB91">
        <v>0</v>
      </c>
      <c r="BC91"/>
      <c r="BD91"/>
      <c r="BE91"/>
      <c r="BF91"/>
      <c r="BG91"/>
      <c r="BH91">
        <v>1</v>
      </c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9"/>
        <v>0.14554179432833259</v>
      </c>
      <c r="CL91" s="179">
        <f t="shared" si="90"/>
        <v>4</v>
      </c>
      <c r="CM91" s="180">
        <f t="shared" si="91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0.66917901231039312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0</v>
      </c>
      <c r="DJ91" s="161">
        <f t="shared" si="98"/>
        <v>0</v>
      </c>
      <c r="DK91" s="161">
        <f t="shared" si="99"/>
        <v>0</v>
      </c>
      <c r="DL91" s="161">
        <f t="shared" si="100"/>
        <v>10.416666666666666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10.416666666666666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0</v>
      </c>
      <c r="ET91" s="139">
        <f t="shared" si="59"/>
        <v>0</v>
      </c>
      <c r="EU91" s="139">
        <f t="shared" si="60"/>
        <v>0</v>
      </c>
      <c r="EV91" s="139">
        <f t="shared" si="61"/>
        <v>7.8962624008309863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7.8962624008309863</v>
      </c>
      <c r="FV91" s="149"/>
      <c r="FY91" s="210">
        <v>86</v>
      </c>
      <c r="FZ91">
        <v>31.256759771287026</v>
      </c>
      <c r="GA91">
        <v>75.80387450979471</v>
      </c>
      <c r="GB91">
        <v>24.442032915811822</v>
      </c>
      <c r="GC91">
        <v>5.1828892048807047</v>
      </c>
      <c r="GD91">
        <v>2.8552859017400887</v>
      </c>
      <c r="GE91">
        <v>2.6292089580962101</v>
      </c>
      <c r="GF91">
        <v>4.9077960407988517</v>
      </c>
      <c r="GG91">
        <v>12.510945975548584</v>
      </c>
      <c r="GH91">
        <v>11.876428820642881</v>
      </c>
      <c r="GI91">
        <v>21.415557567083482</v>
      </c>
      <c r="GJ91"/>
      <c r="GK91"/>
      <c r="GL91"/>
      <c r="GM91"/>
    </row>
    <row r="92" spans="1:195" s="7" customFormat="1">
      <c r="A92" s="77"/>
      <c r="B92" s="76">
        <f t="shared" ca="1" si="49"/>
        <v>0.5375337903060835</v>
      </c>
      <c r="C92">
        <v>7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50.30182765890568</v>
      </c>
      <c r="AO92">
        <v>65.984217528186662</v>
      </c>
      <c r="AP92">
        <v>555.78551719973495</v>
      </c>
      <c r="AQ92">
        <v>244.01990734886689</v>
      </c>
      <c r="AR92">
        <v>61.822182835401598</v>
      </c>
      <c r="AS92">
        <v>322.66130495224081</v>
      </c>
      <c r="AT92">
        <v>26.158617510359846</v>
      </c>
      <c r="AU92">
        <v>0.68192826270720097</v>
      </c>
      <c r="AV92"/>
      <c r="AW92"/>
      <c r="AX92" s="151"/>
      <c r="AY92" s="76">
        <f t="shared" ca="1" si="87"/>
        <v>0.66939089764156723</v>
      </c>
      <c r="AZ92">
        <v>5</v>
      </c>
      <c r="BA92" s="129">
        <f t="shared" si="88"/>
        <v>39646</v>
      </c>
      <c r="BB92" s="216">
        <v>0</v>
      </c>
      <c r="BC92" s="216"/>
      <c r="BD92" s="216"/>
      <c r="BE92" s="216"/>
      <c r="BF92" s="216"/>
      <c r="BG92" s="216"/>
      <c r="BH92" s="216"/>
      <c r="BI92" s="216"/>
      <c r="BJ92" s="216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9"/>
        <v>0.81961998394078517</v>
      </c>
      <c r="CL92" s="179">
        <f t="shared" si="90"/>
        <v>5</v>
      </c>
      <c r="CM92" s="180">
        <f t="shared" si="91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0.66089637811820978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0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0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0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0</v>
      </c>
      <c r="FV92" s="149"/>
      <c r="FY92" s="210">
        <v>87</v>
      </c>
      <c r="FZ92">
        <v>19.013922464380478</v>
      </c>
      <c r="GA92">
        <v>58.226602090228326</v>
      </c>
      <c r="GB92">
        <v>26.417712495654982</v>
      </c>
      <c r="GC92">
        <v>12.025589896502137</v>
      </c>
      <c r="GD92">
        <v>9.597672190816807</v>
      </c>
      <c r="GE92">
        <v>10.901076452760979</v>
      </c>
      <c r="GF92">
        <v>10.1019138590919</v>
      </c>
      <c r="GG92">
        <v>17.698117422588755</v>
      </c>
      <c r="GH92">
        <v>15.083173201129528</v>
      </c>
      <c r="GI92">
        <v>34.925177253010062</v>
      </c>
      <c r="GJ92"/>
      <c r="GK92"/>
      <c r="GL92"/>
      <c r="GM92"/>
    </row>
    <row r="93" spans="1:195" s="7" customFormat="1">
      <c r="A93" s="77"/>
      <c r="B93" s="76">
        <f t="shared" ca="1" si="49"/>
        <v>0.13445970941388752</v>
      </c>
      <c r="C93">
        <v>3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58.590676256244684</v>
      </c>
      <c r="AO93">
        <v>83.461660849208528</v>
      </c>
      <c r="AP93">
        <v>589.37480122602153</v>
      </c>
      <c r="AQ93">
        <v>238.60218259111406</v>
      </c>
      <c r="AR93">
        <v>77.126885808698205</v>
      </c>
      <c r="AS93">
        <v>353.6125289790611</v>
      </c>
      <c r="AT93">
        <v>30.322993303592849</v>
      </c>
      <c r="AU93">
        <v>-16.767032394280498</v>
      </c>
      <c r="AV93"/>
      <c r="AW93"/>
      <c r="AX93" s="151"/>
      <c r="AY93" s="76">
        <f t="shared" ca="1" si="87"/>
        <v>0.2339184977097184</v>
      </c>
      <c r="AZ93">
        <v>6</v>
      </c>
      <c r="BA93" s="129">
        <f t="shared" si="88"/>
        <v>39646</v>
      </c>
      <c r="BB93">
        <v>0</v>
      </c>
      <c r="BC93"/>
      <c r="BD93"/>
      <c r="BE93"/>
      <c r="BF93"/>
      <c r="BG93">
        <v>1</v>
      </c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9"/>
        <v>0.16476982481225577</v>
      </c>
      <c r="CL93" s="179">
        <f t="shared" si="90"/>
        <v>6</v>
      </c>
      <c r="CM93" s="180">
        <f t="shared" si="91"/>
        <v>39646</v>
      </c>
      <c r="CN93" s="219">
        <v>0</v>
      </c>
      <c r="CO93" s="219"/>
      <c r="CP93" s="219"/>
      <c r="CQ93" s="219"/>
      <c r="CR93" s="219"/>
      <c r="CS93" s="219"/>
      <c r="CT93"/>
      <c r="CU93"/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0.35452115164223619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0</v>
      </c>
      <c r="DJ93" s="161">
        <f t="shared" si="98"/>
        <v>0</v>
      </c>
      <c r="DK93" s="161">
        <f t="shared" si="99"/>
        <v>10.416666666666666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10.416666666666666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0</v>
      </c>
      <c r="ET93" s="139">
        <f t="shared" si="59"/>
        <v>0</v>
      </c>
      <c r="EU93" s="139">
        <f t="shared" si="60"/>
        <v>5.0240283539562274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5.0240283539562274</v>
      </c>
      <c r="FV93" s="149"/>
      <c r="FY93" s="210">
        <v>88</v>
      </c>
      <c r="FZ93">
        <v>15.737998255149376</v>
      </c>
      <c r="GA93">
        <v>63.013219142752817</v>
      </c>
      <c r="GB93">
        <v>25.766598730160503</v>
      </c>
      <c r="GC93">
        <v>8.0320524244322495</v>
      </c>
      <c r="GD93">
        <v>5.0757264084877036</v>
      </c>
      <c r="GE93">
        <v>5.4062718833648216</v>
      </c>
      <c r="GF93">
        <v>12.474613243016901</v>
      </c>
      <c r="GG93">
        <v>23.415980485927385</v>
      </c>
      <c r="GH93">
        <v>19.911367332452706</v>
      </c>
      <c r="GI93">
        <v>27.54022622495124</v>
      </c>
      <c r="GJ93"/>
      <c r="GK93"/>
      <c r="GL93"/>
      <c r="GM93"/>
    </row>
    <row r="94" spans="1:195" s="7" customFormat="1">
      <c r="A94" s="77"/>
      <c r="B94" s="76">
        <f t="shared" ca="1" si="49"/>
        <v>0.33834577785118825</v>
      </c>
      <c r="C94">
        <v>6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10.416666666666666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68.434597172740823</v>
      </c>
      <c r="AO94">
        <v>91.179368264843703</v>
      </c>
      <c r="AP94">
        <v>633.03155337737712</v>
      </c>
      <c r="AQ94">
        <v>248.20644934600003</v>
      </c>
      <c r="AR94">
        <v>84.316152352820041</v>
      </c>
      <c r="AS94">
        <v>522.69083159216075</v>
      </c>
      <c r="AT94">
        <v>33.281035218509913</v>
      </c>
      <c r="AU94">
        <v>113.62380177464775</v>
      </c>
      <c r="AV94"/>
      <c r="AW94"/>
      <c r="AX94" s="151"/>
      <c r="AY94" s="76">
        <f t="shared" ca="1" si="87"/>
        <v>0.84411128688094572</v>
      </c>
      <c r="AZ94">
        <v>7</v>
      </c>
      <c r="BA94" s="129">
        <f t="shared" si="88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9"/>
        <v>0.86069485958898451</v>
      </c>
      <c r="CL94" s="179">
        <f t="shared" si="90"/>
        <v>7</v>
      </c>
      <c r="CM94" s="180">
        <f t="shared" si="91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0.21077458246210234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0</v>
      </c>
      <c r="DJ94" s="161">
        <f t="shared" si="98"/>
        <v>0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0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0</v>
      </c>
      <c r="ET94" s="139">
        <f t="shared" si="59"/>
        <v>0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0</v>
      </c>
      <c r="FV94" s="149"/>
      <c r="FY94" s="210">
        <v>89</v>
      </c>
      <c r="FZ94">
        <v>28.206210648712897</v>
      </c>
      <c r="GA94">
        <v>77.583108537050364</v>
      </c>
      <c r="GB94">
        <v>38.903110546357318</v>
      </c>
      <c r="GC94">
        <v>11.066732150847452</v>
      </c>
      <c r="GD94">
        <v>7.5233232446074627</v>
      </c>
      <c r="GE94">
        <v>8.3103331735423183</v>
      </c>
      <c r="GF94">
        <v>12.615909053997603</v>
      </c>
      <c r="GG94">
        <v>24.181064618435492</v>
      </c>
      <c r="GH94">
        <v>21.955886090584702</v>
      </c>
      <c r="GI94">
        <v>41.020577174921669</v>
      </c>
      <c r="GJ94"/>
      <c r="GK94"/>
      <c r="GL94"/>
      <c r="GM94"/>
    </row>
    <row r="95" spans="1:195" s="7" customFormat="1">
      <c r="A95" s="77"/>
      <c r="B95" s="76">
        <f t="shared" ca="1" si="49"/>
        <v>0.63419716702407314</v>
      </c>
      <c r="C95">
        <v>1</v>
      </c>
      <c r="D95">
        <v>39646</v>
      </c>
      <c r="E95">
        <v>20.833333333333332</v>
      </c>
      <c r="F95">
        <v>0</v>
      </c>
      <c r="G95">
        <v>0</v>
      </c>
      <c r="H95">
        <v>0</v>
      </c>
      <c r="I95">
        <v>20.833333333333332</v>
      </c>
      <c r="J95">
        <v>10.416666666666666</v>
      </c>
      <c r="K95">
        <v>10.416666666666666</v>
      </c>
      <c r="L95">
        <v>0</v>
      </c>
      <c r="M95">
        <v>10.416666666666666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50.712177120088079</v>
      </c>
      <c r="AO95">
        <v>68.002401281759802</v>
      </c>
      <c r="AP95">
        <v>557.64598513316844</v>
      </c>
      <c r="AQ95">
        <v>217.81641512162551</v>
      </c>
      <c r="AR95">
        <v>64.002861257454185</v>
      </c>
      <c r="AS95">
        <v>301.15121388010402</v>
      </c>
      <c r="AT95">
        <v>27.057587823884731</v>
      </c>
      <c r="AU95">
        <v>-18.385228194958003</v>
      </c>
      <c r="AV95"/>
      <c r="AW95"/>
      <c r="AX95" s="151"/>
      <c r="AY95" s="76">
        <f t="shared" ca="1" si="87"/>
        <v>2.5045361131090793E-2</v>
      </c>
      <c r="AZ95">
        <v>8</v>
      </c>
      <c r="BA95" s="129">
        <f t="shared" si="88"/>
        <v>39646</v>
      </c>
      <c r="BB95">
        <v>0</v>
      </c>
      <c r="BC95"/>
      <c r="BD95"/>
      <c r="BE95"/>
      <c r="BF95">
        <v>1</v>
      </c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9"/>
        <v>0.40178349689225468</v>
      </c>
      <c r="CL95" s="179">
        <f t="shared" si="90"/>
        <v>8</v>
      </c>
      <c r="CM95" s="180">
        <f t="shared" si="91"/>
        <v>39646</v>
      </c>
      <c r="CN95">
        <v>0</v>
      </c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0.57145117341736418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10.416666666666666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10.416666666666666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2.8887851938144875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2.8887851938144875</v>
      </c>
      <c r="FV95" s="149"/>
      <c r="FY95" s="210">
        <v>90</v>
      </c>
      <c r="FZ95">
        <v>18.816738397332404</v>
      </c>
      <c r="GA95">
        <v>50.013914408288905</v>
      </c>
      <c r="GB95">
        <v>31.359111228260883</v>
      </c>
      <c r="GC95">
        <v>11.34650115854172</v>
      </c>
      <c r="GD95">
        <v>5.2276462328652018</v>
      </c>
      <c r="GE95">
        <v>4.0200281887212501</v>
      </c>
      <c r="GF95">
        <v>8.6801825271712687</v>
      </c>
      <c r="GG95">
        <v>13.575171294583052</v>
      </c>
      <c r="GH95">
        <v>10.507315746313814</v>
      </c>
      <c r="GI95">
        <v>29.922736052029148</v>
      </c>
      <c r="GJ95"/>
      <c r="GK95"/>
      <c r="GL95"/>
      <c r="GM95"/>
    </row>
    <row r="96" spans="1:195" s="7" customFormat="1">
      <c r="A96" s="77"/>
      <c r="B96" s="76">
        <f t="shared" ca="1" si="49"/>
        <v>0.28222589155504263</v>
      </c>
      <c r="C96">
        <v>8</v>
      </c>
      <c r="D96">
        <v>39646</v>
      </c>
      <c r="E96">
        <v>0</v>
      </c>
      <c r="F96">
        <v>0</v>
      </c>
      <c r="G96">
        <v>0</v>
      </c>
      <c r="H96">
        <v>0</v>
      </c>
      <c r="I96">
        <v>10.416666666666666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58.01234444145102</v>
      </c>
      <c r="AO96">
        <v>80.544960357875226</v>
      </c>
      <c r="AP96">
        <v>563.08597640246228</v>
      </c>
      <c r="AQ96">
        <v>228.98448479058015</v>
      </c>
      <c r="AR96">
        <v>74.988186335790473</v>
      </c>
      <c r="AS96">
        <v>416.38056599347601</v>
      </c>
      <c r="AT96">
        <v>30.95580820547978</v>
      </c>
      <c r="AU96">
        <v>-7.9089496384602551</v>
      </c>
      <c r="AV96"/>
      <c r="AW96"/>
      <c r="AX96" s="151"/>
      <c r="AY96" s="76">
        <f t="shared" ca="1" si="87"/>
        <v>0.31496050377934193</v>
      </c>
      <c r="AZ96">
        <v>9</v>
      </c>
      <c r="BA96" s="129">
        <f t="shared" si="88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9"/>
        <v>0.19630129930239182</v>
      </c>
      <c r="CL96" s="179">
        <f t="shared" si="90"/>
        <v>9</v>
      </c>
      <c r="CM96" s="180">
        <f t="shared" si="91"/>
        <v>39646</v>
      </c>
      <c r="CN96">
        <v>0</v>
      </c>
      <c r="CO96"/>
      <c r="CP96"/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0.36920251401834925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0</v>
      </c>
      <c r="DI96" s="161">
        <f t="shared" si="97"/>
        <v>0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0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</v>
      </c>
      <c r="ES96" s="139">
        <f t="shared" si="58"/>
        <v>0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0</v>
      </c>
      <c r="FV96" s="149"/>
      <c r="FY96" s="210">
        <v>91</v>
      </c>
      <c r="FZ96">
        <v>23.53208241232285</v>
      </c>
      <c r="GA96">
        <v>63.345637903904006</v>
      </c>
      <c r="GB96">
        <v>35.181603365746248</v>
      </c>
      <c r="GC96">
        <v>11.715503010554137</v>
      </c>
      <c r="GD96">
        <v>5.1504944291999788</v>
      </c>
      <c r="GE96">
        <v>2.9022456311535789</v>
      </c>
      <c r="GF96">
        <v>11.195604621070096</v>
      </c>
      <c r="GG96">
        <v>18.81428965684546</v>
      </c>
      <c r="GH96">
        <v>19.449569480788185</v>
      </c>
      <c r="GI96">
        <v>32.075839736054135</v>
      </c>
      <c r="GJ96"/>
      <c r="GK96"/>
      <c r="GL96"/>
      <c r="GM96"/>
    </row>
    <row r="97" spans="1:195" s="7" customFormat="1">
      <c r="A97" s="77"/>
      <c r="B97" s="76">
        <f t="shared" ca="1" si="49"/>
        <v>0.53508992837956382</v>
      </c>
      <c r="C97">
        <v>10</v>
      </c>
      <c r="D97">
        <v>39646</v>
      </c>
      <c r="E97">
        <v>0</v>
      </c>
      <c r="F97">
        <v>20.833333333333332</v>
      </c>
      <c r="G97">
        <v>0</v>
      </c>
      <c r="H97">
        <v>10.416666666666666</v>
      </c>
      <c r="I97">
        <v>0</v>
      </c>
      <c r="J97">
        <v>0</v>
      </c>
      <c r="K97">
        <v>10.416666666666666</v>
      </c>
      <c r="L97">
        <v>0</v>
      </c>
      <c r="M97">
        <v>10.416666666666666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56.634303002342889</v>
      </c>
      <c r="AO97">
        <v>58.543658608465662</v>
      </c>
      <c r="AP97">
        <v>367.40934573633569</v>
      </c>
      <c r="AQ97">
        <v>171.07553783258834</v>
      </c>
      <c r="AR97">
        <v>54.10512308577119</v>
      </c>
      <c r="AS97">
        <v>431.935340510652</v>
      </c>
      <c r="AT97">
        <v>21.83389412995216</v>
      </c>
      <c r="AU97">
        <v>11.272472172866888</v>
      </c>
      <c r="AV97"/>
      <c r="AW97"/>
      <c r="AX97" s="151"/>
      <c r="AY97" s="76">
        <f t="shared" ca="1" si="87"/>
        <v>0.86530226107219144</v>
      </c>
      <c r="AZ97">
        <v>10</v>
      </c>
      <c r="BA97" s="129">
        <f t="shared" si="88"/>
        <v>39646</v>
      </c>
      <c r="BB97">
        <v>0</v>
      </c>
      <c r="BC97"/>
      <c r="BD97"/>
      <c r="BE97">
        <v>1</v>
      </c>
      <c r="BF97"/>
      <c r="BG97"/>
      <c r="BH97">
        <v>1</v>
      </c>
      <c r="BI97"/>
      <c r="BJ97">
        <v>1</v>
      </c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9"/>
        <v>0.34730218513191913</v>
      </c>
      <c r="CL97" s="179">
        <f t="shared" si="90"/>
        <v>10</v>
      </c>
      <c r="CM97" s="180">
        <f t="shared" si="91"/>
        <v>39646</v>
      </c>
      <c r="CN97">
        <v>0</v>
      </c>
      <c r="CO97">
        <v>1</v>
      </c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8.736420969928993E-3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20.833333333333332</v>
      </c>
      <c r="DH97" s="161">
        <f t="shared" si="96"/>
        <v>0</v>
      </c>
      <c r="DI97" s="161">
        <f t="shared" si="97"/>
        <v>10.416666666666666</v>
      </c>
      <c r="DJ97" s="161">
        <f t="shared" si="98"/>
        <v>0</v>
      </c>
      <c r="DK97" s="161">
        <f t="shared" si="99"/>
        <v>0</v>
      </c>
      <c r="DL97" s="161">
        <f t="shared" si="100"/>
        <v>10.416666666666666</v>
      </c>
      <c r="DM97" s="161">
        <f t="shared" si="101"/>
        <v>0</v>
      </c>
      <c r="DN97" s="161">
        <f t="shared" si="102"/>
        <v>10.416666666666666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52.083333333333329</v>
      </c>
      <c r="EL97" s="149"/>
      <c r="EN97" s="151"/>
      <c r="EO97" s="151"/>
      <c r="EP97" s="139">
        <f t="shared" si="55"/>
        <v>0</v>
      </c>
      <c r="EQ97" s="139">
        <f t="shared" si="56"/>
        <v>0.18562500000000001</v>
      </c>
      <c r="ER97" s="139">
        <f t="shared" si="57"/>
        <v>0</v>
      </c>
      <c r="ES97" s="139">
        <f t="shared" si="58"/>
        <v>1.4153608636727069</v>
      </c>
      <c r="ET97" s="139">
        <f t="shared" si="59"/>
        <v>0</v>
      </c>
      <c r="EU97" s="139">
        <f t="shared" si="60"/>
        <v>0</v>
      </c>
      <c r="EV97" s="139">
        <f t="shared" si="61"/>
        <v>7.8962624008309863</v>
      </c>
      <c r="EW97" s="139">
        <f t="shared" si="62"/>
        <v>0</v>
      </c>
      <c r="EX97" s="139">
        <f t="shared" si="63"/>
        <v>16.116459410078342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25.613707674582034</v>
      </c>
      <c r="FV97" s="149"/>
      <c r="FY97" s="210">
        <v>92</v>
      </c>
      <c r="FZ97">
        <v>22.79639101839966</v>
      </c>
      <c r="GA97">
        <v>33.336263030486037</v>
      </c>
      <c r="GB97">
        <v>42.23667886645201</v>
      </c>
      <c r="GC97">
        <v>15.182357159359274</v>
      </c>
      <c r="GD97">
        <v>5.3585569500128249</v>
      </c>
      <c r="GE97">
        <v>4.2949105798030063</v>
      </c>
      <c r="GF97">
        <v>9.8745207748293353</v>
      </c>
      <c r="GG97">
        <v>9.4721539153506882</v>
      </c>
      <c r="GH97">
        <v>6.1336976331294899</v>
      </c>
      <c r="GI97">
        <v>35.261673991919551</v>
      </c>
      <c r="GJ97"/>
      <c r="GK97"/>
      <c r="GL97"/>
      <c r="GM97"/>
    </row>
    <row r="98" spans="1:195" s="7" customFormat="1">
      <c r="A98" s="128"/>
      <c r="B98" s="76">
        <f t="shared" ca="1" si="49"/>
        <v>0.27758314820835128</v>
      </c>
      <c r="C98">
        <v>6</v>
      </c>
      <c r="D98">
        <v>39673</v>
      </c>
      <c r="E98">
        <v>0</v>
      </c>
      <c r="F98">
        <v>0</v>
      </c>
      <c r="G98">
        <v>10.416666666666666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10.416666666666666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61.458074824696418</v>
      </c>
      <c r="AO98">
        <v>68.041369488388696</v>
      </c>
      <c r="AP98">
        <v>469.90396419045857</v>
      </c>
      <c r="AQ98">
        <v>215.89636740964656</v>
      </c>
      <c r="AR98">
        <v>64.507383278962038</v>
      </c>
      <c r="AS98">
        <v>334.89762402584125</v>
      </c>
      <c r="AT98">
        <v>26.006097162913608</v>
      </c>
      <c r="AU98">
        <v>-10.161048006653591</v>
      </c>
      <c r="AV98"/>
      <c r="AW98"/>
      <c r="AX98" s="128"/>
      <c r="AY98" s="76">
        <f t="shared" ca="1" si="87"/>
        <v>0.40591058212775444</v>
      </c>
      <c r="AZ98">
        <v>1</v>
      </c>
      <c r="BA98" s="129">
        <f>IF(AZ98="", "",$C$5)</f>
        <v>39673</v>
      </c>
      <c r="BB98">
        <v>0</v>
      </c>
      <c r="BC98"/>
      <c r="BD98"/>
      <c r="BE98">
        <v>1</v>
      </c>
      <c r="BF98"/>
      <c r="BG98"/>
      <c r="BH98">
        <v>1</v>
      </c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9"/>
        <v>0.49330245807954509</v>
      </c>
      <c r="CL98" s="179">
        <f t="shared" si="90"/>
        <v>1</v>
      </c>
      <c r="CM98" s="180">
        <f t="shared" si="91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0.25081255604763197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10.416666666666666</v>
      </c>
      <c r="DJ98" s="161">
        <f t="shared" si="98"/>
        <v>0</v>
      </c>
      <c r="DK98" s="161">
        <f t="shared" si="99"/>
        <v>0</v>
      </c>
      <c r="DL98" s="161">
        <f t="shared" si="100"/>
        <v>10.416666666666666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20.833333333333332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1.4153608636727069</v>
      </c>
      <c r="ET98" s="139">
        <f t="shared" si="59"/>
        <v>0</v>
      </c>
      <c r="EU98" s="139">
        <f t="shared" si="60"/>
        <v>0</v>
      </c>
      <c r="EV98" s="139">
        <f t="shared" si="61"/>
        <v>7.8962624008309863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9.3116232645036927</v>
      </c>
      <c r="FV98" s="149"/>
      <c r="FY98" s="210">
        <v>93</v>
      </c>
      <c r="FZ98">
        <v>24.055588180772435</v>
      </c>
      <c r="GA98">
        <v>45.881065185758807</v>
      </c>
      <c r="GB98">
        <v>42.905233072811995</v>
      </c>
      <c r="GC98">
        <v>10.700814078574659</v>
      </c>
      <c r="GD98">
        <v>6.1318009432266116</v>
      </c>
      <c r="GE98">
        <v>8.2857187755618273</v>
      </c>
      <c r="GF98">
        <v>11.370260015197092</v>
      </c>
      <c r="GG98">
        <v>18.316445312360791</v>
      </c>
      <c r="GH98">
        <v>15.505936035983025</v>
      </c>
      <c r="GI98">
        <v>39.087666975136038</v>
      </c>
      <c r="GJ98"/>
      <c r="GK98"/>
      <c r="GL98"/>
      <c r="GM98"/>
    </row>
    <row r="99" spans="1:195" s="7" customFormat="1">
      <c r="A99" s="1"/>
      <c r="B99" s="76">
        <f t="shared" ca="1" si="49"/>
        <v>0.24100928538488109</v>
      </c>
      <c r="C99">
        <v>4</v>
      </c>
      <c r="D99">
        <v>39673</v>
      </c>
      <c r="E99">
        <v>0</v>
      </c>
      <c r="F99">
        <v>0</v>
      </c>
      <c r="G99">
        <v>0</v>
      </c>
      <c r="H99">
        <v>10.416666666666666</v>
      </c>
      <c r="I99">
        <v>0</v>
      </c>
      <c r="J99">
        <v>0</v>
      </c>
      <c r="K99">
        <v>0</v>
      </c>
      <c r="L99">
        <v>0</v>
      </c>
      <c r="M99">
        <v>10.416666666666666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49.254940677985978</v>
      </c>
      <c r="AO99">
        <v>62.827853569002478</v>
      </c>
      <c r="AP99">
        <v>382.3941113478387</v>
      </c>
      <c r="AQ99">
        <v>177.35525258704777</v>
      </c>
      <c r="AR99">
        <v>58.014271960294295</v>
      </c>
      <c r="AS99">
        <v>298.77336356885837</v>
      </c>
      <c r="AT99">
        <v>25.701548180642487</v>
      </c>
      <c r="AU99">
        <v>8.3992807888900138</v>
      </c>
      <c r="AV99"/>
      <c r="AW99"/>
      <c r="AX99" s="146"/>
      <c r="AY99" s="76">
        <f t="shared" ca="1" si="87"/>
        <v>0.30864372852240329</v>
      </c>
      <c r="AZ99">
        <v>2</v>
      </c>
      <c r="BA99" s="129">
        <f t="shared" ref="BA99:BA107" si="126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9"/>
        <v>0.48918927402063961</v>
      </c>
      <c r="CL99" s="179">
        <f t="shared" si="90"/>
        <v>2</v>
      </c>
      <c r="CM99" s="180">
        <f t="shared" si="91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0.13361285039327875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0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0</v>
      </c>
      <c r="FV99" s="149"/>
      <c r="FY99" s="210">
        <v>94</v>
      </c>
      <c r="FZ99">
        <v>23.725097255684886</v>
      </c>
      <c r="GA99">
        <v>46.636447717664815</v>
      </c>
      <c r="GB99">
        <v>32.994925480321655</v>
      </c>
      <c r="GC99">
        <v>11.983675058963144</v>
      </c>
      <c r="GD99">
        <v>6.0725231971599456</v>
      </c>
      <c r="GE99">
        <v>6.2206616733898574</v>
      </c>
      <c r="GF99">
        <v>9.5578570488922754</v>
      </c>
      <c r="GG99">
        <v>14.334708549427809</v>
      </c>
      <c r="GH99">
        <v>19.574128322519769</v>
      </c>
      <c r="GI99">
        <v>33.795259621745693</v>
      </c>
      <c r="GJ99"/>
      <c r="GK99"/>
      <c r="GL99"/>
      <c r="GM99"/>
    </row>
    <row r="100" spans="1:195" s="7" customFormat="1">
      <c r="A100" s="1"/>
      <c r="B100" s="76">
        <f t="shared" ca="1" si="49"/>
        <v>0.76463092900834262</v>
      </c>
      <c r="C100">
        <v>10</v>
      </c>
      <c r="D100">
        <v>39673</v>
      </c>
      <c r="E100">
        <v>0</v>
      </c>
      <c r="F100">
        <v>0</v>
      </c>
      <c r="G100">
        <v>148.80952380952382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45.996638882074578</v>
      </c>
      <c r="AO100">
        <v>53.569011419550733</v>
      </c>
      <c r="AP100">
        <v>403.42422837298881</v>
      </c>
      <c r="AQ100">
        <v>182.18666961895781</v>
      </c>
      <c r="AR100">
        <v>50.142181063366742</v>
      </c>
      <c r="AS100">
        <v>350.4876048864565</v>
      </c>
      <c r="AT100">
        <v>22.666632607132069</v>
      </c>
      <c r="AU100">
        <v>9.2101944971242293</v>
      </c>
      <c r="AV100"/>
      <c r="AW100"/>
      <c r="AX100" s="146"/>
      <c r="AY100" s="76">
        <f t="shared" ca="1" si="87"/>
        <v>0.78817726858039827</v>
      </c>
      <c r="AZ100">
        <v>3</v>
      </c>
      <c r="BA100" s="129">
        <f t="shared" si="126"/>
        <v>39673</v>
      </c>
      <c r="BB100">
        <v>0</v>
      </c>
      <c r="BC100"/>
      <c r="BD100"/>
      <c r="BE100"/>
      <c r="BF100"/>
      <c r="BG100"/>
      <c r="BH100"/>
      <c r="BI100"/>
      <c r="BJ100">
        <v>1</v>
      </c>
      <c r="BK100"/>
      <c r="BL100"/>
      <c r="BM100"/>
      <c r="BN100">
        <v>1</v>
      </c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9"/>
        <v>0.79747085541690432</v>
      </c>
      <c r="CL100" s="179">
        <f t="shared" si="90"/>
        <v>3</v>
      </c>
      <c r="CM100" s="180">
        <f t="shared" si="91"/>
        <v>39673</v>
      </c>
      <c r="CN100">
        <v>0</v>
      </c>
      <c r="CO100"/>
      <c r="CP100">
        <v>4</v>
      </c>
      <c r="CQ100">
        <v>2</v>
      </c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0.52736517664114135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285.94771241830063</v>
      </c>
      <c r="DI100" s="161">
        <f t="shared" si="97"/>
        <v>142.97385620915031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10.416666666666666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10.416666666666666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449.75490196078431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14.214078835012218</v>
      </c>
      <c r="ES100" s="139">
        <f t="shared" si="58"/>
        <v>19.426521658252838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16.116459410078342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44.053047885599483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93.810107788942872</v>
      </c>
      <c r="FV100" s="149"/>
      <c r="FY100" s="210">
        <v>95</v>
      </c>
      <c r="FZ100">
        <v>26.43842131215807</v>
      </c>
      <c r="GA100">
        <v>73.791338658257033</v>
      </c>
      <c r="GB100">
        <v>36.440929679467011</v>
      </c>
      <c r="GC100">
        <v>7.8171412286544824</v>
      </c>
      <c r="GD100">
        <v>5.9335988849820724</v>
      </c>
      <c r="GE100">
        <v>6.4630628167504298</v>
      </c>
      <c r="GF100">
        <v>6.3830995429754838</v>
      </c>
      <c r="GG100">
        <v>11.9124848202925</v>
      </c>
      <c r="GH100">
        <v>12.856519118808436</v>
      </c>
      <c r="GI100">
        <v>29.63624870155936</v>
      </c>
      <c r="GJ100"/>
      <c r="GK100"/>
      <c r="GL100"/>
      <c r="GM100"/>
    </row>
    <row r="101" spans="1:195" s="7" customFormat="1">
      <c r="A101" s="1"/>
      <c r="B101" s="76">
        <f t="shared" ca="1" si="49"/>
        <v>0.42459796901029367</v>
      </c>
      <c r="C101">
        <v>8</v>
      </c>
      <c r="D101">
        <v>39673</v>
      </c>
      <c r="E101">
        <v>0</v>
      </c>
      <c r="F101">
        <v>0</v>
      </c>
      <c r="G101">
        <v>0</v>
      </c>
      <c r="H101">
        <v>20.833333333333332</v>
      </c>
      <c r="I101">
        <v>41.666666666666664</v>
      </c>
      <c r="J101">
        <v>0</v>
      </c>
      <c r="K101">
        <v>0</v>
      </c>
      <c r="L101">
        <v>20.833333333333332</v>
      </c>
      <c r="M101">
        <v>10.416666666666666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66.324063616518472</v>
      </c>
      <c r="AO101">
        <v>91.881791635847776</v>
      </c>
      <c r="AP101">
        <v>598.55507707285949</v>
      </c>
      <c r="AQ101">
        <v>241.83210667805406</v>
      </c>
      <c r="AR101">
        <v>84.196620171120685</v>
      </c>
      <c r="AS101">
        <v>546.82675676217923</v>
      </c>
      <c r="AT101">
        <v>35.599904441435278</v>
      </c>
      <c r="AU101">
        <v>46.272611351927182</v>
      </c>
      <c r="AV101"/>
      <c r="AW101"/>
      <c r="AX101" s="146"/>
      <c r="AY101" s="76">
        <f t="shared" ca="1" si="87"/>
        <v>0.44000379658970612</v>
      </c>
      <c r="AZ101">
        <v>4</v>
      </c>
      <c r="BA101" s="129">
        <f t="shared" si="126"/>
        <v>39673</v>
      </c>
      <c r="BB101">
        <v>0</v>
      </c>
      <c r="BC101"/>
      <c r="BD101"/>
      <c r="BE101">
        <v>1</v>
      </c>
      <c r="BF101"/>
      <c r="BG101"/>
      <c r="BH101"/>
      <c r="BI101"/>
      <c r="BJ101">
        <v>1</v>
      </c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9"/>
        <v>0.48647725305722656</v>
      </c>
      <c r="CL101" s="179">
        <f t="shared" si="90"/>
        <v>4</v>
      </c>
      <c r="CM101" s="180">
        <f t="shared" si="91"/>
        <v>39673</v>
      </c>
      <c r="CN101"/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0.97282118595433698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10.416666666666666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10.416666666666666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20.833333333333332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1.4153608636727069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16.116459410078342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17.531820273751048</v>
      </c>
      <c r="FV101" s="149"/>
      <c r="FY101" s="210">
        <v>96</v>
      </c>
      <c r="FZ101">
        <v>31.441006510284062</v>
      </c>
      <c r="GA101">
        <v>61.297199557521083</v>
      </c>
      <c r="GB101">
        <v>39.879721728468759</v>
      </c>
      <c r="GC101">
        <v>13.375622436490884</v>
      </c>
      <c r="GD101">
        <v>6.2365420931289846</v>
      </c>
      <c r="GE101">
        <v>5.4277616085481144</v>
      </c>
      <c r="GF101">
        <v>6.0929893517562626</v>
      </c>
      <c r="GG101">
        <v>10.092823792564561</v>
      </c>
      <c r="GH101">
        <v>13.836144617544033</v>
      </c>
      <c r="GI101">
        <v>35.640091523836844</v>
      </c>
      <c r="GJ101"/>
      <c r="GK101"/>
      <c r="GL101"/>
      <c r="GM101"/>
    </row>
    <row r="102" spans="1:195" s="7" customFormat="1">
      <c r="A102" s="1"/>
      <c r="B102" s="76">
        <f t="shared" ca="1" si="49"/>
        <v>0.59187251120165341</v>
      </c>
      <c r="C102">
        <v>7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10.416666666666666</v>
      </c>
      <c r="N102">
        <v>0</v>
      </c>
      <c r="O102">
        <v>0</v>
      </c>
      <c r="P102">
        <v>0</v>
      </c>
      <c r="Q102">
        <v>10.416666666666666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44.329364470190157</v>
      </c>
      <c r="AO102">
        <v>43.640607800658529</v>
      </c>
      <c r="AP102">
        <v>396.69684454996093</v>
      </c>
      <c r="AQ102">
        <v>192.88077966568432</v>
      </c>
      <c r="AR102">
        <v>40.644575184772307</v>
      </c>
      <c r="AS102">
        <v>269.68583434500169</v>
      </c>
      <c r="AT102">
        <v>17.189354948628051</v>
      </c>
      <c r="AU102">
        <v>5.4128238187840205</v>
      </c>
      <c r="AV102"/>
      <c r="AW102"/>
      <c r="AX102" s="146"/>
      <c r="AY102" s="76">
        <f t="shared" ca="1" si="87"/>
        <v>0.29678624139099252</v>
      </c>
      <c r="AZ102">
        <v>5</v>
      </c>
      <c r="BA102" s="129">
        <f t="shared" si="126"/>
        <v>39673</v>
      </c>
      <c r="BB102">
        <v>0</v>
      </c>
      <c r="BC102"/>
      <c r="BD102"/>
      <c r="BE102"/>
      <c r="BF102"/>
      <c r="BG102"/>
      <c r="BH102"/>
      <c r="BI102">
        <v>1</v>
      </c>
      <c r="BJ102"/>
      <c r="BK102"/>
      <c r="BL102">
        <v>1</v>
      </c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9"/>
        <v>0.8977367229459976</v>
      </c>
      <c r="CL102" s="179">
        <f t="shared" si="90"/>
        <v>5</v>
      </c>
      <c r="CM102" s="180">
        <f t="shared" si="91"/>
        <v>39673</v>
      </c>
      <c r="CN102">
        <v>0</v>
      </c>
      <c r="CO102"/>
      <c r="CP102"/>
      <c r="CQ102">
        <v>1</v>
      </c>
      <c r="CR102"/>
      <c r="CS102"/>
      <c r="CT102"/>
      <c r="CU102"/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0.49925424888927772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10.416666666666666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10.416666666666666</v>
      </c>
      <c r="DN102" s="161">
        <f t="shared" si="102"/>
        <v>0</v>
      </c>
      <c r="DO102" s="161">
        <f t="shared" si="103"/>
        <v>0</v>
      </c>
      <c r="DP102" s="161">
        <f t="shared" si="104"/>
        <v>10.416666666666666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31.25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1.4153608636727069</v>
      </c>
      <c r="ET102" s="139">
        <f t="shared" si="59"/>
        <v>0</v>
      </c>
      <c r="EU102" s="139">
        <f t="shared" si="60"/>
        <v>0</v>
      </c>
      <c r="EV102" s="139">
        <f t="shared" si="61"/>
        <v>0</v>
      </c>
      <c r="EW102" s="139">
        <f t="shared" si="62"/>
        <v>11.57309745439952</v>
      </c>
      <c r="EX102" s="139">
        <f t="shared" si="63"/>
        <v>0</v>
      </c>
      <c r="EY102" s="139">
        <f t="shared" si="64"/>
        <v>0</v>
      </c>
      <c r="EZ102" s="139">
        <f t="shared" si="65"/>
        <v>28.028926904981219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41.017385223053445</v>
      </c>
      <c r="FV102" s="149"/>
      <c r="FY102" s="210">
        <v>97</v>
      </c>
      <c r="FZ102">
        <v>22.170293793243992</v>
      </c>
      <c r="GA102">
        <v>64.058115570280904</v>
      </c>
      <c r="GB102">
        <v>46.827599248829536</v>
      </c>
      <c r="GC102">
        <v>9.2724764032035996</v>
      </c>
      <c r="GD102">
        <v>4.9058245946958534</v>
      </c>
      <c r="GE102">
        <v>6.4291101393278369</v>
      </c>
      <c r="GF102">
        <v>3.7220354196487255</v>
      </c>
      <c r="GG102">
        <v>15.564876823982829</v>
      </c>
      <c r="GH102">
        <v>31.659063099443571</v>
      </c>
      <c r="GI102">
        <v>33.39180237685953</v>
      </c>
      <c r="GJ102"/>
      <c r="GK102"/>
      <c r="GL102"/>
      <c r="GM102"/>
    </row>
    <row r="103" spans="1:195" s="7" customFormat="1">
      <c r="A103" s="1"/>
      <c r="B103" s="76">
        <f t="shared" ca="1" si="49"/>
        <v>0.26494482305216271</v>
      </c>
      <c r="C103">
        <v>3</v>
      </c>
      <c r="D103">
        <v>39673</v>
      </c>
      <c r="E103">
        <v>0</v>
      </c>
      <c r="F103">
        <v>0</v>
      </c>
      <c r="G103">
        <v>285.94771241830063</v>
      </c>
      <c r="H103">
        <v>142.97385620915031</v>
      </c>
      <c r="I103">
        <v>0</v>
      </c>
      <c r="J103">
        <v>0</v>
      </c>
      <c r="K103">
        <v>0</v>
      </c>
      <c r="L103">
        <v>0</v>
      </c>
      <c r="M103">
        <v>10.416666666666666</v>
      </c>
      <c r="N103">
        <v>0</v>
      </c>
      <c r="O103">
        <v>0</v>
      </c>
      <c r="P103">
        <v>0</v>
      </c>
      <c r="Q103">
        <v>10.416666666666666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57.216675177449396</v>
      </c>
      <c r="AO103">
        <v>74.960001737425486</v>
      </c>
      <c r="AP103">
        <v>501.89123374374316</v>
      </c>
      <c r="AQ103">
        <v>213.99095732616399</v>
      </c>
      <c r="AR103">
        <v>69.274677773602775</v>
      </c>
      <c r="AS103">
        <v>399.01017601648022</v>
      </c>
      <c r="AT103">
        <v>29.31245773486242</v>
      </c>
      <c r="AU103">
        <v>50.211046027644301</v>
      </c>
      <c r="AV103"/>
      <c r="AW103"/>
      <c r="AX103" s="146"/>
      <c r="AY103" s="76">
        <f ca="1">IF(AZ103="", "", RAND())</f>
        <v>9.6769311628353449E-2</v>
      </c>
      <c r="AZ103">
        <v>6</v>
      </c>
      <c r="BA103" s="129">
        <f t="shared" si="126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>
        <v>1</v>
      </c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9"/>
        <v>0.68988433994857612</v>
      </c>
      <c r="CL103" s="179">
        <f t="shared" si="90"/>
        <v>6</v>
      </c>
      <c r="CM103" s="180">
        <f t="shared" si="91"/>
        <v>39673</v>
      </c>
      <c r="CN103">
        <v>0</v>
      </c>
      <c r="CO103"/>
      <c r="CP103">
        <v>1</v>
      </c>
      <c r="CQ103"/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0.2527289699947719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10.416666666666666</v>
      </c>
      <c r="DI103" s="161">
        <f t="shared" si="97"/>
        <v>0</v>
      </c>
      <c r="DJ103" s="161">
        <f t="shared" si="98"/>
        <v>0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10.416666666666666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20.833333333333332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0.517798586132588</v>
      </c>
      <c r="ES103" s="139">
        <f t="shared" si="58"/>
        <v>0</v>
      </c>
      <c r="ET103" s="139">
        <f t="shared" si="59"/>
        <v>0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28.028926904981219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28.546725491113808</v>
      </c>
      <c r="FV103" s="149"/>
      <c r="FY103" s="210">
        <v>98</v>
      </c>
      <c r="FZ103">
        <v>21.690833016549512</v>
      </c>
      <c r="GA103">
        <v>29.784735797143185</v>
      </c>
      <c r="GB103">
        <v>14.902872512772877</v>
      </c>
      <c r="GC103">
        <v>11.001142614398349</v>
      </c>
      <c r="GD103">
        <v>5.1364830702022486</v>
      </c>
      <c r="GE103">
        <v>3.8929706716162222</v>
      </c>
      <c r="GF103">
        <v>10.181676194432072</v>
      </c>
      <c r="GG103">
        <v>14.896494086827587</v>
      </c>
      <c r="GH103">
        <v>12.566558792352295</v>
      </c>
      <c r="GI103">
        <v>22.775990407969047</v>
      </c>
      <c r="GJ103"/>
      <c r="GK103"/>
      <c r="GL103"/>
      <c r="GM103"/>
    </row>
    <row r="104" spans="1:195" s="7" customFormat="1">
      <c r="A104" s="1"/>
      <c r="B104" s="76">
        <f t="shared" ca="1" si="49"/>
        <v>0.78310356331866049</v>
      </c>
      <c r="C104">
        <v>9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10.416666666666666</v>
      </c>
      <c r="L104">
        <v>10.416666666666666</v>
      </c>
      <c r="M104">
        <v>10.416666666666666</v>
      </c>
      <c r="N104">
        <v>10.416666666666666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48.639131455219129</v>
      </c>
      <c r="AO104">
        <v>57.51422782513292</v>
      </c>
      <c r="AP104">
        <v>472.45306373482242</v>
      </c>
      <c r="AQ104">
        <v>206.3740541306957</v>
      </c>
      <c r="AR104">
        <v>53.583450156946206</v>
      </c>
      <c r="AS104">
        <v>365.58039019374354</v>
      </c>
      <c r="AT104">
        <v>22.506455395097024</v>
      </c>
      <c r="AU104">
        <v>-17.651951445804972</v>
      </c>
      <c r="AV104"/>
      <c r="AW104"/>
      <c r="AX104" s="146"/>
      <c r="AY104" s="76">
        <f ca="1">IF(AZ104="", "", RAND())</f>
        <v>0.21633642543466625</v>
      </c>
      <c r="AZ104">
        <v>7</v>
      </c>
      <c r="BA104" s="129">
        <f t="shared" si="126"/>
        <v>39673</v>
      </c>
      <c r="BB104">
        <v>0</v>
      </c>
      <c r="BC104"/>
      <c r="BD104"/>
      <c r="BE104"/>
      <c r="BF104"/>
      <c r="BG104"/>
      <c r="BH104"/>
      <c r="BI104"/>
      <c r="BJ104">
        <v>1</v>
      </c>
      <c r="BK104"/>
      <c r="BL104"/>
      <c r="BM104"/>
      <c r="BN104">
        <v>1</v>
      </c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9"/>
        <v>0.88321732310100143</v>
      </c>
      <c r="CL104" s="179">
        <f t="shared" si="90"/>
        <v>7</v>
      </c>
      <c r="CM104" s="180">
        <f t="shared" si="91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0.42556672123467187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10.416666666666666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10.416666666666666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20.833333333333332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16.116459410078342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44.053047885599483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60.169507295677825</v>
      </c>
      <c r="FV104" s="149"/>
      <c r="FY104" s="210">
        <v>99</v>
      </c>
      <c r="FZ104">
        <v>21.473617450466183</v>
      </c>
      <c r="GA104">
        <v>49.298851912355687</v>
      </c>
      <c r="GB104">
        <v>25.753140634722538</v>
      </c>
      <c r="GC104">
        <v>11.900083005062244</v>
      </c>
      <c r="GD104">
        <v>8.6582982995931062</v>
      </c>
      <c r="GE104">
        <v>7.2292475173916824</v>
      </c>
      <c r="GF104">
        <v>13.66988741913856</v>
      </c>
      <c r="GG104">
        <v>25.593928859162958</v>
      </c>
      <c r="GH104">
        <v>19.188152726374142</v>
      </c>
      <c r="GI104">
        <v>33.946249891225456</v>
      </c>
      <c r="GJ104"/>
      <c r="GK104"/>
      <c r="GL104"/>
      <c r="GM104"/>
    </row>
    <row r="105" spans="1:195" s="7" customFormat="1">
      <c r="A105" s="1"/>
      <c r="B105" s="76">
        <f t="shared" ca="1" si="49"/>
        <v>0.90394808702265372</v>
      </c>
      <c r="C105">
        <v>2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62.893281088588438</v>
      </c>
      <c r="AO105">
        <v>88.870912522729853</v>
      </c>
      <c r="AP105">
        <v>665.36216758083117</v>
      </c>
      <c r="AQ105">
        <v>271.3662552390573</v>
      </c>
      <c r="AR105">
        <v>82.687453773886205</v>
      </c>
      <c r="AS105">
        <v>437.60410472153336</v>
      </c>
      <c r="AT105">
        <v>33.984466111646718</v>
      </c>
      <c r="AU105">
        <v>12.756904258690277</v>
      </c>
      <c r="AV105"/>
      <c r="AW105"/>
      <c r="AX105" s="146"/>
      <c r="AY105" s="76">
        <f ca="1">IF(AZ105="", "", RAND())</f>
        <v>0.47225031080546409</v>
      </c>
      <c r="AZ105">
        <v>8</v>
      </c>
      <c r="BA105" s="129">
        <f t="shared" si="126"/>
        <v>39673</v>
      </c>
      <c r="BB105">
        <v>0</v>
      </c>
      <c r="BC105" s="215"/>
      <c r="BD105" s="215"/>
      <c r="BE105" s="215"/>
      <c r="BF105" s="215"/>
      <c r="BG105" s="215"/>
      <c r="BH105" s="215"/>
      <c r="BI105">
        <v>2</v>
      </c>
      <c r="BJ105">
        <v>1</v>
      </c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9"/>
        <v>0.59227886909082539</v>
      </c>
      <c r="CL105" s="179">
        <f t="shared" si="90"/>
        <v>8</v>
      </c>
      <c r="CM105" s="180">
        <f t="shared" si="91"/>
        <v>39673</v>
      </c>
      <c r="CN105" s="223">
        <v>0</v>
      </c>
      <c r="CO105" s="223"/>
      <c r="CP105" s="223"/>
      <c r="CQ105" s="223">
        <v>1</v>
      </c>
      <c r="CR105" s="223">
        <v>2</v>
      </c>
      <c r="CS105" s="223"/>
      <c r="CT105"/>
      <c r="CU105"/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3.4440197560376973E-3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0</v>
      </c>
      <c r="DI105" s="161">
        <f t="shared" si="97"/>
        <v>20.833333333333332</v>
      </c>
      <c r="DJ105" s="161">
        <f t="shared" si="98"/>
        <v>41.666666666666664</v>
      </c>
      <c r="DK105" s="161">
        <f t="shared" si="99"/>
        <v>0</v>
      </c>
      <c r="DL105" s="161">
        <f t="shared" si="100"/>
        <v>0</v>
      </c>
      <c r="DM105" s="161">
        <f t="shared" si="101"/>
        <v>20.833333333333332</v>
      </c>
      <c r="DN105" s="161">
        <f t="shared" si="102"/>
        <v>10.416666666666666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93.75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0</v>
      </c>
      <c r="ES105" s="139">
        <f t="shared" si="58"/>
        <v>2.8307217273454137</v>
      </c>
      <c r="ET105" s="139">
        <f t="shared" si="59"/>
        <v>11.55514077525795</v>
      </c>
      <c r="EU105" s="139">
        <f t="shared" si="60"/>
        <v>0</v>
      </c>
      <c r="EV105" s="139">
        <f t="shared" si="61"/>
        <v>0</v>
      </c>
      <c r="EW105" s="139">
        <f t="shared" si="62"/>
        <v>23.146194908799039</v>
      </c>
      <c r="EX105" s="139">
        <f t="shared" si="63"/>
        <v>16.116459410078342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53.648516821480747</v>
      </c>
      <c r="FV105" s="149"/>
      <c r="FY105" s="210">
        <v>100</v>
      </c>
      <c r="FZ105">
        <v>26.267041565811773</v>
      </c>
      <c r="GA105">
        <v>42.973056564289131</v>
      </c>
      <c r="GB105">
        <v>29.016215345456441</v>
      </c>
      <c r="GC105">
        <v>10.335308509638985</v>
      </c>
      <c r="GD105">
        <v>6.0635868913642401</v>
      </c>
      <c r="GE105">
        <v>7.2977854881190662</v>
      </c>
      <c r="GF105">
        <v>9.6315930738029163</v>
      </c>
      <c r="GG105">
        <v>12.333098634223301</v>
      </c>
      <c r="GH105">
        <v>11.82323778663554</v>
      </c>
      <c r="GI105">
        <v>28.497843245628918</v>
      </c>
      <c r="GJ105"/>
      <c r="GK105"/>
      <c r="GL105"/>
      <c r="GM105"/>
    </row>
    <row r="106" spans="1:195" s="7" customFormat="1">
      <c r="A106" s="1"/>
      <c r="B106" s="76">
        <f t="shared" ca="1" si="49"/>
        <v>0.62668711399277055</v>
      </c>
      <c r="C106">
        <v>5</v>
      </c>
      <c r="D106">
        <v>39673</v>
      </c>
      <c r="E106">
        <v>0</v>
      </c>
      <c r="F106">
        <v>0</v>
      </c>
      <c r="G106">
        <v>0</v>
      </c>
      <c r="H106">
        <v>10.416666666666666</v>
      </c>
      <c r="I106">
        <v>0</v>
      </c>
      <c r="J106">
        <v>0</v>
      </c>
      <c r="K106">
        <v>0</v>
      </c>
      <c r="L106">
        <v>10.416666666666666</v>
      </c>
      <c r="M106">
        <v>0</v>
      </c>
      <c r="N106">
        <v>0</v>
      </c>
      <c r="O106">
        <v>10.416666666666666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47.371847985351508</v>
      </c>
      <c r="AO106">
        <v>66.054677448931884</v>
      </c>
      <c r="AP106">
        <v>471.15095078700654</v>
      </c>
      <c r="AQ106">
        <v>183.46934523410764</v>
      </c>
      <c r="AR106">
        <v>61.431912230575776</v>
      </c>
      <c r="AS106">
        <v>363.30527542067517</v>
      </c>
      <c r="AT106">
        <v>23.754355868120147</v>
      </c>
      <c r="AU106">
        <v>13.283462362424515</v>
      </c>
      <c r="AV106"/>
      <c r="AW106"/>
      <c r="AX106" s="146"/>
      <c r="AY106" s="76">
        <f t="shared" ca="1" si="87"/>
        <v>0.11252749795130867</v>
      </c>
      <c r="AZ106">
        <v>9</v>
      </c>
      <c r="BA106" s="129">
        <f t="shared" si="126"/>
        <v>39673</v>
      </c>
      <c r="BB106">
        <v>0</v>
      </c>
      <c r="BC106"/>
      <c r="BD106"/>
      <c r="BE106"/>
      <c r="BF106"/>
      <c r="BG106"/>
      <c r="BH106">
        <v>1</v>
      </c>
      <c r="BI106">
        <v>1</v>
      </c>
      <c r="BJ106">
        <v>1</v>
      </c>
      <c r="BK106">
        <v>1</v>
      </c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9"/>
        <v>0.16770215012356471</v>
      </c>
      <c r="CL106" s="179">
        <f t="shared" si="90"/>
        <v>9</v>
      </c>
      <c r="CM106" s="180">
        <f t="shared" si="91"/>
        <v>39673</v>
      </c>
      <c r="CN106">
        <v>0</v>
      </c>
      <c r="CO106"/>
      <c r="CP106"/>
      <c r="CQ106"/>
      <c r="CR106"/>
      <c r="CS106"/>
      <c r="CT106"/>
      <c r="CU106"/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0.43352044619989449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0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10.416666666666666</v>
      </c>
      <c r="DM106" s="161">
        <f t="shared" si="101"/>
        <v>10.416666666666666</v>
      </c>
      <c r="DN106" s="161">
        <f t="shared" si="102"/>
        <v>10.416666666666666</v>
      </c>
      <c r="DO106" s="161">
        <f t="shared" si="103"/>
        <v>10.416666666666666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41.666666666666664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7.8962624008309863</v>
      </c>
      <c r="EW106" s="139">
        <f t="shared" si="62"/>
        <v>11.57309745439952</v>
      </c>
      <c r="EX106" s="139">
        <f t="shared" si="63"/>
        <v>16.116459410078342</v>
      </c>
      <c r="EY106" s="139">
        <f t="shared" si="64"/>
        <v>21.583799320310842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57.169618585619688</v>
      </c>
      <c r="FV106" s="149"/>
      <c r="FY106" s="210">
        <v>101</v>
      </c>
      <c r="FZ106">
        <v>15.510534511049407</v>
      </c>
      <c r="GA106">
        <v>21.977730708212615</v>
      </c>
      <c r="GB106">
        <v>39.224886742463937</v>
      </c>
      <c r="GC106">
        <v>14.276802664114845</v>
      </c>
      <c r="GD106">
        <v>5.3829751508692096</v>
      </c>
      <c r="GE106">
        <v>3.3425146578599891</v>
      </c>
      <c r="GF106">
        <v>10.76837699558617</v>
      </c>
      <c r="GG106">
        <v>19.39404925838107</v>
      </c>
      <c r="GH106">
        <v>18.135770924263042</v>
      </c>
      <c r="GI106">
        <v>34.817972305524393</v>
      </c>
      <c r="GJ106"/>
      <c r="GK106"/>
      <c r="GL106"/>
      <c r="GM106"/>
    </row>
    <row r="107" spans="1:195" s="7" customFormat="1">
      <c r="A107" s="1"/>
      <c r="B107" s="76">
        <f t="shared" ca="1" si="49"/>
        <v>0.99261555924466194</v>
      </c>
      <c r="C107">
        <v>1</v>
      </c>
      <c r="D107">
        <v>39673</v>
      </c>
      <c r="E107">
        <v>0</v>
      </c>
      <c r="F107">
        <v>0</v>
      </c>
      <c r="G107">
        <v>0</v>
      </c>
      <c r="H107">
        <v>10.416666666666666</v>
      </c>
      <c r="I107">
        <v>0</v>
      </c>
      <c r="J107">
        <v>0</v>
      </c>
      <c r="K107">
        <v>10.416666666666666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55.517060074546009</v>
      </c>
      <c r="AO107">
        <v>65.508023883191498</v>
      </c>
      <c r="AP107">
        <v>516.91671025916412</v>
      </c>
      <c r="AQ107">
        <v>223.36287024763868</v>
      </c>
      <c r="AR107">
        <v>61.595200797553076</v>
      </c>
      <c r="AS107">
        <v>416.78164369896501</v>
      </c>
      <c r="AT107">
        <v>25.819765667158148</v>
      </c>
      <c r="AU107">
        <v>-40.462213229953292</v>
      </c>
      <c r="AV107"/>
      <c r="AW107"/>
      <c r="AX107" s="146"/>
      <c r="AY107" s="76">
        <f t="shared" ca="1" si="87"/>
        <v>0.49361875229929275</v>
      </c>
      <c r="AZ107">
        <v>10</v>
      </c>
      <c r="BA107" s="129">
        <f t="shared" si="126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9"/>
        <v>8.0999915173533443E-2</v>
      </c>
      <c r="CL107" s="179">
        <f t="shared" si="90"/>
        <v>10</v>
      </c>
      <c r="CM107" s="180">
        <f t="shared" si="91"/>
        <v>39673</v>
      </c>
      <c r="CN107">
        <v>0</v>
      </c>
      <c r="CO107"/>
      <c r="CP107">
        <v>1</v>
      </c>
      <c r="CQ107"/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8.0288220079469674E-2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148.80952380952382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148.80952380952382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7.3971226590369721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7.3971226590369721</v>
      </c>
      <c r="FV107" s="149"/>
      <c r="FY107" s="210">
        <v>102</v>
      </c>
      <c r="FZ107">
        <v>20.96599042107119</v>
      </c>
      <c r="GA107">
        <v>62.213354130352833</v>
      </c>
      <c r="GB107">
        <v>32.771581830005132</v>
      </c>
      <c r="GC107">
        <v>12.272079748684135</v>
      </c>
      <c r="GD107">
        <v>6.9377648909237095</v>
      </c>
      <c r="GE107">
        <v>7.1752193131019233</v>
      </c>
      <c r="GF107">
        <v>8.6935656687228366</v>
      </c>
      <c r="GG107">
        <v>18.45459612110281</v>
      </c>
      <c r="GH107">
        <v>20.590085445031448</v>
      </c>
      <c r="GI107">
        <v>30.458300775135189</v>
      </c>
      <c r="GJ107"/>
      <c r="GK107"/>
      <c r="GL107"/>
      <c r="GM107"/>
    </row>
    <row r="108" spans="1:195" s="7" customFormat="1">
      <c r="A108" s="128"/>
      <c r="B108" s="76">
        <f t="shared" ca="1" si="49"/>
        <v>0.42933473204027717</v>
      </c>
      <c r="C108">
        <v>7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58.764034813745162</v>
      </c>
      <c r="AO108">
        <v>80.291525781129764</v>
      </c>
      <c r="AP108">
        <v>551.36550318274965</v>
      </c>
      <c r="AQ108">
        <v>183.94720391974187</v>
      </c>
      <c r="AR108">
        <v>74.652591331802086</v>
      </c>
      <c r="AS108">
        <v>344.89255298331904</v>
      </c>
      <c r="AT108">
        <v>27.743745831052493</v>
      </c>
      <c r="AU108">
        <v>-32.380393361991906</v>
      </c>
      <c r="AV108"/>
      <c r="AW108"/>
      <c r="AX108" s="128"/>
      <c r="AY108" s="76">
        <f t="shared" ca="1" si="87"/>
        <v>0.81266988799361251</v>
      </c>
      <c r="AZ108">
        <v>1</v>
      </c>
      <c r="BA108" s="129">
        <f>IF(AZ108="", "",$C$6)</f>
        <v>39714</v>
      </c>
      <c r="BB108">
        <v>0</v>
      </c>
      <c r="BC108"/>
      <c r="BD108"/>
      <c r="BE108"/>
      <c r="BF108">
        <v>1</v>
      </c>
      <c r="BG108"/>
      <c r="BH108"/>
      <c r="BI108"/>
      <c r="BJ108"/>
      <c r="BK108"/>
      <c r="BL108"/>
      <c r="BM108">
        <v>1</v>
      </c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9"/>
        <v>0.54798461640432983</v>
      </c>
      <c r="CL108" s="179">
        <f t="shared" si="90"/>
        <v>1</v>
      </c>
      <c r="CM108" s="180">
        <f t="shared" si="91"/>
        <v>39714</v>
      </c>
      <c r="CN108">
        <v>0</v>
      </c>
      <c r="CO108"/>
      <c r="CP108">
        <v>1</v>
      </c>
      <c r="CQ108"/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0.77118024683850028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0</v>
      </c>
      <c r="DH108" s="161">
        <f t="shared" si="96"/>
        <v>65.104166666666671</v>
      </c>
      <c r="DI108" s="161">
        <f t="shared" si="97"/>
        <v>0</v>
      </c>
      <c r="DJ108" s="161">
        <f t="shared" si="98"/>
        <v>10.416666666666666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10.416666666666666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85.937500000000014</v>
      </c>
      <c r="EL108" s="149"/>
      <c r="EN108" s="146"/>
      <c r="EO108" s="146"/>
      <c r="EP108" s="139">
        <f t="shared" si="55"/>
        <v>0</v>
      </c>
      <c r="EQ108" s="139">
        <f t="shared" si="56"/>
        <v>0</v>
      </c>
      <c r="ER108" s="139">
        <f t="shared" si="57"/>
        <v>3.2362411633286752</v>
      </c>
      <c r="ES108" s="139">
        <f t="shared" si="58"/>
        <v>0</v>
      </c>
      <c r="ET108" s="139">
        <f t="shared" si="59"/>
        <v>2.8887851938144875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35.502613963840211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41.627640320983375</v>
      </c>
      <c r="FV108" s="149"/>
      <c r="FY108" s="210">
        <v>103</v>
      </c>
      <c r="FZ108">
        <v>32.567719046472142</v>
      </c>
      <c r="GA108">
        <v>59.393435491723281</v>
      </c>
      <c r="GB108">
        <v>50.011136026587899</v>
      </c>
      <c r="GC108">
        <v>14.188845812381835</v>
      </c>
      <c r="GD108">
        <v>7.378516599465331</v>
      </c>
      <c r="GE108">
        <v>7.2510019601301288</v>
      </c>
      <c r="GF108">
        <v>8.4921290591089225</v>
      </c>
      <c r="GG108">
        <v>13.314883687738391</v>
      </c>
      <c r="GH108">
        <v>21.024542254712351</v>
      </c>
      <c r="GI108">
        <v>42.776310769451257</v>
      </c>
      <c r="GJ108"/>
      <c r="GK108"/>
      <c r="GL108"/>
      <c r="GM108"/>
    </row>
    <row r="109" spans="1:195" s="7" customFormat="1">
      <c r="A109" s="1"/>
      <c r="B109" s="76">
        <f t="shared" ca="1" si="49"/>
        <v>0.23843516632357442</v>
      </c>
      <c r="C109">
        <v>10</v>
      </c>
      <c r="D109">
        <v>39714</v>
      </c>
      <c r="E109">
        <v>0</v>
      </c>
      <c r="F109">
        <v>0</v>
      </c>
      <c r="G109">
        <v>0</v>
      </c>
      <c r="H109">
        <v>10.416666666666666</v>
      </c>
      <c r="I109">
        <v>20.833333333333332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10.416666666666666</v>
      </c>
      <c r="Q109">
        <v>10.416666666666666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67.742636605694344</v>
      </c>
      <c r="AO109">
        <v>85.715443038653518</v>
      </c>
      <c r="AP109">
        <v>605.50728352924705</v>
      </c>
      <c r="AQ109">
        <v>222.24052857538328</v>
      </c>
      <c r="AR109">
        <v>79.132936974194976</v>
      </c>
      <c r="AS109">
        <v>406.90511973882332</v>
      </c>
      <c r="AT109">
        <v>31.373783691728516</v>
      </c>
      <c r="AU109">
        <v>26.367532580835327</v>
      </c>
      <c r="AV109"/>
      <c r="AW109"/>
      <c r="AX109" s="146"/>
      <c r="AY109" s="76">
        <f t="shared" ca="1" si="87"/>
        <v>0.46599788686033117</v>
      </c>
      <c r="AZ109">
        <v>2</v>
      </c>
      <c r="BA109" s="129">
        <f t="shared" ref="BA109:BA117" si="128">IF(AZ109="", "",$C$6)</f>
        <v>39714</v>
      </c>
      <c r="BB109">
        <v>0</v>
      </c>
      <c r="BC109"/>
      <c r="BD109">
        <v>2</v>
      </c>
      <c r="BE109"/>
      <c r="BF109"/>
      <c r="BG109">
        <v>1</v>
      </c>
      <c r="BH109"/>
      <c r="BI109"/>
      <c r="BJ109">
        <v>1</v>
      </c>
      <c r="BK109"/>
      <c r="BL109"/>
      <c r="BM109"/>
      <c r="BN109">
        <v>1</v>
      </c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9"/>
        <v>0.49271940258403668</v>
      </c>
      <c r="CL109" s="179">
        <f t="shared" si="90"/>
        <v>2</v>
      </c>
      <c r="CM109" s="180">
        <f t="shared" si="91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0.20517026322045151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20.833333333333332</v>
      </c>
      <c r="DI109" s="161">
        <f t="shared" si="97"/>
        <v>0</v>
      </c>
      <c r="DJ109" s="161">
        <f t="shared" si="98"/>
        <v>0</v>
      </c>
      <c r="DK109" s="161">
        <f t="shared" si="99"/>
        <v>10.416666666666666</v>
      </c>
      <c r="DL109" s="161">
        <f t="shared" si="100"/>
        <v>0</v>
      </c>
      <c r="DM109" s="161">
        <f t="shared" si="101"/>
        <v>0</v>
      </c>
      <c r="DN109" s="161">
        <f t="shared" si="102"/>
        <v>10.416666666666666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10.416666666666666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52.083333333333329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1.035597172265176</v>
      </c>
      <c r="ES109" s="139">
        <f t="shared" si="58"/>
        <v>0</v>
      </c>
      <c r="ET109" s="139">
        <f t="shared" si="59"/>
        <v>0</v>
      </c>
      <c r="EU109" s="139">
        <f t="shared" si="60"/>
        <v>5.0240283539562274</v>
      </c>
      <c r="EV109" s="139">
        <f t="shared" si="61"/>
        <v>0</v>
      </c>
      <c r="EW109" s="139">
        <f t="shared" si="62"/>
        <v>0</v>
      </c>
      <c r="EX109" s="139">
        <f t="shared" si="63"/>
        <v>16.116459410078342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44.053047885599483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66.229132821899228</v>
      </c>
      <c r="FV109" s="149"/>
      <c r="FY109" s="210">
        <v>104</v>
      </c>
      <c r="FZ109">
        <v>21.132165159795484</v>
      </c>
      <c r="GA109">
        <v>33.88436747717828</v>
      </c>
      <c r="GB109">
        <v>42.431284349079</v>
      </c>
      <c r="GC109">
        <v>13.195315264398614</v>
      </c>
      <c r="GD109">
        <v>4.6593606762480881</v>
      </c>
      <c r="GE109">
        <v>4.789222191270615</v>
      </c>
      <c r="GF109">
        <v>11.092650091405863</v>
      </c>
      <c r="GG109">
        <v>18.751339186823706</v>
      </c>
      <c r="GH109">
        <v>17.379897937345564</v>
      </c>
      <c r="GI109">
        <v>35.377088278234041</v>
      </c>
      <c r="GJ109"/>
      <c r="GK109"/>
      <c r="GL109"/>
      <c r="GM109"/>
    </row>
    <row r="110" spans="1:195" s="7" customFormat="1">
      <c r="A110" s="1"/>
      <c r="B110" s="76">
        <f t="shared" ca="1" si="49"/>
        <v>0.73483663700028456</v>
      </c>
      <c r="C110">
        <v>6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20.833333333333332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48.437583396230103</v>
      </c>
      <c r="AO110">
        <v>70.873903823340058</v>
      </c>
      <c r="AP110">
        <v>476.83974085394766</v>
      </c>
      <c r="AQ110">
        <v>204.89528392576983</v>
      </c>
      <c r="AR110">
        <v>67.225338497786382</v>
      </c>
      <c r="AS110">
        <v>472.43671114448313</v>
      </c>
      <c r="AT110">
        <v>27.594908434089756</v>
      </c>
      <c r="AU110">
        <v>9.3559241738045635</v>
      </c>
      <c r="AV110"/>
      <c r="AW110"/>
      <c r="AX110" s="146"/>
      <c r="AY110" s="76">
        <f t="shared" ca="1" si="87"/>
        <v>0.64359789814456292</v>
      </c>
      <c r="AZ110">
        <v>3</v>
      </c>
      <c r="BA110" s="129">
        <f t="shared" si="128"/>
        <v>39714</v>
      </c>
      <c r="BB110">
        <v>0</v>
      </c>
      <c r="BC110"/>
      <c r="BD110"/>
      <c r="BE110"/>
      <c r="BF110">
        <v>1</v>
      </c>
      <c r="BG110"/>
      <c r="BH110"/>
      <c r="BI110"/>
      <c r="BJ110"/>
      <c r="BK110"/>
      <c r="BL110">
        <v>2</v>
      </c>
      <c r="BM110">
        <v>1</v>
      </c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9"/>
        <v>0.108270998991987</v>
      </c>
      <c r="CL110" s="179">
        <f t="shared" si="90"/>
        <v>3</v>
      </c>
      <c r="CM110" s="180">
        <f t="shared" si="91"/>
        <v>39714</v>
      </c>
      <c r="CN110">
        <v>0</v>
      </c>
      <c r="CO110"/>
      <c r="CP110">
        <v>1</v>
      </c>
      <c r="CQ110"/>
      <c r="CR110"/>
      <c r="CS110"/>
      <c r="CT110"/>
      <c r="CU110"/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0.36877365833615361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0</v>
      </c>
      <c r="DH110" s="161">
        <f t="shared" si="96"/>
        <v>97.65625</v>
      </c>
      <c r="DI110" s="161">
        <f t="shared" si="97"/>
        <v>0</v>
      </c>
      <c r="DJ110" s="161">
        <f t="shared" si="98"/>
        <v>10.416666666666666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20.833333333333332</v>
      </c>
      <c r="DQ110" s="161">
        <f t="shared" si="105"/>
        <v>10.416666666666666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139.32291666666666</v>
      </c>
      <c r="EL110" s="149"/>
      <c r="EN110" s="146"/>
      <c r="EO110" s="146"/>
      <c r="EP110" s="139">
        <f t="shared" si="55"/>
        <v>0</v>
      </c>
      <c r="EQ110" s="139">
        <f t="shared" si="56"/>
        <v>0</v>
      </c>
      <c r="ER110" s="139">
        <f t="shared" si="57"/>
        <v>4.854361744993013</v>
      </c>
      <c r="ES110" s="139">
        <f t="shared" si="58"/>
        <v>0</v>
      </c>
      <c r="ET110" s="139">
        <f t="shared" si="59"/>
        <v>2.8887851938144875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56.057853809962438</v>
      </c>
      <c r="FA110" s="139">
        <f t="shared" si="66"/>
        <v>35.502613963840211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99.303614712610141</v>
      </c>
      <c r="FV110" s="149"/>
      <c r="FY110" s="210">
        <v>105</v>
      </c>
      <c r="FZ110">
        <v>20.853564173645037</v>
      </c>
      <c r="GA110">
        <v>55.836727505395253</v>
      </c>
      <c r="GB110">
        <v>33.178068331438283</v>
      </c>
      <c r="GC110">
        <v>10.340012758570904</v>
      </c>
      <c r="GD110">
        <v>9.9248792333830771</v>
      </c>
      <c r="GE110">
        <v>15.357498224572552</v>
      </c>
      <c r="GF110">
        <v>10.46220464270713</v>
      </c>
      <c r="GG110">
        <v>18.101932792615109</v>
      </c>
      <c r="GH110">
        <v>17.628832348617919</v>
      </c>
      <c r="GI110">
        <v>34.264756393946953</v>
      </c>
      <c r="GJ110"/>
      <c r="GK110"/>
      <c r="GL110"/>
      <c r="GM110"/>
    </row>
    <row r="111" spans="1:195" s="7" customFormat="1">
      <c r="A111" s="1"/>
      <c r="B111" s="76">
        <f t="shared" ca="1" si="49"/>
        <v>0.55840286485435175</v>
      </c>
      <c r="C111">
        <v>5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44.074052728062384</v>
      </c>
      <c r="AO111">
        <v>63.181566676613443</v>
      </c>
      <c r="AP111">
        <v>512.54448918610638</v>
      </c>
      <c r="AQ111">
        <v>217.67284476390492</v>
      </c>
      <c r="AR111">
        <v>58.816459075153894</v>
      </c>
      <c r="AS111">
        <v>345.88423748718003</v>
      </c>
      <c r="AT111">
        <v>24.646765158797166</v>
      </c>
      <c r="AU111">
        <v>6.6227812894926572</v>
      </c>
      <c r="AV111"/>
      <c r="AW111"/>
      <c r="AX111" s="146"/>
      <c r="AY111" s="76">
        <f t="shared" ca="1" si="87"/>
        <v>0.35223020727002474</v>
      </c>
      <c r="AZ111">
        <v>4</v>
      </c>
      <c r="BA111" s="129">
        <f t="shared" si="128"/>
        <v>39714</v>
      </c>
      <c r="BB111">
        <v>0</v>
      </c>
      <c r="BC111"/>
      <c r="BD111"/>
      <c r="BE111"/>
      <c r="BF111">
        <v>3</v>
      </c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9"/>
        <v>0.19970541862054425</v>
      </c>
      <c r="CL111" s="179">
        <f t="shared" si="90"/>
        <v>4</v>
      </c>
      <c r="CM111" s="180">
        <f t="shared" si="91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0.19407714068070891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0</v>
      </c>
      <c r="DJ111" s="161">
        <f t="shared" si="98"/>
        <v>31.25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31.25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0</v>
      </c>
      <c r="ET111" s="139">
        <f t="shared" si="59"/>
        <v>8.6663555814434634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8.6663555814434634</v>
      </c>
      <c r="FV111" s="149"/>
      <c r="FY111" s="210">
        <v>106</v>
      </c>
      <c r="FZ111">
        <v>14.437000724363955</v>
      </c>
      <c r="GA111">
        <v>44.591144081792862</v>
      </c>
      <c r="GB111">
        <v>46.71941431080343</v>
      </c>
      <c r="GC111">
        <v>15.012029875213631</v>
      </c>
      <c r="GD111">
        <v>6.4407918866033542</v>
      </c>
      <c r="GE111">
        <v>4.4799933767664015</v>
      </c>
      <c r="GF111">
        <v>9.393091066842727</v>
      </c>
      <c r="GG111">
        <v>16.085030375448135</v>
      </c>
      <c r="GH111">
        <v>15.147707432971771</v>
      </c>
      <c r="GI111">
        <v>37.809448359136901</v>
      </c>
      <c r="GJ111"/>
      <c r="GK111"/>
      <c r="GL111"/>
      <c r="GM111"/>
    </row>
    <row r="112" spans="1:195" s="7" customFormat="1">
      <c r="A112" s="1"/>
      <c r="B112" s="76">
        <f t="shared" ca="1" si="49"/>
        <v>0.42415528722628193</v>
      </c>
      <c r="C112">
        <v>3</v>
      </c>
      <c r="D112">
        <v>39714</v>
      </c>
      <c r="E112">
        <v>0</v>
      </c>
      <c r="F112">
        <v>0</v>
      </c>
      <c r="G112">
        <v>97.65625</v>
      </c>
      <c r="H112">
        <v>0</v>
      </c>
      <c r="I112">
        <v>10.416666666666666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20.833333333333332</v>
      </c>
      <c r="P112">
        <v>10.416666666666666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58.789041212274562</v>
      </c>
      <c r="AO112">
        <v>74.641619850333285</v>
      </c>
      <c r="AP112">
        <v>505.24189632013281</v>
      </c>
      <c r="AQ112">
        <v>223.31990322014357</v>
      </c>
      <c r="AR112">
        <v>70.628590904159267</v>
      </c>
      <c r="AS112">
        <v>416.052288081923</v>
      </c>
      <c r="AT112">
        <v>26.016088363436065</v>
      </c>
      <c r="AU112">
        <v>12.104165633799948</v>
      </c>
      <c r="AV112"/>
      <c r="AW112"/>
      <c r="AX112" s="146"/>
      <c r="AY112" s="76">
        <f t="shared" ca="1" si="87"/>
        <v>0.7383455784496924</v>
      </c>
      <c r="AZ112">
        <v>5</v>
      </c>
      <c r="BA112" s="129">
        <f t="shared" si="128"/>
        <v>39714</v>
      </c>
      <c r="BB112">
        <v>0</v>
      </c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9"/>
        <v>0.65932175097536727</v>
      </c>
      <c r="CL112" s="179">
        <f t="shared" si="90"/>
        <v>5</v>
      </c>
      <c r="CM112" s="180">
        <f t="shared" si="91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0.69351145155489791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0</v>
      </c>
      <c r="DH112" s="161">
        <f t="shared" si="96"/>
        <v>0</v>
      </c>
      <c r="DI112" s="161">
        <f t="shared" si="97"/>
        <v>0</v>
      </c>
      <c r="DJ112" s="161">
        <f t="shared" si="98"/>
        <v>0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0</v>
      </c>
      <c r="EL112" s="149"/>
      <c r="EN112" s="146"/>
      <c r="EO112" s="146"/>
      <c r="EP112" s="139">
        <f t="shared" si="55"/>
        <v>0</v>
      </c>
      <c r="EQ112" s="139">
        <f t="shared" si="56"/>
        <v>0</v>
      </c>
      <c r="ER112" s="139">
        <f t="shared" si="57"/>
        <v>0</v>
      </c>
      <c r="ES112" s="139">
        <f t="shared" si="58"/>
        <v>0</v>
      </c>
      <c r="ET112" s="139">
        <f t="shared" si="59"/>
        <v>0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0</v>
      </c>
      <c r="FV112" s="149"/>
      <c r="FY112" s="210">
        <v>107</v>
      </c>
      <c r="FZ112">
        <v>25.610091253604612</v>
      </c>
      <c r="GA112">
        <v>33.783235525276254</v>
      </c>
      <c r="GB112">
        <v>32.904747422210626</v>
      </c>
      <c r="GC112">
        <v>12.26511045873132</v>
      </c>
      <c r="GD112">
        <v>7.5933446106561089</v>
      </c>
      <c r="GE112">
        <v>9.2709334230315044</v>
      </c>
      <c r="GF112">
        <v>9.3350555708486773</v>
      </c>
      <c r="GG112">
        <v>18.313738070671796</v>
      </c>
      <c r="GH112">
        <v>23.637975635276749</v>
      </c>
      <c r="GI112">
        <v>34.389162660124349</v>
      </c>
      <c r="GJ112"/>
      <c r="GK112"/>
      <c r="GL112"/>
      <c r="GM112"/>
    </row>
    <row r="113" spans="1:195" s="7" customFormat="1">
      <c r="A113" s="1"/>
      <c r="B113" s="76">
        <f t="shared" ca="1" si="49"/>
        <v>0.796754325997725</v>
      </c>
      <c r="C113">
        <v>2</v>
      </c>
      <c r="D113">
        <v>39714</v>
      </c>
      <c r="E113">
        <v>0</v>
      </c>
      <c r="F113">
        <v>0</v>
      </c>
      <c r="G113">
        <v>20.833333333333332</v>
      </c>
      <c r="H113">
        <v>0</v>
      </c>
      <c r="I113">
        <v>0</v>
      </c>
      <c r="J113">
        <v>10.416666666666666</v>
      </c>
      <c r="K113">
        <v>0</v>
      </c>
      <c r="L113">
        <v>0</v>
      </c>
      <c r="M113">
        <v>10.416666666666666</v>
      </c>
      <c r="N113">
        <v>0</v>
      </c>
      <c r="O113">
        <v>0</v>
      </c>
      <c r="P113">
        <v>0</v>
      </c>
      <c r="Q113">
        <v>10.416666666666666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43.172071284577967</v>
      </c>
      <c r="AO113">
        <v>71.528019758329904</v>
      </c>
      <c r="AP113">
        <v>589.01539245675224</v>
      </c>
      <c r="AQ113">
        <v>238.00119746951634</v>
      </c>
      <c r="AR113">
        <v>67.227300029472005</v>
      </c>
      <c r="AS113">
        <v>342.00106506989778</v>
      </c>
      <c r="AT113">
        <v>29.163017126648683</v>
      </c>
      <c r="AU113">
        <v>-35.102059920776732</v>
      </c>
      <c r="AV113"/>
      <c r="AW113"/>
      <c r="AX113" s="146"/>
      <c r="AY113" s="76">
        <f t="shared" ca="1" si="87"/>
        <v>0.32332713880229313</v>
      </c>
      <c r="AZ113">
        <v>6</v>
      </c>
      <c r="BA113" s="129">
        <f t="shared" si="128"/>
        <v>39714</v>
      </c>
      <c r="BB113">
        <v>0</v>
      </c>
      <c r="BC113"/>
      <c r="BD113"/>
      <c r="BE113"/>
      <c r="BF113"/>
      <c r="BG113"/>
      <c r="BH113"/>
      <c r="BI113"/>
      <c r="BJ113"/>
      <c r="BK113">
        <v>2</v>
      </c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9"/>
        <v>0.36108493741431458</v>
      </c>
      <c r="CL113" s="179">
        <f t="shared" si="90"/>
        <v>6</v>
      </c>
      <c r="CM113" s="180">
        <f t="shared" si="91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0.31493961375775559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0</v>
      </c>
      <c r="DJ113" s="161">
        <f t="shared" si="98"/>
        <v>0</v>
      </c>
      <c r="DK113" s="161">
        <f t="shared" si="99"/>
        <v>0</v>
      </c>
      <c r="DL113" s="161">
        <f t="shared" si="100"/>
        <v>0</v>
      </c>
      <c r="DM113" s="161">
        <f t="shared" si="101"/>
        <v>0</v>
      </c>
      <c r="DN113" s="161">
        <f t="shared" si="102"/>
        <v>0</v>
      </c>
      <c r="DO113" s="161">
        <f t="shared" si="103"/>
        <v>20.833333333333332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20.833333333333332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0</v>
      </c>
      <c r="ET113" s="139">
        <f t="shared" si="59"/>
        <v>0</v>
      </c>
      <c r="EU113" s="139">
        <f t="shared" si="60"/>
        <v>0</v>
      </c>
      <c r="EV113" s="139">
        <f t="shared" si="61"/>
        <v>0</v>
      </c>
      <c r="EW113" s="139">
        <f t="shared" si="62"/>
        <v>0</v>
      </c>
      <c r="EX113" s="139">
        <f t="shared" si="63"/>
        <v>0</v>
      </c>
      <c r="EY113" s="139">
        <f t="shared" si="64"/>
        <v>43.167598640621684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43.167598640621684</v>
      </c>
      <c r="FV113" s="149"/>
      <c r="FY113" s="210">
        <v>108</v>
      </c>
      <c r="FZ113">
        <v>21.264666490383838</v>
      </c>
      <c r="GA113">
        <v>26.116060308870011</v>
      </c>
      <c r="GB113">
        <v>21.233673514846899</v>
      </c>
      <c r="GC113">
        <v>11.36941342814295</v>
      </c>
      <c r="GD113">
        <v>4.9217808036547588</v>
      </c>
      <c r="GE113">
        <v>3.0280425687686741</v>
      </c>
      <c r="GF113">
        <v>13.622553754878956</v>
      </c>
      <c r="GG113">
        <v>23.440078237654145</v>
      </c>
      <c r="GH113">
        <v>17.468172967372006</v>
      </c>
      <c r="GI113">
        <v>30.750254071232252</v>
      </c>
      <c r="GJ113"/>
      <c r="GK113"/>
      <c r="GL113"/>
      <c r="GM113"/>
    </row>
    <row r="114" spans="1:195" s="7" customFormat="1">
      <c r="A114" s="1"/>
      <c r="B114" s="76">
        <f t="shared" ca="1" si="49"/>
        <v>0.23255609543335343</v>
      </c>
      <c r="C114">
        <v>9</v>
      </c>
      <c r="D114">
        <v>39714</v>
      </c>
      <c r="E114">
        <v>0</v>
      </c>
      <c r="F114">
        <v>0</v>
      </c>
      <c r="G114">
        <v>10.416666666666666</v>
      </c>
      <c r="H114">
        <v>10.416666666666666</v>
      </c>
      <c r="I114">
        <v>0</v>
      </c>
      <c r="J114">
        <v>0</v>
      </c>
      <c r="K114">
        <v>10.416666666666666</v>
      </c>
      <c r="L114">
        <v>0</v>
      </c>
      <c r="M114">
        <v>0</v>
      </c>
      <c r="N114">
        <v>10.416666666666666</v>
      </c>
      <c r="O114">
        <v>0</v>
      </c>
      <c r="P114">
        <v>0</v>
      </c>
      <c r="Q114">
        <v>20.833333333333332</v>
      </c>
      <c r="R114">
        <v>10.416666666666666</v>
      </c>
      <c r="S114">
        <v>0</v>
      </c>
      <c r="T114">
        <v>31.25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61.309709936794476</v>
      </c>
      <c r="AO114">
        <v>48.138420060056305</v>
      </c>
      <c r="AP114">
        <v>345.58338485665092</v>
      </c>
      <c r="AQ114">
        <v>146.82975716426341</v>
      </c>
      <c r="AR114">
        <v>45.942377253185377</v>
      </c>
      <c r="AS114">
        <v>364.63042575241542</v>
      </c>
      <c r="AT114">
        <v>19.652273584470638</v>
      </c>
      <c r="AU114">
        <v>23.776028264393098</v>
      </c>
      <c r="AV114"/>
      <c r="AW114"/>
      <c r="AX114" s="146"/>
      <c r="AY114" s="76">
        <f t="shared" ca="1" si="87"/>
        <v>0.39914715841149939</v>
      </c>
      <c r="AZ114">
        <v>7</v>
      </c>
      <c r="BA114" s="129">
        <f t="shared" si="128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9"/>
        <v>0.69981985094565258</v>
      </c>
      <c r="CL114" s="179">
        <f t="shared" si="90"/>
        <v>7</v>
      </c>
      <c r="CM114" s="180">
        <f t="shared" si="91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0.53457402281982103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0">
        <v>109</v>
      </c>
      <c r="FZ114">
        <v>25.04419166387861</v>
      </c>
      <c r="GA114">
        <v>65.165178107731037</v>
      </c>
      <c r="GB114">
        <v>40.982002362728394</v>
      </c>
      <c r="GC114">
        <v>9.5695787508068459</v>
      </c>
      <c r="GD114">
        <v>6.3994859384828899</v>
      </c>
      <c r="GE114">
        <v>8.7599479792607866</v>
      </c>
      <c r="GF114">
        <v>6.1457754332303178</v>
      </c>
      <c r="GG114">
        <v>12.801831467004732</v>
      </c>
      <c r="GH114">
        <v>26.700861724622346</v>
      </c>
      <c r="GI114">
        <v>33.200252081989355</v>
      </c>
      <c r="GJ114"/>
      <c r="GK114"/>
      <c r="GL114"/>
      <c r="GM114"/>
    </row>
    <row r="115" spans="1:195" s="7" customFormat="1">
      <c r="A115" s="1"/>
      <c r="B115" s="76">
        <f t="shared" ca="1" si="49"/>
        <v>8.8306285737178136E-2</v>
      </c>
      <c r="C115">
        <v>1</v>
      </c>
      <c r="D115">
        <v>39714</v>
      </c>
      <c r="E115">
        <v>0</v>
      </c>
      <c r="F115">
        <v>0</v>
      </c>
      <c r="G115">
        <v>65.104166666666671</v>
      </c>
      <c r="H115">
        <v>0</v>
      </c>
      <c r="I115">
        <v>10.416666666666666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10.416666666666666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48.804417755899053</v>
      </c>
      <c r="AO115">
        <v>71.204218434030849</v>
      </c>
      <c r="AP115">
        <v>521.65847866231627</v>
      </c>
      <c r="AQ115">
        <v>216.71145771549254</v>
      </c>
      <c r="AR115">
        <v>67.560559090763221</v>
      </c>
      <c r="AS115">
        <v>310.14463253928108</v>
      </c>
      <c r="AT115">
        <v>31.552810316925559</v>
      </c>
      <c r="AU115">
        <v>-64.748087115491515</v>
      </c>
      <c r="AV115"/>
      <c r="AW115"/>
      <c r="AX115" s="146"/>
      <c r="AY115" s="76">
        <f t="shared" ca="1" si="87"/>
        <v>0.59927750608664887</v>
      </c>
      <c r="AZ115">
        <v>8</v>
      </c>
      <c r="BA115" s="129">
        <f t="shared" si="128"/>
        <v>39714</v>
      </c>
      <c r="BB115">
        <v>0</v>
      </c>
      <c r="BC115"/>
      <c r="BD115"/>
      <c r="BE115"/>
      <c r="BF115"/>
      <c r="BG115"/>
      <c r="BH115"/>
      <c r="BI115">
        <v>1</v>
      </c>
      <c r="BJ115"/>
      <c r="BK115"/>
      <c r="BL115"/>
      <c r="BM115"/>
      <c r="BN115">
        <v>1</v>
      </c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9"/>
        <v>0.56852333517050369</v>
      </c>
      <c r="CL115" s="179">
        <f t="shared" si="90"/>
        <v>8</v>
      </c>
      <c r="CM115" s="180">
        <f t="shared" si="91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0.29718850605431779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10.416666666666666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10.416666666666666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20.833333333333332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11.57309745439952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44.053047885599483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55.626145339998999</v>
      </c>
      <c r="FV115" s="149"/>
      <c r="FY115" s="210">
        <v>110</v>
      </c>
      <c r="FZ115">
        <v>21.657919963328315</v>
      </c>
      <c r="GA115">
        <v>78.832692760575938</v>
      </c>
      <c r="GB115">
        <v>36.007506365382255</v>
      </c>
      <c r="GC115">
        <v>5.9210542450150827</v>
      </c>
      <c r="GD115">
        <v>4.5310686532422819</v>
      </c>
      <c r="GE115">
        <v>6.6401832893208281</v>
      </c>
      <c r="GF115">
        <v>9.4070602238845726</v>
      </c>
      <c r="GG115">
        <v>16.235027509584636</v>
      </c>
      <c r="GH115">
        <v>12.984487196116188</v>
      </c>
      <c r="GI115">
        <v>30.126807424693233</v>
      </c>
      <c r="GJ115"/>
      <c r="GK115"/>
      <c r="GL115"/>
      <c r="GM115"/>
    </row>
    <row r="116" spans="1:195" s="7" customFormat="1">
      <c r="A116" s="1"/>
      <c r="B116" s="76">
        <f t="shared" ca="1" si="49"/>
        <v>0.94511204873205346</v>
      </c>
      <c r="C116">
        <v>4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31.25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48.485074648327057</v>
      </c>
      <c r="AO116">
        <v>60.986266703540046</v>
      </c>
      <c r="AP116">
        <v>443.94960333889588</v>
      </c>
      <c r="AQ116">
        <v>184.23876710497029</v>
      </c>
      <c r="AR116">
        <v>57.45182509126964</v>
      </c>
      <c r="AS116">
        <v>329.01513972441467</v>
      </c>
      <c r="AT116">
        <v>23.044640563726905</v>
      </c>
      <c r="AU116">
        <v>-3.1366869369920334</v>
      </c>
      <c r="AV116"/>
      <c r="AW116"/>
      <c r="AX116" s="146"/>
      <c r="AY116" s="76">
        <f t="shared" ca="1" si="87"/>
        <v>0.20445198445495194</v>
      </c>
      <c r="AZ116">
        <v>9</v>
      </c>
      <c r="BA116" s="129">
        <f t="shared" si="128"/>
        <v>39714</v>
      </c>
      <c r="BB116">
        <v>0</v>
      </c>
      <c r="BC116"/>
      <c r="BD116">
        <v>1</v>
      </c>
      <c r="BE116">
        <v>1</v>
      </c>
      <c r="BF116"/>
      <c r="BG116"/>
      <c r="BH116">
        <v>1</v>
      </c>
      <c r="BI116"/>
      <c r="BJ116"/>
      <c r="BK116">
        <v>1</v>
      </c>
      <c r="BL116"/>
      <c r="BM116"/>
      <c r="BN116">
        <v>2</v>
      </c>
      <c r="BO116">
        <v>1</v>
      </c>
      <c r="BP116"/>
      <c r="BQ116">
        <v>3</v>
      </c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9"/>
        <v>0.1008646460336271</v>
      </c>
      <c r="CL116" s="179">
        <f t="shared" si="90"/>
        <v>9</v>
      </c>
      <c r="CM116" s="180">
        <f t="shared" si="91"/>
        <v>39714</v>
      </c>
      <c r="CN116" s="220">
        <v>0</v>
      </c>
      <c r="CO116" s="220"/>
      <c r="CP116" s="220"/>
      <c r="CQ116" s="220"/>
      <c r="CR116" s="220"/>
      <c r="CS116" s="220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0.35865645894864961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10.416666666666666</v>
      </c>
      <c r="DI116" s="161">
        <f t="shared" si="97"/>
        <v>10.416666666666666</v>
      </c>
      <c r="DJ116" s="161">
        <f t="shared" si="98"/>
        <v>0</v>
      </c>
      <c r="DK116" s="161">
        <f t="shared" si="99"/>
        <v>0</v>
      </c>
      <c r="DL116" s="161">
        <f t="shared" si="100"/>
        <v>10.416666666666666</v>
      </c>
      <c r="DM116" s="161">
        <f t="shared" si="101"/>
        <v>0</v>
      </c>
      <c r="DN116" s="161">
        <f t="shared" si="102"/>
        <v>0</v>
      </c>
      <c r="DO116" s="161">
        <f t="shared" si="103"/>
        <v>10.416666666666666</v>
      </c>
      <c r="DP116" s="161">
        <f t="shared" si="104"/>
        <v>0</v>
      </c>
      <c r="DQ116" s="161">
        <f t="shared" si="105"/>
        <v>0</v>
      </c>
      <c r="DR116" s="161">
        <f t="shared" si="106"/>
        <v>20.833333333333332</v>
      </c>
      <c r="DS116" s="161">
        <f t="shared" si="107"/>
        <v>10.416666666666666</v>
      </c>
      <c r="DT116" s="161">
        <f t="shared" si="108"/>
        <v>0</v>
      </c>
      <c r="DU116" s="161">
        <f t="shared" si="109"/>
        <v>31.25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104.16666666666667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0.517798586132588</v>
      </c>
      <c r="ES116" s="139">
        <f t="shared" si="58"/>
        <v>1.4153608636727069</v>
      </c>
      <c r="ET116" s="139">
        <f t="shared" si="59"/>
        <v>0</v>
      </c>
      <c r="EU116" s="139">
        <f t="shared" si="60"/>
        <v>0</v>
      </c>
      <c r="EV116" s="139">
        <f t="shared" si="61"/>
        <v>7.8962624008309863</v>
      </c>
      <c r="EW116" s="139">
        <f t="shared" si="62"/>
        <v>0</v>
      </c>
      <c r="EX116" s="139">
        <f t="shared" si="63"/>
        <v>0</v>
      </c>
      <c r="EY116" s="139">
        <f t="shared" si="64"/>
        <v>21.583799320310842</v>
      </c>
      <c r="EZ116" s="139">
        <f t="shared" si="65"/>
        <v>0</v>
      </c>
      <c r="FA116" s="139">
        <f t="shared" si="66"/>
        <v>0</v>
      </c>
      <c r="FB116" s="139">
        <f t="shared" si="67"/>
        <v>88.106095771198966</v>
      </c>
      <c r="FC116" s="139">
        <f t="shared" si="68"/>
        <v>53.726182714680178</v>
      </c>
      <c r="FD116" s="139">
        <f t="shared" si="69"/>
        <v>0</v>
      </c>
      <c r="FE116" s="139">
        <f t="shared" si="70"/>
        <v>229.84446416716455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403.08996382399084</v>
      </c>
      <c r="FV116" s="149"/>
      <c r="FY116" s="210">
        <v>111</v>
      </c>
      <c r="FZ116">
        <v>27.843372789715989</v>
      </c>
      <c r="GA116">
        <v>88.455962815283215</v>
      </c>
      <c r="GB116">
        <v>51.425355247582551</v>
      </c>
      <c r="GC116">
        <v>11.604660488127697</v>
      </c>
      <c r="GD116">
        <v>5.884652789391617</v>
      </c>
      <c r="GE116">
        <v>6.712272525821116</v>
      </c>
      <c r="GF116">
        <v>10.8170374818512</v>
      </c>
      <c r="GG116">
        <v>18.357399686140372</v>
      </c>
      <c r="GH116">
        <v>19.598949928672425</v>
      </c>
      <c r="GI116">
        <v>42.927881734924597</v>
      </c>
      <c r="GJ116"/>
      <c r="GK116"/>
      <c r="GL116"/>
      <c r="GM116"/>
    </row>
    <row r="117" spans="1:195" s="7" customFormat="1">
      <c r="A117" s="1"/>
      <c r="B117" s="76">
        <f t="shared" ca="1" si="49"/>
        <v>0.54509056595005667</v>
      </c>
      <c r="C117">
        <v>8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10.416666666666666</v>
      </c>
      <c r="M117">
        <v>0</v>
      </c>
      <c r="N117">
        <v>0</v>
      </c>
      <c r="O117">
        <v>0</v>
      </c>
      <c r="P117">
        <v>0</v>
      </c>
      <c r="Q117">
        <v>10.416666666666666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49.624877207065531</v>
      </c>
      <c r="AO117">
        <v>77.187685506973324</v>
      </c>
      <c r="AP117">
        <v>528.33135661875883</v>
      </c>
      <c r="AQ117">
        <v>182.83161391832465</v>
      </c>
      <c r="AR117">
        <v>71.508309912452745</v>
      </c>
      <c r="AS117">
        <v>356.71859730879612</v>
      </c>
      <c r="AT117">
        <v>27.505037335739981</v>
      </c>
      <c r="AU117">
        <v>26.826768550287397</v>
      </c>
      <c r="AV117"/>
      <c r="AW117"/>
      <c r="AX117" s="146"/>
      <c r="AY117" s="76">
        <f t="shared" ca="1" si="87"/>
        <v>0.73935111891262739</v>
      </c>
      <c r="AZ117">
        <v>10</v>
      </c>
      <c r="BA117" s="129">
        <f t="shared" si="128"/>
        <v>39714</v>
      </c>
      <c r="BB117">
        <v>0</v>
      </c>
      <c r="BC117"/>
      <c r="BD117"/>
      <c r="BE117">
        <v>1</v>
      </c>
      <c r="BF117">
        <v>2</v>
      </c>
      <c r="BG117"/>
      <c r="BH117"/>
      <c r="BI117"/>
      <c r="BJ117"/>
      <c r="BK117"/>
      <c r="BL117"/>
      <c r="BM117">
        <v>1</v>
      </c>
      <c r="BN117">
        <v>1</v>
      </c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9"/>
        <v>0.44605680998667085</v>
      </c>
      <c r="CL117" s="179">
        <f t="shared" si="90"/>
        <v>10</v>
      </c>
      <c r="CM117" s="180">
        <f t="shared" si="91"/>
        <v>39714</v>
      </c>
      <c r="CN117">
        <v>0</v>
      </c>
      <c r="CO117"/>
      <c r="CP117"/>
      <c r="CQ117"/>
      <c r="CR117"/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0.97052431428178143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0</v>
      </c>
      <c r="DH117" s="161">
        <f t="shared" si="96"/>
        <v>0</v>
      </c>
      <c r="DI117" s="161">
        <f t="shared" si="97"/>
        <v>10.416666666666666</v>
      </c>
      <c r="DJ117" s="161">
        <f t="shared" si="98"/>
        <v>20.833333333333332</v>
      </c>
      <c r="DK117" s="161">
        <f t="shared" si="99"/>
        <v>0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10.416666666666666</v>
      </c>
      <c r="DR117" s="161">
        <f t="shared" si="106"/>
        <v>10.416666666666666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52.083333333333329</v>
      </c>
      <c r="EL117" s="149"/>
      <c r="EN117" s="146"/>
      <c r="EO117" s="146"/>
      <c r="EP117" s="139">
        <f t="shared" si="55"/>
        <v>0</v>
      </c>
      <c r="EQ117" s="139">
        <f t="shared" si="56"/>
        <v>0</v>
      </c>
      <c r="ER117" s="139">
        <f t="shared" si="57"/>
        <v>0</v>
      </c>
      <c r="ES117" s="139">
        <f t="shared" si="58"/>
        <v>1.4153608636727069</v>
      </c>
      <c r="ET117" s="139">
        <f t="shared" si="59"/>
        <v>5.777570387628975</v>
      </c>
      <c r="EU117" s="139">
        <f t="shared" si="60"/>
        <v>0</v>
      </c>
      <c r="EV117" s="139">
        <f t="shared" si="61"/>
        <v>0</v>
      </c>
      <c r="EW117" s="139">
        <f t="shared" si="62"/>
        <v>0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35.502613963840211</v>
      </c>
      <c r="FB117" s="139">
        <f t="shared" si="67"/>
        <v>44.053047885599483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86.748593100741374</v>
      </c>
      <c r="FV117" s="149"/>
      <c r="FY117" s="210">
        <v>112</v>
      </c>
      <c r="FZ117">
        <v>26.237556368732044</v>
      </c>
      <c r="GA117">
        <v>35.635934345439622</v>
      </c>
      <c r="GB117">
        <v>16.241491904402878</v>
      </c>
      <c r="GC117">
        <v>10.042091580777869</v>
      </c>
      <c r="GD117">
        <v>7.2401376683901031</v>
      </c>
      <c r="GE117">
        <v>7.9609345848037982</v>
      </c>
      <c r="GF117">
        <v>11.722582881237663</v>
      </c>
      <c r="GG117">
        <v>14.478259382957971</v>
      </c>
      <c r="GH117">
        <v>3.2732964464726142</v>
      </c>
      <c r="GI117">
        <v>24.303408996563189</v>
      </c>
      <c r="GJ117"/>
      <c r="GK117"/>
      <c r="GL117"/>
      <c r="GM117"/>
    </row>
    <row r="118" spans="1:195" s="7" customFormat="1">
      <c r="A118" s="128"/>
      <c r="B118" s="76">
        <f t="shared" ca="1" si="49"/>
        <v>0.41458929278691325</v>
      </c>
      <c r="C118">
        <v>7</v>
      </c>
      <c r="D118">
        <v>39747</v>
      </c>
      <c r="E118">
        <v>0</v>
      </c>
      <c r="F118">
        <v>0</v>
      </c>
      <c r="G118">
        <v>74.404761904761912</v>
      </c>
      <c r="H118">
        <v>148.80952380952382</v>
      </c>
      <c r="I118">
        <v>0</v>
      </c>
      <c r="J118">
        <v>74.404761904761912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58.877218835847216</v>
      </c>
      <c r="AO118">
        <v>63.464187212714343</v>
      </c>
      <c r="AP118">
        <v>488.19311656493414</v>
      </c>
      <c r="AQ118">
        <v>220.53253834413121</v>
      </c>
      <c r="AR118">
        <v>58.566101679033956</v>
      </c>
      <c r="AS118">
        <v>296.4000173031672</v>
      </c>
      <c r="AT118">
        <v>24.403855445177481</v>
      </c>
      <c r="AU118">
        <v>43.015594592195349</v>
      </c>
      <c r="AV118"/>
      <c r="AW118"/>
      <c r="AX118" s="128"/>
      <c r="AY118" s="76">
        <f t="shared" ca="1" si="87"/>
        <v>0.9279924835357618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/>
      <c r="BI118"/>
      <c r="BJ118"/>
      <c r="BK118"/>
      <c r="BL118">
        <v>1</v>
      </c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9"/>
        <v>0.73363159687407808</v>
      </c>
      <c r="CL118" s="179">
        <f t="shared" si="90"/>
        <v>1</v>
      </c>
      <c r="CM118" s="180">
        <f t="shared" si="91"/>
        <v>39747</v>
      </c>
      <c r="CN118">
        <v>0</v>
      </c>
      <c r="CO118"/>
      <c r="CP118"/>
      <c r="CQ118"/>
      <c r="CR118"/>
      <c r="CS118"/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0.44904034029177797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10.416666666666666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10.416666666666666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28.028926904981219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28.028926904981219</v>
      </c>
      <c r="FV118" s="149"/>
      <c r="FY118" s="210">
        <v>113</v>
      </c>
      <c r="FZ118">
        <v>21.64461403292675</v>
      </c>
      <c r="GA118">
        <v>52.056466761932803</v>
      </c>
      <c r="GB118">
        <v>45.303952495004616</v>
      </c>
      <c r="GC118">
        <v>15.172907818419608</v>
      </c>
      <c r="GD118">
        <v>8.3429405110136088</v>
      </c>
      <c r="GE118">
        <v>7.1754373270307408</v>
      </c>
      <c r="GF118">
        <v>12.239259222071015</v>
      </c>
      <c r="GG118">
        <v>27.53021727738081</v>
      </c>
      <c r="GH118">
        <v>27.026619845270762</v>
      </c>
      <c r="GI118">
        <v>39.456632978022697</v>
      </c>
      <c r="GJ118"/>
      <c r="GK118"/>
      <c r="GL118"/>
      <c r="GM118"/>
    </row>
    <row r="119" spans="1:195" s="7" customFormat="1">
      <c r="A119" s="1"/>
      <c r="B119" s="76">
        <f t="shared" ca="1" si="49"/>
        <v>7.4120689003471796E-2</v>
      </c>
      <c r="C119">
        <v>3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64.465702815787608</v>
      </c>
      <c r="AO119">
        <v>93.563273499138774</v>
      </c>
      <c r="AP119">
        <v>682.10508954187208</v>
      </c>
      <c r="AQ119">
        <v>256.39852070777152</v>
      </c>
      <c r="AR119">
        <v>87.46790210452231</v>
      </c>
      <c r="AS119">
        <v>587.31533200944057</v>
      </c>
      <c r="AT119">
        <v>35.326517644298605</v>
      </c>
      <c r="AU119">
        <v>20.18706162733049</v>
      </c>
      <c r="AV119"/>
      <c r="AW119"/>
      <c r="AX119" s="146"/>
      <c r="AY119" s="76">
        <f t="shared" ca="1" si="87"/>
        <v>2.9972500286973514E-2</v>
      </c>
      <c r="AZ119">
        <v>2</v>
      </c>
      <c r="BA119" s="129">
        <f t="shared" ref="BA119:BA127" si="130">IF(AZ119="", "",$C$7)</f>
        <v>39747</v>
      </c>
      <c r="BB119">
        <v>0</v>
      </c>
      <c r="BC119"/>
      <c r="BD119"/>
      <c r="BE119"/>
      <c r="BF119"/>
      <c r="BG119"/>
      <c r="BH119"/>
      <c r="BI119"/>
      <c r="BJ119"/>
      <c r="BK119"/>
      <c r="BL119"/>
      <c r="BM119"/>
      <c r="BN119">
        <v>2</v>
      </c>
      <c r="BO119"/>
      <c r="BP119"/>
      <c r="BQ119">
        <v>3</v>
      </c>
      <c r="BR119">
        <v>1</v>
      </c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9"/>
        <v>0.62409408448418624</v>
      </c>
      <c r="CL119" s="179">
        <f t="shared" si="90"/>
        <v>2</v>
      </c>
      <c r="CM119" s="180">
        <f t="shared" si="91"/>
        <v>39747</v>
      </c>
      <c r="CN119">
        <v>0</v>
      </c>
      <c r="CO119"/>
      <c r="CP119">
        <v>1</v>
      </c>
      <c r="CQ119">
        <v>2</v>
      </c>
      <c r="CR119"/>
      <c r="CS119"/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0.76628523420499817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91.145833333333329</v>
      </c>
      <c r="DI119" s="161">
        <f t="shared" si="97"/>
        <v>182.29166666666666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52.083333333333336</v>
      </c>
      <c r="DS119" s="161">
        <f t="shared" si="107"/>
        <v>0</v>
      </c>
      <c r="DT119" s="161">
        <f t="shared" si="108"/>
        <v>0</v>
      </c>
      <c r="DU119" s="161">
        <f t="shared" si="109"/>
        <v>78.125</v>
      </c>
      <c r="DV119" s="161">
        <f t="shared" si="110"/>
        <v>26.041666666666668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429.6875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4.5307376286601446</v>
      </c>
      <c r="ES119" s="139">
        <f t="shared" si="58"/>
        <v>24.768815114272371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220.26523942799744</v>
      </c>
      <c r="FC119" s="139">
        <f t="shared" si="68"/>
        <v>0</v>
      </c>
      <c r="FD119" s="139">
        <f t="shared" si="69"/>
        <v>0</v>
      </c>
      <c r="FE119" s="139">
        <f t="shared" si="70"/>
        <v>574.61116041791138</v>
      </c>
      <c r="FF119" s="139">
        <f t="shared" si="71"/>
        <v>224.78329686200155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1048.9592494508429</v>
      </c>
      <c r="FV119" s="149"/>
      <c r="FY119" s="210">
        <v>114</v>
      </c>
      <c r="FZ119">
        <v>30.835391381074757</v>
      </c>
      <c r="GA119">
        <v>71.743403112641261</v>
      </c>
      <c r="GB119">
        <v>36.853891776547542</v>
      </c>
      <c r="GC119">
        <v>11.317206059550392</v>
      </c>
      <c r="GD119">
        <v>6.2773674430618707</v>
      </c>
      <c r="GE119">
        <v>6.1877878773248494</v>
      </c>
      <c r="GF119">
        <v>9.4780538478161738</v>
      </c>
      <c r="GG119">
        <v>17.05314697135168</v>
      </c>
      <c r="GH119">
        <v>20.35350353959031</v>
      </c>
      <c r="GI119">
        <v>36.318386589062705</v>
      </c>
      <c r="GJ119"/>
      <c r="GK119"/>
      <c r="GL119"/>
      <c r="GM119"/>
    </row>
    <row r="120" spans="1:195" s="7" customFormat="1">
      <c r="A120" s="1"/>
      <c r="B120" s="76">
        <f t="shared" ref="B120:B151" ca="1" si="131">IF(C120="", "", RAND())</f>
        <v>0.28428162213495511</v>
      </c>
      <c r="C120">
        <v>5</v>
      </c>
      <c r="D120">
        <v>39747</v>
      </c>
      <c r="E120">
        <v>0</v>
      </c>
      <c r="F120">
        <v>0</v>
      </c>
      <c r="G120">
        <v>110.47979797979797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20.833333333333332</v>
      </c>
      <c r="Q120">
        <v>0</v>
      </c>
      <c r="R120">
        <v>10.416666666666666</v>
      </c>
      <c r="S120">
        <v>31.25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54.621558681042714</v>
      </c>
      <c r="AO120">
        <v>76.143344270922782</v>
      </c>
      <c r="AP120">
        <v>551.19295892643436</v>
      </c>
      <c r="AQ120">
        <v>202.69269061177926</v>
      </c>
      <c r="AR120">
        <v>71.764374491353919</v>
      </c>
      <c r="AS120">
        <v>475.86696786110923</v>
      </c>
      <c r="AT120">
        <v>28.458236146425858</v>
      </c>
      <c r="AU120">
        <v>35.082631825421323</v>
      </c>
      <c r="AV120"/>
      <c r="AW120"/>
      <c r="AX120" s="146"/>
      <c r="AY120" s="76">
        <f t="shared" ca="1" si="87"/>
        <v>0.93825765197106792</v>
      </c>
      <c r="AZ120">
        <v>3</v>
      </c>
      <c r="BA120" s="129">
        <f t="shared" si="130"/>
        <v>39747</v>
      </c>
      <c r="BB120">
        <v>0</v>
      </c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9"/>
        <v>0.70483038673035914</v>
      </c>
      <c r="CL120" s="179">
        <f t="shared" si="90"/>
        <v>3</v>
      </c>
      <c r="CM120" s="180">
        <f t="shared" si="91"/>
        <v>39747</v>
      </c>
      <c r="CN120">
        <v>0</v>
      </c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0.25067601375562276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0">
        <v>115</v>
      </c>
      <c r="FZ120">
        <v>23.469615842381209</v>
      </c>
      <c r="GA120">
        <v>64.735613110450544</v>
      </c>
      <c r="GB120">
        <v>34.169853700545865</v>
      </c>
      <c r="GC120">
        <v>9.8139131658626209</v>
      </c>
      <c r="GD120">
        <v>6.7292243307207</v>
      </c>
      <c r="GE120">
        <v>9.9799192686571452</v>
      </c>
      <c r="GF120">
        <v>8.4098575274845064</v>
      </c>
      <c r="GG120">
        <v>17.085201615294018</v>
      </c>
      <c r="GH120">
        <v>23.933276798837053</v>
      </c>
      <c r="GI120">
        <v>34.213662386954532</v>
      </c>
      <c r="GJ120"/>
      <c r="GK120"/>
      <c r="GL120"/>
      <c r="GM120"/>
    </row>
    <row r="121" spans="1:195" s="7" customFormat="1">
      <c r="A121" s="1"/>
      <c r="B121" s="76">
        <f t="shared" ca="1" si="131"/>
        <v>0.98759147262795843</v>
      </c>
      <c r="C121">
        <v>10</v>
      </c>
      <c r="D121">
        <v>39747</v>
      </c>
      <c r="E121">
        <v>0</v>
      </c>
      <c r="F121">
        <v>65.104166666666671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61.103721401707716</v>
      </c>
      <c r="AO121">
        <v>69.302548351569527</v>
      </c>
      <c r="AP121">
        <v>493.14883098919393</v>
      </c>
      <c r="AQ121">
        <v>225.9484764048922</v>
      </c>
      <c r="AR121">
        <v>64.990282774992195</v>
      </c>
      <c r="AS121">
        <v>361.62761296703968</v>
      </c>
      <c r="AT121">
        <v>27.911647061288651</v>
      </c>
      <c r="AU121">
        <v>0.79484906808953149</v>
      </c>
      <c r="AV121"/>
      <c r="AW121"/>
      <c r="AX121" s="146"/>
      <c r="AY121" s="76">
        <f t="shared" ca="1" si="87"/>
        <v>0.1537233388821031</v>
      </c>
      <c r="AZ121">
        <v>4</v>
      </c>
      <c r="BA121" s="129">
        <f t="shared" si="130"/>
        <v>39747</v>
      </c>
      <c r="BB121">
        <v>0</v>
      </c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9"/>
        <v>0.26194840671523711</v>
      </c>
      <c r="CL121" s="179">
        <f t="shared" si="90"/>
        <v>4</v>
      </c>
      <c r="CM121" s="180">
        <f t="shared" si="91"/>
        <v>39747</v>
      </c>
      <c r="CN121">
        <v>0</v>
      </c>
      <c r="CO121"/>
      <c r="CP121"/>
      <c r="CQ121">
        <v>3</v>
      </c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0.54529304371708909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0</v>
      </c>
      <c r="DI121" s="161">
        <f t="shared" si="97"/>
        <v>188.57758620689654</v>
      </c>
      <c r="DJ121" s="161">
        <f t="shared" si="98"/>
        <v>0</v>
      </c>
      <c r="DK121" s="161">
        <f t="shared" si="99"/>
        <v>0</v>
      </c>
      <c r="DL121" s="161">
        <f t="shared" si="100"/>
        <v>0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2"/>
        <v>188.57758620689654</v>
      </c>
      <c r="EL121" s="149"/>
      <c r="EN121" s="146"/>
      <c r="EO121" s="146"/>
      <c r="EP121" s="139">
        <f t="shared" si="133"/>
        <v>0</v>
      </c>
      <c r="EQ121" s="139">
        <f t="shared" si="134"/>
        <v>0</v>
      </c>
      <c r="ER121" s="139">
        <f t="shared" si="135"/>
        <v>0</v>
      </c>
      <c r="ES121" s="139">
        <f t="shared" si="136"/>
        <v>25.622912187178311</v>
      </c>
      <c r="ET121" s="139">
        <f t="shared" si="137"/>
        <v>0</v>
      </c>
      <c r="EU121" s="139">
        <f t="shared" si="138"/>
        <v>0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25.622912187178311</v>
      </c>
      <c r="FV121" s="149"/>
      <c r="FY121" s="210">
        <v>116</v>
      </c>
      <c r="FZ121">
        <v>23.173493006846197</v>
      </c>
      <c r="GA121">
        <v>50.443409016669001</v>
      </c>
      <c r="GB121">
        <v>27.402320721699194</v>
      </c>
      <c r="GC121">
        <v>10.56585458682309</v>
      </c>
      <c r="GD121">
        <v>8.2933482509926897</v>
      </c>
      <c r="GE121">
        <v>9.8622385729799618</v>
      </c>
      <c r="GF121">
        <v>10.649672374191617</v>
      </c>
      <c r="GG121">
        <v>16.053438762251844</v>
      </c>
      <c r="GH121">
        <v>13.121245836554083</v>
      </c>
      <c r="GI121">
        <v>30.932600331450708</v>
      </c>
      <c r="GJ121"/>
      <c r="GK121"/>
      <c r="GL121"/>
      <c r="GM121"/>
    </row>
    <row r="122" spans="1:195" s="7" customFormat="1">
      <c r="A122" s="1"/>
      <c r="B122" s="76">
        <f t="shared" ca="1" si="131"/>
        <v>0.89565663965966902</v>
      </c>
      <c r="C122">
        <v>6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10.416666666666666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10.416666666666666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59.858029469570667</v>
      </c>
      <c r="AO122">
        <v>84.130163286649719</v>
      </c>
      <c r="AP122">
        <v>574.17726486703077</v>
      </c>
      <c r="AQ122">
        <v>210.11565148994313</v>
      </c>
      <c r="AR122">
        <v>77.530761731232715</v>
      </c>
      <c r="AS122">
        <v>548.81597017250738</v>
      </c>
      <c r="AT122">
        <v>29.801081119358471</v>
      </c>
      <c r="AU122">
        <v>-82.814301454008501</v>
      </c>
      <c r="AV122"/>
      <c r="AW122"/>
      <c r="AX122" s="146"/>
      <c r="AY122" s="76">
        <f t="shared" ca="1" si="87"/>
        <v>0.47254036125229493</v>
      </c>
      <c r="AZ122">
        <v>5</v>
      </c>
      <c r="BA122" s="129">
        <f t="shared" si="130"/>
        <v>39747</v>
      </c>
      <c r="BB122">
        <v>0</v>
      </c>
      <c r="BC122"/>
      <c r="BD122"/>
      <c r="BE122"/>
      <c r="BF122"/>
      <c r="BG122"/>
      <c r="BH122"/>
      <c r="BI122"/>
      <c r="BJ122"/>
      <c r="BK122"/>
      <c r="BL122"/>
      <c r="BM122">
        <v>2</v>
      </c>
      <c r="BN122"/>
      <c r="BO122">
        <v>1</v>
      </c>
      <c r="BP122">
        <v>3</v>
      </c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9"/>
        <v>0.54378785724615719</v>
      </c>
      <c r="CL122" s="179">
        <f t="shared" si="90"/>
        <v>5</v>
      </c>
      <c r="CM122" s="180">
        <f t="shared" si="91"/>
        <v>39747</v>
      </c>
      <c r="CN122">
        <v>0</v>
      </c>
      <c r="CO122"/>
      <c r="CP122">
        <v>1</v>
      </c>
      <c r="CQ122"/>
      <c r="CR122"/>
      <c r="CS122"/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6.8969082353593336E-2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110.47979797979797</v>
      </c>
      <c r="DI122" s="161">
        <f t="shared" si="97"/>
        <v>0</v>
      </c>
      <c r="DJ122" s="161">
        <f t="shared" si="98"/>
        <v>0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20.833333333333332</v>
      </c>
      <c r="DR122" s="161">
        <f t="shared" si="106"/>
        <v>0</v>
      </c>
      <c r="DS122" s="161">
        <f t="shared" si="107"/>
        <v>10.416666666666666</v>
      </c>
      <c r="DT122" s="161">
        <f t="shared" si="108"/>
        <v>31.25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2"/>
        <v>172.97979797979795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5.491803186254721</v>
      </c>
      <c r="ES122" s="139">
        <f t="shared" si="136"/>
        <v>0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71.005227927680423</v>
      </c>
      <c r="FB122" s="139">
        <f t="shared" si="145"/>
        <v>0</v>
      </c>
      <c r="FC122" s="139">
        <f t="shared" si="146"/>
        <v>53.726182714680178</v>
      </c>
      <c r="FD122" s="139">
        <f t="shared" si="147"/>
        <v>193.69805249495667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323.92126632357201</v>
      </c>
      <c r="FV122" s="149"/>
      <c r="FY122" s="210">
        <v>117</v>
      </c>
      <c r="FZ122">
        <v>29.252359472686404</v>
      </c>
      <c r="GA122">
        <v>63.919331007288918</v>
      </c>
      <c r="GB122">
        <v>45.868060247473537</v>
      </c>
      <c r="GC122">
        <v>13.638850633189646</v>
      </c>
      <c r="GD122">
        <v>5.8358382906874491</v>
      </c>
      <c r="GE122">
        <v>4.0592318863796413</v>
      </c>
      <c r="GF122">
        <v>9.8884893092461148</v>
      </c>
      <c r="GG122">
        <v>16.507550416250893</v>
      </c>
      <c r="GH122">
        <v>18.011935966954713</v>
      </c>
      <c r="GI122">
        <v>38.709859384234043</v>
      </c>
      <c r="GJ122"/>
      <c r="GK122"/>
      <c r="GL122"/>
      <c r="GM122"/>
    </row>
    <row r="123" spans="1:195" s="7" customFormat="1">
      <c r="A123" s="1"/>
      <c r="B123" s="76">
        <f t="shared" ca="1" si="131"/>
        <v>0.91257735137795071</v>
      </c>
      <c r="C123">
        <v>4</v>
      </c>
      <c r="D123">
        <v>39747</v>
      </c>
      <c r="E123">
        <v>0</v>
      </c>
      <c r="F123">
        <v>0</v>
      </c>
      <c r="G123">
        <v>0</v>
      </c>
      <c r="H123">
        <v>188.57758620689654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64.830520364316357</v>
      </c>
      <c r="AO123">
        <v>72.230777272709005</v>
      </c>
      <c r="AP123">
        <v>491.46640620446459</v>
      </c>
      <c r="AQ123">
        <v>207.10339463043198</v>
      </c>
      <c r="AR123">
        <v>67.140260017151078</v>
      </c>
      <c r="AS123">
        <v>454.08678507597085</v>
      </c>
      <c r="AT123">
        <v>25.653306956302604</v>
      </c>
      <c r="AU123">
        <v>19.209825067403258</v>
      </c>
      <c r="AV123"/>
      <c r="AW123"/>
      <c r="AX123" s="146"/>
      <c r="AY123" s="76">
        <f t="shared" ca="1" si="87"/>
        <v>5.4588806782631005E-2</v>
      </c>
      <c r="AZ123">
        <v>6</v>
      </c>
      <c r="BA123" s="129">
        <f t="shared" si="130"/>
        <v>39747</v>
      </c>
      <c r="BB123">
        <v>0</v>
      </c>
      <c r="BC123"/>
      <c r="BD123"/>
      <c r="BE123"/>
      <c r="BF123">
        <v>1</v>
      </c>
      <c r="BG123"/>
      <c r="BH123"/>
      <c r="BI123"/>
      <c r="BJ123"/>
      <c r="BK123"/>
      <c r="BL123"/>
      <c r="BM123"/>
      <c r="BN123"/>
      <c r="BO123"/>
      <c r="BP123">
        <v>1</v>
      </c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9"/>
        <v>0.74569588807431009</v>
      </c>
      <c r="CL123" s="179">
        <f t="shared" si="90"/>
        <v>6</v>
      </c>
      <c r="CM123" s="180">
        <f t="shared" si="91"/>
        <v>39747</v>
      </c>
      <c r="CN123" s="218">
        <v>0</v>
      </c>
      <c r="CO123" s="218"/>
      <c r="CP123" s="218"/>
      <c r="CQ123" s="218"/>
      <c r="CR123" s="218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0.31136835579974664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0</v>
      </c>
      <c r="DJ123" s="161">
        <f t="shared" si="98"/>
        <v>10.416666666666666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10.416666666666666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2"/>
        <v>20.833333333333332</v>
      </c>
      <c r="EL123" s="149"/>
      <c r="EN123" s="146"/>
      <c r="EO123" s="146"/>
      <c r="EP123" s="139">
        <f t="shared" si="133"/>
        <v>0</v>
      </c>
      <c r="EQ123" s="139">
        <f t="shared" si="134"/>
        <v>0</v>
      </c>
      <c r="ER123" s="139">
        <f t="shared" si="135"/>
        <v>0</v>
      </c>
      <c r="ES123" s="139">
        <f t="shared" si="136"/>
        <v>0</v>
      </c>
      <c r="ET123" s="139">
        <f t="shared" si="137"/>
        <v>2.8887851938144875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64.566017498318885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67.45480269213337</v>
      </c>
      <c r="FV123" s="149"/>
      <c r="FY123" s="210">
        <v>118</v>
      </c>
      <c r="FZ123">
        <v>23.607234890168272</v>
      </c>
      <c r="GA123">
        <v>36.022913366455995</v>
      </c>
      <c r="GB123">
        <v>36.47439097212213</v>
      </c>
      <c r="GC123">
        <v>13.794197560731217</v>
      </c>
      <c r="GD123">
        <v>5.8921457222575651</v>
      </c>
      <c r="GE123">
        <v>6.056708857562846</v>
      </c>
      <c r="GF123">
        <v>9.3774974712732071</v>
      </c>
      <c r="GG123">
        <v>14.983115667434173</v>
      </c>
      <c r="GH123">
        <v>16.333669887787135</v>
      </c>
      <c r="GI123">
        <v>35.517029312692472</v>
      </c>
      <c r="GJ123"/>
      <c r="GK123"/>
      <c r="GL123"/>
      <c r="GM123"/>
    </row>
    <row r="124" spans="1:195" s="7" customFormat="1">
      <c r="A124" s="1"/>
      <c r="B124" s="76">
        <f t="shared" ca="1" si="131"/>
        <v>0.82200008521833601</v>
      </c>
      <c r="C124">
        <v>8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10.416666666666666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48.834735096944669</v>
      </c>
      <c r="AO124">
        <v>68.104509346576009</v>
      </c>
      <c r="AP124">
        <v>490.13376202446813</v>
      </c>
      <c r="AQ124">
        <v>173.21469614580448</v>
      </c>
      <c r="AR124">
        <v>64.204395005758656</v>
      </c>
      <c r="AS124">
        <v>408.04649328771376</v>
      </c>
      <c r="AT124">
        <v>27.019658812026744</v>
      </c>
      <c r="AU124">
        <v>6.3783620182280396</v>
      </c>
      <c r="AV124"/>
      <c r="AW124"/>
      <c r="AX124" s="146"/>
      <c r="AY124" s="76">
        <f t="shared" ca="1" si="87"/>
        <v>0.85488490112998328</v>
      </c>
      <c r="AZ124">
        <v>7</v>
      </c>
      <c r="BA124" s="129">
        <f t="shared" si="130"/>
        <v>39747</v>
      </c>
      <c r="BB124">
        <v>0</v>
      </c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9"/>
        <v>0.31399538075162403</v>
      </c>
      <c r="CL124" s="179">
        <f t="shared" si="90"/>
        <v>7</v>
      </c>
      <c r="CM124" s="180">
        <f t="shared" si="91"/>
        <v>39747</v>
      </c>
      <c r="CN124">
        <v>0</v>
      </c>
      <c r="CO124"/>
      <c r="CP124">
        <v>1</v>
      </c>
      <c r="CQ124">
        <v>2</v>
      </c>
      <c r="CR124"/>
      <c r="CS124">
        <v>1</v>
      </c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0.9429641645198914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0</v>
      </c>
      <c r="DH124" s="161">
        <f t="shared" si="96"/>
        <v>74.404761904761912</v>
      </c>
      <c r="DI124" s="161">
        <f t="shared" si="97"/>
        <v>148.80952380952382</v>
      </c>
      <c r="DJ124" s="161">
        <f t="shared" si="98"/>
        <v>0</v>
      </c>
      <c r="DK124" s="161">
        <f t="shared" si="99"/>
        <v>74.404761904761912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2"/>
        <v>297.61904761904765</v>
      </c>
      <c r="EL124" s="149"/>
      <c r="EN124" s="146"/>
      <c r="EO124" s="146"/>
      <c r="EP124" s="139">
        <f t="shared" si="133"/>
        <v>0</v>
      </c>
      <c r="EQ124" s="139">
        <f t="shared" si="134"/>
        <v>0</v>
      </c>
      <c r="ER124" s="139">
        <f t="shared" si="135"/>
        <v>3.698561329518486</v>
      </c>
      <c r="ES124" s="139">
        <f t="shared" si="136"/>
        <v>20.2194409096101</v>
      </c>
      <c r="ET124" s="139">
        <f t="shared" si="137"/>
        <v>0</v>
      </c>
      <c r="EU124" s="139">
        <f t="shared" si="138"/>
        <v>35.885916813973054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59.803919053101637</v>
      </c>
      <c r="FV124" s="149"/>
      <c r="FY124" s="210">
        <v>119</v>
      </c>
      <c r="FZ124">
        <v>20.291206034735737</v>
      </c>
      <c r="GA124">
        <v>69.807017854362158</v>
      </c>
      <c r="GB124">
        <v>44.256220546944441</v>
      </c>
      <c r="GC124">
        <v>19.356731326030776</v>
      </c>
      <c r="GD124">
        <v>9.2713990423169719</v>
      </c>
      <c r="GE124">
        <v>6.2794011453599534</v>
      </c>
      <c r="GF124">
        <v>10.386926000039749</v>
      </c>
      <c r="GG124">
        <v>14.381768211897088</v>
      </c>
      <c r="GH124">
        <v>10.784513312588395</v>
      </c>
      <c r="GI124">
        <v>39.2108857986629</v>
      </c>
      <c r="GJ124"/>
      <c r="GK124"/>
      <c r="GL124"/>
      <c r="GM124"/>
    </row>
    <row r="125" spans="1:195" s="7" customFormat="1">
      <c r="A125" s="1"/>
      <c r="B125" s="76">
        <f t="shared" ca="1" si="131"/>
        <v>0.9333888308734295</v>
      </c>
      <c r="C125">
        <v>9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10.416666666666666</v>
      </c>
      <c r="S125">
        <v>0</v>
      </c>
      <c r="T125">
        <v>0</v>
      </c>
      <c r="U125">
        <v>10.416666666666666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59.317777404391677</v>
      </c>
      <c r="AO125">
        <v>69.658683807314716</v>
      </c>
      <c r="AP125">
        <v>560.60329029505363</v>
      </c>
      <c r="AQ125">
        <v>234.76910550973531</v>
      </c>
      <c r="AR125">
        <v>66.597740309210693</v>
      </c>
      <c r="AS125">
        <v>333.99506475290394</v>
      </c>
      <c r="AT125">
        <v>26.258880685616017</v>
      </c>
      <c r="AU125">
        <v>-0.8348118128187263</v>
      </c>
      <c r="AV125"/>
      <c r="AW125"/>
      <c r="AX125" s="146"/>
      <c r="AY125" s="76">
        <f t="shared" ca="1" si="87"/>
        <v>0.90509586807548748</v>
      </c>
      <c r="AZ125">
        <v>8</v>
      </c>
      <c r="BA125" s="129">
        <f t="shared" si="130"/>
        <v>39747</v>
      </c>
      <c r="BB125">
        <v>0</v>
      </c>
      <c r="BC125"/>
      <c r="BD125"/>
      <c r="BE125"/>
      <c r="BF125"/>
      <c r="BG125"/>
      <c r="BH125"/>
      <c r="BI125"/>
      <c r="BJ125"/>
      <c r="BK125"/>
      <c r="BL125"/>
      <c r="BM125"/>
      <c r="BN125"/>
      <c r="BO125">
        <v>1</v>
      </c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9"/>
        <v>0.97828554493145248</v>
      </c>
      <c r="CL125" s="179">
        <f t="shared" si="90"/>
        <v>8</v>
      </c>
      <c r="CM125" s="180">
        <f t="shared" si="91"/>
        <v>39747</v>
      </c>
      <c r="CN125">
        <v>0</v>
      </c>
      <c r="CO125"/>
      <c r="CP125"/>
      <c r="CQ125"/>
      <c r="CR125"/>
      <c r="CS125"/>
      <c r="CT125"/>
      <c r="CU125"/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0.21921998401036635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0</v>
      </c>
      <c r="DJ125" s="161">
        <f t="shared" si="98"/>
        <v>0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10.416666666666666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2"/>
        <v>10.416666666666666</v>
      </c>
      <c r="EL125" s="149"/>
      <c r="EN125" s="146"/>
      <c r="EO125" s="146"/>
      <c r="EP125" s="139">
        <f t="shared" si="133"/>
        <v>0</v>
      </c>
      <c r="EQ125" s="139">
        <f t="shared" si="134"/>
        <v>0</v>
      </c>
      <c r="ER125" s="139">
        <f t="shared" si="135"/>
        <v>0</v>
      </c>
      <c r="ES125" s="139">
        <f t="shared" si="136"/>
        <v>0</v>
      </c>
      <c r="ET125" s="139">
        <f t="shared" si="137"/>
        <v>0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53.726182714680178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53.726182714680178</v>
      </c>
      <c r="FV125" s="149"/>
      <c r="FY125" s="210">
        <v>120</v>
      </c>
      <c r="FZ125">
        <v>18.714808701604568</v>
      </c>
      <c r="GA125">
        <v>32.006584985283077</v>
      </c>
      <c r="GB125">
        <v>14.210348861565196</v>
      </c>
      <c r="GC125">
        <v>9.0250702501015958</v>
      </c>
      <c r="GD125">
        <v>6.3035699991164451</v>
      </c>
      <c r="GE125">
        <v>4.4194777777899903</v>
      </c>
      <c r="GF125">
        <v>7.1490825617155798</v>
      </c>
      <c r="GG125">
        <v>16.354762998679565</v>
      </c>
      <c r="GH125">
        <v>27.119370716018476</v>
      </c>
      <c r="GI125">
        <v>25.304586623454878</v>
      </c>
      <c r="GJ125"/>
      <c r="GK125"/>
      <c r="GL125"/>
      <c r="GM125"/>
    </row>
    <row r="126" spans="1:195" s="7" customFormat="1">
      <c r="A126" s="1"/>
      <c r="B126" s="76">
        <f t="shared" ca="1" si="131"/>
        <v>0.61771230174921765</v>
      </c>
      <c r="C126">
        <v>2</v>
      </c>
      <c r="D126">
        <v>39747</v>
      </c>
      <c r="E126">
        <v>0</v>
      </c>
      <c r="F126">
        <v>0</v>
      </c>
      <c r="G126">
        <v>91.145833333333329</v>
      </c>
      <c r="H126">
        <v>182.29166666666666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52.083333333333336</v>
      </c>
      <c r="R126">
        <v>0</v>
      </c>
      <c r="S126">
        <v>0</v>
      </c>
      <c r="T126">
        <v>78.125</v>
      </c>
      <c r="U126">
        <v>26.041666666666668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51.357495973825962</v>
      </c>
      <c r="AO126">
        <v>66.58502485174175</v>
      </c>
      <c r="AP126">
        <v>559.72853610140555</v>
      </c>
      <c r="AQ126">
        <v>222.34380763114328</v>
      </c>
      <c r="AR126">
        <v>62.005833111529384</v>
      </c>
      <c r="AS126">
        <v>328.82304322548322</v>
      </c>
      <c r="AT126">
        <v>25.326414031239931</v>
      </c>
      <c r="AU126">
        <v>25.856539252260642</v>
      </c>
      <c r="AV126"/>
      <c r="AW126"/>
      <c r="AX126" s="146"/>
      <c r="AY126" s="76">
        <f t="shared" ca="1" si="87"/>
        <v>0.47814151564775198</v>
      </c>
      <c r="AZ126">
        <v>9</v>
      </c>
      <c r="BA126" s="129">
        <f t="shared" si="130"/>
        <v>39747</v>
      </c>
      <c r="BB126">
        <v>0</v>
      </c>
      <c r="BC126"/>
      <c r="BD126"/>
      <c r="BE126"/>
      <c r="BF126"/>
      <c r="BG126"/>
      <c r="BH126"/>
      <c r="BI126"/>
      <c r="BJ126"/>
      <c r="BK126"/>
      <c r="BL126"/>
      <c r="BM126"/>
      <c r="BN126"/>
      <c r="BO126">
        <v>1</v>
      </c>
      <c r="BP126"/>
      <c r="BQ126"/>
      <c r="BR126">
        <v>1</v>
      </c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9"/>
        <v>0.99213770600704421</v>
      </c>
      <c r="CL126" s="179">
        <f t="shared" si="90"/>
        <v>9</v>
      </c>
      <c r="CM126" s="180">
        <f t="shared" si="91"/>
        <v>39747</v>
      </c>
      <c r="CN126">
        <v>0</v>
      </c>
      <c r="CO126"/>
      <c r="CP126"/>
      <c r="CQ126"/>
      <c r="CR126"/>
      <c r="CS126"/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0.16063237493084781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 t="shared" si="97"/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10.416666666666666</v>
      </c>
      <c r="DT126" s="161">
        <f t="shared" si="108"/>
        <v>0</v>
      </c>
      <c r="DU126" s="161">
        <f t="shared" si="109"/>
        <v>0</v>
      </c>
      <c r="DV126" s="161">
        <f t="shared" si="110"/>
        <v>10.416666666666666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2"/>
        <v>20.833333333333332</v>
      </c>
      <c r="EL126" s="149"/>
      <c r="EN126" s="146"/>
      <c r="EO126" s="146"/>
      <c r="EP126" s="139">
        <f t="shared" si="133"/>
        <v>0</v>
      </c>
      <c r="EQ126" s="139">
        <f t="shared" si="134"/>
        <v>0</v>
      </c>
      <c r="ER126" s="139">
        <f t="shared" si="135"/>
        <v>0</v>
      </c>
      <c r="ES126" s="139">
        <f t="shared" si="136"/>
        <v>0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53.726182714680178</v>
      </c>
      <c r="FD126" s="139">
        <f t="shared" si="147"/>
        <v>0</v>
      </c>
      <c r="FE126" s="139">
        <f t="shared" si="148"/>
        <v>0</v>
      </c>
      <c r="FF126" s="139">
        <f t="shared" si="149"/>
        <v>89.913318744800605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143.63950145948078</v>
      </c>
      <c r="FV126" s="149"/>
      <c r="FY126" s="210">
        <v>121</v>
      </c>
      <c r="FZ126">
        <v>19.27758279002957</v>
      </c>
      <c r="GA126">
        <v>61.884958892545924</v>
      </c>
      <c r="GB126">
        <v>36.990547148473532</v>
      </c>
      <c r="GC126">
        <v>9.2676720118988491</v>
      </c>
      <c r="GD126">
        <v>4.8834190124200978</v>
      </c>
      <c r="GE126">
        <v>6.6927291348184399</v>
      </c>
      <c r="GF126">
        <v>8.3290831146838329</v>
      </c>
      <c r="GG126">
        <v>12.535572624607017</v>
      </c>
      <c r="GH126">
        <v>21.546654906419892</v>
      </c>
      <c r="GI126">
        <v>28.807197706638291</v>
      </c>
      <c r="GJ126"/>
      <c r="GK126"/>
      <c r="GL126"/>
      <c r="GM126"/>
    </row>
    <row r="127" spans="1:195" s="7" customFormat="1">
      <c r="A127" s="1"/>
      <c r="B127" s="76">
        <f t="shared" ca="1" si="131"/>
        <v>0.61811831408748885</v>
      </c>
      <c r="C127">
        <v>1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10.416666666666666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64.894204759504376</v>
      </c>
      <c r="AO127">
        <v>94.279875435430853</v>
      </c>
      <c r="AP127">
        <v>733.34827269879315</v>
      </c>
      <c r="AQ127">
        <v>283.62754548751082</v>
      </c>
      <c r="AR127">
        <v>87.958405258400077</v>
      </c>
      <c r="AS127">
        <v>412.50479407974541</v>
      </c>
      <c r="AT127">
        <v>36.138482311588355</v>
      </c>
      <c r="AU127">
        <v>35.536581727162215</v>
      </c>
      <c r="AV127"/>
      <c r="AW127"/>
      <c r="AX127" s="146"/>
      <c r="AY127" s="76">
        <f t="shared" ca="1" si="87"/>
        <v>0.8036913873844469</v>
      </c>
      <c r="AZ127">
        <v>10</v>
      </c>
      <c r="BA127" s="129">
        <f t="shared" si="130"/>
        <v>39747</v>
      </c>
      <c r="BB127">
        <v>0</v>
      </c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9"/>
        <v>0.60062392172284307</v>
      </c>
      <c r="CL127" s="179">
        <f t="shared" si="90"/>
        <v>10</v>
      </c>
      <c r="CM127" s="180">
        <f t="shared" si="91"/>
        <v>39747</v>
      </c>
      <c r="CN127">
        <v>0</v>
      </c>
      <c r="CO127">
        <v>1</v>
      </c>
      <c r="CP127"/>
      <c r="CQ127"/>
      <c r="CR127"/>
      <c r="CS127"/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0.59270864900982034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65.104166666666671</v>
      </c>
      <c r="DH127" s="161">
        <f t="shared" si="96"/>
        <v>0</v>
      </c>
      <c r="DI127" s="161">
        <f t="shared" si="97"/>
        <v>0</v>
      </c>
      <c r="DJ127" s="161">
        <f t="shared" si="98"/>
        <v>0</v>
      </c>
      <c r="DK127" s="161">
        <f t="shared" si="99"/>
        <v>0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2"/>
        <v>65.104166666666671</v>
      </c>
      <c r="EL127" s="149"/>
      <c r="EN127" s="146"/>
      <c r="EO127" s="146"/>
      <c r="EP127" s="139">
        <f t="shared" si="133"/>
        <v>0</v>
      </c>
      <c r="EQ127" s="139">
        <f t="shared" si="134"/>
        <v>0.58007812500000011</v>
      </c>
      <c r="ER127" s="139">
        <f t="shared" si="135"/>
        <v>0</v>
      </c>
      <c r="ES127" s="139">
        <f t="shared" si="136"/>
        <v>0</v>
      </c>
      <c r="ET127" s="139">
        <f t="shared" si="137"/>
        <v>0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0.58007812500000011</v>
      </c>
      <c r="FV127" s="149"/>
      <c r="FY127" s="210">
        <v>122</v>
      </c>
      <c r="FZ127">
        <v>18.891516875913364</v>
      </c>
      <c r="GA127">
        <v>41.557161328681445</v>
      </c>
      <c r="GB127">
        <v>39.619415149849893</v>
      </c>
      <c r="GC127">
        <v>13.465746150394184</v>
      </c>
      <c r="GD127">
        <v>8.2622550176772371</v>
      </c>
      <c r="GE127">
        <v>9.2632095359250677</v>
      </c>
      <c r="GF127">
        <v>5.8442580599071734</v>
      </c>
      <c r="GG127">
        <v>7.0585497659013141</v>
      </c>
      <c r="GH127">
        <v>13.059540661729068</v>
      </c>
      <c r="GI127">
        <v>35.111847742631895</v>
      </c>
      <c r="GJ127"/>
      <c r="GK127"/>
      <c r="GL127"/>
      <c r="GM127"/>
    </row>
    <row r="128" spans="1:195" s="7" customFormat="1">
      <c r="A128" s="128"/>
      <c r="B128" s="76">
        <f t="shared" ca="1" si="131"/>
        <v>0.74818421398742485</v>
      </c>
      <c r="C128">
        <v>3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50.769102761038049</v>
      </c>
      <c r="AO128">
        <v>49.082358450630799</v>
      </c>
      <c r="AP128">
        <v>328.11986008061768</v>
      </c>
      <c r="AQ128">
        <v>157.13569415977773</v>
      </c>
      <c r="AR128">
        <v>46.595460752439251</v>
      </c>
      <c r="AS128">
        <v>292.39017689446621</v>
      </c>
      <c r="AT128">
        <v>19.538106090998351</v>
      </c>
      <c r="AU128">
        <v>39.100476598471353</v>
      </c>
      <c r="AV128"/>
      <c r="AW128"/>
      <c r="AX128" s="128"/>
      <c r="AY128" s="76">
        <f t="shared" ca="1" si="87"/>
        <v>0.63587585936053381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>
        <v>1</v>
      </c>
      <c r="BG128"/>
      <c r="BH128"/>
      <c r="BI128"/>
      <c r="BJ128"/>
      <c r="BK128"/>
      <c r="BL128"/>
      <c r="BM128"/>
      <c r="BN128"/>
      <c r="BO128">
        <v>2</v>
      </c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9"/>
        <v>0.93613424606225593</v>
      </c>
      <c r="CL128" s="179">
        <f t="shared" si="90"/>
        <v>1</v>
      </c>
      <c r="CM128" s="180">
        <f t="shared" si="91"/>
        <v>39775</v>
      </c>
      <c r="CN128">
        <v>0</v>
      </c>
      <c r="CO128"/>
      <c r="CP128">
        <v>1</v>
      </c>
      <c r="CQ128"/>
      <c r="CR128">
        <v>1</v>
      </c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0.34205348768773858</v>
      </c>
      <c r="DD128">
        <f t="shared" si="93"/>
        <v>1</v>
      </c>
      <c r="DE128" s="129">
        <f t="shared" ref="DE128:DE137" si="165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21.875</v>
      </c>
      <c r="DI128" s="161">
        <f t="shared" si="97"/>
        <v>0</v>
      </c>
      <c r="DJ128" s="161">
        <f t="shared" si="98"/>
        <v>53.926282051282051</v>
      </c>
      <c r="DK128" s="161">
        <f t="shared" si="99"/>
        <v>0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64.102564102564102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2"/>
        <v>139.90384615384613</v>
      </c>
      <c r="EL128" s="149"/>
      <c r="EN128" s="146"/>
      <c r="EO128" s="146"/>
      <c r="EP128" s="139">
        <f t="shared" si="133"/>
        <v>0</v>
      </c>
      <c r="EQ128" s="139">
        <f t="shared" si="134"/>
        <v>0</v>
      </c>
      <c r="ER128" s="139">
        <f t="shared" si="135"/>
        <v>1.0873770308784347</v>
      </c>
      <c r="ES128" s="139">
        <f t="shared" si="136"/>
        <v>0</v>
      </c>
      <c r="ET128" s="139">
        <f t="shared" si="137"/>
        <v>14.955018734131926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330.62266285957031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346.66505862458069</v>
      </c>
      <c r="FV128" s="149"/>
      <c r="FY128" s="210">
        <v>123</v>
      </c>
      <c r="FZ128">
        <v>22.588830676395094</v>
      </c>
      <c r="GA128">
        <v>78.558207137993421</v>
      </c>
      <c r="GB128">
        <v>31.976795515094192</v>
      </c>
      <c r="GC128">
        <v>9.3746051799458332</v>
      </c>
      <c r="GD128">
        <v>8.8445966014849109</v>
      </c>
      <c r="GE128">
        <v>11.682855798709316</v>
      </c>
      <c r="GF128">
        <v>4.731778285753597</v>
      </c>
      <c r="GG128">
        <v>10.668185727389728</v>
      </c>
      <c r="GH128">
        <v>17.845874606579738</v>
      </c>
      <c r="GI128">
        <v>31.067983684908473</v>
      </c>
      <c r="GJ128"/>
      <c r="GK128"/>
      <c r="GL128"/>
      <c r="GM128"/>
    </row>
    <row r="129" spans="1:195" s="7" customFormat="1">
      <c r="A129" s="1"/>
      <c r="B129" s="76">
        <f t="shared" ca="1" si="131"/>
        <v>0.27804669945830085</v>
      </c>
      <c r="C129">
        <v>9</v>
      </c>
      <c r="D129">
        <v>39775</v>
      </c>
      <c r="E129">
        <v>0</v>
      </c>
      <c r="F129">
        <v>0</v>
      </c>
      <c r="G129">
        <v>0</v>
      </c>
      <c r="H129">
        <v>10.416666666666666</v>
      </c>
      <c r="I129">
        <v>0</v>
      </c>
      <c r="J129">
        <v>0</v>
      </c>
      <c r="K129">
        <v>31.25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63.356732719584315</v>
      </c>
      <c r="AO129">
        <v>81.857984388887104</v>
      </c>
      <c r="AP129">
        <v>588.67616153851566</v>
      </c>
      <c r="AQ129">
        <v>255.94904826907344</v>
      </c>
      <c r="AR129">
        <v>74.89329575709921</v>
      </c>
      <c r="AS129">
        <v>395.36143722592021</v>
      </c>
      <c r="AT129">
        <v>29.696595994458846</v>
      </c>
      <c r="AU129">
        <v>-8.7481946192332209</v>
      </c>
      <c r="AV129"/>
      <c r="AW129"/>
      <c r="AX129" s="146"/>
      <c r="AY129" s="76">
        <f t="shared" ca="1" si="87"/>
        <v>0.29773839238155864</v>
      </c>
      <c r="AZ129">
        <v>2</v>
      </c>
      <c r="BA129" s="129">
        <f t="shared" ref="BA129:BA137" si="166">IF(AZ129="", "",$C$8)</f>
        <v>39775</v>
      </c>
      <c r="BB129">
        <v>0</v>
      </c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9"/>
        <v>0.11753268495500269</v>
      </c>
      <c r="CL129" s="179">
        <f t="shared" si="90"/>
        <v>2</v>
      </c>
      <c r="CM129" s="180">
        <f t="shared" si="91"/>
        <v>39775</v>
      </c>
      <c r="CN129">
        <v>0</v>
      </c>
      <c r="CO129"/>
      <c r="CP129"/>
      <c r="CQ129">
        <v>1</v>
      </c>
      <c r="CR129"/>
      <c r="CS129"/>
      <c r="CT129"/>
      <c r="CU129"/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0.19875098175977368</v>
      </c>
      <c r="DD129">
        <f t="shared" si="93"/>
        <v>2</v>
      </c>
      <c r="DE129" s="129">
        <f t="shared" si="165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18.939393939393938</v>
      </c>
      <c r="DJ129" s="161">
        <f t="shared" si="98"/>
        <v>0</v>
      </c>
      <c r="DK129" s="161">
        <f t="shared" si="99"/>
        <v>0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2"/>
        <v>18.939393939393938</v>
      </c>
      <c r="EL129" s="149"/>
      <c r="EN129" s="146"/>
      <c r="EO129" s="146"/>
      <c r="EP129" s="139">
        <f t="shared" si="133"/>
        <v>0</v>
      </c>
      <c r="EQ129" s="139">
        <f t="shared" si="134"/>
        <v>0</v>
      </c>
      <c r="ER129" s="139">
        <f t="shared" si="135"/>
        <v>0</v>
      </c>
      <c r="ES129" s="139">
        <f t="shared" si="136"/>
        <v>2.5733833884958304</v>
      </c>
      <c r="ET129" s="139">
        <f t="shared" si="137"/>
        <v>0</v>
      </c>
      <c r="EU129" s="139">
        <f t="shared" si="138"/>
        <v>0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2.5733833884958304</v>
      </c>
      <c r="FV129" s="149"/>
      <c r="FY129" s="210">
        <v>124</v>
      </c>
      <c r="FZ129">
        <v>32.407619255065747</v>
      </c>
      <c r="GA129">
        <v>75.366149383382719</v>
      </c>
      <c r="GB129">
        <v>51.78433809788401</v>
      </c>
      <c r="GC129">
        <v>14.172502417004585</v>
      </c>
      <c r="GD129">
        <v>6.3803814237397587</v>
      </c>
      <c r="GE129">
        <v>6.0825104945894024</v>
      </c>
      <c r="GF129">
        <v>7.1437102720591543</v>
      </c>
      <c r="GG129">
        <v>11.525632867005244</v>
      </c>
      <c r="GH129">
        <v>17.22315839605082</v>
      </c>
      <c r="GI129">
        <v>42.302759905726028</v>
      </c>
      <c r="GJ129"/>
      <c r="GK129"/>
      <c r="GL129"/>
      <c r="GM129"/>
    </row>
    <row r="130" spans="1:195" s="7" customFormat="1">
      <c r="A130" s="1"/>
      <c r="B130" s="76">
        <f t="shared" ca="1" si="131"/>
        <v>0.49057795715884556</v>
      </c>
      <c r="C130">
        <v>1</v>
      </c>
      <c r="D130">
        <v>39775</v>
      </c>
      <c r="E130">
        <v>0</v>
      </c>
      <c r="F130">
        <v>0</v>
      </c>
      <c r="G130">
        <v>21.875</v>
      </c>
      <c r="H130">
        <v>0</v>
      </c>
      <c r="I130">
        <v>53.926282051282051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64.102564102564102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60.008540612709133</v>
      </c>
      <c r="AO130">
        <v>75.132208957004735</v>
      </c>
      <c r="AP130">
        <v>543.35656779496435</v>
      </c>
      <c r="AQ130">
        <v>246.41813859802153</v>
      </c>
      <c r="AR130">
        <v>70.942940054764051</v>
      </c>
      <c r="AS130">
        <v>467.04543150088068</v>
      </c>
      <c r="AT130">
        <v>27.438792019553176</v>
      </c>
      <c r="AU130">
        <v>17.828498166212718</v>
      </c>
      <c r="AV130"/>
      <c r="AW130"/>
      <c r="AX130" s="146"/>
      <c r="AY130" s="76">
        <f t="shared" ca="1" si="87"/>
        <v>0.9782602351526366</v>
      </c>
      <c r="AZ130">
        <v>3</v>
      </c>
      <c r="BA130" s="129">
        <f t="shared" si="166"/>
        <v>39775</v>
      </c>
      <c r="BB130">
        <v>0</v>
      </c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9"/>
        <v>0.56305873878612989</v>
      </c>
      <c r="CL130" s="179">
        <f t="shared" si="90"/>
        <v>3</v>
      </c>
      <c r="CM130" s="180">
        <f t="shared" si="91"/>
        <v>39775</v>
      </c>
      <c r="CN130" s="225">
        <v>0</v>
      </c>
      <c r="CO130" s="225"/>
      <c r="CP130" s="225"/>
      <c r="CQ130" s="225"/>
      <c r="CR130" s="225"/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0.40221998224538358</v>
      </c>
      <c r="DD130">
        <f t="shared" si="93"/>
        <v>3</v>
      </c>
      <c r="DE130" s="129">
        <f t="shared" si="165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0</v>
      </c>
      <c r="DI130" s="161">
        <f t="shared" si="97"/>
        <v>0</v>
      </c>
      <c r="DJ130" s="161">
        <f t="shared" si="98"/>
        <v>0</v>
      </c>
      <c r="DK130" s="161">
        <f t="shared" si="99"/>
        <v>0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2"/>
        <v>0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0</v>
      </c>
      <c r="ES130" s="139">
        <f t="shared" si="136"/>
        <v>0</v>
      </c>
      <c r="ET130" s="139">
        <f t="shared" si="137"/>
        <v>0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0</v>
      </c>
      <c r="FV130" s="149"/>
      <c r="FY130" s="210">
        <v>125</v>
      </c>
      <c r="FZ130">
        <v>29.065089028782122</v>
      </c>
      <c r="GA130">
        <v>54.024611122592674</v>
      </c>
      <c r="GB130">
        <v>43.435237195539784</v>
      </c>
      <c r="GC130">
        <v>11.223725502244994</v>
      </c>
      <c r="GD130">
        <v>4.3086505449592964</v>
      </c>
      <c r="GE130">
        <v>4.5433647329101303</v>
      </c>
      <c r="GF130">
        <v>12.610042047063889</v>
      </c>
      <c r="GG130">
        <v>17.508933258016654</v>
      </c>
      <c r="GH130">
        <v>14.554616672267025</v>
      </c>
      <c r="GI130">
        <v>34.211312822584965</v>
      </c>
      <c r="GJ130"/>
      <c r="GK130"/>
      <c r="GL130"/>
      <c r="GM130"/>
    </row>
    <row r="131" spans="1:195" s="7" customFormat="1">
      <c r="A131" s="1"/>
      <c r="B131" s="76">
        <f t="shared" ca="1" si="131"/>
        <v>0.12463562775973092</v>
      </c>
      <c r="C131">
        <v>5</v>
      </c>
      <c r="D131">
        <v>39775</v>
      </c>
      <c r="E131">
        <v>0</v>
      </c>
      <c r="F131">
        <v>0</v>
      </c>
      <c r="G131">
        <v>29.761904761904763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56.036960567384838</v>
      </c>
      <c r="AO131">
        <v>73.036664551151944</v>
      </c>
      <c r="AP131">
        <v>537.91871088447306</v>
      </c>
      <c r="AQ131">
        <v>232.54013774718823</v>
      </c>
      <c r="AR131">
        <v>67.548402727761655</v>
      </c>
      <c r="AS131">
        <v>326.05395658531666</v>
      </c>
      <c r="AT131">
        <v>26.665742838920341</v>
      </c>
      <c r="AU131">
        <v>-17.522070338043868</v>
      </c>
      <c r="AV131"/>
      <c r="AW131"/>
      <c r="AX131" s="146"/>
      <c r="AY131" s="76">
        <f t="shared" ca="1" si="87"/>
        <v>0.74705163298038779</v>
      </c>
      <c r="AZ131">
        <v>4</v>
      </c>
      <c r="BA131" s="129">
        <f t="shared" si="166"/>
        <v>39775</v>
      </c>
      <c r="BB131">
        <v>0</v>
      </c>
      <c r="BC131"/>
      <c r="BD131"/>
      <c r="BE131"/>
      <c r="BF131"/>
      <c r="BG131">
        <v>1</v>
      </c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9"/>
        <v>0.84825454712426218</v>
      </c>
      <c r="CL131" s="179">
        <f t="shared" si="90"/>
        <v>4</v>
      </c>
      <c r="CM131" s="180">
        <f t="shared" si="91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3.1705531076120508E-3</v>
      </c>
      <c r="DD131">
        <f t="shared" si="93"/>
        <v>4</v>
      </c>
      <c r="DE131" s="129">
        <f t="shared" si="165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0</v>
      </c>
      <c r="DI131" s="161">
        <f t="shared" si="97"/>
        <v>0</v>
      </c>
      <c r="DJ131" s="161">
        <f t="shared" si="98"/>
        <v>0</v>
      </c>
      <c r="DK131" s="161">
        <f t="shared" si="99"/>
        <v>10.416666666666666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2"/>
        <v>10.416666666666666</v>
      </c>
      <c r="EL131" s="149"/>
      <c r="EN131" s="146"/>
      <c r="EO131" s="146"/>
      <c r="EP131" s="139">
        <f t="shared" si="133"/>
        <v>0</v>
      </c>
      <c r="EQ131" s="139">
        <f t="shared" si="134"/>
        <v>0</v>
      </c>
      <c r="ER131" s="139">
        <f t="shared" si="135"/>
        <v>0</v>
      </c>
      <c r="ES131" s="139">
        <f t="shared" si="136"/>
        <v>0</v>
      </c>
      <c r="ET131" s="139">
        <f t="shared" si="137"/>
        <v>0</v>
      </c>
      <c r="EU131" s="139">
        <f t="shared" si="138"/>
        <v>5.0240283539562274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5.0240283539562274</v>
      </c>
      <c r="FV131" s="149"/>
      <c r="FY131" s="210">
        <v>126</v>
      </c>
      <c r="FZ131">
        <v>18.830519739967087</v>
      </c>
      <c r="GA131">
        <v>37.53383409258501</v>
      </c>
      <c r="GB131">
        <v>24.159419875709261</v>
      </c>
      <c r="GC131">
        <v>6.8835031237533899</v>
      </c>
      <c r="GD131">
        <v>5.9955192760698894</v>
      </c>
      <c r="GE131">
        <v>9.2103619113364559</v>
      </c>
      <c r="GF131">
        <v>9.0341947179244126</v>
      </c>
      <c r="GG131">
        <v>12.692288364457941</v>
      </c>
      <c r="GH131">
        <v>18.523030406770179</v>
      </c>
      <c r="GI131">
        <v>25.121100969427086</v>
      </c>
      <c r="GJ131"/>
      <c r="GK131"/>
      <c r="GL131"/>
      <c r="GM131"/>
    </row>
    <row r="132" spans="1:195" s="7" customFormat="1">
      <c r="A132" s="1"/>
      <c r="B132" s="76">
        <f t="shared" ca="1" si="131"/>
        <v>0.82697387139979939</v>
      </c>
      <c r="C132">
        <v>7</v>
      </c>
      <c r="D132">
        <v>39775</v>
      </c>
      <c r="E132">
        <v>0</v>
      </c>
      <c r="F132">
        <v>0</v>
      </c>
      <c r="G132">
        <v>135.20622895622895</v>
      </c>
      <c r="H132">
        <v>126.26262626262626</v>
      </c>
      <c r="I132">
        <v>0</v>
      </c>
      <c r="J132">
        <v>14.204545454545453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14.204545454545453</v>
      </c>
      <c r="R132">
        <v>28.409090909090907</v>
      </c>
      <c r="S132">
        <v>0</v>
      </c>
      <c r="T132">
        <v>14.204545454545453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56.313163749095317</v>
      </c>
      <c r="AO132">
        <v>62.829534516314013</v>
      </c>
      <c r="AP132">
        <v>428.04723152558097</v>
      </c>
      <c r="AQ132">
        <v>200.49762146045842</v>
      </c>
      <c r="AR132">
        <v>58.676476276803342</v>
      </c>
      <c r="AS132">
        <v>407.49563975809872</v>
      </c>
      <c r="AT132">
        <v>23.245428724504752</v>
      </c>
      <c r="AU132">
        <v>29.190092810004629</v>
      </c>
      <c r="AV132"/>
      <c r="AW132"/>
      <c r="AX132" s="146"/>
      <c r="AY132" s="76">
        <f t="shared" ca="1" si="87"/>
        <v>0.92237131051230592</v>
      </c>
      <c r="AZ132">
        <v>5</v>
      </c>
      <c r="BA132" s="129">
        <f t="shared" si="166"/>
        <v>39775</v>
      </c>
      <c r="BB132">
        <v>0</v>
      </c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9"/>
        <v>0.64411774555207124</v>
      </c>
      <c r="CL132" s="179">
        <f t="shared" si="90"/>
        <v>5</v>
      </c>
      <c r="CM132" s="180">
        <f t="shared" si="91"/>
        <v>39775</v>
      </c>
      <c r="CN132">
        <v>0</v>
      </c>
      <c r="CO132"/>
      <c r="CP132">
        <v>1</v>
      </c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0.347943295146802</v>
      </c>
      <c r="DD132">
        <f t="shared" si="93"/>
        <v>5</v>
      </c>
      <c r="DE132" s="129">
        <f t="shared" si="165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29.761904761904763</v>
      </c>
      <c r="DI132" s="161">
        <f t="shared" si="97"/>
        <v>0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2"/>
        <v>29.761904761904763</v>
      </c>
      <c r="EL132" s="149"/>
      <c r="EN132" s="146"/>
      <c r="EO132" s="146"/>
      <c r="EP132" s="139">
        <f t="shared" si="133"/>
        <v>0</v>
      </c>
      <c r="EQ132" s="139">
        <f t="shared" si="134"/>
        <v>0</v>
      </c>
      <c r="ER132" s="139">
        <f t="shared" si="135"/>
        <v>1.4794245318073944</v>
      </c>
      <c r="ES132" s="139">
        <f t="shared" si="136"/>
        <v>0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1.4794245318073944</v>
      </c>
      <c r="FV132" s="149"/>
      <c r="FY132" s="210">
        <v>127</v>
      </c>
      <c r="FZ132">
        <v>33.352602015931588</v>
      </c>
      <c r="GA132">
        <v>80.502704965637662</v>
      </c>
      <c r="GB132">
        <v>56.009248636633821</v>
      </c>
      <c r="GC132">
        <v>13.81566363929343</v>
      </c>
      <c r="GD132">
        <v>5.6455931919892475</v>
      </c>
      <c r="GE132">
        <v>5.1061613610453076</v>
      </c>
      <c r="GF132">
        <v>11.35551209860953</v>
      </c>
      <c r="GG132">
        <v>27.568024818381932</v>
      </c>
      <c r="GH132">
        <v>30.904928209986227</v>
      </c>
      <c r="GI132">
        <v>46.014500343229209</v>
      </c>
      <c r="GJ132"/>
      <c r="GK132"/>
      <c r="GL132"/>
      <c r="GM132"/>
    </row>
    <row r="133" spans="1:195" s="7" customFormat="1">
      <c r="A133" s="1"/>
      <c r="B133" s="76">
        <f t="shared" ca="1" si="131"/>
        <v>0.89862220586524355</v>
      </c>
      <c r="C133">
        <v>10</v>
      </c>
      <c r="D133">
        <v>39775</v>
      </c>
      <c r="E133">
        <v>0</v>
      </c>
      <c r="F133">
        <v>0</v>
      </c>
      <c r="G133">
        <v>0</v>
      </c>
      <c r="H133">
        <v>20.833333333333332</v>
      </c>
      <c r="I133">
        <v>0</v>
      </c>
      <c r="J133">
        <v>20.833333333333332</v>
      </c>
      <c r="K133">
        <v>0</v>
      </c>
      <c r="L133">
        <v>0</v>
      </c>
      <c r="M133">
        <v>0</v>
      </c>
      <c r="N133">
        <v>0</v>
      </c>
      <c r="O133">
        <v>10.416666666666666</v>
      </c>
      <c r="P133">
        <v>10.416666666666666</v>
      </c>
      <c r="Q133">
        <v>0</v>
      </c>
      <c r="R133">
        <v>10.416666666666666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64.127050744884556</v>
      </c>
      <c r="AO133">
        <v>81.489416834040128</v>
      </c>
      <c r="AP133">
        <v>602.38270933700028</v>
      </c>
      <c r="AQ133">
        <v>245.69150661439139</v>
      </c>
      <c r="AR133">
        <v>76.162974751325706</v>
      </c>
      <c r="AS133">
        <v>469.01544149784542</v>
      </c>
      <c r="AT133">
        <v>29.98298308895745</v>
      </c>
      <c r="AU133">
        <v>11.017369042357227</v>
      </c>
      <c r="AV133"/>
      <c r="AW133"/>
      <c r="AX133" s="146"/>
      <c r="AY133" s="76">
        <f t="shared" ca="1" si="87"/>
        <v>0.11414020480675457</v>
      </c>
      <c r="AZ133">
        <v>6</v>
      </c>
      <c r="BA133" s="129">
        <f t="shared" si="166"/>
        <v>39775</v>
      </c>
      <c r="BB133">
        <v>0</v>
      </c>
      <c r="BC133"/>
      <c r="BD133"/>
      <c r="BE133"/>
      <c r="BF133"/>
      <c r="BG133"/>
      <c r="BH133"/>
      <c r="BI133"/>
      <c r="BJ133"/>
      <c r="BK133"/>
      <c r="BL133"/>
      <c r="BM133"/>
      <c r="BN133">
        <v>1</v>
      </c>
      <c r="BO133">
        <v>1</v>
      </c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9"/>
        <v>0.17728392802626924</v>
      </c>
      <c r="CL133" s="179">
        <f t="shared" si="90"/>
        <v>6</v>
      </c>
      <c r="CM133" s="180">
        <f t="shared" si="91"/>
        <v>39775</v>
      </c>
      <c r="CN133">
        <v>0</v>
      </c>
      <c r="CO133"/>
      <c r="CP133"/>
      <c r="CQ133">
        <v>1</v>
      </c>
      <c r="CR133">
        <v>2</v>
      </c>
      <c r="CS133"/>
      <c r="CT133"/>
      <c r="CU133"/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0.11733357362000607</v>
      </c>
      <c r="DD133">
        <f t="shared" si="93"/>
        <v>6</v>
      </c>
      <c r="DE133" s="129">
        <f t="shared" si="165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0</v>
      </c>
      <c r="DI133" s="161">
        <f t="shared" si="97"/>
        <v>10.416666666666666</v>
      </c>
      <c r="DJ133" s="161">
        <f t="shared" si="98"/>
        <v>20.833333333333332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10.416666666666666</v>
      </c>
      <c r="DS133" s="161">
        <f t="shared" si="107"/>
        <v>10.416666666666666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2"/>
        <v>52.083333333333329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</v>
      </c>
      <c r="ES133" s="139">
        <f t="shared" si="136"/>
        <v>1.4153608636727069</v>
      </c>
      <c r="ET133" s="139">
        <f t="shared" si="137"/>
        <v>5.777570387628975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44.053047885599483</v>
      </c>
      <c r="FC133" s="139">
        <f t="shared" si="146"/>
        <v>53.726182714680178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104.97216185158135</v>
      </c>
      <c r="FV133" s="149"/>
      <c r="FY133" s="210">
        <v>128</v>
      </c>
      <c r="FZ133">
        <v>28.549103726195646</v>
      </c>
      <c r="GA133">
        <v>48.166851568119988</v>
      </c>
      <c r="GB133">
        <v>38.767509957496166</v>
      </c>
      <c r="GC133">
        <v>13.75274464118278</v>
      </c>
      <c r="GD133">
        <v>6.2664718041618492</v>
      </c>
      <c r="GE133">
        <v>4.6232048990215633</v>
      </c>
      <c r="GF133">
        <v>9.9132234871418774</v>
      </c>
      <c r="GG133">
        <v>23.776170548711374</v>
      </c>
      <c r="GH133">
        <v>37.255500552456454</v>
      </c>
      <c r="GI133">
        <v>40.198898303802935</v>
      </c>
      <c r="GJ133"/>
      <c r="GK133"/>
      <c r="GL133"/>
      <c r="GM133"/>
    </row>
    <row r="134" spans="1:195" s="7" customFormat="1">
      <c r="A134" s="1"/>
      <c r="B134" s="76">
        <f t="shared" ca="1" si="131"/>
        <v>0.25825403410357328</v>
      </c>
      <c r="C134">
        <v>2</v>
      </c>
      <c r="D134">
        <v>39775</v>
      </c>
      <c r="E134">
        <v>0</v>
      </c>
      <c r="F134">
        <v>0</v>
      </c>
      <c r="G134">
        <v>0</v>
      </c>
      <c r="H134">
        <v>18.939393939393938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59.624005249450093</v>
      </c>
      <c r="AO134">
        <v>80.465526213367781</v>
      </c>
      <c r="AP134">
        <v>566.18865747436803</v>
      </c>
      <c r="AQ134">
        <v>198.05890370848502</v>
      </c>
      <c r="AR134">
        <v>75.753243026975838</v>
      </c>
      <c r="AS134">
        <v>456.61923940936282</v>
      </c>
      <c r="AT134">
        <v>28.572887090714744</v>
      </c>
      <c r="AU134">
        <v>-7.877933500505498</v>
      </c>
      <c r="AV134"/>
      <c r="AW134"/>
      <c r="AX134" s="146"/>
      <c r="AY134" s="76">
        <f t="shared" ca="1" si="87"/>
        <v>6.3753084666957616E-2</v>
      </c>
      <c r="AZ134">
        <v>7</v>
      </c>
      <c r="BA134" s="129">
        <f t="shared" si="166"/>
        <v>39775</v>
      </c>
      <c r="BB134">
        <v>0</v>
      </c>
      <c r="BC134"/>
      <c r="BD134">
        <v>3</v>
      </c>
      <c r="BE134">
        <v>4</v>
      </c>
      <c r="BF134"/>
      <c r="BG134">
        <v>1</v>
      </c>
      <c r="BH134"/>
      <c r="BI134"/>
      <c r="BJ134"/>
      <c r="BK134"/>
      <c r="BL134"/>
      <c r="BM134"/>
      <c r="BN134">
        <v>1</v>
      </c>
      <c r="BO134">
        <v>2</v>
      </c>
      <c r="BP134"/>
      <c r="BQ134">
        <v>1</v>
      </c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9"/>
        <v>0.32502108543685293</v>
      </c>
      <c r="CL134" s="179">
        <f t="shared" si="90"/>
        <v>7</v>
      </c>
      <c r="CM134" s="180">
        <f t="shared" si="91"/>
        <v>39775</v>
      </c>
      <c r="CN134">
        <v>0</v>
      </c>
      <c r="CO134"/>
      <c r="CP134">
        <v>4</v>
      </c>
      <c r="CQ134">
        <v>3</v>
      </c>
      <c r="CR134"/>
      <c r="CS134"/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0.91577852535374049</v>
      </c>
      <c r="DD134">
        <f t="shared" si="93"/>
        <v>7</v>
      </c>
      <c r="DE134" s="129">
        <f t="shared" si="165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135.20622895622895</v>
      </c>
      <c r="DI134" s="161">
        <f t="shared" si="97"/>
        <v>126.26262626262626</v>
      </c>
      <c r="DJ134" s="161">
        <f t="shared" si="98"/>
        <v>0</v>
      </c>
      <c r="DK134" s="161">
        <f t="shared" si="99"/>
        <v>14.204545454545453</v>
      </c>
      <c r="DL134" s="161">
        <f t="shared" si="100"/>
        <v>0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14.204545454545453</v>
      </c>
      <c r="DS134" s="161">
        <f t="shared" si="107"/>
        <v>28.409090909090907</v>
      </c>
      <c r="DT134" s="161">
        <f t="shared" si="108"/>
        <v>0</v>
      </c>
      <c r="DU134" s="161">
        <f t="shared" si="109"/>
        <v>14.204545454545453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2"/>
        <v>332.49158249158239</v>
      </c>
      <c r="EL134" s="149"/>
      <c r="EN134" s="146"/>
      <c r="EO134" s="146"/>
      <c r="EP134" s="139">
        <f t="shared" si="133"/>
        <v>0</v>
      </c>
      <c r="EQ134" s="139">
        <f t="shared" si="134"/>
        <v>0</v>
      </c>
      <c r="ER134" s="139">
        <f t="shared" si="135"/>
        <v>6.7209210422260162</v>
      </c>
      <c r="ES134" s="139">
        <f t="shared" si="136"/>
        <v>17.155889256638872</v>
      </c>
      <c r="ET134" s="139">
        <f t="shared" si="137"/>
        <v>0</v>
      </c>
      <c r="EU134" s="139">
        <f t="shared" si="138"/>
        <v>6.8509477553948548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60.072338025817473</v>
      </c>
      <c r="FC134" s="139">
        <f t="shared" si="146"/>
        <v>146.52595285821866</v>
      </c>
      <c r="FD134" s="139">
        <f t="shared" si="147"/>
        <v>0</v>
      </c>
      <c r="FE134" s="139">
        <f t="shared" si="148"/>
        <v>104.47475643962025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341.80080537791616</v>
      </c>
      <c r="FV134" s="149"/>
      <c r="FY134" s="210">
        <v>129</v>
      </c>
      <c r="FZ134">
        <v>25.601532728003203</v>
      </c>
      <c r="GA134">
        <v>40.4002336161264</v>
      </c>
      <c r="GB134">
        <v>38.775586182927896</v>
      </c>
      <c r="GC134">
        <v>10.997007884693987</v>
      </c>
      <c r="GD134">
        <v>3.271307674210449</v>
      </c>
      <c r="GE134">
        <v>4.7088997646652562</v>
      </c>
      <c r="GF134">
        <v>12.996838080129134</v>
      </c>
      <c r="GG134">
        <v>22.362648417076027</v>
      </c>
      <c r="GH134">
        <v>23.338147122284397</v>
      </c>
      <c r="GI134">
        <v>32.136687786628947</v>
      </c>
      <c r="GJ134"/>
      <c r="GK134"/>
      <c r="GL134"/>
      <c r="GM134"/>
    </row>
    <row r="135" spans="1:195" s="7" customFormat="1">
      <c r="A135" s="1"/>
      <c r="B135" s="76">
        <f t="shared" ca="1" si="131"/>
        <v>1.1855061903744524E-2</v>
      </c>
      <c r="C135">
        <v>4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10.416666666666666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69.600155219118903</v>
      </c>
      <c r="AO135">
        <v>80.43076363003226</v>
      </c>
      <c r="AP135">
        <v>545.54326701858133</v>
      </c>
      <c r="AQ135">
        <v>244.02606927293814</v>
      </c>
      <c r="AR135">
        <v>74.580990634728053</v>
      </c>
      <c r="AS135">
        <v>515.33326645027284</v>
      </c>
      <c r="AT135">
        <v>29.951703686035966</v>
      </c>
      <c r="AU135">
        <v>-33.719966068912861</v>
      </c>
      <c r="AV135"/>
      <c r="AW135"/>
      <c r="AX135" s="146"/>
      <c r="AY135" s="76">
        <f t="shared" ca="1" si="87"/>
        <v>0.24015437044341281</v>
      </c>
      <c r="AZ135">
        <v>8</v>
      </c>
      <c r="BA135" s="129">
        <f t="shared" si="166"/>
        <v>39775</v>
      </c>
      <c r="BB135">
        <v>0</v>
      </c>
      <c r="BC135"/>
      <c r="BD135">
        <v>1</v>
      </c>
      <c r="BE135"/>
      <c r="BF135">
        <v>1</v>
      </c>
      <c r="BG135"/>
      <c r="BH135"/>
      <c r="BI135"/>
      <c r="BJ135"/>
      <c r="BK135"/>
      <c r="BL135"/>
      <c r="BM135">
        <v>1</v>
      </c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9"/>
        <v>0.80954766714797</v>
      </c>
      <c r="CL135" s="179">
        <f t="shared" si="90"/>
        <v>8</v>
      </c>
      <c r="CM135" s="180">
        <f t="shared" si="91"/>
        <v>39775</v>
      </c>
      <c r="CN135">
        <v>0</v>
      </c>
      <c r="CO135"/>
      <c r="CP135"/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0.11244129323658569</v>
      </c>
      <c r="DD135">
        <f t="shared" si="93"/>
        <v>8</v>
      </c>
      <c r="DE135" s="129">
        <f t="shared" si="165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34.722222222222221</v>
      </c>
      <c r="DI135" s="161">
        <f t="shared" si="97"/>
        <v>0</v>
      </c>
      <c r="DJ135" s="161">
        <f t="shared" si="98"/>
        <v>34.722222222222221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34.722222222222221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2"/>
        <v>104.16666666666666</v>
      </c>
      <c r="EL135" s="149"/>
      <c r="EN135" s="146"/>
      <c r="EO135" s="146"/>
      <c r="EP135" s="139">
        <f t="shared" si="133"/>
        <v>0</v>
      </c>
      <c r="EQ135" s="139">
        <f t="shared" si="134"/>
        <v>0</v>
      </c>
      <c r="ER135" s="139">
        <f t="shared" si="135"/>
        <v>1.7259952871086266</v>
      </c>
      <c r="ES135" s="139">
        <f t="shared" si="136"/>
        <v>0</v>
      </c>
      <c r="ET135" s="139">
        <f t="shared" si="137"/>
        <v>9.6292839793816256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118.34204654613404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129.69732581262429</v>
      </c>
      <c r="FV135" s="149"/>
      <c r="FY135" s="210">
        <v>130</v>
      </c>
      <c r="FZ135">
        <v>22.889642306003516</v>
      </c>
      <c r="GA135">
        <v>43.493398680539087</v>
      </c>
      <c r="GB135">
        <v>20.90432837179867</v>
      </c>
      <c r="GC135">
        <v>8.0390034095374538</v>
      </c>
      <c r="GD135">
        <v>5.3148780993453002</v>
      </c>
      <c r="GE135">
        <v>5.996355595860912</v>
      </c>
      <c r="GF135">
        <v>10.774609221424731</v>
      </c>
      <c r="GG135">
        <v>22.199080063034312</v>
      </c>
      <c r="GH135">
        <v>31.441762412378903</v>
      </c>
      <c r="GI135">
        <v>28.083004023206009</v>
      </c>
      <c r="GJ135"/>
      <c r="GK135"/>
      <c r="GL135"/>
      <c r="GM135"/>
    </row>
    <row r="136" spans="1:195" s="7" customFormat="1">
      <c r="A136" s="1"/>
      <c r="B136" s="76">
        <f t="shared" ca="1" si="131"/>
        <v>0.62671448879647507</v>
      </c>
      <c r="C136">
        <v>8</v>
      </c>
      <c r="D136">
        <v>39775</v>
      </c>
      <c r="E136">
        <v>0</v>
      </c>
      <c r="F136">
        <v>0</v>
      </c>
      <c r="G136">
        <v>34.722222222222221</v>
      </c>
      <c r="H136">
        <v>0</v>
      </c>
      <c r="I136">
        <v>34.722222222222221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34.722222222222221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40.284251370794507</v>
      </c>
      <c r="AO136">
        <v>52.156905157027424</v>
      </c>
      <c r="AP136">
        <v>349.08797349353762</v>
      </c>
      <c r="AQ136">
        <v>160.60766347532936</v>
      </c>
      <c r="AR136">
        <v>49.632065612725299</v>
      </c>
      <c r="AS136">
        <v>241.9538728776628</v>
      </c>
      <c r="AT136">
        <v>20.607811305242798</v>
      </c>
      <c r="AU136">
        <v>-45.36150294695949</v>
      </c>
      <c r="AV136"/>
      <c r="AW136"/>
      <c r="AX136" s="146"/>
      <c r="AY136" s="76">
        <f t="shared" ca="1" si="87"/>
        <v>1.4117239271487669E-2</v>
      </c>
      <c r="AZ136">
        <v>9</v>
      </c>
      <c r="BA136" s="129">
        <f t="shared" si="166"/>
        <v>39775</v>
      </c>
      <c r="BB136">
        <v>0</v>
      </c>
      <c r="BC136"/>
      <c r="BD136"/>
      <c r="BE136"/>
      <c r="BF136"/>
      <c r="BG136"/>
      <c r="BH136">
        <v>3</v>
      </c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9"/>
        <v>0.71377696941094193</v>
      </c>
      <c r="CL136" s="179">
        <f t="shared" si="90"/>
        <v>9</v>
      </c>
      <c r="CM136" s="180">
        <f t="shared" si="91"/>
        <v>39775</v>
      </c>
      <c r="CN136" s="225">
        <v>0</v>
      </c>
      <c r="CO136"/>
      <c r="CP136"/>
      <c r="CQ136">
        <v>1</v>
      </c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0.1287513897069652</v>
      </c>
      <c r="DD136">
        <f t="shared" si="93"/>
        <v>9</v>
      </c>
      <c r="DE136" s="129">
        <f t="shared" si="165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10.416666666666666</v>
      </c>
      <c r="DJ136" s="161">
        <f t="shared" si="98"/>
        <v>0</v>
      </c>
      <c r="DK136" s="161">
        <f t="shared" si="99"/>
        <v>0</v>
      </c>
      <c r="DL136" s="161">
        <f t="shared" si="100"/>
        <v>31.25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2"/>
        <v>41.666666666666664</v>
      </c>
      <c r="EL136" s="149"/>
      <c r="EN136" s="146"/>
      <c r="EO136" s="146"/>
      <c r="EP136" s="139">
        <f t="shared" si="133"/>
        <v>0</v>
      </c>
      <c r="EQ136" s="139">
        <f t="shared" si="134"/>
        <v>0</v>
      </c>
      <c r="ER136" s="139">
        <f t="shared" si="135"/>
        <v>0</v>
      </c>
      <c r="ES136" s="139">
        <f t="shared" si="136"/>
        <v>1.4153608636727069</v>
      </c>
      <c r="ET136" s="139">
        <f t="shared" si="137"/>
        <v>0</v>
      </c>
      <c r="EU136" s="139">
        <f t="shared" si="138"/>
        <v>0</v>
      </c>
      <c r="EV136" s="139">
        <f t="shared" si="139"/>
        <v>23.688787202492961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25.104148066165667</v>
      </c>
      <c r="FV136" s="149"/>
      <c r="FY136" s="210">
        <v>131</v>
      </c>
      <c r="FZ136">
        <v>21.108905860077932</v>
      </c>
      <c r="GA136">
        <v>66.303997413414322</v>
      </c>
      <c r="GB136">
        <v>42.907984658121933</v>
      </c>
      <c r="GC136">
        <v>11.078531164760049</v>
      </c>
      <c r="GD136">
        <v>8.4128295765979377</v>
      </c>
      <c r="GE136">
        <v>10.75634410385234</v>
      </c>
      <c r="GF136">
        <v>11.651798757173962</v>
      </c>
      <c r="GG136">
        <v>20.260214854503531</v>
      </c>
      <c r="GH136">
        <v>22.346713974868564</v>
      </c>
      <c r="GI136">
        <v>37.142724122036903</v>
      </c>
      <c r="GJ136"/>
      <c r="GK136"/>
      <c r="GL136"/>
      <c r="GM136"/>
    </row>
    <row r="137" spans="1:195" s="7" customFormat="1">
      <c r="A137" s="1"/>
      <c r="B137" s="76">
        <f t="shared" ca="1" si="131"/>
        <v>0.2655605750184804</v>
      </c>
      <c r="C137">
        <v>6</v>
      </c>
      <c r="D137">
        <v>39775</v>
      </c>
      <c r="E137">
        <v>0</v>
      </c>
      <c r="F137">
        <v>0</v>
      </c>
      <c r="G137">
        <v>0</v>
      </c>
      <c r="H137">
        <v>10.416666666666666</v>
      </c>
      <c r="I137">
        <v>20.833333333333332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10.416666666666666</v>
      </c>
      <c r="R137">
        <v>10.416666666666666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51.049494631158048</v>
      </c>
      <c r="AO137">
        <v>58.097673890093162</v>
      </c>
      <c r="AP137">
        <v>468.95092954442288</v>
      </c>
      <c r="AQ137">
        <v>210.21541734253549</v>
      </c>
      <c r="AR137">
        <v>54.594794434558295</v>
      </c>
      <c r="AS137">
        <v>304.77207222083206</v>
      </c>
      <c r="AT137">
        <v>22.161861813594438</v>
      </c>
      <c r="AU137">
        <v>6.960014135609768</v>
      </c>
      <c r="AV137"/>
      <c r="AW137"/>
      <c r="AX137" s="146"/>
      <c r="AY137" s="76">
        <f t="shared" ca="1" si="87"/>
        <v>5.5694007587465677E-3</v>
      </c>
      <c r="AZ137">
        <v>10</v>
      </c>
      <c r="BA137" s="129">
        <f t="shared" si="166"/>
        <v>39775</v>
      </c>
      <c r="BB137">
        <v>0</v>
      </c>
      <c r="BC137"/>
      <c r="BD137"/>
      <c r="BE137">
        <v>1</v>
      </c>
      <c r="BF137"/>
      <c r="BG137">
        <v>2</v>
      </c>
      <c r="BH137"/>
      <c r="BI137"/>
      <c r="BJ137"/>
      <c r="BK137"/>
      <c r="BL137">
        <v>1</v>
      </c>
      <c r="BM137">
        <v>1</v>
      </c>
      <c r="BN137"/>
      <c r="BO137">
        <v>1</v>
      </c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9"/>
        <v>0.253684354221833</v>
      </c>
      <c r="CL137" s="179">
        <f t="shared" si="90"/>
        <v>10</v>
      </c>
      <c r="CM137" s="180">
        <f t="shared" si="91"/>
        <v>39775</v>
      </c>
      <c r="CN137" s="224">
        <v>0</v>
      </c>
      <c r="CO137" s="224"/>
      <c r="CP137" s="224"/>
      <c r="CQ137" s="224">
        <v>1</v>
      </c>
      <c r="CR137" s="224"/>
      <c r="CS137"/>
      <c r="CT137"/>
      <c r="CU137"/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0.77135373681365516</v>
      </c>
      <c r="DD137">
        <f t="shared" si="93"/>
        <v>10</v>
      </c>
      <c r="DE137" s="129">
        <f t="shared" si="165"/>
        <v>39775</v>
      </c>
      <c r="DF137" s="161">
        <f t="shared" si="94"/>
        <v>0</v>
      </c>
      <c r="DG137" s="161">
        <f t="shared" si="95"/>
        <v>0</v>
      </c>
      <c r="DH137" s="161">
        <f t="shared" si="96"/>
        <v>0</v>
      </c>
      <c r="DI137" s="161">
        <f t="shared" si="97"/>
        <v>20.833333333333332</v>
      </c>
      <c r="DJ137" s="161">
        <f t="shared" si="98"/>
        <v>0</v>
      </c>
      <c r="DK137" s="161">
        <f t="shared" si="99"/>
        <v>20.833333333333332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10.416666666666666</v>
      </c>
      <c r="DQ137" s="161">
        <f t="shared" si="105"/>
        <v>10.416666666666666</v>
      </c>
      <c r="DR137" s="161">
        <f t="shared" si="106"/>
        <v>0</v>
      </c>
      <c r="DS137" s="161">
        <f t="shared" si="107"/>
        <v>10.416666666666666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2"/>
        <v>72.916666666666657</v>
      </c>
      <c r="EL137" s="149"/>
      <c r="EN137" s="146"/>
      <c r="EO137" s="146"/>
      <c r="EP137" s="139">
        <f t="shared" si="133"/>
        <v>0</v>
      </c>
      <c r="EQ137" s="139">
        <f t="shared" si="134"/>
        <v>0</v>
      </c>
      <c r="ER137" s="139">
        <f t="shared" si="135"/>
        <v>0</v>
      </c>
      <c r="ES137" s="139">
        <f t="shared" si="136"/>
        <v>2.8307217273454137</v>
      </c>
      <c r="ET137" s="139">
        <f t="shared" si="137"/>
        <v>0</v>
      </c>
      <c r="EU137" s="139">
        <f t="shared" si="138"/>
        <v>10.048056707912455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28.028926904981219</v>
      </c>
      <c r="FA137" s="139">
        <f t="shared" si="144"/>
        <v>35.502613963840211</v>
      </c>
      <c r="FB137" s="139">
        <f t="shared" si="145"/>
        <v>0</v>
      </c>
      <c r="FC137" s="139">
        <f t="shared" si="146"/>
        <v>53.726182714680178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130.13650201875947</v>
      </c>
      <c r="FV137" s="149"/>
      <c r="FY137" s="210">
        <v>132</v>
      </c>
      <c r="FZ137">
        <v>33.97165113479042</v>
      </c>
      <c r="GA137">
        <v>50.3772556608576</v>
      </c>
      <c r="GB137">
        <v>19.864504295639826</v>
      </c>
      <c r="GC137">
        <v>6.4114798689235002</v>
      </c>
      <c r="GD137">
        <v>6.0082429658735297</v>
      </c>
      <c r="GE137">
        <v>9.3153954752223598</v>
      </c>
      <c r="GF137">
        <v>5.2872333141112495</v>
      </c>
      <c r="GG137">
        <v>10.730501467831054</v>
      </c>
      <c r="GH137">
        <v>18.649710959443304</v>
      </c>
      <c r="GI137">
        <v>23.262674309225346</v>
      </c>
      <c r="GJ137"/>
      <c r="GK137"/>
      <c r="GL137"/>
      <c r="GM137"/>
    </row>
    <row r="138" spans="1:195" s="7" customFormat="1">
      <c r="A138" s="128"/>
      <c r="B138" s="76">
        <f t="shared" ca="1" si="131"/>
        <v>0.4138542373278204</v>
      </c>
      <c r="C138">
        <v>7</v>
      </c>
      <c r="D138">
        <v>39799</v>
      </c>
      <c r="E138">
        <v>0</v>
      </c>
      <c r="F138">
        <v>0</v>
      </c>
      <c r="G138">
        <v>0</v>
      </c>
      <c r="H138">
        <v>60.763888888888886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10.416666666666666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53.266679050737785</v>
      </c>
      <c r="AO138">
        <v>75.9328018360101</v>
      </c>
      <c r="AP138">
        <v>487.35107489708241</v>
      </c>
      <c r="AQ138">
        <v>192.13350028861061</v>
      </c>
      <c r="AR138">
        <v>70.563787108963822</v>
      </c>
      <c r="AS138">
        <v>333.43510798143006</v>
      </c>
      <c r="AT138">
        <v>27.108649898890089</v>
      </c>
      <c r="AU138">
        <v>17.872345871734101</v>
      </c>
      <c r="AV138"/>
      <c r="AW138"/>
      <c r="AX138" s="128"/>
      <c r="AY138" s="76">
        <f t="shared" ca="1" si="87"/>
        <v>0.69770264222448031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9"/>
        <v>0.8940063351046259</v>
      </c>
      <c r="CL138" s="179">
        <f t="shared" si="90"/>
        <v>1</v>
      </c>
      <c r="CM138" s="180">
        <f t="shared" si="91"/>
        <v>39799</v>
      </c>
      <c r="CN138">
        <v>0</v>
      </c>
      <c r="CO138"/>
      <c r="CP138"/>
      <c r="CQ138"/>
      <c r="CR138"/>
      <c r="CS138"/>
      <c r="CT138"/>
      <c r="CU138"/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0.27501321045550897</v>
      </c>
      <c r="DD138">
        <f t="shared" si="93"/>
        <v>1</v>
      </c>
      <c r="DE138" s="129">
        <f t="shared" ref="DE138:DE147" si="167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2"/>
        <v>0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0</v>
      </c>
      <c r="FV138" s="149"/>
      <c r="FY138" s="210">
        <v>133</v>
      </c>
      <c r="FZ138">
        <v>29.936272055588816</v>
      </c>
      <c r="GA138">
        <v>65.523269552079455</v>
      </c>
      <c r="GB138">
        <v>31.032039404621216</v>
      </c>
      <c r="GC138">
        <v>8.1481875763355305</v>
      </c>
      <c r="GD138">
        <v>7.097133619448023</v>
      </c>
      <c r="GE138">
        <v>11.039344452793515</v>
      </c>
      <c r="GF138">
        <v>12.532268942745036</v>
      </c>
      <c r="GG138">
        <v>16.299698726773762</v>
      </c>
      <c r="GH138">
        <v>3.8349446540865593</v>
      </c>
      <c r="GI138">
        <v>30.536861968723745</v>
      </c>
      <c r="GJ138"/>
      <c r="GK138"/>
      <c r="GL138"/>
      <c r="GM138"/>
    </row>
    <row r="139" spans="1:195" s="7" customFormat="1">
      <c r="A139" s="1"/>
      <c r="B139" s="76">
        <f t="shared" ca="1" si="131"/>
        <v>0.90621015266337412</v>
      </c>
      <c r="C139">
        <v>4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37.878787878787875</v>
      </c>
      <c r="J139">
        <v>0</v>
      </c>
      <c r="K139">
        <v>0</v>
      </c>
      <c r="L139">
        <v>37.878787878787875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37.878787878787875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57.677586597582774</v>
      </c>
      <c r="AO139">
        <v>63.437752564533227</v>
      </c>
      <c r="AP139">
        <v>468.25643341365861</v>
      </c>
      <c r="AQ139">
        <v>227.33971321425429</v>
      </c>
      <c r="AR139">
        <v>59.80389133096552</v>
      </c>
      <c r="AS139">
        <v>349.49597958919264</v>
      </c>
      <c r="AT139">
        <v>25.676162255490564</v>
      </c>
      <c r="AU139">
        <v>-42.267403045044624</v>
      </c>
      <c r="AV139"/>
      <c r="AW139"/>
      <c r="AX139" s="146"/>
      <c r="AY139" s="76">
        <f t="shared" ca="1" si="87"/>
        <v>0.79286608941509251</v>
      </c>
      <c r="AZ139">
        <v>2</v>
      </c>
      <c r="BA139" s="129">
        <f t="shared" ref="BA139:BA147" si="168">IF(AZ139="", "",$C$9)</f>
        <v>39799</v>
      </c>
      <c r="BB139">
        <v>0</v>
      </c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9"/>
        <v>0.62070694637987667</v>
      </c>
      <c r="CL139" s="179">
        <f t="shared" si="90"/>
        <v>2</v>
      </c>
      <c r="CM139" s="180">
        <f t="shared" si="91"/>
        <v>39799</v>
      </c>
      <c r="CN139">
        <v>0</v>
      </c>
      <c r="CO139">
        <v>1</v>
      </c>
      <c r="CP139"/>
      <c r="CQ139">
        <v>1</v>
      </c>
      <c r="CR139"/>
      <c r="CS139"/>
      <c r="CT139"/>
      <c r="CU139"/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0.87379342931341197</v>
      </c>
      <c r="DD139">
        <f t="shared" si="93"/>
        <v>2</v>
      </c>
      <c r="DE139" s="129">
        <f t="shared" si="167"/>
        <v>39799</v>
      </c>
      <c r="DF139" s="161">
        <f t="shared" si="94"/>
        <v>0</v>
      </c>
      <c r="DG139" s="161">
        <f t="shared" si="95"/>
        <v>10.416666666666666</v>
      </c>
      <c r="DH139" s="161">
        <f t="shared" si="96"/>
        <v>0</v>
      </c>
      <c r="DI139" s="161">
        <f t="shared" si="97"/>
        <v>10.416666666666666</v>
      </c>
      <c r="DJ139" s="161">
        <f t="shared" si="98"/>
        <v>0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2"/>
        <v>20.833333333333332</v>
      </c>
      <c r="EL139" s="149"/>
      <c r="EN139" s="146"/>
      <c r="EO139" s="146"/>
      <c r="EP139" s="139">
        <f t="shared" si="133"/>
        <v>0</v>
      </c>
      <c r="EQ139" s="139">
        <f t="shared" si="134"/>
        <v>9.2812500000000006E-2</v>
      </c>
      <c r="ER139" s="139">
        <f t="shared" si="135"/>
        <v>0</v>
      </c>
      <c r="ES139" s="139">
        <f t="shared" si="136"/>
        <v>1.4153608636727069</v>
      </c>
      <c r="ET139" s="139">
        <f t="shared" si="137"/>
        <v>0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1.5081733636727068</v>
      </c>
      <c r="FV139" s="149"/>
      <c r="FY139" s="210">
        <v>134</v>
      </c>
      <c r="FZ139">
        <v>26.883691853989234</v>
      </c>
      <c r="GA139">
        <v>47.849464498260723</v>
      </c>
      <c r="GB139">
        <v>57.3071636452337</v>
      </c>
      <c r="GC139">
        <v>10.58392174889312</v>
      </c>
      <c r="GD139">
        <v>2.0076813519357004</v>
      </c>
      <c r="GE139">
        <v>2.2316228253656623</v>
      </c>
      <c r="GF139">
        <v>8.4572519812402565</v>
      </c>
      <c r="GG139">
        <v>11.93371081006992</v>
      </c>
      <c r="GH139">
        <v>11.798406485736818</v>
      </c>
      <c r="GI139">
        <v>36.213666275610613</v>
      </c>
      <c r="GJ139"/>
      <c r="GK139"/>
      <c r="GL139"/>
      <c r="GM139"/>
    </row>
    <row r="140" spans="1:195" s="7" customFormat="1">
      <c r="A140" s="1"/>
      <c r="B140" s="76">
        <f t="shared" ca="1" si="131"/>
        <v>0.95179893970523732</v>
      </c>
      <c r="C140">
        <v>8</v>
      </c>
      <c r="D140">
        <v>39799</v>
      </c>
      <c r="E140">
        <v>0</v>
      </c>
      <c r="F140">
        <v>0</v>
      </c>
      <c r="G140">
        <v>0</v>
      </c>
      <c r="H140">
        <v>148.80952380952382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10.416666666666666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70.046884195220954</v>
      </c>
      <c r="AO140">
        <v>92.374860600854689</v>
      </c>
      <c r="AP140">
        <v>650.10696247504211</v>
      </c>
      <c r="AQ140">
        <v>264.38876251250747</v>
      </c>
      <c r="AR140">
        <v>86.350545107711881</v>
      </c>
      <c r="AS140">
        <v>568.58505133602682</v>
      </c>
      <c r="AT140">
        <v>30.479494412824348</v>
      </c>
      <c r="AU140">
        <v>-1.5105077201598842</v>
      </c>
      <c r="AV140"/>
      <c r="AW140"/>
      <c r="AX140" s="146"/>
      <c r="AY140" s="76">
        <f t="shared" ca="1" si="87"/>
        <v>0.34760529777039761</v>
      </c>
      <c r="AZ140">
        <v>3</v>
      </c>
      <c r="BA140" s="129">
        <f t="shared" si="168"/>
        <v>39799</v>
      </c>
      <c r="BB140">
        <v>0</v>
      </c>
      <c r="BC140"/>
      <c r="BD140"/>
      <c r="BE140"/>
      <c r="BF140">
        <v>1</v>
      </c>
      <c r="BG140"/>
      <c r="BH140"/>
      <c r="BI140"/>
      <c r="BJ140"/>
      <c r="BK140"/>
      <c r="BL140">
        <v>1</v>
      </c>
      <c r="BM140"/>
      <c r="BN140">
        <v>1</v>
      </c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9"/>
        <v>0.10667520521062634</v>
      </c>
      <c r="CL140" s="179">
        <f t="shared" si="90"/>
        <v>3</v>
      </c>
      <c r="CM140" s="180">
        <f t="shared" si="91"/>
        <v>39799</v>
      </c>
      <c r="CN140">
        <v>0</v>
      </c>
      <c r="CO140"/>
      <c r="CP140">
        <v>1</v>
      </c>
      <c r="CQ140">
        <v>1</v>
      </c>
      <c r="CR140">
        <v>1</v>
      </c>
      <c r="CS140"/>
      <c r="CT140"/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0.48489388217284013</v>
      </c>
      <c r="DD140">
        <f t="shared" si="93"/>
        <v>3</v>
      </c>
      <c r="DE140" s="129">
        <f t="shared" si="167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83.333333333333329</v>
      </c>
      <c r="DI140" s="161">
        <f t="shared" si="97"/>
        <v>83.333333333333329</v>
      </c>
      <c r="DJ140" s="161">
        <f t="shared" si="98"/>
        <v>107.37179487179486</v>
      </c>
      <c r="DK140" s="161">
        <f t="shared" si="99"/>
        <v>0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24.038461538461537</v>
      </c>
      <c r="DQ140" s="161">
        <f t="shared" si="105"/>
        <v>0</v>
      </c>
      <c r="DR140" s="161">
        <f t="shared" si="106"/>
        <v>24.038461538461537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2"/>
        <v>322.11538461538464</v>
      </c>
      <c r="EL140" s="149"/>
      <c r="EN140" s="146"/>
      <c r="EO140" s="146"/>
      <c r="EP140" s="139">
        <f t="shared" si="133"/>
        <v>0</v>
      </c>
      <c r="EQ140" s="139">
        <f t="shared" si="134"/>
        <v>0</v>
      </c>
      <c r="ER140" s="139">
        <f t="shared" si="135"/>
        <v>4.142388689060704</v>
      </c>
      <c r="ES140" s="139">
        <f t="shared" si="136"/>
        <v>11.322886909381655</v>
      </c>
      <c r="ET140" s="139">
        <f t="shared" si="137"/>
        <v>29.776708920857025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64.682139011495124</v>
      </c>
      <c r="FA140" s="139">
        <f t="shared" si="144"/>
        <v>0</v>
      </c>
      <c r="FB140" s="139">
        <f t="shared" si="145"/>
        <v>101.6608797359988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211.58500326679331</v>
      </c>
      <c r="FV140" s="149"/>
      <c r="FY140" s="210">
        <v>135</v>
      </c>
      <c r="FZ140">
        <v>24.843973936956452</v>
      </c>
      <c r="GA140">
        <v>59.59782124426566</v>
      </c>
      <c r="GB140">
        <v>29.771345446055882</v>
      </c>
      <c r="GC140">
        <v>11.982559931575887</v>
      </c>
      <c r="GD140">
        <v>6.5359625303071107</v>
      </c>
      <c r="GE140">
        <v>5.3111195811804564</v>
      </c>
      <c r="GF140">
        <v>9.1203514296600616</v>
      </c>
      <c r="GG140">
        <v>11.813005600214687</v>
      </c>
      <c r="GH140">
        <v>9.021427607906686</v>
      </c>
      <c r="GI140">
        <v>31.735811431907326</v>
      </c>
      <c r="GJ140"/>
      <c r="GK140"/>
      <c r="GL140"/>
      <c r="GM140"/>
    </row>
    <row r="141" spans="1:195" s="7" customFormat="1">
      <c r="A141" s="1"/>
      <c r="B141" s="76">
        <f t="shared" ca="1" si="131"/>
        <v>0.95283124768975647</v>
      </c>
      <c r="C141">
        <v>1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66.512586622381804</v>
      </c>
      <c r="AO141">
        <v>72.543744104130226</v>
      </c>
      <c r="AP141">
        <v>556.94491456461651</v>
      </c>
      <c r="AQ141">
        <v>225.48558292696157</v>
      </c>
      <c r="AR141">
        <v>68.129478884756679</v>
      </c>
      <c r="AS141">
        <v>324.93989656610154</v>
      </c>
      <c r="AT141">
        <v>25.995448568791691</v>
      </c>
      <c r="AU141">
        <v>45.735882325080624</v>
      </c>
      <c r="AV141"/>
      <c r="AW141"/>
      <c r="AX141" s="146"/>
      <c r="AY141" s="76">
        <f t="shared" ca="1" si="87"/>
        <v>0.13295479463497717</v>
      </c>
      <c r="AZ141">
        <v>4</v>
      </c>
      <c r="BA141" s="129">
        <f t="shared" si="168"/>
        <v>39799</v>
      </c>
      <c r="BB141">
        <v>0</v>
      </c>
      <c r="BC141"/>
      <c r="BD141"/>
      <c r="BE141"/>
      <c r="BF141">
        <v>1</v>
      </c>
      <c r="BG141"/>
      <c r="BH141"/>
      <c r="BI141">
        <v>1</v>
      </c>
      <c r="BJ141"/>
      <c r="BK141"/>
      <c r="BL141"/>
      <c r="BM141"/>
      <c r="BN141"/>
      <c r="BO141"/>
      <c r="BP141"/>
      <c r="BQ141">
        <v>1</v>
      </c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9"/>
        <v>0.20460221769299558</v>
      </c>
      <c r="CL141" s="179">
        <f t="shared" si="90"/>
        <v>4</v>
      </c>
      <c r="CM141" s="180">
        <f t="shared" si="91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0.14076590818644785</v>
      </c>
      <c r="DD141">
        <f t="shared" si="93"/>
        <v>4</v>
      </c>
      <c r="DE141" s="129">
        <f t="shared" si="167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0</v>
      </c>
      <c r="DI141" s="161">
        <f t="shared" si="97"/>
        <v>0</v>
      </c>
      <c r="DJ141" s="161">
        <f t="shared" si="98"/>
        <v>37.878787878787875</v>
      </c>
      <c r="DK141" s="161">
        <f t="shared" si="99"/>
        <v>0</v>
      </c>
      <c r="DL141" s="161">
        <f t="shared" si="100"/>
        <v>0</v>
      </c>
      <c r="DM141" s="161">
        <f t="shared" si="101"/>
        <v>37.878787878787875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37.878787878787875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2"/>
        <v>113.63636363636363</v>
      </c>
      <c r="EL141" s="149"/>
      <c r="EN141" s="146"/>
      <c r="EO141" s="146"/>
      <c r="EP141" s="139">
        <f t="shared" si="133"/>
        <v>0</v>
      </c>
      <c r="EQ141" s="139">
        <f t="shared" si="134"/>
        <v>0</v>
      </c>
      <c r="ER141" s="139">
        <f t="shared" si="135"/>
        <v>0</v>
      </c>
      <c r="ES141" s="139">
        <f t="shared" si="136"/>
        <v>0</v>
      </c>
      <c r="ET141" s="139">
        <f t="shared" si="137"/>
        <v>10.504673432052682</v>
      </c>
      <c r="EU141" s="139">
        <f t="shared" si="138"/>
        <v>0</v>
      </c>
      <c r="EV141" s="139">
        <f t="shared" si="139"/>
        <v>0</v>
      </c>
      <c r="EW141" s="139">
        <f t="shared" si="140"/>
        <v>42.083990743270981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278.599350505654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331.18801468097769</v>
      </c>
      <c r="FV141" s="149"/>
      <c r="FY141" s="210">
        <v>136</v>
      </c>
      <c r="FZ141">
        <v>31.064078800576809</v>
      </c>
      <c r="GA141">
        <v>51.514981389031988</v>
      </c>
      <c r="GB141">
        <v>37.134487945261235</v>
      </c>
      <c r="GC141">
        <v>11.605979466883568</v>
      </c>
      <c r="GD141">
        <v>5.4627455860914989</v>
      </c>
      <c r="GE141">
        <v>6.6348377711876205</v>
      </c>
      <c r="GF141">
        <v>12.325878108457918</v>
      </c>
      <c r="GG141">
        <v>21.504467115735736</v>
      </c>
      <c r="GH141">
        <v>24.346483170482404</v>
      </c>
      <c r="GI141">
        <v>32.466897194291853</v>
      </c>
      <c r="GJ141"/>
      <c r="GK141"/>
      <c r="GL141"/>
      <c r="GM141"/>
    </row>
    <row r="142" spans="1:195" s="7" customFormat="1">
      <c r="A142" s="1"/>
      <c r="B142" s="76">
        <f t="shared" ca="1" si="131"/>
        <v>0.4452489229928025</v>
      </c>
      <c r="C142">
        <v>6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51.678657091873404</v>
      </c>
      <c r="AO142">
        <v>50.55037630626687</v>
      </c>
      <c r="AP142">
        <v>363.89642232819506</v>
      </c>
      <c r="AQ142">
        <v>167.9837724780007</v>
      </c>
      <c r="AR142">
        <v>46.927310773708342</v>
      </c>
      <c r="AS142">
        <v>251.69460265012057</v>
      </c>
      <c r="AT142">
        <v>18.55081796231384</v>
      </c>
      <c r="AU142">
        <v>84.681678615375162</v>
      </c>
      <c r="AV142"/>
      <c r="AW142"/>
      <c r="AX142" s="146"/>
      <c r="AY142" s="76">
        <f t="shared" ca="1" si="87"/>
        <v>0.92974464183420946</v>
      </c>
      <c r="AZ142">
        <v>5</v>
      </c>
      <c r="BA142" s="129">
        <f t="shared" si="168"/>
        <v>39799</v>
      </c>
      <c r="BB142">
        <v>0</v>
      </c>
      <c r="BC142"/>
      <c r="BD142"/>
      <c r="BE142"/>
      <c r="BF142"/>
      <c r="BG142">
        <v>1</v>
      </c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9"/>
        <v>0.81940457855831395</v>
      </c>
      <c r="CL142" s="179">
        <f t="shared" si="90"/>
        <v>5</v>
      </c>
      <c r="CM142" s="180">
        <f t="shared" si="91"/>
        <v>39799</v>
      </c>
      <c r="CN142">
        <v>0</v>
      </c>
      <c r="CO142"/>
      <c r="CP142">
        <v>1</v>
      </c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0.31730351389965783</v>
      </c>
      <c r="DD142">
        <f t="shared" si="93"/>
        <v>5</v>
      </c>
      <c r="DE142" s="129">
        <f t="shared" si="167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70.112179487179489</v>
      </c>
      <c r="DI142" s="161">
        <f t="shared" si="97"/>
        <v>0</v>
      </c>
      <c r="DJ142" s="161">
        <f t="shared" si="98"/>
        <v>0</v>
      </c>
      <c r="DK142" s="161">
        <f t="shared" si="99"/>
        <v>10.416666666666666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2"/>
        <v>80.52884615384616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3.4851827912770346</v>
      </c>
      <c r="ES142" s="139">
        <f t="shared" si="136"/>
        <v>0</v>
      </c>
      <c r="ET142" s="139">
        <f t="shared" si="137"/>
        <v>0</v>
      </c>
      <c r="EU142" s="139">
        <f t="shared" si="138"/>
        <v>5.0240283539562274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8.5092111452332624</v>
      </c>
      <c r="FV142" s="149"/>
      <c r="FY142" s="210">
        <v>137</v>
      </c>
      <c r="FZ142">
        <v>28.217552983666074</v>
      </c>
      <c r="GA142">
        <v>35.202728772242644</v>
      </c>
      <c r="GB142">
        <v>17.225537834631396</v>
      </c>
      <c r="GC142">
        <v>5.5620286543332744</v>
      </c>
      <c r="GD142">
        <v>3.6436538624033954</v>
      </c>
      <c r="GE142">
        <v>4.7196101143158717</v>
      </c>
      <c r="GF142">
        <v>9.0745542256929124</v>
      </c>
      <c r="GG142">
        <v>12.047519234330125</v>
      </c>
      <c r="GH142">
        <v>9.6817047673844652</v>
      </c>
      <c r="GI142">
        <v>20.878649335805093</v>
      </c>
      <c r="GJ142"/>
      <c r="GK142"/>
      <c r="GL142"/>
      <c r="GM142"/>
    </row>
    <row r="143" spans="1:195" s="7" customFormat="1">
      <c r="A143" s="1"/>
      <c r="B143" s="76">
        <f t="shared" ca="1" si="131"/>
        <v>0.53165046951122097</v>
      </c>
      <c r="C143">
        <v>5</v>
      </c>
      <c r="D143">
        <v>39799</v>
      </c>
      <c r="E143">
        <v>0</v>
      </c>
      <c r="F143">
        <v>0</v>
      </c>
      <c r="G143">
        <v>70.112179487179489</v>
      </c>
      <c r="H143">
        <v>0</v>
      </c>
      <c r="I143">
        <v>0</v>
      </c>
      <c r="J143">
        <v>10.416666666666666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75.257190360760163</v>
      </c>
      <c r="AO143">
        <v>100.26932592241508</v>
      </c>
      <c r="AP143">
        <v>795.64954687650425</v>
      </c>
      <c r="AQ143">
        <v>310.27493928073795</v>
      </c>
      <c r="AR143">
        <v>93.691588796352292</v>
      </c>
      <c r="AS143">
        <v>405.104941160208</v>
      </c>
      <c r="AT143">
        <v>38.093762726600829</v>
      </c>
      <c r="AU143">
        <v>-45.003119852338685</v>
      </c>
      <c r="AV143"/>
      <c r="AW143"/>
      <c r="AX143" s="146"/>
      <c r="AY143" s="76">
        <f t="shared" ca="1" si="87"/>
        <v>0.93537135856750275</v>
      </c>
      <c r="AZ143">
        <v>6</v>
      </c>
      <c r="BA143" s="129">
        <f t="shared" si="168"/>
        <v>39799</v>
      </c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9"/>
        <v>0.25872396868751135</v>
      </c>
      <c r="CL143" s="179">
        <f t="shared" si="90"/>
        <v>6</v>
      </c>
      <c r="CM143" s="180">
        <f t="shared" si="91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0.72201408347461471</v>
      </c>
      <c r="DD143">
        <f t="shared" si="93"/>
        <v>6</v>
      </c>
      <c r="DE143" s="129">
        <f t="shared" si="167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0">
        <v>138</v>
      </c>
      <c r="FZ143">
        <v>17.470757114983954</v>
      </c>
      <c r="GA143">
        <v>53.11741435929828</v>
      </c>
      <c r="GB143">
        <v>39.695282055565059</v>
      </c>
      <c r="GC143">
        <v>14.619780560974283</v>
      </c>
      <c r="GD143">
        <v>6.6198369496796374</v>
      </c>
      <c r="GE143">
        <v>4.8451465641173739</v>
      </c>
      <c r="GF143">
        <v>9.4698291963034578</v>
      </c>
      <c r="GG143">
        <v>18.067554613756933</v>
      </c>
      <c r="GH143">
        <v>19.287594974658276</v>
      </c>
      <c r="GI143">
        <v>34.52591177992921</v>
      </c>
      <c r="GJ143"/>
      <c r="GK143"/>
      <c r="GL143"/>
      <c r="GM143"/>
    </row>
    <row r="144" spans="1:195" s="7" customFormat="1">
      <c r="A144" s="1"/>
      <c r="B144" s="76">
        <f t="shared" ca="1" si="131"/>
        <v>0.94389703211400544</v>
      </c>
      <c r="C144">
        <v>2</v>
      </c>
      <c r="D144">
        <v>39799</v>
      </c>
      <c r="E144">
        <v>0</v>
      </c>
      <c r="F144">
        <v>10.416666666666666</v>
      </c>
      <c r="G144">
        <v>0</v>
      </c>
      <c r="H144">
        <v>10.416666666666666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60.189483374858057</v>
      </c>
      <c r="AO144">
        <v>86.963214465837581</v>
      </c>
      <c r="AP144">
        <v>615.20988083345037</v>
      </c>
      <c r="AQ144">
        <v>251.26967948829065</v>
      </c>
      <c r="AR144">
        <v>81.008584330032363</v>
      </c>
      <c r="AS144">
        <v>485.70430160456533</v>
      </c>
      <c r="AT144">
        <v>30.696630875337533</v>
      </c>
      <c r="AU144">
        <v>-4.8902276431597951</v>
      </c>
      <c r="AV144"/>
      <c r="AW144"/>
      <c r="AX144" s="146"/>
      <c r="AY144" s="76">
        <f t="shared" ca="1" si="87"/>
        <v>0.78005168021269622</v>
      </c>
      <c r="AZ144">
        <v>7</v>
      </c>
      <c r="BA144" s="129">
        <f t="shared" si="168"/>
        <v>39799</v>
      </c>
      <c r="BB144">
        <v>0</v>
      </c>
      <c r="BC144"/>
      <c r="BD144"/>
      <c r="BE144"/>
      <c r="BF144"/>
      <c r="BG144"/>
      <c r="BH144"/>
      <c r="BI144"/>
      <c r="BJ144"/>
      <c r="BK144"/>
      <c r="BL144"/>
      <c r="BM144"/>
      <c r="BN144">
        <v>1</v>
      </c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9"/>
        <v>0.58366006691570393</v>
      </c>
      <c r="CL144" s="179">
        <f t="shared" si="90"/>
        <v>7</v>
      </c>
      <c r="CM144" s="180">
        <f t="shared" si="91"/>
        <v>39799</v>
      </c>
      <c r="CN144">
        <v>0</v>
      </c>
      <c r="CO144"/>
      <c r="CP144"/>
      <c r="CQ144">
        <v>1</v>
      </c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0.32150115355976294</v>
      </c>
      <c r="DD144">
        <f t="shared" si="93"/>
        <v>7</v>
      </c>
      <c r="DE144" s="129">
        <f t="shared" si="167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60.763888888888886</v>
      </c>
      <c r="DJ144" s="161">
        <f t="shared" si="98"/>
        <v>0</v>
      </c>
      <c r="DK144" s="161">
        <f t="shared" si="99"/>
        <v>0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10.416666666666666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2"/>
        <v>71.180555555555557</v>
      </c>
      <c r="EL144" s="149"/>
      <c r="EN144" s="146"/>
      <c r="EO144" s="146"/>
      <c r="EP144" s="139">
        <f t="shared" si="133"/>
        <v>0</v>
      </c>
      <c r="EQ144" s="139">
        <f t="shared" si="134"/>
        <v>0</v>
      </c>
      <c r="ER144" s="139">
        <f t="shared" si="135"/>
        <v>0</v>
      </c>
      <c r="ES144" s="139">
        <f t="shared" si="136"/>
        <v>8.2562717047574559</v>
      </c>
      <c r="ET144" s="139">
        <f t="shared" si="137"/>
        <v>0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44.053047885599483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52.309319590356935</v>
      </c>
      <c r="FV144" s="149"/>
      <c r="FY144" s="210">
        <v>139</v>
      </c>
      <c r="FZ144">
        <v>25.050947060919924</v>
      </c>
      <c r="GA144">
        <v>55.811094893528683</v>
      </c>
      <c r="GB144">
        <v>27.658384635420859</v>
      </c>
      <c r="GC144">
        <v>10.041468177980965</v>
      </c>
      <c r="GD144">
        <v>5.9886136977608402</v>
      </c>
      <c r="GE144">
        <v>4.9300280788544057</v>
      </c>
      <c r="GF144">
        <v>11.903121797329197</v>
      </c>
      <c r="GG144">
        <v>18.491526731672575</v>
      </c>
      <c r="GH144">
        <v>15.05594063857947</v>
      </c>
      <c r="GI144">
        <v>31.010136511088195</v>
      </c>
      <c r="GJ144"/>
      <c r="GK144"/>
      <c r="GL144"/>
      <c r="GM144"/>
    </row>
    <row r="145" spans="1:195" s="7" customFormat="1">
      <c r="A145" s="1"/>
      <c r="B145" s="76">
        <f t="shared" ca="1" si="131"/>
        <v>0.76565491475570324</v>
      </c>
      <c r="C145">
        <v>10</v>
      </c>
      <c r="D145">
        <v>39799</v>
      </c>
      <c r="E145">
        <v>0</v>
      </c>
      <c r="F145">
        <v>0</v>
      </c>
      <c r="G145">
        <v>20.833333333333332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56.395829056492609</v>
      </c>
      <c r="AO145">
        <v>68.87420886046786</v>
      </c>
      <c r="AP145">
        <v>546.27036885086682</v>
      </c>
      <c r="AQ145">
        <v>214.58888925674572</v>
      </c>
      <c r="AR145">
        <v>64.431031753851002</v>
      </c>
      <c r="AS145">
        <v>422.32677750172741</v>
      </c>
      <c r="AT145">
        <v>26.53114677449102</v>
      </c>
      <c r="AU145">
        <v>2.0111983313292487</v>
      </c>
      <c r="AV145"/>
      <c r="AW145"/>
      <c r="AX145" s="146"/>
      <c r="AY145" s="76">
        <f t="shared" ca="1" si="87"/>
        <v>0.52705361188851363</v>
      </c>
      <c r="AZ145">
        <v>8</v>
      </c>
      <c r="BA145" s="129">
        <f t="shared" si="168"/>
        <v>39799</v>
      </c>
      <c r="BB145">
        <v>0</v>
      </c>
      <c r="BC145"/>
      <c r="BD145"/>
      <c r="BE145"/>
      <c r="BF145"/>
      <c r="BG145"/>
      <c r="BH145"/>
      <c r="BI145"/>
      <c r="BJ145"/>
      <c r="BK145"/>
      <c r="BL145"/>
      <c r="BM145">
        <v>1</v>
      </c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9"/>
        <v>0.46479579454579945</v>
      </c>
      <c r="CL145" s="179">
        <f t="shared" si="90"/>
        <v>8</v>
      </c>
      <c r="CM145" s="180">
        <f t="shared" si="91"/>
        <v>39799</v>
      </c>
      <c r="CN145">
        <v>0</v>
      </c>
      <c r="CO145"/>
      <c r="CP145"/>
      <c r="CQ145">
        <v>2</v>
      </c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0.16626347196299385</v>
      </c>
      <c r="DD145">
        <f t="shared" si="93"/>
        <v>8</v>
      </c>
      <c r="DE145" s="129">
        <f t="shared" si="167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148.80952380952382</v>
      </c>
      <c r="DJ145" s="161">
        <f t="shared" si="98"/>
        <v>0</v>
      </c>
      <c r="DK145" s="161">
        <f t="shared" si="99"/>
        <v>0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10.416666666666666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2"/>
        <v>159.22619047619048</v>
      </c>
      <c r="EL145" s="149"/>
      <c r="EN145" s="146"/>
      <c r="EO145" s="146"/>
      <c r="EP145" s="139">
        <f t="shared" si="133"/>
        <v>0</v>
      </c>
      <c r="EQ145" s="139">
        <f t="shared" si="134"/>
        <v>0</v>
      </c>
      <c r="ER145" s="139">
        <f t="shared" si="135"/>
        <v>0</v>
      </c>
      <c r="ES145" s="139">
        <f t="shared" si="136"/>
        <v>20.2194409096101</v>
      </c>
      <c r="ET145" s="139">
        <f t="shared" si="137"/>
        <v>0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35.502613963840211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55.722054873450311</v>
      </c>
      <c r="FV145" s="149"/>
      <c r="FY145" s="210">
        <v>140</v>
      </c>
      <c r="FZ145">
        <v>21.648220572424393</v>
      </c>
      <c r="GA145">
        <v>42.632729635710589</v>
      </c>
      <c r="GB145">
        <v>60.233835912025086</v>
      </c>
      <c r="GC145">
        <v>14.221662560885861</v>
      </c>
      <c r="GD145">
        <v>4.6534374310843374</v>
      </c>
      <c r="GE145">
        <v>4.7909777775165221</v>
      </c>
      <c r="GF145">
        <v>8.0240875740881279</v>
      </c>
      <c r="GG145">
        <v>18.474162870663321</v>
      </c>
      <c r="GH145">
        <v>25.835756217252179</v>
      </c>
      <c r="GI145">
        <v>43.214313979613706</v>
      </c>
      <c r="GJ145"/>
      <c r="GK145"/>
      <c r="GL145"/>
      <c r="GM145"/>
    </row>
    <row r="146" spans="1:195" s="7" customFormat="1">
      <c r="A146" s="1"/>
      <c r="B146" s="76">
        <f t="shared" ca="1" si="131"/>
        <v>1.3043250448691701E-2</v>
      </c>
      <c r="C146">
        <v>9</v>
      </c>
      <c r="D146">
        <v>39799</v>
      </c>
      <c r="E146">
        <v>0</v>
      </c>
      <c r="F146">
        <v>0</v>
      </c>
      <c r="G146">
        <v>57.53391472868217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46.016507123231484</v>
      </c>
      <c r="AO146">
        <v>57.313259441514731</v>
      </c>
      <c r="AP146">
        <v>430.6082568371728</v>
      </c>
      <c r="AQ146">
        <v>199.13606218312884</v>
      </c>
      <c r="AR146">
        <v>54.097443916230361</v>
      </c>
      <c r="AS146">
        <v>265.89545401944349</v>
      </c>
      <c r="AT146">
        <v>21.862830032300632</v>
      </c>
      <c r="AU146">
        <v>27.458851374366045</v>
      </c>
      <c r="AV146"/>
      <c r="AW146"/>
      <c r="AX146" s="146"/>
      <c r="AY146" s="76">
        <f t="shared" ca="1" si="87"/>
        <v>0.96774902471873503</v>
      </c>
      <c r="AZ146">
        <v>9</v>
      </c>
      <c r="BA146" s="129">
        <f t="shared" si="168"/>
        <v>39799</v>
      </c>
      <c r="BB146">
        <v>0</v>
      </c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9"/>
        <v>0.19381108914767609</v>
      </c>
      <c r="CL146" s="179">
        <f t="shared" si="90"/>
        <v>9</v>
      </c>
      <c r="CM146" s="180">
        <f t="shared" si="91"/>
        <v>39799</v>
      </c>
      <c r="CN146">
        <v>0</v>
      </c>
      <c r="CO146"/>
      <c r="CP146">
        <v>1</v>
      </c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0.63853012865209458</v>
      </c>
      <c r="DD146">
        <f t="shared" si="93"/>
        <v>9</v>
      </c>
      <c r="DE146" s="129">
        <f t="shared" si="167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57.53391472868217</v>
      </c>
      <c r="DI146" s="161">
        <f t="shared" si="97"/>
        <v>0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2"/>
        <v>57.53391472868217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2.8599340513137128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2.8599340513137128</v>
      </c>
      <c r="FV146" s="149"/>
      <c r="FY146" s="210">
        <v>141</v>
      </c>
      <c r="FZ146">
        <v>30.772236166221752</v>
      </c>
      <c r="GA146">
        <v>40.143611060313965</v>
      </c>
      <c r="GB146">
        <v>26.665941468004885</v>
      </c>
      <c r="GC146">
        <v>10.932821520880907</v>
      </c>
      <c r="GD146">
        <v>6.1053419428823181</v>
      </c>
      <c r="GE146">
        <v>6.5677366224882165</v>
      </c>
      <c r="GF146">
        <v>11.514924060784386</v>
      </c>
      <c r="GG146">
        <v>15.911483057037259</v>
      </c>
      <c r="GH146">
        <v>5.8182874337625181</v>
      </c>
      <c r="GI146">
        <v>27.868051707841872</v>
      </c>
      <c r="GJ146"/>
      <c r="GK146"/>
      <c r="GL146"/>
      <c r="GM146"/>
    </row>
    <row r="147" spans="1:195" s="7" customFormat="1">
      <c r="A147" s="1"/>
      <c r="B147" s="76">
        <f t="shared" ca="1" si="131"/>
        <v>0.22173732135404567</v>
      </c>
      <c r="C147">
        <v>3</v>
      </c>
      <c r="D147">
        <v>39799</v>
      </c>
      <c r="E147">
        <v>0</v>
      </c>
      <c r="F147">
        <v>0</v>
      </c>
      <c r="G147">
        <v>83.333333333333329</v>
      </c>
      <c r="H147">
        <v>83.333333333333329</v>
      </c>
      <c r="I147">
        <v>107.37179487179486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24.038461538461537</v>
      </c>
      <c r="P147">
        <v>0</v>
      </c>
      <c r="Q147">
        <v>24.038461538461537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53.931910488942471</v>
      </c>
      <c r="AO147">
        <v>76.867023599766213</v>
      </c>
      <c r="AP147">
        <v>589.5189399154433</v>
      </c>
      <c r="AQ147">
        <v>251.97004448540747</v>
      </c>
      <c r="AR147">
        <v>70.857427774751002</v>
      </c>
      <c r="AS147">
        <v>319.82025104412935</v>
      </c>
      <c r="AT147">
        <v>31.218087775705353</v>
      </c>
      <c r="AU147">
        <v>-25.468478189688536</v>
      </c>
      <c r="AV147"/>
      <c r="AW147"/>
      <c r="AX147" s="146"/>
      <c r="AY147" s="76">
        <f t="shared" ca="1" si="87"/>
        <v>0.4430851315177835</v>
      </c>
      <c r="AZ147">
        <v>10</v>
      </c>
      <c r="BA147" s="129">
        <f t="shared" si="168"/>
        <v>39799</v>
      </c>
      <c r="BB147">
        <v>0</v>
      </c>
      <c r="BC147"/>
      <c r="BD147">
        <v>1</v>
      </c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9"/>
        <v>0.67934015475617571</v>
      </c>
      <c r="CL147" s="179">
        <f t="shared" si="90"/>
        <v>10</v>
      </c>
      <c r="CM147" s="180">
        <f t="shared" si="91"/>
        <v>39799</v>
      </c>
      <c r="CN147">
        <v>0</v>
      </c>
      <c r="CO147"/>
      <c r="CP147">
        <v>1</v>
      </c>
      <c r="CQ147"/>
      <c r="CR147"/>
      <c r="CS147"/>
      <c r="CT147"/>
      <c r="CU147"/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0.72632692254332165</v>
      </c>
      <c r="DD147">
        <f t="shared" si="93"/>
        <v>10</v>
      </c>
      <c r="DE147" s="129">
        <f t="shared" si="167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20.833333333333332</v>
      </c>
      <c r="DI147" s="161">
        <f t="shared" si="97"/>
        <v>0</v>
      </c>
      <c r="DJ147" s="161">
        <f t="shared" si="98"/>
        <v>0</v>
      </c>
      <c r="DK147" s="161">
        <f t="shared" si="99"/>
        <v>0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2"/>
        <v>20.833333333333332</v>
      </c>
      <c r="EL147" s="149"/>
      <c r="EN147" s="146"/>
      <c r="EO147" s="146"/>
      <c r="EP147" s="139">
        <f t="shared" si="133"/>
        <v>0</v>
      </c>
      <c r="EQ147" s="139">
        <f t="shared" si="134"/>
        <v>0</v>
      </c>
      <c r="ER147" s="139">
        <f t="shared" si="135"/>
        <v>1.035597172265176</v>
      </c>
      <c r="ES147" s="139">
        <f t="shared" si="136"/>
        <v>0</v>
      </c>
      <c r="ET147" s="139">
        <f t="shared" si="137"/>
        <v>0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1.035597172265176</v>
      </c>
      <c r="FV147" s="149"/>
      <c r="FY147" s="210">
        <v>142</v>
      </c>
      <c r="FZ147">
        <v>16.48907323594937</v>
      </c>
      <c r="GA147">
        <v>32.860392914885693</v>
      </c>
      <c r="GB147">
        <v>31.646811035742942</v>
      </c>
      <c r="GC147">
        <v>14.036811886209115</v>
      </c>
      <c r="GD147">
        <v>7.2746479631619945</v>
      </c>
      <c r="GE147">
        <v>8.0058465224620843</v>
      </c>
      <c r="GF147">
        <v>8.5180001625016484</v>
      </c>
      <c r="GG147">
        <v>16.064884508458398</v>
      </c>
      <c r="GH147">
        <v>15.946265561636501</v>
      </c>
      <c r="GI147">
        <v>32.075337616790847</v>
      </c>
      <c r="GJ147"/>
      <c r="GK147"/>
      <c r="GL147"/>
      <c r="GM147"/>
    </row>
    <row r="148" spans="1:195" s="7" customFormat="1">
      <c r="A148" s="128"/>
      <c r="B148" s="76">
        <f t="shared" ca="1" si="131"/>
        <v>0.22836119511069253</v>
      </c>
      <c r="C148">
        <v>5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10.416666666666666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58.835119055447009</v>
      </c>
      <c r="AO148">
        <v>44.344839134124243</v>
      </c>
      <c r="AP148">
        <v>328.77124859997843</v>
      </c>
      <c r="AQ148">
        <v>183.87864945191819</v>
      </c>
      <c r="AR148">
        <v>42.576630028282082</v>
      </c>
      <c r="AS148">
        <v>245.38693201090192</v>
      </c>
      <c r="AT148">
        <v>16.809353486336335</v>
      </c>
      <c r="AU148">
        <v>6.5770434892764129</v>
      </c>
      <c r="AV148"/>
      <c r="AW148"/>
      <c r="AX148" s="128"/>
      <c r="AY148" s="76">
        <f t="shared" ca="1" si="87"/>
        <v>0.14504622470088524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/>
      <c r="BG148"/>
      <c r="BH148"/>
      <c r="BI148">
        <v>1</v>
      </c>
      <c r="BJ148"/>
      <c r="BK148"/>
      <c r="BL148"/>
      <c r="BM148"/>
      <c r="BN148"/>
      <c r="BO148">
        <v>0</v>
      </c>
      <c r="BP148">
        <v>1</v>
      </c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9"/>
        <v>0.49545649939092673</v>
      </c>
      <c r="CL148" s="179">
        <f t="shared" si="90"/>
        <v>1</v>
      </c>
      <c r="CM148" s="180">
        <f t="shared" si="91"/>
        <v>39847</v>
      </c>
      <c r="CN148">
        <v>0</v>
      </c>
      <c r="CO148"/>
      <c r="CP148"/>
      <c r="CQ148"/>
      <c r="CR148"/>
      <c r="CS148"/>
      <c r="CT148"/>
      <c r="CU148"/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0.94106716965590698</v>
      </c>
      <c r="DD148">
        <f t="shared" si="93"/>
        <v>1</v>
      </c>
      <c r="DE148" s="129">
        <f t="shared" ref="DE148:DE157" si="169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0</v>
      </c>
      <c r="DJ148" s="161">
        <f t="shared" si="98"/>
        <v>0</v>
      </c>
      <c r="DK148" s="161">
        <f t="shared" si="99"/>
        <v>0</v>
      </c>
      <c r="DL148" s="161">
        <f t="shared" si="100"/>
        <v>0</v>
      </c>
      <c r="DM148" s="161">
        <f t="shared" si="101"/>
        <v>10.416666666666666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10.416666666666666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2"/>
        <v>20.833333333333332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0</v>
      </c>
      <c r="ET148" s="139">
        <f t="shared" si="137"/>
        <v>0</v>
      </c>
      <c r="EU148" s="139">
        <f t="shared" si="138"/>
        <v>0</v>
      </c>
      <c r="EV148" s="139">
        <f t="shared" si="139"/>
        <v>0</v>
      </c>
      <c r="EW148" s="139">
        <f t="shared" si="140"/>
        <v>11.57309745439952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64.566017498318885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76.139114952718401</v>
      </c>
      <c r="FV148" s="149"/>
      <c r="FY148" s="210">
        <v>143</v>
      </c>
      <c r="FZ148">
        <v>18.717215344957101</v>
      </c>
      <c r="GA148">
        <v>44.132014376152654</v>
      </c>
      <c r="GB148">
        <v>50.23257845398004</v>
      </c>
      <c r="GC148">
        <v>14.536308303202645</v>
      </c>
      <c r="GD148">
        <v>5.8452620984983632</v>
      </c>
      <c r="GE148">
        <v>6.3349531940649548</v>
      </c>
      <c r="GF148">
        <v>12.398136521138047</v>
      </c>
      <c r="GG148">
        <v>16.804854901046745</v>
      </c>
      <c r="GH148">
        <v>13.541193008555963</v>
      </c>
      <c r="GI148">
        <v>40.358697575091703</v>
      </c>
      <c r="GJ148"/>
      <c r="GK148"/>
      <c r="GL148"/>
      <c r="GM148"/>
    </row>
    <row r="149" spans="1:195" s="7" customFormat="1">
      <c r="A149" s="77"/>
      <c r="B149" s="76">
        <f t="shared" ca="1" si="131"/>
        <v>0.88595170648149435</v>
      </c>
      <c r="C149">
        <v>10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10.416666666666666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51.316110331282175</v>
      </c>
      <c r="AO149">
        <v>64.169067888361127</v>
      </c>
      <c r="AP149">
        <v>496.81727891341836</v>
      </c>
      <c r="AQ149">
        <v>215.98002095319566</v>
      </c>
      <c r="AR149">
        <v>59.285924050114929</v>
      </c>
      <c r="AS149">
        <v>275.85092909710761</v>
      </c>
      <c r="AT149">
        <v>26.357468283633235</v>
      </c>
      <c r="AU149">
        <v>103.14883199140249</v>
      </c>
      <c r="AV149"/>
      <c r="AW149"/>
      <c r="AX149" s="151"/>
      <c r="AY149" s="76">
        <f t="shared" ca="1" si="87"/>
        <v>0.71151293047318465</v>
      </c>
      <c r="AZ149">
        <v>2</v>
      </c>
      <c r="BA149" s="129">
        <f t="shared" ref="BA149:BA157" si="170">IF(AZ149="", "",$C$10)</f>
        <v>39847</v>
      </c>
      <c r="BB149">
        <v>0</v>
      </c>
      <c r="BC149"/>
      <c r="BD149"/>
      <c r="BE149"/>
      <c r="BF149">
        <v>1</v>
      </c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9"/>
        <v>0.57548198644831716</v>
      </c>
      <c r="CL149" s="179">
        <f t="shared" si="90"/>
        <v>2</v>
      </c>
      <c r="CM149" s="180">
        <f t="shared" si="91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0.45915178176274862</v>
      </c>
      <c r="DD149">
        <f t="shared" si="93"/>
        <v>2</v>
      </c>
      <c r="DE149" s="129">
        <f t="shared" si="169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34.722222222222221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2"/>
        <v>34.722222222222221</v>
      </c>
      <c r="EL149" s="149"/>
      <c r="EN149" s="151"/>
      <c r="EO149" s="151"/>
      <c r="EP149" s="139">
        <f t="shared" si="133"/>
        <v>0</v>
      </c>
      <c r="EQ149" s="139">
        <f t="shared" si="134"/>
        <v>0</v>
      </c>
      <c r="ER149" s="139">
        <f t="shared" si="135"/>
        <v>0</v>
      </c>
      <c r="ES149" s="139">
        <f t="shared" si="136"/>
        <v>0</v>
      </c>
      <c r="ET149" s="139">
        <f t="shared" si="137"/>
        <v>9.6292839793816256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9.6292839793816256</v>
      </c>
      <c r="FV149" s="149"/>
      <c r="FY149" s="210">
        <v>144</v>
      </c>
      <c r="FZ149">
        <v>21.179558065788605</v>
      </c>
      <c r="GA149">
        <v>67.209318289935311</v>
      </c>
      <c r="GB149">
        <v>34.549850353102933</v>
      </c>
      <c r="GC149">
        <v>12.600340388885733</v>
      </c>
      <c r="GD149">
        <v>7.8240948379375732</v>
      </c>
      <c r="GE149">
        <v>8.6480797808232133</v>
      </c>
      <c r="GF149">
        <v>9.263463030313801</v>
      </c>
      <c r="GG149">
        <v>20.735281874800055</v>
      </c>
      <c r="GH149">
        <v>27.91333515938873</v>
      </c>
      <c r="GI149">
        <v>36.906558585145667</v>
      </c>
      <c r="GJ149"/>
      <c r="GK149"/>
      <c r="GL149"/>
      <c r="GM149"/>
    </row>
    <row r="150" spans="1:195" s="7" customFormat="1">
      <c r="A150" s="77"/>
      <c r="B150" s="76">
        <f t="shared" ca="1" si="131"/>
        <v>0.97235824207543242</v>
      </c>
      <c r="C150">
        <v>9</v>
      </c>
      <c r="D150">
        <v>39847</v>
      </c>
      <c r="E150">
        <v>0</v>
      </c>
      <c r="F150">
        <v>0</v>
      </c>
      <c r="G150">
        <v>0</v>
      </c>
      <c r="H150">
        <v>65.104166666666671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48.56564927151711</v>
      </c>
      <c r="AO150">
        <v>84.758453842720641</v>
      </c>
      <c r="AP150">
        <v>681.04765700366875</v>
      </c>
      <c r="AQ150">
        <v>215.26658147633577</v>
      </c>
      <c r="AR150">
        <v>80.765920406612366</v>
      </c>
      <c r="AS150">
        <v>537.07565045189142</v>
      </c>
      <c r="AT150">
        <v>31.335394189684667</v>
      </c>
      <c r="AU150">
        <v>3.9049568460912827</v>
      </c>
      <c r="AV150"/>
      <c r="AW150"/>
      <c r="AX150" s="151"/>
      <c r="AY150" s="76">
        <f t="shared" ca="1" si="87"/>
        <v>0.94878289899995694</v>
      </c>
      <c r="AZ150">
        <v>3</v>
      </c>
      <c r="BA150" s="129">
        <f t="shared" si="170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89"/>
        <v>0.26870168535445593</v>
      </c>
      <c r="CL150" s="179">
        <f t="shared" si="90"/>
        <v>3</v>
      </c>
      <c r="CM150" s="180">
        <f t="shared" si="91"/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2"/>
        <v>9.6000000000000002E-2</v>
      </c>
      <c r="DB150" s="151"/>
      <c r="DC150" s="76">
        <f t="shared" ca="1" si="50"/>
        <v>0.67260970661288866</v>
      </c>
      <c r="DD150">
        <f t="shared" si="93"/>
        <v>3</v>
      </c>
      <c r="DE150" s="129">
        <f t="shared" si="169"/>
        <v>39847</v>
      </c>
      <c r="DF150" s="161">
        <f t="shared" si="94"/>
        <v>0</v>
      </c>
      <c r="DG150" s="161">
        <f t="shared" si="95"/>
        <v>0</v>
      </c>
      <c r="DH150" s="161">
        <f t="shared" si="96"/>
        <v>0</v>
      </c>
      <c r="DI150" s="161">
        <f t="shared" si="97"/>
        <v>0</v>
      </c>
      <c r="DJ150" s="161">
        <f t="shared" si="98"/>
        <v>0</v>
      </c>
      <c r="DK150" s="161">
        <f t="shared" si="99"/>
        <v>0</v>
      </c>
      <c r="DL150" s="161">
        <f t="shared" si="100"/>
        <v>0</v>
      </c>
      <c r="DM150" s="161">
        <f t="shared" si="101"/>
        <v>0</v>
      </c>
      <c r="DN150" s="161">
        <f t="shared" si="102"/>
        <v>0</v>
      </c>
      <c r="DO150" s="161">
        <f t="shared" si="103"/>
        <v>0</v>
      </c>
      <c r="DP150" s="161">
        <f t="shared" si="104"/>
        <v>0</v>
      </c>
      <c r="DQ150" s="161">
        <f t="shared" si="105"/>
        <v>0</v>
      </c>
      <c r="DR150" s="161">
        <f t="shared" si="106"/>
        <v>0</v>
      </c>
      <c r="DS150" s="161">
        <f t="shared" si="107"/>
        <v>0</v>
      </c>
      <c r="DT150" s="161">
        <f t="shared" si="108"/>
        <v>0</v>
      </c>
      <c r="DU150" s="161">
        <f t="shared" si="109"/>
        <v>0</v>
      </c>
      <c r="DV150" s="161">
        <f t="shared" si="110"/>
        <v>0</v>
      </c>
      <c r="DW150" s="161">
        <f t="shared" si="111"/>
        <v>0</v>
      </c>
      <c r="DX150" s="161">
        <f t="shared" si="112"/>
        <v>0</v>
      </c>
      <c r="DY150" s="161">
        <f t="shared" si="113"/>
        <v>0</v>
      </c>
      <c r="DZ150" s="161">
        <f t="shared" si="114"/>
        <v>0</v>
      </c>
      <c r="EA150" s="161">
        <f t="shared" si="115"/>
        <v>0</v>
      </c>
      <c r="EB150" s="161">
        <f t="shared" si="116"/>
        <v>0</v>
      </c>
      <c r="EC150" s="161">
        <f t="shared" si="117"/>
        <v>0</v>
      </c>
      <c r="ED150" s="161">
        <f t="shared" si="118"/>
        <v>0</v>
      </c>
      <c r="EE150" s="161">
        <f t="shared" si="119"/>
        <v>0</v>
      </c>
      <c r="EF150" s="161">
        <f t="shared" si="120"/>
        <v>0</v>
      </c>
      <c r="EG150" s="161">
        <f t="shared" si="121"/>
        <v>0</v>
      </c>
      <c r="EH150" s="161">
        <f t="shared" si="122"/>
        <v>0</v>
      </c>
      <c r="EI150" s="161">
        <f t="shared" si="123"/>
        <v>0</v>
      </c>
      <c r="EJ150" s="161">
        <f t="shared" si="124"/>
        <v>0</v>
      </c>
      <c r="EK150" s="147">
        <f t="shared" si="132"/>
        <v>0</v>
      </c>
      <c r="EL150" s="149"/>
      <c r="EN150" s="151"/>
      <c r="EO150" s="151"/>
      <c r="EP150" s="139">
        <f t="shared" si="133"/>
        <v>0</v>
      </c>
      <c r="EQ150" s="139">
        <f t="shared" si="134"/>
        <v>0</v>
      </c>
      <c r="ER150" s="139">
        <f t="shared" si="135"/>
        <v>0</v>
      </c>
      <c r="ES150" s="139">
        <f t="shared" si="136"/>
        <v>0</v>
      </c>
      <c r="ET150" s="139">
        <f t="shared" si="137"/>
        <v>0</v>
      </c>
      <c r="EU150" s="139">
        <f t="shared" si="138"/>
        <v>0</v>
      </c>
      <c r="EV150" s="139">
        <f t="shared" si="139"/>
        <v>0</v>
      </c>
      <c r="EW150" s="139">
        <f t="shared" si="140"/>
        <v>0</v>
      </c>
      <c r="EX150" s="139">
        <f t="shared" si="141"/>
        <v>0</v>
      </c>
      <c r="EY150" s="139">
        <f t="shared" si="142"/>
        <v>0</v>
      </c>
      <c r="EZ150" s="139">
        <f t="shared" si="143"/>
        <v>0</v>
      </c>
      <c r="FA150" s="139">
        <f t="shared" si="144"/>
        <v>0</v>
      </c>
      <c r="FB150" s="139">
        <f t="shared" si="145"/>
        <v>0</v>
      </c>
      <c r="FC150" s="139">
        <f t="shared" si="146"/>
        <v>0</v>
      </c>
      <c r="FD150" s="139">
        <f t="shared" si="147"/>
        <v>0</v>
      </c>
      <c r="FE150" s="139">
        <f t="shared" si="148"/>
        <v>0</v>
      </c>
      <c r="FF150" s="139">
        <f t="shared" si="149"/>
        <v>0</v>
      </c>
      <c r="FG150" s="139">
        <f t="shared" si="150"/>
        <v>0</v>
      </c>
      <c r="FH150" s="139">
        <f t="shared" si="151"/>
        <v>0</v>
      </c>
      <c r="FI150" s="139">
        <f t="shared" si="152"/>
        <v>0</v>
      </c>
      <c r="FJ150" s="139">
        <f t="shared" si="153"/>
        <v>0</v>
      </c>
      <c r="FK150" s="139">
        <f t="shared" si="154"/>
        <v>0</v>
      </c>
      <c r="FL150" s="139">
        <f t="shared" si="155"/>
        <v>0</v>
      </c>
      <c r="FM150" s="139">
        <f t="shared" si="156"/>
        <v>0</v>
      </c>
      <c r="FN150" s="139">
        <f t="shared" si="157"/>
        <v>0</v>
      </c>
      <c r="FO150" s="139">
        <f t="shared" si="158"/>
        <v>0</v>
      </c>
      <c r="FP150" s="139">
        <f t="shared" si="159"/>
        <v>0</v>
      </c>
      <c r="FQ150" s="139">
        <f t="shared" si="160"/>
        <v>0</v>
      </c>
      <c r="FR150" s="139">
        <f t="shared" si="161"/>
        <v>0</v>
      </c>
      <c r="FS150" s="139">
        <f t="shared" si="162"/>
        <v>0</v>
      </c>
      <c r="FT150" s="139">
        <f t="shared" si="163"/>
        <v>0</v>
      </c>
      <c r="FU150" s="148">
        <f t="shared" si="164"/>
        <v>0</v>
      </c>
      <c r="FV150" s="149"/>
      <c r="FY150" s="210">
        <v>145</v>
      </c>
      <c r="FZ150">
        <v>32.639860800918726</v>
      </c>
      <c r="GA150">
        <v>64.851374359942028</v>
      </c>
      <c r="GB150">
        <v>35.253978976865056</v>
      </c>
      <c r="GC150">
        <v>8.792453110368383</v>
      </c>
      <c r="GD150">
        <v>4.9264985207931744</v>
      </c>
      <c r="GE150">
        <v>5.3978362975963154</v>
      </c>
      <c r="GF150">
        <v>10.027128723009055</v>
      </c>
      <c r="GG150">
        <v>29.306287992236587</v>
      </c>
      <c r="GH150">
        <v>34.56984151063655</v>
      </c>
      <c r="GI150">
        <v>34.136959141962016</v>
      </c>
      <c r="GJ150"/>
      <c r="GK150"/>
      <c r="GL150"/>
      <c r="GM150"/>
    </row>
    <row r="151" spans="1:195" s="7" customFormat="1">
      <c r="A151" s="77"/>
      <c r="B151" s="76">
        <f t="shared" ca="1" si="131"/>
        <v>0.34370376481215015</v>
      </c>
      <c r="C151">
        <v>4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47.078812866738573</v>
      </c>
      <c r="AO151">
        <v>67.846220898775712</v>
      </c>
      <c r="AP151">
        <v>486.42663539974512</v>
      </c>
      <c r="AQ151">
        <v>199.73337874003022</v>
      </c>
      <c r="AR151">
        <v>64.510301893666394</v>
      </c>
      <c r="AS151">
        <v>471.71809189131483</v>
      </c>
      <c r="AT151">
        <v>26.133603607334795</v>
      </c>
      <c r="AU151">
        <v>-16.070514874278892</v>
      </c>
      <c r="AV151"/>
      <c r="AW151"/>
      <c r="AX151" s="151"/>
      <c r="AY151" s="76">
        <f t="shared" ca="1" si="87"/>
        <v>0.85844124081918149</v>
      </c>
      <c r="AZ151">
        <v>4</v>
      </c>
      <c r="BA151" s="129">
        <f t="shared" si="170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89"/>
        <v>0.40107445771362027</v>
      </c>
      <c r="CL151" s="179">
        <f t="shared" si="90"/>
        <v>4</v>
      </c>
      <c r="CM151" s="180">
        <f t="shared" si="91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2"/>
        <v>9.6000000000000002E-2</v>
      </c>
      <c r="DB151" s="151"/>
      <c r="DC151" s="76">
        <f t="shared" ca="1" si="50"/>
        <v>0.72850381252676621</v>
      </c>
      <c r="DD151">
        <f t="shared" si="93"/>
        <v>4</v>
      </c>
      <c r="DE151" s="129">
        <f t="shared" si="169"/>
        <v>39847</v>
      </c>
      <c r="DF151" s="161">
        <f t="shared" si="94"/>
        <v>0</v>
      </c>
      <c r="DG151" s="161">
        <f t="shared" si="95"/>
        <v>0</v>
      </c>
      <c r="DH151" s="161">
        <f t="shared" si="96"/>
        <v>0</v>
      </c>
      <c r="DI151" s="161">
        <f t="shared" si="97"/>
        <v>0</v>
      </c>
      <c r="DJ151" s="161">
        <f t="shared" si="98"/>
        <v>0</v>
      </c>
      <c r="DK151" s="161">
        <f t="shared" si="99"/>
        <v>0</v>
      </c>
      <c r="DL151" s="161">
        <f t="shared" si="100"/>
        <v>0</v>
      </c>
      <c r="DM151" s="161">
        <f t="shared" si="101"/>
        <v>0</v>
      </c>
      <c r="DN151" s="161">
        <f t="shared" si="102"/>
        <v>0</v>
      </c>
      <c r="DO151" s="161">
        <f t="shared" si="103"/>
        <v>0</v>
      </c>
      <c r="DP151" s="161">
        <f t="shared" si="104"/>
        <v>0</v>
      </c>
      <c r="DQ151" s="161">
        <f t="shared" si="105"/>
        <v>0</v>
      </c>
      <c r="DR151" s="161">
        <f t="shared" si="106"/>
        <v>0</v>
      </c>
      <c r="DS151" s="161">
        <f t="shared" si="107"/>
        <v>0</v>
      </c>
      <c r="DT151" s="161">
        <f t="shared" si="108"/>
        <v>0</v>
      </c>
      <c r="DU151" s="161">
        <f t="shared" si="109"/>
        <v>0</v>
      </c>
      <c r="DV151" s="161">
        <f t="shared" si="110"/>
        <v>0</v>
      </c>
      <c r="DW151" s="161">
        <f t="shared" si="111"/>
        <v>0</v>
      </c>
      <c r="DX151" s="161">
        <f t="shared" si="112"/>
        <v>0</v>
      </c>
      <c r="DY151" s="161">
        <f t="shared" si="113"/>
        <v>0</v>
      </c>
      <c r="DZ151" s="161">
        <f t="shared" si="114"/>
        <v>0</v>
      </c>
      <c r="EA151" s="161">
        <f t="shared" si="115"/>
        <v>0</v>
      </c>
      <c r="EB151" s="161">
        <f t="shared" si="116"/>
        <v>0</v>
      </c>
      <c r="EC151" s="161">
        <f t="shared" si="117"/>
        <v>0</v>
      </c>
      <c r="ED151" s="161">
        <f t="shared" si="118"/>
        <v>0</v>
      </c>
      <c r="EE151" s="161">
        <f t="shared" si="119"/>
        <v>0</v>
      </c>
      <c r="EF151" s="161">
        <f t="shared" si="120"/>
        <v>0</v>
      </c>
      <c r="EG151" s="161">
        <f t="shared" si="121"/>
        <v>0</v>
      </c>
      <c r="EH151" s="161">
        <f t="shared" si="122"/>
        <v>0</v>
      </c>
      <c r="EI151" s="161">
        <f t="shared" si="123"/>
        <v>0</v>
      </c>
      <c r="EJ151" s="161">
        <f t="shared" si="124"/>
        <v>0</v>
      </c>
      <c r="EK151" s="147">
        <f t="shared" si="132"/>
        <v>0</v>
      </c>
      <c r="EL151" s="149"/>
      <c r="EN151" s="151"/>
      <c r="EO151" s="151"/>
      <c r="EP151" s="139">
        <f t="shared" si="133"/>
        <v>0</v>
      </c>
      <c r="EQ151" s="139">
        <f t="shared" si="134"/>
        <v>0</v>
      </c>
      <c r="ER151" s="139">
        <f t="shared" si="135"/>
        <v>0</v>
      </c>
      <c r="ES151" s="139">
        <f t="shared" si="136"/>
        <v>0</v>
      </c>
      <c r="ET151" s="139">
        <f t="shared" si="137"/>
        <v>0</v>
      </c>
      <c r="EU151" s="139">
        <f t="shared" si="138"/>
        <v>0</v>
      </c>
      <c r="EV151" s="139">
        <f t="shared" si="139"/>
        <v>0</v>
      </c>
      <c r="EW151" s="139">
        <f t="shared" si="140"/>
        <v>0</v>
      </c>
      <c r="EX151" s="139">
        <f t="shared" si="141"/>
        <v>0</v>
      </c>
      <c r="EY151" s="139">
        <f t="shared" si="142"/>
        <v>0</v>
      </c>
      <c r="EZ151" s="139">
        <f t="shared" si="143"/>
        <v>0</v>
      </c>
      <c r="FA151" s="139">
        <f t="shared" si="144"/>
        <v>0</v>
      </c>
      <c r="FB151" s="139">
        <f t="shared" si="145"/>
        <v>0</v>
      </c>
      <c r="FC151" s="139">
        <f t="shared" si="146"/>
        <v>0</v>
      </c>
      <c r="FD151" s="139">
        <f t="shared" si="147"/>
        <v>0</v>
      </c>
      <c r="FE151" s="139">
        <f t="shared" si="148"/>
        <v>0</v>
      </c>
      <c r="FF151" s="139">
        <f t="shared" si="149"/>
        <v>0</v>
      </c>
      <c r="FG151" s="139">
        <f t="shared" si="150"/>
        <v>0</v>
      </c>
      <c r="FH151" s="139">
        <f t="shared" si="151"/>
        <v>0</v>
      </c>
      <c r="FI151" s="139">
        <f t="shared" si="152"/>
        <v>0</v>
      </c>
      <c r="FJ151" s="139">
        <f t="shared" si="153"/>
        <v>0</v>
      </c>
      <c r="FK151" s="139">
        <f t="shared" si="154"/>
        <v>0</v>
      </c>
      <c r="FL151" s="139">
        <f t="shared" si="155"/>
        <v>0</v>
      </c>
      <c r="FM151" s="139">
        <f t="shared" si="156"/>
        <v>0</v>
      </c>
      <c r="FN151" s="139">
        <f t="shared" si="157"/>
        <v>0</v>
      </c>
      <c r="FO151" s="139">
        <f t="shared" si="158"/>
        <v>0</v>
      </c>
      <c r="FP151" s="139">
        <f t="shared" si="159"/>
        <v>0</v>
      </c>
      <c r="FQ151" s="139">
        <f t="shared" si="160"/>
        <v>0</v>
      </c>
      <c r="FR151" s="139">
        <f t="shared" si="161"/>
        <v>0</v>
      </c>
      <c r="FS151" s="139">
        <f t="shared" si="162"/>
        <v>0</v>
      </c>
      <c r="FT151" s="139">
        <f t="shared" si="163"/>
        <v>0</v>
      </c>
      <c r="FU151" s="148">
        <f t="shared" si="164"/>
        <v>0</v>
      </c>
      <c r="FV151" s="149"/>
      <c r="FY151" s="210">
        <v>146</v>
      </c>
      <c r="FZ151">
        <v>25.51449563751871</v>
      </c>
      <c r="GA151">
        <v>70.450137848207362</v>
      </c>
      <c r="GB151">
        <v>34.479994856871755</v>
      </c>
      <c r="GC151">
        <v>11.081602828109613</v>
      </c>
      <c r="GD151">
        <v>6.3008584103932339</v>
      </c>
      <c r="GE151">
        <v>5.5376480445859011</v>
      </c>
      <c r="GF151">
        <v>14.648891256417128</v>
      </c>
      <c r="GG151">
        <v>23.197722857050383</v>
      </c>
      <c r="GH151">
        <v>18.030750345643121</v>
      </c>
      <c r="GI151">
        <v>33.979628054666414</v>
      </c>
      <c r="GJ151"/>
      <c r="GK151"/>
      <c r="GL151"/>
      <c r="GM151"/>
    </row>
    <row r="152" spans="1:195" s="7" customFormat="1">
      <c r="A152" s="77"/>
      <c r="B152" s="76">
        <f t="shared" ref="B152:B183" ca="1" si="171">IF(C152="", "", RAND())</f>
        <v>1.0416798655318971E-2</v>
      </c>
      <c r="C152">
        <v>7</v>
      </c>
      <c r="D152">
        <v>39847</v>
      </c>
      <c r="E152">
        <v>0</v>
      </c>
      <c r="F152">
        <v>0</v>
      </c>
      <c r="G152">
        <v>0</v>
      </c>
      <c r="H152">
        <v>10.416666666666666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60.866902633065934</v>
      </c>
      <c r="AO152">
        <v>65.551787093286208</v>
      </c>
      <c r="AP152">
        <v>522.93809868410017</v>
      </c>
      <c r="AQ152">
        <v>234.06083654800059</v>
      </c>
      <c r="AR152">
        <v>61.125638844741665</v>
      </c>
      <c r="AS152">
        <v>372.3255250346358</v>
      </c>
      <c r="AT152">
        <v>25.916805344166637</v>
      </c>
      <c r="AU152">
        <v>34.906107581627623</v>
      </c>
      <c r="AV152"/>
      <c r="AW152"/>
      <c r="AX152" s="151"/>
      <c r="AY152" s="76">
        <f t="shared" ref="AY152:AY207" ca="1" si="172">IF(AZ152="", "", RAND())</f>
        <v>0.91158600891261266</v>
      </c>
      <c r="AZ152">
        <v>5</v>
      </c>
      <c r="BA152" s="129">
        <f t="shared" si="170"/>
        <v>39847</v>
      </c>
      <c r="BB152">
        <v>0</v>
      </c>
      <c r="BC152"/>
      <c r="BD152"/>
      <c r="BE152"/>
      <c r="BF152"/>
      <c r="BG152"/>
      <c r="BH152"/>
      <c r="BI152"/>
      <c r="BJ152"/>
      <c r="BK152"/>
      <c r="BL152">
        <v>1</v>
      </c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9"/>
        <v>0.47549335869042864</v>
      </c>
      <c r="CL152" s="179">
        <f t="shared" si="90"/>
        <v>5</v>
      </c>
      <c r="CM152" s="180">
        <f t="shared" si="91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3">IF(DD152="", "", RAND())</f>
        <v>2.5836177420827333E-2</v>
      </c>
      <c r="DD152">
        <f t="shared" si="93"/>
        <v>5</v>
      </c>
      <c r="DE152" s="129">
        <f t="shared" si="169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0</v>
      </c>
      <c r="DK152" s="161">
        <f t="shared" si="99"/>
        <v>0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10.416666666666666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4">IF(DF152="", "", SUM(DF152:EJ152))</f>
        <v>10.416666666666666</v>
      </c>
      <c r="EL152" s="149"/>
      <c r="EN152" s="151"/>
      <c r="EO152" s="151"/>
      <c r="EP152" s="139">
        <f t="shared" ref="EP152:EP183" si="175">IF(DF152="", "", DF152*G$36)</f>
        <v>0</v>
      </c>
      <c r="EQ152" s="139">
        <f t="shared" ref="EQ152:EQ183" si="176">IF(DG152="", "", DG152*H$36)</f>
        <v>0</v>
      </c>
      <c r="ER152" s="139">
        <f t="shared" ref="ER152:ER183" si="177">IF(DH152="", "", DH152*I$36)</f>
        <v>0</v>
      </c>
      <c r="ES152" s="139">
        <f t="shared" ref="ES152:ES183" si="178">IF(DI152="", "", DI152*J$36)</f>
        <v>0</v>
      </c>
      <c r="ET152" s="139">
        <f t="shared" ref="ET152:ET183" si="179">IF(DJ152="", "", DJ152*K$36)</f>
        <v>0</v>
      </c>
      <c r="EU152" s="139">
        <f t="shared" ref="EU152:EU183" si="180">IF(DK152="", "", DK152*L$36)</f>
        <v>0</v>
      </c>
      <c r="EV152" s="139">
        <f t="shared" ref="EV152:EV183" si="181">IF(DL152="", "", DL152*M$36)</f>
        <v>0</v>
      </c>
      <c r="EW152" s="139">
        <f t="shared" ref="EW152:EW183" si="182">IF(DM152="", "", DM152*N$36)</f>
        <v>0</v>
      </c>
      <c r="EX152" s="139">
        <f t="shared" ref="EX152:EX183" si="183">IF(DN152="", "", DN152*O$36)</f>
        <v>0</v>
      </c>
      <c r="EY152" s="139">
        <f t="shared" ref="EY152:EY183" si="184">IF(DO152="", "", DO152*P$36)</f>
        <v>0</v>
      </c>
      <c r="EZ152" s="139">
        <f t="shared" ref="EZ152:EZ183" si="185">IF(DP152="", "", DP152*Q$36)</f>
        <v>28.028926904981219</v>
      </c>
      <c r="FA152" s="139">
        <f t="shared" ref="FA152:FA183" si="186">IF(DQ152="", "", DQ152*R$36)</f>
        <v>0</v>
      </c>
      <c r="FB152" s="139">
        <f t="shared" ref="FB152:FB183" si="187">IF(DR152="", "", DR152*S$36)</f>
        <v>0</v>
      </c>
      <c r="FC152" s="139">
        <f t="shared" ref="FC152:FC183" si="188">IF(DS152="", "", DS152*T$36)</f>
        <v>0</v>
      </c>
      <c r="FD152" s="139">
        <f t="shared" ref="FD152:FD183" si="189">IF(DT152="", "", DT152*U$36)</f>
        <v>0</v>
      </c>
      <c r="FE152" s="139">
        <f t="shared" ref="FE152:FE183" si="190">IF(DU152="", "", DU152*V$36)</f>
        <v>0</v>
      </c>
      <c r="FF152" s="139">
        <f t="shared" ref="FF152:FF183" si="191">IF(DV152="", "", DV152*W$36)</f>
        <v>0</v>
      </c>
      <c r="FG152" s="139">
        <f t="shared" ref="FG152:FG183" si="192">IF(DW152="", "", DW152*X$36)</f>
        <v>0</v>
      </c>
      <c r="FH152" s="139">
        <f t="shared" ref="FH152:FH183" si="193">IF(DX152="", "", DX152*Y$36)</f>
        <v>0</v>
      </c>
      <c r="FI152" s="139">
        <f t="shared" ref="FI152:FI183" si="194">IF(DY152="", "", DY152*Z$36)</f>
        <v>0</v>
      </c>
      <c r="FJ152" s="139">
        <f t="shared" ref="FJ152:FJ183" si="195">IF(DZ152="", "", DZ152*AA$36)</f>
        <v>0</v>
      </c>
      <c r="FK152" s="139">
        <f t="shared" ref="FK152:FK183" si="196">IF(EA152="", "", EA152*AB$36)</f>
        <v>0</v>
      </c>
      <c r="FL152" s="139">
        <f t="shared" ref="FL152:FL183" si="197">IF(EB152="", "", EB152*AC$36)</f>
        <v>0</v>
      </c>
      <c r="FM152" s="139">
        <f t="shared" ref="FM152:FM183" si="198">IF(EC152="", "", EC152*AD$36)</f>
        <v>0</v>
      </c>
      <c r="FN152" s="139">
        <f t="shared" ref="FN152:FN183" si="199">IF(ED152="", "", ED152*AE$36)</f>
        <v>0</v>
      </c>
      <c r="FO152" s="139">
        <f t="shared" ref="FO152:FO183" si="200">IF(EE152="", "", EE152*AF$36)</f>
        <v>0</v>
      </c>
      <c r="FP152" s="139">
        <f t="shared" ref="FP152:FP183" si="201">IF(EF152="", "", EF152*AG$36)</f>
        <v>0</v>
      </c>
      <c r="FQ152" s="139">
        <f t="shared" ref="FQ152:FQ183" si="202">IF(EG152="", "", EG152*AH$36)</f>
        <v>0</v>
      </c>
      <c r="FR152" s="139">
        <f t="shared" ref="FR152:FR183" si="203">IF(EH152="", "", EH152*AI$36)</f>
        <v>0</v>
      </c>
      <c r="FS152" s="139">
        <f t="shared" ref="FS152:FS183" si="204">IF(EI152="", "", EI152*AJ$36)</f>
        <v>0</v>
      </c>
      <c r="FT152" s="139">
        <f t="shared" ref="FT152:FT183" si="205">IF(EJ152="", "", EJ152*AK$36)</f>
        <v>0</v>
      </c>
      <c r="FU152" s="148">
        <f t="shared" ref="FU152:FU183" si="206">IF(EP152="","",SUM(EP152:FT152))</f>
        <v>28.028926904981219</v>
      </c>
      <c r="FV152" s="149"/>
      <c r="FY152" s="210">
        <v>147</v>
      </c>
      <c r="FZ152">
        <v>20.267085129647064</v>
      </c>
      <c r="GA152">
        <v>61.049623103064945</v>
      </c>
      <c r="GB152">
        <v>40.06414137617957</v>
      </c>
      <c r="GC152">
        <v>10.974285366427718</v>
      </c>
      <c r="GD152">
        <v>4.7558891871235041</v>
      </c>
      <c r="GE152">
        <v>3.7499365950268029</v>
      </c>
      <c r="GF152">
        <v>8.7055316663425248</v>
      </c>
      <c r="GG152">
        <v>11.089388394398574</v>
      </c>
      <c r="GH152">
        <v>9.9573393458935051</v>
      </c>
      <c r="GI152">
        <v>34.213044863081514</v>
      </c>
      <c r="GJ152"/>
      <c r="GK152"/>
      <c r="GL152"/>
      <c r="GM152"/>
    </row>
    <row r="153" spans="1:195" s="7" customFormat="1">
      <c r="A153" s="77"/>
      <c r="B153" s="76">
        <f t="shared" ca="1" si="171"/>
        <v>0.56541360011275543</v>
      </c>
      <c r="C153">
        <v>1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10.416666666666666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10.416666666666666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36.168777859701578</v>
      </c>
      <c r="AO153">
        <v>42.069480055021799</v>
      </c>
      <c r="AP153">
        <v>316.50940454809302</v>
      </c>
      <c r="AQ153">
        <v>146.25353978480524</v>
      </c>
      <c r="AR153">
        <v>40.910949199493359</v>
      </c>
      <c r="AS153">
        <v>199.39474880949172</v>
      </c>
      <c r="AT153">
        <v>18.18662013143231</v>
      </c>
      <c r="AU153">
        <v>8.1212443816378936</v>
      </c>
      <c r="AV153"/>
      <c r="AW153"/>
      <c r="AX153" s="151"/>
      <c r="AY153" s="76">
        <f t="shared" ca="1" si="172"/>
        <v>0.42394543998991985</v>
      </c>
      <c r="AZ153">
        <v>6</v>
      </c>
      <c r="BA153" s="129">
        <f t="shared" si="170"/>
        <v>39847</v>
      </c>
      <c r="BB153">
        <v>0</v>
      </c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7">IF(AZ153="", "", RAND())</f>
        <v>0.15100669435640768</v>
      </c>
      <c r="CL153" s="179">
        <f t="shared" ref="CL153:CL207" si="208">IF(AZ153="", "", AZ153)</f>
        <v>6</v>
      </c>
      <c r="CM153" s="180">
        <f t="shared" ref="CM153:CM207" si="209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10">IF(AZ153="", "", $G$15)</f>
        <v>9.6000000000000002E-2</v>
      </c>
      <c r="DB153" s="151"/>
      <c r="DC153" s="76">
        <f t="shared" ca="1" si="173"/>
        <v>0.48755798949460516</v>
      </c>
      <c r="DD153">
        <f t="shared" ref="DD153:DD207" si="211">IF(AZ153="", "", AZ153)</f>
        <v>6</v>
      </c>
      <c r="DE153" s="129">
        <f t="shared" si="169"/>
        <v>39847</v>
      </c>
      <c r="DF153" s="161">
        <f t="shared" ref="DF153:DF187" si="212">IF($AZ153="", "", ((BB153*$CW153)+(CN153*$CX153))/$CZ153)</f>
        <v>0</v>
      </c>
      <c r="DG153" s="161">
        <f t="shared" ref="DG153:DG187" si="213">IF($AZ153="", "", ((BC153*$CW153)+(CO153*$CX153))/$CZ153)</f>
        <v>0</v>
      </c>
      <c r="DH153" s="161">
        <f t="shared" ref="DH153:DH187" si="214">IF($AZ153="", "", ((BD153*$CW153)+(CP153*$CX153))/$CZ153)</f>
        <v>0</v>
      </c>
      <c r="DI153" s="161">
        <f t="shared" ref="DI153:DI187" si="215">IF($AZ153="", "", ((BE153*$CW153)+(CQ153*$CX153))/$CZ153)</f>
        <v>0</v>
      </c>
      <c r="DJ153" s="161">
        <f t="shared" ref="DJ153:DJ187" si="216">IF($AZ153="", "", ((BF153*$CW153)+(CR153*$CX153))/$CZ153)</f>
        <v>0</v>
      </c>
      <c r="DK153" s="161">
        <f t="shared" ref="DK153:DK187" si="217">IF($AZ153="", "", ((BG153*$CW153)+(CS153*$CX153))/$CZ153)</f>
        <v>0</v>
      </c>
      <c r="DL153" s="161">
        <f t="shared" ref="DL153:DL187" si="218">IF($AZ153="", "", ((BH153*$CW153)+(CT153*$CX153))/$CZ153)</f>
        <v>0</v>
      </c>
      <c r="DM153" s="161">
        <f t="shared" ref="DM153:DM187" si="219">IF($AZ153="", "", ((BI153*$CW153)+(CU153*$CX153))/$CZ153)</f>
        <v>0</v>
      </c>
      <c r="DN153" s="161">
        <f t="shared" ref="DN153:DN187" si="220">IF($AZ153="", "", (BJ153*$CW153)/$CZ153)</f>
        <v>0</v>
      </c>
      <c r="DO153" s="161">
        <f t="shared" ref="DO153:DO187" si="221">IF($AZ153="", "", (BK153*$CW153)/$CZ153)</f>
        <v>0</v>
      </c>
      <c r="DP153" s="161">
        <f t="shared" ref="DP153:DP187" si="222">IF($AZ153="", "", (BL153*$CW153)/$CZ153)</f>
        <v>0</v>
      </c>
      <c r="DQ153" s="161">
        <f t="shared" ref="DQ153:DQ187" si="223">IF($AZ153="", "", (BM153*$CW153)/$CZ153)</f>
        <v>0</v>
      </c>
      <c r="DR153" s="161">
        <f t="shared" ref="DR153:DR187" si="224">IF($AZ153="", "", (BN153*$CW153)/$CZ153)</f>
        <v>0</v>
      </c>
      <c r="DS153" s="161">
        <f t="shared" ref="DS153:DS187" si="225">IF($AZ153="", "", (BO153*$CW153)/$CZ153)</f>
        <v>0</v>
      </c>
      <c r="DT153" s="161">
        <f t="shared" ref="DT153:DT187" si="226">IF($AZ153="", "", (BP153*$CW153)/$CZ153)</f>
        <v>0</v>
      </c>
      <c r="DU153" s="161">
        <f t="shared" ref="DU153:DU187" si="227">IF($AZ153="", "", (BQ153*$CW153)/$CZ153)</f>
        <v>0</v>
      </c>
      <c r="DV153" s="161">
        <f t="shared" ref="DV153:DV187" si="228">IF($AZ153="", "", (BR153*$CW153)/$CZ153)</f>
        <v>0</v>
      </c>
      <c r="DW153" s="161">
        <f t="shared" ref="DW153:DW187" si="229">IF($AZ153="", "", (BS153*$CW153)/$CZ153)</f>
        <v>0</v>
      </c>
      <c r="DX153" s="161">
        <f t="shared" ref="DX153:DX187" si="230">IF($AZ153="", "", (BT153*$CW153)/$CZ153)</f>
        <v>0</v>
      </c>
      <c r="DY153" s="161">
        <f t="shared" ref="DY153:DY187" si="231">IF($AZ153="", "", (BU153*$CW153)/$CZ153)</f>
        <v>0</v>
      </c>
      <c r="DZ153" s="161">
        <f t="shared" ref="DZ153:DZ187" si="232">IF($AZ153="", "", (BV153*$CW153)/$CZ153)</f>
        <v>0</v>
      </c>
      <c r="EA153" s="161">
        <f t="shared" ref="EA153:EA187" si="233">IF($AZ153="", "", (BW153*$CW153)/$CZ153)</f>
        <v>0</v>
      </c>
      <c r="EB153" s="161">
        <f t="shared" ref="EB153:EB187" si="234">IF($AZ153="", "", (BX153*$CW153)/$CZ153)</f>
        <v>0</v>
      </c>
      <c r="EC153" s="161">
        <f t="shared" ref="EC153:EC187" si="235">IF($AZ153="", "", (BY153*$CW153)/$CZ153)</f>
        <v>0</v>
      </c>
      <c r="ED153" s="161">
        <f t="shared" ref="ED153:ED187" si="236">IF($AZ153="", "", (BZ153*$CW153)/$CZ153)</f>
        <v>0</v>
      </c>
      <c r="EE153" s="161">
        <f t="shared" ref="EE153:EE187" si="237">IF($AZ153="", "", (CA153*$CW153)/$CZ153)</f>
        <v>0</v>
      </c>
      <c r="EF153" s="161">
        <f t="shared" ref="EF153:EF187" si="238">IF($AZ153="", "", (CB153*$CW153)/$CZ153)</f>
        <v>0</v>
      </c>
      <c r="EG153" s="161">
        <f t="shared" ref="EG153:EG187" si="239">IF($AZ153="", "", (CC153*$CW153)/$CZ153)</f>
        <v>0</v>
      </c>
      <c r="EH153" s="161">
        <f t="shared" ref="EH153:EH187" si="240">IF($AZ153="", "", (CD153*$CW153)/$CZ153)</f>
        <v>0</v>
      </c>
      <c r="EI153" s="161">
        <f t="shared" ref="EI153:EI187" si="241">IF($AZ153="", "", (CE153*$CW153)/$CZ153)</f>
        <v>0</v>
      </c>
      <c r="EJ153" s="161">
        <f t="shared" ref="EJ153:EJ187" si="242">IF($AZ153="", "", (CF153*$CW153)/$CZ153)</f>
        <v>0</v>
      </c>
      <c r="EK153" s="147">
        <f t="shared" si="174"/>
        <v>0</v>
      </c>
      <c r="EL153" s="149"/>
      <c r="EN153" s="151"/>
      <c r="EO153" s="151"/>
      <c r="EP153" s="139">
        <f t="shared" si="175"/>
        <v>0</v>
      </c>
      <c r="EQ153" s="139">
        <f t="shared" si="176"/>
        <v>0</v>
      </c>
      <c r="ER153" s="139">
        <f t="shared" si="177"/>
        <v>0</v>
      </c>
      <c r="ES153" s="139">
        <f t="shared" si="178"/>
        <v>0</v>
      </c>
      <c r="ET153" s="139">
        <f t="shared" si="179"/>
        <v>0</v>
      </c>
      <c r="EU153" s="139">
        <f t="shared" si="180"/>
        <v>0</v>
      </c>
      <c r="EV153" s="139">
        <f t="shared" si="181"/>
        <v>0</v>
      </c>
      <c r="EW153" s="139">
        <f t="shared" si="182"/>
        <v>0</v>
      </c>
      <c r="EX153" s="139">
        <f t="shared" si="183"/>
        <v>0</v>
      </c>
      <c r="EY153" s="139">
        <f t="shared" si="184"/>
        <v>0</v>
      </c>
      <c r="EZ153" s="139">
        <f t="shared" si="185"/>
        <v>0</v>
      </c>
      <c r="FA153" s="139">
        <f t="shared" si="186"/>
        <v>0</v>
      </c>
      <c r="FB153" s="139">
        <f t="shared" si="187"/>
        <v>0</v>
      </c>
      <c r="FC153" s="139">
        <f t="shared" si="188"/>
        <v>0</v>
      </c>
      <c r="FD153" s="139">
        <f t="shared" si="189"/>
        <v>0</v>
      </c>
      <c r="FE153" s="139">
        <f t="shared" si="190"/>
        <v>0</v>
      </c>
      <c r="FF153" s="139">
        <f t="shared" si="191"/>
        <v>0</v>
      </c>
      <c r="FG153" s="139">
        <f t="shared" si="192"/>
        <v>0</v>
      </c>
      <c r="FH153" s="139">
        <f t="shared" si="193"/>
        <v>0</v>
      </c>
      <c r="FI153" s="139">
        <f t="shared" si="194"/>
        <v>0</v>
      </c>
      <c r="FJ153" s="139">
        <f t="shared" si="195"/>
        <v>0</v>
      </c>
      <c r="FK153" s="139">
        <f t="shared" si="196"/>
        <v>0</v>
      </c>
      <c r="FL153" s="139">
        <f t="shared" si="197"/>
        <v>0</v>
      </c>
      <c r="FM153" s="139">
        <f t="shared" si="198"/>
        <v>0</v>
      </c>
      <c r="FN153" s="139">
        <f t="shared" si="199"/>
        <v>0</v>
      </c>
      <c r="FO153" s="139">
        <f t="shared" si="200"/>
        <v>0</v>
      </c>
      <c r="FP153" s="139">
        <f t="shared" si="201"/>
        <v>0</v>
      </c>
      <c r="FQ153" s="139">
        <f t="shared" si="202"/>
        <v>0</v>
      </c>
      <c r="FR153" s="139">
        <f t="shared" si="203"/>
        <v>0</v>
      </c>
      <c r="FS153" s="139">
        <f t="shared" si="204"/>
        <v>0</v>
      </c>
      <c r="FT153" s="139">
        <f t="shared" si="205"/>
        <v>0</v>
      </c>
      <c r="FU153" s="148">
        <f t="shared" si="206"/>
        <v>0</v>
      </c>
      <c r="FV153" s="149"/>
      <c r="FY153" s="210">
        <v>148</v>
      </c>
      <c r="FZ153">
        <v>31.620887195592058</v>
      </c>
      <c r="GA153">
        <v>57.887055158427295</v>
      </c>
      <c r="GB153">
        <v>39.216433202606268</v>
      </c>
      <c r="GC153">
        <v>14.589404027323621</v>
      </c>
      <c r="GD153">
        <v>10.291231866092016</v>
      </c>
      <c r="GE153">
        <v>11.843078777663997</v>
      </c>
      <c r="GF153">
        <v>6.9868229575332563</v>
      </c>
      <c r="GG153">
        <v>10.278435520608852</v>
      </c>
      <c r="GH153">
        <v>14.430562719058791</v>
      </c>
      <c r="GI153">
        <v>38.766468722938086</v>
      </c>
      <c r="GJ153"/>
      <c r="GK153"/>
      <c r="GL153"/>
      <c r="GM153"/>
    </row>
    <row r="154" spans="1:195" s="7" customFormat="1">
      <c r="A154" s="77"/>
      <c r="B154" s="76">
        <f t="shared" ca="1" si="171"/>
        <v>1.3144999171228022E-2</v>
      </c>
      <c r="C154">
        <v>2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34.722222222222221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52.783577768392391</v>
      </c>
      <c r="AO154">
        <v>72.708308464133694</v>
      </c>
      <c r="AP154">
        <v>527.00632344054748</v>
      </c>
      <c r="AQ154">
        <v>217.71910816926646</v>
      </c>
      <c r="AR154">
        <v>67.854218422466232</v>
      </c>
      <c r="AS154">
        <v>432.03464014491607</v>
      </c>
      <c r="AT154">
        <v>26.540437769389268</v>
      </c>
      <c r="AU154">
        <v>-28.567953232325557</v>
      </c>
      <c r="AV154"/>
      <c r="AW154"/>
      <c r="AX154" s="151"/>
      <c r="AY154" s="76">
        <f t="shared" ca="1" si="172"/>
        <v>0.64402354741913026</v>
      </c>
      <c r="AZ154">
        <v>7</v>
      </c>
      <c r="BA154" s="129">
        <f t="shared" si="170"/>
        <v>39847</v>
      </c>
      <c r="BB154">
        <v>0</v>
      </c>
      <c r="BC154"/>
      <c r="BD154"/>
      <c r="BE154">
        <v>1</v>
      </c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7"/>
        <v>6.8586182940378215E-2</v>
      </c>
      <c r="CL154" s="179">
        <f t="shared" si="208"/>
        <v>7</v>
      </c>
      <c r="CM154" s="180">
        <f t="shared" si="209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10"/>
        <v>9.6000000000000002E-2</v>
      </c>
      <c r="DB154" s="151"/>
      <c r="DC154" s="76">
        <f t="shared" ca="1" si="173"/>
        <v>0.58969003969230993</v>
      </c>
      <c r="DD154">
        <f t="shared" si="211"/>
        <v>7</v>
      </c>
      <c r="DE154" s="129">
        <f t="shared" si="169"/>
        <v>39847</v>
      </c>
      <c r="DF154" s="161">
        <f t="shared" si="212"/>
        <v>0</v>
      </c>
      <c r="DG154" s="161">
        <f t="shared" si="213"/>
        <v>0</v>
      </c>
      <c r="DH154" s="161">
        <f t="shared" si="214"/>
        <v>0</v>
      </c>
      <c r="DI154" s="161">
        <f t="shared" si="215"/>
        <v>10.416666666666666</v>
      </c>
      <c r="DJ154" s="161">
        <f t="shared" si="216"/>
        <v>0</v>
      </c>
      <c r="DK154" s="161">
        <f t="shared" si="217"/>
        <v>0</v>
      </c>
      <c r="DL154" s="161">
        <f t="shared" si="218"/>
        <v>0</v>
      </c>
      <c r="DM154" s="161">
        <f t="shared" si="219"/>
        <v>0</v>
      </c>
      <c r="DN154" s="161">
        <f t="shared" si="220"/>
        <v>0</v>
      </c>
      <c r="DO154" s="161">
        <f t="shared" si="221"/>
        <v>0</v>
      </c>
      <c r="DP154" s="161">
        <f t="shared" si="222"/>
        <v>0</v>
      </c>
      <c r="DQ154" s="161">
        <f t="shared" si="223"/>
        <v>0</v>
      </c>
      <c r="DR154" s="161">
        <f t="shared" si="224"/>
        <v>0</v>
      </c>
      <c r="DS154" s="161">
        <f t="shared" si="225"/>
        <v>0</v>
      </c>
      <c r="DT154" s="161">
        <f t="shared" si="226"/>
        <v>0</v>
      </c>
      <c r="DU154" s="161">
        <f t="shared" si="227"/>
        <v>0</v>
      </c>
      <c r="DV154" s="161">
        <f t="shared" si="228"/>
        <v>0</v>
      </c>
      <c r="DW154" s="161">
        <f t="shared" si="229"/>
        <v>0</v>
      </c>
      <c r="DX154" s="161">
        <f t="shared" si="230"/>
        <v>0</v>
      </c>
      <c r="DY154" s="161">
        <f t="shared" si="231"/>
        <v>0</v>
      </c>
      <c r="DZ154" s="161">
        <f t="shared" si="232"/>
        <v>0</v>
      </c>
      <c r="EA154" s="161">
        <f t="shared" si="233"/>
        <v>0</v>
      </c>
      <c r="EB154" s="161">
        <f t="shared" si="234"/>
        <v>0</v>
      </c>
      <c r="EC154" s="161">
        <f t="shared" si="235"/>
        <v>0</v>
      </c>
      <c r="ED154" s="161">
        <f t="shared" si="236"/>
        <v>0</v>
      </c>
      <c r="EE154" s="161">
        <f t="shared" si="237"/>
        <v>0</v>
      </c>
      <c r="EF154" s="161">
        <f t="shared" si="238"/>
        <v>0</v>
      </c>
      <c r="EG154" s="161">
        <f t="shared" si="239"/>
        <v>0</v>
      </c>
      <c r="EH154" s="161">
        <f t="shared" si="240"/>
        <v>0</v>
      </c>
      <c r="EI154" s="161">
        <f t="shared" si="241"/>
        <v>0</v>
      </c>
      <c r="EJ154" s="161">
        <f t="shared" si="242"/>
        <v>0</v>
      </c>
      <c r="EK154" s="147">
        <f t="shared" si="174"/>
        <v>10.416666666666666</v>
      </c>
      <c r="EL154" s="149"/>
      <c r="EN154" s="151"/>
      <c r="EO154" s="151"/>
      <c r="EP154" s="139">
        <f t="shared" si="175"/>
        <v>0</v>
      </c>
      <c r="EQ154" s="139">
        <f t="shared" si="176"/>
        <v>0</v>
      </c>
      <c r="ER154" s="139">
        <f t="shared" si="177"/>
        <v>0</v>
      </c>
      <c r="ES154" s="139">
        <f t="shared" si="178"/>
        <v>1.4153608636727069</v>
      </c>
      <c r="ET154" s="139">
        <f t="shared" si="179"/>
        <v>0</v>
      </c>
      <c r="EU154" s="139">
        <f t="shared" si="180"/>
        <v>0</v>
      </c>
      <c r="EV154" s="139">
        <f t="shared" si="181"/>
        <v>0</v>
      </c>
      <c r="EW154" s="139">
        <f t="shared" si="182"/>
        <v>0</v>
      </c>
      <c r="EX154" s="139">
        <f t="shared" si="183"/>
        <v>0</v>
      </c>
      <c r="EY154" s="139">
        <f t="shared" si="184"/>
        <v>0</v>
      </c>
      <c r="EZ154" s="139">
        <f t="shared" si="185"/>
        <v>0</v>
      </c>
      <c r="FA154" s="139">
        <f t="shared" si="186"/>
        <v>0</v>
      </c>
      <c r="FB154" s="139">
        <f t="shared" si="187"/>
        <v>0</v>
      </c>
      <c r="FC154" s="139">
        <f t="shared" si="188"/>
        <v>0</v>
      </c>
      <c r="FD154" s="139">
        <f t="shared" si="189"/>
        <v>0</v>
      </c>
      <c r="FE154" s="139">
        <f t="shared" si="190"/>
        <v>0</v>
      </c>
      <c r="FF154" s="139">
        <f t="shared" si="191"/>
        <v>0</v>
      </c>
      <c r="FG154" s="139">
        <f t="shared" si="192"/>
        <v>0</v>
      </c>
      <c r="FH154" s="139">
        <f t="shared" si="193"/>
        <v>0</v>
      </c>
      <c r="FI154" s="139">
        <f t="shared" si="194"/>
        <v>0</v>
      </c>
      <c r="FJ154" s="139">
        <f t="shared" si="195"/>
        <v>0</v>
      </c>
      <c r="FK154" s="139">
        <f t="shared" si="196"/>
        <v>0</v>
      </c>
      <c r="FL154" s="139">
        <f t="shared" si="197"/>
        <v>0</v>
      </c>
      <c r="FM154" s="139">
        <f t="shared" si="198"/>
        <v>0</v>
      </c>
      <c r="FN154" s="139">
        <f t="shared" si="199"/>
        <v>0</v>
      </c>
      <c r="FO154" s="139">
        <f t="shared" si="200"/>
        <v>0</v>
      </c>
      <c r="FP154" s="139">
        <f t="shared" si="201"/>
        <v>0</v>
      </c>
      <c r="FQ154" s="139">
        <f t="shared" si="202"/>
        <v>0</v>
      </c>
      <c r="FR154" s="139">
        <f t="shared" si="203"/>
        <v>0</v>
      </c>
      <c r="FS154" s="139">
        <f t="shared" si="204"/>
        <v>0</v>
      </c>
      <c r="FT154" s="139">
        <f t="shared" si="205"/>
        <v>0</v>
      </c>
      <c r="FU154" s="148">
        <f t="shared" si="206"/>
        <v>1.4153608636727069</v>
      </c>
      <c r="FV154" s="149"/>
      <c r="FY154" s="210">
        <v>149</v>
      </c>
      <c r="FZ154">
        <v>27.4079359290002</v>
      </c>
      <c r="GA154">
        <v>57.340019647253037</v>
      </c>
      <c r="GB154">
        <v>27.975541594575468</v>
      </c>
      <c r="GC154">
        <v>9.3787508322541022</v>
      </c>
      <c r="GD154">
        <v>6.0985009576198053</v>
      </c>
      <c r="GE154">
        <v>5.3012770478567903</v>
      </c>
      <c r="GF154">
        <v>12.248265517810678</v>
      </c>
      <c r="GG154">
        <v>25.365149396163527</v>
      </c>
      <c r="GH154">
        <v>19.253398832841686</v>
      </c>
      <c r="GI154">
        <v>32.074581010879605</v>
      </c>
      <c r="GJ154"/>
      <c r="GK154"/>
      <c r="GL154"/>
      <c r="GM154"/>
    </row>
    <row r="155" spans="1:195" s="7" customFormat="1">
      <c r="A155" s="77"/>
      <c r="B155" s="76">
        <f t="shared" ca="1" si="171"/>
        <v>0.33934570126458929</v>
      </c>
      <c r="C155">
        <v>3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45.70198250487703</v>
      </c>
      <c r="AO155">
        <v>64.01839417520803</v>
      </c>
      <c r="AP155">
        <v>465.51794786769381</v>
      </c>
      <c r="AQ155">
        <v>205.94126222313511</v>
      </c>
      <c r="AR155">
        <v>59.584775915712498</v>
      </c>
      <c r="AS155">
        <v>266.31848563998074</v>
      </c>
      <c r="AT155">
        <v>25.336149024657079</v>
      </c>
      <c r="AU155">
        <v>17.096195798439965</v>
      </c>
      <c r="AV155"/>
      <c r="AW155"/>
      <c r="AX155" s="151"/>
      <c r="AY155" s="76">
        <f t="shared" ca="1" si="172"/>
        <v>0.76564160272771997</v>
      </c>
      <c r="AZ155">
        <v>8</v>
      </c>
      <c r="BA155" s="129">
        <f t="shared" si="170"/>
        <v>39847</v>
      </c>
      <c r="BB155">
        <v>0</v>
      </c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7"/>
        <v>0.86295637888891474</v>
      </c>
      <c r="CL155" s="179">
        <f t="shared" si="208"/>
        <v>8</v>
      </c>
      <c r="CM155" s="180">
        <f t="shared" si="209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10"/>
        <v>9.6000000000000002E-2</v>
      </c>
      <c r="DB155" s="151"/>
      <c r="DC155" s="76">
        <f t="shared" ca="1" si="173"/>
        <v>0.36107157342196161</v>
      </c>
      <c r="DD155">
        <f t="shared" si="211"/>
        <v>8</v>
      </c>
      <c r="DE155" s="129">
        <f t="shared" si="169"/>
        <v>39847</v>
      </c>
      <c r="DF155" s="161">
        <f t="shared" si="212"/>
        <v>0</v>
      </c>
      <c r="DG155" s="161">
        <f t="shared" si="213"/>
        <v>0</v>
      </c>
      <c r="DH155" s="161">
        <f t="shared" si="214"/>
        <v>0</v>
      </c>
      <c r="DI155" s="161">
        <f t="shared" si="215"/>
        <v>0</v>
      </c>
      <c r="DJ155" s="161">
        <f t="shared" si="216"/>
        <v>0</v>
      </c>
      <c r="DK155" s="161">
        <f t="shared" si="217"/>
        <v>0</v>
      </c>
      <c r="DL155" s="161">
        <f t="shared" si="218"/>
        <v>0</v>
      </c>
      <c r="DM155" s="161">
        <f t="shared" si="219"/>
        <v>0</v>
      </c>
      <c r="DN155" s="161">
        <f t="shared" si="220"/>
        <v>0</v>
      </c>
      <c r="DO155" s="161">
        <f t="shared" si="221"/>
        <v>0</v>
      </c>
      <c r="DP155" s="161">
        <f t="shared" si="222"/>
        <v>0</v>
      </c>
      <c r="DQ155" s="161">
        <f t="shared" si="223"/>
        <v>0</v>
      </c>
      <c r="DR155" s="161">
        <f t="shared" si="224"/>
        <v>0</v>
      </c>
      <c r="DS155" s="161">
        <f t="shared" si="225"/>
        <v>0</v>
      </c>
      <c r="DT155" s="161">
        <f t="shared" si="226"/>
        <v>0</v>
      </c>
      <c r="DU155" s="161">
        <f t="shared" si="227"/>
        <v>0</v>
      </c>
      <c r="DV155" s="161">
        <f t="shared" si="228"/>
        <v>0</v>
      </c>
      <c r="DW155" s="161">
        <f t="shared" si="229"/>
        <v>0</v>
      </c>
      <c r="DX155" s="161">
        <f t="shared" si="230"/>
        <v>0</v>
      </c>
      <c r="DY155" s="161">
        <f t="shared" si="231"/>
        <v>0</v>
      </c>
      <c r="DZ155" s="161">
        <f t="shared" si="232"/>
        <v>0</v>
      </c>
      <c r="EA155" s="161">
        <f t="shared" si="233"/>
        <v>0</v>
      </c>
      <c r="EB155" s="161">
        <f t="shared" si="234"/>
        <v>0</v>
      </c>
      <c r="EC155" s="161">
        <f t="shared" si="235"/>
        <v>0</v>
      </c>
      <c r="ED155" s="161">
        <f t="shared" si="236"/>
        <v>0</v>
      </c>
      <c r="EE155" s="161">
        <f t="shared" si="237"/>
        <v>0</v>
      </c>
      <c r="EF155" s="161">
        <f t="shared" si="238"/>
        <v>0</v>
      </c>
      <c r="EG155" s="161">
        <f t="shared" si="239"/>
        <v>0</v>
      </c>
      <c r="EH155" s="161">
        <f t="shared" si="240"/>
        <v>0</v>
      </c>
      <c r="EI155" s="161">
        <f t="shared" si="241"/>
        <v>0</v>
      </c>
      <c r="EJ155" s="161">
        <f t="shared" si="242"/>
        <v>0</v>
      </c>
      <c r="EK155" s="147">
        <f t="shared" si="174"/>
        <v>0</v>
      </c>
      <c r="EL155" s="149"/>
      <c r="EN155" s="151"/>
      <c r="EO155" s="151"/>
      <c r="EP155" s="139">
        <f t="shared" si="175"/>
        <v>0</v>
      </c>
      <c r="EQ155" s="139">
        <f t="shared" si="176"/>
        <v>0</v>
      </c>
      <c r="ER155" s="139">
        <f t="shared" si="177"/>
        <v>0</v>
      </c>
      <c r="ES155" s="139">
        <f t="shared" si="178"/>
        <v>0</v>
      </c>
      <c r="ET155" s="139">
        <f t="shared" si="179"/>
        <v>0</v>
      </c>
      <c r="EU155" s="139">
        <f t="shared" si="180"/>
        <v>0</v>
      </c>
      <c r="EV155" s="139">
        <f t="shared" si="181"/>
        <v>0</v>
      </c>
      <c r="EW155" s="139">
        <f t="shared" si="182"/>
        <v>0</v>
      </c>
      <c r="EX155" s="139">
        <f t="shared" si="183"/>
        <v>0</v>
      </c>
      <c r="EY155" s="139">
        <f t="shared" si="184"/>
        <v>0</v>
      </c>
      <c r="EZ155" s="139">
        <f t="shared" si="185"/>
        <v>0</v>
      </c>
      <c r="FA155" s="139">
        <f t="shared" si="186"/>
        <v>0</v>
      </c>
      <c r="FB155" s="139">
        <f t="shared" si="187"/>
        <v>0</v>
      </c>
      <c r="FC155" s="139">
        <f t="shared" si="188"/>
        <v>0</v>
      </c>
      <c r="FD155" s="139">
        <f t="shared" si="189"/>
        <v>0</v>
      </c>
      <c r="FE155" s="139">
        <f t="shared" si="190"/>
        <v>0</v>
      </c>
      <c r="FF155" s="139">
        <f t="shared" si="191"/>
        <v>0</v>
      </c>
      <c r="FG155" s="139">
        <f t="shared" si="192"/>
        <v>0</v>
      </c>
      <c r="FH155" s="139">
        <f t="shared" si="193"/>
        <v>0</v>
      </c>
      <c r="FI155" s="139">
        <f t="shared" si="194"/>
        <v>0</v>
      </c>
      <c r="FJ155" s="139">
        <f t="shared" si="195"/>
        <v>0</v>
      </c>
      <c r="FK155" s="139">
        <f t="shared" si="196"/>
        <v>0</v>
      </c>
      <c r="FL155" s="139">
        <f t="shared" si="197"/>
        <v>0</v>
      </c>
      <c r="FM155" s="139">
        <f t="shared" si="198"/>
        <v>0</v>
      </c>
      <c r="FN155" s="139">
        <f t="shared" si="199"/>
        <v>0</v>
      </c>
      <c r="FO155" s="139">
        <f t="shared" si="200"/>
        <v>0</v>
      </c>
      <c r="FP155" s="139">
        <f t="shared" si="201"/>
        <v>0</v>
      </c>
      <c r="FQ155" s="139">
        <f t="shared" si="202"/>
        <v>0</v>
      </c>
      <c r="FR155" s="139">
        <f t="shared" si="203"/>
        <v>0</v>
      </c>
      <c r="FS155" s="139">
        <f t="shared" si="204"/>
        <v>0</v>
      </c>
      <c r="FT155" s="139">
        <f t="shared" si="205"/>
        <v>0</v>
      </c>
      <c r="FU155" s="148">
        <f t="shared" si="206"/>
        <v>0</v>
      </c>
      <c r="FV155" s="149"/>
      <c r="FY155" s="210">
        <v>150</v>
      </c>
      <c r="FZ155">
        <v>25.664763926738633</v>
      </c>
      <c r="GA155">
        <v>44.004865278775625</v>
      </c>
      <c r="GB155">
        <v>29.302277950060549</v>
      </c>
      <c r="GC155">
        <v>11.409369159466767</v>
      </c>
      <c r="GD155">
        <v>7.7742023439683452</v>
      </c>
      <c r="GE155">
        <v>9.4148850011975433</v>
      </c>
      <c r="GF155">
        <v>7.9241166279476376</v>
      </c>
      <c r="GG155">
        <v>13.350843310668274</v>
      </c>
      <c r="GH155">
        <v>11.17113068021143</v>
      </c>
      <c r="GI155">
        <v>30.171667084423941</v>
      </c>
      <c r="GJ155"/>
      <c r="GK155"/>
      <c r="GL155"/>
      <c r="GM155"/>
    </row>
    <row r="156" spans="1:195" s="7" customFormat="1">
      <c r="A156" s="77"/>
      <c r="B156" s="76">
        <f t="shared" ca="1" si="171"/>
        <v>0.80965978147959849</v>
      </c>
      <c r="C156">
        <v>6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66.438834365312886</v>
      </c>
      <c r="AO156">
        <v>96.189176793971527</v>
      </c>
      <c r="AP156">
        <v>691.48343557952819</v>
      </c>
      <c r="AQ156">
        <v>243.72918453126414</v>
      </c>
      <c r="AR156">
        <v>89.991963537479194</v>
      </c>
      <c r="AS156">
        <v>514.52615871227169</v>
      </c>
      <c r="AT156">
        <v>34.104596102286166</v>
      </c>
      <c r="AU156">
        <v>17.697112057163903</v>
      </c>
      <c r="AV156"/>
      <c r="AW156"/>
      <c r="AX156" s="151"/>
      <c r="AY156" s="76">
        <f t="shared" ca="1" si="172"/>
        <v>6.7891855598682938E-2</v>
      </c>
      <c r="AZ156">
        <v>9</v>
      </c>
      <c r="BA156" s="129">
        <f t="shared" si="170"/>
        <v>39847</v>
      </c>
      <c r="BB156">
        <v>0</v>
      </c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7"/>
        <v>0.30661109555512156</v>
      </c>
      <c r="CL156" s="179">
        <f t="shared" si="208"/>
        <v>9</v>
      </c>
      <c r="CM156" s="180">
        <f t="shared" si="209"/>
        <v>39847</v>
      </c>
      <c r="CN156" s="220">
        <v>0</v>
      </c>
      <c r="CO156"/>
      <c r="CP156"/>
      <c r="CQ156">
        <v>1</v>
      </c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10"/>
        <v>9.6000000000000002E-2</v>
      </c>
      <c r="DB156" s="151"/>
      <c r="DC156" s="76">
        <f t="shared" ca="1" si="173"/>
        <v>0.6353764552200154</v>
      </c>
      <c r="DD156">
        <f t="shared" si="211"/>
        <v>9</v>
      </c>
      <c r="DE156" s="129">
        <f t="shared" si="169"/>
        <v>39847</v>
      </c>
      <c r="DF156" s="161">
        <f t="shared" si="212"/>
        <v>0</v>
      </c>
      <c r="DG156" s="161">
        <f t="shared" si="213"/>
        <v>0</v>
      </c>
      <c r="DH156" s="161">
        <f t="shared" si="214"/>
        <v>0</v>
      </c>
      <c r="DI156" s="161">
        <f t="shared" si="215"/>
        <v>65.104166666666671</v>
      </c>
      <c r="DJ156" s="161">
        <f t="shared" si="216"/>
        <v>0</v>
      </c>
      <c r="DK156" s="161">
        <f t="shared" si="217"/>
        <v>0</v>
      </c>
      <c r="DL156" s="161">
        <f t="shared" si="218"/>
        <v>0</v>
      </c>
      <c r="DM156" s="161">
        <f t="shared" si="219"/>
        <v>0</v>
      </c>
      <c r="DN156" s="161">
        <f t="shared" si="220"/>
        <v>0</v>
      </c>
      <c r="DO156" s="161">
        <f t="shared" si="221"/>
        <v>0</v>
      </c>
      <c r="DP156" s="161">
        <f t="shared" si="222"/>
        <v>0</v>
      </c>
      <c r="DQ156" s="161">
        <f t="shared" si="223"/>
        <v>0</v>
      </c>
      <c r="DR156" s="161">
        <f t="shared" si="224"/>
        <v>0</v>
      </c>
      <c r="DS156" s="161">
        <f t="shared" si="225"/>
        <v>0</v>
      </c>
      <c r="DT156" s="161">
        <f t="shared" si="226"/>
        <v>0</v>
      </c>
      <c r="DU156" s="161">
        <f t="shared" si="227"/>
        <v>0</v>
      </c>
      <c r="DV156" s="161">
        <f t="shared" si="228"/>
        <v>0</v>
      </c>
      <c r="DW156" s="161">
        <f t="shared" si="229"/>
        <v>0</v>
      </c>
      <c r="DX156" s="161">
        <f t="shared" si="230"/>
        <v>0</v>
      </c>
      <c r="DY156" s="161">
        <f t="shared" si="231"/>
        <v>0</v>
      </c>
      <c r="DZ156" s="161">
        <f t="shared" si="232"/>
        <v>0</v>
      </c>
      <c r="EA156" s="161">
        <f t="shared" si="233"/>
        <v>0</v>
      </c>
      <c r="EB156" s="161">
        <f t="shared" si="234"/>
        <v>0</v>
      </c>
      <c r="EC156" s="161">
        <f t="shared" si="235"/>
        <v>0</v>
      </c>
      <c r="ED156" s="161">
        <f t="shared" si="236"/>
        <v>0</v>
      </c>
      <c r="EE156" s="161">
        <f t="shared" si="237"/>
        <v>0</v>
      </c>
      <c r="EF156" s="161">
        <f t="shared" si="238"/>
        <v>0</v>
      </c>
      <c r="EG156" s="161">
        <f t="shared" si="239"/>
        <v>0</v>
      </c>
      <c r="EH156" s="161">
        <f t="shared" si="240"/>
        <v>0</v>
      </c>
      <c r="EI156" s="161">
        <f t="shared" si="241"/>
        <v>0</v>
      </c>
      <c r="EJ156" s="161">
        <f t="shared" si="242"/>
        <v>0</v>
      </c>
      <c r="EK156" s="147">
        <f t="shared" si="174"/>
        <v>65.104166666666671</v>
      </c>
      <c r="EL156" s="149"/>
      <c r="EN156" s="151"/>
      <c r="EO156" s="151"/>
      <c r="EP156" s="139">
        <f t="shared" si="175"/>
        <v>0</v>
      </c>
      <c r="EQ156" s="139">
        <f t="shared" si="176"/>
        <v>0</v>
      </c>
      <c r="ER156" s="139">
        <f t="shared" si="177"/>
        <v>0</v>
      </c>
      <c r="ES156" s="139">
        <f t="shared" si="178"/>
        <v>8.8460053979544195</v>
      </c>
      <c r="ET156" s="139">
        <f t="shared" si="179"/>
        <v>0</v>
      </c>
      <c r="EU156" s="139">
        <f t="shared" si="180"/>
        <v>0</v>
      </c>
      <c r="EV156" s="139">
        <f t="shared" si="181"/>
        <v>0</v>
      </c>
      <c r="EW156" s="139">
        <f t="shared" si="182"/>
        <v>0</v>
      </c>
      <c r="EX156" s="139">
        <f t="shared" si="183"/>
        <v>0</v>
      </c>
      <c r="EY156" s="139">
        <f t="shared" si="184"/>
        <v>0</v>
      </c>
      <c r="EZ156" s="139">
        <f t="shared" si="185"/>
        <v>0</v>
      </c>
      <c r="FA156" s="139">
        <f t="shared" si="186"/>
        <v>0</v>
      </c>
      <c r="FB156" s="139">
        <f t="shared" si="187"/>
        <v>0</v>
      </c>
      <c r="FC156" s="139">
        <f t="shared" si="188"/>
        <v>0</v>
      </c>
      <c r="FD156" s="139">
        <f t="shared" si="189"/>
        <v>0</v>
      </c>
      <c r="FE156" s="139">
        <f t="shared" si="190"/>
        <v>0</v>
      </c>
      <c r="FF156" s="139">
        <f t="shared" si="191"/>
        <v>0</v>
      </c>
      <c r="FG156" s="139">
        <f t="shared" si="192"/>
        <v>0</v>
      </c>
      <c r="FH156" s="139">
        <f t="shared" si="193"/>
        <v>0</v>
      </c>
      <c r="FI156" s="139">
        <f t="shared" si="194"/>
        <v>0</v>
      </c>
      <c r="FJ156" s="139">
        <f t="shared" si="195"/>
        <v>0</v>
      </c>
      <c r="FK156" s="139">
        <f t="shared" si="196"/>
        <v>0</v>
      </c>
      <c r="FL156" s="139">
        <f t="shared" si="197"/>
        <v>0</v>
      </c>
      <c r="FM156" s="139">
        <f t="shared" si="198"/>
        <v>0</v>
      </c>
      <c r="FN156" s="139">
        <f t="shared" si="199"/>
        <v>0</v>
      </c>
      <c r="FO156" s="139">
        <f t="shared" si="200"/>
        <v>0</v>
      </c>
      <c r="FP156" s="139">
        <f t="shared" si="201"/>
        <v>0</v>
      </c>
      <c r="FQ156" s="139">
        <f t="shared" si="202"/>
        <v>0</v>
      </c>
      <c r="FR156" s="139">
        <f t="shared" si="203"/>
        <v>0</v>
      </c>
      <c r="FS156" s="139">
        <f t="shared" si="204"/>
        <v>0</v>
      </c>
      <c r="FT156" s="139">
        <f t="shared" si="205"/>
        <v>0</v>
      </c>
      <c r="FU156" s="148">
        <f t="shared" si="206"/>
        <v>8.8460053979544195</v>
      </c>
      <c r="FV156" s="149"/>
      <c r="FY156" s="210">
        <v>151</v>
      </c>
      <c r="FZ156">
        <v>22.411596208587831</v>
      </c>
      <c r="GA156">
        <v>48.917273801658361</v>
      </c>
      <c r="GB156">
        <v>19.692497925066924</v>
      </c>
      <c r="GC156">
        <v>6.7125479727137733</v>
      </c>
      <c r="GD156">
        <v>5.0140528057195723</v>
      </c>
      <c r="GE156">
        <v>6.917214851319331</v>
      </c>
      <c r="GF156">
        <v>11.296800431768013</v>
      </c>
      <c r="GG156">
        <v>17.060556828944474</v>
      </c>
      <c r="GH156">
        <v>22.903323404067084</v>
      </c>
      <c r="GI156">
        <v>26.384600987058228</v>
      </c>
      <c r="GJ156"/>
      <c r="GK156"/>
      <c r="GL156"/>
      <c r="GM156"/>
    </row>
    <row r="157" spans="1:195" s="7" customFormat="1">
      <c r="A157" s="77"/>
      <c r="B157" s="76">
        <f t="shared" ca="1" si="171"/>
        <v>0.65262597493644692</v>
      </c>
      <c r="C157">
        <v>8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60.459717824782977</v>
      </c>
      <c r="AO157">
        <v>57.380875100825662</v>
      </c>
      <c r="AP157">
        <v>424.3683018531305</v>
      </c>
      <c r="AQ157">
        <v>182.30043504021808</v>
      </c>
      <c r="AR157">
        <v>54.66782844573077</v>
      </c>
      <c r="AS157">
        <v>324.44903400604591</v>
      </c>
      <c r="AT157">
        <v>21.529008445156034</v>
      </c>
      <c r="AU157">
        <v>4.4133377043813464</v>
      </c>
      <c r="AV157"/>
      <c r="AW157"/>
      <c r="AX157" s="151"/>
      <c r="AY157" s="76">
        <f t="shared" ca="1" si="172"/>
        <v>0.41984676744144367</v>
      </c>
      <c r="AZ157">
        <v>10</v>
      </c>
      <c r="BA157" s="129">
        <f t="shared" si="170"/>
        <v>39847</v>
      </c>
      <c r="BB157">
        <v>0</v>
      </c>
      <c r="BC157"/>
      <c r="BD157"/>
      <c r="BE157"/>
      <c r="BF157"/>
      <c r="BG157"/>
      <c r="BH157"/>
      <c r="BI157"/>
      <c r="BJ157"/>
      <c r="BK157"/>
      <c r="BL157"/>
      <c r="BM157"/>
      <c r="BN157"/>
      <c r="BO157">
        <v>1</v>
      </c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7"/>
        <v>0.99548748449280478</v>
      </c>
      <c r="CL157" s="179">
        <f t="shared" si="208"/>
        <v>10</v>
      </c>
      <c r="CM157" s="180">
        <f t="shared" si="209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10"/>
        <v>9.6000000000000002E-2</v>
      </c>
      <c r="DB157" s="151"/>
      <c r="DC157" s="76">
        <f t="shared" ca="1" si="173"/>
        <v>0.21768098337693953</v>
      </c>
      <c r="DD157">
        <f t="shared" si="211"/>
        <v>10</v>
      </c>
      <c r="DE157" s="129">
        <f t="shared" si="169"/>
        <v>39847</v>
      </c>
      <c r="DF157" s="161">
        <f t="shared" si="212"/>
        <v>0</v>
      </c>
      <c r="DG157" s="161">
        <f t="shared" si="213"/>
        <v>0</v>
      </c>
      <c r="DH157" s="161">
        <f t="shared" si="214"/>
        <v>0</v>
      </c>
      <c r="DI157" s="161">
        <f t="shared" si="215"/>
        <v>0</v>
      </c>
      <c r="DJ157" s="161">
        <f t="shared" si="216"/>
        <v>0</v>
      </c>
      <c r="DK157" s="161">
        <f t="shared" si="217"/>
        <v>0</v>
      </c>
      <c r="DL157" s="161">
        <f t="shared" si="218"/>
        <v>0</v>
      </c>
      <c r="DM157" s="161">
        <f t="shared" si="219"/>
        <v>0</v>
      </c>
      <c r="DN157" s="161">
        <f t="shared" si="220"/>
        <v>0</v>
      </c>
      <c r="DO157" s="161">
        <f t="shared" si="221"/>
        <v>0</v>
      </c>
      <c r="DP157" s="161">
        <f t="shared" si="222"/>
        <v>0</v>
      </c>
      <c r="DQ157" s="161">
        <f t="shared" si="223"/>
        <v>0</v>
      </c>
      <c r="DR157" s="161">
        <f t="shared" si="224"/>
        <v>0</v>
      </c>
      <c r="DS157" s="161">
        <f t="shared" si="225"/>
        <v>10.416666666666666</v>
      </c>
      <c r="DT157" s="161">
        <f t="shared" si="226"/>
        <v>0</v>
      </c>
      <c r="DU157" s="161">
        <f t="shared" si="227"/>
        <v>0</v>
      </c>
      <c r="DV157" s="161">
        <f t="shared" si="228"/>
        <v>0</v>
      </c>
      <c r="DW157" s="161">
        <f t="shared" si="229"/>
        <v>0</v>
      </c>
      <c r="DX157" s="161">
        <f t="shared" si="230"/>
        <v>0</v>
      </c>
      <c r="DY157" s="161">
        <f t="shared" si="231"/>
        <v>0</v>
      </c>
      <c r="DZ157" s="161">
        <f t="shared" si="232"/>
        <v>0</v>
      </c>
      <c r="EA157" s="161">
        <f t="shared" si="233"/>
        <v>0</v>
      </c>
      <c r="EB157" s="161">
        <f t="shared" si="234"/>
        <v>0</v>
      </c>
      <c r="EC157" s="161">
        <f t="shared" si="235"/>
        <v>0</v>
      </c>
      <c r="ED157" s="161">
        <f t="shared" si="236"/>
        <v>0</v>
      </c>
      <c r="EE157" s="161">
        <f t="shared" si="237"/>
        <v>0</v>
      </c>
      <c r="EF157" s="161">
        <f t="shared" si="238"/>
        <v>0</v>
      </c>
      <c r="EG157" s="161">
        <f t="shared" si="239"/>
        <v>0</v>
      </c>
      <c r="EH157" s="161">
        <f t="shared" si="240"/>
        <v>0</v>
      </c>
      <c r="EI157" s="161">
        <f t="shared" si="241"/>
        <v>0</v>
      </c>
      <c r="EJ157" s="161">
        <f t="shared" si="242"/>
        <v>0</v>
      </c>
      <c r="EK157" s="147">
        <f t="shared" si="174"/>
        <v>10.416666666666666</v>
      </c>
      <c r="EL157" s="149"/>
      <c r="EN157" s="151"/>
      <c r="EO157" s="151"/>
      <c r="EP157" s="139">
        <f t="shared" si="175"/>
        <v>0</v>
      </c>
      <c r="EQ157" s="139">
        <f t="shared" si="176"/>
        <v>0</v>
      </c>
      <c r="ER157" s="139">
        <f t="shared" si="177"/>
        <v>0</v>
      </c>
      <c r="ES157" s="139">
        <f t="shared" si="178"/>
        <v>0</v>
      </c>
      <c r="ET157" s="139">
        <f t="shared" si="179"/>
        <v>0</v>
      </c>
      <c r="EU157" s="139">
        <f t="shared" si="180"/>
        <v>0</v>
      </c>
      <c r="EV157" s="139">
        <f t="shared" si="181"/>
        <v>0</v>
      </c>
      <c r="EW157" s="139">
        <f t="shared" si="182"/>
        <v>0</v>
      </c>
      <c r="EX157" s="139">
        <f t="shared" si="183"/>
        <v>0</v>
      </c>
      <c r="EY157" s="139">
        <f t="shared" si="184"/>
        <v>0</v>
      </c>
      <c r="EZ157" s="139">
        <f t="shared" si="185"/>
        <v>0</v>
      </c>
      <c r="FA157" s="139">
        <f t="shared" si="186"/>
        <v>0</v>
      </c>
      <c r="FB157" s="139">
        <f t="shared" si="187"/>
        <v>0</v>
      </c>
      <c r="FC157" s="139">
        <f t="shared" si="188"/>
        <v>53.726182714680178</v>
      </c>
      <c r="FD157" s="139">
        <f t="shared" si="189"/>
        <v>0</v>
      </c>
      <c r="FE157" s="139">
        <f t="shared" si="190"/>
        <v>0</v>
      </c>
      <c r="FF157" s="139">
        <f t="shared" si="191"/>
        <v>0</v>
      </c>
      <c r="FG157" s="139">
        <f t="shared" si="192"/>
        <v>0</v>
      </c>
      <c r="FH157" s="139">
        <f t="shared" si="193"/>
        <v>0</v>
      </c>
      <c r="FI157" s="139">
        <f t="shared" si="194"/>
        <v>0</v>
      </c>
      <c r="FJ157" s="139">
        <f t="shared" si="195"/>
        <v>0</v>
      </c>
      <c r="FK157" s="139">
        <f t="shared" si="196"/>
        <v>0</v>
      </c>
      <c r="FL157" s="139">
        <f t="shared" si="197"/>
        <v>0</v>
      </c>
      <c r="FM157" s="139">
        <f t="shared" si="198"/>
        <v>0</v>
      </c>
      <c r="FN157" s="139">
        <f t="shared" si="199"/>
        <v>0</v>
      </c>
      <c r="FO157" s="139">
        <f t="shared" si="200"/>
        <v>0</v>
      </c>
      <c r="FP157" s="139">
        <f t="shared" si="201"/>
        <v>0</v>
      </c>
      <c r="FQ157" s="139">
        <f t="shared" si="202"/>
        <v>0</v>
      </c>
      <c r="FR157" s="139">
        <f t="shared" si="203"/>
        <v>0</v>
      </c>
      <c r="FS157" s="139">
        <f t="shared" si="204"/>
        <v>0</v>
      </c>
      <c r="FT157" s="139">
        <f t="shared" si="205"/>
        <v>0</v>
      </c>
      <c r="FU157" s="148">
        <f t="shared" si="206"/>
        <v>53.726182714680178</v>
      </c>
      <c r="FV157" s="149"/>
      <c r="FY157" s="210">
        <v>152</v>
      </c>
      <c r="FZ157">
        <v>31.289075839508783</v>
      </c>
      <c r="GA157">
        <v>38.892927244152659</v>
      </c>
      <c r="GB157">
        <v>15.875340925908855</v>
      </c>
      <c r="GC157">
        <v>12.784231486055587</v>
      </c>
      <c r="GD157">
        <v>8.2127854933342768</v>
      </c>
      <c r="GE157">
        <v>5.1398888287049731</v>
      </c>
      <c r="GF157">
        <v>7.4162935362232982</v>
      </c>
      <c r="GG157">
        <v>11.165234640914987</v>
      </c>
      <c r="GH157">
        <v>11.391622681703288</v>
      </c>
      <c r="GI157">
        <v>26.20203901893327</v>
      </c>
      <c r="GJ157"/>
      <c r="GK157"/>
      <c r="GL157"/>
      <c r="GM157"/>
    </row>
    <row r="158" spans="1:195" s="7" customFormat="1">
      <c r="A158" s="128"/>
      <c r="B158" s="76">
        <f t="shared" ca="1" si="171"/>
        <v>0.70707782615659198</v>
      </c>
      <c r="C158">
        <v>2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10.416666666666666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55.725286984060872</v>
      </c>
      <c r="AO158">
        <v>66.919049591785807</v>
      </c>
      <c r="AP158">
        <v>415.46888998748318</v>
      </c>
      <c r="AQ158">
        <v>182.91807140779858</v>
      </c>
      <c r="AR158">
        <v>62.455021320416051</v>
      </c>
      <c r="AS158">
        <v>448.48519819555997</v>
      </c>
      <c r="AT158">
        <v>24.768320456089707</v>
      </c>
      <c r="AU158">
        <v>-9.4428141104696017</v>
      </c>
      <c r="AV158"/>
      <c r="AW158"/>
      <c r="AX158" s="128"/>
      <c r="AY158" s="76">
        <f t="shared" ca="1" si="172"/>
        <v>0.78045506397823683</v>
      </c>
      <c r="AZ158">
        <v>1</v>
      </c>
      <c r="BA158" s="129">
        <f>IF(AZ158="", "",$C$11)</f>
        <v>39910</v>
      </c>
      <c r="BB158">
        <v>0</v>
      </c>
      <c r="BC158"/>
      <c r="BD158"/>
      <c r="BE158">
        <v>1</v>
      </c>
      <c r="BF158"/>
      <c r="BG158"/>
      <c r="BH158"/>
      <c r="BI158"/>
      <c r="BJ158"/>
      <c r="BK158"/>
      <c r="BL158"/>
      <c r="BM158"/>
      <c r="BN158">
        <v>2</v>
      </c>
      <c r="BO158"/>
      <c r="BP158">
        <v>1</v>
      </c>
      <c r="BQ158"/>
      <c r="BR158">
        <v>1</v>
      </c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7"/>
        <v>0.80021690788140742</v>
      </c>
      <c r="CL158" s="179">
        <f t="shared" si="208"/>
        <v>1</v>
      </c>
      <c r="CM158" s="180">
        <f t="shared" si="209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10"/>
        <v>9.6000000000000002E-2</v>
      </c>
      <c r="DB158" s="128"/>
      <c r="DC158" s="76">
        <f t="shared" ca="1" si="173"/>
        <v>0.82594616756918082</v>
      </c>
      <c r="DD158">
        <f t="shared" si="211"/>
        <v>1</v>
      </c>
      <c r="DE158" s="129">
        <f t="shared" ref="DE158:DE167" si="243">IF((DD158)="", "", $C$11)</f>
        <v>39910</v>
      </c>
      <c r="DF158" s="161">
        <f t="shared" si="212"/>
        <v>0</v>
      </c>
      <c r="DG158" s="161">
        <f t="shared" si="213"/>
        <v>0</v>
      </c>
      <c r="DH158" s="161">
        <f t="shared" si="214"/>
        <v>0</v>
      </c>
      <c r="DI158" s="161">
        <f t="shared" si="215"/>
        <v>10.416666666666666</v>
      </c>
      <c r="DJ158" s="161">
        <f t="shared" si="216"/>
        <v>0</v>
      </c>
      <c r="DK158" s="161">
        <f t="shared" si="217"/>
        <v>0</v>
      </c>
      <c r="DL158" s="161">
        <f t="shared" si="218"/>
        <v>0</v>
      </c>
      <c r="DM158" s="161">
        <f t="shared" si="219"/>
        <v>0</v>
      </c>
      <c r="DN158" s="161">
        <f t="shared" si="220"/>
        <v>0</v>
      </c>
      <c r="DO158" s="161">
        <f t="shared" si="221"/>
        <v>0</v>
      </c>
      <c r="DP158" s="161">
        <f t="shared" si="222"/>
        <v>0</v>
      </c>
      <c r="DQ158" s="161">
        <f t="shared" si="223"/>
        <v>0</v>
      </c>
      <c r="DR158" s="161">
        <f t="shared" si="224"/>
        <v>20.833333333333332</v>
      </c>
      <c r="DS158" s="161">
        <f t="shared" si="225"/>
        <v>0</v>
      </c>
      <c r="DT158" s="161">
        <f t="shared" si="226"/>
        <v>10.416666666666666</v>
      </c>
      <c r="DU158" s="161">
        <f t="shared" si="227"/>
        <v>0</v>
      </c>
      <c r="DV158" s="161">
        <f t="shared" si="228"/>
        <v>10.416666666666666</v>
      </c>
      <c r="DW158" s="161">
        <f t="shared" si="229"/>
        <v>0</v>
      </c>
      <c r="DX158" s="161">
        <f t="shared" si="230"/>
        <v>0</v>
      </c>
      <c r="DY158" s="161">
        <f t="shared" si="231"/>
        <v>0</v>
      </c>
      <c r="DZ158" s="161">
        <f t="shared" si="232"/>
        <v>0</v>
      </c>
      <c r="EA158" s="161">
        <f t="shared" si="233"/>
        <v>0</v>
      </c>
      <c r="EB158" s="161">
        <f t="shared" si="234"/>
        <v>0</v>
      </c>
      <c r="EC158" s="161">
        <f t="shared" si="235"/>
        <v>0</v>
      </c>
      <c r="ED158" s="161">
        <f t="shared" si="236"/>
        <v>0</v>
      </c>
      <c r="EE158" s="161">
        <f t="shared" si="237"/>
        <v>0</v>
      </c>
      <c r="EF158" s="161">
        <f t="shared" si="238"/>
        <v>0</v>
      </c>
      <c r="EG158" s="161">
        <f t="shared" si="239"/>
        <v>0</v>
      </c>
      <c r="EH158" s="161">
        <f t="shared" si="240"/>
        <v>0</v>
      </c>
      <c r="EI158" s="161">
        <f t="shared" si="241"/>
        <v>0</v>
      </c>
      <c r="EJ158" s="161">
        <f t="shared" si="242"/>
        <v>0</v>
      </c>
      <c r="EK158" s="147">
        <f t="shared" si="174"/>
        <v>52.083333333333329</v>
      </c>
      <c r="EL158" s="149"/>
      <c r="EN158" s="146"/>
      <c r="EO158" s="146"/>
      <c r="EP158" s="139">
        <f t="shared" si="175"/>
        <v>0</v>
      </c>
      <c r="EQ158" s="139">
        <f t="shared" si="176"/>
        <v>0</v>
      </c>
      <c r="ER158" s="139">
        <f t="shared" si="177"/>
        <v>0</v>
      </c>
      <c r="ES158" s="139">
        <f t="shared" si="178"/>
        <v>1.4153608636727069</v>
      </c>
      <c r="ET158" s="139">
        <f t="shared" si="179"/>
        <v>0</v>
      </c>
      <c r="EU158" s="139">
        <f t="shared" si="180"/>
        <v>0</v>
      </c>
      <c r="EV158" s="139">
        <f t="shared" si="181"/>
        <v>0</v>
      </c>
      <c r="EW158" s="139">
        <f t="shared" si="182"/>
        <v>0</v>
      </c>
      <c r="EX158" s="139">
        <f t="shared" si="183"/>
        <v>0</v>
      </c>
      <c r="EY158" s="139">
        <f t="shared" si="184"/>
        <v>0</v>
      </c>
      <c r="EZ158" s="139">
        <f t="shared" si="185"/>
        <v>0</v>
      </c>
      <c r="FA158" s="139">
        <f t="shared" si="186"/>
        <v>0</v>
      </c>
      <c r="FB158" s="139">
        <f t="shared" si="187"/>
        <v>88.106095771198966</v>
      </c>
      <c r="FC158" s="139">
        <f t="shared" si="188"/>
        <v>0</v>
      </c>
      <c r="FD158" s="139">
        <f t="shared" si="189"/>
        <v>64.566017498318885</v>
      </c>
      <c r="FE158" s="139">
        <f t="shared" si="190"/>
        <v>0</v>
      </c>
      <c r="FF158" s="139">
        <f t="shared" si="191"/>
        <v>89.913318744800605</v>
      </c>
      <c r="FG158" s="139">
        <f t="shared" si="192"/>
        <v>0</v>
      </c>
      <c r="FH158" s="139">
        <f t="shared" si="193"/>
        <v>0</v>
      </c>
      <c r="FI158" s="139">
        <f t="shared" si="194"/>
        <v>0</v>
      </c>
      <c r="FJ158" s="139">
        <f t="shared" si="195"/>
        <v>0</v>
      </c>
      <c r="FK158" s="139">
        <f t="shared" si="196"/>
        <v>0</v>
      </c>
      <c r="FL158" s="139">
        <f t="shared" si="197"/>
        <v>0</v>
      </c>
      <c r="FM158" s="139">
        <f t="shared" si="198"/>
        <v>0</v>
      </c>
      <c r="FN158" s="139">
        <f t="shared" si="199"/>
        <v>0</v>
      </c>
      <c r="FO158" s="139">
        <f t="shared" si="200"/>
        <v>0</v>
      </c>
      <c r="FP158" s="139">
        <f t="shared" si="201"/>
        <v>0</v>
      </c>
      <c r="FQ158" s="139">
        <f t="shared" si="202"/>
        <v>0</v>
      </c>
      <c r="FR158" s="139">
        <f t="shared" si="203"/>
        <v>0</v>
      </c>
      <c r="FS158" s="139">
        <f t="shared" si="204"/>
        <v>0</v>
      </c>
      <c r="FT158" s="139">
        <f t="shared" si="205"/>
        <v>0</v>
      </c>
      <c r="FU158" s="148">
        <f t="shared" si="206"/>
        <v>244.00079287799116</v>
      </c>
      <c r="FV158" s="149"/>
      <c r="FY158" s="210">
        <v>153</v>
      </c>
      <c r="FZ158">
        <v>33.263177611052633</v>
      </c>
      <c r="GA158">
        <v>63.95834305911967</v>
      </c>
      <c r="GB158">
        <v>49.091969806877998</v>
      </c>
      <c r="GC158">
        <v>11.878192717832075</v>
      </c>
      <c r="GD158">
        <v>5.5376107822099883</v>
      </c>
      <c r="GE158">
        <v>5.7282831963288592</v>
      </c>
      <c r="GF158">
        <v>11.31275422913907</v>
      </c>
      <c r="GG158">
        <v>24.092376887162796</v>
      </c>
      <c r="GH158">
        <v>23.740756690459452</v>
      </c>
      <c r="GI158">
        <v>43.666081705794817</v>
      </c>
      <c r="GJ158"/>
      <c r="GK158"/>
      <c r="GL158"/>
      <c r="GM158"/>
    </row>
    <row r="159" spans="1:195" s="7" customFormat="1">
      <c r="A159" s="1"/>
      <c r="B159" s="76">
        <f t="shared" ca="1" si="171"/>
        <v>0.81254544077300794</v>
      </c>
      <c r="C159">
        <v>3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28.409090909090907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59.894881959492054</v>
      </c>
      <c r="AO159">
        <v>87.71325914619176</v>
      </c>
      <c r="AP159">
        <v>608.82762036801023</v>
      </c>
      <c r="AQ159">
        <v>222.90121377668819</v>
      </c>
      <c r="AR159">
        <v>81.829823743013947</v>
      </c>
      <c r="AS159">
        <v>395.74734318240456</v>
      </c>
      <c r="AT159">
        <v>31.836456878899977</v>
      </c>
      <c r="AU159">
        <v>-105.36680484815109</v>
      </c>
      <c r="AV159"/>
      <c r="AW159"/>
      <c r="AX159" s="146"/>
      <c r="AY159" s="76">
        <f t="shared" ca="1" si="172"/>
        <v>0.33043908876516892</v>
      </c>
      <c r="AZ159">
        <v>2</v>
      </c>
      <c r="BA159" s="129">
        <f t="shared" ref="BA159:BA167" si="244">IF(AZ159="", "",$C$11)</f>
        <v>39910</v>
      </c>
      <c r="BB159">
        <v>0</v>
      </c>
      <c r="BC159"/>
      <c r="BD159"/>
      <c r="BE159"/>
      <c r="BF159"/>
      <c r="BG159"/>
      <c r="BH159"/>
      <c r="BI159"/>
      <c r="BJ159"/>
      <c r="BK159">
        <v>1</v>
      </c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7"/>
        <v>0.66257791532730437</v>
      </c>
      <c r="CL159" s="179">
        <f t="shared" si="208"/>
        <v>2</v>
      </c>
      <c r="CM159" s="180">
        <f t="shared" si="209"/>
        <v>39910</v>
      </c>
      <c r="CN159" s="221">
        <v>0</v>
      </c>
      <c r="CO159" s="221"/>
      <c r="CP159" s="221"/>
      <c r="CQ159" s="221"/>
      <c r="CR159" s="221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10"/>
        <v>9.6000000000000002E-2</v>
      </c>
      <c r="DB159" s="146"/>
      <c r="DC159" s="76">
        <f t="shared" ca="1" si="173"/>
        <v>0.29300301042632437</v>
      </c>
      <c r="DD159">
        <f t="shared" si="211"/>
        <v>2</v>
      </c>
      <c r="DE159" s="129">
        <f t="shared" si="243"/>
        <v>39910</v>
      </c>
      <c r="DF159" s="161">
        <f t="shared" si="212"/>
        <v>0</v>
      </c>
      <c r="DG159" s="161">
        <f t="shared" si="213"/>
        <v>0</v>
      </c>
      <c r="DH159" s="161">
        <f t="shared" si="214"/>
        <v>0</v>
      </c>
      <c r="DI159" s="161">
        <f t="shared" si="215"/>
        <v>0</v>
      </c>
      <c r="DJ159" s="161">
        <f t="shared" si="216"/>
        <v>0</v>
      </c>
      <c r="DK159" s="161">
        <f t="shared" si="217"/>
        <v>0</v>
      </c>
      <c r="DL159" s="161">
        <f t="shared" si="218"/>
        <v>0</v>
      </c>
      <c r="DM159" s="161">
        <f t="shared" si="219"/>
        <v>0</v>
      </c>
      <c r="DN159" s="161">
        <f t="shared" si="220"/>
        <v>0</v>
      </c>
      <c r="DO159" s="161">
        <f t="shared" si="221"/>
        <v>10.416666666666666</v>
      </c>
      <c r="DP159" s="161">
        <f t="shared" si="222"/>
        <v>0</v>
      </c>
      <c r="DQ159" s="161">
        <f t="shared" si="223"/>
        <v>0</v>
      </c>
      <c r="DR159" s="161">
        <f t="shared" si="224"/>
        <v>0</v>
      </c>
      <c r="DS159" s="161">
        <f t="shared" si="225"/>
        <v>0</v>
      </c>
      <c r="DT159" s="161">
        <f t="shared" si="226"/>
        <v>0</v>
      </c>
      <c r="DU159" s="161">
        <f t="shared" si="227"/>
        <v>0</v>
      </c>
      <c r="DV159" s="161">
        <f t="shared" si="228"/>
        <v>0</v>
      </c>
      <c r="DW159" s="161">
        <f t="shared" si="229"/>
        <v>0</v>
      </c>
      <c r="DX159" s="161">
        <f t="shared" si="230"/>
        <v>0</v>
      </c>
      <c r="DY159" s="161">
        <f t="shared" si="231"/>
        <v>0</v>
      </c>
      <c r="DZ159" s="161">
        <f t="shared" si="232"/>
        <v>0</v>
      </c>
      <c r="EA159" s="161">
        <f t="shared" si="233"/>
        <v>0</v>
      </c>
      <c r="EB159" s="161">
        <f t="shared" si="234"/>
        <v>0</v>
      </c>
      <c r="EC159" s="161">
        <f t="shared" si="235"/>
        <v>0</v>
      </c>
      <c r="ED159" s="161">
        <f t="shared" si="236"/>
        <v>0</v>
      </c>
      <c r="EE159" s="161">
        <f t="shared" si="237"/>
        <v>0</v>
      </c>
      <c r="EF159" s="161">
        <f t="shared" si="238"/>
        <v>0</v>
      </c>
      <c r="EG159" s="161">
        <f t="shared" si="239"/>
        <v>0</v>
      </c>
      <c r="EH159" s="161">
        <f t="shared" si="240"/>
        <v>0</v>
      </c>
      <c r="EI159" s="161">
        <f t="shared" si="241"/>
        <v>0</v>
      </c>
      <c r="EJ159" s="161">
        <f t="shared" si="242"/>
        <v>0</v>
      </c>
      <c r="EK159" s="147">
        <f t="shared" si="174"/>
        <v>10.416666666666666</v>
      </c>
      <c r="EL159" s="149"/>
      <c r="EN159" s="146"/>
      <c r="EO159" s="146"/>
      <c r="EP159" s="139">
        <f t="shared" si="175"/>
        <v>0</v>
      </c>
      <c r="EQ159" s="139">
        <f t="shared" si="176"/>
        <v>0</v>
      </c>
      <c r="ER159" s="139">
        <f t="shared" si="177"/>
        <v>0</v>
      </c>
      <c r="ES159" s="139">
        <f t="shared" si="178"/>
        <v>0</v>
      </c>
      <c r="ET159" s="139">
        <f t="shared" si="179"/>
        <v>0</v>
      </c>
      <c r="EU159" s="139">
        <f t="shared" si="180"/>
        <v>0</v>
      </c>
      <c r="EV159" s="139">
        <f t="shared" si="181"/>
        <v>0</v>
      </c>
      <c r="EW159" s="139">
        <f t="shared" si="182"/>
        <v>0</v>
      </c>
      <c r="EX159" s="139">
        <f t="shared" si="183"/>
        <v>0</v>
      </c>
      <c r="EY159" s="139">
        <f t="shared" si="184"/>
        <v>21.583799320310842</v>
      </c>
      <c r="EZ159" s="139">
        <f t="shared" si="185"/>
        <v>0</v>
      </c>
      <c r="FA159" s="139">
        <f t="shared" si="186"/>
        <v>0</v>
      </c>
      <c r="FB159" s="139">
        <f t="shared" si="187"/>
        <v>0</v>
      </c>
      <c r="FC159" s="139">
        <f t="shared" si="188"/>
        <v>0</v>
      </c>
      <c r="FD159" s="139">
        <f t="shared" si="189"/>
        <v>0</v>
      </c>
      <c r="FE159" s="139">
        <f t="shared" si="190"/>
        <v>0</v>
      </c>
      <c r="FF159" s="139">
        <f t="shared" si="191"/>
        <v>0</v>
      </c>
      <c r="FG159" s="139">
        <f t="shared" si="192"/>
        <v>0</v>
      </c>
      <c r="FH159" s="139">
        <f t="shared" si="193"/>
        <v>0</v>
      </c>
      <c r="FI159" s="139">
        <f t="shared" si="194"/>
        <v>0</v>
      </c>
      <c r="FJ159" s="139">
        <f t="shared" si="195"/>
        <v>0</v>
      </c>
      <c r="FK159" s="139">
        <f t="shared" si="196"/>
        <v>0</v>
      </c>
      <c r="FL159" s="139">
        <f t="shared" si="197"/>
        <v>0</v>
      </c>
      <c r="FM159" s="139">
        <f t="shared" si="198"/>
        <v>0</v>
      </c>
      <c r="FN159" s="139">
        <f t="shared" si="199"/>
        <v>0</v>
      </c>
      <c r="FO159" s="139">
        <f t="shared" si="200"/>
        <v>0</v>
      </c>
      <c r="FP159" s="139">
        <f t="shared" si="201"/>
        <v>0</v>
      </c>
      <c r="FQ159" s="139">
        <f t="shared" si="202"/>
        <v>0</v>
      </c>
      <c r="FR159" s="139">
        <f t="shared" si="203"/>
        <v>0</v>
      </c>
      <c r="FS159" s="139">
        <f t="shared" si="204"/>
        <v>0</v>
      </c>
      <c r="FT159" s="139">
        <f t="shared" si="205"/>
        <v>0</v>
      </c>
      <c r="FU159" s="148">
        <f t="shared" si="206"/>
        <v>21.583799320310842</v>
      </c>
      <c r="FV159" s="149"/>
      <c r="FY159" s="210">
        <v>154</v>
      </c>
      <c r="FZ159">
        <v>15.697758602737157</v>
      </c>
      <c r="GA159">
        <v>38.920469955345325</v>
      </c>
      <c r="GB159">
        <v>22.25855437285389</v>
      </c>
      <c r="GC159">
        <v>8.594959423431181</v>
      </c>
      <c r="GD159">
        <v>4.646010253976308</v>
      </c>
      <c r="GE159">
        <v>3.2898114549244117</v>
      </c>
      <c r="GF159">
        <v>10.893510114617868</v>
      </c>
      <c r="GG159">
        <v>17.76383947300446</v>
      </c>
      <c r="GH159">
        <v>14.412475280164841</v>
      </c>
      <c r="GI159">
        <v>24.656745389910135</v>
      </c>
      <c r="GJ159"/>
      <c r="GK159"/>
      <c r="GL159"/>
      <c r="GM159"/>
    </row>
    <row r="160" spans="1:195" s="7" customFormat="1">
      <c r="A160" s="1"/>
      <c r="B160" s="76">
        <f t="shared" ca="1" si="171"/>
        <v>8.1868825559121561E-3</v>
      </c>
      <c r="C160">
        <v>8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10.416666666666666</v>
      </c>
      <c r="J160">
        <v>10.416666666666666</v>
      </c>
      <c r="K160">
        <v>10.416666666666666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10.416666666666666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49.748452762515257</v>
      </c>
      <c r="AO160">
        <v>79.276788291967904</v>
      </c>
      <c r="AP160">
        <v>592.41390485356067</v>
      </c>
      <c r="AQ160">
        <v>246.82988036612161</v>
      </c>
      <c r="AR160">
        <v>73.450544240820847</v>
      </c>
      <c r="AS160">
        <v>331.30002969135114</v>
      </c>
      <c r="AT160">
        <v>34.466075487622312</v>
      </c>
      <c r="AU160">
        <v>17.939818277269524</v>
      </c>
      <c r="AV160"/>
      <c r="AW160"/>
      <c r="AX160" s="146"/>
      <c r="AY160" s="76">
        <f t="shared" ca="1" si="172"/>
        <v>0.26110752041620877</v>
      </c>
      <c r="AZ160">
        <v>3</v>
      </c>
      <c r="BA160" s="129">
        <f t="shared" si="244"/>
        <v>39910</v>
      </c>
      <c r="BB160">
        <v>0</v>
      </c>
      <c r="BC160"/>
      <c r="BD160"/>
      <c r="BE160"/>
      <c r="BF160"/>
      <c r="BG160"/>
      <c r="BH160">
        <v>1</v>
      </c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7"/>
        <v>0.67301813953016376</v>
      </c>
      <c r="CL160" s="179">
        <f t="shared" si="208"/>
        <v>3</v>
      </c>
      <c r="CM160" s="180">
        <f t="shared" si="209"/>
        <v>39910</v>
      </c>
      <c r="CN160">
        <v>0</v>
      </c>
      <c r="CO160"/>
      <c r="CP160"/>
      <c r="CQ160"/>
      <c r="CR160"/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10"/>
        <v>9.6000000000000002E-2</v>
      </c>
      <c r="DB160" s="146"/>
      <c r="DC160" s="76">
        <f t="shared" ca="1" si="173"/>
        <v>0.31627018350670966</v>
      </c>
      <c r="DD160">
        <f t="shared" si="211"/>
        <v>3</v>
      </c>
      <c r="DE160" s="129">
        <f t="shared" si="243"/>
        <v>39910</v>
      </c>
      <c r="DF160" s="161">
        <f t="shared" si="212"/>
        <v>0</v>
      </c>
      <c r="DG160" s="161">
        <f t="shared" si="213"/>
        <v>0</v>
      </c>
      <c r="DH160" s="161">
        <f t="shared" si="214"/>
        <v>0</v>
      </c>
      <c r="DI160" s="161">
        <f t="shared" si="215"/>
        <v>0</v>
      </c>
      <c r="DJ160" s="161">
        <f t="shared" si="216"/>
        <v>0</v>
      </c>
      <c r="DK160" s="161">
        <f t="shared" si="217"/>
        <v>0</v>
      </c>
      <c r="DL160" s="161">
        <f t="shared" si="218"/>
        <v>28.409090909090907</v>
      </c>
      <c r="DM160" s="161">
        <f t="shared" si="219"/>
        <v>0</v>
      </c>
      <c r="DN160" s="161">
        <f t="shared" si="220"/>
        <v>0</v>
      </c>
      <c r="DO160" s="161">
        <f t="shared" si="221"/>
        <v>0</v>
      </c>
      <c r="DP160" s="161">
        <f t="shared" si="222"/>
        <v>0</v>
      </c>
      <c r="DQ160" s="161">
        <f t="shared" si="223"/>
        <v>0</v>
      </c>
      <c r="DR160" s="161">
        <f t="shared" si="224"/>
        <v>0</v>
      </c>
      <c r="DS160" s="161">
        <f t="shared" si="225"/>
        <v>0</v>
      </c>
      <c r="DT160" s="161">
        <f t="shared" si="226"/>
        <v>0</v>
      </c>
      <c r="DU160" s="161">
        <f t="shared" si="227"/>
        <v>0</v>
      </c>
      <c r="DV160" s="161">
        <f t="shared" si="228"/>
        <v>0</v>
      </c>
      <c r="DW160" s="161">
        <f t="shared" si="229"/>
        <v>0</v>
      </c>
      <c r="DX160" s="161">
        <f t="shared" si="230"/>
        <v>0</v>
      </c>
      <c r="DY160" s="161">
        <f t="shared" si="231"/>
        <v>0</v>
      </c>
      <c r="DZ160" s="161">
        <f t="shared" si="232"/>
        <v>0</v>
      </c>
      <c r="EA160" s="161">
        <f t="shared" si="233"/>
        <v>0</v>
      </c>
      <c r="EB160" s="161">
        <f t="shared" si="234"/>
        <v>0</v>
      </c>
      <c r="EC160" s="161">
        <f t="shared" si="235"/>
        <v>0</v>
      </c>
      <c r="ED160" s="161">
        <f t="shared" si="236"/>
        <v>0</v>
      </c>
      <c r="EE160" s="161">
        <f t="shared" si="237"/>
        <v>0</v>
      </c>
      <c r="EF160" s="161">
        <f t="shared" si="238"/>
        <v>0</v>
      </c>
      <c r="EG160" s="161">
        <f t="shared" si="239"/>
        <v>0</v>
      </c>
      <c r="EH160" s="161">
        <f t="shared" si="240"/>
        <v>0</v>
      </c>
      <c r="EI160" s="161">
        <f t="shared" si="241"/>
        <v>0</v>
      </c>
      <c r="EJ160" s="161">
        <f t="shared" si="242"/>
        <v>0</v>
      </c>
      <c r="EK160" s="147">
        <f t="shared" si="174"/>
        <v>28.409090909090907</v>
      </c>
      <c r="EL160" s="149"/>
      <c r="EN160" s="146"/>
      <c r="EO160" s="146"/>
      <c r="EP160" s="139">
        <f t="shared" si="175"/>
        <v>0</v>
      </c>
      <c r="EQ160" s="139">
        <f t="shared" si="176"/>
        <v>0</v>
      </c>
      <c r="ER160" s="139">
        <f t="shared" si="177"/>
        <v>0</v>
      </c>
      <c r="ES160" s="139">
        <f t="shared" si="178"/>
        <v>0</v>
      </c>
      <c r="ET160" s="139">
        <f t="shared" si="179"/>
        <v>0</v>
      </c>
      <c r="EU160" s="139">
        <f t="shared" si="180"/>
        <v>0</v>
      </c>
      <c r="EV160" s="139">
        <f t="shared" si="181"/>
        <v>21.535261093175414</v>
      </c>
      <c r="EW160" s="139">
        <f t="shared" si="182"/>
        <v>0</v>
      </c>
      <c r="EX160" s="139">
        <f t="shared" si="183"/>
        <v>0</v>
      </c>
      <c r="EY160" s="139">
        <f t="shared" si="184"/>
        <v>0</v>
      </c>
      <c r="EZ160" s="139">
        <f t="shared" si="185"/>
        <v>0</v>
      </c>
      <c r="FA160" s="139">
        <f t="shared" si="186"/>
        <v>0</v>
      </c>
      <c r="FB160" s="139">
        <f t="shared" si="187"/>
        <v>0</v>
      </c>
      <c r="FC160" s="139">
        <f t="shared" si="188"/>
        <v>0</v>
      </c>
      <c r="FD160" s="139">
        <f t="shared" si="189"/>
        <v>0</v>
      </c>
      <c r="FE160" s="139">
        <f t="shared" si="190"/>
        <v>0</v>
      </c>
      <c r="FF160" s="139">
        <f t="shared" si="191"/>
        <v>0</v>
      </c>
      <c r="FG160" s="139">
        <f t="shared" si="192"/>
        <v>0</v>
      </c>
      <c r="FH160" s="139">
        <f t="shared" si="193"/>
        <v>0</v>
      </c>
      <c r="FI160" s="139">
        <f t="shared" si="194"/>
        <v>0</v>
      </c>
      <c r="FJ160" s="139">
        <f t="shared" si="195"/>
        <v>0</v>
      </c>
      <c r="FK160" s="139">
        <f t="shared" si="196"/>
        <v>0</v>
      </c>
      <c r="FL160" s="139">
        <f t="shared" si="197"/>
        <v>0</v>
      </c>
      <c r="FM160" s="139">
        <f t="shared" si="198"/>
        <v>0</v>
      </c>
      <c r="FN160" s="139">
        <f t="shared" si="199"/>
        <v>0</v>
      </c>
      <c r="FO160" s="139">
        <f t="shared" si="200"/>
        <v>0</v>
      </c>
      <c r="FP160" s="139">
        <f t="shared" si="201"/>
        <v>0</v>
      </c>
      <c r="FQ160" s="139">
        <f t="shared" si="202"/>
        <v>0</v>
      </c>
      <c r="FR160" s="139">
        <f t="shared" si="203"/>
        <v>0</v>
      </c>
      <c r="FS160" s="139">
        <f t="shared" si="204"/>
        <v>0</v>
      </c>
      <c r="FT160" s="139">
        <f t="shared" si="205"/>
        <v>0</v>
      </c>
      <c r="FU160" s="148">
        <f t="shared" si="206"/>
        <v>21.535261093175414</v>
      </c>
      <c r="FV160" s="149"/>
      <c r="FY160" s="210">
        <v>155</v>
      </c>
      <c r="FZ160">
        <v>21.351405145088833</v>
      </c>
      <c r="GA160">
        <v>73.224862694587102</v>
      </c>
      <c r="GB160">
        <v>37.500145753794243</v>
      </c>
      <c r="GC160">
        <v>10.578502922658208</v>
      </c>
      <c r="GD160">
        <v>7.2071376920852686</v>
      </c>
      <c r="GE160">
        <v>7.5495053849261238</v>
      </c>
      <c r="GF160">
        <v>10.64286834820045</v>
      </c>
      <c r="GG160">
        <v>17.82526872851011</v>
      </c>
      <c r="GH160">
        <v>15.825795343988384</v>
      </c>
      <c r="GI160">
        <v>35.102453671008455</v>
      </c>
      <c r="GJ160"/>
      <c r="GK160"/>
      <c r="GL160"/>
      <c r="GM160"/>
    </row>
    <row r="161" spans="1:195" s="7" customFormat="1">
      <c r="A161" s="1"/>
      <c r="B161" s="76">
        <f t="shared" ca="1" si="171"/>
        <v>0.12598937240738728</v>
      </c>
      <c r="C161">
        <v>9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34.375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62.811303601978729</v>
      </c>
      <c r="AO161">
        <v>71.900121130202024</v>
      </c>
      <c r="AP161">
        <v>617.05295038997053</v>
      </c>
      <c r="AQ161">
        <v>259.90221943432783</v>
      </c>
      <c r="AR161">
        <v>67.867014974777291</v>
      </c>
      <c r="AS161">
        <v>403.27086925960998</v>
      </c>
      <c r="AT161">
        <v>30.350320117168565</v>
      </c>
      <c r="AU161">
        <v>104.88915494920428</v>
      </c>
      <c r="AV161"/>
      <c r="AW161"/>
      <c r="AX161" s="146"/>
      <c r="AY161" s="76">
        <f t="shared" ca="1" si="172"/>
        <v>0.9202491613974797</v>
      </c>
      <c r="AZ161">
        <v>4</v>
      </c>
      <c r="BA161" s="129">
        <f t="shared" si="244"/>
        <v>39910</v>
      </c>
      <c r="BB161">
        <v>0</v>
      </c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7"/>
        <v>0.85120345826281429</v>
      </c>
      <c r="CL161" s="179">
        <f t="shared" si="208"/>
        <v>4</v>
      </c>
      <c r="CM161" s="180">
        <f t="shared" si="209"/>
        <v>39910</v>
      </c>
      <c r="CN161">
        <v>0</v>
      </c>
      <c r="CO161"/>
      <c r="CP161"/>
      <c r="CQ161"/>
      <c r="CR161"/>
      <c r="CS161"/>
      <c r="CT161"/>
      <c r="CU161"/>
      <c r="CV161" s="160"/>
      <c r="CW161">
        <v>1</v>
      </c>
      <c r="CX161">
        <f>310/93</f>
        <v>3.3333333333333335</v>
      </c>
      <c r="CY161" s="160"/>
      <c r="CZ161" s="177">
        <f t="shared" si="210"/>
        <v>9.6000000000000002E-2</v>
      </c>
      <c r="DB161" s="146"/>
      <c r="DC161" s="76">
        <f t="shared" ca="1" si="173"/>
        <v>0.5463138360733828</v>
      </c>
      <c r="DD161">
        <f t="shared" si="211"/>
        <v>4</v>
      </c>
      <c r="DE161" s="129">
        <f t="shared" si="243"/>
        <v>39910</v>
      </c>
      <c r="DF161" s="161">
        <f t="shared" si="212"/>
        <v>0</v>
      </c>
      <c r="DG161" s="161">
        <f t="shared" si="213"/>
        <v>0</v>
      </c>
      <c r="DH161" s="161">
        <f t="shared" si="214"/>
        <v>0</v>
      </c>
      <c r="DI161" s="161">
        <f t="shared" si="215"/>
        <v>0</v>
      </c>
      <c r="DJ161" s="161">
        <f t="shared" si="216"/>
        <v>0</v>
      </c>
      <c r="DK161" s="161">
        <f t="shared" si="217"/>
        <v>0</v>
      </c>
      <c r="DL161" s="161">
        <f t="shared" si="218"/>
        <v>0</v>
      </c>
      <c r="DM161" s="161">
        <f t="shared" si="219"/>
        <v>0</v>
      </c>
      <c r="DN161" s="161">
        <f t="shared" si="220"/>
        <v>0</v>
      </c>
      <c r="DO161" s="161">
        <f t="shared" si="221"/>
        <v>0</v>
      </c>
      <c r="DP161" s="161">
        <f t="shared" si="222"/>
        <v>0</v>
      </c>
      <c r="DQ161" s="161">
        <f t="shared" si="223"/>
        <v>0</v>
      </c>
      <c r="DR161" s="161">
        <f t="shared" si="224"/>
        <v>0</v>
      </c>
      <c r="DS161" s="161">
        <f t="shared" si="225"/>
        <v>0</v>
      </c>
      <c r="DT161" s="161">
        <f t="shared" si="226"/>
        <v>0</v>
      </c>
      <c r="DU161" s="161">
        <f t="shared" si="227"/>
        <v>0</v>
      </c>
      <c r="DV161" s="161">
        <f t="shared" si="228"/>
        <v>0</v>
      </c>
      <c r="DW161" s="161">
        <f t="shared" si="229"/>
        <v>0</v>
      </c>
      <c r="DX161" s="161">
        <f t="shared" si="230"/>
        <v>0</v>
      </c>
      <c r="DY161" s="161">
        <f t="shared" si="231"/>
        <v>0</v>
      </c>
      <c r="DZ161" s="161">
        <f t="shared" si="232"/>
        <v>0</v>
      </c>
      <c r="EA161" s="161">
        <f t="shared" si="233"/>
        <v>0</v>
      </c>
      <c r="EB161" s="161">
        <f t="shared" si="234"/>
        <v>0</v>
      </c>
      <c r="EC161" s="161">
        <f t="shared" si="235"/>
        <v>0</v>
      </c>
      <c r="ED161" s="161">
        <f t="shared" si="236"/>
        <v>0</v>
      </c>
      <c r="EE161" s="161">
        <f t="shared" si="237"/>
        <v>0</v>
      </c>
      <c r="EF161" s="161">
        <f t="shared" si="238"/>
        <v>0</v>
      </c>
      <c r="EG161" s="161">
        <f t="shared" si="239"/>
        <v>0</v>
      </c>
      <c r="EH161" s="161">
        <f t="shared" si="240"/>
        <v>0</v>
      </c>
      <c r="EI161" s="161">
        <f t="shared" si="241"/>
        <v>0</v>
      </c>
      <c r="EJ161" s="161">
        <f t="shared" si="242"/>
        <v>0</v>
      </c>
      <c r="EK161" s="147">
        <f t="shared" si="174"/>
        <v>0</v>
      </c>
      <c r="EL161" s="149"/>
      <c r="EN161" s="146"/>
      <c r="EO161" s="146"/>
      <c r="EP161" s="139">
        <f t="shared" si="175"/>
        <v>0</v>
      </c>
      <c r="EQ161" s="139">
        <f t="shared" si="176"/>
        <v>0</v>
      </c>
      <c r="ER161" s="139">
        <f t="shared" si="177"/>
        <v>0</v>
      </c>
      <c r="ES161" s="139">
        <f t="shared" si="178"/>
        <v>0</v>
      </c>
      <c r="ET161" s="139">
        <f t="shared" si="179"/>
        <v>0</v>
      </c>
      <c r="EU161" s="139">
        <f t="shared" si="180"/>
        <v>0</v>
      </c>
      <c r="EV161" s="139">
        <f t="shared" si="181"/>
        <v>0</v>
      </c>
      <c r="EW161" s="139">
        <f t="shared" si="182"/>
        <v>0</v>
      </c>
      <c r="EX161" s="139">
        <f t="shared" si="183"/>
        <v>0</v>
      </c>
      <c r="EY161" s="139">
        <f t="shared" si="184"/>
        <v>0</v>
      </c>
      <c r="EZ161" s="139">
        <f t="shared" si="185"/>
        <v>0</v>
      </c>
      <c r="FA161" s="139">
        <f t="shared" si="186"/>
        <v>0</v>
      </c>
      <c r="FB161" s="139">
        <f t="shared" si="187"/>
        <v>0</v>
      </c>
      <c r="FC161" s="139">
        <f t="shared" si="188"/>
        <v>0</v>
      </c>
      <c r="FD161" s="139">
        <f t="shared" si="189"/>
        <v>0</v>
      </c>
      <c r="FE161" s="139">
        <f t="shared" si="190"/>
        <v>0</v>
      </c>
      <c r="FF161" s="139">
        <f t="shared" si="191"/>
        <v>0</v>
      </c>
      <c r="FG161" s="139">
        <f t="shared" si="192"/>
        <v>0</v>
      </c>
      <c r="FH161" s="139">
        <f t="shared" si="193"/>
        <v>0</v>
      </c>
      <c r="FI161" s="139">
        <f t="shared" si="194"/>
        <v>0</v>
      </c>
      <c r="FJ161" s="139">
        <f t="shared" si="195"/>
        <v>0</v>
      </c>
      <c r="FK161" s="139">
        <f t="shared" si="196"/>
        <v>0</v>
      </c>
      <c r="FL161" s="139">
        <f t="shared" si="197"/>
        <v>0</v>
      </c>
      <c r="FM161" s="139">
        <f t="shared" si="198"/>
        <v>0</v>
      </c>
      <c r="FN161" s="139">
        <f t="shared" si="199"/>
        <v>0</v>
      </c>
      <c r="FO161" s="139">
        <f t="shared" si="200"/>
        <v>0</v>
      </c>
      <c r="FP161" s="139">
        <f t="shared" si="201"/>
        <v>0</v>
      </c>
      <c r="FQ161" s="139">
        <f t="shared" si="202"/>
        <v>0</v>
      </c>
      <c r="FR161" s="139">
        <f t="shared" si="203"/>
        <v>0</v>
      </c>
      <c r="FS161" s="139">
        <f t="shared" si="204"/>
        <v>0</v>
      </c>
      <c r="FT161" s="139">
        <f t="shared" si="205"/>
        <v>0</v>
      </c>
      <c r="FU161" s="148">
        <f t="shared" si="206"/>
        <v>0</v>
      </c>
      <c r="FV161" s="149"/>
      <c r="FY161" s="210">
        <v>156</v>
      </c>
      <c r="FZ161">
        <v>28.008737702700785</v>
      </c>
      <c r="GA161">
        <v>51.542464826182616</v>
      </c>
      <c r="GB161">
        <v>39.142292675360601</v>
      </c>
      <c r="GC161">
        <v>11.02360115208389</v>
      </c>
      <c r="GD161">
        <v>6.68356268416857</v>
      </c>
      <c r="GE161">
        <v>7.721083894856374</v>
      </c>
      <c r="GF161">
        <v>11.440843164034428</v>
      </c>
      <c r="GG161">
        <v>17.515776773072972</v>
      </c>
      <c r="GH161">
        <v>16.718625752161682</v>
      </c>
      <c r="GI161">
        <v>35.660795409350143</v>
      </c>
      <c r="GJ161"/>
      <c r="GK161"/>
      <c r="GL161"/>
      <c r="GM161"/>
    </row>
    <row r="162" spans="1:195" s="7" customFormat="1">
      <c r="A162" s="1"/>
      <c r="B162" s="76">
        <f t="shared" ca="1" si="171"/>
        <v>0.3138742200626492</v>
      </c>
      <c r="C162">
        <v>10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54.352671648672967</v>
      </c>
      <c r="AO162">
        <v>72.119805130480628</v>
      </c>
      <c r="AP162">
        <v>585.44184990338874</v>
      </c>
      <c r="AQ162">
        <v>243.22173013946363</v>
      </c>
      <c r="AR162">
        <v>67.478653355564958</v>
      </c>
      <c r="AS162">
        <v>389.18444983453753</v>
      </c>
      <c r="AT162">
        <v>27.998579727173535</v>
      </c>
      <c r="AU162">
        <v>39.47798504748107</v>
      </c>
      <c r="AV162"/>
      <c r="AW162"/>
      <c r="AX162" s="146"/>
      <c r="AY162" s="76">
        <f t="shared" ca="1" si="172"/>
        <v>0.94085732572055703</v>
      </c>
      <c r="AZ162">
        <v>5</v>
      </c>
      <c r="BA162" s="129">
        <f t="shared" si="244"/>
        <v>39910</v>
      </c>
      <c r="BB162">
        <v>0</v>
      </c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7"/>
        <v>0.5775070779692637</v>
      </c>
      <c r="CL162" s="179">
        <f t="shared" si="208"/>
        <v>5</v>
      </c>
      <c r="CM162" s="180">
        <f t="shared" si="209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10"/>
        <v>9.6000000000000002E-2</v>
      </c>
      <c r="DB162" s="146"/>
      <c r="DC162" s="76">
        <f t="shared" ca="1" si="173"/>
        <v>8.0085677774269559E-2</v>
      </c>
      <c r="DD162">
        <f t="shared" si="211"/>
        <v>5</v>
      </c>
      <c r="DE162" s="129">
        <f t="shared" si="243"/>
        <v>39910</v>
      </c>
      <c r="DF162" s="161">
        <f t="shared" si="212"/>
        <v>0</v>
      </c>
      <c r="DG162" s="161">
        <f t="shared" si="213"/>
        <v>0</v>
      </c>
      <c r="DH162" s="161">
        <f t="shared" si="214"/>
        <v>0</v>
      </c>
      <c r="DI162" s="161">
        <f t="shared" si="215"/>
        <v>0</v>
      </c>
      <c r="DJ162" s="161">
        <f t="shared" si="216"/>
        <v>0</v>
      </c>
      <c r="DK162" s="161">
        <f t="shared" si="217"/>
        <v>0</v>
      </c>
      <c r="DL162" s="161">
        <f t="shared" si="218"/>
        <v>0</v>
      </c>
      <c r="DM162" s="161">
        <f t="shared" si="219"/>
        <v>0</v>
      </c>
      <c r="DN162" s="161">
        <f t="shared" si="220"/>
        <v>0</v>
      </c>
      <c r="DO162" s="161">
        <f t="shared" si="221"/>
        <v>0</v>
      </c>
      <c r="DP162" s="161">
        <f t="shared" si="222"/>
        <v>0</v>
      </c>
      <c r="DQ162" s="161">
        <f t="shared" si="223"/>
        <v>0</v>
      </c>
      <c r="DR162" s="161">
        <f t="shared" si="224"/>
        <v>0</v>
      </c>
      <c r="DS162" s="161">
        <f t="shared" si="225"/>
        <v>0</v>
      </c>
      <c r="DT162" s="161">
        <f t="shared" si="226"/>
        <v>0</v>
      </c>
      <c r="DU162" s="161">
        <f t="shared" si="227"/>
        <v>0</v>
      </c>
      <c r="DV162" s="161">
        <f t="shared" si="228"/>
        <v>0</v>
      </c>
      <c r="DW162" s="161">
        <f t="shared" si="229"/>
        <v>0</v>
      </c>
      <c r="DX162" s="161">
        <f t="shared" si="230"/>
        <v>0</v>
      </c>
      <c r="DY162" s="161">
        <f t="shared" si="231"/>
        <v>0</v>
      </c>
      <c r="DZ162" s="161">
        <f t="shared" si="232"/>
        <v>0</v>
      </c>
      <c r="EA162" s="161">
        <f t="shared" si="233"/>
        <v>0</v>
      </c>
      <c r="EB162" s="161">
        <f t="shared" si="234"/>
        <v>0</v>
      </c>
      <c r="EC162" s="161">
        <f t="shared" si="235"/>
        <v>0</v>
      </c>
      <c r="ED162" s="161">
        <f t="shared" si="236"/>
        <v>0</v>
      </c>
      <c r="EE162" s="161">
        <f t="shared" si="237"/>
        <v>0</v>
      </c>
      <c r="EF162" s="161">
        <f t="shared" si="238"/>
        <v>0</v>
      </c>
      <c r="EG162" s="161">
        <f t="shared" si="239"/>
        <v>0</v>
      </c>
      <c r="EH162" s="161">
        <f t="shared" si="240"/>
        <v>0</v>
      </c>
      <c r="EI162" s="161">
        <f t="shared" si="241"/>
        <v>0</v>
      </c>
      <c r="EJ162" s="161">
        <f t="shared" si="242"/>
        <v>0</v>
      </c>
      <c r="EK162" s="147">
        <f t="shared" si="174"/>
        <v>0</v>
      </c>
      <c r="EL162" s="149"/>
      <c r="EN162" s="146"/>
      <c r="EO162" s="146"/>
      <c r="EP162" s="139">
        <f t="shared" si="175"/>
        <v>0</v>
      </c>
      <c r="EQ162" s="139">
        <f t="shared" si="176"/>
        <v>0</v>
      </c>
      <c r="ER162" s="139">
        <f t="shared" si="177"/>
        <v>0</v>
      </c>
      <c r="ES162" s="139">
        <f t="shared" si="178"/>
        <v>0</v>
      </c>
      <c r="ET162" s="139">
        <f t="shared" si="179"/>
        <v>0</v>
      </c>
      <c r="EU162" s="139">
        <f t="shared" si="180"/>
        <v>0</v>
      </c>
      <c r="EV162" s="139">
        <f t="shared" si="181"/>
        <v>0</v>
      </c>
      <c r="EW162" s="139">
        <f t="shared" si="182"/>
        <v>0</v>
      </c>
      <c r="EX162" s="139">
        <f t="shared" si="183"/>
        <v>0</v>
      </c>
      <c r="EY162" s="139">
        <f t="shared" si="184"/>
        <v>0</v>
      </c>
      <c r="EZ162" s="139">
        <f t="shared" si="185"/>
        <v>0</v>
      </c>
      <c r="FA162" s="139">
        <f t="shared" si="186"/>
        <v>0</v>
      </c>
      <c r="FB162" s="139">
        <f t="shared" si="187"/>
        <v>0</v>
      </c>
      <c r="FC162" s="139">
        <f t="shared" si="188"/>
        <v>0</v>
      </c>
      <c r="FD162" s="139">
        <f t="shared" si="189"/>
        <v>0</v>
      </c>
      <c r="FE162" s="139">
        <f t="shared" si="190"/>
        <v>0</v>
      </c>
      <c r="FF162" s="139">
        <f t="shared" si="191"/>
        <v>0</v>
      </c>
      <c r="FG162" s="139">
        <f t="shared" si="192"/>
        <v>0</v>
      </c>
      <c r="FH162" s="139">
        <f t="shared" si="193"/>
        <v>0</v>
      </c>
      <c r="FI162" s="139">
        <f t="shared" si="194"/>
        <v>0</v>
      </c>
      <c r="FJ162" s="139">
        <f t="shared" si="195"/>
        <v>0</v>
      </c>
      <c r="FK162" s="139">
        <f t="shared" si="196"/>
        <v>0</v>
      </c>
      <c r="FL162" s="139">
        <f t="shared" si="197"/>
        <v>0</v>
      </c>
      <c r="FM162" s="139">
        <f t="shared" si="198"/>
        <v>0</v>
      </c>
      <c r="FN162" s="139">
        <f t="shared" si="199"/>
        <v>0</v>
      </c>
      <c r="FO162" s="139">
        <f t="shared" si="200"/>
        <v>0</v>
      </c>
      <c r="FP162" s="139">
        <f t="shared" si="201"/>
        <v>0</v>
      </c>
      <c r="FQ162" s="139">
        <f t="shared" si="202"/>
        <v>0</v>
      </c>
      <c r="FR162" s="139">
        <f t="shared" si="203"/>
        <v>0</v>
      </c>
      <c r="FS162" s="139">
        <f t="shared" si="204"/>
        <v>0</v>
      </c>
      <c r="FT162" s="139">
        <f t="shared" si="205"/>
        <v>0</v>
      </c>
      <c r="FU162" s="148">
        <f t="shared" si="206"/>
        <v>0</v>
      </c>
      <c r="FV162" s="149"/>
      <c r="FY162" s="210">
        <v>157</v>
      </c>
      <c r="FZ162">
        <v>30.254625199126043</v>
      </c>
      <c r="GA162">
        <v>45.88833870915478</v>
      </c>
      <c r="GB162">
        <v>33.389277550321331</v>
      </c>
      <c r="GC162">
        <v>8.495955013949656</v>
      </c>
      <c r="GD162">
        <v>5.123553406600438</v>
      </c>
      <c r="GE162">
        <v>6.7980611452208919</v>
      </c>
      <c r="GF162">
        <v>6.3399176867352542</v>
      </c>
      <c r="GG162">
        <v>17.080689776527858</v>
      </c>
      <c r="GH162">
        <v>23.00442475256169</v>
      </c>
      <c r="GI162">
        <v>31.052240018395793</v>
      </c>
      <c r="GJ162"/>
      <c r="GK162"/>
      <c r="GL162"/>
      <c r="GM162"/>
    </row>
    <row r="163" spans="1:195" s="7" customFormat="1">
      <c r="A163" s="1"/>
      <c r="B163" s="76">
        <f t="shared" ca="1" si="171"/>
        <v>0.74831422993335317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44.277859268877556</v>
      </c>
      <c r="AO163">
        <v>76.405310614566815</v>
      </c>
      <c r="AP163">
        <v>564.11648111776879</v>
      </c>
      <c r="AQ163">
        <v>204.82626502718574</v>
      </c>
      <c r="AR163">
        <v>72.5190686343972</v>
      </c>
      <c r="AS163">
        <v>515.00379817515238</v>
      </c>
      <c r="AT163">
        <v>28.817589519311252</v>
      </c>
      <c r="AU163">
        <v>17.173342828092519</v>
      </c>
      <c r="AV163"/>
      <c r="AW163"/>
      <c r="AX163" s="146"/>
      <c r="AY163" s="76">
        <f t="shared" ca="1" si="172"/>
        <v>0.13140579947657383</v>
      </c>
      <c r="AZ163">
        <v>6</v>
      </c>
      <c r="BA163" s="129">
        <f t="shared" si="244"/>
        <v>39910</v>
      </c>
      <c r="BB163">
        <v>0</v>
      </c>
      <c r="BC163"/>
      <c r="BD163"/>
      <c r="BE163"/>
      <c r="BF163">
        <v>2</v>
      </c>
      <c r="BG163"/>
      <c r="BH163"/>
      <c r="BI163">
        <v>1</v>
      </c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7"/>
        <v>0.49879261320257617</v>
      </c>
      <c r="CL163" s="179">
        <f t="shared" si="208"/>
        <v>6</v>
      </c>
      <c r="CM163" s="180">
        <f t="shared" si="209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10"/>
        <v>9.6000000000000002E-2</v>
      </c>
      <c r="DB163" s="146"/>
      <c r="DC163" s="76">
        <f t="shared" ca="1" si="173"/>
        <v>0.54769584600833365</v>
      </c>
      <c r="DD163">
        <f t="shared" si="211"/>
        <v>6</v>
      </c>
      <c r="DE163" s="129">
        <f t="shared" si="243"/>
        <v>39910</v>
      </c>
      <c r="DF163" s="161">
        <f t="shared" si="212"/>
        <v>0</v>
      </c>
      <c r="DG163" s="161">
        <f t="shared" si="213"/>
        <v>0</v>
      </c>
      <c r="DH163" s="161">
        <f t="shared" si="214"/>
        <v>0</v>
      </c>
      <c r="DI163" s="161">
        <f t="shared" si="215"/>
        <v>0</v>
      </c>
      <c r="DJ163" s="161">
        <f t="shared" si="216"/>
        <v>20.833333333333332</v>
      </c>
      <c r="DK163" s="161">
        <f t="shared" si="217"/>
        <v>0</v>
      </c>
      <c r="DL163" s="161">
        <f t="shared" si="218"/>
        <v>0</v>
      </c>
      <c r="DM163" s="161">
        <f t="shared" si="219"/>
        <v>10.416666666666666</v>
      </c>
      <c r="DN163" s="161">
        <f t="shared" si="220"/>
        <v>0</v>
      </c>
      <c r="DO163" s="161">
        <f t="shared" si="221"/>
        <v>0</v>
      </c>
      <c r="DP163" s="161">
        <f t="shared" si="222"/>
        <v>0</v>
      </c>
      <c r="DQ163" s="161">
        <f t="shared" si="223"/>
        <v>0</v>
      </c>
      <c r="DR163" s="161">
        <f t="shared" si="224"/>
        <v>0</v>
      </c>
      <c r="DS163" s="161">
        <f t="shared" si="225"/>
        <v>0</v>
      </c>
      <c r="DT163" s="161">
        <f t="shared" si="226"/>
        <v>0</v>
      </c>
      <c r="DU163" s="161">
        <f t="shared" si="227"/>
        <v>0</v>
      </c>
      <c r="DV163" s="161">
        <f t="shared" si="228"/>
        <v>0</v>
      </c>
      <c r="DW163" s="161">
        <f t="shared" si="229"/>
        <v>0</v>
      </c>
      <c r="DX163" s="161">
        <f t="shared" si="230"/>
        <v>0</v>
      </c>
      <c r="DY163" s="161">
        <f t="shared" si="231"/>
        <v>0</v>
      </c>
      <c r="DZ163" s="161">
        <f t="shared" si="232"/>
        <v>0</v>
      </c>
      <c r="EA163" s="161">
        <f t="shared" si="233"/>
        <v>0</v>
      </c>
      <c r="EB163" s="161">
        <f t="shared" si="234"/>
        <v>0</v>
      </c>
      <c r="EC163" s="161">
        <f t="shared" si="235"/>
        <v>0</v>
      </c>
      <c r="ED163" s="161">
        <f t="shared" si="236"/>
        <v>0</v>
      </c>
      <c r="EE163" s="161">
        <f t="shared" si="237"/>
        <v>0</v>
      </c>
      <c r="EF163" s="161">
        <f t="shared" si="238"/>
        <v>0</v>
      </c>
      <c r="EG163" s="161">
        <f t="shared" si="239"/>
        <v>0</v>
      </c>
      <c r="EH163" s="161">
        <f t="shared" si="240"/>
        <v>0</v>
      </c>
      <c r="EI163" s="161">
        <f t="shared" si="241"/>
        <v>0</v>
      </c>
      <c r="EJ163" s="161">
        <f t="shared" si="242"/>
        <v>0</v>
      </c>
      <c r="EK163" s="147">
        <f t="shared" si="174"/>
        <v>31.25</v>
      </c>
      <c r="EL163" s="149"/>
      <c r="EN163" s="146"/>
      <c r="EO163" s="146"/>
      <c r="EP163" s="139">
        <f t="shared" si="175"/>
        <v>0</v>
      </c>
      <c r="EQ163" s="139">
        <f t="shared" si="176"/>
        <v>0</v>
      </c>
      <c r="ER163" s="139">
        <f t="shared" si="177"/>
        <v>0</v>
      </c>
      <c r="ES163" s="139">
        <f t="shared" si="178"/>
        <v>0</v>
      </c>
      <c r="ET163" s="139">
        <f t="shared" si="179"/>
        <v>5.777570387628975</v>
      </c>
      <c r="EU163" s="139">
        <f t="shared" si="180"/>
        <v>0</v>
      </c>
      <c r="EV163" s="139">
        <f t="shared" si="181"/>
        <v>0</v>
      </c>
      <c r="EW163" s="139">
        <f t="shared" si="182"/>
        <v>11.57309745439952</v>
      </c>
      <c r="EX163" s="139">
        <f t="shared" si="183"/>
        <v>0</v>
      </c>
      <c r="EY163" s="139">
        <f t="shared" si="184"/>
        <v>0</v>
      </c>
      <c r="EZ163" s="139">
        <f t="shared" si="185"/>
        <v>0</v>
      </c>
      <c r="FA163" s="139">
        <f t="shared" si="186"/>
        <v>0</v>
      </c>
      <c r="FB163" s="139">
        <f t="shared" si="187"/>
        <v>0</v>
      </c>
      <c r="FC163" s="139">
        <f t="shared" si="188"/>
        <v>0</v>
      </c>
      <c r="FD163" s="139">
        <f t="shared" si="189"/>
        <v>0</v>
      </c>
      <c r="FE163" s="139">
        <f t="shared" si="190"/>
        <v>0</v>
      </c>
      <c r="FF163" s="139">
        <f t="shared" si="191"/>
        <v>0</v>
      </c>
      <c r="FG163" s="139">
        <f t="shared" si="192"/>
        <v>0</v>
      </c>
      <c r="FH163" s="139">
        <f t="shared" si="193"/>
        <v>0</v>
      </c>
      <c r="FI163" s="139">
        <f t="shared" si="194"/>
        <v>0</v>
      </c>
      <c r="FJ163" s="139">
        <f t="shared" si="195"/>
        <v>0</v>
      </c>
      <c r="FK163" s="139">
        <f t="shared" si="196"/>
        <v>0</v>
      </c>
      <c r="FL163" s="139">
        <f t="shared" si="197"/>
        <v>0</v>
      </c>
      <c r="FM163" s="139">
        <f t="shared" si="198"/>
        <v>0</v>
      </c>
      <c r="FN163" s="139">
        <f t="shared" si="199"/>
        <v>0</v>
      </c>
      <c r="FO163" s="139">
        <f t="shared" si="200"/>
        <v>0</v>
      </c>
      <c r="FP163" s="139">
        <f t="shared" si="201"/>
        <v>0</v>
      </c>
      <c r="FQ163" s="139">
        <f t="shared" si="202"/>
        <v>0</v>
      </c>
      <c r="FR163" s="139">
        <f t="shared" si="203"/>
        <v>0</v>
      </c>
      <c r="FS163" s="139">
        <f t="shared" si="204"/>
        <v>0</v>
      </c>
      <c r="FT163" s="139">
        <f t="shared" si="205"/>
        <v>0</v>
      </c>
      <c r="FU163" s="148">
        <f t="shared" si="206"/>
        <v>17.350667842028493</v>
      </c>
      <c r="FV163" s="149"/>
      <c r="FY163" s="210">
        <v>158</v>
      </c>
      <c r="FZ163">
        <v>27.184849313958047</v>
      </c>
      <c r="GA163">
        <v>70.172129661404696</v>
      </c>
      <c r="GB163">
        <v>30.222757174864775</v>
      </c>
      <c r="GC163">
        <v>8.1816902352217369</v>
      </c>
      <c r="GD163">
        <v>8.262737687408567</v>
      </c>
      <c r="GE163">
        <v>13.500210649714949</v>
      </c>
      <c r="GF163">
        <v>8.770968767995301</v>
      </c>
      <c r="GG163">
        <v>18.085845755310423</v>
      </c>
      <c r="GH163">
        <v>25.739992081940862</v>
      </c>
      <c r="GI163">
        <v>33.129795142913991</v>
      </c>
      <c r="GJ163"/>
      <c r="GK163"/>
      <c r="GL163"/>
      <c r="GM163"/>
    </row>
    <row r="164" spans="1:195" s="7" customFormat="1">
      <c r="A164" s="1"/>
      <c r="B164" s="76">
        <f t="shared" ca="1" si="171"/>
        <v>0.43350858831884231</v>
      </c>
      <c r="C164">
        <v>4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68.471073700258742</v>
      </c>
      <c r="AO164">
        <v>80.336165778955177</v>
      </c>
      <c r="AP164">
        <v>527.68378482524031</v>
      </c>
      <c r="AQ164">
        <v>235.91038014784425</v>
      </c>
      <c r="AR164">
        <v>74.34789025869425</v>
      </c>
      <c r="AS164">
        <v>501.36366413548785</v>
      </c>
      <c r="AT164">
        <v>28.382889564318049</v>
      </c>
      <c r="AU164">
        <v>21.817720774658092</v>
      </c>
      <c r="AV164"/>
      <c r="AW164"/>
      <c r="AX164" s="146"/>
      <c r="AY164" s="76">
        <f t="shared" ca="1" si="172"/>
        <v>0.63336080538228523</v>
      </c>
      <c r="AZ164">
        <v>7</v>
      </c>
      <c r="BA164" s="129">
        <f t="shared" si="244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7"/>
        <v>2.1474188850006293E-2</v>
      </c>
      <c r="CL164" s="179">
        <f t="shared" si="208"/>
        <v>7</v>
      </c>
      <c r="CM164" s="180">
        <f t="shared" si="209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10"/>
        <v>9.6000000000000002E-2</v>
      </c>
      <c r="DB164" s="146"/>
      <c r="DC164" s="76">
        <f t="shared" ca="1" si="173"/>
        <v>8.3518974902894172E-3</v>
      </c>
      <c r="DD164">
        <f t="shared" si="211"/>
        <v>7</v>
      </c>
      <c r="DE164" s="129">
        <f t="shared" si="243"/>
        <v>39910</v>
      </c>
      <c r="DF164" s="161">
        <f t="shared" si="212"/>
        <v>0</v>
      </c>
      <c r="DG164" s="161">
        <f t="shared" si="213"/>
        <v>0</v>
      </c>
      <c r="DH164" s="161">
        <f t="shared" si="214"/>
        <v>0</v>
      </c>
      <c r="DI164" s="161">
        <f t="shared" si="215"/>
        <v>0</v>
      </c>
      <c r="DJ164" s="161">
        <f t="shared" si="216"/>
        <v>0</v>
      </c>
      <c r="DK164" s="161">
        <f t="shared" si="217"/>
        <v>0</v>
      </c>
      <c r="DL164" s="161">
        <f t="shared" si="218"/>
        <v>0</v>
      </c>
      <c r="DM164" s="161">
        <f t="shared" si="219"/>
        <v>0</v>
      </c>
      <c r="DN164" s="161">
        <f t="shared" si="220"/>
        <v>0</v>
      </c>
      <c r="DO164" s="161">
        <f t="shared" si="221"/>
        <v>0</v>
      </c>
      <c r="DP164" s="161">
        <f t="shared" si="222"/>
        <v>0</v>
      </c>
      <c r="DQ164" s="161">
        <f t="shared" si="223"/>
        <v>0</v>
      </c>
      <c r="DR164" s="161">
        <f t="shared" si="224"/>
        <v>0</v>
      </c>
      <c r="DS164" s="161">
        <f t="shared" si="225"/>
        <v>0</v>
      </c>
      <c r="DT164" s="161">
        <f t="shared" si="226"/>
        <v>0</v>
      </c>
      <c r="DU164" s="161">
        <f t="shared" si="227"/>
        <v>0</v>
      </c>
      <c r="DV164" s="161">
        <f t="shared" si="228"/>
        <v>0</v>
      </c>
      <c r="DW164" s="161">
        <f t="shared" si="229"/>
        <v>0</v>
      </c>
      <c r="DX164" s="161">
        <f t="shared" si="230"/>
        <v>0</v>
      </c>
      <c r="DY164" s="161">
        <f t="shared" si="231"/>
        <v>0</v>
      </c>
      <c r="DZ164" s="161">
        <f t="shared" si="232"/>
        <v>0</v>
      </c>
      <c r="EA164" s="161">
        <f t="shared" si="233"/>
        <v>0</v>
      </c>
      <c r="EB164" s="161">
        <f t="shared" si="234"/>
        <v>0</v>
      </c>
      <c r="EC164" s="161">
        <f t="shared" si="235"/>
        <v>0</v>
      </c>
      <c r="ED164" s="161">
        <f t="shared" si="236"/>
        <v>0</v>
      </c>
      <c r="EE164" s="161">
        <f t="shared" si="237"/>
        <v>0</v>
      </c>
      <c r="EF164" s="161">
        <f t="shared" si="238"/>
        <v>0</v>
      </c>
      <c r="EG164" s="161">
        <f t="shared" si="239"/>
        <v>0</v>
      </c>
      <c r="EH164" s="161">
        <f t="shared" si="240"/>
        <v>0</v>
      </c>
      <c r="EI164" s="161">
        <f t="shared" si="241"/>
        <v>0</v>
      </c>
      <c r="EJ164" s="161">
        <f t="shared" si="242"/>
        <v>0</v>
      </c>
      <c r="EK164" s="147">
        <f t="shared" si="174"/>
        <v>0</v>
      </c>
      <c r="EL164" s="149"/>
      <c r="EN164" s="146"/>
      <c r="EO164" s="146"/>
      <c r="EP164" s="139">
        <f t="shared" si="175"/>
        <v>0</v>
      </c>
      <c r="EQ164" s="139">
        <f t="shared" si="176"/>
        <v>0</v>
      </c>
      <c r="ER164" s="139">
        <f t="shared" si="177"/>
        <v>0</v>
      </c>
      <c r="ES164" s="139">
        <f t="shared" si="178"/>
        <v>0</v>
      </c>
      <c r="ET164" s="139">
        <f t="shared" si="179"/>
        <v>0</v>
      </c>
      <c r="EU164" s="139">
        <f t="shared" si="180"/>
        <v>0</v>
      </c>
      <c r="EV164" s="139">
        <f t="shared" si="181"/>
        <v>0</v>
      </c>
      <c r="EW164" s="139">
        <f t="shared" si="182"/>
        <v>0</v>
      </c>
      <c r="EX164" s="139">
        <f t="shared" si="183"/>
        <v>0</v>
      </c>
      <c r="EY164" s="139">
        <f t="shared" si="184"/>
        <v>0</v>
      </c>
      <c r="EZ164" s="139">
        <f t="shared" si="185"/>
        <v>0</v>
      </c>
      <c r="FA164" s="139">
        <f t="shared" si="186"/>
        <v>0</v>
      </c>
      <c r="FB164" s="139">
        <f t="shared" si="187"/>
        <v>0</v>
      </c>
      <c r="FC164" s="139">
        <f t="shared" si="188"/>
        <v>0</v>
      </c>
      <c r="FD164" s="139">
        <f t="shared" si="189"/>
        <v>0</v>
      </c>
      <c r="FE164" s="139">
        <f t="shared" si="190"/>
        <v>0</v>
      </c>
      <c r="FF164" s="139">
        <f t="shared" si="191"/>
        <v>0</v>
      </c>
      <c r="FG164" s="139">
        <f t="shared" si="192"/>
        <v>0</v>
      </c>
      <c r="FH164" s="139">
        <f t="shared" si="193"/>
        <v>0</v>
      </c>
      <c r="FI164" s="139">
        <f t="shared" si="194"/>
        <v>0</v>
      </c>
      <c r="FJ164" s="139">
        <f t="shared" si="195"/>
        <v>0</v>
      </c>
      <c r="FK164" s="139">
        <f t="shared" si="196"/>
        <v>0</v>
      </c>
      <c r="FL164" s="139">
        <f t="shared" si="197"/>
        <v>0</v>
      </c>
      <c r="FM164" s="139">
        <f t="shared" si="198"/>
        <v>0</v>
      </c>
      <c r="FN164" s="139">
        <f t="shared" si="199"/>
        <v>0</v>
      </c>
      <c r="FO164" s="139">
        <f t="shared" si="200"/>
        <v>0</v>
      </c>
      <c r="FP164" s="139">
        <f t="shared" si="201"/>
        <v>0</v>
      </c>
      <c r="FQ164" s="139">
        <f t="shared" si="202"/>
        <v>0</v>
      </c>
      <c r="FR164" s="139">
        <f t="shared" si="203"/>
        <v>0</v>
      </c>
      <c r="FS164" s="139">
        <f t="shared" si="204"/>
        <v>0</v>
      </c>
      <c r="FT164" s="139">
        <f t="shared" si="205"/>
        <v>0</v>
      </c>
      <c r="FU164" s="148">
        <f t="shared" si="206"/>
        <v>0</v>
      </c>
      <c r="FV164" s="149"/>
      <c r="FY164" s="210">
        <v>159</v>
      </c>
      <c r="FZ164">
        <v>28.203428255180668</v>
      </c>
      <c r="GA164">
        <v>47.01703745075632</v>
      </c>
      <c r="GB164">
        <v>37.566294994665178</v>
      </c>
      <c r="GC164">
        <v>9.5632603258626396</v>
      </c>
      <c r="GD164">
        <v>5.4793812636748012</v>
      </c>
      <c r="GE164">
        <v>7.2169349871983606</v>
      </c>
      <c r="GF164">
        <v>9.1373462837355035</v>
      </c>
      <c r="GG164">
        <v>14.424822938630184</v>
      </c>
      <c r="GH164">
        <v>18.193464541150398</v>
      </c>
      <c r="GI164">
        <v>33.002732533887396</v>
      </c>
      <c r="GJ164"/>
      <c r="GK164"/>
      <c r="GL164"/>
      <c r="GM164"/>
    </row>
    <row r="165" spans="1:195" s="7" customFormat="1">
      <c r="A165" s="1"/>
      <c r="B165" s="76">
        <f t="shared" ca="1" si="171"/>
        <v>0.16329965487308984</v>
      </c>
      <c r="C165">
        <v>5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48.34315854215361</v>
      </c>
      <c r="AO165">
        <v>65.857526880956087</v>
      </c>
      <c r="AP165">
        <v>489.69291234435514</v>
      </c>
      <c r="AQ165">
        <v>222.44342076625486</v>
      </c>
      <c r="AR165">
        <v>61.042923331259445</v>
      </c>
      <c r="AS165">
        <v>407.03824812679221</v>
      </c>
      <c r="AT165">
        <v>26.244826118187984</v>
      </c>
      <c r="AU165">
        <v>-43.032789180021645</v>
      </c>
      <c r="AV165"/>
      <c r="AW165"/>
      <c r="AX165" s="146"/>
      <c r="AY165" s="76">
        <f t="shared" ca="1" si="172"/>
        <v>0.56180796283790491</v>
      </c>
      <c r="AZ165">
        <v>8</v>
      </c>
      <c r="BA165" s="129">
        <f t="shared" si="244"/>
        <v>39910</v>
      </c>
      <c r="BB165">
        <v>0</v>
      </c>
      <c r="BC165"/>
      <c r="BD165"/>
      <c r="BE165"/>
      <c r="BF165">
        <v>1</v>
      </c>
      <c r="BG165">
        <v>1</v>
      </c>
      <c r="BH165">
        <v>1</v>
      </c>
      <c r="BI165"/>
      <c r="BJ165"/>
      <c r="BK165"/>
      <c r="BL165"/>
      <c r="BM165"/>
      <c r="BN165"/>
      <c r="BO165"/>
      <c r="BP165">
        <v>1</v>
      </c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7"/>
        <v>0.24177438808587981</v>
      </c>
      <c r="CL165" s="179">
        <f t="shared" si="208"/>
        <v>8</v>
      </c>
      <c r="CM165" s="180">
        <f t="shared" si="209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10"/>
        <v>9.6000000000000002E-2</v>
      </c>
      <c r="DB165" s="146"/>
      <c r="DC165" s="76">
        <f t="shared" ca="1" si="173"/>
        <v>0.45871265010028694</v>
      </c>
      <c r="DD165">
        <f t="shared" si="211"/>
        <v>8</v>
      </c>
      <c r="DE165" s="129">
        <f t="shared" si="243"/>
        <v>39910</v>
      </c>
      <c r="DF165" s="161">
        <f t="shared" si="212"/>
        <v>0</v>
      </c>
      <c r="DG165" s="161">
        <f t="shared" si="213"/>
        <v>0</v>
      </c>
      <c r="DH165" s="161">
        <f t="shared" si="214"/>
        <v>0</v>
      </c>
      <c r="DI165" s="161">
        <f t="shared" si="215"/>
        <v>0</v>
      </c>
      <c r="DJ165" s="161">
        <f t="shared" si="216"/>
        <v>10.416666666666666</v>
      </c>
      <c r="DK165" s="161">
        <f t="shared" si="217"/>
        <v>10.416666666666666</v>
      </c>
      <c r="DL165" s="161">
        <f t="shared" si="218"/>
        <v>10.416666666666666</v>
      </c>
      <c r="DM165" s="161">
        <f t="shared" si="219"/>
        <v>0</v>
      </c>
      <c r="DN165" s="161">
        <f t="shared" si="220"/>
        <v>0</v>
      </c>
      <c r="DO165" s="161">
        <f t="shared" si="221"/>
        <v>0</v>
      </c>
      <c r="DP165" s="161">
        <f t="shared" si="222"/>
        <v>0</v>
      </c>
      <c r="DQ165" s="161">
        <f t="shared" si="223"/>
        <v>0</v>
      </c>
      <c r="DR165" s="161">
        <f t="shared" si="224"/>
        <v>0</v>
      </c>
      <c r="DS165" s="161">
        <f t="shared" si="225"/>
        <v>0</v>
      </c>
      <c r="DT165" s="161">
        <f t="shared" si="226"/>
        <v>10.416666666666666</v>
      </c>
      <c r="DU165" s="161">
        <f t="shared" si="227"/>
        <v>0</v>
      </c>
      <c r="DV165" s="161">
        <f t="shared" si="228"/>
        <v>0</v>
      </c>
      <c r="DW165" s="161">
        <f t="shared" si="229"/>
        <v>0</v>
      </c>
      <c r="DX165" s="161">
        <f t="shared" si="230"/>
        <v>0</v>
      </c>
      <c r="DY165" s="161">
        <f t="shared" si="231"/>
        <v>0</v>
      </c>
      <c r="DZ165" s="161">
        <f t="shared" si="232"/>
        <v>0</v>
      </c>
      <c r="EA165" s="161">
        <f t="shared" si="233"/>
        <v>0</v>
      </c>
      <c r="EB165" s="161">
        <f t="shared" si="234"/>
        <v>0</v>
      </c>
      <c r="EC165" s="161">
        <f t="shared" si="235"/>
        <v>0</v>
      </c>
      <c r="ED165" s="161">
        <f t="shared" si="236"/>
        <v>0</v>
      </c>
      <c r="EE165" s="161">
        <f t="shared" si="237"/>
        <v>0</v>
      </c>
      <c r="EF165" s="161">
        <f t="shared" si="238"/>
        <v>0</v>
      </c>
      <c r="EG165" s="161">
        <f t="shared" si="239"/>
        <v>0</v>
      </c>
      <c r="EH165" s="161">
        <f t="shared" si="240"/>
        <v>0</v>
      </c>
      <c r="EI165" s="161">
        <f t="shared" si="241"/>
        <v>0</v>
      </c>
      <c r="EJ165" s="161">
        <f t="shared" si="242"/>
        <v>0</v>
      </c>
      <c r="EK165" s="147">
        <f t="shared" si="174"/>
        <v>41.666666666666664</v>
      </c>
      <c r="EL165" s="149"/>
      <c r="EN165" s="146"/>
      <c r="EO165" s="146"/>
      <c r="EP165" s="139">
        <f t="shared" si="175"/>
        <v>0</v>
      </c>
      <c r="EQ165" s="139">
        <f t="shared" si="176"/>
        <v>0</v>
      </c>
      <c r="ER165" s="139">
        <f t="shared" si="177"/>
        <v>0</v>
      </c>
      <c r="ES165" s="139">
        <f t="shared" si="178"/>
        <v>0</v>
      </c>
      <c r="ET165" s="139">
        <f t="shared" si="179"/>
        <v>2.8887851938144875</v>
      </c>
      <c r="EU165" s="139">
        <f t="shared" si="180"/>
        <v>5.0240283539562274</v>
      </c>
      <c r="EV165" s="139">
        <f t="shared" si="181"/>
        <v>7.8962624008309863</v>
      </c>
      <c r="EW165" s="139">
        <f t="shared" si="182"/>
        <v>0</v>
      </c>
      <c r="EX165" s="139">
        <f t="shared" si="183"/>
        <v>0</v>
      </c>
      <c r="EY165" s="139">
        <f t="shared" si="184"/>
        <v>0</v>
      </c>
      <c r="EZ165" s="139">
        <f t="shared" si="185"/>
        <v>0</v>
      </c>
      <c r="FA165" s="139">
        <f t="shared" si="186"/>
        <v>0</v>
      </c>
      <c r="FB165" s="139">
        <f t="shared" si="187"/>
        <v>0</v>
      </c>
      <c r="FC165" s="139">
        <f t="shared" si="188"/>
        <v>0</v>
      </c>
      <c r="FD165" s="139">
        <f t="shared" si="189"/>
        <v>64.566017498318885</v>
      </c>
      <c r="FE165" s="139">
        <f t="shared" si="190"/>
        <v>0</v>
      </c>
      <c r="FF165" s="139">
        <f t="shared" si="191"/>
        <v>0</v>
      </c>
      <c r="FG165" s="139">
        <f t="shared" si="192"/>
        <v>0</v>
      </c>
      <c r="FH165" s="139">
        <f t="shared" si="193"/>
        <v>0</v>
      </c>
      <c r="FI165" s="139">
        <f t="shared" si="194"/>
        <v>0</v>
      </c>
      <c r="FJ165" s="139">
        <f t="shared" si="195"/>
        <v>0</v>
      </c>
      <c r="FK165" s="139">
        <f t="shared" si="196"/>
        <v>0</v>
      </c>
      <c r="FL165" s="139">
        <f t="shared" si="197"/>
        <v>0</v>
      </c>
      <c r="FM165" s="139">
        <f t="shared" si="198"/>
        <v>0</v>
      </c>
      <c r="FN165" s="139">
        <f t="shared" si="199"/>
        <v>0</v>
      </c>
      <c r="FO165" s="139">
        <f t="shared" si="200"/>
        <v>0</v>
      </c>
      <c r="FP165" s="139">
        <f t="shared" si="201"/>
        <v>0</v>
      </c>
      <c r="FQ165" s="139">
        <f t="shared" si="202"/>
        <v>0</v>
      </c>
      <c r="FR165" s="139">
        <f t="shared" si="203"/>
        <v>0</v>
      </c>
      <c r="FS165" s="139">
        <f t="shared" si="204"/>
        <v>0</v>
      </c>
      <c r="FT165" s="139">
        <f t="shared" si="205"/>
        <v>0</v>
      </c>
      <c r="FU165" s="148">
        <f t="shared" si="206"/>
        <v>80.375093446920587</v>
      </c>
      <c r="FV165" s="149"/>
      <c r="FY165" s="210">
        <v>160</v>
      </c>
      <c r="FZ165">
        <v>33.646582865926995</v>
      </c>
      <c r="GA165">
        <v>80.242860825586831</v>
      </c>
      <c r="GB165">
        <v>30.098814519653658</v>
      </c>
      <c r="GC165">
        <v>6.3320671529891257</v>
      </c>
      <c r="GD165">
        <v>4.9890304697350798</v>
      </c>
      <c r="GE165">
        <v>6.4559079927539988</v>
      </c>
      <c r="GF165">
        <v>7.4899833499388713</v>
      </c>
      <c r="GG165">
        <v>13.992661160072705</v>
      </c>
      <c r="GH165">
        <v>15.098212691412789</v>
      </c>
      <c r="GI165">
        <v>27.836011932612603</v>
      </c>
      <c r="GJ165"/>
      <c r="GK165"/>
      <c r="GL165"/>
      <c r="GM165"/>
    </row>
    <row r="166" spans="1:195" s="7" customFormat="1">
      <c r="A166" s="1"/>
      <c r="B166" s="76">
        <f t="shared" ca="1" si="171"/>
        <v>0.98511464917382185</v>
      </c>
      <c r="C166">
        <v>6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20.833333333333332</v>
      </c>
      <c r="J166">
        <v>0</v>
      </c>
      <c r="K166">
        <v>0</v>
      </c>
      <c r="L166">
        <v>10.416666666666666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60.058148595234343</v>
      </c>
      <c r="AO166">
        <v>62.526939801494109</v>
      </c>
      <c r="AP166">
        <v>415.28280251063842</v>
      </c>
      <c r="AQ166">
        <v>190.18812136345872</v>
      </c>
      <c r="AR166">
        <v>57.969280901123035</v>
      </c>
      <c r="AS166">
        <v>309.84118259180684</v>
      </c>
      <c r="AT166">
        <v>23.366044972711066</v>
      </c>
      <c r="AU166">
        <v>-7.3489871175310331</v>
      </c>
      <c r="AV166"/>
      <c r="AW166"/>
      <c r="AX166" s="146"/>
      <c r="AY166" s="76">
        <f t="shared" ca="1" si="172"/>
        <v>1.9346108320319466E-2</v>
      </c>
      <c r="AZ166">
        <v>9</v>
      </c>
      <c r="BA166" s="129">
        <f t="shared" si="244"/>
        <v>39910</v>
      </c>
      <c r="BB166">
        <v>0</v>
      </c>
      <c r="BC166"/>
      <c r="BD166"/>
      <c r="BE166"/>
      <c r="BF166"/>
      <c r="BG166"/>
      <c r="BH166"/>
      <c r="BI166"/>
      <c r="BJ166"/>
      <c r="BK166"/>
      <c r="BL166"/>
      <c r="BM166"/>
      <c r="BN166"/>
      <c r="BO166">
        <v>1</v>
      </c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7"/>
        <v>0.39079485369356082</v>
      </c>
      <c r="CL166" s="179">
        <f t="shared" si="208"/>
        <v>9</v>
      </c>
      <c r="CM166" s="180">
        <f t="shared" si="209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10"/>
        <v>9.6000000000000002E-2</v>
      </c>
      <c r="DB166" s="146"/>
      <c r="DC166" s="76">
        <f t="shared" ca="1" si="173"/>
        <v>0.74451428050173907</v>
      </c>
      <c r="DD166">
        <f t="shared" si="211"/>
        <v>9</v>
      </c>
      <c r="DE166" s="129">
        <f t="shared" si="243"/>
        <v>39910</v>
      </c>
      <c r="DF166" s="161">
        <f t="shared" si="212"/>
        <v>0</v>
      </c>
      <c r="DG166" s="161">
        <f t="shared" si="213"/>
        <v>0</v>
      </c>
      <c r="DH166" s="161">
        <f t="shared" si="214"/>
        <v>0</v>
      </c>
      <c r="DI166" s="161">
        <f t="shared" si="215"/>
        <v>0</v>
      </c>
      <c r="DJ166" s="161">
        <f t="shared" si="216"/>
        <v>0</v>
      </c>
      <c r="DK166" s="161">
        <f t="shared" si="217"/>
        <v>0</v>
      </c>
      <c r="DL166" s="161">
        <f t="shared" si="218"/>
        <v>0</v>
      </c>
      <c r="DM166" s="161">
        <f t="shared" si="219"/>
        <v>0</v>
      </c>
      <c r="DN166" s="161">
        <f t="shared" si="220"/>
        <v>0</v>
      </c>
      <c r="DO166" s="161">
        <f t="shared" si="221"/>
        <v>0</v>
      </c>
      <c r="DP166" s="161">
        <f t="shared" si="222"/>
        <v>0</v>
      </c>
      <c r="DQ166" s="161">
        <f t="shared" si="223"/>
        <v>0</v>
      </c>
      <c r="DR166" s="161">
        <f t="shared" si="224"/>
        <v>0</v>
      </c>
      <c r="DS166" s="161">
        <f t="shared" si="225"/>
        <v>34.375</v>
      </c>
      <c r="DT166" s="161">
        <f t="shared" si="226"/>
        <v>0</v>
      </c>
      <c r="DU166" s="161">
        <f t="shared" si="227"/>
        <v>0</v>
      </c>
      <c r="DV166" s="161">
        <f t="shared" si="228"/>
        <v>0</v>
      </c>
      <c r="DW166" s="161">
        <f t="shared" si="229"/>
        <v>0</v>
      </c>
      <c r="DX166" s="161">
        <f t="shared" si="230"/>
        <v>0</v>
      </c>
      <c r="DY166" s="161">
        <f t="shared" si="231"/>
        <v>0</v>
      </c>
      <c r="DZ166" s="161">
        <f t="shared" si="232"/>
        <v>0</v>
      </c>
      <c r="EA166" s="161">
        <f t="shared" si="233"/>
        <v>0</v>
      </c>
      <c r="EB166" s="161">
        <f t="shared" si="234"/>
        <v>0</v>
      </c>
      <c r="EC166" s="161">
        <f t="shared" si="235"/>
        <v>0</v>
      </c>
      <c r="ED166" s="161">
        <f t="shared" si="236"/>
        <v>0</v>
      </c>
      <c r="EE166" s="161">
        <f t="shared" si="237"/>
        <v>0</v>
      </c>
      <c r="EF166" s="161">
        <f t="shared" si="238"/>
        <v>0</v>
      </c>
      <c r="EG166" s="161">
        <f t="shared" si="239"/>
        <v>0</v>
      </c>
      <c r="EH166" s="161">
        <f t="shared" si="240"/>
        <v>0</v>
      </c>
      <c r="EI166" s="161">
        <f t="shared" si="241"/>
        <v>0</v>
      </c>
      <c r="EJ166" s="161">
        <f t="shared" si="242"/>
        <v>0</v>
      </c>
      <c r="EK166" s="147">
        <f t="shared" si="174"/>
        <v>34.375</v>
      </c>
      <c r="EL166" s="149"/>
      <c r="EN166" s="146"/>
      <c r="EO166" s="146"/>
      <c r="EP166" s="139">
        <f t="shared" si="175"/>
        <v>0</v>
      </c>
      <c r="EQ166" s="139">
        <f t="shared" si="176"/>
        <v>0</v>
      </c>
      <c r="ER166" s="139">
        <f t="shared" si="177"/>
        <v>0</v>
      </c>
      <c r="ES166" s="139">
        <f t="shared" si="178"/>
        <v>0</v>
      </c>
      <c r="ET166" s="139">
        <f t="shared" si="179"/>
        <v>0</v>
      </c>
      <c r="EU166" s="139">
        <f t="shared" si="180"/>
        <v>0</v>
      </c>
      <c r="EV166" s="139">
        <f t="shared" si="181"/>
        <v>0</v>
      </c>
      <c r="EW166" s="139">
        <f t="shared" si="182"/>
        <v>0</v>
      </c>
      <c r="EX166" s="139">
        <f t="shared" si="183"/>
        <v>0</v>
      </c>
      <c r="EY166" s="139">
        <f t="shared" si="184"/>
        <v>0</v>
      </c>
      <c r="EZ166" s="139">
        <f t="shared" si="185"/>
        <v>0</v>
      </c>
      <c r="FA166" s="139">
        <f t="shared" si="186"/>
        <v>0</v>
      </c>
      <c r="FB166" s="139">
        <f t="shared" si="187"/>
        <v>0</v>
      </c>
      <c r="FC166" s="139">
        <f t="shared" si="188"/>
        <v>177.29640295844459</v>
      </c>
      <c r="FD166" s="139">
        <f t="shared" si="189"/>
        <v>0</v>
      </c>
      <c r="FE166" s="139">
        <f t="shared" si="190"/>
        <v>0</v>
      </c>
      <c r="FF166" s="139">
        <f t="shared" si="191"/>
        <v>0</v>
      </c>
      <c r="FG166" s="139">
        <f t="shared" si="192"/>
        <v>0</v>
      </c>
      <c r="FH166" s="139">
        <f t="shared" si="193"/>
        <v>0</v>
      </c>
      <c r="FI166" s="139">
        <f t="shared" si="194"/>
        <v>0</v>
      </c>
      <c r="FJ166" s="139">
        <f t="shared" si="195"/>
        <v>0</v>
      </c>
      <c r="FK166" s="139">
        <f t="shared" si="196"/>
        <v>0</v>
      </c>
      <c r="FL166" s="139">
        <f t="shared" si="197"/>
        <v>0</v>
      </c>
      <c r="FM166" s="139">
        <f t="shared" si="198"/>
        <v>0</v>
      </c>
      <c r="FN166" s="139">
        <f t="shared" si="199"/>
        <v>0</v>
      </c>
      <c r="FO166" s="139">
        <f t="shared" si="200"/>
        <v>0</v>
      </c>
      <c r="FP166" s="139">
        <f t="shared" si="201"/>
        <v>0</v>
      </c>
      <c r="FQ166" s="139">
        <f t="shared" si="202"/>
        <v>0</v>
      </c>
      <c r="FR166" s="139">
        <f t="shared" si="203"/>
        <v>0</v>
      </c>
      <c r="FS166" s="139">
        <f t="shared" si="204"/>
        <v>0</v>
      </c>
      <c r="FT166" s="139">
        <f t="shared" si="205"/>
        <v>0</v>
      </c>
      <c r="FU166" s="148">
        <f t="shared" si="206"/>
        <v>177.29640295844459</v>
      </c>
      <c r="FV166" s="149"/>
      <c r="FY166" s="210">
        <v>161</v>
      </c>
      <c r="FZ166">
        <v>35.947462014220939</v>
      </c>
      <c r="GA166">
        <v>46.886210500189705</v>
      </c>
      <c r="GB166">
        <v>18.129167957007876</v>
      </c>
      <c r="GC166">
        <v>9.9260284061882871</v>
      </c>
      <c r="GD166">
        <v>6.2073335832020007</v>
      </c>
      <c r="GE166">
        <v>6.3928909621823706</v>
      </c>
      <c r="GF166">
        <v>6.877871216446156</v>
      </c>
      <c r="GG166">
        <v>18.279310459059847</v>
      </c>
      <c r="GH166">
        <v>25.634230347001342</v>
      </c>
      <c r="GI166">
        <v>29.331462571772352</v>
      </c>
      <c r="GJ166"/>
      <c r="GK166"/>
      <c r="GL166"/>
      <c r="GM166"/>
    </row>
    <row r="167" spans="1:195" s="7" customFormat="1">
      <c r="A167" s="1"/>
      <c r="B167" s="76">
        <f t="shared" ca="1" si="171"/>
        <v>0.8324660903947052</v>
      </c>
      <c r="C167">
        <v>1</v>
      </c>
      <c r="D167">
        <v>39910</v>
      </c>
      <c r="E167">
        <v>0</v>
      </c>
      <c r="F167">
        <v>0</v>
      </c>
      <c r="G167">
        <v>0</v>
      </c>
      <c r="H167">
        <v>10.416666666666666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20.833333333333332</v>
      </c>
      <c r="R167">
        <v>0</v>
      </c>
      <c r="S167">
        <v>10.416666666666666</v>
      </c>
      <c r="T167">
        <v>0</v>
      </c>
      <c r="U167">
        <v>10.416666666666666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46.275567331121074</v>
      </c>
      <c r="AO167">
        <v>53.373236727545887</v>
      </c>
      <c r="AP167">
        <v>412.06912375017441</v>
      </c>
      <c r="AQ167">
        <v>187.31046521690362</v>
      </c>
      <c r="AR167">
        <v>50.46329893455809</v>
      </c>
      <c r="AS167">
        <v>334.59978044262334</v>
      </c>
      <c r="AT167">
        <v>21.952271679440255</v>
      </c>
      <c r="AU167">
        <v>45.800867236298927</v>
      </c>
      <c r="AV167"/>
      <c r="AW167"/>
      <c r="AX167" s="146"/>
      <c r="AY167" s="76">
        <f t="shared" ca="1" si="172"/>
        <v>0.90734099702909976</v>
      </c>
      <c r="AZ167">
        <v>10</v>
      </c>
      <c r="BA167" s="129">
        <f t="shared" si="244"/>
        <v>39910</v>
      </c>
      <c r="BB167">
        <v>0</v>
      </c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7"/>
        <v>0.30775946396224874</v>
      </c>
      <c r="CL167" s="179">
        <f t="shared" si="208"/>
        <v>10</v>
      </c>
      <c r="CM167" s="180">
        <f t="shared" si="209"/>
        <v>39910</v>
      </c>
      <c r="CN167" s="222">
        <v>0</v>
      </c>
      <c r="CO167" s="222"/>
      <c r="CP167" s="222"/>
      <c r="CQ167" s="222"/>
      <c r="CR167" s="222"/>
      <c r="CS167"/>
      <c r="CT167"/>
      <c r="CU167"/>
      <c r="CV167" s="160"/>
      <c r="CW167">
        <v>1</v>
      </c>
      <c r="CX167">
        <f>350/35</f>
        <v>10</v>
      </c>
      <c r="CY167" s="165"/>
      <c r="CZ167" s="177">
        <f t="shared" si="210"/>
        <v>9.6000000000000002E-2</v>
      </c>
      <c r="DB167" s="146"/>
      <c r="DC167" s="76">
        <f t="shared" ca="1" si="173"/>
        <v>0.90130179763690021</v>
      </c>
      <c r="DD167">
        <f t="shared" si="211"/>
        <v>10</v>
      </c>
      <c r="DE167" s="129">
        <f t="shared" si="243"/>
        <v>39910</v>
      </c>
      <c r="DF167" s="161">
        <f t="shared" si="212"/>
        <v>0</v>
      </c>
      <c r="DG167" s="161">
        <f t="shared" si="213"/>
        <v>0</v>
      </c>
      <c r="DH167" s="161">
        <f t="shared" si="214"/>
        <v>0</v>
      </c>
      <c r="DI167" s="161">
        <f t="shared" si="215"/>
        <v>0</v>
      </c>
      <c r="DJ167" s="161">
        <f t="shared" si="216"/>
        <v>0</v>
      </c>
      <c r="DK167" s="161">
        <f t="shared" si="217"/>
        <v>0</v>
      </c>
      <c r="DL167" s="161">
        <f t="shared" si="218"/>
        <v>0</v>
      </c>
      <c r="DM167" s="161">
        <f t="shared" si="219"/>
        <v>0</v>
      </c>
      <c r="DN167" s="161">
        <f t="shared" si="220"/>
        <v>0</v>
      </c>
      <c r="DO167" s="161">
        <f t="shared" si="221"/>
        <v>0</v>
      </c>
      <c r="DP167" s="161">
        <f t="shared" si="222"/>
        <v>0</v>
      </c>
      <c r="DQ167" s="161">
        <f t="shared" si="223"/>
        <v>0</v>
      </c>
      <c r="DR167" s="161">
        <f t="shared" si="224"/>
        <v>0</v>
      </c>
      <c r="DS167" s="161">
        <f t="shared" si="225"/>
        <v>0</v>
      </c>
      <c r="DT167" s="161">
        <f t="shared" si="226"/>
        <v>0</v>
      </c>
      <c r="DU167" s="161">
        <f t="shared" si="227"/>
        <v>0</v>
      </c>
      <c r="DV167" s="161">
        <f t="shared" si="228"/>
        <v>0</v>
      </c>
      <c r="DW167" s="161">
        <f t="shared" si="229"/>
        <v>0</v>
      </c>
      <c r="DX167" s="161">
        <f t="shared" si="230"/>
        <v>0</v>
      </c>
      <c r="DY167" s="161">
        <f t="shared" si="231"/>
        <v>0</v>
      </c>
      <c r="DZ167" s="161">
        <f t="shared" si="232"/>
        <v>0</v>
      </c>
      <c r="EA167" s="161">
        <f t="shared" si="233"/>
        <v>0</v>
      </c>
      <c r="EB167" s="161">
        <f t="shared" si="234"/>
        <v>0</v>
      </c>
      <c r="EC167" s="161">
        <f t="shared" si="235"/>
        <v>0</v>
      </c>
      <c r="ED167" s="161">
        <f t="shared" si="236"/>
        <v>0</v>
      </c>
      <c r="EE167" s="161">
        <f t="shared" si="237"/>
        <v>0</v>
      </c>
      <c r="EF167" s="161">
        <f t="shared" si="238"/>
        <v>0</v>
      </c>
      <c r="EG167" s="161">
        <f t="shared" si="239"/>
        <v>0</v>
      </c>
      <c r="EH167" s="161">
        <f t="shared" si="240"/>
        <v>0</v>
      </c>
      <c r="EI167" s="161">
        <f t="shared" si="241"/>
        <v>0</v>
      </c>
      <c r="EJ167" s="161">
        <f t="shared" si="242"/>
        <v>0</v>
      </c>
      <c r="EK167" s="147">
        <f t="shared" si="174"/>
        <v>0</v>
      </c>
      <c r="EL167" s="149"/>
      <c r="EN167" s="146"/>
      <c r="EO167" s="146"/>
      <c r="EP167" s="139">
        <f t="shared" si="175"/>
        <v>0</v>
      </c>
      <c r="EQ167" s="139">
        <f t="shared" si="176"/>
        <v>0</v>
      </c>
      <c r="ER167" s="139">
        <f t="shared" si="177"/>
        <v>0</v>
      </c>
      <c r="ES167" s="139">
        <f t="shared" si="178"/>
        <v>0</v>
      </c>
      <c r="ET167" s="139">
        <f t="shared" si="179"/>
        <v>0</v>
      </c>
      <c r="EU167" s="139">
        <f t="shared" si="180"/>
        <v>0</v>
      </c>
      <c r="EV167" s="139">
        <f t="shared" si="181"/>
        <v>0</v>
      </c>
      <c r="EW167" s="139">
        <f t="shared" si="182"/>
        <v>0</v>
      </c>
      <c r="EX167" s="139">
        <f t="shared" si="183"/>
        <v>0</v>
      </c>
      <c r="EY167" s="139">
        <f t="shared" si="184"/>
        <v>0</v>
      </c>
      <c r="EZ167" s="139">
        <f t="shared" si="185"/>
        <v>0</v>
      </c>
      <c r="FA167" s="139">
        <f t="shared" si="186"/>
        <v>0</v>
      </c>
      <c r="FB167" s="139">
        <f t="shared" si="187"/>
        <v>0</v>
      </c>
      <c r="FC167" s="139">
        <f t="shared" si="188"/>
        <v>0</v>
      </c>
      <c r="FD167" s="139">
        <f t="shared" si="189"/>
        <v>0</v>
      </c>
      <c r="FE167" s="139">
        <f t="shared" si="190"/>
        <v>0</v>
      </c>
      <c r="FF167" s="139">
        <f t="shared" si="191"/>
        <v>0</v>
      </c>
      <c r="FG167" s="139">
        <f t="shared" si="192"/>
        <v>0</v>
      </c>
      <c r="FH167" s="139">
        <f t="shared" si="193"/>
        <v>0</v>
      </c>
      <c r="FI167" s="139">
        <f t="shared" si="194"/>
        <v>0</v>
      </c>
      <c r="FJ167" s="139">
        <f t="shared" si="195"/>
        <v>0</v>
      </c>
      <c r="FK167" s="139">
        <f t="shared" si="196"/>
        <v>0</v>
      </c>
      <c r="FL167" s="139">
        <f t="shared" si="197"/>
        <v>0</v>
      </c>
      <c r="FM167" s="139">
        <f t="shared" si="198"/>
        <v>0</v>
      </c>
      <c r="FN167" s="139">
        <f t="shared" si="199"/>
        <v>0</v>
      </c>
      <c r="FO167" s="139">
        <f t="shared" si="200"/>
        <v>0</v>
      </c>
      <c r="FP167" s="139">
        <f t="shared" si="201"/>
        <v>0</v>
      </c>
      <c r="FQ167" s="139">
        <f t="shared" si="202"/>
        <v>0</v>
      </c>
      <c r="FR167" s="139">
        <f t="shared" si="203"/>
        <v>0</v>
      </c>
      <c r="FS167" s="139">
        <f t="shared" si="204"/>
        <v>0</v>
      </c>
      <c r="FT167" s="139">
        <f t="shared" si="205"/>
        <v>0</v>
      </c>
      <c r="FU167" s="148">
        <f t="shared" si="206"/>
        <v>0</v>
      </c>
      <c r="FV167" s="149"/>
      <c r="FY167" s="210">
        <v>162</v>
      </c>
      <c r="FZ167">
        <v>21.350913333081198</v>
      </c>
      <c r="GA167">
        <v>64.277815996643341</v>
      </c>
      <c r="GB167">
        <v>38.146217684168988</v>
      </c>
      <c r="GC167">
        <v>9.2927283943035537</v>
      </c>
      <c r="GD167">
        <v>4.3890008221252081</v>
      </c>
      <c r="GE167">
        <v>5.5659785047485251</v>
      </c>
      <c r="GF167">
        <v>10.710349190760448</v>
      </c>
      <c r="GG167">
        <v>15.578265331625046</v>
      </c>
      <c r="GH167">
        <v>15.268714473565186</v>
      </c>
      <c r="GI167">
        <v>30.423816583504021</v>
      </c>
      <c r="GJ167"/>
      <c r="GK167"/>
      <c r="GL167"/>
      <c r="GM167"/>
    </row>
    <row r="168" spans="1:195" s="7" customFormat="1">
      <c r="A168" s="128"/>
      <c r="B168" s="76">
        <f t="shared" ca="1" si="171"/>
        <v>0.33135480740042333</v>
      </c>
      <c r="C168">
        <v>2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10.416666666666666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52.779830166713658</v>
      </c>
      <c r="AO168">
        <v>50.095495309209404</v>
      </c>
      <c r="AP168">
        <v>303.47359485790537</v>
      </c>
      <c r="AQ168">
        <v>168.36943969543998</v>
      </c>
      <c r="AR168">
        <v>48.306290260314384</v>
      </c>
      <c r="AS168">
        <v>374.18802978640718</v>
      </c>
      <c r="AT168">
        <v>18.960246126234466</v>
      </c>
      <c r="AU168">
        <v>9.6949139484006626</v>
      </c>
      <c r="AV168"/>
      <c r="AW168"/>
      <c r="AX168" s="128"/>
      <c r="AY168" s="76">
        <f t="shared" ca="1" si="172"/>
        <v>0.65163973869420921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7"/>
        <v>0.48655291170538684</v>
      </c>
      <c r="CL168" s="179">
        <f t="shared" si="208"/>
        <v>1</v>
      </c>
      <c r="CM168" s="180">
        <f t="shared" si="209"/>
        <v>39949</v>
      </c>
      <c r="CN168">
        <v>0</v>
      </c>
      <c r="CO168"/>
      <c r="CP168"/>
      <c r="CQ168"/>
      <c r="CR168">
        <v>1</v>
      </c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10"/>
        <v>9.6000000000000002E-2</v>
      </c>
      <c r="DB168" s="128"/>
      <c r="DC168" s="76">
        <f t="shared" ca="1" si="173"/>
        <v>0.61432373005525576</v>
      </c>
      <c r="DD168">
        <f t="shared" si="211"/>
        <v>1</v>
      </c>
      <c r="DE168" s="129">
        <f t="shared" ref="DE168:DE177" si="245">IF((DD168)="", "", $C$12)</f>
        <v>39949</v>
      </c>
      <c r="DF168" s="161">
        <f t="shared" si="212"/>
        <v>0</v>
      </c>
      <c r="DG168" s="161">
        <f t="shared" si="213"/>
        <v>0</v>
      </c>
      <c r="DH168" s="161">
        <f t="shared" si="214"/>
        <v>0</v>
      </c>
      <c r="DI168" s="161">
        <f t="shared" si="215"/>
        <v>0</v>
      </c>
      <c r="DJ168" s="161">
        <f t="shared" si="216"/>
        <v>40.788152610441763</v>
      </c>
      <c r="DK168" s="161">
        <f t="shared" si="217"/>
        <v>0</v>
      </c>
      <c r="DL168" s="161">
        <f t="shared" si="218"/>
        <v>0</v>
      </c>
      <c r="DM168" s="161">
        <f t="shared" si="219"/>
        <v>0</v>
      </c>
      <c r="DN168" s="161">
        <f t="shared" si="220"/>
        <v>0</v>
      </c>
      <c r="DO168" s="161">
        <f t="shared" si="221"/>
        <v>0</v>
      </c>
      <c r="DP168" s="161">
        <f t="shared" si="222"/>
        <v>0</v>
      </c>
      <c r="DQ168" s="161">
        <f t="shared" si="223"/>
        <v>0</v>
      </c>
      <c r="DR168" s="161">
        <f t="shared" si="224"/>
        <v>0</v>
      </c>
      <c r="DS168" s="161">
        <f t="shared" si="225"/>
        <v>0</v>
      </c>
      <c r="DT168" s="161">
        <f t="shared" si="226"/>
        <v>0</v>
      </c>
      <c r="DU168" s="161">
        <f t="shared" si="227"/>
        <v>0</v>
      </c>
      <c r="DV168" s="161">
        <f t="shared" si="228"/>
        <v>0</v>
      </c>
      <c r="DW168" s="161">
        <f t="shared" si="229"/>
        <v>0</v>
      </c>
      <c r="DX168" s="161">
        <f t="shared" si="230"/>
        <v>0</v>
      </c>
      <c r="DY168" s="161">
        <f t="shared" si="231"/>
        <v>0</v>
      </c>
      <c r="DZ168" s="161">
        <f t="shared" si="232"/>
        <v>0</v>
      </c>
      <c r="EA168" s="161">
        <f t="shared" si="233"/>
        <v>0</v>
      </c>
      <c r="EB168" s="161">
        <f t="shared" si="234"/>
        <v>0</v>
      </c>
      <c r="EC168" s="161">
        <f t="shared" si="235"/>
        <v>0</v>
      </c>
      <c r="ED168" s="161">
        <f t="shared" si="236"/>
        <v>0</v>
      </c>
      <c r="EE168" s="161">
        <f t="shared" si="237"/>
        <v>0</v>
      </c>
      <c r="EF168" s="161">
        <f t="shared" si="238"/>
        <v>0</v>
      </c>
      <c r="EG168" s="161">
        <f t="shared" si="239"/>
        <v>0</v>
      </c>
      <c r="EH168" s="161">
        <f t="shared" si="240"/>
        <v>0</v>
      </c>
      <c r="EI168" s="161">
        <f t="shared" si="241"/>
        <v>0</v>
      </c>
      <c r="EJ168" s="161">
        <f t="shared" si="242"/>
        <v>0</v>
      </c>
      <c r="EK168" s="147">
        <f t="shared" si="174"/>
        <v>40.788152610441763</v>
      </c>
      <c r="EL168" s="149"/>
      <c r="EN168" s="146"/>
      <c r="EO168" s="146"/>
      <c r="EP168" s="139">
        <f t="shared" si="175"/>
        <v>0</v>
      </c>
      <c r="EQ168" s="139">
        <f t="shared" si="176"/>
        <v>0</v>
      </c>
      <c r="ER168" s="139">
        <f t="shared" si="177"/>
        <v>0</v>
      </c>
      <c r="ES168" s="139">
        <f t="shared" si="178"/>
        <v>0</v>
      </c>
      <c r="ET168" s="139">
        <f t="shared" si="179"/>
        <v>11.311508289032632</v>
      </c>
      <c r="EU168" s="139">
        <f t="shared" si="180"/>
        <v>0</v>
      </c>
      <c r="EV168" s="139">
        <f t="shared" si="181"/>
        <v>0</v>
      </c>
      <c r="EW168" s="139">
        <f t="shared" si="182"/>
        <v>0</v>
      </c>
      <c r="EX168" s="139">
        <f t="shared" si="183"/>
        <v>0</v>
      </c>
      <c r="EY168" s="139">
        <f t="shared" si="184"/>
        <v>0</v>
      </c>
      <c r="EZ168" s="139">
        <f t="shared" si="185"/>
        <v>0</v>
      </c>
      <c r="FA168" s="139">
        <f t="shared" si="186"/>
        <v>0</v>
      </c>
      <c r="FB168" s="139">
        <f t="shared" si="187"/>
        <v>0</v>
      </c>
      <c r="FC168" s="139">
        <f t="shared" si="188"/>
        <v>0</v>
      </c>
      <c r="FD168" s="139">
        <f t="shared" si="189"/>
        <v>0</v>
      </c>
      <c r="FE168" s="139">
        <f t="shared" si="190"/>
        <v>0</v>
      </c>
      <c r="FF168" s="139">
        <f t="shared" si="191"/>
        <v>0</v>
      </c>
      <c r="FG168" s="139">
        <f t="shared" si="192"/>
        <v>0</v>
      </c>
      <c r="FH168" s="139">
        <f t="shared" si="193"/>
        <v>0</v>
      </c>
      <c r="FI168" s="139">
        <f t="shared" si="194"/>
        <v>0</v>
      </c>
      <c r="FJ168" s="139">
        <f t="shared" si="195"/>
        <v>0</v>
      </c>
      <c r="FK168" s="139">
        <f t="shared" si="196"/>
        <v>0</v>
      </c>
      <c r="FL168" s="139">
        <f t="shared" si="197"/>
        <v>0</v>
      </c>
      <c r="FM168" s="139">
        <f t="shared" si="198"/>
        <v>0</v>
      </c>
      <c r="FN168" s="139">
        <f t="shared" si="199"/>
        <v>0</v>
      </c>
      <c r="FO168" s="139">
        <f t="shared" si="200"/>
        <v>0</v>
      </c>
      <c r="FP168" s="139">
        <f t="shared" si="201"/>
        <v>0</v>
      </c>
      <c r="FQ168" s="139">
        <f t="shared" si="202"/>
        <v>0</v>
      </c>
      <c r="FR168" s="139">
        <f t="shared" si="203"/>
        <v>0</v>
      </c>
      <c r="FS168" s="139">
        <f t="shared" si="204"/>
        <v>0</v>
      </c>
      <c r="FT168" s="139">
        <f t="shared" si="205"/>
        <v>0</v>
      </c>
      <c r="FU168" s="148">
        <f t="shared" si="206"/>
        <v>11.311508289032632</v>
      </c>
      <c r="FV168" s="149"/>
      <c r="FY168" s="210">
        <v>163</v>
      </c>
      <c r="FZ168">
        <v>28.330913334469273</v>
      </c>
      <c r="GA168">
        <v>62.272997627777414</v>
      </c>
      <c r="GB168">
        <v>26.360329738436349</v>
      </c>
      <c r="GC168">
        <v>12.094443741553915</v>
      </c>
      <c r="GD168">
        <v>6.7909018343232885</v>
      </c>
      <c r="GE168">
        <v>5.7981537480351291</v>
      </c>
      <c r="GF168">
        <v>7.1736992064811202</v>
      </c>
      <c r="GG168">
        <v>10.022559301281969</v>
      </c>
      <c r="GH168">
        <v>16.900245232094381</v>
      </c>
      <c r="GI168">
        <v>29.414591014727684</v>
      </c>
      <c r="GJ168"/>
      <c r="GK168"/>
      <c r="GL168"/>
      <c r="GM168"/>
    </row>
    <row r="169" spans="1:195" s="7" customFormat="1">
      <c r="A169" s="1"/>
      <c r="B169" s="76">
        <f t="shared" ca="1" si="171"/>
        <v>8.1043458468772034E-2</v>
      </c>
      <c r="C169">
        <v>4</v>
      </c>
      <c r="D169">
        <v>39949</v>
      </c>
      <c r="E169">
        <v>0</v>
      </c>
      <c r="F169">
        <v>0</v>
      </c>
      <c r="G169">
        <v>0</v>
      </c>
      <c r="H169">
        <v>45.662100456620998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61.295016963503443</v>
      </c>
      <c r="AO169">
        <v>95.309882803115627</v>
      </c>
      <c r="AP169">
        <v>720.4825366192515</v>
      </c>
      <c r="AQ169">
        <v>272.26954668597733</v>
      </c>
      <c r="AR169">
        <v>89.872595521431762</v>
      </c>
      <c r="AS169">
        <v>544.4547882842952</v>
      </c>
      <c r="AT169">
        <v>36.154253497595413</v>
      </c>
      <c r="AU169">
        <v>-5.3788527469755429</v>
      </c>
      <c r="AV169"/>
      <c r="AW169"/>
      <c r="AX169" s="146"/>
      <c r="AY169" s="76">
        <f t="shared" ca="1" si="172"/>
        <v>1.0213253795221533E-2</v>
      </c>
      <c r="AZ169">
        <v>2</v>
      </c>
      <c r="BA169" s="129">
        <f t="shared" ref="BA169:BA177" si="246">IF(AZ169="", "",$C$12)</f>
        <v>39949</v>
      </c>
      <c r="BB169">
        <v>0</v>
      </c>
      <c r="BC169"/>
      <c r="BD169"/>
      <c r="BE169"/>
      <c r="BF169"/>
      <c r="BG169"/>
      <c r="BH169"/>
      <c r="BI169"/>
      <c r="BJ169">
        <v>1</v>
      </c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7"/>
        <v>0.74901326269961088</v>
      </c>
      <c r="CL169" s="179">
        <f t="shared" si="208"/>
        <v>2</v>
      </c>
      <c r="CM169" s="180">
        <f t="shared" si="209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10"/>
        <v>9.6000000000000002E-2</v>
      </c>
      <c r="DB169" s="146"/>
      <c r="DC169" s="76">
        <f t="shared" ca="1" si="173"/>
        <v>0.96944315773971157</v>
      </c>
      <c r="DD169">
        <f t="shared" si="211"/>
        <v>2</v>
      </c>
      <c r="DE169" s="129">
        <f t="shared" si="245"/>
        <v>39949</v>
      </c>
      <c r="DF169" s="161">
        <f t="shared" si="212"/>
        <v>0</v>
      </c>
      <c r="DG169" s="161">
        <f t="shared" si="213"/>
        <v>0</v>
      </c>
      <c r="DH169" s="161">
        <f t="shared" si="214"/>
        <v>0</v>
      </c>
      <c r="DI169" s="161">
        <f t="shared" si="215"/>
        <v>0</v>
      </c>
      <c r="DJ169" s="161">
        <f t="shared" si="216"/>
        <v>0</v>
      </c>
      <c r="DK169" s="161">
        <f t="shared" si="217"/>
        <v>0</v>
      </c>
      <c r="DL169" s="161">
        <f t="shared" si="218"/>
        <v>0</v>
      </c>
      <c r="DM169" s="161">
        <f t="shared" si="219"/>
        <v>0</v>
      </c>
      <c r="DN169" s="161">
        <f t="shared" si="220"/>
        <v>10.416666666666666</v>
      </c>
      <c r="DO169" s="161">
        <f t="shared" si="221"/>
        <v>0</v>
      </c>
      <c r="DP169" s="161">
        <f t="shared" si="222"/>
        <v>0</v>
      </c>
      <c r="DQ169" s="161">
        <f t="shared" si="223"/>
        <v>0</v>
      </c>
      <c r="DR169" s="161">
        <f t="shared" si="224"/>
        <v>0</v>
      </c>
      <c r="DS169" s="161">
        <f t="shared" si="225"/>
        <v>0</v>
      </c>
      <c r="DT169" s="161">
        <f t="shared" si="226"/>
        <v>0</v>
      </c>
      <c r="DU169" s="161">
        <f t="shared" si="227"/>
        <v>0</v>
      </c>
      <c r="DV169" s="161">
        <f t="shared" si="228"/>
        <v>0</v>
      </c>
      <c r="DW169" s="161">
        <f t="shared" si="229"/>
        <v>0</v>
      </c>
      <c r="DX169" s="161">
        <f t="shared" si="230"/>
        <v>0</v>
      </c>
      <c r="DY169" s="161">
        <f t="shared" si="231"/>
        <v>0</v>
      </c>
      <c r="DZ169" s="161">
        <f t="shared" si="232"/>
        <v>0</v>
      </c>
      <c r="EA169" s="161">
        <f t="shared" si="233"/>
        <v>0</v>
      </c>
      <c r="EB169" s="161">
        <f t="shared" si="234"/>
        <v>0</v>
      </c>
      <c r="EC169" s="161">
        <f t="shared" si="235"/>
        <v>0</v>
      </c>
      <c r="ED169" s="161">
        <f t="shared" si="236"/>
        <v>0</v>
      </c>
      <c r="EE169" s="161">
        <f t="shared" si="237"/>
        <v>0</v>
      </c>
      <c r="EF169" s="161">
        <f t="shared" si="238"/>
        <v>0</v>
      </c>
      <c r="EG169" s="161">
        <f t="shared" si="239"/>
        <v>0</v>
      </c>
      <c r="EH169" s="161">
        <f t="shared" si="240"/>
        <v>0</v>
      </c>
      <c r="EI169" s="161">
        <f t="shared" si="241"/>
        <v>0</v>
      </c>
      <c r="EJ169" s="161">
        <f t="shared" si="242"/>
        <v>0</v>
      </c>
      <c r="EK169" s="147">
        <f t="shared" si="174"/>
        <v>10.416666666666666</v>
      </c>
      <c r="EL169" s="149"/>
      <c r="EN169" s="146"/>
      <c r="EO169" s="146"/>
      <c r="EP169" s="139">
        <f t="shared" si="175"/>
        <v>0</v>
      </c>
      <c r="EQ169" s="139">
        <f t="shared" si="176"/>
        <v>0</v>
      </c>
      <c r="ER169" s="139">
        <f t="shared" si="177"/>
        <v>0</v>
      </c>
      <c r="ES169" s="139">
        <f t="shared" si="178"/>
        <v>0</v>
      </c>
      <c r="ET169" s="139">
        <f t="shared" si="179"/>
        <v>0</v>
      </c>
      <c r="EU169" s="139">
        <f t="shared" si="180"/>
        <v>0</v>
      </c>
      <c r="EV169" s="139">
        <f t="shared" si="181"/>
        <v>0</v>
      </c>
      <c r="EW169" s="139">
        <f t="shared" si="182"/>
        <v>0</v>
      </c>
      <c r="EX169" s="139">
        <f t="shared" si="183"/>
        <v>16.116459410078342</v>
      </c>
      <c r="EY169" s="139">
        <f t="shared" si="184"/>
        <v>0</v>
      </c>
      <c r="EZ169" s="139">
        <f t="shared" si="185"/>
        <v>0</v>
      </c>
      <c r="FA169" s="139">
        <f t="shared" si="186"/>
        <v>0</v>
      </c>
      <c r="FB169" s="139">
        <f t="shared" si="187"/>
        <v>0</v>
      </c>
      <c r="FC169" s="139">
        <f t="shared" si="188"/>
        <v>0</v>
      </c>
      <c r="FD169" s="139">
        <f t="shared" si="189"/>
        <v>0</v>
      </c>
      <c r="FE169" s="139">
        <f t="shared" si="190"/>
        <v>0</v>
      </c>
      <c r="FF169" s="139">
        <f t="shared" si="191"/>
        <v>0</v>
      </c>
      <c r="FG169" s="139">
        <f t="shared" si="192"/>
        <v>0</v>
      </c>
      <c r="FH169" s="139">
        <f t="shared" si="193"/>
        <v>0</v>
      </c>
      <c r="FI169" s="139">
        <f t="shared" si="194"/>
        <v>0</v>
      </c>
      <c r="FJ169" s="139">
        <f t="shared" si="195"/>
        <v>0</v>
      </c>
      <c r="FK169" s="139">
        <f t="shared" si="196"/>
        <v>0</v>
      </c>
      <c r="FL169" s="139">
        <f t="shared" si="197"/>
        <v>0</v>
      </c>
      <c r="FM169" s="139">
        <f t="shared" si="198"/>
        <v>0</v>
      </c>
      <c r="FN169" s="139">
        <f t="shared" si="199"/>
        <v>0</v>
      </c>
      <c r="FO169" s="139">
        <f t="shared" si="200"/>
        <v>0</v>
      </c>
      <c r="FP169" s="139">
        <f t="shared" si="201"/>
        <v>0</v>
      </c>
      <c r="FQ169" s="139">
        <f t="shared" si="202"/>
        <v>0</v>
      </c>
      <c r="FR169" s="139">
        <f t="shared" si="203"/>
        <v>0</v>
      </c>
      <c r="FS169" s="139">
        <f t="shared" si="204"/>
        <v>0</v>
      </c>
      <c r="FT169" s="139">
        <f t="shared" si="205"/>
        <v>0</v>
      </c>
      <c r="FU169" s="148">
        <f t="shared" si="206"/>
        <v>16.116459410078342</v>
      </c>
      <c r="FV169" s="149"/>
      <c r="FY169" s="210">
        <v>164</v>
      </c>
      <c r="FZ169">
        <v>13.570626743658124</v>
      </c>
      <c r="GA169">
        <v>60.319615211141539</v>
      </c>
      <c r="GB169">
        <v>39.22078901012393</v>
      </c>
      <c r="GC169">
        <v>12.016101072901886</v>
      </c>
      <c r="GD169">
        <v>6.8564004141710688</v>
      </c>
      <c r="GE169">
        <v>7.5801309887966202</v>
      </c>
      <c r="GF169">
        <v>7.2410035828843311</v>
      </c>
      <c r="GG169">
        <v>11.213528553601856</v>
      </c>
      <c r="GH169">
        <v>13.724543721506796</v>
      </c>
      <c r="GI169">
        <v>32.128241617627189</v>
      </c>
      <c r="GJ169"/>
      <c r="GK169"/>
      <c r="GL169"/>
      <c r="GM169"/>
    </row>
    <row r="170" spans="1:195" s="7" customFormat="1">
      <c r="A170" s="1"/>
      <c r="B170" s="76">
        <f t="shared" ca="1" si="171"/>
        <v>0.60080093435973536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37.991081063337852</v>
      </c>
      <c r="AO170">
        <v>52.904434410742809</v>
      </c>
      <c r="AP170">
        <v>409.4275373723454</v>
      </c>
      <c r="AQ170">
        <v>161.13413432096559</v>
      </c>
      <c r="AR170">
        <v>49.378481406922084</v>
      </c>
      <c r="AS170">
        <v>219.72372533034832</v>
      </c>
      <c r="AT170">
        <v>20.613415910733305</v>
      </c>
      <c r="AU170">
        <v>38.50350608913017</v>
      </c>
      <c r="AV170"/>
      <c r="AW170"/>
      <c r="AX170" s="146"/>
      <c r="AY170" s="76">
        <f t="shared" ca="1" si="172"/>
        <v>0.14811660768937895</v>
      </c>
      <c r="AZ170">
        <v>3</v>
      </c>
      <c r="BA170" s="129">
        <f t="shared" si="246"/>
        <v>39949</v>
      </c>
      <c r="BB170">
        <v>0</v>
      </c>
      <c r="BC170" s="225"/>
      <c r="BD170" s="225"/>
      <c r="BE170" s="225"/>
      <c r="BF170" s="225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7"/>
        <v>0.90728292488342044</v>
      </c>
      <c r="CL170" s="179">
        <f t="shared" si="208"/>
        <v>3</v>
      </c>
      <c r="CM170" s="180">
        <f t="shared" si="209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10"/>
        <v>9.6000000000000002E-2</v>
      </c>
      <c r="DB170" s="146"/>
      <c r="DC170" s="76">
        <f t="shared" ca="1" si="173"/>
        <v>0.87632907324802489</v>
      </c>
      <c r="DD170">
        <f t="shared" si="211"/>
        <v>3</v>
      </c>
      <c r="DE170" s="129">
        <f t="shared" si="245"/>
        <v>39949</v>
      </c>
      <c r="DF170" s="161">
        <f t="shared" si="212"/>
        <v>0</v>
      </c>
      <c r="DG170" s="161">
        <f t="shared" si="213"/>
        <v>0</v>
      </c>
      <c r="DH170" s="161">
        <f t="shared" si="214"/>
        <v>0</v>
      </c>
      <c r="DI170" s="161">
        <f t="shared" si="215"/>
        <v>0</v>
      </c>
      <c r="DJ170" s="161">
        <f t="shared" si="216"/>
        <v>0</v>
      </c>
      <c r="DK170" s="161">
        <f t="shared" si="217"/>
        <v>0</v>
      </c>
      <c r="DL170" s="161">
        <f t="shared" si="218"/>
        <v>0</v>
      </c>
      <c r="DM170" s="161">
        <f t="shared" si="219"/>
        <v>0</v>
      </c>
      <c r="DN170" s="161">
        <f t="shared" si="220"/>
        <v>0</v>
      </c>
      <c r="DO170" s="161">
        <f t="shared" si="221"/>
        <v>0</v>
      </c>
      <c r="DP170" s="161">
        <f t="shared" si="222"/>
        <v>0</v>
      </c>
      <c r="DQ170" s="161">
        <f t="shared" si="223"/>
        <v>0</v>
      </c>
      <c r="DR170" s="161">
        <f t="shared" si="224"/>
        <v>0</v>
      </c>
      <c r="DS170" s="161">
        <f t="shared" si="225"/>
        <v>0</v>
      </c>
      <c r="DT170" s="161">
        <f t="shared" si="226"/>
        <v>0</v>
      </c>
      <c r="DU170" s="161">
        <f t="shared" si="227"/>
        <v>0</v>
      </c>
      <c r="DV170" s="161">
        <f t="shared" si="228"/>
        <v>0</v>
      </c>
      <c r="DW170" s="161">
        <f t="shared" si="229"/>
        <v>0</v>
      </c>
      <c r="DX170" s="161">
        <f t="shared" si="230"/>
        <v>0</v>
      </c>
      <c r="DY170" s="161">
        <f t="shared" si="231"/>
        <v>0</v>
      </c>
      <c r="DZ170" s="161">
        <f t="shared" si="232"/>
        <v>0</v>
      </c>
      <c r="EA170" s="161">
        <f t="shared" si="233"/>
        <v>0</v>
      </c>
      <c r="EB170" s="161">
        <f t="shared" si="234"/>
        <v>0</v>
      </c>
      <c r="EC170" s="161">
        <f t="shared" si="235"/>
        <v>0</v>
      </c>
      <c r="ED170" s="161">
        <f t="shared" si="236"/>
        <v>0</v>
      </c>
      <c r="EE170" s="161">
        <f t="shared" si="237"/>
        <v>0</v>
      </c>
      <c r="EF170" s="161">
        <f t="shared" si="238"/>
        <v>0</v>
      </c>
      <c r="EG170" s="161">
        <f t="shared" si="239"/>
        <v>0</v>
      </c>
      <c r="EH170" s="161">
        <f t="shared" si="240"/>
        <v>0</v>
      </c>
      <c r="EI170" s="161">
        <f t="shared" si="241"/>
        <v>0</v>
      </c>
      <c r="EJ170" s="161">
        <f t="shared" si="242"/>
        <v>0</v>
      </c>
      <c r="EK170" s="147">
        <f t="shared" si="174"/>
        <v>0</v>
      </c>
      <c r="EL170" s="149"/>
      <c r="EN170" s="146"/>
      <c r="EO170" s="146"/>
      <c r="EP170" s="139">
        <f t="shared" si="175"/>
        <v>0</v>
      </c>
      <c r="EQ170" s="139">
        <f t="shared" si="176"/>
        <v>0</v>
      </c>
      <c r="ER170" s="139">
        <f t="shared" si="177"/>
        <v>0</v>
      </c>
      <c r="ES170" s="139">
        <f t="shared" si="178"/>
        <v>0</v>
      </c>
      <c r="ET170" s="139">
        <f t="shared" si="179"/>
        <v>0</v>
      </c>
      <c r="EU170" s="139">
        <f t="shared" si="180"/>
        <v>0</v>
      </c>
      <c r="EV170" s="139">
        <f t="shared" si="181"/>
        <v>0</v>
      </c>
      <c r="EW170" s="139">
        <f t="shared" si="182"/>
        <v>0</v>
      </c>
      <c r="EX170" s="139">
        <f t="shared" si="183"/>
        <v>0</v>
      </c>
      <c r="EY170" s="139">
        <f t="shared" si="184"/>
        <v>0</v>
      </c>
      <c r="EZ170" s="139">
        <f t="shared" si="185"/>
        <v>0</v>
      </c>
      <c r="FA170" s="139">
        <f t="shared" si="186"/>
        <v>0</v>
      </c>
      <c r="FB170" s="139">
        <f t="shared" si="187"/>
        <v>0</v>
      </c>
      <c r="FC170" s="139">
        <f t="shared" si="188"/>
        <v>0</v>
      </c>
      <c r="FD170" s="139">
        <f t="shared" si="189"/>
        <v>0</v>
      </c>
      <c r="FE170" s="139">
        <f t="shared" si="190"/>
        <v>0</v>
      </c>
      <c r="FF170" s="139">
        <f t="shared" si="191"/>
        <v>0</v>
      </c>
      <c r="FG170" s="139">
        <f t="shared" si="192"/>
        <v>0</v>
      </c>
      <c r="FH170" s="139">
        <f t="shared" si="193"/>
        <v>0</v>
      </c>
      <c r="FI170" s="139">
        <f t="shared" si="194"/>
        <v>0</v>
      </c>
      <c r="FJ170" s="139">
        <f t="shared" si="195"/>
        <v>0</v>
      </c>
      <c r="FK170" s="139">
        <f t="shared" si="196"/>
        <v>0</v>
      </c>
      <c r="FL170" s="139">
        <f t="shared" si="197"/>
        <v>0</v>
      </c>
      <c r="FM170" s="139">
        <f t="shared" si="198"/>
        <v>0</v>
      </c>
      <c r="FN170" s="139">
        <f t="shared" si="199"/>
        <v>0</v>
      </c>
      <c r="FO170" s="139">
        <f t="shared" si="200"/>
        <v>0</v>
      </c>
      <c r="FP170" s="139">
        <f t="shared" si="201"/>
        <v>0</v>
      </c>
      <c r="FQ170" s="139">
        <f t="shared" si="202"/>
        <v>0</v>
      </c>
      <c r="FR170" s="139">
        <f t="shared" si="203"/>
        <v>0</v>
      </c>
      <c r="FS170" s="139">
        <f t="shared" si="204"/>
        <v>0</v>
      </c>
      <c r="FT170" s="139">
        <f t="shared" si="205"/>
        <v>0</v>
      </c>
      <c r="FU170" s="148">
        <f t="shared" si="206"/>
        <v>0</v>
      </c>
      <c r="FV170" s="149"/>
      <c r="FY170" s="210">
        <v>165</v>
      </c>
      <c r="FZ170">
        <v>29.752692564910969</v>
      </c>
      <c r="GA170">
        <v>56.104847935766884</v>
      </c>
      <c r="GB170">
        <v>20.481616911285027</v>
      </c>
      <c r="GC170">
        <v>7.0107988466866473</v>
      </c>
      <c r="GD170">
        <v>4.8868882899011448</v>
      </c>
      <c r="GE170">
        <v>7.3458829316848204</v>
      </c>
      <c r="GF170">
        <v>8.6820801449273333</v>
      </c>
      <c r="GG170">
        <v>14.176642500579725</v>
      </c>
      <c r="GH170">
        <v>18.630037319933908</v>
      </c>
      <c r="GI170">
        <v>27.160045734442061</v>
      </c>
      <c r="GJ170"/>
      <c r="GK170"/>
      <c r="GL170"/>
      <c r="GM170"/>
    </row>
    <row r="171" spans="1:195" s="7" customFormat="1">
      <c r="A171" s="1"/>
      <c r="B171" s="76">
        <f t="shared" ca="1" si="171"/>
        <v>0.61300678040133816</v>
      </c>
      <c r="C171">
        <v>3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50.95374551514827</v>
      </c>
      <c r="AO171">
        <v>73.929707515359368</v>
      </c>
      <c r="AP171">
        <v>541.15736355519596</v>
      </c>
      <c r="AQ171">
        <v>236.80794568484717</v>
      </c>
      <c r="AR171">
        <v>68.766528606371679</v>
      </c>
      <c r="AS171">
        <v>359.77900873110394</v>
      </c>
      <c r="AT171">
        <v>27.050680088734293</v>
      </c>
      <c r="AU171">
        <v>0.5340269392227377</v>
      </c>
      <c r="AV171"/>
      <c r="AW171"/>
      <c r="AX171" s="146"/>
      <c r="AY171" s="76">
        <f t="shared" ca="1" si="172"/>
        <v>0.63040332707868307</v>
      </c>
      <c r="AZ171">
        <v>4</v>
      </c>
      <c r="BA171" s="129">
        <f t="shared" si="246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7"/>
        <v>0.42185557854431277</v>
      </c>
      <c r="CL171" s="179">
        <f t="shared" si="208"/>
        <v>4</v>
      </c>
      <c r="CM171" s="180">
        <f t="shared" si="209"/>
        <v>39949</v>
      </c>
      <c r="CN171">
        <v>0</v>
      </c>
      <c r="CO171"/>
      <c r="CP171"/>
      <c r="CQ171">
        <v>1</v>
      </c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10"/>
        <v>9.6000000000000002E-2</v>
      </c>
      <c r="DB171" s="146"/>
      <c r="DC171" s="76">
        <f t="shared" ca="1" si="173"/>
        <v>0.81330729784980904</v>
      </c>
      <c r="DD171">
        <f t="shared" si="211"/>
        <v>4</v>
      </c>
      <c r="DE171" s="129">
        <f t="shared" si="245"/>
        <v>39949</v>
      </c>
      <c r="DF171" s="161">
        <f t="shared" si="212"/>
        <v>0</v>
      </c>
      <c r="DG171" s="161">
        <f t="shared" si="213"/>
        <v>0</v>
      </c>
      <c r="DH171" s="161">
        <f t="shared" si="214"/>
        <v>0</v>
      </c>
      <c r="DI171" s="161">
        <f t="shared" si="215"/>
        <v>45.662100456620998</v>
      </c>
      <c r="DJ171" s="161">
        <f t="shared" si="216"/>
        <v>0</v>
      </c>
      <c r="DK171" s="161">
        <f t="shared" si="217"/>
        <v>0</v>
      </c>
      <c r="DL171" s="161">
        <f t="shared" si="218"/>
        <v>0</v>
      </c>
      <c r="DM171" s="161">
        <f t="shared" si="219"/>
        <v>0</v>
      </c>
      <c r="DN171" s="161">
        <f t="shared" si="220"/>
        <v>0</v>
      </c>
      <c r="DO171" s="161">
        <f t="shared" si="221"/>
        <v>0</v>
      </c>
      <c r="DP171" s="161">
        <f t="shared" si="222"/>
        <v>0</v>
      </c>
      <c r="DQ171" s="161">
        <f t="shared" si="223"/>
        <v>0</v>
      </c>
      <c r="DR171" s="161">
        <f t="shared" si="224"/>
        <v>0</v>
      </c>
      <c r="DS171" s="161">
        <f t="shared" si="225"/>
        <v>0</v>
      </c>
      <c r="DT171" s="161">
        <f t="shared" si="226"/>
        <v>0</v>
      </c>
      <c r="DU171" s="161">
        <f t="shared" si="227"/>
        <v>0</v>
      </c>
      <c r="DV171" s="161">
        <f t="shared" si="228"/>
        <v>0</v>
      </c>
      <c r="DW171" s="161">
        <f t="shared" si="229"/>
        <v>0</v>
      </c>
      <c r="DX171" s="161">
        <f t="shared" si="230"/>
        <v>0</v>
      </c>
      <c r="DY171" s="161">
        <f t="shared" si="231"/>
        <v>0</v>
      </c>
      <c r="DZ171" s="161">
        <f t="shared" si="232"/>
        <v>0</v>
      </c>
      <c r="EA171" s="161">
        <f t="shared" si="233"/>
        <v>0</v>
      </c>
      <c r="EB171" s="161">
        <f t="shared" si="234"/>
        <v>0</v>
      </c>
      <c r="EC171" s="161">
        <f t="shared" si="235"/>
        <v>0</v>
      </c>
      <c r="ED171" s="161">
        <f t="shared" si="236"/>
        <v>0</v>
      </c>
      <c r="EE171" s="161">
        <f t="shared" si="237"/>
        <v>0</v>
      </c>
      <c r="EF171" s="161">
        <f t="shared" si="238"/>
        <v>0</v>
      </c>
      <c r="EG171" s="161">
        <f t="shared" si="239"/>
        <v>0</v>
      </c>
      <c r="EH171" s="161">
        <f t="shared" si="240"/>
        <v>0</v>
      </c>
      <c r="EI171" s="161">
        <f t="shared" si="241"/>
        <v>0</v>
      </c>
      <c r="EJ171" s="161">
        <f t="shared" si="242"/>
        <v>0</v>
      </c>
      <c r="EK171" s="147">
        <f t="shared" si="174"/>
        <v>45.662100456620998</v>
      </c>
      <c r="EL171" s="149"/>
      <c r="EN171" s="146"/>
      <c r="EO171" s="146"/>
      <c r="EP171" s="139">
        <f t="shared" si="175"/>
        <v>0</v>
      </c>
      <c r="EQ171" s="139">
        <f t="shared" si="176"/>
        <v>0</v>
      </c>
      <c r="ER171" s="139">
        <f t="shared" si="177"/>
        <v>0</v>
      </c>
      <c r="ES171" s="139">
        <f t="shared" si="178"/>
        <v>6.204321594181728</v>
      </c>
      <c r="ET171" s="139">
        <f t="shared" si="179"/>
        <v>0</v>
      </c>
      <c r="EU171" s="139">
        <f t="shared" si="180"/>
        <v>0</v>
      </c>
      <c r="EV171" s="139">
        <f t="shared" si="181"/>
        <v>0</v>
      </c>
      <c r="EW171" s="139">
        <f t="shared" si="182"/>
        <v>0</v>
      </c>
      <c r="EX171" s="139">
        <f t="shared" si="183"/>
        <v>0</v>
      </c>
      <c r="EY171" s="139">
        <f t="shared" si="184"/>
        <v>0</v>
      </c>
      <c r="EZ171" s="139">
        <f t="shared" si="185"/>
        <v>0</v>
      </c>
      <c r="FA171" s="139">
        <f t="shared" si="186"/>
        <v>0</v>
      </c>
      <c r="FB171" s="139">
        <f t="shared" si="187"/>
        <v>0</v>
      </c>
      <c r="FC171" s="139">
        <f t="shared" si="188"/>
        <v>0</v>
      </c>
      <c r="FD171" s="139">
        <f t="shared" si="189"/>
        <v>0</v>
      </c>
      <c r="FE171" s="139">
        <f t="shared" si="190"/>
        <v>0</v>
      </c>
      <c r="FF171" s="139">
        <f t="shared" si="191"/>
        <v>0</v>
      </c>
      <c r="FG171" s="139">
        <f t="shared" si="192"/>
        <v>0</v>
      </c>
      <c r="FH171" s="139">
        <f t="shared" si="193"/>
        <v>0</v>
      </c>
      <c r="FI171" s="139">
        <f t="shared" si="194"/>
        <v>0</v>
      </c>
      <c r="FJ171" s="139">
        <f t="shared" si="195"/>
        <v>0</v>
      </c>
      <c r="FK171" s="139">
        <f t="shared" si="196"/>
        <v>0</v>
      </c>
      <c r="FL171" s="139">
        <f t="shared" si="197"/>
        <v>0</v>
      </c>
      <c r="FM171" s="139">
        <f t="shared" si="198"/>
        <v>0</v>
      </c>
      <c r="FN171" s="139">
        <f t="shared" si="199"/>
        <v>0</v>
      </c>
      <c r="FO171" s="139">
        <f t="shared" si="200"/>
        <v>0</v>
      </c>
      <c r="FP171" s="139">
        <f t="shared" si="201"/>
        <v>0</v>
      </c>
      <c r="FQ171" s="139">
        <f t="shared" si="202"/>
        <v>0</v>
      </c>
      <c r="FR171" s="139">
        <f t="shared" si="203"/>
        <v>0</v>
      </c>
      <c r="FS171" s="139">
        <f t="shared" si="204"/>
        <v>0</v>
      </c>
      <c r="FT171" s="139">
        <f t="shared" si="205"/>
        <v>0</v>
      </c>
      <c r="FU171" s="148">
        <f t="shared" si="206"/>
        <v>6.204321594181728</v>
      </c>
      <c r="FV171" s="149"/>
      <c r="FY171" s="210">
        <v>166</v>
      </c>
      <c r="FZ171">
        <v>16.778864491862475</v>
      </c>
      <c r="GA171">
        <v>49.66343659752124</v>
      </c>
      <c r="GB171">
        <v>38.721471756552489</v>
      </c>
      <c r="GC171">
        <v>16.013714368975453</v>
      </c>
      <c r="GD171">
        <v>8.5714069822015766</v>
      </c>
      <c r="GE171">
        <v>6.9857360444331063</v>
      </c>
      <c r="GF171">
        <v>8.0082620458881806</v>
      </c>
      <c r="GG171">
        <v>12.363355974711776</v>
      </c>
      <c r="GH171">
        <v>16.19322707761134</v>
      </c>
      <c r="GI171">
        <v>33.444076419789383</v>
      </c>
      <c r="GJ171"/>
      <c r="GK171"/>
      <c r="GL171"/>
      <c r="GM171"/>
    </row>
    <row r="172" spans="1:195" s="7" customFormat="1">
      <c r="A172" s="1"/>
      <c r="B172" s="76">
        <f t="shared" ca="1" si="171"/>
        <v>0.56085411791786655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20.833333333333332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10.416666666666666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48.775980864686488</v>
      </c>
      <c r="AO172">
        <v>76.571761895401906</v>
      </c>
      <c r="AP172">
        <v>564.07447787338867</v>
      </c>
      <c r="AQ172">
        <v>225.45778403397208</v>
      </c>
      <c r="AR172">
        <v>72.641258835862061</v>
      </c>
      <c r="AS172">
        <v>459.58651972492521</v>
      </c>
      <c r="AT172">
        <v>29.111132689174639</v>
      </c>
      <c r="AU172">
        <v>-27.063194974827361</v>
      </c>
      <c r="AV172"/>
      <c r="AW172"/>
      <c r="AX172" s="146"/>
      <c r="AY172" s="76">
        <f t="shared" ca="1" si="172"/>
        <v>0.51711207204891707</v>
      </c>
      <c r="AZ172">
        <v>5</v>
      </c>
      <c r="BA172" s="129">
        <f t="shared" si="246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7"/>
        <v>0.12881675370994872</v>
      </c>
      <c r="CL172" s="179">
        <f t="shared" si="208"/>
        <v>5</v>
      </c>
      <c r="CM172" s="180">
        <f t="shared" si="209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10"/>
        <v>9.6000000000000002E-2</v>
      </c>
      <c r="DB172" s="146"/>
      <c r="DC172" s="76">
        <f t="shared" ca="1" si="173"/>
        <v>5.4201346420385654E-2</v>
      </c>
      <c r="DD172">
        <f t="shared" si="211"/>
        <v>5</v>
      </c>
      <c r="DE172" s="129">
        <f t="shared" si="245"/>
        <v>39949</v>
      </c>
      <c r="DF172" s="161">
        <f t="shared" si="212"/>
        <v>0</v>
      </c>
      <c r="DG172" s="161">
        <f t="shared" si="213"/>
        <v>0</v>
      </c>
      <c r="DH172" s="161">
        <f t="shared" si="214"/>
        <v>0</v>
      </c>
      <c r="DI172" s="161">
        <f t="shared" si="215"/>
        <v>0</v>
      </c>
      <c r="DJ172" s="161">
        <f t="shared" si="216"/>
        <v>0</v>
      </c>
      <c r="DK172" s="161">
        <f t="shared" si="217"/>
        <v>0</v>
      </c>
      <c r="DL172" s="161">
        <f t="shared" si="218"/>
        <v>0</v>
      </c>
      <c r="DM172" s="161">
        <f t="shared" si="219"/>
        <v>0</v>
      </c>
      <c r="DN172" s="161">
        <f t="shared" si="220"/>
        <v>0</v>
      </c>
      <c r="DO172" s="161">
        <f t="shared" si="221"/>
        <v>0</v>
      </c>
      <c r="DP172" s="161">
        <f t="shared" si="222"/>
        <v>0</v>
      </c>
      <c r="DQ172" s="161">
        <f t="shared" si="223"/>
        <v>0</v>
      </c>
      <c r="DR172" s="161">
        <f t="shared" si="224"/>
        <v>0</v>
      </c>
      <c r="DS172" s="161">
        <f t="shared" si="225"/>
        <v>0</v>
      </c>
      <c r="DT172" s="161">
        <f t="shared" si="226"/>
        <v>0</v>
      </c>
      <c r="DU172" s="161">
        <f t="shared" si="227"/>
        <v>0</v>
      </c>
      <c r="DV172" s="161">
        <f t="shared" si="228"/>
        <v>0</v>
      </c>
      <c r="DW172" s="161">
        <f t="shared" si="229"/>
        <v>0</v>
      </c>
      <c r="DX172" s="161">
        <f t="shared" si="230"/>
        <v>0</v>
      </c>
      <c r="DY172" s="161">
        <f t="shared" si="231"/>
        <v>0</v>
      </c>
      <c r="DZ172" s="161">
        <f t="shared" si="232"/>
        <v>0</v>
      </c>
      <c r="EA172" s="161">
        <f t="shared" si="233"/>
        <v>0</v>
      </c>
      <c r="EB172" s="161">
        <f t="shared" si="234"/>
        <v>0</v>
      </c>
      <c r="EC172" s="161">
        <f t="shared" si="235"/>
        <v>0</v>
      </c>
      <c r="ED172" s="161">
        <f t="shared" si="236"/>
        <v>0</v>
      </c>
      <c r="EE172" s="161">
        <f t="shared" si="237"/>
        <v>0</v>
      </c>
      <c r="EF172" s="161">
        <f t="shared" si="238"/>
        <v>0</v>
      </c>
      <c r="EG172" s="161">
        <f t="shared" si="239"/>
        <v>0</v>
      </c>
      <c r="EH172" s="161">
        <f t="shared" si="240"/>
        <v>0</v>
      </c>
      <c r="EI172" s="161">
        <f t="shared" si="241"/>
        <v>0</v>
      </c>
      <c r="EJ172" s="161">
        <f t="shared" si="242"/>
        <v>0</v>
      </c>
      <c r="EK172" s="147">
        <f t="shared" si="174"/>
        <v>0</v>
      </c>
      <c r="EL172" s="149"/>
      <c r="EN172" s="146"/>
      <c r="EO172" s="146"/>
      <c r="EP172" s="139">
        <f t="shared" si="175"/>
        <v>0</v>
      </c>
      <c r="EQ172" s="139">
        <f t="shared" si="176"/>
        <v>0</v>
      </c>
      <c r="ER172" s="139">
        <f t="shared" si="177"/>
        <v>0</v>
      </c>
      <c r="ES172" s="139">
        <f t="shared" si="178"/>
        <v>0</v>
      </c>
      <c r="ET172" s="139">
        <f t="shared" si="179"/>
        <v>0</v>
      </c>
      <c r="EU172" s="139">
        <f t="shared" si="180"/>
        <v>0</v>
      </c>
      <c r="EV172" s="139">
        <f t="shared" si="181"/>
        <v>0</v>
      </c>
      <c r="EW172" s="139">
        <f t="shared" si="182"/>
        <v>0</v>
      </c>
      <c r="EX172" s="139">
        <f t="shared" si="183"/>
        <v>0</v>
      </c>
      <c r="EY172" s="139">
        <f t="shared" si="184"/>
        <v>0</v>
      </c>
      <c r="EZ172" s="139">
        <f t="shared" si="185"/>
        <v>0</v>
      </c>
      <c r="FA172" s="139">
        <f t="shared" si="186"/>
        <v>0</v>
      </c>
      <c r="FB172" s="139">
        <f t="shared" si="187"/>
        <v>0</v>
      </c>
      <c r="FC172" s="139">
        <f t="shared" si="188"/>
        <v>0</v>
      </c>
      <c r="FD172" s="139">
        <f t="shared" si="189"/>
        <v>0</v>
      </c>
      <c r="FE172" s="139">
        <f t="shared" si="190"/>
        <v>0</v>
      </c>
      <c r="FF172" s="139">
        <f t="shared" si="191"/>
        <v>0</v>
      </c>
      <c r="FG172" s="139">
        <f t="shared" si="192"/>
        <v>0</v>
      </c>
      <c r="FH172" s="139">
        <f t="shared" si="193"/>
        <v>0</v>
      </c>
      <c r="FI172" s="139">
        <f t="shared" si="194"/>
        <v>0</v>
      </c>
      <c r="FJ172" s="139">
        <f t="shared" si="195"/>
        <v>0</v>
      </c>
      <c r="FK172" s="139">
        <f t="shared" si="196"/>
        <v>0</v>
      </c>
      <c r="FL172" s="139">
        <f t="shared" si="197"/>
        <v>0</v>
      </c>
      <c r="FM172" s="139">
        <f t="shared" si="198"/>
        <v>0</v>
      </c>
      <c r="FN172" s="139">
        <f t="shared" si="199"/>
        <v>0</v>
      </c>
      <c r="FO172" s="139">
        <f t="shared" si="200"/>
        <v>0</v>
      </c>
      <c r="FP172" s="139">
        <f t="shared" si="201"/>
        <v>0</v>
      </c>
      <c r="FQ172" s="139">
        <f t="shared" si="202"/>
        <v>0</v>
      </c>
      <c r="FR172" s="139">
        <f t="shared" si="203"/>
        <v>0</v>
      </c>
      <c r="FS172" s="139">
        <f t="shared" si="204"/>
        <v>0</v>
      </c>
      <c r="FT172" s="139">
        <f t="shared" si="205"/>
        <v>0</v>
      </c>
      <c r="FU172" s="148">
        <f t="shared" si="206"/>
        <v>0</v>
      </c>
      <c r="FV172" s="149"/>
      <c r="FY172" s="210">
        <v>167</v>
      </c>
      <c r="FZ172">
        <v>20.204877210676301</v>
      </c>
      <c r="GA172">
        <v>63.370400759556276</v>
      </c>
      <c r="GB172">
        <v>70.335860518876473</v>
      </c>
      <c r="GC172">
        <v>15.747486820128207</v>
      </c>
      <c r="GD172">
        <v>9.1968419641802051</v>
      </c>
      <c r="GE172">
        <v>12.046625070056377</v>
      </c>
      <c r="GF172">
        <v>8.5909513427375792</v>
      </c>
      <c r="GG172">
        <v>26.738380058071957</v>
      </c>
      <c r="GH172">
        <v>32.631864651491838</v>
      </c>
      <c r="GI172">
        <v>53.388030224782504</v>
      </c>
      <c r="GJ172"/>
      <c r="GK172"/>
      <c r="GL172"/>
      <c r="GM172"/>
    </row>
    <row r="173" spans="1:195" s="7" customFormat="1">
      <c r="A173" s="1"/>
      <c r="B173" s="76">
        <f t="shared" ca="1" si="171"/>
        <v>2.7891329636771545E-2</v>
      </c>
      <c r="C173">
        <v>10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10.416666666666666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59.885737237773434</v>
      </c>
      <c r="AO173">
        <v>67.682494301553803</v>
      </c>
      <c r="AP173">
        <v>509.57498810053551</v>
      </c>
      <c r="AQ173">
        <v>207.42708325859374</v>
      </c>
      <c r="AR173">
        <v>63.267854131689283</v>
      </c>
      <c r="AS173">
        <v>297.91978959427183</v>
      </c>
      <c r="AT173">
        <v>25.209091000613892</v>
      </c>
      <c r="AU173">
        <v>92.641936090828125</v>
      </c>
      <c r="AV173"/>
      <c r="AW173"/>
      <c r="AX173" s="146"/>
      <c r="AY173" s="76">
        <f t="shared" ca="1" si="172"/>
        <v>0.35987654719482087</v>
      </c>
      <c r="AZ173">
        <v>6</v>
      </c>
      <c r="BA173" s="129">
        <f t="shared" si="246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7"/>
        <v>0.11408929657914113</v>
      </c>
      <c r="CL173" s="179">
        <f t="shared" si="208"/>
        <v>6</v>
      </c>
      <c r="CM173" s="180">
        <f t="shared" si="209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10"/>
        <v>9.6000000000000002E-2</v>
      </c>
      <c r="DB173" s="146"/>
      <c r="DC173" s="76">
        <f t="shared" ca="1" si="173"/>
        <v>0.17536718491985148</v>
      </c>
      <c r="DD173">
        <f t="shared" si="211"/>
        <v>6</v>
      </c>
      <c r="DE173" s="129">
        <f t="shared" si="245"/>
        <v>39949</v>
      </c>
      <c r="DF173" s="161">
        <f t="shared" si="212"/>
        <v>0</v>
      </c>
      <c r="DG173" s="161">
        <f t="shared" si="213"/>
        <v>0</v>
      </c>
      <c r="DH173" s="161">
        <f t="shared" si="214"/>
        <v>0</v>
      </c>
      <c r="DI173" s="161">
        <f t="shared" si="215"/>
        <v>0</v>
      </c>
      <c r="DJ173" s="161">
        <f t="shared" si="216"/>
        <v>0</v>
      </c>
      <c r="DK173" s="161">
        <f t="shared" si="217"/>
        <v>0</v>
      </c>
      <c r="DL173" s="161">
        <f t="shared" si="218"/>
        <v>0</v>
      </c>
      <c r="DM173" s="161">
        <f t="shared" si="219"/>
        <v>0</v>
      </c>
      <c r="DN173" s="161">
        <f t="shared" si="220"/>
        <v>0</v>
      </c>
      <c r="DO173" s="161">
        <f t="shared" si="221"/>
        <v>0</v>
      </c>
      <c r="DP173" s="161">
        <f t="shared" si="222"/>
        <v>0</v>
      </c>
      <c r="DQ173" s="161">
        <f t="shared" si="223"/>
        <v>0</v>
      </c>
      <c r="DR173" s="161">
        <f t="shared" si="224"/>
        <v>0</v>
      </c>
      <c r="DS173" s="161">
        <f t="shared" si="225"/>
        <v>0</v>
      </c>
      <c r="DT173" s="161">
        <f t="shared" si="226"/>
        <v>0</v>
      </c>
      <c r="DU173" s="161">
        <f t="shared" si="227"/>
        <v>0</v>
      </c>
      <c r="DV173" s="161">
        <f t="shared" si="228"/>
        <v>0</v>
      </c>
      <c r="DW173" s="161">
        <f t="shared" si="229"/>
        <v>0</v>
      </c>
      <c r="DX173" s="161">
        <f t="shared" si="230"/>
        <v>0</v>
      </c>
      <c r="DY173" s="161">
        <f t="shared" si="231"/>
        <v>0</v>
      </c>
      <c r="DZ173" s="161">
        <f t="shared" si="232"/>
        <v>0</v>
      </c>
      <c r="EA173" s="161">
        <f t="shared" si="233"/>
        <v>0</v>
      </c>
      <c r="EB173" s="161">
        <f t="shared" si="234"/>
        <v>0</v>
      </c>
      <c r="EC173" s="161">
        <f t="shared" si="235"/>
        <v>0</v>
      </c>
      <c r="ED173" s="161">
        <f t="shared" si="236"/>
        <v>0</v>
      </c>
      <c r="EE173" s="161">
        <f t="shared" si="237"/>
        <v>0</v>
      </c>
      <c r="EF173" s="161">
        <f t="shared" si="238"/>
        <v>0</v>
      </c>
      <c r="EG173" s="161">
        <f t="shared" si="239"/>
        <v>0</v>
      </c>
      <c r="EH173" s="161">
        <f t="shared" si="240"/>
        <v>0</v>
      </c>
      <c r="EI173" s="161">
        <f t="shared" si="241"/>
        <v>0</v>
      </c>
      <c r="EJ173" s="161">
        <f t="shared" si="242"/>
        <v>0</v>
      </c>
      <c r="EK173" s="147">
        <f t="shared" si="174"/>
        <v>0</v>
      </c>
      <c r="EL173" s="149"/>
      <c r="EN173" s="146"/>
      <c r="EO173" s="146"/>
      <c r="EP173" s="139">
        <f t="shared" si="175"/>
        <v>0</v>
      </c>
      <c r="EQ173" s="139">
        <f t="shared" si="176"/>
        <v>0</v>
      </c>
      <c r="ER173" s="139">
        <f t="shared" si="177"/>
        <v>0</v>
      </c>
      <c r="ES173" s="139">
        <f t="shared" si="178"/>
        <v>0</v>
      </c>
      <c r="ET173" s="139">
        <f t="shared" si="179"/>
        <v>0</v>
      </c>
      <c r="EU173" s="139">
        <f t="shared" si="180"/>
        <v>0</v>
      </c>
      <c r="EV173" s="139">
        <f t="shared" si="181"/>
        <v>0</v>
      </c>
      <c r="EW173" s="139">
        <f t="shared" si="182"/>
        <v>0</v>
      </c>
      <c r="EX173" s="139">
        <f t="shared" si="183"/>
        <v>0</v>
      </c>
      <c r="EY173" s="139">
        <f t="shared" si="184"/>
        <v>0</v>
      </c>
      <c r="EZ173" s="139">
        <f t="shared" si="185"/>
        <v>0</v>
      </c>
      <c r="FA173" s="139">
        <f t="shared" si="186"/>
        <v>0</v>
      </c>
      <c r="FB173" s="139">
        <f t="shared" si="187"/>
        <v>0</v>
      </c>
      <c r="FC173" s="139">
        <f t="shared" si="188"/>
        <v>0</v>
      </c>
      <c r="FD173" s="139">
        <f t="shared" si="189"/>
        <v>0</v>
      </c>
      <c r="FE173" s="139">
        <f t="shared" si="190"/>
        <v>0</v>
      </c>
      <c r="FF173" s="139">
        <f t="shared" si="191"/>
        <v>0</v>
      </c>
      <c r="FG173" s="139">
        <f t="shared" si="192"/>
        <v>0</v>
      </c>
      <c r="FH173" s="139">
        <f t="shared" si="193"/>
        <v>0</v>
      </c>
      <c r="FI173" s="139">
        <f t="shared" si="194"/>
        <v>0</v>
      </c>
      <c r="FJ173" s="139">
        <f t="shared" si="195"/>
        <v>0</v>
      </c>
      <c r="FK173" s="139">
        <f t="shared" si="196"/>
        <v>0</v>
      </c>
      <c r="FL173" s="139">
        <f t="shared" si="197"/>
        <v>0</v>
      </c>
      <c r="FM173" s="139">
        <f t="shared" si="198"/>
        <v>0</v>
      </c>
      <c r="FN173" s="139">
        <f t="shared" si="199"/>
        <v>0</v>
      </c>
      <c r="FO173" s="139">
        <f t="shared" si="200"/>
        <v>0</v>
      </c>
      <c r="FP173" s="139">
        <f t="shared" si="201"/>
        <v>0</v>
      </c>
      <c r="FQ173" s="139">
        <f t="shared" si="202"/>
        <v>0</v>
      </c>
      <c r="FR173" s="139">
        <f t="shared" si="203"/>
        <v>0</v>
      </c>
      <c r="FS173" s="139">
        <f t="shared" si="204"/>
        <v>0</v>
      </c>
      <c r="FT173" s="139">
        <f t="shared" si="205"/>
        <v>0</v>
      </c>
      <c r="FU173" s="148">
        <f t="shared" si="206"/>
        <v>0</v>
      </c>
      <c r="FV173" s="149"/>
      <c r="FY173" s="210">
        <v>168</v>
      </c>
      <c r="FZ173">
        <v>21.086683248294051</v>
      </c>
      <c r="GA173">
        <v>108.95470012242446</v>
      </c>
      <c r="GB173">
        <v>51.015975969997889</v>
      </c>
      <c r="GC173">
        <v>11.267293738873439</v>
      </c>
      <c r="GD173">
        <v>7.2386874423088843</v>
      </c>
      <c r="GE173">
        <v>9.3378936874914338</v>
      </c>
      <c r="GF173">
        <v>7.5470483397745909</v>
      </c>
      <c r="GG173">
        <v>14.099840627006735</v>
      </c>
      <c r="GH173">
        <v>22.484340343681033</v>
      </c>
      <c r="GI173">
        <v>39.857416073015408</v>
      </c>
      <c r="GJ173"/>
      <c r="GK173"/>
      <c r="GL173"/>
      <c r="GM173"/>
    </row>
    <row r="174" spans="1:195" s="7" customFormat="1">
      <c r="A174" s="1"/>
      <c r="B174" s="76">
        <f t="shared" ca="1" si="171"/>
        <v>0.86725290066124505</v>
      </c>
      <c r="C174">
        <v>6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65.567338151106554</v>
      </c>
      <c r="AO174">
        <v>67.506458360986883</v>
      </c>
      <c r="AP174">
        <v>511.87974378995011</v>
      </c>
      <c r="AQ174">
        <v>243.25097647073335</v>
      </c>
      <c r="AR174">
        <v>62.511688251537763</v>
      </c>
      <c r="AS174">
        <v>313.97841406969764</v>
      </c>
      <c r="AT174">
        <v>26.344132961333646</v>
      </c>
      <c r="AU174">
        <v>70.809324435030518</v>
      </c>
      <c r="AV174"/>
      <c r="AW174"/>
      <c r="AX174" s="146"/>
      <c r="AY174" s="76">
        <f t="shared" ca="1" si="172"/>
        <v>0.90634510216041586</v>
      </c>
      <c r="AZ174">
        <v>7</v>
      </c>
      <c r="BA174" s="129">
        <f t="shared" si="246"/>
        <v>39949</v>
      </c>
      <c r="BB174" s="217">
        <v>0</v>
      </c>
      <c r="BC174" s="217"/>
      <c r="BD174" s="217"/>
      <c r="BE174" s="217"/>
      <c r="BF174" s="217">
        <v>2</v>
      </c>
      <c r="BG174" s="217"/>
      <c r="BH174" s="217"/>
      <c r="BI174" s="217"/>
      <c r="BJ174"/>
      <c r="BK174"/>
      <c r="BL174"/>
      <c r="BM174"/>
      <c r="BN174">
        <v>1</v>
      </c>
      <c r="BO174"/>
      <c r="BP174">
        <v>1</v>
      </c>
      <c r="BQ174"/>
      <c r="BR174">
        <v>1</v>
      </c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7"/>
        <v>0.22144459303958919</v>
      </c>
      <c r="CL174" s="179">
        <f t="shared" si="208"/>
        <v>7</v>
      </c>
      <c r="CM174" s="180">
        <f t="shared" si="209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10"/>
        <v>9.6000000000000002E-2</v>
      </c>
      <c r="DB174" s="146"/>
      <c r="DC174" s="76">
        <f t="shared" ca="1" si="173"/>
        <v>0.8607337706598992</v>
      </c>
      <c r="DD174">
        <f t="shared" si="211"/>
        <v>7</v>
      </c>
      <c r="DE174" s="129">
        <f t="shared" si="245"/>
        <v>39949</v>
      </c>
      <c r="DF174" s="161">
        <f t="shared" si="212"/>
        <v>0</v>
      </c>
      <c r="DG174" s="161">
        <f t="shared" si="213"/>
        <v>0</v>
      </c>
      <c r="DH174" s="161">
        <f t="shared" si="214"/>
        <v>0</v>
      </c>
      <c r="DI174" s="161">
        <f t="shared" si="215"/>
        <v>0</v>
      </c>
      <c r="DJ174" s="161">
        <f t="shared" si="216"/>
        <v>20.833333333333332</v>
      </c>
      <c r="DK174" s="161">
        <f t="shared" si="217"/>
        <v>0</v>
      </c>
      <c r="DL174" s="161">
        <f t="shared" si="218"/>
        <v>0</v>
      </c>
      <c r="DM174" s="161">
        <f t="shared" si="219"/>
        <v>0</v>
      </c>
      <c r="DN174" s="161">
        <f t="shared" si="220"/>
        <v>0</v>
      </c>
      <c r="DO174" s="161">
        <f t="shared" si="221"/>
        <v>0</v>
      </c>
      <c r="DP174" s="161">
        <f t="shared" si="222"/>
        <v>0</v>
      </c>
      <c r="DQ174" s="161">
        <f t="shared" si="223"/>
        <v>0</v>
      </c>
      <c r="DR174" s="161">
        <f t="shared" si="224"/>
        <v>10.416666666666666</v>
      </c>
      <c r="DS174" s="161">
        <f t="shared" si="225"/>
        <v>0</v>
      </c>
      <c r="DT174" s="161">
        <f t="shared" si="226"/>
        <v>10.416666666666666</v>
      </c>
      <c r="DU174" s="161">
        <f t="shared" si="227"/>
        <v>0</v>
      </c>
      <c r="DV174" s="161">
        <f t="shared" si="228"/>
        <v>10.416666666666666</v>
      </c>
      <c r="DW174" s="161">
        <f t="shared" si="229"/>
        <v>0</v>
      </c>
      <c r="DX174" s="161">
        <f t="shared" si="230"/>
        <v>0</v>
      </c>
      <c r="DY174" s="161">
        <f t="shared" si="231"/>
        <v>0</v>
      </c>
      <c r="DZ174" s="161">
        <f t="shared" si="232"/>
        <v>0</v>
      </c>
      <c r="EA174" s="161">
        <f t="shared" si="233"/>
        <v>0</v>
      </c>
      <c r="EB174" s="161">
        <f t="shared" si="234"/>
        <v>0</v>
      </c>
      <c r="EC174" s="161">
        <f t="shared" si="235"/>
        <v>0</v>
      </c>
      <c r="ED174" s="161">
        <f t="shared" si="236"/>
        <v>0</v>
      </c>
      <c r="EE174" s="161">
        <f t="shared" si="237"/>
        <v>0</v>
      </c>
      <c r="EF174" s="161">
        <f t="shared" si="238"/>
        <v>0</v>
      </c>
      <c r="EG174" s="161">
        <f t="shared" si="239"/>
        <v>0</v>
      </c>
      <c r="EH174" s="161">
        <f t="shared" si="240"/>
        <v>0</v>
      </c>
      <c r="EI174" s="161">
        <f t="shared" si="241"/>
        <v>0</v>
      </c>
      <c r="EJ174" s="161">
        <f t="shared" si="242"/>
        <v>0</v>
      </c>
      <c r="EK174" s="147">
        <f t="shared" si="174"/>
        <v>52.083333333333329</v>
      </c>
      <c r="EL174" s="149"/>
      <c r="EN174" s="146"/>
      <c r="EO174" s="146"/>
      <c r="EP174" s="139">
        <f t="shared" si="175"/>
        <v>0</v>
      </c>
      <c r="EQ174" s="139">
        <f t="shared" si="176"/>
        <v>0</v>
      </c>
      <c r="ER174" s="139">
        <f t="shared" si="177"/>
        <v>0</v>
      </c>
      <c r="ES174" s="139">
        <f t="shared" si="178"/>
        <v>0</v>
      </c>
      <c r="ET174" s="139">
        <f t="shared" si="179"/>
        <v>5.777570387628975</v>
      </c>
      <c r="EU174" s="139">
        <f t="shared" si="180"/>
        <v>0</v>
      </c>
      <c r="EV174" s="139">
        <f t="shared" si="181"/>
        <v>0</v>
      </c>
      <c r="EW174" s="139">
        <f t="shared" si="182"/>
        <v>0</v>
      </c>
      <c r="EX174" s="139">
        <f t="shared" si="183"/>
        <v>0</v>
      </c>
      <c r="EY174" s="139">
        <f t="shared" si="184"/>
        <v>0</v>
      </c>
      <c r="EZ174" s="139">
        <f t="shared" si="185"/>
        <v>0</v>
      </c>
      <c r="FA174" s="139">
        <f t="shared" si="186"/>
        <v>0</v>
      </c>
      <c r="FB174" s="139">
        <f t="shared" si="187"/>
        <v>44.053047885599483</v>
      </c>
      <c r="FC174" s="139">
        <f t="shared" si="188"/>
        <v>0</v>
      </c>
      <c r="FD174" s="139">
        <f t="shared" si="189"/>
        <v>64.566017498318885</v>
      </c>
      <c r="FE174" s="139">
        <f t="shared" si="190"/>
        <v>0</v>
      </c>
      <c r="FF174" s="139">
        <f t="shared" si="191"/>
        <v>89.913318744800605</v>
      </c>
      <c r="FG174" s="139">
        <f t="shared" si="192"/>
        <v>0</v>
      </c>
      <c r="FH174" s="139">
        <f t="shared" si="193"/>
        <v>0</v>
      </c>
      <c r="FI174" s="139">
        <f t="shared" si="194"/>
        <v>0</v>
      </c>
      <c r="FJ174" s="139">
        <f t="shared" si="195"/>
        <v>0</v>
      </c>
      <c r="FK174" s="139">
        <f t="shared" si="196"/>
        <v>0</v>
      </c>
      <c r="FL174" s="139">
        <f t="shared" si="197"/>
        <v>0</v>
      </c>
      <c r="FM174" s="139">
        <f t="shared" si="198"/>
        <v>0</v>
      </c>
      <c r="FN174" s="139">
        <f t="shared" si="199"/>
        <v>0</v>
      </c>
      <c r="FO174" s="139">
        <f t="shared" si="200"/>
        <v>0</v>
      </c>
      <c r="FP174" s="139">
        <f t="shared" si="201"/>
        <v>0</v>
      </c>
      <c r="FQ174" s="139">
        <f t="shared" si="202"/>
        <v>0</v>
      </c>
      <c r="FR174" s="139">
        <f t="shared" si="203"/>
        <v>0</v>
      </c>
      <c r="FS174" s="139">
        <f t="shared" si="204"/>
        <v>0</v>
      </c>
      <c r="FT174" s="139">
        <f t="shared" si="205"/>
        <v>0</v>
      </c>
      <c r="FU174" s="148">
        <f t="shared" si="206"/>
        <v>204.30995451634794</v>
      </c>
      <c r="FV174" s="149"/>
      <c r="FY174" s="210">
        <v>169</v>
      </c>
      <c r="FZ174">
        <v>26.481303210118753</v>
      </c>
      <c r="GA174">
        <v>50.601550024379314</v>
      </c>
      <c r="GB174">
        <v>25.008320624624375</v>
      </c>
      <c r="GC174">
        <v>9.0076097249255973</v>
      </c>
      <c r="GD174">
        <v>6.575695765791945</v>
      </c>
      <c r="GE174">
        <v>9.5099632141374038</v>
      </c>
      <c r="GF174">
        <v>5.2741428326613855</v>
      </c>
      <c r="GG174">
        <v>7.3418811175209715</v>
      </c>
      <c r="GH174">
        <v>8.7955251279912243</v>
      </c>
      <c r="GI174">
        <v>24.310064621251183</v>
      </c>
      <c r="GJ174"/>
      <c r="GK174"/>
      <c r="GL174"/>
      <c r="GM174"/>
    </row>
    <row r="175" spans="1:195" s="7" customFormat="1">
      <c r="A175" s="1"/>
      <c r="B175" s="76">
        <f t="shared" ca="1" si="171"/>
        <v>5.6877558186195776E-2</v>
      </c>
      <c r="C175">
        <v>1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40.788152610441763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54.544282804403885</v>
      </c>
      <c r="AO175">
        <v>71.062729167067317</v>
      </c>
      <c r="AP175">
        <v>526.96413162270153</v>
      </c>
      <c r="AQ175">
        <v>209.80470357474144</v>
      </c>
      <c r="AR175">
        <v>68.118303330780691</v>
      </c>
      <c r="AS175">
        <v>391.0291847231</v>
      </c>
      <c r="AT175">
        <v>26.337761215394337</v>
      </c>
      <c r="AU175">
        <v>34.796911247419779</v>
      </c>
      <c r="AV175"/>
      <c r="AW175"/>
      <c r="AX175" s="146"/>
      <c r="AY175" s="76">
        <f t="shared" ca="1" si="172"/>
        <v>0.87079453760273129</v>
      </c>
      <c r="AZ175">
        <v>8</v>
      </c>
      <c r="BA175" s="129">
        <f t="shared" si="246"/>
        <v>39949</v>
      </c>
      <c r="BB175">
        <v>0</v>
      </c>
      <c r="BC175"/>
      <c r="BD175"/>
      <c r="BE175"/>
      <c r="BF175">
        <v>1</v>
      </c>
      <c r="BG175"/>
      <c r="BH175"/>
      <c r="BI175"/>
      <c r="BJ175"/>
      <c r="BK175"/>
      <c r="BL175"/>
      <c r="BM175"/>
      <c r="BN175"/>
      <c r="BO175">
        <v>1</v>
      </c>
      <c r="BP175">
        <v>1</v>
      </c>
      <c r="BQ175">
        <v>2</v>
      </c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7"/>
        <v>0.80848033667828401</v>
      </c>
      <c r="CL175" s="179">
        <f t="shared" si="208"/>
        <v>8</v>
      </c>
      <c r="CM175" s="180">
        <f t="shared" si="209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10"/>
        <v>9.6000000000000002E-2</v>
      </c>
      <c r="DB175" s="146"/>
      <c r="DC175" s="76">
        <f t="shared" ca="1" si="173"/>
        <v>0.47310943660149185</v>
      </c>
      <c r="DD175">
        <f t="shared" si="211"/>
        <v>8</v>
      </c>
      <c r="DE175" s="129">
        <f t="shared" si="245"/>
        <v>39949</v>
      </c>
      <c r="DF175" s="161">
        <f t="shared" si="212"/>
        <v>0</v>
      </c>
      <c r="DG175" s="161">
        <f t="shared" si="213"/>
        <v>0</v>
      </c>
      <c r="DH175" s="161">
        <f t="shared" si="214"/>
        <v>0</v>
      </c>
      <c r="DI175" s="161">
        <f t="shared" si="215"/>
        <v>0</v>
      </c>
      <c r="DJ175" s="161">
        <f t="shared" si="216"/>
        <v>10.416666666666666</v>
      </c>
      <c r="DK175" s="161">
        <f t="shared" si="217"/>
        <v>0</v>
      </c>
      <c r="DL175" s="161">
        <f t="shared" si="218"/>
        <v>0</v>
      </c>
      <c r="DM175" s="161">
        <f t="shared" si="219"/>
        <v>0</v>
      </c>
      <c r="DN175" s="161">
        <f t="shared" si="220"/>
        <v>0</v>
      </c>
      <c r="DO175" s="161">
        <f t="shared" si="221"/>
        <v>0</v>
      </c>
      <c r="DP175" s="161">
        <f t="shared" si="222"/>
        <v>0</v>
      </c>
      <c r="DQ175" s="161">
        <f t="shared" si="223"/>
        <v>0</v>
      </c>
      <c r="DR175" s="161">
        <f t="shared" si="224"/>
        <v>0</v>
      </c>
      <c r="DS175" s="161">
        <f t="shared" si="225"/>
        <v>10.416666666666666</v>
      </c>
      <c r="DT175" s="161">
        <f t="shared" si="226"/>
        <v>10.416666666666666</v>
      </c>
      <c r="DU175" s="161">
        <f t="shared" si="227"/>
        <v>20.833333333333332</v>
      </c>
      <c r="DV175" s="161">
        <f t="shared" si="228"/>
        <v>0</v>
      </c>
      <c r="DW175" s="161">
        <f t="shared" si="229"/>
        <v>0</v>
      </c>
      <c r="DX175" s="161">
        <f t="shared" si="230"/>
        <v>0</v>
      </c>
      <c r="DY175" s="161">
        <f t="shared" si="231"/>
        <v>0</v>
      </c>
      <c r="DZ175" s="161">
        <f t="shared" si="232"/>
        <v>0</v>
      </c>
      <c r="EA175" s="161">
        <f t="shared" si="233"/>
        <v>0</v>
      </c>
      <c r="EB175" s="161">
        <f t="shared" si="234"/>
        <v>0</v>
      </c>
      <c r="EC175" s="161">
        <f t="shared" si="235"/>
        <v>0</v>
      </c>
      <c r="ED175" s="161">
        <f t="shared" si="236"/>
        <v>0</v>
      </c>
      <c r="EE175" s="161">
        <f t="shared" si="237"/>
        <v>0</v>
      </c>
      <c r="EF175" s="161">
        <f t="shared" si="238"/>
        <v>0</v>
      </c>
      <c r="EG175" s="161">
        <f t="shared" si="239"/>
        <v>0</v>
      </c>
      <c r="EH175" s="161">
        <f t="shared" si="240"/>
        <v>0</v>
      </c>
      <c r="EI175" s="161">
        <f t="shared" si="241"/>
        <v>0</v>
      </c>
      <c r="EJ175" s="161">
        <f t="shared" si="242"/>
        <v>0</v>
      </c>
      <c r="EK175" s="147">
        <f t="shared" si="174"/>
        <v>52.083333333333329</v>
      </c>
      <c r="EL175" s="149"/>
      <c r="EN175" s="146"/>
      <c r="EO175" s="146"/>
      <c r="EP175" s="139">
        <f t="shared" si="175"/>
        <v>0</v>
      </c>
      <c r="EQ175" s="139">
        <f t="shared" si="176"/>
        <v>0</v>
      </c>
      <c r="ER175" s="139">
        <f t="shared" si="177"/>
        <v>0</v>
      </c>
      <c r="ES175" s="139">
        <f t="shared" si="178"/>
        <v>0</v>
      </c>
      <c r="ET175" s="139">
        <f t="shared" si="179"/>
        <v>2.8887851938144875</v>
      </c>
      <c r="EU175" s="139">
        <f t="shared" si="180"/>
        <v>0</v>
      </c>
      <c r="EV175" s="139">
        <f t="shared" si="181"/>
        <v>0</v>
      </c>
      <c r="EW175" s="139">
        <f t="shared" si="182"/>
        <v>0</v>
      </c>
      <c r="EX175" s="139">
        <f t="shared" si="183"/>
        <v>0</v>
      </c>
      <c r="EY175" s="139">
        <f t="shared" si="184"/>
        <v>0</v>
      </c>
      <c r="EZ175" s="139">
        <f t="shared" si="185"/>
        <v>0</v>
      </c>
      <c r="FA175" s="139">
        <f t="shared" si="186"/>
        <v>0</v>
      </c>
      <c r="FB175" s="139">
        <f t="shared" si="187"/>
        <v>0</v>
      </c>
      <c r="FC175" s="139">
        <f t="shared" si="188"/>
        <v>53.726182714680178</v>
      </c>
      <c r="FD175" s="139">
        <f t="shared" si="189"/>
        <v>64.566017498318885</v>
      </c>
      <c r="FE175" s="139">
        <f t="shared" si="190"/>
        <v>153.22964277810971</v>
      </c>
      <c r="FF175" s="139">
        <f t="shared" si="191"/>
        <v>0</v>
      </c>
      <c r="FG175" s="139">
        <f t="shared" si="192"/>
        <v>0</v>
      </c>
      <c r="FH175" s="139">
        <f t="shared" si="193"/>
        <v>0</v>
      </c>
      <c r="FI175" s="139">
        <f t="shared" si="194"/>
        <v>0</v>
      </c>
      <c r="FJ175" s="139">
        <f t="shared" si="195"/>
        <v>0</v>
      </c>
      <c r="FK175" s="139">
        <f t="shared" si="196"/>
        <v>0</v>
      </c>
      <c r="FL175" s="139">
        <f t="shared" si="197"/>
        <v>0</v>
      </c>
      <c r="FM175" s="139">
        <f t="shared" si="198"/>
        <v>0</v>
      </c>
      <c r="FN175" s="139">
        <f t="shared" si="199"/>
        <v>0</v>
      </c>
      <c r="FO175" s="139">
        <f t="shared" si="200"/>
        <v>0</v>
      </c>
      <c r="FP175" s="139">
        <f t="shared" si="201"/>
        <v>0</v>
      </c>
      <c r="FQ175" s="139">
        <f t="shared" si="202"/>
        <v>0</v>
      </c>
      <c r="FR175" s="139">
        <f t="shared" si="203"/>
        <v>0</v>
      </c>
      <c r="FS175" s="139">
        <f t="shared" si="204"/>
        <v>0</v>
      </c>
      <c r="FT175" s="139">
        <f t="shared" si="205"/>
        <v>0</v>
      </c>
      <c r="FU175" s="148">
        <f t="shared" si="206"/>
        <v>274.41062818492327</v>
      </c>
      <c r="FV175" s="149"/>
      <c r="FY175" s="210">
        <v>170</v>
      </c>
      <c r="FZ175">
        <v>13.602422055500126</v>
      </c>
      <c r="GA175">
        <v>31.696419782989487</v>
      </c>
      <c r="GB175">
        <v>61.940873067744505</v>
      </c>
      <c r="GC175">
        <v>17.178055699896376</v>
      </c>
      <c r="GD175">
        <v>6.8316934354782664</v>
      </c>
      <c r="GE175">
        <v>7.2160692454398978</v>
      </c>
      <c r="GF175">
        <v>11.871482419545199</v>
      </c>
      <c r="GG175">
        <v>21.610098986907893</v>
      </c>
      <c r="GH175">
        <v>18.735465937651096</v>
      </c>
      <c r="GI175">
        <v>47.061654781125291</v>
      </c>
      <c r="GJ175"/>
      <c r="GK175"/>
      <c r="GL175"/>
      <c r="GM175"/>
    </row>
    <row r="176" spans="1:195" s="7" customFormat="1">
      <c r="A176" s="1"/>
      <c r="B176" s="76">
        <f t="shared" ca="1" si="171"/>
        <v>0.59293692408159426</v>
      </c>
      <c r="C176">
        <v>8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10.416666666666666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10.416666666666666</v>
      </c>
      <c r="S176">
        <v>10.416666666666666</v>
      </c>
      <c r="T176">
        <v>20.833333333333332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50.346741742644028</v>
      </c>
      <c r="AO176">
        <v>55.882158067153362</v>
      </c>
      <c r="AP176">
        <v>483.76474995322525</v>
      </c>
      <c r="AQ176">
        <v>226.18213296068262</v>
      </c>
      <c r="AR176">
        <v>54.288289016569721</v>
      </c>
      <c r="AS176">
        <v>266.49790884886363</v>
      </c>
      <c r="AT176">
        <v>23.223955347232902</v>
      </c>
      <c r="AU176">
        <v>40.279231322346519</v>
      </c>
      <c r="AV176"/>
      <c r="AW176"/>
      <c r="AX176" s="146"/>
      <c r="AY176" s="76">
        <f t="shared" ca="1" si="172"/>
        <v>0.4941611863284967</v>
      </c>
      <c r="AZ176">
        <v>9</v>
      </c>
      <c r="BA176" s="129">
        <f t="shared" si="246"/>
        <v>39949</v>
      </c>
      <c r="BB176">
        <v>0</v>
      </c>
      <c r="BC176"/>
      <c r="BD176"/>
      <c r="BE176">
        <v>2</v>
      </c>
      <c r="BF176"/>
      <c r="BG176"/>
      <c r="BH176"/>
      <c r="BI176"/>
      <c r="BJ176"/>
      <c r="BK176">
        <v>1</v>
      </c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7"/>
        <v>0.38601290322993531</v>
      </c>
      <c r="CL176" s="179">
        <f t="shared" si="208"/>
        <v>9</v>
      </c>
      <c r="CM176" s="180">
        <f t="shared" si="209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10"/>
        <v>9.6000000000000002E-2</v>
      </c>
      <c r="DB176" s="146"/>
      <c r="DC176" s="76">
        <f t="shared" ca="1" si="173"/>
        <v>0.48233932150632697</v>
      </c>
      <c r="DD176">
        <f t="shared" si="211"/>
        <v>9</v>
      </c>
      <c r="DE176" s="129">
        <f t="shared" si="245"/>
        <v>39949</v>
      </c>
      <c r="DF176" s="161">
        <f t="shared" si="212"/>
        <v>0</v>
      </c>
      <c r="DG176" s="161">
        <f t="shared" si="213"/>
        <v>0</v>
      </c>
      <c r="DH176" s="161">
        <f t="shared" si="214"/>
        <v>0</v>
      </c>
      <c r="DI176" s="161">
        <f t="shared" si="215"/>
        <v>20.833333333333332</v>
      </c>
      <c r="DJ176" s="161">
        <f t="shared" si="216"/>
        <v>0</v>
      </c>
      <c r="DK176" s="161">
        <f t="shared" si="217"/>
        <v>0</v>
      </c>
      <c r="DL176" s="161">
        <f t="shared" si="218"/>
        <v>0</v>
      </c>
      <c r="DM176" s="161">
        <f t="shared" si="219"/>
        <v>0</v>
      </c>
      <c r="DN176" s="161">
        <f t="shared" si="220"/>
        <v>0</v>
      </c>
      <c r="DO176" s="161">
        <f t="shared" si="221"/>
        <v>10.416666666666666</v>
      </c>
      <c r="DP176" s="161">
        <f t="shared" si="222"/>
        <v>0</v>
      </c>
      <c r="DQ176" s="161">
        <f t="shared" si="223"/>
        <v>0</v>
      </c>
      <c r="DR176" s="161">
        <f t="shared" si="224"/>
        <v>0</v>
      </c>
      <c r="DS176" s="161">
        <f t="shared" si="225"/>
        <v>0</v>
      </c>
      <c r="DT176" s="161">
        <f t="shared" si="226"/>
        <v>0</v>
      </c>
      <c r="DU176" s="161">
        <f t="shared" si="227"/>
        <v>0</v>
      </c>
      <c r="DV176" s="161">
        <f t="shared" si="228"/>
        <v>0</v>
      </c>
      <c r="DW176" s="161">
        <f t="shared" si="229"/>
        <v>0</v>
      </c>
      <c r="DX176" s="161">
        <f t="shared" si="230"/>
        <v>0</v>
      </c>
      <c r="DY176" s="161">
        <f t="shared" si="231"/>
        <v>0</v>
      </c>
      <c r="DZ176" s="161">
        <f t="shared" si="232"/>
        <v>0</v>
      </c>
      <c r="EA176" s="161">
        <f t="shared" si="233"/>
        <v>0</v>
      </c>
      <c r="EB176" s="161">
        <f t="shared" si="234"/>
        <v>0</v>
      </c>
      <c r="EC176" s="161">
        <f t="shared" si="235"/>
        <v>0</v>
      </c>
      <c r="ED176" s="161">
        <f t="shared" si="236"/>
        <v>0</v>
      </c>
      <c r="EE176" s="161">
        <f t="shared" si="237"/>
        <v>0</v>
      </c>
      <c r="EF176" s="161">
        <f t="shared" si="238"/>
        <v>0</v>
      </c>
      <c r="EG176" s="161">
        <f t="shared" si="239"/>
        <v>0</v>
      </c>
      <c r="EH176" s="161">
        <f t="shared" si="240"/>
        <v>0</v>
      </c>
      <c r="EI176" s="161">
        <f t="shared" si="241"/>
        <v>0</v>
      </c>
      <c r="EJ176" s="161">
        <f t="shared" si="242"/>
        <v>0</v>
      </c>
      <c r="EK176" s="147">
        <f t="shared" si="174"/>
        <v>31.25</v>
      </c>
      <c r="EL176" s="149"/>
      <c r="EN176" s="146"/>
      <c r="EO176" s="146"/>
      <c r="EP176" s="139">
        <f t="shared" si="175"/>
        <v>0</v>
      </c>
      <c r="EQ176" s="139">
        <f t="shared" si="176"/>
        <v>0</v>
      </c>
      <c r="ER176" s="139">
        <f t="shared" si="177"/>
        <v>0</v>
      </c>
      <c r="ES176" s="139">
        <f t="shared" si="178"/>
        <v>2.8307217273454137</v>
      </c>
      <c r="ET176" s="139">
        <f t="shared" si="179"/>
        <v>0</v>
      </c>
      <c r="EU176" s="139">
        <f t="shared" si="180"/>
        <v>0</v>
      </c>
      <c r="EV176" s="139">
        <f t="shared" si="181"/>
        <v>0</v>
      </c>
      <c r="EW176" s="139">
        <f t="shared" si="182"/>
        <v>0</v>
      </c>
      <c r="EX176" s="139">
        <f t="shared" si="183"/>
        <v>0</v>
      </c>
      <c r="EY176" s="139">
        <f t="shared" si="184"/>
        <v>21.583799320310842</v>
      </c>
      <c r="EZ176" s="139">
        <f t="shared" si="185"/>
        <v>0</v>
      </c>
      <c r="FA176" s="139">
        <f t="shared" si="186"/>
        <v>0</v>
      </c>
      <c r="FB176" s="139">
        <f t="shared" si="187"/>
        <v>0</v>
      </c>
      <c r="FC176" s="139">
        <f t="shared" si="188"/>
        <v>0</v>
      </c>
      <c r="FD176" s="139">
        <f t="shared" si="189"/>
        <v>0</v>
      </c>
      <c r="FE176" s="139">
        <f t="shared" si="190"/>
        <v>0</v>
      </c>
      <c r="FF176" s="139">
        <f t="shared" si="191"/>
        <v>0</v>
      </c>
      <c r="FG176" s="139">
        <f t="shared" si="192"/>
        <v>0</v>
      </c>
      <c r="FH176" s="139">
        <f t="shared" si="193"/>
        <v>0</v>
      </c>
      <c r="FI176" s="139">
        <f t="shared" si="194"/>
        <v>0</v>
      </c>
      <c r="FJ176" s="139">
        <f t="shared" si="195"/>
        <v>0</v>
      </c>
      <c r="FK176" s="139">
        <f t="shared" si="196"/>
        <v>0</v>
      </c>
      <c r="FL176" s="139">
        <f t="shared" si="197"/>
        <v>0</v>
      </c>
      <c r="FM176" s="139">
        <f t="shared" si="198"/>
        <v>0</v>
      </c>
      <c r="FN176" s="139">
        <f t="shared" si="199"/>
        <v>0</v>
      </c>
      <c r="FO176" s="139">
        <f t="shared" si="200"/>
        <v>0</v>
      </c>
      <c r="FP176" s="139">
        <f t="shared" si="201"/>
        <v>0</v>
      </c>
      <c r="FQ176" s="139">
        <f t="shared" si="202"/>
        <v>0</v>
      </c>
      <c r="FR176" s="139">
        <f t="shared" si="203"/>
        <v>0</v>
      </c>
      <c r="FS176" s="139">
        <f t="shared" si="204"/>
        <v>0</v>
      </c>
      <c r="FT176" s="139">
        <f t="shared" si="205"/>
        <v>0</v>
      </c>
      <c r="FU176" s="148">
        <f t="shared" si="206"/>
        <v>24.414521047656255</v>
      </c>
      <c r="FV176" s="149"/>
      <c r="FY176" s="210">
        <v>171</v>
      </c>
      <c r="FZ176">
        <v>17.413422767328136</v>
      </c>
      <c r="GA176">
        <v>48.261162604425891</v>
      </c>
      <c r="GB176">
        <v>38.688143331410494</v>
      </c>
      <c r="GC176">
        <v>12.418507848551222</v>
      </c>
      <c r="GD176">
        <v>4.4341540855432369</v>
      </c>
      <c r="GE176">
        <v>3.8487216902763643</v>
      </c>
      <c r="GF176">
        <v>12.197516599173579</v>
      </c>
      <c r="GG176">
        <v>19.767124771565356</v>
      </c>
      <c r="GH176">
        <v>19.418158100668474</v>
      </c>
      <c r="GI176">
        <v>33.988526797048749</v>
      </c>
      <c r="GJ176"/>
      <c r="GK176"/>
      <c r="GL176"/>
      <c r="GM176"/>
    </row>
    <row r="177" spans="1:195" s="7" customFormat="1">
      <c r="A177" s="1"/>
      <c r="B177" s="76">
        <f t="shared" ca="1" si="171"/>
        <v>0.89799970288633268</v>
      </c>
      <c r="C177">
        <v>7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20.833333333333332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10.416666666666666</v>
      </c>
      <c r="R177">
        <v>0</v>
      </c>
      <c r="S177">
        <v>10.416666666666666</v>
      </c>
      <c r="T177">
        <v>0</v>
      </c>
      <c r="U177">
        <v>10.416666666666666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65.672532941231765</v>
      </c>
      <c r="AO177">
        <v>61.003285270468361</v>
      </c>
      <c r="AP177">
        <v>429.40791538808554</v>
      </c>
      <c r="AQ177">
        <v>203.61196801727087</v>
      </c>
      <c r="AR177">
        <v>58.942896403512876</v>
      </c>
      <c r="AS177">
        <v>394.14492796539156</v>
      </c>
      <c r="AT177">
        <v>25.236608171402878</v>
      </c>
      <c r="AU177">
        <v>56.314882428321468</v>
      </c>
      <c r="AV177"/>
      <c r="AW177"/>
      <c r="AX177" s="146"/>
      <c r="AY177" s="76">
        <f t="shared" ca="1" si="172"/>
        <v>0.62996209081652865</v>
      </c>
      <c r="AZ177">
        <v>10</v>
      </c>
      <c r="BA177" s="129">
        <f t="shared" si="246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>
        <v>1</v>
      </c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7"/>
        <v>0.26231772886190896</v>
      </c>
      <c r="CL177" s="179">
        <f t="shared" si="208"/>
        <v>10</v>
      </c>
      <c r="CM177" s="180">
        <f t="shared" si="209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10"/>
        <v>9.6000000000000002E-2</v>
      </c>
      <c r="DB177" s="146"/>
      <c r="DC177" s="76">
        <f t="shared" ca="1" si="173"/>
        <v>0.23777029943350181</v>
      </c>
      <c r="DD177">
        <f t="shared" si="211"/>
        <v>10</v>
      </c>
      <c r="DE177" s="129">
        <f t="shared" si="245"/>
        <v>39949</v>
      </c>
      <c r="DF177" s="161">
        <f t="shared" si="212"/>
        <v>0</v>
      </c>
      <c r="DG177" s="161">
        <f t="shared" si="213"/>
        <v>0</v>
      </c>
      <c r="DH177" s="161">
        <f t="shared" si="214"/>
        <v>0</v>
      </c>
      <c r="DI177" s="161">
        <f t="shared" si="215"/>
        <v>0</v>
      </c>
      <c r="DJ177" s="161">
        <f t="shared" si="216"/>
        <v>0</v>
      </c>
      <c r="DK177" s="161">
        <f t="shared" si="217"/>
        <v>0</v>
      </c>
      <c r="DL177" s="161">
        <f t="shared" si="218"/>
        <v>0</v>
      </c>
      <c r="DM177" s="161">
        <f t="shared" si="219"/>
        <v>0</v>
      </c>
      <c r="DN177" s="161">
        <f t="shared" si="220"/>
        <v>0</v>
      </c>
      <c r="DO177" s="161">
        <f t="shared" si="221"/>
        <v>0</v>
      </c>
      <c r="DP177" s="161">
        <f t="shared" si="222"/>
        <v>0</v>
      </c>
      <c r="DQ177" s="161">
        <f t="shared" si="223"/>
        <v>0</v>
      </c>
      <c r="DR177" s="161">
        <f t="shared" si="224"/>
        <v>0</v>
      </c>
      <c r="DS177" s="161">
        <f t="shared" si="225"/>
        <v>0</v>
      </c>
      <c r="DT177" s="161">
        <f t="shared" si="226"/>
        <v>0</v>
      </c>
      <c r="DU177" s="161">
        <f t="shared" si="227"/>
        <v>0</v>
      </c>
      <c r="DV177" s="161">
        <f t="shared" si="228"/>
        <v>0</v>
      </c>
      <c r="DW177" s="161">
        <f t="shared" si="229"/>
        <v>0</v>
      </c>
      <c r="DX177" s="161">
        <f t="shared" si="230"/>
        <v>0</v>
      </c>
      <c r="DY177" s="161">
        <f t="shared" si="231"/>
        <v>10.416666666666666</v>
      </c>
      <c r="DZ177" s="161">
        <f t="shared" si="232"/>
        <v>0</v>
      </c>
      <c r="EA177" s="161">
        <f t="shared" si="233"/>
        <v>0</v>
      </c>
      <c r="EB177" s="161">
        <f t="shared" si="234"/>
        <v>0</v>
      </c>
      <c r="EC177" s="161">
        <f t="shared" si="235"/>
        <v>0</v>
      </c>
      <c r="ED177" s="161">
        <f t="shared" si="236"/>
        <v>0</v>
      </c>
      <c r="EE177" s="161">
        <f t="shared" si="237"/>
        <v>0</v>
      </c>
      <c r="EF177" s="161">
        <f t="shared" si="238"/>
        <v>0</v>
      </c>
      <c r="EG177" s="161">
        <f t="shared" si="239"/>
        <v>0</v>
      </c>
      <c r="EH177" s="161">
        <f t="shared" si="240"/>
        <v>0</v>
      </c>
      <c r="EI177" s="161">
        <f t="shared" si="241"/>
        <v>0</v>
      </c>
      <c r="EJ177" s="161">
        <f t="shared" si="242"/>
        <v>0</v>
      </c>
      <c r="EK177" s="147">
        <f t="shared" si="174"/>
        <v>10.416666666666666</v>
      </c>
      <c r="EL177" s="149"/>
      <c r="EN177" s="146"/>
      <c r="EO177" s="146"/>
      <c r="EP177" s="139">
        <f t="shared" si="175"/>
        <v>0</v>
      </c>
      <c r="EQ177" s="139">
        <f t="shared" si="176"/>
        <v>0</v>
      </c>
      <c r="ER177" s="139">
        <f t="shared" si="177"/>
        <v>0</v>
      </c>
      <c r="ES177" s="139">
        <f t="shared" si="178"/>
        <v>0</v>
      </c>
      <c r="ET177" s="139">
        <f t="shared" si="179"/>
        <v>0</v>
      </c>
      <c r="EU177" s="139">
        <f t="shared" si="180"/>
        <v>0</v>
      </c>
      <c r="EV177" s="139">
        <f t="shared" si="181"/>
        <v>0</v>
      </c>
      <c r="EW177" s="139">
        <f t="shared" si="182"/>
        <v>0</v>
      </c>
      <c r="EX177" s="139">
        <f t="shared" si="183"/>
        <v>0</v>
      </c>
      <c r="EY177" s="139">
        <f t="shared" si="184"/>
        <v>0</v>
      </c>
      <c r="EZ177" s="139">
        <f t="shared" si="185"/>
        <v>0</v>
      </c>
      <c r="FA177" s="139">
        <f t="shared" si="186"/>
        <v>0</v>
      </c>
      <c r="FB177" s="139">
        <f t="shared" si="187"/>
        <v>0</v>
      </c>
      <c r="FC177" s="139">
        <f t="shared" si="188"/>
        <v>0</v>
      </c>
      <c r="FD177" s="139">
        <f t="shared" si="189"/>
        <v>0</v>
      </c>
      <c r="FE177" s="139">
        <f t="shared" si="190"/>
        <v>0</v>
      </c>
      <c r="FF177" s="139">
        <f t="shared" si="191"/>
        <v>0</v>
      </c>
      <c r="FG177" s="139">
        <f t="shared" si="192"/>
        <v>0</v>
      </c>
      <c r="FH177" s="139">
        <f t="shared" si="193"/>
        <v>0</v>
      </c>
      <c r="FI177" s="139">
        <f t="shared" si="194"/>
        <v>137.69412207227376</v>
      </c>
      <c r="FJ177" s="139">
        <f t="shared" si="195"/>
        <v>0</v>
      </c>
      <c r="FK177" s="139">
        <f t="shared" si="196"/>
        <v>0</v>
      </c>
      <c r="FL177" s="139">
        <f t="shared" si="197"/>
        <v>0</v>
      </c>
      <c r="FM177" s="139">
        <f t="shared" si="198"/>
        <v>0</v>
      </c>
      <c r="FN177" s="139">
        <f t="shared" si="199"/>
        <v>0</v>
      </c>
      <c r="FO177" s="139">
        <f t="shared" si="200"/>
        <v>0</v>
      </c>
      <c r="FP177" s="139">
        <f t="shared" si="201"/>
        <v>0</v>
      </c>
      <c r="FQ177" s="139">
        <f t="shared" si="202"/>
        <v>0</v>
      </c>
      <c r="FR177" s="139">
        <f t="shared" si="203"/>
        <v>0</v>
      </c>
      <c r="FS177" s="139">
        <f t="shared" si="204"/>
        <v>0</v>
      </c>
      <c r="FT177" s="139">
        <f t="shared" si="205"/>
        <v>0</v>
      </c>
      <c r="FU177" s="148">
        <f t="shared" si="206"/>
        <v>137.69412207227376</v>
      </c>
      <c r="FV177" s="149"/>
      <c r="FY177" s="210">
        <v>172</v>
      </c>
      <c r="FZ177">
        <v>35.441608549832523</v>
      </c>
      <c r="GA177">
        <v>48.210053740327993</v>
      </c>
      <c r="GB177">
        <v>28.35841905787121</v>
      </c>
      <c r="GC177">
        <v>11.554393086551732</v>
      </c>
      <c r="GD177">
        <v>7.494423440136484</v>
      </c>
      <c r="GE177">
        <v>8.4377941636157896</v>
      </c>
      <c r="GF177">
        <v>12.125340426183842</v>
      </c>
      <c r="GG177">
        <v>21.35183166868579</v>
      </c>
      <c r="GH177">
        <v>18.789359041885575</v>
      </c>
      <c r="GI177">
        <v>36.184272109426153</v>
      </c>
      <c r="GJ177"/>
      <c r="GK177"/>
      <c r="GL177"/>
      <c r="GM177"/>
    </row>
    <row r="178" spans="1:195" s="7" customFormat="1">
      <c r="A178" s="128"/>
      <c r="B178" s="76">
        <f t="shared" ca="1" si="171"/>
        <v>0.94295942885007022</v>
      </c>
      <c r="C178">
        <v>8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52.151395892025917</v>
      </c>
      <c r="AO178">
        <v>63.074897584640709</v>
      </c>
      <c r="AP178">
        <v>497.42662675675035</v>
      </c>
      <c r="AQ178">
        <v>215.00380031452551</v>
      </c>
      <c r="AR178">
        <v>58.21425095132583</v>
      </c>
      <c r="AS178">
        <v>362.34551360782933</v>
      </c>
      <c r="AT178">
        <v>23.408940495749786</v>
      </c>
      <c r="AU178">
        <v>-4.7504982188393114</v>
      </c>
      <c r="AV178"/>
      <c r="AW178"/>
      <c r="AX178" s="128"/>
      <c r="AY178" s="76">
        <f t="shared" ca="1" si="172"/>
        <v>0.75176157502074248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7"/>
        <v>0.97922860679830404</v>
      </c>
      <c r="CL178" s="179">
        <f t="shared" si="208"/>
        <v>1</v>
      </c>
      <c r="CM178" s="180">
        <f t="shared" si="209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10"/>
        <v>9.6000000000000002E-2</v>
      </c>
      <c r="DB178" s="128"/>
      <c r="DC178" s="76">
        <f t="shared" ca="1" si="173"/>
        <v>0.85633663627608225</v>
      </c>
      <c r="DD178">
        <f t="shared" si="211"/>
        <v>1</v>
      </c>
      <c r="DE178" s="129">
        <f t="shared" ref="DE178:DE187" si="247">IF((DD178)="", "", $C$13)</f>
        <v>39987</v>
      </c>
      <c r="DF178" s="161">
        <f t="shared" si="212"/>
        <v>0</v>
      </c>
      <c r="DG178" s="161">
        <f t="shared" si="213"/>
        <v>0</v>
      </c>
      <c r="DH178" s="161">
        <f t="shared" si="214"/>
        <v>0</v>
      </c>
      <c r="DI178" s="161">
        <f t="shared" si="215"/>
        <v>0</v>
      </c>
      <c r="DJ178" s="161">
        <f t="shared" si="216"/>
        <v>0</v>
      </c>
      <c r="DK178" s="161">
        <f t="shared" si="217"/>
        <v>0</v>
      </c>
      <c r="DL178" s="161">
        <f t="shared" si="218"/>
        <v>0</v>
      </c>
      <c r="DM178" s="161">
        <f t="shared" si="219"/>
        <v>0</v>
      </c>
      <c r="DN178" s="161">
        <f t="shared" si="220"/>
        <v>0</v>
      </c>
      <c r="DO178" s="161">
        <f t="shared" si="221"/>
        <v>0</v>
      </c>
      <c r="DP178" s="161">
        <f t="shared" si="222"/>
        <v>0</v>
      </c>
      <c r="DQ178" s="161">
        <f t="shared" si="223"/>
        <v>0</v>
      </c>
      <c r="DR178" s="161">
        <f t="shared" si="224"/>
        <v>0</v>
      </c>
      <c r="DS178" s="161">
        <f t="shared" si="225"/>
        <v>0</v>
      </c>
      <c r="DT178" s="161">
        <f t="shared" si="226"/>
        <v>0</v>
      </c>
      <c r="DU178" s="161">
        <f t="shared" si="227"/>
        <v>0</v>
      </c>
      <c r="DV178" s="161">
        <f t="shared" si="228"/>
        <v>0</v>
      </c>
      <c r="DW178" s="161">
        <f t="shared" si="229"/>
        <v>0</v>
      </c>
      <c r="DX178" s="161">
        <f t="shared" si="230"/>
        <v>0</v>
      </c>
      <c r="DY178" s="161">
        <f t="shared" si="231"/>
        <v>0</v>
      </c>
      <c r="DZ178" s="161">
        <f t="shared" si="232"/>
        <v>0</v>
      </c>
      <c r="EA178" s="161">
        <f t="shared" si="233"/>
        <v>0</v>
      </c>
      <c r="EB178" s="161">
        <f t="shared" si="234"/>
        <v>0</v>
      </c>
      <c r="EC178" s="161">
        <f t="shared" si="235"/>
        <v>0</v>
      </c>
      <c r="ED178" s="161">
        <f t="shared" si="236"/>
        <v>0</v>
      </c>
      <c r="EE178" s="161">
        <f t="shared" si="237"/>
        <v>0</v>
      </c>
      <c r="EF178" s="161">
        <f t="shared" si="238"/>
        <v>0</v>
      </c>
      <c r="EG178" s="161">
        <f t="shared" si="239"/>
        <v>0</v>
      </c>
      <c r="EH178" s="161">
        <f t="shared" si="240"/>
        <v>0</v>
      </c>
      <c r="EI178" s="161">
        <f t="shared" si="241"/>
        <v>0</v>
      </c>
      <c r="EJ178" s="161">
        <f t="shared" si="242"/>
        <v>0</v>
      </c>
      <c r="EK178" s="147">
        <f t="shared" si="174"/>
        <v>0</v>
      </c>
      <c r="EL178" s="149"/>
      <c r="EN178" s="146"/>
      <c r="EO178" s="146"/>
      <c r="EP178" s="139">
        <f t="shared" si="175"/>
        <v>0</v>
      </c>
      <c r="EQ178" s="139">
        <f t="shared" si="176"/>
        <v>0</v>
      </c>
      <c r="ER178" s="139">
        <f t="shared" si="177"/>
        <v>0</v>
      </c>
      <c r="ES178" s="139">
        <f t="shared" si="178"/>
        <v>0</v>
      </c>
      <c r="ET178" s="139">
        <f t="shared" si="179"/>
        <v>0</v>
      </c>
      <c r="EU178" s="139">
        <f t="shared" si="180"/>
        <v>0</v>
      </c>
      <c r="EV178" s="139">
        <f t="shared" si="181"/>
        <v>0</v>
      </c>
      <c r="EW178" s="139">
        <f t="shared" si="182"/>
        <v>0</v>
      </c>
      <c r="EX178" s="139">
        <f t="shared" si="183"/>
        <v>0</v>
      </c>
      <c r="EY178" s="139">
        <f t="shared" si="184"/>
        <v>0</v>
      </c>
      <c r="EZ178" s="139">
        <f t="shared" si="185"/>
        <v>0</v>
      </c>
      <c r="FA178" s="139">
        <f t="shared" si="186"/>
        <v>0</v>
      </c>
      <c r="FB178" s="139">
        <f t="shared" si="187"/>
        <v>0</v>
      </c>
      <c r="FC178" s="139">
        <f t="shared" si="188"/>
        <v>0</v>
      </c>
      <c r="FD178" s="139">
        <f t="shared" si="189"/>
        <v>0</v>
      </c>
      <c r="FE178" s="139">
        <f t="shared" si="190"/>
        <v>0</v>
      </c>
      <c r="FF178" s="139">
        <f t="shared" si="191"/>
        <v>0</v>
      </c>
      <c r="FG178" s="139">
        <f t="shared" si="192"/>
        <v>0</v>
      </c>
      <c r="FH178" s="139">
        <f t="shared" si="193"/>
        <v>0</v>
      </c>
      <c r="FI178" s="139">
        <f t="shared" si="194"/>
        <v>0</v>
      </c>
      <c r="FJ178" s="139">
        <f t="shared" si="195"/>
        <v>0</v>
      </c>
      <c r="FK178" s="139">
        <f t="shared" si="196"/>
        <v>0</v>
      </c>
      <c r="FL178" s="139">
        <f t="shared" si="197"/>
        <v>0</v>
      </c>
      <c r="FM178" s="139">
        <f t="shared" si="198"/>
        <v>0</v>
      </c>
      <c r="FN178" s="139">
        <f t="shared" si="199"/>
        <v>0</v>
      </c>
      <c r="FO178" s="139">
        <f t="shared" si="200"/>
        <v>0</v>
      </c>
      <c r="FP178" s="139">
        <f t="shared" si="201"/>
        <v>0</v>
      </c>
      <c r="FQ178" s="139">
        <f t="shared" si="202"/>
        <v>0</v>
      </c>
      <c r="FR178" s="139">
        <f t="shared" si="203"/>
        <v>0</v>
      </c>
      <c r="FS178" s="139">
        <f t="shared" si="204"/>
        <v>0</v>
      </c>
      <c r="FT178" s="139">
        <f t="shared" si="205"/>
        <v>0</v>
      </c>
      <c r="FU178" s="148">
        <f t="shared" si="206"/>
        <v>0</v>
      </c>
      <c r="FV178" s="149"/>
      <c r="FY178" s="210">
        <v>173</v>
      </c>
      <c r="FZ178">
        <v>20.95647741739532</v>
      </c>
      <c r="GA178">
        <v>49.624789433951051</v>
      </c>
      <c r="GB178">
        <v>34.20490988872821</v>
      </c>
      <c r="GC178">
        <v>8.7463491355217933</v>
      </c>
      <c r="GD178">
        <v>5.3647028474633913</v>
      </c>
      <c r="GE178">
        <v>7.7123267668236917</v>
      </c>
      <c r="GF178">
        <v>9.2765805707856028</v>
      </c>
      <c r="GG178">
        <v>15.423055177437401</v>
      </c>
      <c r="GH178">
        <v>19.394451009761262</v>
      </c>
      <c r="GI178">
        <v>28.908733679176667</v>
      </c>
      <c r="GJ178"/>
      <c r="GK178"/>
      <c r="GL178"/>
      <c r="GM178"/>
    </row>
    <row r="179" spans="1:195" s="7" customFormat="1">
      <c r="A179" s="1"/>
      <c r="B179" s="76">
        <f t="shared" ca="1" si="171"/>
        <v>0.91201717987356568</v>
      </c>
      <c r="C179">
        <v>7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71.486928104575156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10.416666666666666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56.983446639583541</v>
      </c>
      <c r="AO179">
        <v>59.020348847117681</v>
      </c>
      <c r="AP179">
        <v>422.5230506930954</v>
      </c>
      <c r="AQ179">
        <v>205.15883477918052</v>
      </c>
      <c r="AR179">
        <v>55.892277486287085</v>
      </c>
      <c r="AS179">
        <v>350.22430222984184</v>
      </c>
      <c r="AT179">
        <v>22.500189195174055</v>
      </c>
      <c r="AU179">
        <v>-3.2974809306875272</v>
      </c>
      <c r="AV179"/>
      <c r="AW179"/>
      <c r="AX179" s="146"/>
      <c r="AY179" s="76">
        <f t="shared" ca="1" si="172"/>
        <v>0.82791998801000699</v>
      </c>
      <c r="AZ179">
        <v>2</v>
      </c>
      <c r="BA179" s="129">
        <f t="shared" ref="BA179:BA187" si="248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7"/>
        <v>0.54451269305175054</v>
      </c>
      <c r="CL179" s="179">
        <f t="shared" si="208"/>
        <v>2</v>
      </c>
      <c r="CM179" s="180">
        <f t="shared" si="209"/>
        <v>39987</v>
      </c>
      <c r="CN179">
        <v>0</v>
      </c>
      <c r="CO179"/>
      <c r="CP179"/>
      <c r="CQ179">
        <v>1</v>
      </c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10"/>
        <v>9.6000000000000002E-2</v>
      </c>
      <c r="DB179" s="146"/>
      <c r="DC179" s="76">
        <f t="shared" ca="1" si="173"/>
        <v>0.79395807175779165</v>
      </c>
      <c r="DD179">
        <f t="shared" si="211"/>
        <v>2</v>
      </c>
      <c r="DE179" s="129">
        <f t="shared" si="247"/>
        <v>39987</v>
      </c>
      <c r="DF179" s="161">
        <f t="shared" si="212"/>
        <v>0</v>
      </c>
      <c r="DG179" s="161">
        <f t="shared" si="213"/>
        <v>0</v>
      </c>
      <c r="DH179" s="161">
        <f t="shared" si="214"/>
        <v>0</v>
      </c>
      <c r="DI179" s="161">
        <f t="shared" si="215"/>
        <v>57.779947916666664</v>
      </c>
      <c r="DJ179" s="161">
        <f t="shared" si="216"/>
        <v>0</v>
      </c>
      <c r="DK179" s="161">
        <f t="shared" si="217"/>
        <v>0</v>
      </c>
      <c r="DL179" s="161">
        <f t="shared" si="218"/>
        <v>0</v>
      </c>
      <c r="DM179" s="161">
        <f t="shared" si="219"/>
        <v>0</v>
      </c>
      <c r="DN179" s="161">
        <f t="shared" si="220"/>
        <v>0</v>
      </c>
      <c r="DO179" s="161">
        <f t="shared" si="221"/>
        <v>0</v>
      </c>
      <c r="DP179" s="161">
        <f t="shared" si="222"/>
        <v>0</v>
      </c>
      <c r="DQ179" s="161">
        <f t="shared" si="223"/>
        <v>0</v>
      </c>
      <c r="DR179" s="161">
        <f t="shared" si="224"/>
        <v>0</v>
      </c>
      <c r="DS179" s="161">
        <f t="shared" si="225"/>
        <v>0</v>
      </c>
      <c r="DT179" s="161">
        <f t="shared" si="226"/>
        <v>0</v>
      </c>
      <c r="DU179" s="161">
        <f t="shared" si="227"/>
        <v>0</v>
      </c>
      <c r="DV179" s="161">
        <f t="shared" si="228"/>
        <v>0</v>
      </c>
      <c r="DW179" s="161">
        <f t="shared" si="229"/>
        <v>0</v>
      </c>
      <c r="DX179" s="161">
        <f t="shared" si="230"/>
        <v>0</v>
      </c>
      <c r="DY179" s="161">
        <f t="shared" si="231"/>
        <v>0</v>
      </c>
      <c r="DZ179" s="161">
        <f t="shared" si="232"/>
        <v>0</v>
      </c>
      <c r="EA179" s="161">
        <f t="shared" si="233"/>
        <v>0</v>
      </c>
      <c r="EB179" s="161">
        <f t="shared" si="234"/>
        <v>0</v>
      </c>
      <c r="EC179" s="161">
        <f t="shared" si="235"/>
        <v>0</v>
      </c>
      <c r="ED179" s="161">
        <f t="shared" si="236"/>
        <v>0</v>
      </c>
      <c r="EE179" s="161">
        <f t="shared" si="237"/>
        <v>0</v>
      </c>
      <c r="EF179" s="161">
        <f t="shared" si="238"/>
        <v>0</v>
      </c>
      <c r="EG179" s="161">
        <f t="shared" si="239"/>
        <v>0</v>
      </c>
      <c r="EH179" s="161">
        <f t="shared" si="240"/>
        <v>0</v>
      </c>
      <c r="EI179" s="161">
        <f t="shared" si="241"/>
        <v>0</v>
      </c>
      <c r="EJ179" s="161">
        <f t="shared" si="242"/>
        <v>0</v>
      </c>
      <c r="EK179" s="147">
        <f t="shared" si="174"/>
        <v>57.779947916666664</v>
      </c>
      <c r="EL179" s="149"/>
      <c r="EN179" s="146"/>
      <c r="EO179" s="146"/>
      <c r="EP179" s="139">
        <f t="shared" si="175"/>
        <v>0</v>
      </c>
      <c r="EQ179" s="139">
        <f t="shared" si="176"/>
        <v>0</v>
      </c>
      <c r="ER179" s="139">
        <f t="shared" si="177"/>
        <v>0</v>
      </c>
      <c r="ES179" s="139">
        <f t="shared" si="178"/>
        <v>7.8508297906845455</v>
      </c>
      <c r="ET179" s="139">
        <f t="shared" si="179"/>
        <v>0</v>
      </c>
      <c r="EU179" s="139">
        <f t="shared" si="180"/>
        <v>0</v>
      </c>
      <c r="EV179" s="139">
        <f t="shared" si="181"/>
        <v>0</v>
      </c>
      <c r="EW179" s="139">
        <f t="shared" si="182"/>
        <v>0</v>
      </c>
      <c r="EX179" s="139">
        <f t="shared" si="183"/>
        <v>0</v>
      </c>
      <c r="EY179" s="139">
        <f t="shared" si="184"/>
        <v>0</v>
      </c>
      <c r="EZ179" s="139">
        <f t="shared" si="185"/>
        <v>0</v>
      </c>
      <c r="FA179" s="139">
        <f t="shared" si="186"/>
        <v>0</v>
      </c>
      <c r="FB179" s="139">
        <f t="shared" si="187"/>
        <v>0</v>
      </c>
      <c r="FC179" s="139">
        <f t="shared" si="188"/>
        <v>0</v>
      </c>
      <c r="FD179" s="139">
        <f t="shared" si="189"/>
        <v>0</v>
      </c>
      <c r="FE179" s="139">
        <f t="shared" si="190"/>
        <v>0</v>
      </c>
      <c r="FF179" s="139">
        <f t="shared" si="191"/>
        <v>0</v>
      </c>
      <c r="FG179" s="139">
        <f t="shared" si="192"/>
        <v>0</v>
      </c>
      <c r="FH179" s="139">
        <f t="shared" si="193"/>
        <v>0</v>
      </c>
      <c r="FI179" s="139">
        <f t="shared" si="194"/>
        <v>0</v>
      </c>
      <c r="FJ179" s="139">
        <f t="shared" si="195"/>
        <v>0</v>
      </c>
      <c r="FK179" s="139">
        <f t="shared" si="196"/>
        <v>0</v>
      </c>
      <c r="FL179" s="139">
        <f t="shared" si="197"/>
        <v>0</v>
      </c>
      <c r="FM179" s="139">
        <f t="shared" si="198"/>
        <v>0</v>
      </c>
      <c r="FN179" s="139">
        <f t="shared" si="199"/>
        <v>0</v>
      </c>
      <c r="FO179" s="139">
        <f t="shared" si="200"/>
        <v>0</v>
      </c>
      <c r="FP179" s="139">
        <f t="shared" si="201"/>
        <v>0</v>
      </c>
      <c r="FQ179" s="139">
        <f t="shared" si="202"/>
        <v>0</v>
      </c>
      <c r="FR179" s="139">
        <f t="shared" si="203"/>
        <v>0</v>
      </c>
      <c r="FS179" s="139">
        <f t="shared" si="204"/>
        <v>0</v>
      </c>
      <c r="FT179" s="139">
        <f t="shared" si="205"/>
        <v>0</v>
      </c>
      <c r="FU179" s="148">
        <f t="shared" si="206"/>
        <v>7.8508297906845455</v>
      </c>
      <c r="FV179" s="149"/>
      <c r="FY179" s="210">
        <v>174</v>
      </c>
      <c r="FZ179">
        <v>24.119249705470938</v>
      </c>
      <c r="GA179">
        <v>53.849890258714467</v>
      </c>
      <c r="GB179">
        <v>57.092085825240581</v>
      </c>
      <c r="GC179">
        <v>14.008288418498013</v>
      </c>
      <c r="GD179">
        <v>9.5002267610972364</v>
      </c>
      <c r="GE179">
        <v>15.089720797454707</v>
      </c>
      <c r="GF179">
        <v>7.5366495460950427</v>
      </c>
      <c r="GG179">
        <v>14.251479373087564</v>
      </c>
      <c r="GH179">
        <v>16.844123200335705</v>
      </c>
      <c r="GI179">
        <v>43.200490003662978</v>
      </c>
      <c r="GJ179"/>
      <c r="GK179"/>
      <c r="GL179"/>
      <c r="GM179"/>
    </row>
    <row r="180" spans="1:195" s="7" customFormat="1">
      <c r="A180" s="1"/>
      <c r="B180" s="76">
        <f t="shared" ca="1" si="171"/>
        <v>0.78338586208679195</v>
      </c>
      <c r="C180">
        <v>4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52.160700159905005</v>
      </c>
      <c r="AO180">
        <v>69.364518879742292</v>
      </c>
      <c r="AP180">
        <v>514.51472541143221</v>
      </c>
      <c r="AQ180">
        <v>203.87098091641334</v>
      </c>
      <c r="AR180">
        <v>65.415035541437064</v>
      </c>
      <c r="AS180">
        <v>345.60435673425496</v>
      </c>
      <c r="AT180">
        <v>25.234029313648517</v>
      </c>
      <c r="AU180">
        <v>-6.9975160212979066</v>
      </c>
      <c r="AV180"/>
      <c r="AW180"/>
      <c r="AX180" s="146"/>
      <c r="AY180" s="76">
        <f t="shared" ca="1" si="172"/>
        <v>0.30369245334064843</v>
      </c>
      <c r="AZ180">
        <v>3</v>
      </c>
      <c r="BA180" s="129">
        <f t="shared" si="248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7"/>
        <v>0.50979751555108521</v>
      </c>
      <c r="CL180" s="179">
        <f t="shared" si="208"/>
        <v>3</v>
      </c>
      <c r="CM180" s="180">
        <f t="shared" si="209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10"/>
        <v>9.6000000000000002E-2</v>
      </c>
      <c r="DB180" s="146"/>
      <c r="DC180" s="76">
        <f t="shared" ca="1" si="173"/>
        <v>0.11931937505910017</v>
      </c>
      <c r="DD180">
        <f t="shared" si="211"/>
        <v>3</v>
      </c>
      <c r="DE180" s="129">
        <f t="shared" si="247"/>
        <v>39987</v>
      </c>
      <c r="DF180" s="161">
        <f t="shared" si="212"/>
        <v>0</v>
      </c>
      <c r="DG180" s="161">
        <f t="shared" si="213"/>
        <v>0</v>
      </c>
      <c r="DH180" s="161">
        <f t="shared" si="214"/>
        <v>0</v>
      </c>
      <c r="DI180" s="161">
        <f t="shared" si="215"/>
        <v>0</v>
      </c>
      <c r="DJ180" s="161">
        <f t="shared" si="216"/>
        <v>0</v>
      </c>
      <c r="DK180" s="161">
        <f t="shared" si="217"/>
        <v>0</v>
      </c>
      <c r="DL180" s="161">
        <f t="shared" si="218"/>
        <v>0</v>
      </c>
      <c r="DM180" s="161">
        <f t="shared" si="219"/>
        <v>0</v>
      </c>
      <c r="DN180" s="161">
        <f t="shared" si="220"/>
        <v>0</v>
      </c>
      <c r="DO180" s="161">
        <f t="shared" si="221"/>
        <v>0</v>
      </c>
      <c r="DP180" s="161">
        <f t="shared" si="222"/>
        <v>0</v>
      </c>
      <c r="DQ180" s="161">
        <f t="shared" si="223"/>
        <v>0</v>
      </c>
      <c r="DR180" s="161">
        <f t="shared" si="224"/>
        <v>0</v>
      </c>
      <c r="DS180" s="161">
        <f t="shared" si="225"/>
        <v>0</v>
      </c>
      <c r="DT180" s="161">
        <f t="shared" si="226"/>
        <v>0</v>
      </c>
      <c r="DU180" s="161">
        <f t="shared" si="227"/>
        <v>0</v>
      </c>
      <c r="DV180" s="161">
        <f t="shared" si="228"/>
        <v>0</v>
      </c>
      <c r="DW180" s="161">
        <f t="shared" si="229"/>
        <v>0</v>
      </c>
      <c r="DX180" s="161">
        <f t="shared" si="230"/>
        <v>0</v>
      </c>
      <c r="DY180" s="161">
        <f t="shared" si="231"/>
        <v>0</v>
      </c>
      <c r="DZ180" s="161">
        <f t="shared" si="232"/>
        <v>0</v>
      </c>
      <c r="EA180" s="161">
        <f t="shared" si="233"/>
        <v>0</v>
      </c>
      <c r="EB180" s="161">
        <f t="shared" si="234"/>
        <v>0</v>
      </c>
      <c r="EC180" s="161">
        <f t="shared" si="235"/>
        <v>0</v>
      </c>
      <c r="ED180" s="161">
        <f t="shared" si="236"/>
        <v>0</v>
      </c>
      <c r="EE180" s="161">
        <f t="shared" si="237"/>
        <v>0</v>
      </c>
      <c r="EF180" s="161">
        <f t="shared" si="238"/>
        <v>0</v>
      </c>
      <c r="EG180" s="161">
        <f t="shared" si="239"/>
        <v>0</v>
      </c>
      <c r="EH180" s="161">
        <f t="shared" si="240"/>
        <v>0</v>
      </c>
      <c r="EI180" s="161">
        <f t="shared" si="241"/>
        <v>0</v>
      </c>
      <c r="EJ180" s="161">
        <f t="shared" si="242"/>
        <v>0</v>
      </c>
      <c r="EK180" s="147">
        <f t="shared" si="174"/>
        <v>0</v>
      </c>
      <c r="EL180" s="149"/>
      <c r="EN180" s="146"/>
      <c r="EO180" s="146"/>
      <c r="EP180" s="139">
        <f t="shared" si="175"/>
        <v>0</v>
      </c>
      <c r="EQ180" s="139">
        <f t="shared" si="176"/>
        <v>0</v>
      </c>
      <c r="ER180" s="139">
        <f t="shared" si="177"/>
        <v>0</v>
      </c>
      <c r="ES180" s="139">
        <f t="shared" si="178"/>
        <v>0</v>
      </c>
      <c r="ET180" s="139">
        <f t="shared" si="179"/>
        <v>0</v>
      </c>
      <c r="EU180" s="139">
        <f t="shared" si="180"/>
        <v>0</v>
      </c>
      <c r="EV180" s="139">
        <f t="shared" si="181"/>
        <v>0</v>
      </c>
      <c r="EW180" s="139">
        <f t="shared" si="182"/>
        <v>0</v>
      </c>
      <c r="EX180" s="139">
        <f t="shared" si="183"/>
        <v>0</v>
      </c>
      <c r="EY180" s="139">
        <f t="shared" si="184"/>
        <v>0</v>
      </c>
      <c r="EZ180" s="139">
        <f t="shared" si="185"/>
        <v>0</v>
      </c>
      <c r="FA180" s="139">
        <f t="shared" si="186"/>
        <v>0</v>
      </c>
      <c r="FB180" s="139">
        <f t="shared" si="187"/>
        <v>0</v>
      </c>
      <c r="FC180" s="139">
        <f t="shared" si="188"/>
        <v>0</v>
      </c>
      <c r="FD180" s="139">
        <f t="shared" si="189"/>
        <v>0</v>
      </c>
      <c r="FE180" s="139">
        <f t="shared" si="190"/>
        <v>0</v>
      </c>
      <c r="FF180" s="139">
        <f t="shared" si="191"/>
        <v>0</v>
      </c>
      <c r="FG180" s="139">
        <f t="shared" si="192"/>
        <v>0</v>
      </c>
      <c r="FH180" s="139">
        <f t="shared" si="193"/>
        <v>0</v>
      </c>
      <c r="FI180" s="139">
        <f t="shared" si="194"/>
        <v>0</v>
      </c>
      <c r="FJ180" s="139">
        <f t="shared" si="195"/>
        <v>0</v>
      </c>
      <c r="FK180" s="139">
        <f t="shared" si="196"/>
        <v>0</v>
      </c>
      <c r="FL180" s="139">
        <f t="shared" si="197"/>
        <v>0</v>
      </c>
      <c r="FM180" s="139">
        <f t="shared" si="198"/>
        <v>0</v>
      </c>
      <c r="FN180" s="139">
        <f t="shared" si="199"/>
        <v>0</v>
      </c>
      <c r="FO180" s="139">
        <f t="shared" si="200"/>
        <v>0</v>
      </c>
      <c r="FP180" s="139">
        <f t="shared" si="201"/>
        <v>0</v>
      </c>
      <c r="FQ180" s="139">
        <f t="shared" si="202"/>
        <v>0</v>
      </c>
      <c r="FR180" s="139">
        <f t="shared" si="203"/>
        <v>0</v>
      </c>
      <c r="FS180" s="139">
        <f t="shared" si="204"/>
        <v>0</v>
      </c>
      <c r="FT180" s="139">
        <f t="shared" si="205"/>
        <v>0</v>
      </c>
      <c r="FU180" s="148">
        <f t="shared" si="206"/>
        <v>0</v>
      </c>
      <c r="FV180" s="149"/>
      <c r="FY180" s="210">
        <v>175</v>
      </c>
      <c r="FZ180">
        <v>18.272486764563524</v>
      </c>
      <c r="GA180">
        <v>60.291032471280865</v>
      </c>
      <c r="GB180">
        <v>35.839836187027153</v>
      </c>
      <c r="GC180">
        <v>7.5911117186136163</v>
      </c>
      <c r="GD180">
        <v>2.7217755583325314</v>
      </c>
      <c r="GE180">
        <v>3.043729424317585</v>
      </c>
      <c r="GF180">
        <v>6.3993234023176537</v>
      </c>
      <c r="GG180">
        <v>9.0319960745890118</v>
      </c>
      <c r="GH180">
        <v>12.604726081884712</v>
      </c>
      <c r="GI180">
        <v>25.07572184637775</v>
      </c>
      <c r="GJ180"/>
      <c r="GK180"/>
      <c r="GL180"/>
      <c r="GM180"/>
    </row>
    <row r="181" spans="1:195" s="7" customFormat="1">
      <c r="A181" s="1"/>
      <c r="B181" s="76">
        <f t="shared" ca="1" si="171"/>
        <v>0.62725820914386876</v>
      </c>
      <c r="C181">
        <v>6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50.102310438766139</v>
      </c>
      <c r="AO181">
        <v>56.587616441948363</v>
      </c>
      <c r="AP181">
        <v>433.88991899345729</v>
      </c>
      <c r="AQ181">
        <v>194.23153318011856</v>
      </c>
      <c r="AR181">
        <v>53.481623709796096</v>
      </c>
      <c r="AS181">
        <v>379.87080694365085</v>
      </c>
      <c r="AT181">
        <v>23.207425709646031</v>
      </c>
      <c r="AU181">
        <v>-14.227274089245535</v>
      </c>
      <c r="AV181"/>
      <c r="AW181"/>
      <c r="AX181" s="146"/>
      <c r="AY181" s="76">
        <f t="shared" ca="1" si="172"/>
        <v>0.14211382106291826</v>
      </c>
      <c r="AZ181">
        <v>4</v>
      </c>
      <c r="BA181" s="129">
        <f t="shared" si="248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7"/>
        <v>0.34863156173553045</v>
      </c>
      <c r="CL181" s="179">
        <f t="shared" si="208"/>
        <v>4</v>
      </c>
      <c r="CM181" s="180">
        <f t="shared" si="209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10"/>
        <v>9.6000000000000002E-2</v>
      </c>
      <c r="DB181" s="146"/>
      <c r="DC181" s="76">
        <f t="shared" ca="1" si="173"/>
        <v>0.96213817022933945</v>
      </c>
      <c r="DD181">
        <f t="shared" si="211"/>
        <v>4</v>
      </c>
      <c r="DE181" s="129">
        <f t="shared" si="247"/>
        <v>39987</v>
      </c>
      <c r="DF181" s="161">
        <f t="shared" si="212"/>
        <v>0</v>
      </c>
      <c r="DG181" s="161">
        <f t="shared" si="213"/>
        <v>0</v>
      </c>
      <c r="DH181" s="161">
        <f t="shared" si="214"/>
        <v>0</v>
      </c>
      <c r="DI181" s="161">
        <f t="shared" si="215"/>
        <v>0</v>
      </c>
      <c r="DJ181" s="161">
        <f t="shared" si="216"/>
        <v>0</v>
      </c>
      <c r="DK181" s="161">
        <f t="shared" si="217"/>
        <v>0</v>
      </c>
      <c r="DL181" s="161">
        <f t="shared" si="218"/>
        <v>0</v>
      </c>
      <c r="DM181" s="161">
        <f t="shared" si="219"/>
        <v>0</v>
      </c>
      <c r="DN181" s="161">
        <f t="shared" si="220"/>
        <v>0</v>
      </c>
      <c r="DO181" s="161">
        <f t="shared" si="221"/>
        <v>0</v>
      </c>
      <c r="DP181" s="161">
        <f t="shared" si="222"/>
        <v>0</v>
      </c>
      <c r="DQ181" s="161">
        <f t="shared" si="223"/>
        <v>0</v>
      </c>
      <c r="DR181" s="161">
        <f t="shared" si="224"/>
        <v>0</v>
      </c>
      <c r="DS181" s="161">
        <f t="shared" si="225"/>
        <v>0</v>
      </c>
      <c r="DT181" s="161">
        <f t="shared" si="226"/>
        <v>0</v>
      </c>
      <c r="DU181" s="161">
        <f t="shared" si="227"/>
        <v>0</v>
      </c>
      <c r="DV181" s="161">
        <f t="shared" si="228"/>
        <v>0</v>
      </c>
      <c r="DW181" s="161">
        <f t="shared" si="229"/>
        <v>0</v>
      </c>
      <c r="DX181" s="161">
        <f t="shared" si="230"/>
        <v>0</v>
      </c>
      <c r="DY181" s="161">
        <f t="shared" si="231"/>
        <v>0</v>
      </c>
      <c r="DZ181" s="161">
        <f t="shared" si="232"/>
        <v>0</v>
      </c>
      <c r="EA181" s="161">
        <f t="shared" si="233"/>
        <v>0</v>
      </c>
      <c r="EB181" s="161">
        <f t="shared" si="234"/>
        <v>0</v>
      </c>
      <c r="EC181" s="161">
        <f t="shared" si="235"/>
        <v>0</v>
      </c>
      <c r="ED181" s="161">
        <f t="shared" si="236"/>
        <v>0</v>
      </c>
      <c r="EE181" s="161">
        <f t="shared" si="237"/>
        <v>0</v>
      </c>
      <c r="EF181" s="161">
        <f t="shared" si="238"/>
        <v>0</v>
      </c>
      <c r="EG181" s="161">
        <f t="shared" si="239"/>
        <v>0</v>
      </c>
      <c r="EH181" s="161">
        <f t="shared" si="240"/>
        <v>0</v>
      </c>
      <c r="EI181" s="161">
        <f t="shared" si="241"/>
        <v>0</v>
      </c>
      <c r="EJ181" s="161">
        <f t="shared" si="242"/>
        <v>0</v>
      </c>
      <c r="EK181" s="147">
        <f t="shared" si="174"/>
        <v>0</v>
      </c>
      <c r="EL181" s="149"/>
      <c r="EN181" s="146"/>
      <c r="EO181" s="146"/>
      <c r="EP181" s="139">
        <f t="shared" si="175"/>
        <v>0</v>
      </c>
      <c r="EQ181" s="139">
        <f t="shared" si="176"/>
        <v>0</v>
      </c>
      <c r="ER181" s="139">
        <f t="shared" si="177"/>
        <v>0</v>
      </c>
      <c r="ES181" s="139">
        <f t="shared" si="178"/>
        <v>0</v>
      </c>
      <c r="ET181" s="139">
        <f t="shared" si="179"/>
        <v>0</v>
      </c>
      <c r="EU181" s="139">
        <f t="shared" si="180"/>
        <v>0</v>
      </c>
      <c r="EV181" s="139">
        <f t="shared" si="181"/>
        <v>0</v>
      </c>
      <c r="EW181" s="139">
        <f t="shared" si="182"/>
        <v>0</v>
      </c>
      <c r="EX181" s="139">
        <f t="shared" si="183"/>
        <v>0</v>
      </c>
      <c r="EY181" s="139">
        <f t="shared" si="184"/>
        <v>0</v>
      </c>
      <c r="EZ181" s="139">
        <f t="shared" si="185"/>
        <v>0</v>
      </c>
      <c r="FA181" s="139">
        <f t="shared" si="186"/>
        <v>0</v>
      </c>
      <c r="FB181" s="139">
        <f t="shared" si="187"/>
        <v>0</v>
      </c>
      <c r="FC181" s="139">
        <f t="shared" si="188"/>
        <v>0</v>
      </c>
      <c r="FD181" s="139">
        <f t="shared" si="189"/>
        <v>0</v>
      </c>
      <c r="FE181" s="139">
        <f t="shared" si="190"/>
        <v>0</v>
      </c>
      <c r="FF181" s="139">
        <f t="shared" si="191"/>
        <v>0</v>
      </c>
      <c r="FG181" s="139">
        <f t="shared" si="192"/>
        <v>0</v>
      </c>
      <c r="FH181" s="139">
        <f t="shared" si="193"/>
        <v>0</v>
      </c>
      <c r="FI181" s="139">
        <f t="shared" si="194"/>
        <v>0</v>
      </c>
      <c r="FJ181" s="139">
        <f t="shared" si="195"/>
        <v>0</v>
      </c>
      <c r="FK181" s="139">
        <f t="shared" si="196"/>
        <v>0</v>
      </c>
      <c r="FL181" s="139">
        <f t="shared" si="197"/>
        <v>0</v>
      </c>
      <c r="FM181" s="139">
        <f t="shared" si="198"/>
        <v>0</v>
      </c>
      <c r="FN181" s="139">
        <f t="shared" si="199"/>
        <v>0</v>
      </c>
      <c r="FO181" s="139">
        <f t="shared" si="200"/>
        <v>0</v>
      </c>
      <c r="FP181" s="139">
        <f t="shared" si="201"/>
        <v>0</v>
      </c>
      <c r="FQ181" s="139">
        <f t="shared" si="202"/>
        <v>0</v>
      </c>
      <c r="FR181" s="139">
        <f t="shared" si="203"/>
        <v>0</v>
      </c>
      <c r="FS181" s="139">
        <f t="shared" si="204"/>
        <v>0</v>
      </c>
      <c r="FT181" s="139">
        <f t="shared" si="205"/>
        <v>0</v>
      </c>
      <c r="FU181" s="148">
        <f t="shared" si="206"/>
        <v>0</v>
      </c>
      <c r="FV181" s="149"/>
      <c r="FY181" s="210">
        <v>176</v>
      </c>
      <c r="FZ181">
        <v>25.028075963030425</v>
      </c>
      <c r="GA181">
        <v>60.113606878860239</v>
      </c>
      <c r="GB181">
        <v>32.262862616398444</v>
      </c>
      <c r="GC181">
        <v>10.351145021434506</v>
      </c>
      <c r="GD181">
        <v>5.601168723346964</v>
      </c>
      <c r="GE181">
        <v>4.6460796533605997</v>
      </c>
      <c r="GF181">
        <v>10.468999706006107</v>
      </c>
      <c r="GG181">
        <v>20.775375168594508</v>
      </c>
      <c r="GH181">
        <v>21.517425333239792</v>
      </c>
      <c r="GI181">
        <v>31.393743894083123</v>
      </c>
      <c r="GJ181"/>
      <c r="GK181"/>
      <c r="GL181"/>
      <c r="GM181"/>
    </row>
    <row r="182" spans="1:195" s="7" customFormat="1">
      <c r="A182" s="1"/>
      <c r="B182" s="76">
        <f t="shared" ca="1" si="171"/>
        <v>0.75410064518138409</v>
      </c>
      <c r="C182">
        <v>10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10.416666666666666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58.060607589596977</v>
      </c>
      <c r="AO182">
        <v>67.981532136295897</v>
      </c>
      <c r="AP182">
        <v>452.15569982804379</v>
      </c>
      <c r="AQ182">
        <v>206.74355175954702</v>
      </c>
      <c r="AR182">
        <v>63.315992979506852</v>
      </c>
      <c r="AS182">
        <v>392.06565375967176</v>
      </c>
      <c r="AT182">
        <v>24.838707599449975</v>
      </c>
      <c r="AU182">
        <v>-23.246315708143136</v>
      </c>
      <c r="AV182"/>
      <c r="AW182"/>
      <c r="AX182" s="146"/>
      <c r="AY182" s="76">
        <f t="shared" ca="1" si="172"/>
        <v>0.24442709725858158</v>
      </c>
      <c r="AZ182">
        <v>5</v>
      </c>
      <c r="BA182" s="129">
        <f t="shared" si="248"/>
        <v>39987</v>
      </c>
      <c r="BB182">
        <v>0</v>
      </c>
      <c r="BC182"/>
      <c r="BD182"/>
      <c r="BE182"/>
      <c r="BF182">
        <v>1</v>
      </c>
      <c r="BG182"/>
      <c r="BH182"/>
      <c r="BI182"/>
      <c r="BJ182"/>
      <c r="BK182">
        <v>1</v>
      </c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7"/>
        <v>0.4669943283309248</v>
      </c>
      <c r="CL182" s="179">
        <f t="shared" si="208"/>
        <v>5</v>
      </c>
      <c r="CM182" s="180">
        <f t="shared" si="209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10"/>
        <v>9.6000000000000002E-2</v>
      </c>
      <c r="DB182" s="146"/>
      <c r="DC182" s="76">
        <f t="shared" ca="1" si="173"/>
        <v>0.35354083687661864</v>
      </c>
      <c r="DD182">
        <f t="shared" si="211"/>
        <v>5</v>
      </c>
      <c r="DE182" s="129">
        <f t="shared" si="247"/>
        <v>39987</v>
      </c>
      <c r="DF182" s="161">
        <f t="shared" si="212"/>
        <v>0</v>
      </c>
      <c r="DG182" s="161">
        <f t="shared" si="213"/>
        <v>0</v>
      </c>
      <c r="DH182" s="161">
        <f t="shared" si="214"/>
        <v>0</v>
      </c>
      <c r="DI182" s="161">
        <f t="shared" si="215"/>
        <v>0</v>
      </c>
      <c r="DJ182" s="161">
        <f t="shared" si="216"/>
        <v>10.416666666666666</v>
      </c>
      <c r="DK182" s="161">
        <f t="shared" si="217"/>
        <v>0</v>
      </c>
      <c r="DL182" s="161">
        <f t="shared" si="218"/>
        <v>0</v>
      </c>
      <c r="DM182" s="161">
        <f t="shared" si="219"/>
        <v>0</v>
      </c>
      <c r="DN182" s="161">
        <f t="shared" si="220"/>
        <v>0</v>
      </c>
      <c r="DO182" s="161">
        <f t="shared" si="221"/>
        <v>10.416666666666666</v>
      </c>
      <c r="DP182" s="161">
        <f t="shared" si="222"/>
        <v>0</v>
      </c>
      <c r="DQ182" s="161">
        <f t="shared" si="223"/>
        <v>0</v>
      </c>
      <c r="DR182" s="161">
        <f t="shared" si="224"/>
        <v>0</v>
      </c>
      <c r="DS182" s="161">
        <f t="shared" si="225"/>
        <v>0</v>
      </c>
      <c r="DT182" s="161">
        <f t="shared" si="226"/>
        <v>0</v>
      </c>
      <c r="DU182" s="161">
        <f t="shared" si="227"/>
        <v>0</v>
      </c>
      <c r="DV182" s="161">
        <f t="shared" si="228"/>
        <v>0</v>
      </c>
      <c r="DW182" s="161">
        <f t="shared" si="229"/>
        <v>0</v>
      </c>
      <c r="DX182" s="161">
        <f t="shared" si="230"/>
        <v>0</v>
      </c>
      <c r="DY182" s="161">
        <f t="shared" si="231"/>
        <v>0</v>
      </c>
      <c r="DZ182" s="161">
        <f t="shared" si="232"/>
        <v>0</v>
      </c>
      <c r="EA182" s="161">
        <f t="shared" si="233"/>
        <v>0</v>
      </c>
      <c r="EB182" s="161">
        <f t="shared" si="234"/>
        <v>0</v>
      </c>
      <c r="EC182" s="161">
        <f t="shared" si="235"/>
        <v>0</v>
      </c>
      <c r="ED182" s="161">
        <f t="shared" si="236"/>
        <v>0</v>
      </c>
      <c r="EE182" s="161">
        <f t="shared" si="237"/>
        <v>0</v>
      </c>
      <c r="EF182" s="161">
        <f t="shared" si="238"/>
        <v>0</v>
      </c>
      <c r="EG182" s="161">
        <f t="shared" si="239"/>
        <v>0</v>
      </c>
      <c r="EH182" s="161">
        <f t="shared" si="240"/>
        <v>0</v>
      </c>
      <c r="EI182" s="161">
        <f t="shared" si="241"/>
        <v>0</v>
      </c>
      <c r="EJ182" s="161">
        <f t="shared" si="242"/>
        <v>0</v>
      </c>
      <c r="EK182" s="147">
        <f t="shared" si="174"/>
        <v>20.833333333333332</v>
      </c>
      <c r="EL182" s="149"/>
      <c r="EN182" s="146"/>
      <c r="EO182" s="146"/>
      <c r="EP182" s="139">
        <f t="shared" si="175"/>
        <v>0</v>
      </c>
      <c r="EQ182" s="139">
        <f t="shared" si="176"/>
        <v>0</v>
      </c>
      <c r="ER182" s="139">
        <f t="shared" si="177"/>
        <v>0</v>
      </c>
      <c r="ES182" s="139">
        <f t="shared" si="178"/>
        <v>0</v>
      </c>
      <c r="ET182" s="139">
        <f t="shared" si="179"/>
        <v>2.8887851938144875</v>
      </c>
      <c r="EU182" s="139">
        <f t="shared" si="180"/>
        <v>0</v>
      </c>
      <c r="EV182" s="139">
        <f t="shared" si="181"/>
        <v>0</v>
      </c>
      <c r="EW182" s="139">
        <f t="shared" si="182"/>
        <v>0</v>
      </c>
      <c r="EX182" s="139">
        <f t="shared" si="183"/>
        <v>0</v>
      </c>
      <c r="EY182" s="139">
        <f t="shared" si="184"/>
        <v>21.583799320310842</v>
      </c>
      <c r="EZ182" s="139">
        <f t="shared" si="185"/>
        <v>0</v>
      </c>
      <c r="FA182" s="139">
        <f t="shared" si="186"/>
        <v>0</v>
      </c>
      <c r="FB182" s="139">
        <f t="shared" si="187"/>
        <v>0</v>
      </c>
      <c r="FC182" s="139">
        <f t="shared" si="188"/>
        <v>0</v>
      </c>
      <c r="FD182" s="139">
        <f t="shared" si="189"/>
        <v>0</v>
      </c>
      <c r="FE182" s="139">
        <f t="shared" si="190"/>
        <v>0</v>
      </c>
      <c r="FF182" s="139">
        <f t="shared" si="191"/>
        <v>0</v>
      </c>
      <c r="FG182" s="139">
        <f t="shared" si="192"/>
        <v>0</v>
      </c>
      <c r="FH182" s="139">
        <f t="shared" si="193"/>
        <v>0</v>
      </c>
      <c r="FI182" s="139">
        <f t="shared" si="194"/>
        <v>0</v>
      </c>
      <c r="FJ182" s="139">
        <f t="shared" si="195"/>
        <v>0</v>
      </c>
      <c r="FK182" s="139">
        <f t="shared" si="196"/>
        <v>0</v>
      </c>
      <c r="FL182" s="139">
        <f t="shared" si="197"/>
        <v>0</v>
      </c>
      <c r="FM182" s="139">
        <f t="shared" si="198"/>
        <v>0</v>
      </c>
      <c r="FN182" s="139">
        <f t="shared" si="199"/>
        <v>0</v>
      </c>
      <c r="FO182" s="139">
        <f t="shared" si="200"/>
        <v>0</v>
      </c>
      <c r="FP182" s="139">
        <f t="shared" si="201"/>
        <v>0</v>
      </c>
      <c r="FQ182" s="139">
        <f t="shared" si="202"/>
        <v>0</v>
      </c>
      <c r="FR182" s="139">
        <f t="shared" si="203"/>
        <v>0</v>
      </c>
      <c r="FS182" s="139">
        <f t="shared" si="204"/>
        <v>0</v>
      </c>
      <c r="FT182" s="139">
        <f t="shared" si="205"/>
        <v>0</v>
      </c>
      <c r="FU182" s="148">
        <f t="shared" si="206"/>
        <v>24.47258451412533</v>
      </c>
      <c r="FV182" s="149"/>
      <c r="FY182" s="210">
        <v>177</v>
      </c>
      <c r="FZ182">
        <v>21.614357703164728</v>
      </c>
      <c r="GA182">
        <v>39.748144105657531</v>
      </c>
      <c r="GB182">
        <v>34.836073566178108</v>
      </c>
      <c r="GC182">
        <v>13.6642412828842</v>
      </c>
      <c r="GD182">
        <v>7.5704515837881008</v>
      </c>
      <c r="GE182">
        <v>6.3758091358537241</v>
      </c>
      <c r="GF182">
        <v>10.223682469543247</v>
      </c>
      <c r="GG182">
        <v>19.875697790461427</v>
      </c>
      <c r="GH182">
        <v>18.879348809213536</v>
      </c>
      <c r="GI182">
        <v>36.158609165123096</v>
      </c>
      <c r="GJ182"/>
      <c r="GK182"/>
      <c r="GL182"/>
      <c r="GM182"/>
    </row>
    <row r="183" spans="1:195" s="7" customFormat="1">
      <c r="A183" s="1"/>
      <c r="B183" s="76">
        <f t="shared" ca="1" si="171"/>
        <v>0.40759256770902308</v>
      </c>
      <c r="C183">
        <v>1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71.315006585068986</v>
      </c>
      <c r="AO183">
        <v>120.24258153431347</v>
      </c>
      <c r="AP183">
        <v>886.30966798757572</v>
      </c>
      <c r="AQ183">
        <v>312.2513186205577</v>
      </c>
      <c r="AR183">
        <v>110.00551081453291</v>
      </c>
      <c r="AS183">
        <v>454.34557742008519</v>
      </c>
      <c r="AT183">
        <v>45.196035387938444</v>
      </c>
      <c r="AU183">
        <v>-17.230644106926839</v>
      </c>
      <c r="AV183"/>
      <c r="AW183"/>
      <c r="AX183" s="146"/>
      <c r="AY183" s="76">
        <f t="shared" ca="1" si="172"/>
        <v>0.69041803015494541</v>
      </c>
      <c r="AZ183">
        <v>6</v>
      </c>
      <c r="BA183" s="129">
        <f t="shared" si="248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7"/>
        <v>0.57200116475492901</v>
      </c>
      <c r="CL183" s="179">
        <f t="shared" si="208"/>
        <v>6</v>
      </c>
      <c r="CM183" s="180">
        <f t="shared" si="209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10"/>
        <v>9.6000000000000002E-2</v>
      </c>
      <c r="DB183" s="146"/>
      <c r="DC183" s="76">
        <f t="shared" ca="1" si="173"/>
        <v>9.979066360229627E-2</v>
      </c>
      <c r="DD183">
        <f t="shared" si="211"/>
        <v>6</v>
      </c>
      <c r="DE183" s="129">
        <f t="shared" si="247"/>
        <v>39987</v>
      </c>
      <c r="DF183" s="161">
        <f t="shared" si="212"/>
        <v>0</v>
      </c>
      <c r="DG183" s="161">
        <f t="shared" si="213"/>
        <v>0</v>
      </c>
      <c r="DH183" s="161">
        <f t="shared" si="214"/>
        <v>0</v>
      </c>
      <c r="DI183" s="161">
        <f t="shared" si="215"/>
        <v>0</v>
      </c>
      <c r="DJ183" s="161">
        <f t="shared" si="216"/>
        <v>0</v>
      </c>
      <c r="DK183" s="161">
        <f t="shared" si="217"/>
        <v>0</v>
      </c>
      <c r="DL183" s="161">
        <f t="shared" si="218"/>
        <v>0</v>
      </c>
      <c r="DM183" s="161">
        <f t="shared" si="219"/>
        <v>0</v>
      </c>
      <c r="DN183" s="161">
        <f t="shared" si="220"/>
        <v>0</v>
      </c>
      <c r="DO183" s="161">
        <f t="shared" si="221"/>
        <v>0</v>
      </c>
      <c r="DP183" s="161">
        <f t="shared" si="222"/>
        <v>0</v>
      </c>
      <c r="DQ183" s="161">
        <f t="shared" si="223"/>
        <v>0</v>
      </c>
      <c r="DR183" s="161">
        <f t="shared" si="224"/>
        <v>0</v>
      </c>
      <c r="DS183" s="161">
        <f t="shared" si="225"/>
        <v>0</v>
      </c>
      <c r="DT183" s="161">
        <f t="shared" si="226"/>
        <v>0</v>
      </c>
      <c r="DU183" s="161">
        <f t="shared" si="227"/>
        <v>0</v>
      </c>
      <c r="DV183" s="161">
        <f t="shared" si="228"/>
        <v>0</v>
      </c>
      <c r="DW183" s="161">
        <f t="shared" si="229"/>
        <v>0</v>
      </c>
      <c r="DX183" s="161">
        <f t="shared" si="230"/>
        <v>0</v>
      </c>
      <c r="DY183" s="161">
        <f t="shared" si="231"/>
        <v>0</v>
      </c>
      <c r="DZ183" s="161">
        <f t="shared" si="232"/>
        <v>0</v>
      </c>
      <c r="EA183" s="161">
        <f t="shared" si="233"/>
        <v>0</v>
      </c>
      <c r="EB183" s="161">
        <f t="shared" si="234"/>
        <v>0</v>
      </c>
      <c r="EC183" s="161">
        <f t="shared" si="235"/>
        <v>0</v>
      </c>
      <c r="ED183" s="161">
        <f t="shared" si="236"/>
        <v>0</v>
      </c>
      <c r="EE183" s="161">
        <f t="shared" si="237"/>
        <v>0</v>
      </c>
      <c r="EF183" s="161">
        <f t="shared" si="238"/>
        <v>0</v>
      </c>
      <c r="EG183" s="161">
        <f t="shared" si="239"/>
        <v>0</v>
      </c>
      <c r="EH183" s="161">
        <f t="shared" si="240"/>
        <v>0</v>
      </c>
      <c r="EI183" s="161">
        <f t="shared" si="241"/>
        <v>0</v>
      </c>
      <c r="EJ183" s="161">
        <f t="shared" si="242"/>
        <v>0</v>
      </c>
      <c r="EK183" s="147">
        <f t="shared" si="174"/>
        <v>0</v>
      </c>
      <c r="EL183" s="149"/>
      <c r="EN183" s="146"/>
      <c r="EO183" s="146"/>
      <c r="EP183" s="139">
        <f t="shared" si="175"/>
        <v>0</v>
      </c>
      <c r="EQ183" s="139">
        <f t="shared" si="176"/>
        <v>0</v>
      </c>
      <c r="ER183" s="139">
        <f t="shared" si="177"/>
        <v>0</v>
      </c>
      <c r="ES183" s="139">
        <f t="shared" si="178"/>
        <v>0</v>
      </c>
      <c r="ET183" s="139">
        <f t="shared" si="179"/>
        <v>0</v>
      </c>
      <c r="EU183" s="139">
        <f t="shared" si="180"/>
        <v>0</v>
      </c>
      <c r="EV183" s="139">
        <f t="shared" si="181"/>
        <v>0</v>
      </c>
      <c r="EW183" s="139">
        <f t="shared" si="182"/>
        <v>0</v>
      </c>
      <c r="EX183" s="139">
        <f t="shared" si="183"/>
        <v>0</v>
      </c>
      <c r="EY183" s="139">
        <f t="shared" si="184"/>
        <v>0</v>
      </c>
      <c r="EZ183" s="139">
        <f t="shared" si="185"/>
        <v>0</v>
      </c>
      <c r="FA183" s="139">
        <f t="shared" si="186"/>
        <v>0</v>
      </c>
      <c r="FB183" s="139">
        <f t="shared" si="187"/>
        <v>0</v>
      </c>
      <c r="FC183" s="139">
        <f t="shared" si="188"/>
        <v>0</v>
      </c>
      <c r="FD183" s="139">
        <f t="shared" si="189"/>
        <v>0</v>
      </c>
      <c r="FE183" s="139">
        <f t="shared" si="190"/>
        <v>0</v>
      </c>
      <c r="FF183" s="139">
        <f t="shared" si="191"/>
        <v>0</v>
      </c>
      <c r="FG183" s="139">
        <f t="shared" si="192"/>
        <v>0</v>
      </c>
      <c r="FH183" s="139">
        <f t="shared" si="193"/>
        <v>0</v>
      </c>
      <c r="FI183" s="139">
        <f t="shared" si="194"/>
        <v>0</v>
      </c>
      <c r="FJ183" s="139">
        <f t="shared" si="195"/>
        <v>0</v>
      </c>
      <c r="FK183" s="139">
        <f t="shared" si="196"/>
        <v>0</v>
      </c>
      <c r="FL183" s="139">
        <f t="shared" si="197"/>
        <v>0</v>
      </c>
      <c r="FM183" s="139">
        <f t="shared" si="198"/>
        <v>0</v>
      </c>
      <c r="FN183" s="139">
        <f t="shared" si="199"/>
        <v>0</v>
      </c>
      <c r="FO183" s="139">
        <f t="shared" si="200"/>
        <v>0</v>
      </c>
      <c r="FP183" s="139">
        <f t="shared" si="201"/>
        <v>0</v>
      </c>
      <c r="FQ183" s="139">
        <f t="shared" si="202"/>
        <v>0</v>
      </c>
      <c r="FR183" s="139">
        <f t="shared" si="203"/>
        <v>0</v>
      </c>
      <c r="FS183" s="139">
        <f t="shared" si="204"/>
        <v>0</v>
      </c>
      <c r="FT183" s="139">
        <f t="shared" si="205"/>
        <v>0</v>
      </c>
      <c r="FU183" s="148">
        <f t="shared" si="206"/>
        <v>0</v>
      </c>
      <c r="FV183" s="149"/>
      <c r="FY183" s="210">
        <v>178</v>
      </c>
      <c r="FZ183">
        <v>30.477892307249004</v>
      </c>
      <c r="GA183">
        <v>66.930643531659015</v>
      </c>
      <c r="GB183">
        <v>39.022160873906124</v>
      </c>
      <c r="GC183">
        <v>11.150474175876155</v>
      </c>
      <c r="GD183">
        <v>6.9649041735560253</v>
      </c>
      <c r="GE183">
        <v>9.8609463057201587</v>
      </c>
      <c r="GF183">
        <v>5.7283797399125058</v>
      </c>
      <c r="GG183">
        <v>8.912516607896551</v>
      </c>
      <c r="GH183">
        <v>10.384442945052891</v>
      </c>
      <c r="GI183">
        <v>32.79341465717053</v>
      </c>
      <c r="GJ183"/>
      <c r="GK183"/>
      <c r="GL183"/>
      <c r="GM183"/>
    </row>
    <row r="184" spans="1:195" s="7" customFormat="1">
      <c r="A184" s="1"/>
      <c r="B184" s="76">
        <f t="shared" ref="B184:B215" ca="1" si="249">IF(C184="", "", RAND())</f>
        <v>5.2269387948970625E-2</v>
      </c>
      <c r="C184">
        <v>3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66.65844512451028</v>
      </c>
      <c r="AO184">
        <v>87.390927799004658</v>
      </c>
      <c r="AP184">
        <v>724.00863529862727</v>
      </c>
      <c r="AQ184">
        <v>292.88987959286789</v>
      </c>
      <c r="AR184">
        <v>81.313307720142191</v>
      </c>
      <c r="AS184">
        <v>372.85910236719752</v>
      </c>
      <c r="AT184">
        <v>34.272357509256381</v>
      </c>
      <c r="AU184">
        <v>13.987634767998891</v>
      </c>
      <c r="AV184"/>
      <c r="AW184"/>
      <c r="AX184" s="146"/>
      <c r="AY184" s="76">
        <f t="shared" ca="1" si="172"/>
        <v>0.87074340221412649</v>
      </c>
      <c r="AZ184">
        <v>7</v>
      </c>
      <c r="BA184" s="129">
        <f t="shared" si="248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>
        <v>1</v>
      </c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7"/>
        <v>0.45281604184695645</v>
      </c>
      <c r="CL184" s="179">
        <f t="shared" si="208"/>
        <v>7</v>
      </c>
      <c r="CM184" s="180">
        <f t="shared" si="209"/>
        <v>39987</v>
      </c>
      <c r="CN184">
        <v>0</v>
      </c>
      <c r="CO184"/>
      <c r="CP184"/>
      <c r="CQ184"/>
      <c r="CR184">
        <v>1</v>
      </c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10"/>
        <v>9.6000000000000002E-2</v>
      </c>
      <c r="DB184" s="146"/>
      <c r="DC184" s="76">
        <f t="shared" ca="1" si="173"/>
        <v>0.74449446851812029</v>
      </c>
      <c r="DD184">
        <f t="shared" si="211"/>
        <v>7</v>
      </c>
      <c r="DE184" s="129">
        <f t="shared" si="247"/>
        <v>39987</v>
      </c>
      <c r="DF184" s="161">
        <f t="shared" si="212"/>
        <v>0</v>
      </c>
      <c r="DG184" s="161">
        <f t="shared" si="213"/>
        <v>0</v>
      </c>
      <c r="DH184" s="161">
        <f t="shared" si="214"/>
        <v>0</v>
      </c>
      <c r="DI184" s="161">
        <f t="shared" si="215"/>
        <v>0</v>
      </c>
      <c r="DJ184" s="161">
        <f t="shared" si="216"/>
        <v>71.486928104575156</v>
      </c>
      <c r="DK184" s="161">
        <f t="shared" si="217"/>
        <v>0</v>
      </c>
      <c r="DL184" s="161">
        <f t="shared" si="218"/>
        <v>0</v>
      </c>
      <c r="DM184" s="161">
        <f t="shared" si="219"/>
        <v>0</v>
      </c>
      <c r="DN184" s="161">
        <f t="shared" si="220"/>
        <v>0</v>
      </c>
      <c r="DO184" s="161">
        <f t="shared" si="221"/>
        <v>0</v>
      </c>
      <c r="DP184" s="161">
        <f t="shared" si="222"/>
        <v>10.416666666666666</v>
      </c>
      <c r="DQ184" s="161">
        <f t="shared" si="223"/>
        <v>0</v>
      </c>
      <c r="DR184" s="161">
        <f t="shared" si="224"/>
        <v>0</v>
      </c>
      <c r="DS184" s="161">
        <f t="shared" si="225"/>
        <v>0</v>
      </c>
      <c r="DT184" s="161">
        <f t="shared" si="226"/>
        <v>0</v>
      </c>
      <c r="DU184" s="161">
        <f t="shared" si="227"/>
        <v>0</v>
      </c>
      <c r="DV184" s="161">
        <f t="shared" si="228"/>
        <v>0</v>
      </c>
      <c r="DW184" s="161">
        <f t="shared" si="229"/>
        <v>0</v>
      </c>
      <c r="DX184" s="161">
        <f t="shared" si="230"/>
        <v>0</v>
      </c>
      <c r="DY184" s="161">
        <f t="shared" si="231"/>
        <v>0</v>
      </c>
      <c r="DZ184" s="161">
        <f t="shared" si="232"/>
        <v>0</v>
      </c>
      <c r="EA184" s="161">
        <f t="shared" si="233"/>
        <v>0</v>
      </c>
      <c r="EB184" s="161">
        <f t="shared" si="234"/>
        <v>0</v>
      </c>
      <c r="EC184" s="161">
        <f t="shared" si="235"/>
        <v>0</v>
      </c>
      <c r="ED184" s="161">
        <f t="shared" si="236"/>
        <v>0</v>
      </c>
      <c r="EE184" s="161">
        <f t="shared" si="237"/>
        <v>0</v>
      </c>
      <c r="EF184" s="161">
        <f t="shared" si="238"/>
        <v>0</v>
      </c>
      <c r="EG184" s="161">
        <f t="shared" si="239"/>
        <v>0</v>
      </c>
      <c r="EH184" s="161">
        <f t="shared" si="240"/>
        <v>0</v>
      </c>
      <c r="EI184" s="161">
        <f t="shared" si="241"/>
        <v>0</v>
      </c>
      <c r="EJ184" s="161">
        <f t="shared" si="242"/>
        <v>0</v>
      </c>
      <c r="EK184" s="147">
        <f t="shared" ref="EK184:EK207" si="250">IF(DF184="", "", SUM(DF184:EJ184))</f>
        <v>81.903594771241828</v>
      </c>
      <c r="EL184" s="149"/>
      <c r="EN184" s="146"/>
      <c r="EO184" s="146"/>
      <c r="EP184" s="139">
        <f t="shared" ref="EP184:EP207" si="251">IF(DF184="", "", DF184*G$36)</f>
        <v>0</v>
      </c>
      <c r="EQ184" s="139">
        <f t="shared" ref="EQ184:EQ207" si="252">IF(DG184="", "", DG184*H$36)</f>
        <v>0</v>
      </c>
      <c r="ER184" s="139">
        <f t="shared" ref="ER184:ER207" si="253">IF(DH184="", "", DH184*I$36)</f>
        <v>0</v>
      </c>
      <c r="ES184" s="139">
        <f t="shared" ref="ES184:ES207" si="254">IF(DI184="", "", DI184*J$36)</f>
        <v>0</v>
      </c>
      <c r="ET184" s="139">
        <f t="shared" ref="ET184:ET207" si="255">IF(DJ184="", "", DJ184*K$36)</f>
        <v>19.82499642813864</v>
      </c>
      <c r="EU184" s="139">
        <f t="shared" ref="EU184:EU207" si="256">IF(DK184="", "", DK184*L$36)</f>
        <v>0</v>
      </c>
      <c r="EV184" s="139">
        <f t="shared" ref="EV184:EV207" si="257">IF(DL184="", "", DL184*M$36)</f>
        <v>0</v>
      </c>
      <c r="EW184" s="139">
        <f t="shared" ref="EW184:EW207" si="258">IF(DM184="", "", DM184*N$36)</f>
        <v>0</v>
      </c>
      <c r="EX184" s="139">
        <f t="shared" ref="EX184:EX207" si="259">IF(DN184="", "", DN184*O$36)</f>
        <v>0</v>
      </c>
      <c r="EY184" s="139">
        <f t="shared" ref="EY184:EY207" si="260">IF(DO184="", "", DO184*P$36)</f>
        <v>0</v>
      </c>
      <c r="EZ184" s="139">
        <f t="shared" ref="EZ184:EZ207" si="261">IF(DP184="", "", DP184*Q$36)</f>
        <v>28.028926904981219</v>
      </c>
      <c r="FA184" s="139">
        <f t="shared" ref="FA184:FA207" si="262">IF(DQ184="", "", DQ184*R$36)</f>
        <v>0</v>
      </c>
      <c r="FB184" s="139">
        <f t="shared" ref="FB184:FB207" si="263">IF(DR184="", "", DR184*S$36)</f>
        <v>0</v>
      </c>
      <c r="FC184" s="139">
        <f t="shared" ref="FC184:FC207" si="264">IF(DS184="", "", DS184*T$36)</f>
        <v>0</v>
      </c>
      <c r="FD184" s="139">
        <f t="shared" ref="FD184:FD207" si="265">IF(DT184="", "", DT184*U$36)</f>
        <v>0</v>
      </c>
      <c r="FE184" s="139">
        <f t="shared" ref="FE184:FE207" si="266">IF(DU184="", "", DU184*V$36)</f>
        <v>0</v>
      </c>
      <c r="FF184" s="139">
        <f t="shared" ref="FF184:FF207" si="267">IF(DV184="", "", DV184*W$36)</f>
        <v>0</v>
      </c>
      <c r="FG184" s="139">
        <f t="shared" ref="FG184:FG207" si="268">IF(DW184="", "", DW184*X$36)</f>
        <v>0</v>
      </c>
      <c r="FH184" s="139">
        <f t="shared" ref="FH184:FH207" si="269">IF(DX184="", "", DX184*Y$36)</f>
        <v>0</v>
      </c>
      <c r="FI184" s="139">
        <f t="shared" ref="FI184:FI207" si="270">IF(DY184="", "", DY184*Z$36)</f>
        <v>0</v>
      </c>
      <c r="FJ184" s="139">
        <f t="shared" ref="FJ184:FJ207" si="271">IF(DZ184="", "", DZ184*AA$36)</f>
        <v>0</v>
      </c>
      <c r="FK184" s="139">
        <f t="shared" ref="FK184:FK207" si="272">IF(EA184="", "", EA184*AB$36)</f>
        <v>0</v>
      </c>
      <c r="FL184" s="139">
        <f t="shared" ref="FL184:FL207" si="273">IF(EB184="", "", EB184*AC$36)</f>
        <v>0</v>
      </c>
      <c r="FM184" s="139">
        <f t="shared" ref="FM184:FM207" si="274">IF(EC184="", "", EC184*AD$36)</f>
        <v>0</v>
      </c>
      <c r="FN184" s="139">
        <f t="shared" ref="FN184:FN207" si="275">IF(ED184="", "", ED184*AE$36)</f>
        <v>0</v>
      </c>
      <c r="FO184" s="139">
        <f t="shared" ref="FO184:FO207" si="276">IF(EE184="", "", EE184*AF$36)</f>
        <v>0</v>
      </c>
      <c r="FP184" s="139">
        <f t="shared" ref="FP184:FP207" si="277">IF(EF184="", "", EF184*AG$36)</f>
        <v>0</v>
      </c>
      <c r="FQ184" s="139">
        <f t="shared" ref="FQ184:FQ207" si="278">IF(EG184="", "", EG184*AH$36)</f>
        <v>0</v>
      </c>
      <c r="FR184" s="139">
        <f t="shared" ref="FR184:FR207" si="279">IF(EH184="", "", EH184*AI$36)</f>
        <v>0</v>
      </c>
      <c r="FS184" s="139">
        <f t="shared" ref="FS184:FS207" si="280">IF(EI184="", "", EI184*AJ$36)</f>
        <v>0</v>
      </c>
      <c r="FT184" s="139">
        <f t="shared" ref="FT184:FT207" si="281">IF(EJ184="", "", EJ184*AK$36)</f>
        <v>0</v>
      </c>
      <c r="FU184" s="148">
        <f t="shared" ref="FU184:FU207" si="282">IF(EP184="","",SUM(EP184:FT184))</f>
        <v>47.853923333119859</v>
      </c>
      <c r="FV184" s="149"/>
      <c r="FY184" s="210">
        <v>179</v>
      </c>
      <c r="FZ184">
        <v>25.282307768083765</v>
      </c>
      <c r="GA184">
        <v>41.214687855517894</v>
      </c>
      <c r="GB184">
        <v>36.227792971385334</v>
      </c>
      <c r="GC184">
        <v>17.128054212564752</v>
      </c>
      <c r="GD184">
        <v>7.3541859347807552</v>
      </c>
      <c r="GE184">
        <v>3.2763140125033012</v>
      </c>
      <c r="GF184">
        <v>5.4685530617197209</v>
      </c>
      <c r="GG184">
        <v>10.565751495364388</v>
      </c>
      <c r="GH184">
        <v>20.043127246682445</v>
      </c>
      <c r="GI184">
        <v>36.83014581637331</v>
      </c>
      <c r="GJ184"/>
      <c r="GK184"/>
      <c r="GL184"/>
      <c r="GM184"/>
    </row>
    <row r="185" spans="1:195" s="7" customFormat="1">
      <c r="A185" s="1"/>
      <c r="B185" s="76">
        <f t="shared" ca="1" si="249"/>
        <v>0.23940375829278882</v>
      </c>
      <c r="C185">
        <v>2</v>
      </c>
      <c r="D185">
        <v>39987</v>
      </c>
      <c r="E185">
        <v>0</v>
      </c>
      <c r="F185">
        <v>0</v>
      </c>
      <c r="G185">
        <v>0</v>
      </c>
      <c r="H185">
        <v>57.779947916666664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58.762222262609122</v>
      </c>
      <c r="AO185">
        <v>47.859740365455991</v>
      </c>
      <c r="AP185">
        <v>326.43029210645182</v>
      </c>
      <c r="AQ185">
        <v>172.90605626340215</v>
      </c>
      <c r="AR185">
        <v>45.256511020345442</v>
      </c>
      <c r="AS185">
        <v>250.24405568727505</v>
      </c>
      <c r="AT185">
        <v>17.649741057999982</v>
      </c>
      <c r="AU185">
        <v>12.861709954964684</v>
      </c>
      <c r="AV185"/>
      <c r="AW185"/>
      <c r="AX185" s="146"/>
      <c r="AY185" s="76">
        <f t="shared" ca="1" si="172"/>
        <v>0.70051697806299984</v>
      </c>
      <c r="AZ185">
        <v>8</v>
      </c>
      <c r="BA185" s="129">
        <f t="shared" si="248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7"/>
        <v>6.204842855291659E-3</v>
      </c>
      <c r="CL185" s="179">
        <f t="shared" si="208"/>
        <v>8</v>
      </c>
      <c r="CM185" s="180">
        <f t="shared" si="209"/>
        <v>39987</v>
      </c>
      <c r="CN185">
        <v>0</v>
      </c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10"/>
        <v>9.6000000000000002E-2</v>
      </c>
      <c r="DB185" s="146"/>
      <c r="DC185" s="76">
        <f t="shared" ca="1" si="173"/>
        <v>0.32051785663759635</v>
      </c>
      <c r="DD185">
        <f t="shared" si="211"/>
        <v>8</v>
      </c>
      <c r="DE185" s="129">
        <f t="shared" si="247"/>
        <v>39987</v>
      </c>
      <c r="DF185" s="161">
        <f t="shared" si="212"/>
        <v>0</v>
      </c>
      <c r="DG185" s="161">
        <f t="shared" si="213"/>
        <v>0</v>
      </c>
      <c r="DH185" s="161">
        <f t="shared" si="214"/>
        <v>0</v>
      </c>
      <c r="DI185" s="161">
        <f t="shared" si="215"/>
        <v>0</v>
      </c>
      <c r="DJ185" s="161">
        <f t="shared" si="216"/>
        <v>0</v>
      </c>
      <c r="DK185" s="161">
        <f t="shared" si="217"/>
        <v>0</v>
      </c>
      <c r="DL185" s="161">
        <f t="shared" si="218"/>
        <v>0</v>
      </c>
      <c r="DM185" s="161">
        <f t="shared" si="219"/>
        <v>0</v>
      </c>
      <c r="DN185" s="161">
        <f t="shared" si="220"/>
        <v>0</v>
      </c>
      <c r="DO185" s="161">
        <f t="shared" si="221"/>
        <v>0</v>
      </c>
      <c r="DP185" s="161">
        <f t="shared" si="222"/>
        <v>0</v>
      </c>
      <c r="DQ185" s="161">
        <f t="shared" si="223"/>
        <v>0</v>
      </c>
      <c r="DR185" s="161">
        <f t="shared" si="224"/>
        <v>0</v>
      </c>
      <c r="DS185" s="161">
        <f t="shared" si="225"/>
        <v>0</v>
      </c>
      <c r="DT185" s="161">
        <f t="shared" si="226"/>
        <v>0</v>
      </c>
      <c r="DU185" s="161">
        <f t="shared" si="227"/>
        <v>0</v>
      </c>
      <c r="DV185" s="161">
        <f t="shared" si="228"/>
        <v>0</v>
      </c>
      <c r="DW185" s="161">
        <f t="shared" si="229"/>
        <v>0</v>
      </c>
      <c r="DX185" s="161">
        <f t="shared" si="230"/>
        <v>0</v>
      </c>
      <c r="DY185" s="161">
        <f t="shared" si="231"/>
        <v>0</v>
      </c>
      <c r="DZ185" s="161">
        <f t="shared" si="232"/>
        <v>0</v>
      </c>
      <c r="EA185" s="161">
        <f t="shared" si="233"/>
        <v>0</v>
      </c>
      <c r="EB185" s="161">
        <f t="shared" si="234"/>
        <v>0</v>
      </c>
      <c r="EC185" s="161">
        <f t="shared" si="235"/>
        <v>0</v>
      </c>
      <c r="ED185" s="161">
        <f t="shared" si="236"/>
        <v>0</v>
      </c>
      <c r="EE185" s="161">
        <f t="shared" si="237"/>
        <v>0</v>
      </c>
      <c r="EF185" s="161">
        <f t="shared" si="238"/>
        <v>0</v>
      </c>
      <c r="EG185" s="161">
        <f t="shared" si="239"/>
        <v>0</v>
      </c>
      <c r="EH185" s="161">
        <f t="shared" si="240"/>
        <v>0</v>
      </c>
      <c r="EI185" s="161">
        <f t="shared" si="241"/>
        <v>0</v>
      </c>
      <c r="EJ185" s="161">
        <f t="shared" si="242"/>
        <v>0</v>
      </c>
      <c r="EK185" s="147">
        <f t="shared" si="250"/>
        <v>0</v>
      </c>
      <c r="EL185" s="149"/>
      <c r="EN185" s="146"/>
      <c r="EO185" s="146"/>
      <c r="EP185" s="139">
        <f t="shared" si="251"/>
        <v>0</v>
      </c>
      <c r="EQ185" s="139">
        <f t="shared" si="252"/>
        <v>0</v>
      </c>
      <c r="ER185" s="139">
        <f t="shared" si="253"/>
        <v>0</v>
      </c>
      <c r="ES185" s="139">
        <f t="shared" si="254"/>
        <v>0</v>
      </c>
      <c r="ET185" s="139">
        <f t="shared" si="255"/>
        <v>0</v>
      </c>
      <c r="EU185" s="139">
        <f t="shared" si="256"/>
        <v>0</v>
      </c>
      <c r="EV185" s="139">
        <f t="shared" si="257"/>
        <v>0</v>
      </c>
      <c r="EW185" s="139">
        <f t="shared" si="258"/>
        <v>0</v>
      </c>
      <c r="EX185" s="139">
        <f t="shared" si="259"/>
        <v>0</v>
      </c>
      <c r="EY185" s="139">
        <f t="shared" si="260"/>
        <v>0</v>
      </c>
      <c r="EZ185" s="139">
        <f t="shared" si="261"/>
        <v>0</v>
      </c>
      <c r="FA185" s="139">
        <f t="shared" si="262"/>
        <v>0</v>
      </c>
      <c r="FB185" s="139">
        <f t="shared" si="263"/>
        <v>0</v>
      </c>
      <c r="FC185" s="139">
        <f t="shared" si="264"/>
        <v>0</v>
      </c>
      <c r="FD185" s="139">
        <f t="shared" si="265"/>
        <v>0</v>
      </c>
      <c r="FE185" s="139">
        <f t="shared" si="266"/>
        <v>0</v>
      </c>
      <c r="FF185" s="139">
        <f t="shared" si="267"/>
        <v>0</v>
      </c>
      <c r="FG185" s="139">
        <f t="shared" si="268"/>
        <v>0</v>
      </c>
      <c r="FH185" s="139">
        <f t="shared" si="269"/>
        <v>0</v>
      </c>
      <c r="FI185" s="139">
        <f t="shared" si="270"/>
        <v>0</v>
      </c>
      <c r="FJ185" s="139">
        <f t="shared" si="271"/>
        <v>0</v>
      </c>
      <c r="FK185" s="139">
        <f t="shared" si="272"/>
        <v>0</v>
      </c>
      <c r="FL185" s="139">
        <f t="shared" si="273"/>
        <v>0</v>
      </c>
      <c r="FM185" s="139">
        <f t="shared" si="274"/>
        <v>0</v>
      </c>
      <c r="FN185" s="139">
        <f t="shared" si="275"/>
        <v>0</v>
      </c>
      <c r="FO185" s="139">
        <f t="shared" si="276"/>
        <v>0</v>
      </c>
      <c r="FP185" s="139">
        <f t="shared" si="277"/>
        <v>0</v>
      </c>
      <c r="FQ185" s="139">
        <f t="shared" si="278"/>
        <v>0</v>
      </c>
      <c r="FR185" s="139">
        <f t="shared" si="279"/>
        <v>0</v>
      </c>
      <c r="FS185" s="139">
        <f t="shared" si="280"/>
        <v>0</v>
      </c>
      <c r="FT185" s="139">
        <f t="shared" si="281"/>
        <v>0</v>
      </c>
      <c r="FU185" s="148">
        <f t="shared" si="282"/>
        <v>0</v>
      </c>
      <c r="FV185" s="149"/>
      <c r="FY185" s="210">
        <v>180</v>
      </c>
      <c r="FZ185">
        <v>16.997254811863044</v>
      </c>
      <c r="GA185">
        <v>57.867024481302337</v>
      </c>
      <c r="GB185">
        <v>51.825380278716331</v>
      </c>
      <c r="GC185">
        <v>18.408539057613758</v>
      </c>
      <c r="GD185">
        <v>9.4376599660465761</v>
      </c>
      <c r="GE185">
        <v>7.8595050840965843</v>
      </c>
      <c r="GF185">
        <v>9.4253702458875797</v>
      </c>
      <c r="GG185">
        <v>16.243506565551122</v>
      </c>
      <c r="GH185">
        <v>11.515908673745562</v>
      </c>
      <c r="GI185">
        <v>43.334078849902248</v>
      </c>
      <c r="GJ185"/>
      <c r="GK185"/>
      <c r="GL185"/>
      <c r="GM185"/>
    </row>
    <row r="186" spans="1:195" s="7" customFormat="1">
      <c r="A186" s="1"/>
      <c r="B186" s="76">
        <f t="shared" ca="1" si="249"/>
        <v>0.71908092300886972</v>
      </c>
      <c r="C186">
        <v>9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10.416666666666666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10.416666666666666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73.213560417224215</v>
      </c>
      <c r="AO186">
        <v>107.19813259501191</v>
      </c>
      <c r="AP186">
        <v>745.68742268945687</v>
      </c>
      <c r="AQ186">
        <v>237.74423541227819</v>
      </c>
      <c r="AR186">
        <v>98.800915800428768</v>
      </c>
      <c r="AS186">
        <v>958.34537887900308</v>
      </c>
      <c r="AT186">
        <v>38.099126774862611</v>
      </c>
      <c r="AU186">
        <v>32.87853164291122</v>
      </c>
      <c r="AV186"/>
      <c r="AW186"/>
      <c r="AX186" s="146"/>
      <c r="AY186" s="76">
        <f t="shared" ca="1" si="172"/>
        <v>0.13262386750334842</v>
      </c>
      <c r="AZ186">
        <v>9</v>
      </c>
      <c r="BA186" s="129">
        <f t="shared" si="248"/>
        <v>39987</v>
      </c>
      <c r="BB186">
        <v>0</v>
      </c>
      <c r="BC186"/>
      <c r="BD186"/>
      <c r="BE186"/>
      <c r="BF186"/>
      <c r="BG186"/>
      <c r="BH186">
        <v>1</v>
      </c>
      <c r="BI186"/>
      <c r="BJ186"/>
      <c r="BK186"/>
      <c r="BL186"/>
      <c r="BM186"/>
      <c r="BN186"/>
      <c r="BO186"/>
      <c r="BP186"/>
      <c r="BQ186"/>
      <c r="BR186"/>
      <c r="BS186"/>
      <c r="BT186"/>
      <c r="BU186">
        <v>1</v>
      </c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7"/>
        <v>0.88559340338474635</v>
      </c>
      <c r="CL186" s="179">
        <f t="shared" si="208"/>
        <v>9</v>
      </c>
      <c r="CM186" s="180">
        <f t="shared" si="209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10"/>
        <v>9.6000000000000002E-2</v>
      </c>
      <c r="DB186" s="146"/>
      <c r="DC186" s="76">
        <f t="shared" ca="1" si="173"/>
        <v>0.19924592441570343</v>
      </c>
      <c r="DD186">
        <f t="shared" si="211"/>
        <v>9</v>
      </c>
      <c r="DE186" s="129">
        <f t="shared" si="247"/>
        <v>39987</v>
      </c>
      <c r="DF186" s="161">
        <f t="shared" si="212"/>
        <v>0</v>
      </c>
      <c r="DG186" s="161">
        <f t="shared" si="213"/>
        <v>0</v>
      </c>
      <c r="DH186" s="161">
        <f t="shared" si="214"/>
        <v>0</v>
      </c>
      <c r="DI186" s="161">
        <f t="shared" si="215"/>
        <v>0</v>
      </c>
      <c r="DJ186" s="161">
        <f t="shared" si="216"/>
        <v>0</v>
      </c>
      <c r="DK186" s="161">
        <f t="shared" si="217"/>
        <v>0</v>
      </c>
      <c r="DL186" s="161">
        <f t="shared" si="218"/>
        <v>10.416666666666666</v>
      </c>
      <c r="DM186" s="161">
        <f t="shared" si="219"/>
        <v>0</v>
      </c>
      <c r="DN186" s="161">
        <f t="shared" si="220"/>
        <v>0</v>
      </c>
      <c r="DO186" s="161">
        <f t="shared" si="221"/>
        <v>0</v>
      </c>
      <c r="DP186" s="161">
        <f t="shared" si="222"/>
        <v>0</v>
      </c>
      <c r="DQ186" s="161">
        <f t="shared" si="223"/>
        <v>0</v>
      </c>
      <c r="DR186" s="161">
        <f t="shared" si="224"/>
        <v>0</v>
      </c>
      <c r="DS186" s="161">
        <f t="shared" si="225"/>
        <v>0</v>
      </c>
      <c r="DT186" s="161">
        <f t="shared" si="226"/>
        <v>0</v>
      </c>
      <c r="DU186" s="161">
        <f t="shared" si="227"/>
        <v>0</v>
      </c>
      <c r="DV186" s="161">
        <f t="shared" si="228"/>
        <v>0</v>
      </c>
      <c r="DW186" s="161">
        <f t="shared" si="229"/>
        <v>0</v>
      </c>
      <c r="DX186" s="161">
        <f t="shared" si="230"/>
        <v>0</v>
      </c>
      <c r="DY186" s="161">
        <f t="shared" si="231"/>
        <v>10.416666666666666</v>
      </c>
      <c r="DZ186" s="161">
        <f t="shared" si="232"/>
        <v>0</v>
      </c>
      <c r="EA186" s="161">
        <f t="shared" si="233"/>
        <v>0</v>
      </c>
      <c r="EB186" s="161">
        <f t="shared" si="234"/>
        <v>0</v>
      </c>
      <c r="EC186" s="161">
        <f t="shared" si="235"/>
        <v>0</v>
      </c>
      <c r="ED186" s="161">
        <f t="shared" si="236"/>
        <v>0</v>
      </c>
      <c r="EE186" s="161">
        <f t="shared" si="237"/>
        <v>0</v>
      </c>
      <c r="EF186" s="161">
        <f t="shared" si="238"/>
        <v>0</v>
      </c>
      <c r="EG186" s="161">
        <f t="shared" si="239"/>
        <v>0</v>
      </c>
      <c r="EH186" s="161">
        <f t="shared" si="240"/>
        <v>0</v>
      </c>
      <c r="EI186" s="161">
        <f t="shared" si="241"/>
        <v>0</v>
      </c>
      <c r="EJ186" s="161">
        <f t="shared" si="242"/>
        <v>0</v>
      </c>
      <c r="EK186" s="147">
        <f t="shared" si="250"/>
        <v>20.833333333333332</v>
      </c>
      <c r="EL186" s="149"/>
      <c r="EN186" s="146"/>
      <c r="EO186" s="146"/>
      <c r="EP186" s="139">
        <f t="shared" si="251"/>
        <v>0</v>
      </c>
      <c r="EQ186" s="139">
        <f t="shared" si="252"/>
        <v>0</v>
      </c>
      <c r="ER186" s="139">
        <f t="shared" si="253"/>
        <v>0</v>
      </c>
      <c r="ES186" s="139">
        <f t="shared" si="254"/>
        <v>0</v>
      </c>
      <c r="ET186" s="139">
        <f t="shared" si="255"/>
        <v>0</v>
      </c>
      <c r="EU186" s="139">
        <f t="shared" si="256"/>
        <v>0</v>
      </c>
      <c r="EV186" s="139">
        <f t="shared" si="257"/>
        <v>7.8962624008309863</v>
      </c>
      <c r="EW186" s="139">
        <f t="shared" si="258"/>
        <v>0</v>
      </c>
      <c r="EX186" s="139">
        <f t="shared" si="259"/>
        <v>0</v>
      </c>
      <c r="EY186" s="139">
        <f t="shared" si="260"/>
        <v>0</v>
      </c>
      <c r="EZ186" s="139">
        <f t="shared" si="261"/>
        <v>0</v>
      </c>
      <c r="FA186" s="139">
        <f t="shared" si="262"/>
        <v>0</v>
      </c>
      <c r="FB186" s="139">
        <f t="shared" si="263"/>
        <v>0</v>
      </c>
      <c r="FC186" s="139">
        <f t="shared" si="264"/>
        <v>0</v>
      </c>
      <c r="FD186" s="139">
        <f t="shared" si="265"/>
        <v>0</v>
      </c>
      <c r="FE186" s="139">
        <f t="shared" si="266"/>
        <v>0</v>
      </c>
      <c r="FF186" s="139">
        <f t="shared" si="267"/>
        <v>0</v>
      </c>
      <c r="FG186" s="139">
        <f t="shared" si="268"/>
        <v>0</v>
      </c>
      <c r="FH186" s="139">
        <f t="shared" si="269"/>
        <v>0</v>
      </c>
      <c r="FI186" s="139">
        <f t="shared" si="270"/>
        <v>137.69412207227376</v>
      </c>
      <c r="FJ186" s="139">
        <f t="shared" si="271"/>
        <v>0</v>
      </c>
      <c r="FK186" s="139">
        <f t="shared" si="272"/>
        <v>0</v>
      </c>
      <c r="FL186" s="139">
        <f t="shared" si="273"/>
        <v>0</v>
      </c>
      <c r="FM186" s="139">
        <f t="shared" si="274"/>
        <v>0</v>
      </c>
      <c r="FN186" s="139">
        <f t="shared" si="275"/>
        <v>0</v>
      </c>
      <c r="FO186" s="139">
        <f t="shared" si="276"/>
        <v>0</v>
      </c>
      <c r="FP186" s="139">
        <f t="shared" si="277"/>
        <v>0</v>
      </c>
      <c r="FQ186" s="139">
        <f t="shared" si="278"/>
        <v>0</v>
      </c>
      <c r="FR186" s="139">
        <f t="shared" si="279"/>
        <v>0</v>
      </c>
      <c r="FS186" s="139">
        <f t="shared" si="280"/>
        <v>0</v>
      </c>
      <c r="FT186" s="139">
        <f t="shared" si="281"/>
        <v>0</v>
      </c>
      <c r="FU186" s="148">
        <f t="shared" si="282"/>
        <v>145.59038447310473</v>
      </c>
      <c r="FV186" s="149"/>
      <c r="FY186" s="210">
        <v>181</v>
      </c>
      <c r="FZ186">
        <v>28.449177691423525</v>
      </c>
      <c r="GA186">
        <v>45.097020064689232</v>
      </c>
      <c r="GB186">
        <v>21.952655479549612</v>
      </c>
      <c r="GC186">
        <v>9.6049957033017481</v>
      </c>
      <c r="GD186">
        <v>4.5547243987098707</v>
      </c>
      <c r="GE186">
        <v>4.956032172937002</v>
      </c>
      <c r="GF186">
        <v>10.434502640676849</v>
      </c>
      <c r="GG186">
        <v>16.13036813060463</v>
      </c>
      <c r="GH186">
        <v>16.281214814733705</v>
      </c>
      <c r="GI186">
        <v>23.900951591331317</v>
      </c>
      <c r="GJ186"/>
      <c r="GK186"/>
      <c r="GL186"/>
      <c r="GM186"/>
    </row>
    <row r="187" spans="1:195" s="7" customFormat="1">
      <c r="A187" s="1"/>
      <c r="B187" s="76">
        <f t="shared" ca="1" si="249"/>
        <v>0.71429125389058745</v>
      </c>
      <c r="C187">
        <v>5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10.416666666666666</v>
      </c>
      <c r="J187">
        <v>0</v>
      </c>
      <c r="K187">
        <v>0</v>
      </c>
      <c r="L187">
        <v>0</v>
      </c>
      <c r="M187">
        <v>0</v>
      </c>
      <c r="N187">
        <v>10.416666666666666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56.763845927575666</v>
      </c>
      <c r="AO187">
        <v>75.1997050410112</v>
      </c>
      <c r="AP187">
        <v>569.06973221710905</v>
      </c>
      <c r="AQ187">
        <v>210.43543859599151</v>
      </c>
      <c r="AR187">
        <v>70.040841558590103</v>
      </c>
      <c r="AS187">
        <v>323.95079577364874</v>
      </c>
      <c r="AT187">
        <v>27.742065022316893</v>
      </c>
      <c r="AU187">
        <v>-57.593407566462218</v>
      </c>
      <c r="AV187"/>
      <c r="AW187"/>
      <c r="AX187" s="146"/>
      <c r="AY187" s="76">
        <f t="shared" ca="1" si="172"/>
        <v>0.67512904806331253</v>
      </c>
      <c r="AZ187">
        <v>10</v>
      </c>
      <c r="BA187" s="129">
        <f t="shared" si="248"/>
        <v>39987</v>
      </c>
      <c r="BB187">
        <v>0</v>
      </c>
      <c r="BC187"/>
      <c r="BD187"/>
      <c r="BE187"/>
      <c r="BF187"/>
      <c r="BG187"/>
      <c r="BH187"/>
      <c r="BI187">
        <v>1</v>
      </c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7"/>
        <v>0.28682386702037732</v>
      </c>
      <c r="CL187" s="179">
        <f t="shared" si="208"/>
        <v>10</v>
      </c>
      <c r="CM187" s="180">
        <f t="shared" si="209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10"/>
        <v>9.6000000000000002E-2</v>
      </c>
      <c r="DB187" s="146"/>
      <c r="DC187" s="76">
        <f t="shared" ca="1" si="173"/>
        <v>0.15364996845624201</v>
      </c>
      <c r="DD187">
        <f t="shared" si="211"/>
        <v>10</v>
      </c>
      <c r="DE187" s="129">
        <f t="shared" si="247"/>
        <v>39987</v>
      </c>
      <c r="DF187" s="161">
        <f t="shared" si="212"/>
        <v>0</v>
      </c>
      <c r="DG187" s="161">
        <f t="shared" si="213"/>
        <v>0</v>
      </c>
      <c r="DH187" s="161">
        <f t="shared" si="214"/>
        <v>0</v>
      </c>
      <c r="DI187" s="161">
        <f t="shared" si="215"/>
        <v>0</v>
      </c>
      <c r="DJ187" s="161">
        <f t="shared" si="216"/>
        <v>0</v>
      </c>
      <c r="DK187" s="161">
        <f t="shared" si="217"/>
        <v>0</v>
      </c>
      <c r="DL187" s="161">
        <f t="shared" si="218"/>
        <v>0</v>
      </c>
      <c r="DM187" s="161">
        <f t="shared" si="219"/>
        <v>10.416666666666666</v>
      </c>
      <c r="DN187" s="161">
        <f t="shared" si="220"/>
        <v>0</v>
      </c>
      <c r="DO187" s="161">
        <f t="shared" si="221"/>
        <v>0</v>
      </c>
      <c r="DP187" s="161">
        <f t="shared" si="222"/>
        <v>0</v>
      </c>
      <c r="DQ187" s="161">
        <f t="shared" si="223"/>
        <v>0</v>
      </c>
      <c r="DR187" s="161">
        <f t="shared" si="224"/>
        <v>0</v>
      </c>
      <c r="DS187" s="161">
        <f t="shared" si="225"/>
        <v>0</v>
      </c>
      <c r="DT187" s="161">
        <f t="shared" si="226"/>
        <v>0</v>
      </c>
      <c r="DU187" s="161">
        <f t="shared" si="227"/>
        <v>0</v>
      </c>
      <c r="DV187" s="161">
        <f t="shared" si="228"/>
        <v>0</v>
      </c>
      <c r="DW187" s="161">
        <f t="shared" si="229"/>
        <v>0</v>
      </c>
      <c r="DX187" s="161">
        <f t="shared" si="230"/>
        <v>0</v>
      </c>
      <c r="DY187" s="161">
        <f t="shared" si="231"/>
        <v>0</v>
      </c>
      <c r="DZ187" s="161">
        <f t="shared" si="232"/>
        <v>0</v>
      </c>
      <c r="EA187" s="161">
        <f t="shared" si="233"/>
        <v>0</v>
      </c>
      <c r="EB187" s="161">
        <f t="shared" si="234"/>
        <v>0</v>
      </c>
      <c r="EC187" s="161">
        <f t="shared" si="235"/>
        <v>0</v>
      </c>
      <c r="ED187" s="161">
        <f t="shared" si="236"/>
        <v>0</v>
      </c>
      <c r="EE187" s="161">
        <f t="shared" si="237"/>
        <v>0</v>
      </c>
      <c r="EF187" s="161">
        <f t="shared" si="238"/>
        <v>0</v>
      </c>
      <c r="EG187" s="161">
        <f t="shared" si="239"/>
        <v>0</v>
      </c>
      <c r="EH187" s="161">
        <f t="shared" si="240"/>
        <v>0</v>
      </c>
      <c r="EI187" s="161">
        <f t="shared" si="241"/>
        <v>0</v>
      </c>
      <c r="EJ187" s="161">
        <f t="shared" si="242"/>
        <v>0</v>
      </c>
      <c r="EK187" s="147">
        <f t="shared" si="250"/>
        <v>10.416666666666666</v>
      </c>
      <c r="EL187" s="149"/>
      <c r="EN187" s="146"/>
      <c r="EO187" s="146"/>
      <c r="EP187" s="139">
        <f t="shared" si="251"/>
        <v>0</v>
      </c>
      <c r="EQ187" s="139">
        <f t="shared" si="252"/>
        <v>0</v>
      </c>
      <c r="ER187" s="139">
        <f t="shared" si="253"/>
        <v>0</v>
      </c>
      <c r="ES187" s="139">
        <f t="shared" si="254"/>
        <v>0</v>
      </c>
      <c r="ET187" s="139">
        <f t="shared" si="255"/>
        <v>0</v>
      </c>
      <c r="EU187" s="139">
        <f t="shared" si="256"/>
        <v>0</v>
      </c>
      <c r="EV187" s="139">
        <f t="shared" si="257"/>
        <v>0</v>
      </c>
      <c r="EW187" s="139">
        <f t="shared" si="258"/>
        <v>11.57309745439952</v>
      </c>
      <c r="EX187" s="139">
        <f t="shared" si="259"/>
        <v>0</v>
      </c>
      <c r="EY187" s="139">
        <f t="shared" si="260"/>
        <v>0</v>
      </c>
      <c r="EZ187" s="139">
        <f t="shared" si="261"/>
        <v>0</v>
      </c>
      <c r="FA187" s="139">
        <f t="shared" si="262"/>
        <v>0</v>
      </c>
      <c r="FB187" s="139">
        <f t="shared" si="263"/>
        <v>0</v>
      </c>
      <c r="FC187" s="139">
        <f t="shared" si="264"/>
        <v>0</v>
      </c>
      <c r="FD187" s="139">
        <f t="shared" si="265"/>
        <v>0</v>
      </c>
      <c r="FE187" s="139">
        <f t="shared" si="266"/>
        <v>0</v>
      </c>
      <c r="FF187" s="139">
        <f t="shared" si="267"/>
        <v>0</v>
      </c>
      <c r="FG187" s="139">
        <f t="shared" si="268"/>
        <v>0</v>
      </c>
      <c r="FH187" s="139">
        <f t="shared" si="269"/>
        <v>0</v>
      </c>
      <c r="FI187" s="139">
        <f t="shared" si="270"/>
        <v>0</v>
      </c>
      <c r="FJ187" s="139">
        <f t="shared" si="271"/>
        <v>0</v>
      </c>
      <c r="FK187" s="139">
        <f t="shared" si="272"/>
        <v>0</v>
      </c>
      <c r="FL187" s="139">
        <f t="shared" si="273"/>
        <v>0</v>
      </c>
      <c r="FM187" s="139">
        <f t="shared" si="274"/>
        <v>0</v>
      </c>
      <c r="FN187" s="139">
        <f t="shared" si="275"/>
        <v>0</v>
      </c>
      <c r="FO187" s="139">
        <f t="shared" si="276"/>
        <v>0</v>
      </c>
      <c r="FP187" s="139">
        <f t="shared" si="277"/>
        <v>0</v>
      </c>
      <c r="FQ187" s="139">
        <f t="shared" si="278"/>
        <v>0</v>
      </c>
      <c r="FR187" s="139">
        <f t="shared" si="279"/>
        <v>0</v>
      </c>
      <c r="FS187" s="139">
        <f t="shared" si="280"/>
        <v>0</v>
      </c>
      <c r="FT187" s="139">
        <f t="shared" si="281"/>
        <v>0</v>
      </c>
      <c r="FU187" s="148">
        <f t="shared" si="282"/>
        <v>11.57309745439952</v>
      </c>
      <c r="FV187" s="149"/>
      <c r="FY187" s="210">
        <v>182</v>
      </c>
      <c r="FZ187">
        <v>25.732676630863214</v>
      </c>
      <c r="GA187">
        <v>51.840702698841092</v>
      </c>
      <c r="GB187">
        <v>26.296280892657052</v>
      </c>
      <c r="GC187">
        <v>12.767356950304537</v>
      </c>
      <c r="GD187">
        <v>9.197932991814799</v>
      </c>
      <c r="GE187">
        <v>9.1778903828087461</v>
      </c>
      <c r="GF187">
        <v>9.0077679951690381</v>
      </c>
      <c r="GG187">
        <v>14.604224299700656</v>
      </c>
      <c r="GH187">
        <v>12.117961968767577</v>
      </c>
      <c r="GI187">
        <v>31.864387749470094</v>
      </c>
      <c r="GJ187"/>
      <c r="GK187"/>
      <c r="GL187"/>
      <c r="GM187"/>
    </row>
    <row r="188" spans="1:195" s="7" customFormat="1">
      <c r="A188" s="128"/>
      <c r="B188" s="76" t="str">
        <f t="shared" ca="1" si="249"/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69.851274061684876</v>
      </c>
      <c r="AO188">
        <v>76.554881659551299</v>
      </c>
      <c r="AP188">
        <v>534.5477683853876</v>
      </c>
      <c r="AQ188">
        <v>227.94749528451706</v>
      </c>
      <c r="AR188">
        <v>72.054828975580961</v>
      </c>
      <c r="AS188">
        <v>409.93171138953414</v>
      </c>
      <c r="AT188">
        <v>29.24206931308402</v>
      </c>
      <c r="AU188">
        <v>24.877782677903053</v>
      </c>
      <c r="AV188"/>
      <c r="AW188"/>
      <c r="AX188" s="128"/>
      <c r="AY188" s="76" t="str">
        <f t="shared" ca="1" si="172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7"/>
        <v/>
      </c>
      <c r="CL188" s="179" t="str">
        <f t="shared" si="208"/>
        <v/>
      </c>
      <c r="CM188" s="180" t="str">
        <f t="shared" si="20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10"/>
        <v/>
      </c>
      <c r="DB188" s="128"/>
      <c r="DC188" s="76" t="str">
        <f t="shared" ca="1" si="173"/>
        <v/>
      </c>
      <c r="DD188" t="str">
        <f t="shared" si="211"/>
        <v/>
      </c>
      <c r="DE188" s="129" t="str">
        <f t="shared" ref="DE188:DE197" si="283">IF((DD188)="", "", $C$14)</f>
        <v/>
      </c>
      <c r="DF188" s="161" t="str">
        <f t="shared" ref="DF188:DF207" si="284">IF($AZ188="", "", ((BB188*$CW188)+(CN188*$CX188))/$CZ188)</f>
        <v/>
      </c>
      <c r="DG188" s="161" t="str">
        <f t="shared" ref="DG188:DG207" si="285">IF($AZ188="", "", ((BC188*$CW188)+(CO188*$CX188))/$CZ188)</f>
        <v/>
      </c>
      <c r="DH188" s="161" t="str">
        <f t="shared" ref="DH188:DH207" si="286">IF($AZ188="", "", ((BD188*$CW188)+(CP188*$CX188))/$CZ188)</f>
        <v/>
      </c>
      <c r="DI188" s="161" t="str">
        <f t="shared" ref="DI188:DI207" si="287">IF($AZ188="", "", ((BE188*$CW188)+(CQ188*$CX188))/$CZ188)</f>
        <v/>
      </c>
      <c r="DJ188" s="161" t="str">
        <f t="shared" ref="DJ188:DJ207" si="288">IF($AZ188="", "", ((BF188*$CW188)+(CR188*$CX188))/$CZ188)</f>
        <v/>
      </c>
      <c r="DK188" s="161" t="str">
        <f t="shared" ref="DK188:DK207" si="289">IF($AZ188="", "", ((BG188*$CW188)+(CS188*$CX188))/$CZ188)</f>
        <v/>
      </c>
      <c r="DL188" s="161" t="str">
        <f t="shared" ref="DL188:DL207" si="290">IF($AZ188="", "", ((BH188*$CW188)+(CT188*$CX188))/$CZ188)</f>
        <v/>
      </c>
      <c r="DM188" s="161" t="str">
        <f t="shared" ref="DM188:DM207" si="291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2">IF($AZ188="", "", (BK187*$CW188)/$CZ188)</f>
        <v/>
      </c>
      <c r="DP188" s="161" t="str">
        <f t="shared" ref="DP188:DP193" si="293">IF($AZ188="", "", (BL187*$CW188)/$CZ188)</f>
        <v/>
      </c>
      <c r="DQ188" s="161" t="str">
        <f t="shared" ref="DQ188:DQ193" si="294">IF($AZ188="", "", (BM187*$CW188)/$CZ188)</f>
        <v/>
      </c>
      <c r="DR188" s="161" t="str">
        <f t="shared" ref="DR188:DR193" si="295">IF($AZ188="", "", (BN187*$CW188)/$CZ188)</f>
        <v/>
      </c>
      <c r="DS188" s="161" t="str">
        <f t="shared" ref="DS188:DS193" si="296">IF($AZ188="", "", (BO187*$CW188)/$CZ188)</f>
        <v/>
      </c>
      <c r="DT188" s="161" t="str">
        <f t="shared" ref="DT188:DT193" si="297">IF($AZ188="", "", (BP187*$CW188)/$CZ188)</f>
        <v/>
      </c>
      <c r="DU188" s="161" t="str">
        <f t="shared" ref="DU188:DU193" si="298">IF($AZ188="", "", (BQ187*$CW188)/$CZ188)</f>
        <v/>
      </c>
      <c r="DV188" s="161" t="str">
        <f t="shared" ref="DV188:DV193" si="299">IF($AZ188="", "", (BR187*$CW188)/$CZ188)</f>
        <v/>
      </c>
      <c r="DW188" s="161" t="str">
        <f t="shared" ref="DW188:DW193" si="300">IF($AZ188="", "", (BS187*$CW188)/$CZ188)</f>
        <v/>
      </c>
      <c r="DX188" s="161" t="str">
        <f t="shared" ref="DX188:DX193" si="301">IF($AZ188="", "", (BT187*$CW188)/$CZ188)</f>
        <v/>
      </c>
      <c r="DY188" s="161" t="str">
        <f t="shared" ref="DY188:DY193" si="302">IF($AZ188="", "", (BU187*$CW188)/$CZ188)</f>
        <v/>
      </c>
      <c r="DZ188" s="161" t="str">
        <f t="shared" ref="DZ188:DZ193" si="303">IF($AZ188="", "", (BV187*$CW188)/$CZ188)</f>
        <v/>
      </c>
      <c r="EA188" s="161" t="str">
        <f t="shared" ref="EA188:EA193" si="304">IF($AZ188="", "", (BW187*$CW188)/$CZ188)</f>
        <v/>
      </c>
      <c r="EB188" s="161" t="str">
        <f t="shared" ref="EB188:EB193" si="305">IF($AZ188="", "", (BX187*$CW188)/$CZ188)</f>
        <v/>
      </c>
      <c r="EC188" s="161" t="str">
        <f t="shared" ref="EC188:EC193" si="306">IF($AZ188="", "", (BY187*$CW188)/$CZ188)</f>
        <v/>
      </c>
      <c r="ED188" s="161" t="str">
        <f t="shared" ref="ED188:ED193" si="307">IF($AZ188="", "", (BZ187*$CW188)/$CZ188)</f>
        <v/>
      </c>
      <c r="EE188" s="161" t="str">
        <f t="shared" ref="EE188:EE193" si="308">IF($AZ188="", "", (CA187*$CW188)/$CZ188)</f>
        <v/>
      </c>
      <c r="EF188" s="161" t="str">
        <f t="shared" ref="EF188:EF193" si="309">IF($AZ188="", "", (CB187*$CW188)/$CZ188)</f>
        <v/>
      </c>
      <c r="EG188" s="161" t="str">
        <f t="shared" ref="EG188:EG193" si="310">IF($AZ188="", "", (CC187*$CW188)/$CZ188)</f>
        <v/>
      </c>
      <c r="EH188" s="161" t="str">
        <f t="shared" ref="EH188:EH193" si="311">IF($AZ188="", "", (CD187*$CW188)/$CZ188)</f>
        <v/>
      </c>
      <c r="EI188" s="161" t="str">
        <f t="shared" ref="EI188:EI193" si="312">IF($AZ188="", "", (CE187*$CW188)/$CZ188)</f>
        <v/>
      </c>
      <c r="EJ188" s="161" t="str">
        <f t="shared" ref="EJ188:EJ193" si="313">IF($AZ188="", "", (CF187*$CW188)/$CZ188)</f>
        <v/>
      </c>
      <c r="EK188" s="147" t="str">
        <f t="shared" si="250"/>
        <v/>
      </c>
      <c r="EL188" s="149"/>
      <c r="EN188" s="146"/>
      <c r="EO188" s="146"/>
      <c r="EP188" s="139" t="str">
        <f t="shared" si="251"/>
        <v/>
      </c>
      <c r="EQ188" s="139" t="str">
        <f t="shared" si="252"/>
        <v/>
      </c>
      <c r="ER188" s="139" t="str">
        <f t="shared" si="253"/>
        <v/>
      </c>
      <c r="ES188" s="139" t="str">
        <f t="shared" si="254"/>
        <v/>
      </c>
      <c r="ET188" s="139" t="str">
        <f t="shared" si="255"/>
        <v/>
      </c>
      <c r="EU188" s="139" t="str">
        <f t="shared" si="256"/>
        <v/>
      </c>
      <c r="EV188" s="139" t="str">
        <f t="shared" si="257"/>
        <v/>
      </c>
      <c r="EW188" s="139" t="str">
        <f t="shared" si="258"/>
        <v/>
      </c>
      <c r="EX188" s="139" t="str">
        <f t="shared" si="259"/>
        <v/>
      </c>
      <c r="EY188" s="139" t="str">
        <f t="shared" si="260"/>
        <v/>
      </c>
      <c r="EZ188" s="139" t="str">
        <f t="shared" si="261"/>
        <v/>
      </c>
      <c r="FA188" s="139" t="str">
        <f t="shared" si="262"/>
        <v/>
      </c>
      <c r="FB188" s="139" t="str">
        <f t="shared" si="263"/>
        <v/>
      </c>
      <c r="FC188" s="139" t="str">
        <f t="shared" si="264"/>
        <v/>
      </c>
      <c r="FD188" s="139" t="str">
        <f t="shared" si="265"/>
        <v/>
      </c>
      <c r="FE188" s="139" t="str">
        <f t="shared" si="266"/>
        <v/>
      </c>
      <c r="FF188" s="139" t="str">
        <f t="shared" si="267"/>
        <v/>
      </c>
      <c r="FG188" s="139" t="str">
        <f t="shared" si="268"/>
        <v/>
      </c>
      <c r="FH188" s="139" t="str">
        <f t="shared" si="269"/>
        <v/>
      </c>
      <c r="FI188" s="139" t="str">
        <f t="shared" si="270"/>
        <v/>
      </c>
      <c r="FJ188" s="139" t="str">
        <f t="shared" si="271"/>
        <v/>
      </c>
      <c r="FK188" s="139" t="str">
        <f t="shared" si="272"/>
        <v/>
      </c>
      <c r="FL188" s="139" t="str">
        <f t="shared" si="273"/>
        <v/>
      </c>
      <c r="FM188" s="139" t="str">
        <f t="shared" si="274"/>
        <v/>
      </c>
      <c r="FN188" s="139" t="str">
        <f t="shared" si="275"/>
        <v/>
      </c>
      <c r="FO188" s="139" t="str">
        <f t="shared" si="276"/>
        <v/>
      </c>
      <c r="FP188" s="139" t="str">
        <f t="shared" si="277"/>
        <v/>
      </c>
      <c r="FQ188" s="139" t="str">
        <f t="shared" si="278"/>
        <v/>
      </c>
      <c r="FR188" s="139" t="str">
        <f t="shared" si="279"/>
        <v/>
      </c>
      <c r="FS188" s="139" t="str">
        <f t="shared" si="280"/>
        <v/>
      </c>
      <c r="FT188" s="139" t="str">
        <f t="shared" si="281"/>
        <v/>
      </c>
      <c r="FU188" s="148" t="str">
        <f t="shared" si="282"/>
        <v/>
      </c>
      <c r="FV188" s="149"/>
      <c r="FY188" s="210">
        <v>183</v>
      </c>
      <c r="FZ188">
        <v>28.200985113318719</v>
      </c>
      <c r="GA188">
        <v>48.809988367373784</v>
      </c>
      <c r="GB188">
        <v>37.807768545982192</v>
      </c>
      <c r="GC188">
        <v>11.315098158492916</v>
      </c>
      <c r="GD188">
        <v>6.3863886139694834</v>
      </c>
      <c r="GE188">
        <v>6.688435822448227</v>
      </c>
      <c r="GF188">
        <v>7.7781276193238806</v>
      </c>
      <c r="GG188">
        <v>12.613422988056351</v>
      </c>
      <c r="GH188">
        <v>8.076157550662284</v>
      </c>
      <c r="GI188">
        <v>34.963977051584848</v>
      </c>
      <c r="GJ188"/>
      <c r="GK188"/>
      <c r="GL188"/>
      <c r="GM188"/>
    </row>
    <row r="189" spans="1:195" s="7" customFormat="1">
      <c r="A189" s="1"/>
      <c r="B189" s="76" t="str">
        <f t="shared" ca="1" si="249"/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44.639476768131601</v>
      </c>
      <c r="AO189">
        <v>61.239630056078894</v>
      </c>
      <c r="AP189">
        <v>498.53320939330592</v>
      </c>
      <c r="AQ189">
        <v>199.61237592704438</v>
      </c>
      <c r="AR189">
        <v>58.349180301881823</v>
      </c>
      <c r="AS189">
        <v>307.06734249993445</v>
      </c>
      <c r="AT189">
        <v>25.689983962895877</v>
      </c>
      <c r="AU189">
        <v>-2.2693991245184506</v>
      </c>
      <c r="AV189"/>
      <c r="AW189"/>
      <c r="AX189" s="146"/>
      <c r="AY189" s="76" t="str">
        <f t="shared" ca="1" si="172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7"/>
        <v/>
      </c>
      <c r="CL189" s="179" t="str">
        <f t="shared" si="208"/>
        <v/>
      </c>
      <c r="CM189" s="180" t="str">
        <f t="shared" si="20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10"/>
        <v/>
      </c>
      <c r="DB189" s="146"/>
      <c r="DC189" s="76" t="str">
        <f t="shared" ca="1" si="173"/>
        <v/>
      </c>
      <c r="DD189" t="str">
        <f t="shared" si="211"/>
        <v/>
      </c>
      <c r="DE189" s="129" t="str">
        <f t="shared" si="283"/>
        <v/>
      </c>
      <c r="DF189" s="161" t="str">
        <f t="shared" si="284"/>
        <v/>
      </c>
      <c r="DG189" s="161" t="str">
        <f t="shared" si="285"/>
        <v/>
      </c>
      <c r="DH189" s="161" t="str">
        <f t="shared" si="286"/>
        <v/>
      </c>
      <c r="DI189" s="161" t="str">
        <f t="shared" si="287"/>
        <v/>
      </c>
      <c r="DJ189" s="161" t="str">
        <f t="shared" si="288"/>
        <v/>
      </c>
      <c r="DK189" s="161" t="str">
        <f t="shared" si="289"/>
        <v/>
      </c>
      <c r="DL189" s="161" t="str">
        <f t="shared" si="290"/>
        <v/>
      </c>
      <c r="DM189" s="161" t="str">
        <f t="shared" si="291"/>
        <v/>
      </c>
      <c r="DN189" s="161" t="str">
        <f>IF($AZ189="", "", (BJ189*$CW189)/$CZ189)</f>
        <v/>
      </c>
      <c r="DO189" s="161" t="str">
        <f t="shared" si="292"/>
        <v/>
      </c>
      <c r="DP189" s="161" t="str">
        <f t="shared" si="293"/>
        <v/>
      </c>
      <c r="DQ189" s="161" t="str">
        <f t="shared" si="294"/>
        <v/>
      </c>
      <c r="DR189" s="161" t="str">
        <f t="shared" si="295"/>
        <v/>
      </c>
      <c r="DS189" s="161" t="str">
        <f t="shared" si="296"/>
        <v/>
      </c>
      <c r="DT189" s="161" t="str">
        <f t="shared" si="297"/>
        <v/>
      </c>
      <c r="DU189" s="161" t="str">
        <f t="shared" si="298"/>
        <v/>
      </c>
      <c r="DV189" s="161" t="str">
        <f t="shared" si="299"/>
        <v/>
      </c>
      <c r="DW189" s="161" t="str">
        <f t="shared" si="300"/>
        <v/>
      </c>
      <c r="DX189" s="161" t="str">
        <f t="shared" si="301"/>
        <v/>
      </c>
      <c r="DY189" s="161" t="str">
        <f t="shared" si="302"/>
        <v/>
      </c>
      <c r="DZ189" s="161" t="str">
        <f t="shared" si="303"/>
        <v/>
      </c>
      <c r="EA189" s="161" t="str">
        <f t="shared" si="304"/>
        <v/>
      </c>
      <c r="EB189" s="161" t="str">
        <f t="shared" si="305"/>
        <v/>
      </c>
      <c r="EC189" s="161" t="str">
        <f t="shared" si="306"/>
        <v/>
      </c>
      <c r="ED189" s="161" t="str">
        <f t="shared" si="307"/>
        <v/>
      </c>
      <c r="EE189" s="161" t="str">
        <f t="shared" si="308"/>
        <v/>
      </c>
      <c r="EF189" s="161" t="str">
        <f t="shared" si="309"/>
        <v/>
      </c>
      <c r="EG189" s="161" t="str">
        <f t="shared" si="310"/>
        <v/>
      </c>
      <c r="EH189" s="161" t="str">
        <f t="shared" si="311"/>
        <v/>
      </c>
      <c r="EI189" s="161" t="str">
        <f t="shared" si="312"/>
        <v/>
      </c>
      <c r="EJ189" s="161" t="str">
        <f t="shared" si="313"/>
        <v/>
      </c>
      <c r="EK189" s="147" t="str">
        <f t="shared" si="250"/>
        <v/>
      </c>
      <c r="EL189" s="149"/>
      <c r="EN189" s="146"/>
      <c r="EO189" s="146"/>
      <c r="EP189" s="139" t="str">
        <f t="shared" si="251"/>
        <v/>
      </c>
      <c r="EQ189" s="139" t="str">
        <f t="shared" si="252"/>
        <v/>
      </c>
      <c r="ER189" s="139" t="str">
        <f t="shared" si="253"/>
        <v/>
      </c>
      <c r="ES189" s="139" t="str">
        <f t="shared" si="254"/>
        <v/>
      </c>
      <c r="ET189" s="139" t="str">
        <f t="shared" si="255"/>
        <v/>
      </c>
      <c r="EU189" s="139" t="str">
        <f t="shared" si="256"/>
        <v/>
      </c>
      <c r="EV189" s="139" t="str">
        <f t="shared" si="257"/>
        <v/>
      </c>
      <c r="EW189" s="139" t="str">
        <f t="shared" si="258"/>
        <v/>
      </c>
      <c r="EX189" s="139" t="str">
        <f t="shared" si="259"/>
        <v/>
      </c>
      <c r="EY189" s="139" t="str">
        <f t="shared" si="260"/>
        <v/>
      </c>
      <c r="EZ189" s="139" t="str">
        <f t="shared" si="261"/>
        <v/>
      </c>
      <c r="FA189" s="139" t="str">
        <f t="shared" si="262"/>
        <v/>
      </c>
      <c r="FB189" s="139" t="str">
        <f t="shared" si="263"/>
        <v/>
      </c>
      <c r="FC189" s="139" t="str">
        <f t="shared" si="264"/>
        <v/>
      </c>
      <c r="FD189" s="139" t="str">
        <f t="shared" si="265"/>
        <v/>
      </c>
      <c r="FE189" s="139" t="str">
        <f t="shared" si="266"/>
        <v/>
      </c>
      <c r="FF189" s="139" t="str">
        <f t="shared" si="267"/>
        <v/>
      </c>
      <c r="FG189" s="139" t="str">
        <f t="shared" si="268"/>
        <v/>
      </c>
      <c r="FH189" s="139" t="str">
        <f t="shared" si="269"/>
        <v/>
      </c>
      <c r="FI189" s="139" t="str">
        <f t="shared" si="270"/>
        <v/>
      </c>
      <c r="FJ189" s="139" t="str">
        <f t="shared" si="271"/>
        <v/>
      </c>
      <c r="FK189" s="139" t="str">
        <f t="shared" si="272"/>
        <v/>
      </c>
      <c r="FL189" s="139" t="str">
        <f t="shared" si="273"/>
        <v/>
      </c>
      <c r="FM189" s="139" t="str">
        <f t="shared" si="274"/>
        <v/>
      </c>
      <c r="FN189" s="139" t="str">
        <f t="shared" si="275"/>
        <v/>
      </c>
      <c r="FO189" s="139" t="str">
        <f t="shared" si="276"/>
        <v/>
      </c>
      <c r="FP189" s="139" t="str">
        <f t="shared" si="277"/>
        <v/>
      </c>
      <c r="FQ189" s="139" t="str">
        <f t="shared" si="278"/>
        <v/>
      </c>
      <c r="FR189" s="139" t="str">
        <f t="shared" si="279"/>
        <v/>
      </c>
      <c r="FS189" s="139" t="str">
        <f t="shared" si="280"/>
        <v/>
      </c>
      <c r="FT189" s="139" t="str">
        <f t="shared" si="281"/>
        <v/>
      </c>
      <c r="FU189" s="148" t="str">
        <f t="shared" si="282"/>
        <v/>
      </c>
      <c r="FV189" s="149"/>
      <c r="FY189" s="210">
        <v>184</v>
      </c>
      <c r="FZ189">
        <v>19.8254644835359</v>
      </c>
      <c r="GA189">
        <v>58.12911962980121</v>
      </c>
      <c r="GB189">
        <v>23.959514981024959</v>
      </c>
      <c r="GC189">
        <v>9.1171490467400513</v>
      </c>
      <c r="GD189">
        <v>9.2827893604993346</v>
      </c>
      <c r="GE189">
        <v>11.859670178590362</v>
      </c>
      <c r="GF189">
        <v>8.9412446328039241</v>
      </c>
      <c r="GG189">
        <v>17.652189313167028</v>
      </c>
      <c r="GH189">
        <v>16.821356718682853</v>
      </c>
      <c r="GI189">
        <v>31.402664240842046</v>
      </c>
      <c r="GJ189"/>
      <c r="GK189"/>
      <c r="GL189"/>
      <c r="GM189"/>
    </row>
    <row r="190" spans="1:195" s="7" customFormat="1">
      <c r="A190" s="1"/>
      <c r="B190" s="76" t="str">
        <f t="shared" ca="1" si="249"/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72.609028874961041</v>
      </c>
      <c r="AO190">
        <v>94.446056369165206</v>
      </c>
      <c r="AP190">
        <v>673.83430561288537</v>
      </c>
      <c r="AQ190">
        <v>255.49220388965722</v>
      </c>
      <c r="AR190">
        <v>86.915051345569339</v>
      </c>
      <c r="AS190">
        <v>455.92351715536023</v>
      </c>
      <c r="AT190">
        <v>33.457900119540859</v>
      </c>
      <c r="AU190">
        <v>61.804308082031454</v>
      </c>
      <c r="AV190"/>
      <c r="AW190"/>
      <c r="AX190" s="146"/>
      <c r="AY190" s="76" t="str">
        <f t="shared" ca="1" si="172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7"/>
        <v/>
      </c>
      <c r="CL190" s="179" t="str">
        <f t="shared" si="208"/>
        <v/>
      </c>
      <c r="CM190" s="180" t="str">
        <f t="shared" si="20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10"/>
        <v/>
      </c>
      <c r="DB190" s="146"/>
      <c r="DC190" s="76" t="str">
        <f t="shared" ca="1" si="173"/>
        <v/>
      </c>
      <c r="DD190" t="str">
        <f t="shared" si="211"/>
        <v/>
      </c>
      <c r="DE190" s="129" t="str">
        <f t="shared" si="283"/>
        <v/>
      </c>
      <c r="DF190" s="161" t="str">
        <f t="shared" si="284"/>
        <v/>
      </c>
      <c r="DG190" s="161" t="str">
        <f t="shared" si="285"/>
        <v/>
      </c>
      <c r="DH190" s="161" t="str">
        <f t="shared" si="286"/>
        <v/>
      </c>
      <c r="DI190" s="161" t="str">
        <f t="shared" si="287"/>
        <v/>
      </c>
      <c r="DJ190" s="161" t="str">
        <f t="shared" si="288"/>
        <v/>
      </c>
      <c r="DK190" s="161" t="str">
        <f t="shared" si="289"/>
        <v/>
      </c>
      <c r="DL190" s="161" t="str">
        <f t="shared" si="290"/>
        <v/>
      </c>
      <c r="DM190" s="161" t="str">
        <f t="shared" si="291"/>
        <v/>
      </c>
      <c r="DN190" s="161" t="str">
        <f>IF($AZ190="", "", (BJ190*$CW190)/$CZ190)</f>
        <v/>
      </c>
      <c r="DO190" s="161" t="str">
        <f t="shared" si="292"/>
        <v/>
      </c>
      <c r="DP190" s="161" t="str">
        <f t="shared" si="293"/>
        <v/>
      </c>
      <c r="DQ190" s="161" t="str">
        <f t="shared" si="294"/>
        <v/>
      </c>
      <c r="DR190" s="161" t="str">
        <f t="shared" si="295"/>
        <v/>
      </c>
      <c r="DS190" s="161" t="str">
        <f t="shared" si="296"/>
        <v/>
      </c>
      <c r="DT190" s="161" t="str">
        <f t="shared" si="297"/>
        <v/>
      </c>
      <c r="DU190" s="161" t="str">
        <f t="shared" si="298"/>
        <v/>
      </c>
      <c r="DV190" s="161" t="str">
        <f t="shared" si="299"/>
        <v/>
      </c>
      <c r="DW190" s="161" t="str">
        <f t="shared" si="300"/>
        <v/>
      </c>
      <c r="DX190" s="161" t="str">
        <f t="shared" si="301"/>
        <v/>
      </c>
      <c r="DY190" s="161" t="str">
        <f t="shared" si="302"/>
        <v/>
      </c>
      <c r="DZ190" s="161" t="str">
        <f t="shared" si="303"/>
        <v/>
      </c>
      <c r="EA190" s="161" t="str">
        <f t="shared" si="304"/>
        <v/>
      </c>
      <c r="EB190" s="161" t="str">
        <f t="shared" si="305"/>
        <v/>
      </c>
      <c r="EC190" s="161" t="str">
        <f t="shared" si="306"/>
        <v/>
      </c>
      <c r="ED190" s="161" t="str">
        <f t="shared" si="307"/>
        <v/>
      </c>
      <c r="EE190" s="161" t="str">
        <f t="shared" si="308"/>
        <v/>
      </c>
      <c r="EF190" s="161" t="str">
        <f t="shared" si="309"/>
        <v/>
      </c>
      <c r="EG190" s="161" t="str">
        <f t="shared" si="310"/>
        <v/>
      </c>
      <c r="EH190" s="161" t="str">
        <f t="shared" si="311"/>
        <v/>
      </c>
      <c r="EI190" s="161" t="str">
        <f t="shared" si="312"/>
        <v/>
      </c>
      <c r="EJ190" s="161" t="str">
        <f t="shared" si="313"/>
        <v/>
      </c>
      <c r="EK190" s="147" t="str">
        <f t="shared" si="250"/>
        <v/>
      </c>
      <c r="EL190" s="149"/>
      <c r="EN190" s="146"/>
      <c r="EO190" s="146"/>
      <c r="EP190" s="139" t="str">
        <f t="shared" si="251"/>
        <v/>
      </c>
      <c r="EQ190" s="139" t="str">
        <f t="shared" si="252"/>
        <v/>
      </c>
      <c r="ER190" s="139" t="str">
        <f t="shared" si="253"/>
        <v/>
      </c>
      <c r="ES190" s="139" t="str">
        <f t="shared" si="254"/>
        <v/>
      </c>
      <c r="ET190" s="139" t="str">
        <f t="shared" si="255"/>
        <v/>
      </c>
      <c r="EU190" s="139" t="str">
        <f t="shared" si="256"/>
        <v/>
      </c>
      <c r="EV190" s="139" t="str">
        <f t="shared" si="257"/>
        <v/>
      </c>
      <c r="EW190" s="139" t="str">
        <f t="shared" si="258"/>
        <v/>
      </c>
      <c r="EX190" s="139" t="str">
        <f t="shared" si="259"/>
        <v/>
      </c>
      <c r="EY190" s="139" t="str">
        <f t="shared" si="260"/>
        <v/>
      </c>
      <c r="EZ190" s="139" t="str">
        <f t="shared" si="261"/>
        <v/>
      </c>
      <c r="FA190" s="139" t="str">
        <f t="shared" si="262"/>
        <v/>
      </c>
      <c r="FB190" s="139" t="str">
        <f t="shared" si="263"/>
        <v/>
      </c>
      <c r="FC190" s="139" t="str">
        <f t="shared" si="264"/>
        <v/>
      </c>
      <c r="FD190" s="139" t="str">
        <f t="shared" si="265"/>
        <v/>
      </c>
      <c r="FE190" s="139" t="str">
        <f t="shared" si="266"/>
        <v/>
      </c>
      <c r="FF190" s="139" t="str">
        <f t="shared" si="267"/>
        <v/>
      </c>
      <c r="FG190" s="139" t="str">
        <f t="shared" si="268"/>
        <v/>
      </c>
      <c r="FH190" s="139" t="str">
        <f t="shared" si="269"/>
        <v/>
      </c>
      <c r="FI190" s="139" t="str">
        <f t="shared" si="270"/>
        <v/>
      </c>
      <c r="FJ190" s="139" t="str">
        <f t="shared" si="271"/>
        <v/>
      </c>
      <c r="FK190" s="139" t="str">
        <f t="shared" si="272"/>
        <v/>
      </c>
      <c r="FL190" s="139" t="str">
        <f t="shared" si="273"/>
        <v/>
      </c>
      <c r="FM190" s="139" t="str">
        <f t="shared" si="274"/>
        <v/>
      </c>
      <c r="FN190" s="139" t="str">
        <f t="shared" si="275"/>
        <v/>
      </c>
      <c r="FO190" s="139" t="str">
        <f t="shared" si="276"/>
        <v/>
      </c>
      <c r="FP190" s="139" t="str">
        <f t="shared" si="277"/>
        <v/>
      </c>
      <c r="FQ190" s="139" t="str">
        <f t="shared" si="278"/>
        <v/>
      </c>
      <c r="FR190" s="139" t="str">
        <f t="shared" si="279"/>
        <v/>
      </c>
      <c r="FS190" s="139" t="str">
        <f t="shared" si="280"/>
        <v/>
      </c>
      <c r="FT190" s="139" t="str">
        <f t="shared" si="281"/>
        <v/>
      </c>
      <c r="FU190" s="148" t="str">
        <f t="shared" si="282"/>
        <v/>
      </c>
      <c r="FV190" s="149"/>
      <c r="FY190" s="210">
        <v>185</v>
      </c>
      <c r="FZ190">
        <v>17.622483080910278</v>
      </c>
      <c r="GA190">
        <v>46.30523579954135</v>
      </c>
      <c r="GB190">
        <v>23.779887331343701</v>
      </c>
      <c r="GC190">
        <v>7.5752647346481057</v>
      </c>
      <c r="GD190">
        <v>5.4491532118816473</v>
      </c>
      <c r="GE190">
        <v>8.4337247721381665</v>
      </c>
      <c r="GF190">
        <v>7.9033751367176492</v>
      </c>
      <c r="GG190">
        <v>12.91453595950003</v>
      </c>
      <c r="GH190">
        <v>18.891612766117376</v>
      </c>
      <c r="GI190">
        <v>25.697974467992982</v>
      </c>
      <c r="GJ190"/>
      <c r="GK190"/>
      <c r="GL190"/>
      <c r="GM190"/>
    </row>
    <row r="191" spans="1:195" s="7" customFormat="1">
      <c r="A191" s="1"/>
      <c r="B191" s="76" t="str">
        <f t="shared" ca="1" si="249"/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38.351755651402883</v>
      </c>
      <c r="AO191">
        <v>53.921202507387136</v>
      </c>
      <c r="AP191">
        <v>440.47058799903385</v>
      </c>
      <c r="AQ191">
        <v>180.87173952930439</v>
      </c>
      <c r="AR191">
        <v>50.31120424237745</v>
      </c>
      <c r="AS191">
        <v>288.92719054912675</v>
      </c>
      <c r="AT191">
        <v>19.031463203957443</v>
      </c>
      <c r="AU191">
        <v>4.552421854162942</v>
      </c>
      <c r="AV191"/>
      <c r="AW191"/>
      <c r="AX191" s="146"/>
      <c r="AY191" s="76" t="str">
        <f t="shared" ca="1" si="172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7"/>
        <v/>
      </c>
      <c r="CL191" s="179" t="str">
        <f t="shared" si="208"/>
        <v/>
      </c>
      <c r="CM191" s="180" t="str">
        <f t="shared" si="20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10"/>
        <v/>
      </c>
      <c r="DB191" s="146"/>
      <c r="DC191" s="76" t="str">
        <f t="shared" ca="1" si="173"/>
        <v/>
      </c>
      <c r="DD191" t="str">
        <f t="shared" si="211"/>
        <v/>
      </c>
      <c r="DE191" s="129" t="str">
        <f t="shared" si="283"/>
        <v/>
      </c>
      <c r="DF191" s="161" t="str">
        <f t="shared" si="284"/>
        <v/>
      </c>
      <c r="DG191" s="161" t="str">
        <f t="shared" si="285"/>
        <v/>
      </c>
      <c r="DH191" s="161" t="str">
        <f t="shared" si="286"/>
        <v/>
      </c>
      <c r="DI191" s="161" t="str">
        <f t="shared" si="287"/>
        <v/>
      </c>
      <c r="DJ191" s="161" t="str">
        <f t="shared" si="288"/>
        <v/>
      </c>
      <c r="DK191" s="161" t="str">
        <f t="shared" si="289"/>
        <v/>
      </c>
      <c r="DL191" s="161" t="str">
        <f t="shared" si="290"/>
        <v/>
      </c>
      <c r="DM191" s="161" t="str">
        <f t="shared" si="291"/>
        <v/>
      </c>
      <c r="DN191" s="161" t="str">
        <f>IF($AZ191="", "", (BJ191*$CW191)/$CZ191)</f>
        <v/>
      </c>
      <c r="DO191" s="161" t="str">
        <f t="shared" si="292"/>
        <v/>
      </c>
      <c r="DP191" s="161" t="str">
        <f t="shared" si="293"/>
        <v/>
      </c>
      <c r="DQ191" s="161" t="str">
        <f t="shared" si="294"/>
        <v/>
      </c>
      <c r="DR191" s="161" t="str">
        <f t="shared" si="295"/>
        <v/>
      </c>
      <c r="DS191" s="161" t="str">
        <f t="shared" si="296"/>
        <v/>
      </c>
      <c r="DT191" s="161" t="str">
        <f t="shared" si="297"/>
        <v/>
      </c>
      <c r="DU191" s="161" t="str">
        <f t="shared" si="298"/>
        <v/>
      </c>
      <c r="DV191" s="161" t="str">
        <f t="shared" si="299"/>
        <v/>
      </c>
      <c r="DW191" s="161" t="str">
        <f t="shared" si="300"/>
        <v/>
      </c>
      <c r="DX191" s="161" t="str">
        <f t="shared" si="301"/>
        <v/>
      </c>
      <c r="DY191" s="161" t="str">
        <f t="shared" si="302"/>
        <v/>
      </c>
      <c r="DZ191" s="161" t="str">
        <f t="shared" si="303"/>
        <v/>
      </c>
      <c r="EA191" s="161" t="str">
        <f t="shared" si="304"/>
        <v/>
      </c>
      <c r="EB191" s="161" t="str">
        <f t="shared" si="305"/>
        <v/>
      </c>
      <c r="EC191" s="161" t="str">
        <f t="shared" si="306"/>
        <v/>
      </c>
      <c r="ED191" s="161" t="str">
        <f t="shared" si="307"/>
        <v/>
      </c>
      <c r="EE191" s="161" t="str">
        <f t="shared" si="308"/>
        <v/>
      </c>
      <c r="EF191" s="161" t="str">
        <f t="shared" si="309"/>
        <v/>
      </c>
      <c r="EG191" s="161" t="str">
        <f t="shared" si="310"/>
        <v/>
      </c>
      <c r="EH191" s="161" t="str">
        <f t="shared" si="311"/>
        <v/>
      </c>
      <c r="EI191" s="161" t="str">
        <f t="shared" si="312"/>
        <v/>
      </c>
      <c r="EJ191" s="161" t="str">
        <f t="shared" si="313"/>
        <v/>
      </c>
      <c r="EK191" s="147" t="str">
        <f t="shared" si="250"/>
        <v/>
      </c>
      <c r="EL191" s="149"/>
      <c r="EN191" s="146"/>
      <c r="EO191" s="146"/>
      <c r="EP191" s="139" t="str">
        <f t="shared" si="251"/>
        <v/>
      </c>
      <c r="EQ191" s="139" t="str">
        <f t="shared" si="252"/>
        <v/>
      </c>
      <c r="ER191" s="139" t="str">
        <f t="shared" si="253"/>
        <v/>
      </c>
      <c r="ES191" s="139" t="str">
        <f t="shared" si="254"/>
        <v/>
      </c>
      <c r="ET191" s="139" t="str">
        <f t="shared" si="255"/>
        <v/>
      </c>
      <c r="EU191" s="139" t="str">
        <f t="shared" si="256"/>
        <v/>
      </c>
      <c r="EV191" s="139" t="str">
        <f t="shared" si="257"/>
        <v/>
      </c>
      <c r="EW191" s="139" t="str">
        <f t="shared" si="258"/>
        <v/>
      </c>
      <c r="EX191" s="139" t="str">
        <f t="shared" si="259"/>
        <v/>
      </c>
      <c r="EY191" s="139" t="str">
        <f t="shared" si="260"/>
        <v/>
      </c>
      <c r="EZ191" s="139" t="str">
        <f t="shared" si="261"/>
        <v/>
      </c>
      <c r="FA191" s="139" t="str">
        <f t="shared" si="262"/>
        <v/>
      </c>
      <c r="FB191" s="139" t="str">
        <f t="shared" si="263"/>
        <v/>
      </c>
      <c r="FC191" s="139" t="str">
        <f t="shared" si="264"/>
        <v/>
      </c>
      <c r="FD191" s="139" t="str">
        <f t="shared" si="265"/>
        <v/>
      </c>
      <c r="FE191" s="139" t="str">
        <f t="shared" si="266"/>
        <v/>
      </c>
      <c r="FF191" s="139" t="str">
        <f t="shared" si="267"/>
        <v/>
      </c>
      <c r="FG191" s="139" t="str">
        <f t="shared" si="268"/>
        <v/>
      </c>
      <c r="FH191" s="139" t="str">
        <f t="shared" si="269"/>
        <v/>
      </c>
      <c r="FI191" s="139" t="str">
        <f t="shared" si="270"/>
        <v/>
      </c>
      <c r="FJ191" s="139" t="str">
        <f t="shared" si="271"/>
        <v/>
      </c>
      <c r="FK191" s="139" t="str">
        <f t="shared" si="272"/>
        <v/>
      </c>
      <c r="FL191" s="139" t="str">
        <f t="shared" si="273"/>
        <v/>
      </c>
      <c r="FM191" s="139" t="str">
        <f t="shared" si="274"/>
        <v/>
      </c>
      <c r="FN191" s="139" t="str">
        <f t="shared" si="275"/>
        <v/>
      </c>
      <c r="FO191" s="139" t="str">
        <f t="shared" si="276"/>
        <v/>
      </c>
      <c r="FP191" s="139" t="str">
        <f t="shared" si="277"/>
        <v/>
      </c>
      <c r="FQ191" s="139" t="str">
        <f t="shared" si="278"/>
        <v/>
      </c>
      <c r="FR191" s="139" t="str">
        <f t="shared" si="279"/>
        <v/>
      </c>
      <c r="FS191" s="139" t="str">
        <f t="shared" si="280"/>
        <v/>
      </c>
      <c r="FT191" s="139" t="str">
        <f t="shared" si="281"/>
        <v/>
      </c>
      <c r="FU191" s="148" t="str">
        <f t="shared" si="282"/>
        <v/>
      </c>
      <c r="FV191" s="149"/>
      <c r="FY191" s="210">
        <v>186</v>
      </c>
      <c r="FZ191">
        <v>30.423791943767103</v>
      </c>
      <c r="GA191">
        <v>60.746450246320805</v>
      </c>
      <c r="GB191">
        <v>25.165715043330543</v>
      </c>
      <c r="GC191">
        <v>10.073581353304307</v>
      </c>
      <c r="GD191">
        <v>6.4975608416083555</v>
      </c>
      <c r="GE191">
        <v>5.7396629704098237</v>
      </c>
      <c r="GF191">
        <v>11.194435348924081</v>
      </c>
      <c r="GG191">
        <v>20.817958541788688</v>
      </c>
      <c r="GH191">
        <v>19.230692570674528</v>
      </c>
      <c r="GI191">
        <v>31.646231925053051</v>
      </c>
      <c r="GJ191"/>
      <c r="GK191"/>
      <c r="GL191"/>
      <c r="GM191"/>
    </row>
    <row r="192" spans="1:195" s="7" customFormat="1">
      <c r="A192" s="1"/>
      <c r="B192" s="76" t="str">
        <f t="shared" ca="1" si="249"/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44.639042464747192</v>
      </c>
      <c r="AO192">
        <v>64.896385494967021</v>
      </c>
      <c r="AP192">
        <v>522.03372264646828</v>
      </c>
      <c r="AQ192">
        <v>222.15848295835471</v>
      </c>
      <c r="AR192">
        <v>60.743388193450627</v>
      </c>
      <c r="AS192">
        <v>275.44908651485304</v>
      </c>
      <c r="AT192">
        <v>26.585479438729305</v>
      </c>
      <c r="AU192">
        <v>-2.612581308500296</v>
      </c>
      <c r="AV192"/>
      <c r="AW192"/>
      <c r="AX192" s="146"/>
      <c r="AY192" s="76" t="str">
        <f t="shared" ca="1" si="172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7"/>
        <v/>
      </c>
      <c r="CL192" s="179" t="str">
        <f t="shared" si="208"/>
        <v/>
      </c>
      <c r="CM192" s="180" t="str">
        <f t="shared" si="20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10"/>
        <v/>
      </c>
      <c r="DB192" s="146"/>
      <c r="DC192" s="76" t="str">
        <f t="shared" ca="1" si="173"/>
        <v/>
      </c>
      <c r="DD192" t="str">
        <f t="shared" si="211"/>
        <v/>
      </c>
      <c r="DE192" s="129" t="str">
        <f t="shared" si="283"/>
        <v/>
      </c>
      <c r="DF192" s="161" t="str">
        <f t="shared" si="284"/>
        <v/>
      </c>
      <c r="DG192" s="161" t="str">
        <f t="shared" si="285"/>
        <v/>
      </c>
      <c r="DH192" s="161" t="str">
        <f t="shared" si="286"/>
        <v/>
      </c>
      <c r="DI192" s="161" t="str">
        <f t="shared" si="287"/>
        <v/>
      </c>
      <c r="DJ192" s="161" t="str">
        <f t="shared" si="288"/>
        <v/>
      </c>
      <c r="DK192" s="161" t="str">
        <f t="shared" si="289"/>
        <v/>
      </c>
      <c r="DL192" s="161" t="str">
        <f t="shared" si="290"/>
        <v/>
      </c>
      <c r="DM192" s="161" t="str">
        <f t="shared" si="291"/>
        <v/>
      </c>
      <c r="DN192" s="161" t="str">
        <f>IF($AZ192="", "", (BJ192*$CW192)/$CZ192)</f>
        <v/>
      </c>
      <c r="DO192" s="161" t="str">
        <f t="shared" si="292"/>
        <v/>
      </c>
      <c r="DP192" s="161" t="str">
        <f t="shared" si="293"/>
        <v/>
      </c>
      <c r="DQ192" s="161" t="str">
        <f t="shared" si="294"/>
        <v/>
      </c>
      <c r="DR192" s="161" t="str">
        <f t="shared" si="295"/>
        <v/>
      </c>
      <c r="DS192" s="161" t="str">
        <f t="shared" si="296"/>
        <v/>
      </c>
      <c r="DT192" s="161" t="str">
        <f t="shared" si="297"/>
        <v/>
      </c>
      <c r="DU192" s="161" t="str">
        <f t="shared" si="298"/>
        <v/>
      </c>
      <c r="DV192" s="161" t="str">
        <f t="shared" si="299"/>
        <v/>
      </c>
      <c r="DW192" s="161" t="str">
        <f t="shared" si="300"/>
        <v/>
      </c>
      <c r="DX192" s="161" t="str">
        <f t="shared" si="301"/>
        <v/>
      </c>
      <c r="DY192" s="161" t="str">
        <f t="shared" si="302"/>
        <v/>
      </c>
      <c r="DZ192" s="161" t="str">
        <f t="shared" si="303"/>
        <v/>
      </c>
      <c r="EA192" s="161" t="str">
        <f t="shared" si="304"/>
        <v/>
      </c>
      <c r="EB192" s="161" t="str">
        <f t="shared" si="305"/>
        <v/>
      </c>
      <c r="EC192" s="161" t="str">
        <f t="shared" si="306"/>
        <v/>
      </c>
      <c r="ED192" s="161" t="str">
        <f t="shared" si="307"/>
        <v/>
      </c>
      <c r="EE192" s="161" t="str">
        <f t="shared" si="308"/>
        <v/>
      </c>
      <c r="EF192" s="161" t="str">
        <f t="shared" si="309"/>
        <v/>
      </c>
      <c r="EG192" s="161" t="str">
        <f t="shared" si="310"/>
        <v/>
      </c>
      <c r="EH192" s="161" t="str">
        <f t="shared" si="311"/>
        <v/>
      </c>
      <c r="EI192" s="161" t="str">
        <f t="shared" si="312"/>
        <v/>
      </c>
      <c r="EJ192" s="161" t="str">
        <f t="shared" si="313"/>
        <v/>
      </c>
      <c r="EK192" s="147" t="str">
        <f t="shared" si="250"/>
        <v/>
      </c>
      <c r="EL192" s="149"/>
      <c r="EN192" s="146"/>
      <c r="EO192" s="146"/>
      <c r="EP192" s="139" t="str">
        <f t="shared" si="251"/>
        <v/>
      </c>
      <c r="EQ192" s="139" t="str">
        <f t="shared" si="252"/>
        <v/>
      </c>
      <c r="ER192" s="139" t="str">
        <f t="shared" si="253"/>
        <v/>
      </c>
      <c r="ES192" s="139" t="str">
        <f t="shared" si="254"/>
        <v/>
      </c>
      <c r="ET192" s="139" t="str">
        <f t="shared" si="255"/>
        <v/>
      </c>
      <c r="EU192" s="139" t="str">
        <f t="shared" si="256"/>
        <v/>
      </c>
      <c r="EV192" s="139" t="str">
        <f t="shared" si="257"/>
        <v/>
      </c>
      <c r="EW192" s="139" t="str">
        <f t="shared" si="258"/>
        <v/>
      </c>
      <c r="EX192" s="139" t="str">
        <f t="shared" si="259"/>
        <v/>
      </c>
      <c r="EY192" s="139" t="str">
        <f t="shared" si="260"/>
        <v/>
      </c>
      <c r="EZ192" s="139" t="str">
        <f t="shared" si="261"/>
        <v/>
      </c>
      <c r="FA192" s="139" t="str">
        <f t="shared" si="262"/>
        <v/>
      </c>
      <c r="FB192" s="139" t="str">
        <f t="shared" si="263"/>
        <v/>
      </c>
      <c r="FC192" s="139" t="str">
        <f t="shared" si="264"/>
        <v/>
      </c>
      <c r="FD192" s="139" t="str">
        <f t="shared" si="265"/>
        <v/>
      </c>
      <c r="FE192" s="139" t="str">
        <f t="shared" si="266"/>
        <v/>
      </c>
      <c r="FF192" s="139" t="str">
        <f t="shared" si="267"/>
        <v/>
      </c>
      <c r="FG192" s="139" t="str">
        <f t="shared" si="268"/>
        <v/>
      </c>
      <c r="FH192" s="139" t="str">
        <f t="shared" si="269"/>
        <v/>
      </c>
      <c r="FI192" s="139" t="str">
        <f t="shared" si="270"/>
        <v/>
      </c>
      <c r="FJ192" s="139" t="str">
        <f t="shared" si="271"/>
        <v/>
      </c>
      <c r="FK192" s="139" t="str">
        <f t="shared" si="272"/>
        <v/>
      </c>
      <c r="FL192" s="139" t="str">
        <f t="shared" si="273"/>
        <v/>
      </c>
      <c r="FM192" s="139" t="str">
        <f t="shared" si="274"/>
        <v/>
      </c>
      <c r="FN192" s="139" t="str">
        <f t="shared" si="275"/>
        <v/>
      </c>
      <c r="FO192" s="139" t="str">
        <f t="shared" si="276"/>
        <v/>
      </c>
      <c r="FP192" s="139" t="str">
        <f t="shared" si="277"/>
        <v/>
      </c>
      <c r="FQ192" s="139" t="str">
        <f t="shared" si="278"/>
        <v/>
      </c>
      <c r="FR192" s="139" t="str">
        <f t="shared" si="279"/>
        <v/>
      </c>
      <c r="FS192" s="139" t="str">
        <f t="shared" si="280"/>
        <v/>
      </c>
      <c r="FT192" s="139" t="str">
        <f t="shared" si="281"/>
        <v/>
      </c>
      <c r="FU192" s="148" t="str">
        <f t="shared" si="282"/>
        <v/>
      </c>
      <c r="FV192" s="149"/>
      <c r="FY192" s="210">
        <v>187</v>
      </c>
      <c r="FZ192">
        <v>25.12563743060387</v>
      </c>
      <c r="GA192">
        <v>65.327371740907637</v>
      </c>
      <c r="GB192">
        <v>27.129150222901067</v>
      </c>
      <c r="GC192">
        <v>10.519612116685282</v>
      </c>
      <c r="GD192">
        <v>6.0305271613544775</v>
      </c>
      <c r="GE192">
        <v>5.5432604761800643</v>
      </c>
      <c r="GF192">
        <v>10.520690878634808</v>
      </c>
      <c r="GG192">
        <v>13.405191360478911</v>
      </c>
      <c r="GH192">
        <v>17.338425140594026</v>
      </c>
      <c r="GI192">
        <v>30.442206451824358</v>
      </c>
      <c r="GJ192"/>
      <c r="GK192"/>
      <c r="GL192"/>
      <c r="GM192"/>
    </row>
    <row r="193" spans="1:195" s="7" customFormat="1">
      <c r="A193" s="1"/>
      <c r="B193" s="76" t="str">
        <f t="shared" ca="1" si="249"/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56.758445581581555</v>
      </c>
      <c r="AO193">
        <v>76.736897142451795</v>
      </c>
      <c r="AP193">
        <v>519.26174751698613</v>
      </c>
      <c r="AQ193">
        <v>208.94641561186768</v>
      </c>
      <c r="AR193">
        <v>72.167683966834602</v>
      </c>
      <c r="AS193">
        <v>436.68364716762932</v>
      </c>
      <c r="AT193">
        <v>28.040091228947617</v>
      </c>
      <c r="AU193">
        <v>1.6479109227222093</v>
      </c>
      <c r="AV193"/>
      <c r="AW193"/>
      <c r="AX193" s="146"/>
      <c r="AY193" s="76" t="str">
        <f t="shared" ca="1" si="172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7"/>
        <v/>
      </c>
      <c r="CL193" s="179" t="str">
        <f t="shared" si="208"/>
        <v/>
      </c>
      <c r="CM193" s="180" t="str">
        <f t="shared" si="20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10"/>
        <v/>
      </c>
      <c r="DB193" s="146"/>
      <c r="DC193" s="76" t="str">
        <f t="shared" ca="1" si="173"/>
        <v/>
      </c>
      <c r="DD193" t="str">
        <f t="shared" si="211"/>
        <v/>
      </c>
      <c r="DE193" s="129" t="str">
        <f t="shared" si="283"/>
        <v/>
      </c>
      <c r="DF193" s="161" t="str">
        <f t="shared" si="284"/>
        <v/>
      </c>
      <c r="DG193" s="161" t="str">
        <f t="shared" si="285"/>
        <v/>
      </c>
      <c r="DH193" s="161" t="str">
        <f t="shared" si="286"/>
        <v/>
      </c>
      <c r="DI193" s="161" t="str">
        <f t="shared" si="287"/>
        <v/>
      </c>
      <c r="DJ193" s="161" t="str">
        <f t="shared" si="288"/>
        <v/>
      </c>
      <c r="DK193" s="161" t="str">
        <f t="shared" si="289"/>
        <v/>
      </c>
      <c r="DL193" s="161" t="str">
        <f t="shared" si="290"/>
        <v/>
      </c>
      <c r="DM193" s="161" t="str">
        <f t="shared" si="291"/>
        <v/>
      </c>
      <c r="DN193" s="161" t="str">
        <f t="shared" ref="DN193:DN207" si="314">IF($AZ193="", "", (BJ193*$CW193)/$CZ193)</f>
        <v/>
      </c>
      <c r="DO193" s="161" t="str">
        <f t="shared" si="292"/>
        <v/>
      </c>
      <c r="DP193" s="161" t="str">
        <f t="shared" si="293"/>
        <v/>
      </c>
      <c r="DQ193" s="161" t="str">
        <f t="shared" si="294"/>
        <v/>
      </c>
      <c r="DR193" s="161" t="str">
        <f t="shared" si="295"/>
        <v/>
      </c>
      <c r="DS193" s="161" t="str">
        <f t="shared" si="296"/>
        <v/>
      </c>
      <c r="DT193" s="161" t="str">
        <f t="shared" si="297"/>
        <v/>
      </c>
      <c r="DU193" s="161" t="str">
        <f t="shared" si="298"/>
        <v/>
      </c>
      <c r="DV193" s="161" t="str">
        <f t="shared" si="299"/>
        <v/>
      </c>
      <c r="DW193" s="161" t="str">
        <f t="shared" si="300"/>
        <v/>
      </c>
      <c r="DX193" s="161" t="str">
        <f t="shared" si="301"/>
        <v/>
      </c>
      <c r="DY193" s="161" t="str">
        <f t="shared" si="302"/>
        <v/>
      </c>
      <c r="DZ193" s="161" t="str">
        <f t="shared" si="303"/>
        <v/>
      </c>
      <c r="EA193" s="161" t="str">
        <f t="shared" si="304"/>
        <v/>
      </c>
      <c r="EB193" s="161" t="str">
        <f t="shared" si="305"/>
        <v/>
      </c>
      <c r="EC193" s="161" t="str">
        <f t="shared" si="306"/>
        <v/>
      </c>
      <c r="ED193" s="161" t="str">
        <f t="shared" si="307"/>
        <v/>
      </c>
      <c r="EE193" s="161" t="str">
        <f t="shared" si="308"/>
        <v/>
      </c>
      <c r="EF193" s="161" t="str">
        <f t="shared" si="309"/>
        <v/>
      </c>
      <c r="EG193" s="161" t="str">
        <f t="shared" si="310"/>
        <v/>
      </c>
      <c r="EH193" s="161" t="str">
        <f t="shared" si="311"/>
        <v/>
      </c>
      <c r="EI193" s="161" t="str">
        <f t="shared" si="312"/>
        <v/>
      </c>
      <c r="EJ193" s="161" t="str">
        <f t="shared" si="313"/>
        <v/>
      </c>
      <c r="EK193" s="147" t="str">
        <f t="shared" si="250"/>
        <v/>
      </c>
      <c r="EL193" s="149"/>
      <c r="EN193" s="146"/>
      <c r="EO193" s="146"/>
      <c r="EP193" s="139" t="str">
        <f t="shared" si="251"/>
        <v/>
      </c>
      <c r="EQ193" s="139" t="str">
        <f t="shared" si="252"/>
        <v/>
      </c>
      <c r="ER193" s="139" t="str">
        <f t="shared" si="253"/>
        <v/>
      </c>
      <c r="ES193" s="139" t="str">
        <f t="shared" si="254"/>
        <v/>
      </c>
      <c r="ET193" s="139" t="str">
        <f t="shared" si="255"/>
        <v/>
      </c>
      <c r="EU193" s="139" t="str">
        <f t="shared" si="256"/>
        <v/>
      </c>
      <c r="EV193" s="139" t="str">
        <f t="shared" si="257"/>
        <v/>
      </c>
      <c r="EW193" s="139" t="str">
        <f t="shared" si="258"/>
        <v/>
      </c>
      <c r="EX193" s="139" t="str">
        <f t="shared" si="259"/>
        <v/>
      </c>
      <c r="EY193" s="139" t="str">
        <f t="shared" si="260"/>
        <v/>
      </c>
      <c r="EZ193" s="139" t="str">
        <f t="shared" si="261"/>
        <v/>
      </c>
      <c r="FA193" s="139" t="str">
        <f t="shared" si="262"/>
        <v/>
      </c>
      <c r="FB193" s="139" t="str">
        <f t="shared" si="263"/>
        <v/>
      </c>
      <c r="FC193" s="139" t="str">
        <f t="shared" si="264"/>
        <v/>
      </c>
      <c r="FD193" s="139" t="str">
        <f t="shared" si="265"/>
        <v/>
      </c>
      <c r="FE193" s="139" t="str">
        <f t="shared" si="266"/>
        <v/>
      </c>
      <c r="FF193" s="139" t="str">
        <f t="shared" si="267"/>
        <v/>
      </c>
      <c r="FG193" s="139" t="str">
        <f t="shared" si="268"/>
        <v/>
      </c>
      <c r="FH193" s="139" t="str">
        <f t="shared" si="269"/>
        <v/>
      </c>
      <c r="FI193" s="139" t="str">
        <f t="shared" si="270"/>
        <v/>
      </c>
      <c r="FJ193" s="139" t="str">
        <f t="shared" si="271"/>
        <v/>
      </c>
      <c r="FK193" s="139" t="str">
        <f t="shared" si="272"/>
        <v/>
      </c>
      <c r="FL193" s="139" t="str">
        <f t="shared" si="273"/>
        <v/>
      </c>
      <c r="FM193" s="139" t="str">
        <f t="shared" si="274"/>
        <v/>
      </c>
      <c r="FN193" s="139" t="str">
        <f t="shared" si="275"/>
        <v/>
      </c>
      <c r="FO193" s="139" t="str">
        <f t="shared" si="276"/>
        <v/>
      </c>
      <c r="FP193" s="139" t="str">
        <f t="shared" si="277"/>
        <v/>
      </c>
      <c r="FQ193" s="139" t="str">
        <f t="shared" si="278"/>
        <v/>
      </c>
      <c r="FR193" s="139" t="str">
        <f t="shared" si="279"/>
        <v/>
      </c>
      <c r="FS193" s="139" t="str">
        <f t="shared" si="280"/>
        <v/>
      </c>
      <c r="FT193" s="139" t="str">
        <f t="shared" si="281"/>
        <v/>
      </c>
      <c r="FU193" s="148" t="str">
        <f t="shared" si="282"/>
        <v/>
      </c>
      <c r="FV193" s="149"/>
      <c r="FY193" s="210">
        <v>188</v>
      </c>
      <c r="FZ193">
        <v>22.205842859316643</v>
      </c>
      <c r="GA193">
        <v>83.35262088488399</v>
      </c>
      <c r="GB193">
        <v>39.744093805367818</v>
      </c>
      <c r="GC193">
        <v>10.814973625552721</v>
      </c>
      <c r="GD193">
        <v>6.6670524772639155</v>
      </c>
      <c r="GE193">
        <v>6.4347795394887166</v>
      </c>
      <c r="GF193">
        <v>6.2254817406884086</v>
      </c>
      <c r="GG193">
        <v>8.5299763278351097</v>
      </c>
      <c r="GH193">
        <v>8.2799198117751835</v>
      </c>
      <c r="GI193">
        <v>31.633730832359955</v>
      </c>
      <c r="GJ193"/>
      <c r="GK193"/>
      <c r="GL193"/>
      <c r="GM193"/>
    </row>
    <row r="194" spans="1:195" s="7" customFormat="1">
      <c r="A194" s="1"/>
      <c r="B194" s="76" t="str">
        <f t="shared" ca="1" si="249"/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64.162693860422749</v>
      </c>
      <c r="AO194">
        <v>66.934108022398675</v>
      </c>
      <c r="AP194">
        <v>481.12190408881855</v>
      </c>
      <c r="AQ194">
        <v>222.22577531799894</v>
      </c>
      <c r="AR194">
        <v>63.088895920697993</v>
      </c>
      <c r="AS194">
        <v>318.34570295182726</v>
      </c>
      <c r="AT194">
        <v>25.577563936822255</v>
      </c>
      <c r="AU194">
        <v>-4.104251131747926</v>
      </c>
      <c r="AV194"/>
      <c r="AW194"/>
      <c r="AX194" s="146"/>
      <c r="AY194" s="76" t="str">
        <f t="shared" ca="1" si="172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7"/>
        <v/>
      </c>
      <c r="CL194" s="179" t="str">
        <f t="shared" si="208"/>
        <v/>
      </c>
      <c r="CM194" s="180" t="str">
        <f t="shared" si="20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10"/>
        <v/>
      </c>
      <c r="DB194" s="146"/>
      <c r="DC194" s="76" t="str">
        <f t="shared" ca="1" si="173"/>
        <v/>
      </c>
      <c r="DD194" t="str">
        <f t="shared" si="211"/>
        <v/>
      </c>
      <c r="DE194" s="129" t="str">
        <f t="shared" si="283"/>
        <v/>
      </c>
      <c r="DF194" s="161" t="str">
        <f t="shared" si="284"/>
        <v/>
      </c>
      <c r="DG194" s="161" t="str">
        <f t="shared" si="285"/>
        <v/>
      </c>
      <c r="DH194" s="161" t="str">
        <f t="shared" si="286"/>
        <v/>
      </c>
      <c r="DI194" s="161" t="str">
        <f t="shared" si="287"/>
        <v/>
      </c>
      <c r="DJ194" s="161" t="str">
        <f t="shared" si="288"/>
        <v/>
      </c>
      <c r="DK194" s="161" t="str">
        <f t="shared" si="289"/>
        <v/>
      </c>
      <c r="DL194" s="161" t="str">
        <f t="shared" si="290"/>
        <v/>
      </c>
      <c r="DM194" s="161" t="str">
        <f t="shared" si="291"/>
        <v/>
      </c>
      <c r="DN194" s="161" t="str">
        <f t="shared" si="314"/>
        <v/>
      </c>
      <c r="DO194" s="161" t="str">
        <f t="shared" ref="DO194:DO206" si="315">IF($AZ194="", "", (BK193*$CW194)/$CZ194)</f>
        <v/>
      </c>
      <c r="DP194" s="161" t="str">
        <f t="shared" ref="DP194:DP206" si="316">IF($AZ194="", "", (BL193*$CW194)/$CZ194)</f>
        <v/>
      </c>
      <c r="DQ194" s="161" t="str">
        <f t="shared" ref="DQ194:DQ206" si="317">IF($AZ194="", "", (BM193*$CW194)/$CZ194)</f>
        <v/>
      </c>
      <c r="DR194" s="161" t="str">
        <f t="shared" ref="DR194:DR206" si="318">IF($AZ194="", "", (BN193*$CW194)/$CZ194)</f>
        <v/>
      </c>
      <c r="DS194" s="161" t="str">
        <f t="shared" ref="DS194:DS206" si="319">IF($AZ194="", "", (BO193*$CW194)/$CZ194)</f>
        <v/>
      </c>
      <c r="DT194" s="161" t="str">
        <f t="shared" ref="DT194:DT206" si="320">IF($AZ194="", "", (BP193*$CW194)/$CZ194)</f>
        <v/>
      </c>
      <c r="DU194" s="161" t="str">
        <f t="shared" ref="DU194:DU206" si="321">IF($AZ194="", "", (BQ193*$CW194)/$CZ194)</f>
        <v/>
      </c>
      <c r="DV194" s="161" t="str">
        <f t="shared" ref="DV194:DV206" si="322">IF($AZ194="", "", (BR193*$CW194)/$CZ194)</f>
        <v/>
      </c>
      <c r="DW194" s="161" t="str">
        <f t="shared" ref="DW194:DW206" si="323">IF($AZ194="", "", (BS193*$CW194)/$CZ194)</f>
        <v/>
      </c>
      <c r="DX194" s="161" t="str">
        <f t="shared" ref="DX194:DX206" si="324">IF($AZ194="", "", (BT193*$CW194)/$CZ194)</f>
        <v/>
      </c>
      <c r="DY194" s="161" t="str">
        <f t="shared" ref="DY194:DY206" si="325">IF($AZ194="", "", (BU193*$CW194)/$CZ194)</f>
        <v/>
      </c>
      <c r="DZ194" s="161" t="str">
        <f t="shared" ref="DZ194:DZ206" si="326">IF($AZ194="", "", (BV193*$CW194)/$CZ194)</f>
        <v/>
      </c>
      <c r="EA194" s="161" t="str">
        <f t="shared" ref="EA194:EA206" si="327">IF($AZ194="", "", (BW193*$CW194)/$CZ194)</f>
        <v/>
      </c>
      <c r="EB194" s="161" t="str">
        <f t="shared" ref="EB194:EB206" si="328">IF($AZ194="", "", (BX193*$CW194)/$CZ194)</f>
        <v/>
      </c>
      <c r="EC194" s="161" t="str">
        <f t="shared" ref="EC194:EC206" si="329">IF($AZ194="", "", (BY193*$CW194)/$CZ194)</f>
        <v/>
      </c>
      <c r="ED194" s="161" t="str">
        <f t="shared" ref="ED194:ED206" si="330">IF($AZ194="", "", (BZ193*$CW194)/$CZ194)</f>
        <v/>
      </c>
      <c r="EE194" s="161" t="str">
        <f t="shared" ref="EE194:EE206" si="331">IF($AZ194="", "", (CA193*$CW194)/$CZ194)</f>
        <v/>
      </c>
      <c r="EF194" s="161" t="str">
        <f t="shared" ref="EF194:EF206" si="332">IF($AZ194="", "", (CB193*$CW194)/$CZ194)</f>
        <v/>
      </c>
      <c r="EG194" s="161" t="str">
        <f t="shared" ref="EG194:EG206" si="333">IF($AZ194="", "", (CC193*$CW194)/$CZ194)</f>
        <v/>
      </c>
      <c r="EH194" s="161" t="str">
        <f t="shared" ref="EH194:EH206" si="334">IF($AZ194="", "", (CD193*$CW194)/$CZ194)</f>
        <v/>
      </c>
      <c r="EI194" s="161" t="str">
        <f t="shared" ref="EI194:EI206" si="335">IF($AZ194="", "", (CE193*$CW194)/$CZ194)</f>
        <v/>
      </c>
      <c r="EJ194" s="161" t="str">
        <f t="shared" ref="EJ194:EJ206" si="336">IF($AZ194="", "", (CF193*$CW194)/$CZ194)</f>
        <v/>
      </c>
      <c r="EK194" s="147" t="str">
        <f t="shared" si="250"/>
        <v/>
      </c>
      <c r="EL194" s="149"/>
      <c r="EN194" s="146"/>
      <c r="EO194" s="146"/>
      <c r="EP194" s="139" t="str">
        <f t="shared" si="251"/>
        <v/>
      </c>
      <c r="EQ194" s="139" t="str">
        <f t="shared" si="252"/>
        <v/>
      </c>
      <c r="ER194" s="139" t="str">
        <f t="shared" si="253"/>
        <v/>
      </c>
      <c r="ES194" s="139" t="str">
        <f t="shared" si="254"/>
        <v/>
      </c>
      <c r="ET194" s="139" t="str">
        <f t="shared" si="255"/>
        <v/>
      </c>
      <c r="EU194" s="139" t="str">
        <f t="shared" si="256"/>
        <v/>
      </c>
      <c r="EV194" s="139" t="str">
        <f t="shared" si="257"/>
        <v/>
      </c>
      <c r="EW194" s="139" t="str">
        <f t="shared" si="258"/>
        <v/>
      </c>
      <c r="EX194" s="139" t="str">
        <f t="shared" si="259"/>
        <v/>
      </c>
      <c r="EY194" s="139" t="str">
        <f t="shared" si="260"/>
        <v/>
      </c>
      <c r="EZ194" s="139" t="str">
        <f t="shared" si="261"/>
        <v/>
      </c>
      <c r="FA194" s="139" t="str">
        <f t="shared" si="262"/>
        <v/>
      </c>
      <c r="FB194" s="139" t="str">
        <f t="shared" si="263"/>
        <v/>
      </c>
      <c r="FC194" s="139" t="str">
        <f t="shared" si="264"/>
        <v/>
      </c>
      <c r="FD194" s="139" t="str">
        <f t="shared" si="265"/>
        <v/>
      </c>
      <c r="FE194" s="139" t="str">
        <f t="shared" si="266"/>
        <v/>
      </c>
      <c r="FF194" s="139" t="str">
        <f t="shared" si="267"/>
        <v/>
      </c>
      <c r="FG194" s="139" t="str">
        <f t="shared" si="268"/>
        <v/>
      </c>
      <c r="FH194" s="139" t="str">
        <f t="shared" si="269"/>
        <v/>
      </c>
      <c r="FI194" s="139" t="str">
        <f t="shared" si="270"/>
        <v/>
      </c>
      <c r="FJ194" s="139" t="str">
        <f t="shared" si="271"/>
        <v/>
      </c>
      <c r="FK194" s="139" t="str">
        <f t="shared" si="272"/>
        <v/>
      </c>
      <c r="FL194" s="139" t="str">
        <f t="shared" si="273"/>
        <v/>
      </c>
      <c r="FM194" s="139" t="str">
        <f t="shared" si="274"/>
        <v/>
      </c>
      <c r="FN194" s="139" t="str">
        <f t="shared" si="275"/>
        <v/>
      </c>
      <c r="FO194" s="139" t="str">
        <f t="shared" si="276"/>
        <v/>
      </c>
      <c r="FP194" s="139" t="str">
        <f t="shared" si="277"/>
        <v/>
      </c>
      <c r="FQ194" s="139" t="str">
        <f t="shared" si="278"/>
        <v/>
      </c>
      <c r="FR194" s="139" t="str">
        <f t="shared" si="279"/>
        <v/>
      </c>
      <c r="FS194" s="139" t="str">
        <f t="shared" si="280"/>
        <v/>
      </c>
      <c r="FT194" s="139" t="str">
        <f t="shared" si="281"/>
        <v/>
      </c>
      <c r="FU194" s="148" t="str">
        <f t="shared" si="282"/>
        <v/>
      </c>
      <c r="FV194" s="149"/>
      <c r="FY194" s="210">
        <v>189</v>
      </c>
      <c r="FZ194">
        <v>26.015112647384626</v>
      </c>
      <c r="GA194">
        <v>55.429809017654733</v>
      </c>
      <c r="GB194">
        <v>27.777120776351662</v>
      </c>
      <c r="GC194">
        <v>7.9633744144081939</v>
      </c>
      <c r="GD194">
        <v>7.1339901854785053</v>
      </c>
      <c r="GE194">
        <v>10.264995628778809</v>
      </c>
      <c r="GF194">
        <v>11.849303185181309</v>
      </c>
      <c r="GG194">
        <v>27.53933923099553</v>
      </c>
      <c r="GH194">
        <v>30.294805833219304</v>
      </c>
      <c r="GI194">
        <v>32.978757549209448</v>
      </c>
      <c r="GJ194"/>
      <c r="GK194"/>
      <c r="GL194"/>
      <c r="GM194"/>
    </row>
    <row r="195" spans="1:195" s="7" customFormat="1">
      <c r="A195" s="1"/>
      <c r="B195" s="76" t="str">
        <f t="shared" ca="1" si="249"/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56.055289078010489</v>
      </c>
      <c r="AO195">
        <v>78.545570965408089</v>
      </c>
      <c r="AP195">
        <v>491.47763414126979</v>
      </c>
      <c r="AQ195">
        <v>203.39092037497568</v>
      </c>
      <c r="AR195">
        <v>72.94202653887433</v>
      </c>
      <c r="AS195">
        <v>517.69299377445259</v>
      </c>
      <c r="AT195">
        <v>27.77581547325617</v>
      </c>
      <c r="AU195">
        <v>-60.169158989608796</v>
      </c>
      <c r="AV195"/>
      <c r="AW195"/>
      <c r="AX195" s="146"/>
      <c r="AY195" s="76" t="str">
        <f t="shared" ca="1" si="172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7"/>
        <v/>
      </c>
      <c r="CL195" s="179" t="str">
        <f t="shared" si="208"/>
        <v/>
      </c>
      <c r="CM195" s="180" t="str">
        <f t="shared" si="20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10"/>
        <v/>
      </c>
      <c r="DB195" s="146"/>
      <c r="DC195" s="76" t="str">
        <f t="shared" ca="1" si="173"/>
        <v/>
      </c>
      <c r="DD195" t="str">
        <f t="shared" si="211"/>
        <v/>
      </c>
      <c r="DE195" s="129" t="str">
        <f t="shared" si="283"/>
        <v/>
      </c>
      <c r="DF195" s="161" t="str">
        <f t="shared" si="284"/>
        <v/>
      </c>
      <c r="DG195" s="161" t="str">
        <f t="shared" si="285"/>
        <v/>
      </c>
      <c r="DH195" s="161" t="str">
        <f t="shared" si="286"/>
        <v/>
      </c>
      <c r="DI195" s="161" t="str">
        <f t="shared" si="287"/>
        <v/>
      </c>
      <c r="DJ195" s="161" t="str">
        <f t="shared" si="288"/>
        <v/>
      </c>
      <c r="DK195" s="161" t="str">
        <f t="shared" si="289"/>
        <v/>
      </c>
      <c r="DL195" s="161" t="str">
        <f t="shared" si="290"/>
        <v/>
      </c>
      <c r="DM195" s="161" t="str">
        <f t="shared" si="291"/>
        <v/>
      </c>
      <c r="DN195" s="161" t="str">
        <f t="shared" si="314"/>
        <v/>
      </c>
      <c r="DO195" s="161" t="str">
        <f t="shared" si="315"/>
        <v/>
      </c>
      <c r="DP195" s="161" t="str">
        <f t="shared" si="316"/>
        <v/>
      </c>
      <c r="DQ195" s="161" t="str">
        <f t="shared" si="317"/>
        <v/>
      </c>
      <c r="DR195" s="161" t="str">
        <f t="shared" si="318"/>
        <v/>
      </c>
      <c r="DS195" s="161" t="str">
        <f t="shared" si="319"/>
        <v/>
      </c>
      <c r="DT195" s="161" t="str">
        <f t="shared" si="320"/>
        <v/>
      </c>
      <c r="DU195" s="161" t="str">
        <f t="shared" si="321"/>
        <v/>
      </c>
      <c r="DV195" s="161" t="str">
        <f t="shared" si="322"/>
        <v/>
      </c>
      <c r="DW195" s="161" t="str">
        <f t="shared" si="323"/>
        <v/>
      </c>
      <c r="DX195" s="161" t="str">
        <f t="shared" si="324"/>
        <v/>
      </c>
      <c r="DY195" s="161" t="str">
        <f t="shared" si="325"/>
        <v/>
      </c>
      <c r="DZ195" s="161" t="str">
        <f t="shared" si="326"/>
        <v/>
      </c>
      <c r="EA195" s="161" t="str">
        <f t="shared" si="327"/>
        <v/>
      </c>
      <c r="EB195" s="161" t="str">
        <f t="shared" si="328"/>
        <v/>
      </c>
      <c r="EC195" s="161" t="str">
        <f t="shared" si="329"/>
        <v/>
      </c>
      <c r="ED195" s="161" t="str">
        <f t="shared" si="330"/>
        <v/>
      </c>
      <c r="EE195" s="161" t="str">
        <f t="shared" si="331"/>
        <v/>
      </c>
      <c r="EF195" s="161" t="str">
        <f t="shared" si="332"/>
        <v/>
      </c>
      <c r="EG195" s="161" t="str">
        <f t="shared" si="333"/>
        <v/>
      </c>
      <c r="EH195" s="161" t="str">
        <f t="shared" si="334"/>
        <v/>
      </c>
      <c r="EI195" s="161" t="str">
        <f t="shared" si="335"/>
        <v/>
      </c>
      <c r="EJ195" s="161" t="str">
        <f t="shared" si="336"/>
        <v/>
      </c>
      <c r="EK195" s="147" t="str">
        <f t="shared" si="250"/>
        <v/>
      </c>
      <c r="EL195" s="149"/>
      <c r="EN195" s="146"/>
      <c r="EO195" s="146"/>
      <c r="EP195" s="139" t="str">
        <f t="shared" si="251"/>
        <v/>
      </c>
      <c r="EQ195" s="139" t="str">
        <f t="shared" si="252"/>
        <v/>
      </c>
      <c r="ER195" s="139" t="str">
        <f t="shared" si="253"/>
        <v/>
      </c>
      <c r="ES195" s="139" t="str">
        <f t="shared" si="254"/>
        <v/>
      </c>
      <c r="ET195" s="139" t="str">
        <f t="shared" si="255"/>
        <v/>
      </c>
      <c r="EU195" s="139" t="str">
        <f t="shared" si="256"/>
        <v/>
      </c>
      <c r="EV195" s="139" t="str">
        <f t="shared" si="257"/>
        <v/>
      </c>
      <c r="EW195" s="139" t="str">
        <f t="shared" si="258"/>
        <v/>
      </c>
      <c r="EX195" s="139" t="str">
        <f t="shared" si="259"/>
        <v/>
      </c>
      <c r="EY195" s="139" t="str">
        <f t="shared" si="260"/>
        <v/>
      </c>
      <c r="EZ195" s="139" t="str">
        <f t="shared" si="261"/>
        <v/>
      </c>
      <c r="FA195" s="139" t="str">
        <f t="shared" si="262"/>
        <v/>
      </c>
      <c r="FB195" s="139" t="str">
        <f t="shared" si="263"/>
        <v/>
      </c>
      <c r="FC195" s="139" t="str">
        <f t="shared" si="264"/>
        <v/>
      </c>
      <c r="FD195" s="139" t="str">
        <f t="shared" si="265"/>
        <v/>
      </c>
      <c r="FE195" s="139" t="str">
        <f t="shared" si="266"/>
        <v/>
      </c>
      <c r="FF195" s="139" t="str">
        <f t="shared" si="267"/>
        <v/>
      </c>
      <c r="FG195" s="139" t="str">
        <f t="shared" si="268"/>
        <v/>
      </c>
      <c r="FH195" s="139" t="str">
        <f t="shared" si="269"/>
        <v/>
      </c>
      <c r="FI195" s="139" t="str">
        <f t="shared" si="270"/>
        <v/>
      </c>
      <c r="FJ195" s="139" t="str">
        <f t="shared" si="271"/>
        <v/>
      </c>
      <c r="FK195" s="139" t="str">
        <f t="shared" si="272"/>
        <v/>
      </c>
      <c r="FL195" s="139" t="str">
        <f t="shared" si="273"/>
        <v/>
      </c>
      <c r="FM195" s="139" t="str">
        <f t="shared" si="274"/>
        <v/>
      </c>
      <c r="FN195" s="139" t="str">
        <f t="shared" si="275"/>
        <v/>
      </c>
      <c r="FO195" s="139" t="str">
        <f t="shared" si="276"/>
        <v/>
      </c>
      <c r="FP195" s="139" t="str">
        <f t="shared" si="277"/>
        <v/>
      </c>
      <c r="FQ195" s="139" t="str">
        <f t="shared" si="278"/>
        <v/>
      </c>
      <c r="FR195" s="139" t="str">
        <f t="shared" si="279"/>
        <v/>
      </c>
      <c r="FS195" s="139" t="str">
        <f t="shared" si="280"/>
        <v/>
      </c>
      <c r="FT195" s="139" t="str">
        <f t="shared" si="281"/>
        <v/>
      </c>
      <c r="FU195" s="148" t="str">
        <f t="shared" si="282"/>
        <v/>
      </c>
      <c r="FV195" s="149"/>
      <c r="FY195" s="210">
        <v>190</v>
      </c>
      <c r="FZ195">
        <v>16.481975305043314</v>
      </c>
      <c r="GA195">
        <v>34.152350024811973</v>
      </c>
      <c r="GB195">
        <v>36.069119943109072</v>
      </c>
      <c r="GC195">
        <v>10.493601238295284</v>
      </c>
      <c r="GD195">
        <v>5.0159535185059259</v>
      </c>
      <c r="GE195">
        <v>5.8174981925882188</v>
      </c>
      <c r="GF195">
        <v>10.597543372488337</v>
      </c>
      <c r="GG195">
        <v>23.131530731036268</v>
      </c>
      <c r="GH195">
        <v>27.299630745718552</v>
      </c>
      <c r="GI195">
        <v>32.630339880328329</v>
      </c>
      <c r="GJ195"/>
      <c r="GK195"/>
      <c r="GL195"/>
      <c r="GM195"/>
    </row>
    <row r="196" spans="1:195" s="7" customFormat="1">
      <c r="A196" s="1"/>
      <c r="B196" s="76" t="str">
        <f t="shared" ca="1" si="249"/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70.71588096605133</v>
      </c>
      <c r="AO196">
        <v>93.478829027065174</v>
      </c>
      <c r="AP196">
        <v>629.81167176728013</v>
      </c>
      <c r="AQ196">
        <v>242.91422801472515</v>
      </c>
      <c r="AR196">
        <v>86.199722894697061</v>
      </c>
      <c r="AS196">
        <v>587.88194174392959</v>
      </c>
      <c r="AT196">
        <v>32.853479347339523</v>
      </c>
      <c r="AU196">
        <v>-103.54590456284036</v>
      </c>
      <c r="AV196"/>
      <c r="AW196"/>
      <c r="AX196" s="146"/>
      <c r="AY196" s="76" t="str">
        <f t="shared" ca="1" si="172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7"/>
        <v/>
      </c>
      <c r="CL196" s="179" t="str">
        <f t="shared" si="208"/>
        <v/>
      </c>
      <c r="CM196" s="180" t="str">
        <f t="shared" si="20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10"/>
        <v/>
      </c>
      <c r="DB196" s="146"/>
      <c r="DC196" s="76" t="str">
        <f t="shared" ca="1" si="173"/>
        <v/>
      </c>
      <c r="DD196" t="str">
        <f t="shared" si="211"/>
        <v/>
      </c>
      <c r="DE196" s="129" t="str">
        <f t="shared" si="283"/>
        <v/>
      </c>
      <c r="DF196" s="161" t="str">
        <f t="shared" si="284"/>
        <v/>
      </c>
      <c r="DG196" s="161" t="str">
        <f t="shared" si="285"/>
        <v/>
      </c>
      <c r="DH196" s="161" t="str">
        <f t="shared" si="286"/>
        <v/>
      </c>
      <c r="DI196" s="161" t="str">
        <f t="shared" si="287"/>
        <v/>
      </c>
      <c r="DJ196" s="161" t="str">
        <f t="shared" si="288"/>
        <v/>
      </c>
      <c r="DK196" s="161" t="str">
        <f t="shared" si="289"/>
        <v/>
      </c>
      <c r="DL196" s="161" t="str">
        <f t="shared" si="290"/>
        <v/>
      </c>
      <c r="DM196" s="161" t="str">
        <f t="shared" si="291"/>
        <v/>
      </c>
      <c r="DN196" s="161" t="str">
        <f t="shared" si="314"/>
        <v/>
      </c>
      <c r="DO196" s="161" t="str">
        <f t="shared" si="315"/>
        <v/>
      </c>
      <c r="DP196" s="161" t="str">
        <f t="shared" si="316"/>
        <v/>
      </c>
      <c r="DQ196" s="161" t="str">
        <f t="shared" si="317"/>
        <v/>
      </c>
      <c r="DR196" s="161" t="str">
        <f t="shared" si="318"/>
        <v/>
      </c>
      <c r="DS196" s="161" t="str">
        <f t="shared" si="319"/>
        <v/>
      </c>
      <c r="DT196" s="161" t="str">
        <f t="shared" si="320"/>
        <v/>
      </c>
      <c r="DU196" s="161" t="str">
        <f t="shared" si="321"/>
        <v/>
      </c>
      <c r="DV196" s="161" t="str">
        <f t="shared" si="322"/>
        <v/>
      </c>
      <c r="DW196" s="161" t="str">
        <f t="shared" si="323"/>
        <v/>
      </c>
      <c r="DX196" s="161" t="str">
        <f t="shared" si="324"/>
        <v/>
      </c>
      <c r="DY196" s="161" t="str">
        <f t="shared" si="325"/>
        <v/>
      </c>
      <c r="DZ196" s="161" t="str">
        <f t="shared" si="326"/>
        <v/>
      </c>
      <c r="EA196" s="161" t="str">
        <f t="shared" si="327"/>
        <v/>
      </c>
      <c r="EB196" s="161" t="str">
        <f t="shared" si="328"/>
        <v/>
      </c>
      <c r="EC196" s="161" t="str">
        <f t="shared" si="329"/>
        <v/>
      </c>
      <c r="ED196" s="161" t="str">
        <f t="shared" si="330"/>
        <v/>
      </c>
      <c r="EE196" s="161" t="str">
        <f t="shared" si="331"/>
        <v/>
      </c>
      <c r="EF196" s="161" t="str">
        <f t="shared" si="332"/>
        <v/>
      </c>
      <c r="EG196" s="161" t="str">
        <f t="shared" si="333"/>
        <v/>
      </c>
      <c r="EH196" s="161" t="str">
        <f t="shared" si="334"/>
        <v/>
      </c>
      <c r="EI196" s="161" t="str">
        <f t="shared" si="335"/>
        <v/>
      </c>
      <c r="EJ196" s="161" t="str">
        <f t="shared" si="336"/>
        <v/>
      </c>
      <c r="EK196" s="147" t="str">
        <f t="shared" si="250"/>
        <v/>
      </c>
      <c r="EL196" s="149"/>
      <c r="EN196" s="146"/>
      <c r="EO196" s="146"/>
      <c r="EP196" s="139" t="str">
        <f t="shared" si="251"/>
        <v/>
      </c>
      <c r="EQ196" s="139" t="str">
        <f t="shared" si="252"/>
        <v/>
      </c>
      <c r="ER196" s="139" t="str">
        <f t="shared" si="253"/>
        <v/>
      </c>
      <c r="ES196" s="139" t="str">
        <f t="shared" si="254"/>
        <v/>
      </c>
      <c r="ET196" s="139" t="str">
        <f t="shared" si="255"/>
        <v/>
      </c>
      <c r="EU196" s="139" t="str">
        <f t="shared" si="256"/>
        <v/>
      </c>
      <c r="EV196" s="139" t="str">
        <f t="shared" si="257"/>
        <v/>
      </c>
      <c r="EW196" s="139" t="str">
        <f t="shared" si="258"/>
        <v/>
      </c>
      <c r="EX196" s="139" t="str">
        <f t="shared" si="259"/>
        <v/>
      </c>
      <c r="EY196" s="139" t="str">
        <f t="shared" si="260"/>
        <v/>
      </c>
      <c r="EZ196" s="139" t="str">
        <f t="shared" si="261"/>
        <v/>
      </c>
      <c r="FA196" s="139" t="str">
        <f t="shared" si="262"/>
        <v/>
      </c>
      <c r="FB196" s="139" t="str">
        <f t="shared" si="263"/>
        <v/>
      </c>
      <c r="FC196" s="139" t="str">
        <f t="shared" si="264"/>
        <v/>
      </c>
      <c r="FD196" s="139" t="str">
        <f t="shared" si="265"/>
        <v/>
      </c>
      <c r="FE196" s="139" t="str">
        <f t="shared" si="266"/>
        <v/>
      </c>
      <c r="FF196" s="139" t="str">
        <f t="shared" si="267"/>
        <v/>
      </c>
      <c r="FG196" s="139" t="str">
        <f t="shared" si="268"/>
        <v/>
      </c>
      <c r="FH196" s="139" t="str">
        <f t="shared" si="269"/>
        <v/>
      </c>
      <c r="FI196" s="139" t="str">
        <f t="shared" si="270"/>
        <v/>
      </c>
      <c r="FJ196" s="139" t="str">
        <f t="shared" si="271"/>
        <v/>
      </c>
      <c r="FK196" s="139" t="str">
        <f t="shared" si="272"/>
        <v/>
      </c>
      <c r="FL196" s="139" t="str">
        <f t="shared" si="273"/>
        <v/>
      </c>
      <c r="FM196" s="139" t="str">
        <f t="shared" si="274"/>
        <v/>
      </c>
      <c r="FN196" s="139" t="str">
        <f t="shared" si="275"/>
        <v/>
      </c>
      <c r="FO196" s="139" t="str">
        <f t="shared" si="276"/>
        <v/>
      </c>
      <c r="FP196" s="139" t="str">
        <f t="shared" si="277"/>
        <v/>
      </c>
      <c r="FQ196" s="139" t="str">
        <f t="shared" si="278"/>
        <v/>
      </c>
      <c r="FR196" s="139" t="str">
        <f t="shared" si="279"/>
        <v/>
      </c>
      <c r="FS196" s="139" t="str">
        <f t="shared" si="280"/>
        <v/>
      </c>
      <c r="FT196" s="139" t="str">
        <f t="shared" si="281"/>
        <v/>
      </c>
      <c r="FU196" s="148" t="str">
        <f t="shared" si="282"/>
        <v/>
      </c>
      <c r="FV196" s="149"/>
      <c r="FY196" s="210">
        <v>191</v>
      </c>
      <c r="FZ196">
        <v>23.003316321156959</v>
      </c>
      <c r="GA196">
        <v>36.215322388787435</v>
      </c>
      <c r="GB196">
        <v>26.340230024048626</v>
      </c>
      <c r="GC196">
        <v>12.708042292121979</v>
      </c>
      <c r="GD196">
        <v>5.4791390512202973</v>
      </c>
      <c r="GE196">
        <v>3.4751877103980453</v>
      </c>
      <c r="GF196">
        <v>9.0182515957058378</v>
      </c>
      <c r="GG196">
        <v>12.875366464597324</v>
      </c>
      <c r="GH196">
        <v>13.150286222859839</v>
      </c>
      <c r="GI196">
        <v>27.108701965173864</v>
      </c>
      <c r="GJ196"/>
      <c r="GK196"/>
      <c r="GL196"/>
      <c r="GM196"/>
    </row>
    <row r="197" spans="1:195" s="7" customFormat="1">
      <c r="A197" s="1"/>
      <c r="B197" s="76" t="str">
        <f t="shared" ca="1" si="249"/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52.100888871432154</v>
      </c>
      <c r="AO197">
        <v>47.151957857794173</v>
      </c>
      <c r="AP197">
        <v>375.81000536515785</v>
      </c>
      <c r="AQ197">
        <v>181.3616426879575</v>
      </c>
      <c r="AR197">
        <v>44.805550505002586</v>
      </c>
      <c r="AS197">
        <v>242.79097598020053</v>
      </c>
      <c r="AT197">
        <v>19.243689640164487</v>
      </c>
      <c r="AU197">
        <v>10.833645551467708</v>
      </c>
      <c r="AV197"/>
      <c r="AW197"/>
      <c r="AX197" s="146"/>
      <c r="AY197" s="76" t="str">
        <f t="shared" ca="1" si="172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7"/>
        <v/>
      </c>
      <c r="CL197" s="179" t="str">
        <f t="shared" si="208"/>
        <v/>
      </c>
      <c r="CM197" s="180" t="str">
        <f t="shared" si="20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10"/>
        <v/>
      </c>
      <c r="DB197" s="146"/>
      <c r="DC197" s="76" t="str">
        <f t="shared" ca="1" si="173"/>
        <v/>
      </c>
      <c r="DD197" t="str">
        <f t="shared" si="211"/>
        <v/>
      </c>
      <c r="DE197" s="129" t="str">
        <f t="shared" si="283"/>
        <v/>
      </c>
      <c r="DF197" s="161" t="str">
        <f t="shared" si="284"/>
        <v/>
      </c>
      <c r="DG197" s="161" t="str">
        <f t="shared" si="285"/>
        <v/>
      </c>
      <c r="DH197" s="161" t="str">
        <f t="shared" si="286"/>
        <v/>
      </c>
      <c r="DI197" s="161" t="str">
        <f t="shared" si="287"/>
        <v/>
      </c>
      <c r="DJ197" s="161" t="str">
        <f t="shared" si="288"/>
        <v/>
      </c>
      <c r="DK197" s="161" t="str">
        <f t="shared" si="289"/>
        <v/>
      </c>
      <c r="DL197" s="161" t="str">
        <f t="shared" si="290"/>
        <v/>
      </c>
      <c r="DM197" s="161" t="str">
        <f t="shared" si="291"/>
        <v/>
      </c>
      <c r="DN197" s="161" t="str">
        <f t="shared" si="314"/>
        <v/>
      </c>
      <c r="DO197" s="161" t="str">
        <f t="shared" si="315"/>
        <v/>
      </c>
      <c r="DP197" s="161" t="str">
        <f t="shared" si="316"/>
        <v/>
      </c>
      <c r="DQ197" s="161" t="str">
        <f t="shared" si="317"/>
        <v/>
      </c>
      <c r="DR197" s="161" t="str">
        <f t="shared" si="318"/>
        <v/>
      </c>
      <c r="DS197" s="161" t="str">
        <f t="shared" si="319"/>
        <v/>
      </c>
      <c r="DT197" s="161" t="str">
        <f t="shared" si="320"/>
        <v/>
      </c>
      <c r="DU197" s="161" t="str">
        <f t="shared" si="321"/>
        <v/>
      </c>
      <c r="DV197" s="161" t="str">
        <f t="shared" si="322"/>
        <v/>
      </c>
      <c r="DW197" s="161" t="str">
        <f t="shared" si="323"/>
        <v/>
      </c>
      <c r="DX197" s="161" t="str">
        <f t="shared" si="324"/>
        <v/>
      </c>
      <c r="DY197" s="161" t="str">
        <f t="shared" si="325"/>
        <v/>
      </c>
      <c r="DZ197" s="161" t="str">
        <f t="shared" si="326"/>
        <v/>
      </c>
      <c r="EA197" s="161" t="str">
        <f t="shared" si="327"/>
        <v/>
      </c>
      <c r="EB197" s="161" t="str">
        <f t="shared" si="328"/>
        <v/>
      </c>
      <c r="EC197" s="161" t="str">
        <f t="shared" si="329"/>
        <v/>
      </c>
      <c r="ED197" s="161" t="str">
        <f t="shared" si="330"/>
        <v/>
      </c>
      <c r="EE197" s="161" t="str">
        <f t="shared" si="331"/>
        <v/>
      </c>
      <c r="EF197" s="161" t="str">
        <f t="shared" si="332"/>
        <v/>
      </c>
      <c r="EG197" s="161" t="str">
        <f t="shared" si="333"/>
        <v/>
      </c>
      <c r="EH197" s="161" t="str">
        <f t="shared" si="334"/>
        <v/>
      </c>
      <c r="EI197" s="161" t="str">
        <f t="shared" si="335"/>
        <v/>
      </c>
      <c r="EJ197" s="161" t="str">
        <f t="shared" si="336"/>
        <v/>
      </c>
      <c r="EK197" s="147" t="str">
        <f t="shared" si="250"/>
        <v/>
      </c>
      <c r="EL197" s="149"/>
      <c r="EN197" s="146"/>
      <c r="EO197" s="146"/>
      <c r="EP197" s="139" t="str">
        <f t="shared" si="251"/>
        <v/>
      </c>
      <c r="EQ197" s="139" t="str">
        <f t="shared" si="252"/>
        <v/>
      </c>
      <c r="ER197" s="139" t="str">
        <f t="shared" si="253"/>
        <v/>
      </c>
      <c r="ES197" s="139" t="str">
        <f t="shared" si="254"/>
        <v/>
      </c>
      <c r="ET197" s="139" t="str">
        <f t="shared" si="255"/>
        <v/>
      </c>
      <c r="EU197" s="139" t="str">
        <f t="shared" si="256"/>
        <v/>
      </c>
      <c r="EV197" s="139" t="str">
        <f t="shared" si="257"/>
        <v/>
      </c>
      <c r="EW197" s="139" t="str">
        <f t="shared" si="258"/>
        <v/>
      </c>
      <c r="EX197" s="139" t="str">
        <f t="shared" si="259"/>
        <v/>
      </c>
      <c r="EY197" s="139" t="str">
        <f t="shared" si="260"/>
        <v/>
      </c>
      <c r="EZ197" s="139" t="str">
        <f t="shared" si="261"/>
        <v/>
      </c>
      <c r="FA197" s="139" t="str">
        <f t="shared" si="262"/>
        <v/>
      </c>
      <c r="FB197" s="139" t="str">
        <f t="shared" si="263"/>
        <v/>
      </c>
      <c r="FC197" s="139" t="str">
        <f t="shared" si="264"/>
        <v/>
      </c>
      <c r="FD197" s="139" t="str">
        <f t="shared" si="265"/>
        <v/>
      </c>
      <c r="FE197" s="139" t="str">
        <f t="shared" si="266"/>
        <v/>
      </c>
      <c r="FF197" s="139" t="str">
        <f t="shared" si="267"/>
        <v/>
      </c>
      <c r="FG197" s="139" t="str">
        <f t="shared" si="268"/>
        <v/>
      </c>
      <c r="FH197" s="139" t="str">
        <f t="shared" si="269"/>
        <v/>
      </c>
      <c r="FI197" s="139" t="str">
        <f t="shared" si="270"/>
        <v/>
      </c>
      <c r="FJ197" s="139" t="str">
        <f t="shared" si="271"/>
        <v/>
      </c>
      <c r="FK197" s="139" t="str">
        <f t="shared" si="272"/>
        <v/>
      </c>
      <c r="FL197" s="139" t="str">
        <f t="shared" si="273"/>
        <v/>
      </c>
      <c r="FM197" s="139" t="str">
        <f t="shared" si="274"/>
        <v/>
      </c>
      <c r="FN197" s="139" t="str">
        <f t="shared" si="275"/>
        <v/>
      </c>
      <c r="FO197" s="139" t="str">
        <f t="shared" si="276"/>
        <v/>
      </c>
      <c r="FP197" s="139" t="str">
        <f t="shared" si="277"/>
        <v/>
      </c>
      <c r="FQ197" s="139" t="str">
        <f t="shared" si="278"/>
        <v/>
      </c>
      <c r="FR197" s="139" t="str">
        <f t="shared" si="279"/>
        <v/>
      </c>
      <c r="FS197" s="139" t="str">
        <f t="shared" si="280"/>
        <v/>
      </c>
      <c r="FT197" s="139" t="str">
        <f t="shared" si="281"/>
        <v/>
      </c>
      <c r="FU197" s="148" t="str">
        <f t="shared" si="282"/>
        <v/>
      </c>
      <c r="FV197" s="149"/>
      <c r="FY197" s="210">
        <v>192</v>
      </c>
      <c r="FZ197">
        <v>24.911601716513903</v>
      </c>
      <c r="GA197">
        <v>84.863675945180049</v>
      </c>
      <c r="GB197">
        <v>36.47491763348193</v>
      </c>
      <c r="GC197">
        <v>10.611922614981147</v>
      </c>
      <c r="GD197">
        <v>7.6845590900501239</v>
      </c>
      <c r="GE197">
        <v>9.1835096910257548</v>
      </c>
      <c r="GF197">
        <v>9.416080819332473</v>
      </c>
      <c r="GG197">
        <v>16.032912984097013</v>
      </c>
      <c r="GH197">
        <v>18.592938048968296</v>
      </c>
      <c r="GI197">
        <v>36.226018690255096</v>
      </c>
      <c r="GJ197"/>
      <c r="GK197"/>
      <c r="GL197"/>
      <c r="GM197"/>
    </row>
    <row r="198" spans="1:195" s="7" customFormat="1">
      <c r="A198" s="128"/>
      <c r="B198" s="76" t="str">
        <f t="shared" ca="1" si="249"/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51.586239145845788</v>
      </c>
      <c r="AO198">
        <v>66.155714836526698</v>
      </c>
      <c r="AP198">
        <v>448.38173790364317</v>
      </c>
      <c r="AQ198">
        <v>202.60718256039684</v>
      </c>
      <c r="AR198">
        <v>62.649304250425914</v>
      </c>
      <c r="AS198">
        <v>320.10531854595479</v>
      </c>
      <c r="AT198">
        <v>26.109223711088319</v>
      </c>
      <c r="AU198">
        <v>53.416710744906318</v>
      </c>
      <c r="AV198"/>
      <c r="AW198"/>
      <c r="AX198" s="128"/>
      <c r="AY198" s="76" t="str">
        <f t="shared" ca="1" si="172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7"/>
        <v/>
      </c>
      <c r="CL198" s="179" t="str">
        <f t="shared" si="208"/>
        <v/>
      </c>
      <c r="CM198" s="180" t="str">
        <f t="shared" si="20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10"/>
        <v/>
      </c>
      <c r="DB198" s="128"/>
      <c r="DC198" s="76" t="str">
        <f t="shared" ca="1" si="173"/>
        <v/>
      </c>
      <c r="DD198" t="str">
        <f t="shared" si="211"/>
        <v/>
      </c>
      <c r="DE198" s="129" t="str">
        <f t="shared" ref="DE198:DE207" si="337">IF((DD198)="", "", $C$15)</f>
        <v/>
      </c>
      <c r="DF198" s="161" t="str">
        <f t="shared" si="284"/>
        <v/>
      </c>
      <c r="DG198" s="161" t="str">
        <f t="shared" si="285"/>
        <v/>
      </c>
      <c r="DH198" s="161" t="str">
        <f t="shared" si="286"/>
        <v/>
      </c>
      <c r="DI198" s="161" t="str">
        <f t="shared" si="287"/>
        <v/>
      </c>
      <c r="DJ198" s="161" t="str">
        <f t="shared" si="288"/>
        <v/>
      </c>
      <c r="DK198" s="161" t="str">
        <f t="shared" si="289"/>
        <v/>
      </c>
      <c r="DL198" s="161" t="str">
        <f t="shared" si="290"/>
        <v/>
      </c>
      <c r="DM198" s="161" t="str">
        <f t="shared" si="291"/>
        <v/>
      </c>
      <c r="DN198" s="161" t="str">
        <f t="shared" si="314"/>
        <v/>
      </c>
      <c r="DO198" s="161" t="str">
        <f t="shared" si="315"/>
        <v/>
      </c>
      <c r="DP198" s="161" t="str">
        <f t="shared" si="316"/>
        <v/>
      </c>
      <c r="DQ198" s="161" t="str">
        <f t="shared" si="317"/>
        <v/>
      </c>
      <c r="DR198" s="161" t="str">
        <f t="shared" si="318"/>
        <v/>
      </c>
      <c r="DS198" s="161" t="str">
        <f t="shared" si="319"/>
        <v/>
      </c>
      <c r="DT198" s="161" t="str">
        <f t="shared" si="320"/>
        <v/>
      </c>
      <c r="DU198" s="161" t="str">
        <f t="shared" si="321"/>
        <v/>
      </c>
      <c r="DV198" s="161" t="str">
        <f t="shared" si="322"/>
        <v/>
      </c>
      <c r="DW198" s="161" t="str">
        <f t="shared" si="323"/>
        <v/>
      </c>
      <c r="DX198" s="161" t="str">
        <f t="shared" si="324"/>
        <v/>
      </c>
      <c r="DY198" s="161" t="str">
        <f t="shared" si="325"/>
        <v/>
      </c>
      <c r="DZ198" s="161" t="str">
        <f t="shared" si="326"/>
        <v/>
      </c>
      <c r="EA198" s="161" t="str">
        <f t="shared" si="327"/>
        <v/>
      </c>
      <c r="EB198" s="161" t="str">
        <f t="shared" si="328"/>
        <v/>
      </c>
      <c r="EC198" s="161" t="str">
        <f t="shared" si="329"/>
        <v/>
      </c>
      <c r="ED198" s="161" t="str">
        <f t="shared" si="330"/>
        <v/>
      </c>
      <c r="EE198" s="161" t="str">
        <f t="shared" si="331"/>
        <v/>
      </c>
      <c r="EF198" s="161" t="str">
        <f t="shared" si="332"/>
        <v/>
      </c>
      <c r="EG198" s="161" t="str">
        <f t="shared" si="333"/>
        <v/>
      </c>
      <c r="EH198" s="161" t="str">
        <f t="shared" si="334"/>
        <v/>
      </c>
      <c r="EI198" s="161" t="str">
        <f t="shared" si="335"/>
        <v/>
      </c>
      <c r="EJ198" s="161" t="str">
        <f t="shared" si="336"/>
        <v/>
      </c>
      <c r="EK198" s="147" t="str">
        <f t="shared" si="250"/>
        <v/>
      </c>
      <c r="EL198" s="149"/>
      <c r="EN198" s="146"/>
      <c r="EO198" s="146"/>
      <c r="EP198" s="139" t="str">
        <f t="shared" si="251"/>
        <v/>
      </c>
      <c r="EQ198" s="139" t="str">
        <f t="shared" si="252"/>
        <v/>
      </c>
      <c r="ER198" s="139" t="str">
        <f t="shared" si="253"/>
        <v/>
      </c>
      <c r="ES198" s="139" t="str">
        <f t="shared" si="254"/>
        <v/>
      </c>
      <c r="ET198" s="139" t="str">
        <f t="shared" si="255"/>
        <v/>
      </c>
      <c r="EU198" s="139" t="str">
        <f t="shared" si="256"/>
        <v/>
      </c>
      <c r="EV198" s="139" t="str">
        <f t="shared" si="257"/>
        <v/>
      </c>
      <c r="EW198" s="139" t="str">
        <f t="shared" si="258"/>
        <v/>
      </c>
      <c r="EX198" s="139" t="str">
        <f t="shared" si="259"/>
        <v/>
      </c>
      <c r="EY198" s="139" t="str">
        <f t="shared" si="260"/>
        <v/>
      </c>
      <c r="EZ198" s="139" t="str">
        <f t="shared" si="261"/>
        <v/>
      </c>
      <c r="FA198" s="139" t="str">
        <f t="shared" si="262"/>
        <v/>
      </c>
      <c r="FB198" s="139" t="str">
        <f t="shared" si="263"/>
        <v/>
      </c>
      <c r="FC198" s="139" t="str">
        <f t="shared" si="264"/>
        <v/>
      </c>
      <c r="FD198" s="139" t="str">
        <f t="shared" si="265"/>
        <v/>
      </c>
      <c r="FE198" s="139" t="str">
        <f t="shared" si="266"/>
        <v/>
      </c>
      <c r="FF198" s="139" t="str">
        <f t="shared" si="267"/>
        <v/>
      </c>
      <c r="FG198" s="139" t="str">
        <f t="shared" si="268"/>
        <v/>
      </c>
      <c r="FH198" s="139" t="str">
        <f t="shared" si="269"/>
        <v/>
      </c>
      <c r="FI198" s="139" t="str">
        <f t="shared" si="270"/>
        <v/>
      </c>
      <c r="FJ198" s="139" t="str">
        <f t="shared" si="271"/>
        <v/>
      </c>
      <c r="FK198" s="139" t="str">
        <f t="shared" si="272"/>
        <v/>
      </c>
      <c r="FL198" s="139" t="str">
        <f t="shared" si="273"/>
        <v/>
      </c>
      <c r="FM198" s="139" t="str">
        <f t="shared" si="274"/>
        <v/>
      </c>
      <c r="FN198" s="139" t="str">
        <f t="shared" si="275"/>
        <v/>
      </c>
      <c r="FO198" s="139" t="str">
        <f t="shared" si="276"/>
        <v/>
      </c>
      <c r="FP198" s="139" t="str">
        <f t="shared" si="277"/>
        <v/>
      </c>
      <c r="FQ198" s="139" t="str">
        <f t="shared" si="278"/>
        <v/>
      </c>
      <c r="FR198" s="139" t="str">
        <f t="shared" si="279"/>
        <v/>
      </c>
      <c r="FS198" s="139" t="str">
        <f t="shared" si="280"/>
        <v/>
      </c>
      <c r="FT198" s="139" t="str">
        <f t="shared" si="281"/>
        <v/>
      </c>
      <c r="FU198" s="148" t="str">
        <f t="shared" si="282"/>
        <v/>
      </c>
      <c r="FV198" s="149"/>
      <c r="FY198" s="210">
        <v>193</v>
      </c>
      <c r="FZ198">
        <v>13.577445873867509</v>
      </c>
      <c r="GA198">
        <v>26.652430248109027</v>
      </c>
      <c r="GB198">
        <v>22.22731766291249</v>
      </c>
      <c r="GC198">
        <v>8.5001316944787106</v>
      </c>
      <c r="GD198">
        <v>3.8690142134388545</v>
      </c>
      <c r="GE198">
        <v>3.6996795313579924</v>
      </c>
      <c r="GF198">
        <v>10.850627590095</v>
      </c>
      <c r="GG198">
        <v>17.884770019062799</v>
      </c>
      <c r="GH198">
        <v>18.003193663772439</v>
      </c>
      <c r="GI198">
        <v>22.918502391937121</v>
      </c>
      <c r="GJ198"/>
      <c r="GK198"/>
      <c r="GL198"/>
      <c r="GM198"/>
    </row>
    <row r="199" spans="1:195" s="7" customFormat="1">
      <c r="A199" s="1"/>
      <c r="B199" s="76" t="str">
        <f t="shared" ca="1" si="249"/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55.421272253625133</v>
      </c>
      <c r="AO199">
        <v>78.210529820469219</v>
      </c>
      <c r="AP199">
        <v>549.10845468241837</v>
      </c>
      <c r="AQ199">
        <v>202.64034983121269</v>
      </c>
      <c r="AR199">
        <v>73.812564414910781</v>
      </c>
      <c r="AS199">
        <v>331.33466737160825</v>
      </c>
      <c r="AT199">
        <v>27.001726705913558</v>
      </c>
      <c r="AU199">
        <v>21.497328457731893</v>
      </c>
      <c r="AV199"/>
      <c r="AW199"/>
      <c r="AX199" s="146"/>
      <c r="AY199" s="76" t="str">
        <f t="shared" ca="1" si="172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7"/>
        <v/>
      </c>
      <c r="CL199" s="179" t="str">
        <f t="shared" si="208"/>
        <v/>
      </c>
      <c r="CM199" s="180" t="str">
        <f t="shared" si="20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10"/>
        <v/>
      </c>
      <c r="DB199" s="146"/>
      <c r="DC199" s="76" t="str">
        <f t="shared" ca="1" si="173"/>
        <v/>
      </c>
      <c r="DD199" t="str">
        <f t="shared" si="211"/>
        <v/>
      </c>
      <c r="DE199" s="129" t="str">
        <f t="shared" si="337"/>
        <v/>
      </c>
      <c r="DF199" s="161" t="str">
        <f t="shared" si="284"/>
        <v/>
      </c>
      <c r="DG199" s="161" t="str">
        <f t="shared" si="285"/>
        <v/>
      </c>
      <c r="DH199" s="161" t="str">
        <f t="shared" si="286"/>
        <v/>
      </c>
      <c r="DI199" s="161" t="str">
        <f t="shared" si="287"/>
        <v/>
      </c>
      <c r="DJ199" s="161" t="str">
        <f t="shared" si="288"/>
        <v/>
      </c>
      <c r="DK199" s="161" t="str">
        <f t="shared" si="289"/>
        <v/>
      </c>
      <c r="DL199" s="161" t="str">
        <f t="shared" si="290"/>
        <v/>
      </c>
      <c r="DM199" s="161" t="str">
        <f t="shared" si="291"/>
        <v/>
      </c>
      <c r="DN199" s="161" t="str">
        <f t="shared" si="314"/>
        <v/>
      </c>
      <c r="DO199" s="161" t="str">
        <f t="shared" si="315"/>
        <v/>
      </c>
      <c r="DP199" s="161" t="str">
        <f t="shared" si="316"/>
        <v/>
      </c>
      <c r="DQ199" s="161" t="str">
        <f t="shared" si="317"/>
        <v/>
      </c>
      <c r="DR199" s="161" t="str">
        <f t="shared" si="318"/>
        <v/>
      </c>
      <c r="DS199" s="161" t="str">
        <f t="shared" si="319"/>
        <v/>
      </c>
      <c r="DT199" s="161" t="str">
        <f t="shared" si="320"/>
        <v/>
      </c>
      <c r="DU199" s="161" t="str">
        <f t="shared" si="321"/>
        <v/>
      </c>
      <c r="DV199" s="161" t="str">
        <f t="shared" si="322"/>
        <v/>
      </c>
      <c r="DW199" s="161" t="str">
        <f t="shared" si="323"/>
        <v/>
      </c>
      <c r="DX199" s="161" t="str">
        <f t="shared" si="324"/>
        <v/>
      </c>
      <c r="DY199" s="161" t="str">
        <f t="shared" si="325"/>
        <v/>
      </c>
      <c r="DZ199" s="161" t="str">
        <f t="shared" si="326"/>
        <v/>
      </c>
      <c r="EA199" s="161" t="str">
        <f t="shared" si="327"/>
        <v/>
      </c>
      <c r="EB199" s="161" t="str">
        <f t="shared" si="328"/>
        <v/>
      </c>
      <c r="EC199" s="161" t="str">
        <f t="shared" si="329"/>
        <v/>
      </c>
      <c r="ED199" s="161" t="str">
        <f t="shared" si="330"/>
        <v/>
      </c>
      <c r="EE199" s="161" t="str">
        <f t="shared" si="331"/>
        <v/>
      </c>
      <c r="EF199" s="161" t="str">
        <f t="shared" si="332"/>
        <v/>
      </c>
      <c r="EG199" s="161" t="str">
        <f t="shared" si="333"/>
        <v/>
      </c>
      <c r="EH199" s="161" t="str">
        <f t="shared" si="334"/>
        <v/>
      </c>
      <c r="EI199" s="161" t="str">
        <f t="shared" si="335"/>
        <v/>
      </c>
      <c r="EJ199" s="161" t="str">
        <f t="shared" si="336"/>
        <v/>
      </c>
      <c r="EK199" s="147" t="str">
        <f t="shared" si="250"/>
        <v/>
      </c>
      <c r="EL199" s="149"/>
      <c r="EN199" s="146"/>
      <c r="EO199" s="146"/>
      <c r="EP199" s="139" t="str">
        <f t="shared" si="251"/>
        <v/>
      </c>
      <c r="EQ199" s="139" t="str">
        <f t="shared" si="252"/>
        <v/>
      </c>
      <c r="ER199" s="139" t="str">
        <f t="shared" si="253"/>
        <v/>
      </c>
      <c r="ES199" s="139" t="str">
        <f t="shared" si="254"/>
        <v/>
      </c>
      <c r="ET199" s="139" t="str">
        <f t="shared" si="255"/>
        <v/>
      </c>
      <c r="EU199" s="139" t="str">
        <f t="shared" si="256"/>
        <v/>
      </c>
      <c r="EV199" s="139" t="str">
        <f t="shared" si="257"/>
        <v/>
      </c>
      <c r="EW199" s="139" t="str">
        <f t="shared" si="258"/>
        <v/>
      </c>
      <c r="EX199" s="139" t="str">
        <f t="shared" si="259"/>
        <v/>
      </c>
      <c r="EY199" s="139" t="str">
        <f t="shared" si="260"/>
        <v/>
      </c>
      <c r="EZ199" s="139" t="str">
        <f t="shared" si="261"/>
        <v/>
      </c>
      <c r="FA199" s="139" t="str">
        <f t="shared" si="262"/>
        <v/>
      </c>
      <c r="FB199" s="139" t="str">
        <f t="shared" si="263"/>
        <v/>
      </c>
      <c r="FC199" s="139" t="str">
        <f t="shared" si="264"/>
        <v/>
      </c>
      <c r="FD199" s="139" t="str">
        <f t="shared" si="265"/>
        <v/>
      </c>
      <c r="FE199" s="139" t="str">
        <f t="shared" si="266"/>
        <v/>
      </c>
      <c r="FF199" s="139" t="str">
        <f t="shared" si="267"/>
        <v/>
      </c>
      <c r="FG199" s="139" t="str">
        <f t="shared" si="268"/>
        <v/>
      </c>
      <c r="FH199" s="139" t="str">
        <f t="shared" si="269"/>
        <v/>
      </c>
      <c r="FI199" s="139" t="str">
        <f t="shared" si="270"/>
        <v/>
      </c>
      <c r="FJ199" s="139" t="str">
        <f t="shared" si="271"/>
        <v/>
      </c>
      <c r="FK199" s="139" t="str">
        <f t="shared" si="272"/>
        <v/>
      </c>
      <c r="FL199" s="139" t="str">
        <f t="shared" si="273"/>
        <v/>
      </c>
      <c r="FM199" s="139" t="str">
        <f t="shared" si="274"/>
        <v/>
      </c>
      <c r="FN199" s="139" t="str">
        <f t="shared" si="275"/>
        <v/>
      </c>
      <c r="FO199" s="139" t="str">
        <f t="shared" si="276"/>
        <v/>
      </c>
      <c r="FP199" s="139" t="str">
        <f t="shared" si="277"/>
        <v/>
      </c>
      <c r="FQ199" s="139" t="str">
        <f t="shared" si="278"/>
        <v/>
      </c>
      <c r="FR199" s="139" t="str">
        <f t="shared" si="279"/>
        <v/>
      </c>
      <c r="FS199" s="139" t="str">
        <f t="shared" si="280"/>
        <v/>
      </c>
      <c r="FT199" s="139" t="str">
        <f t="shared" si="281"/>
        <v/>
      </c>
      <c r="FU199" s="148" t="str">
        <f t="shared" si="282"/>
        <v/>
      </c>
      <c r="FV199" s="149"/>
      <c r="FY199" s="210">
        <v>194</v>
      </c>
      <c r="FZ199">
        <v>25.122457885133016</v>
      </c>
      <c r="GA199">
        <v>44.923242571343764</v>
      </c>
      <c r="GB199">
        <v>44.025729642663876</v>
      </c>
      <c r="GC199">
        <v>14.323395779548109</v>
      </c>
      <c r="GD199">
        <v>9.3736931962963244</v>
      </c>
      <c r="GE199">
        <v>11.344280775133999</v>
      </c>
      <c r="GF199">
        <v>9.4165586177658476</v>
      </c>
      <c r="GG199">
        <v>11.851842247870874</v>
      </c>
      <c r="GH199">
        <v>10.874614825944922</v>
      </c>
      <c r="GI199">
        <v>38.448261401716515</v>
      </c>
      <c r="GJ199"/>
      <c r="GK199"/>
      <c r="GL199"/>
      <c r="GM199"/>
    </row>
    <row r="200" spans="1:195" s="7" customFormat="1">
      <c r="A200" s="1"/>
      <c r="B200" s="76" t="str">
        <f t="shared" ca="1" si="249"/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54.76788752908169</v>
      </c>
      <c r="AO200">
        <v>65.34314595759308</v>
      </c>
      <c r="AP200">
        <v>462.47663669863169</v>
      </c>
      <c r="AQ200">
        <v>206.99116258568768</v>
      </c>
      <c r="AR200">
        <v>60.431208653764394</v>
      </c>
      <c r="AS200">
        <v>342.20681931683578</v>
      </c>
      <c r="AT200">
        <v>25.033640226601065</v>
      </c>
      <c r="AU200">
        <v>-20.613168005768223</v>
      </c>
      <c r="AV200"/>
      <c r="AW200"/>
      <c r="AX200" s="146"/>
      <c r="AY200" s="76" t="str">
        <f t="shared" ca="1" si="172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7"/>
        <v/>
      </c>
      <c r="CL200" s="179" t="str">
        <f t="shared" si="208"/>
        <v/>
      </c>
      <c r="CM200" s="180" t="str">
        <f t="shared" si="20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10"/>
        <v/>
      </c>
      <c r="DB200" s="146"/>
      <c r="DC200" s="76" t="str">
        <f t="shared" ca="1" si="173"/>
        <v/>
      </c>
      <c r="DD200" t="str">
        <f t="shared" si="211"/>
        <v/>
      </c>
      <c r="DE200" s="129" t="str">
        <f t="shared" si="337"/>
        <v/>
      </c>
      <c r="DF200" s="161" t="str">
        <f t="shared" si="284"/>
        <v/>
      </c>
      <c r="DG200" s="161" t="str">
        <f t="shared" si="285"/>
        <v/>
      </c>
      <c r="DH200" s="161" t="str">
        <f t="shared" si="286"/>
        <v/>
      </c>
      <c r="DI200" s="161" t="str">
        <f t="shared" si="287"/>
        <v/>
      </c>
      <c r="DJ200" s="161" t="str">
        <f t="shared" si="288"/>
        <v/>
      </c>
      <c r="DK200" s="161" t="str">
        <f t="shared" si="289"/>
        <v/>
      </c>
      <c r="DL200" s="161" t="str">
        <f t="shared" si="290"/>
        <v/>
      </c>
      <c r="DM200" s="161" t="str">
        <f t="shared" si="291"/>
        <v/>
      </c>
      <c r="DN200" s="161" t="str">
        <f t="shared" si="314"/>
        <v/>
      </c>
      <c r="DO200" s="161" t="str">
        <f t="shared" si="315"/>
        <v/>
      </c>
      <c r="DP200" s="161" t="str">
        <f t="shared" si="316"/>
        <v/>
      </c>
      <c r="DQ200" s="161" t="str">
        <f t="shared" si="317"/>
        <v/>
      </c>
      <c r="DR200" s="161" t="str">
        <f t="shared" si="318"/>
        <v/>
      </c>
      <c r="DS200" s="161" t="str">
        <f t="shared" si="319"/>
        <v/>
      </c>
      <c r="DT200" s="161" t="str">
        <f t="shared" si="320"/>
        <v/>
      </c>
      <c r="DU200" s="161" t="str">
        <f t="shared" si="321"/>
        <v/>
      </c>
      <c r="DV200" s="161" t="str">
        <f t="shared" si="322"/>
        <v/>
      </c>
      <c r="DW200" s="161" t="str">
        <f t="shared" si="323"/>
        <v/>
      </c>
      <c r="DX200" s="161" t="str">
        <f t="shared" si="324"/>
        <v/>
      </c>
      <c r="DY200" s="161" t="str">
        <f t="shared" si="325"/>
        <v/>
      </c>
      <c r="DZ200" s="161" t="str">
        <f t="shared" si="326"/>
        <v/>
      </c>
      <c r="EA200" s="161" t="str">
        <f t="shared" si="327"/>
        <v/>
      </c>
      <c r="EB200" s="161" t="str">
        <f t="shared" si="328"/>
        <v/>
      </c>
      <c r="EC200" s="161" t="str">
        <f t="shared" si="329"/>
        <v/>
      </c>
      <c r="ED200" s="161" t="str">
        <f t="shared" si="330"/>
        <v/>
      </c>
      <c r="EE200" s="161" t="str">
        <f t="shared" si="331"/>
        <v/>
      </c>
      <c r="EF200" s="161" t="str">
        <f t="shared" si="332"/>
        <v/>
      </c>
      <c r="EG200" s="161" t="str">
        <f t="shared" si="333"/>
        <v/>
      </c>
      <c r="EH200" s="161" t="str">
        <f t="shared" si="334"/>
        <v/>
      </c>
      <c r="EI200" s="161" t="str">
        <f t="shared" si="335"/>
        <v/>
      </c>
      <c r="EJ200" s="161" t="str">
        <f t="shared" si="336"/>
        <v/>
      </c>
      <c r="EK200" s="147" t="str">
        <f t="shared" si="250"/>
        <v/>
      </c>
      <c r="EL200" s="149"/>
      <c r="EN200" s="146"/>
      <c r="EO200" s="146"/>
      <c r="EP200" s="139" t="str">
        <f t="shared" si="251"/>
        <v/>
      </c>
      <c r="EQ200" s="139" t="str">
        <f t="shared" si="252"/>
        <v/>
      </c>
      <c r="ER200" s="139" t="str">
        <f t="shared" si="253"/>
        <v/>
      </c>
      <c r="ES200" s="139" t="str">
        <f t="shared" si="254"/>
        <v/>
      </c>
      <c r="ET200" s="139" t="str">
        <f t="shared" si="255"/>
        <v/>
      </c>
      <c r="EU200" s="139" t="str">
        <f t="shared" si="256"/>
        <v/>
      </c>
      <c r="EV200" s="139" t="str">
        <f t="shared" si="257"/>
        <v/>
      </c>
      <c r="EW200" s="139" t="str">
        <f t="shared" si="258"/>
        <v/>
      </c>
      <c r="EX200" s="139" t="str">
        <f t="shared" si="259"/>
        <v/>
      </c>
      <c r="EY200" s="139" t="str">
        <f t="shared" si="260"/>
        <v/>
      </c>
      <c r="EZ200" s="139" t="str">
        <f t="shared" si="261"/>
        <v/>
      </c>
      <c r="FA200" s="139" t="str">
        <f t="shared" si="262"/>
        <v/>
      </c>
      <c r="FB200" s="139" t="str">
        <f t="shared" si="263"/>
        <v/>
      </c>
      <c r="FC200" s="139" t="str">
        <f t="shared" si="264"/>
        <v/>
      </c>
      <c r="FD200" s="139" t="str">
        <f t="shared" si="265"/>
        <v/>
      </c>
      <c r="FE200" s="139" t="str">
        <f t="shared" si="266"/>
        <v/>
      </c>
      <c r="FF200" s="139" t="str">
        <f t="shared" si="267"/>
        <v/>
      </c>
      <c r="FG200" s="139" t="str">
        <f t="shared" si="268"/>
        <v/>
      </c>
      <c r="FH200" s="139" t="str">
        <f t="shared" si="269"/>
        <v/>
      </c>
      <c r="FI200" s="139" t="str">
        <f t="shared" si="270"/>
        <v/>
      </c>
      <c r="FJ200" s="139" t="str">
        <f t="shared" si="271"/>
        <v/>
      </c>
      <c r="FK200" s="139" t="str">
        <f t="shared" si="272"/>
        <v/>
      </c>
      <c r="FL200" s="139" t="str">
        <f t="shared" si="273"/>
        <v/>
      </c>
      <c r="FM200" s="139" t="str">
        <f t="shared" si="274"/>
        <v/>
      </c>
      <c r="FN200" s="139" t="str">
        <f t="shared" si="275"/>
        <v/>
      </c>
      <c r="FO200" s="139" t="str">
        <f t="shared" si="276"/>
        <v/>
      </c>
      <c r="FP200" s="139" t="str">
        <f t="shared" si="277"/>
        <v/>
      </c>
      <c r="FQ200" s="139" t="str">
        <f t="shared" si="278"/>
        <v/>
      </c>
      <c r="FR200" s="139" t="str">
        <f t="shared" si="279"/>
        <v/>
      </c>
      <c r="FS200" s="139" t="str">
        <f t="shared" si="280"/>
        <v/>
      </c>
      <c r="FT200" s="139" t="str">
        <f t="shared" si="281"/>
        <v/>
      </c>
      <c r="FU200" s="148" t="str">
        <f t="shared" si="282"/>
        <v/>
      </c>
      <c r="FV200" s="149"/>
      <c r="FY200" s="210">
        <v>195</v>
      </c>
      <c r="FZ200">
        <v>25.183843225470689</v>
      </c>
      <c r="GA200">
        <v>73.41737833916693</v>
      </c>
      <c r="GB200">
        <v>35.19409350557271</v>
      </c>
      <c r="GC200">
        <v>11.130340300935941</v>
      </c>
      <c r="GD200">
        <v>6.4933312204598117</v>
      </c>
      <c r="GE200">
        <v>5.7419357807851492</v>
      </c>
      <c r="GF200">
        <v>10.975729556802415</v>
      </c>
      <c r="GG200">
        <v>23.087108701416394</v>
      </c>
      <c r="GH200">
        <v>22.365040872362279</v>
      </c>
      <c r="GI200">
        <v>36.964985312581824</v>
      </c>
      <c r="GJ200"/>
      <c r="GK200"/>
      <c r="GL200"/>
      <c r="GM200"/>
    </row>
    <row r="201" spans="1:195" s="7" customFormat="1">
      <c r="A201" s="1"/>
      <c r="B201" s="76" t="str">
        <f t="shared" ca="1" si="249"/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38.767282224213787</v>
      </c>
      <c r="AO201">
        <v>52.5605293612998</v>
      </c>
      <c r="AP201">
        <v>379.25826228212753</v>
      </c>
      <c r="AQ201">
        <v>174.57324726079128</v>
      </c>
      <c r="AR201">
        <v>48.686878161122905</v>
      </c>
      <c r="AS201">
        <v>278.03707268477012</v>
      </c>
      <c r="AT201">
        <v>23.689252432323656</v>
      </c>
      <c r="AU201">
        <v>95.404506996098434</v>
      </c>
      <c r="AV201"/>
      <c r="AW201"/>
      <c r="AX201" s="146"/>
      <c r="AY201" s="76" t="str">
        <f t="shared" ca="1" si="172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7"/>
        <v/>
      </c>
      <c r="CL201" s="179" t="str">
        <f t="shared" si="208"/>
        <v/>
      </c>
      <c r="CM201" s="180" t="str">
        <f t="shared" si="20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10"/>
        <v/>
      </c>
      <c r="DB201" s="146"/>
      <c r="DC201" s="76" t="str">
        <f t="shared" ca="1" si="173"/>
        <v/>
      </c>
      <c r="DD201" t="str">
        <f t="shared" si="211"/>
        <v/>
      </c>
      <c r="DE201" s="129" t="str">
        <f t="shared" si="337"/>
        <v/>
      </c>
      <c r="DF201" s="161" t="str">
        <f t="shared" si="284"/>
        <v/>
      </c>
      <c r="DG201" s="161" t="str">
        <f t="shared" si="285"/>
        <v/>
      </c>
      <c r="DH201" s="161" t="str">
        <f t="shared" si="286"/>
        <v/>
      </c>
      <c r="DI201" s="161" t="str">
        <f t="shared" si="287"/>
        <v/>
      </c>
      <c r="DJ201" s="161" t="str">
        <f t="shared" si="288"/>
        <v/>
      </c>
      <c r="DK201" s="161" t="str">
        <f t="shared" si="289"/>
        <v/>
      </c>
      <c r="DL201" s="161" t="str">
        <f t="shared" si="290"/>
        <v/>
      </c>
      <c r="DM201" s="161" t="str">
        <f t="shared" si="291"/>
        <v/>
      </c>
      <c r="DN201" s="161" t="str">
        <f t="shared" si="314"/>
        <v/>
      </c>
      <c r="DO201" s="161" t="str">
        <f t="shared" si="315"/>
        <v/>
      </c>
      <c r="DP201" s="161" t="str">
        <f t="shared" si="316"/>
        <v/>
      </c>
      <c r="DQ201" s="161" t="str">
        <f t="shared" si="317"/>
        <v/>
      </c>
      <c r="DR201" s="161" t="str">
        <f t="shared" si="318"/>
        <v/>
      </c>
      <c r="DS201" s="161" t="str">
        <f t="shared" si="319"/>
        <v/>
      </c>
      <c r="DT201" s="161" t="str">
        <f t="shared" si="320"/>
        <v/>
      </c>
      <c r="DU201" s="161" t="str">
        <f t="shared" si="321"/>
        <v/>
      </c>
      <c r="DV201" s="161" t="str">
        <f t="shared" si="322"/>
        <v/>
      </c>
      <c r="DW201" s="161" t="str">
        <f t="shared" si="323"/>
        <v/>
      </c>
      <c r="DX201" s="161" t="str">
        <f t="shared" si="324"/>
        <v/>
      </c>
      <c r="DY201" s="161" t="str">
        <f t="shared" si="325"/>
        <v/>
      </c>
      <c r="DZ201" s="161" t="str">
        <f t="shared" si="326"/>
        <v/>
      </c>
      <c r="EA201" s="161" t="str">
        <f t="shared" si="327"/>
        <v/>
      </c>
      <c r="EB201" s="161" t="str">
        <f t="shared" si="328"/>
        <v/>
      </c>
      <c r="EC201" s="161" t="str">
        <f t="shared" si="329"/>
        <v/>
      </c>
      <c r="ED201" s="161" t="str">
        <f t="shared" si="330"/>
        <v/>
      </c>
      <c r="EE201" s="161" t="str">
        <f t="shared" si="331"/>
        <v/>
      </c>
      <c r="EF201" s="161" t="str">
        <f t="shared" si="332"/>
        <v/>
      </c>
      <c r="EG201" s="161" t="str">
        <f t="shared" si="333"/>
        <v/>
      </c>
      <c r="EH201" s="161" t="str">
        <f t="shared" si="334"/>
        <v/>
      </c>
      <c r="EI201" s="161" t="str">
        <f t="shared" si="335"/>
        <v/>
      </c>
      <c r="EJ201" s="161" t="str">
        <f t="shared" si="336"/>
        <v/>
      </c>
      <c r="EK201" s="147" t="str">
        <f t="shared" si="250"/>
        <v/>
      </c>
      <c r="EL201" s="149"/>
      <c r="EN201" s="146"/>
      <c r="EO201" s="146"/>
      <c r="EP201" s="139" t="str">
        <f t="shared" si="251"/>
        <v/>
      </c>
      <c r="EQ201" s="139" t="str">
        <f t="shared" si="252"/>
        <v/>
      </c>
      <c r="ER201" s="139" t="str">
        <f t="shared" si="253"/>
        <v/>
      </c>
      <c r="ES201" s="139" t="str">
        <f t="shared" si="254"/>
        <v/>
      </c>
      <c r="ET201" s="139" t="str">
        <f t="shared" si="255"/>
        <v/>
      </c>
      <c r="EU201" s="139" t="str">
        <f t="shared" si="256"/>
        <v/>
      </c>
      <c r="EV201" s="139" t="str">
        <f t="shared" si="257"/>
        <v/>
      </c>
      <c r="EW201" s="139" t="str">
        <f t="shared" si="258"/>
        <v/>
      </c>
      <c r="EX201" s="139" t="str">
        <f t="shared" si="259"/>
        <v/>
      </c>
      <c r="EY201" s="139" t="str">
        <f t="shared" si="260"/>
        <v/>
      </c>
      <c r="EZ201" s="139" t="str">
        <f t="shared" si="261"/>
        <v/>
      </c>
      <c r="FA201" s="139" t="str">
        <f t="shared" si="262"/>
        <v/>
      </c>
      <c r="FB201" s="139" t="str">
        <f t="shared" si="263"/>
        <v/>
      </c>
      <c r="FC201" s="139" t="str">
        <f t="shared" si="264"/>
        <v/>
      </c>
      <c r="FD201" s="139" t="str">
        <f t="shared" si="265"/>
        <v/>
      </c>
      <c r="FE201" s="139" t="str">
        <f t="shared" si="266"/>
        <v/>
      </c>
      <c r="FF201" s="139" t="str">
        <f t="shared" si="267"/>
        <v/>
      </c>
      <c r="FG201" s="139" t="str">
        <f t="shared" si="268"/>
        <v/>
      </c>
      <c r="FH201" s="139" t="str">
        <f t="shared" si="269"/>
        <v/>
      </c>
      <c r="FI201" s="139" t="str">
        <f t="shared" si="270"/>
        <v/>
      </c>
      <c r="FJ201" s="139" t="str">
        <f t="shared" si="271"/>
        <v/>
      </c>
      <c r="FK201" s="139" t="str">
        <f t="shared" si="272"/>
        <v/>
      </c>
      <c r="FL201" s="139" t="str">
        <f t="shared" si="273"/>
        <v/>
      </c>
      <c r="FM201" s="139" t="str">
        <f t="shared" si="274"/>
        <v/>
      </c>
      <c r="FN201" s="139" t="str">
        <f t="shared" si="275"/>
        <v/>
      </c>
      <c r="FO201" s="139" t="str">
        <f t="shared" si="276"/>
        <v/>
      </c>
      <c r="FP201" s="139" t="str">
        <f t="shared" si="277"/>
        <v/>
      </c>
      <c r="FQ201" s="139" t="str">
        <f t="shared" si="278"/>
        <v/>
      </c>
      <c r="FR201" s="139" t="str">
        <f t="shared" si="279"/>
        <v/>
      </c>
      <c r="FS201" s="139" t="str">
        <f t="shared" si="280"/>
        <v/>
      </c>
      <c r="FT201" s="139" t="str">
        <f t="shared" si="281"/>
        <v/>
      </c>
      <c r="FU201" s="148" t="str">
        <f t="shared" si="282"/>
        <v/>
      </c>
      <c r="FV201" s="149"/>
      <c r="FY201" s="210">
        <v>196</v>
      </c>
      <c r="FZ201">
        <v>17.934893202193372</v>
      </c>
      <c r="GA201">
        <v>64.264407934740461</v>
      </c>
      <c r="GB201">
        <v>47.930836690039563</v>
      </c>
      <c r="GC201">
        <v>14.175259783001186</v>
      </c>
      <c r="GD201">
        <v>6.7457645816287215</v>
      </c>
      <c r="GE201">
        <v>5.5238140455437712</v>
      </c>
      <c r="GF201">
        <v>5.9499126074435642</v>
      </c>
      <c r="GG201">
        <v>7.610367271337636</v>
      </c>
      <c r="GH201">
        <v>7.5438530312252423</v>
      </c>
      <c r="GI201">
        <v>35.61320449699226</v>
      </c>
      <c r="GJ201"/>
      <c r="GK201"/>
      <c r="GL201"/>
      <c r="GM201"/>
    </row>
    <row r="202" spans="1:195" s="7" customFormat="1">
      <c r="A202" s="1"/>
      <c r="B202" s="76" t="str">
        <f t="shared" ca="1" si="249"/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52.736921878298759</v>
      </c>
      <c r="AO202">
        <v>63.522872363256418</v>
      </c>
      <c r="AP202">
        <v>465.06001324005001</v>
      </c>
      <c r="AQ202">
        <v>221.5360807851813</v>
      </c>
      <c r="AR202">
        <v>60.151143739381325</v>
      </c>
      <c r="AS202">
        <v>292.67629049242987</v>
      </c>
      <c r="AT202">
        <v>25.384923547476749</v>
      </c>
      <c r="AU202">
        <v>39.694275581164348</v>
      </c>
      <c r="AV202"/>
      <c r="AW202"/>
      <c r="AX202" s="146"/>
      <c r="AY202" s="76" t="str">
        <f t="shared" ca="1" si="172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7"/>
        <v/>
      </c>
      <c r="CL202" s="179" t="str">
        <f t="shared" si="208"/>
        <v/>
      </c>
      <c r="CM202" s="180" t="str">
        <f t="shared" si="20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10"/>
        <v/>
      </c>
      <c r="DB202" s="146"/>
      <c r="DC202" s="76" t="str">
        <f t="shared" ca="1" si="173"/>
        <v/>
      </c>
      <c r="DD202" t="str">
        <f t="shared" si="211"/>
        <v/>
      </c>
      <c r="DE202" s="129" t="str">
        <f t="shared" si="337"/>
        <v/>
      </c>
      <c r="DF202" s="161" t="str">
        <f t="shared" si="284"/>
        <v/>
      </c>
      <c r="DG202" s="161" t="str">
        <f t="shared" si="285"/>
        <v/>
      </c>
      <c r="DH202" s="161" t="str">
        <f t="shared" si="286"/>
        <v/>
      </c>
      <c r="DI202" s="161" t="str">
        <f t="shared" si="287"/>
        <v/>
      </c>
      <c r="DJ202" s="161" t="str">
        <f t="shared" si="288"/>
        <v/>
      </c>
      <c r="DK202" s="161" t="str">
        <f t="shared" si="289"/>
        <v/>
      </c>
      <c r="DL202" s="161" t="str">
        <f t="shared" si="290"/>
        <v/>
      </c>
      <c r="DM202" s="161" t="str">
        <f t="shared" si="291"/>
        <v/>
      </c>
      <c r="DN202" s="161" t="str">
        <f t="shared" si="314"/>
        <v/>
      </c>
      <c r="DO202" s="161" t="str">
        <f t="shared" si="315"/>
        <v/>
      </c>
      <c r="DP202" s="161" t="str">
        <f t="shared" si="316"/>
        <v/>
      </c>
      <c r="DQ202" s="161" t="str">
        <f t="shared" si="317"/>
        <v/>
      </c>
      <c r="DR202" s="161" t="str">
        <f t="shared" si="318"/>
        <v/>
      </c>
      <c r="DS202" s="161" t="str">
        <f t="shared" si="319"/>
        <v/>
      </c>
      <c r="DT202" s="161" t="str">
        <f t="shared" si="320"/>
        <v/>
      </c>
      <c r="DU202" s="161" t="str">
        <f t="shared" si="321"/>
        <v/>
      </c>
      <c r="DV202" s="161" t="str">
        <f t="shared" si="322"/>
        <v/>
      </c>
      <c r="DW202" s="161" t="str">
        <f t="shared" si="323"/>
        <v/>
      </c>
      <c r="DX202" s="161" t="str">
        <f t="shared" si="324"/>
        <v/>
      </c>
      <c r="DY202" s="161" t="str">
        <f t="shared" si="325"/>
        <v/>
      </c>
      <c r="DZ202" s="161" t="str">
        <f t="shared" si="326"/>
        <v/>
      </c>
      <c r="EA202" s="161" t="str">
        <f t="shared" si="327"/>
        <v/>
      </c>
      <c r="EB202" s="161" t="str">
        <f t="shared" si="328"/>
        <v/>
      </c>
      <c r="EC202" s="161" t="str">
        <f t="shared" si="329"/>
        <v/>
      </c>
      <c r="ED202" s="161" t="str">
        <f t="shared" si="330"/>
        <v/>
      </c>
      <c r="EE202" s="161" t="str">
        <f t="shared" si="331"/>
        <v/>
      </c>
      <c r="EF202" s="161" t="str">
        <f t="shared" si="332"/>
        <v/>
      </c>
      <c r="EG202" s="161" t="str">
        <f t="shared" si="333"/>
        <v/>
      </c>
      <c r="EH202" s="161" t="str">
        <f t="shared" si="334"/>
        <v/>
      </c>
      <c r="EI202" s="161" t="str">
        <f t="shared" si="335"/>
        <v/>
      </c>
      <c r="EJ202" s="161" t="str">
        <f t="shared" si="336"/>
        <v/>
      </c>
      <c r="EK202" s="147" t="str">
        <f t="shared" si="250"/>
        <v/>
      </c>
      <c r="EL202" s="149"/>
      <c r="EN202" s="146"/>
      <c r="EO202" s="146"/>
      <c r="EP202" s="139" t="str">
        <f t="shared" si="251"/>
        <v/>
      </c>
      <c r="EQ202" s="139" t="str">
        <f t="shared" si="252"/>
        <v/>
      </c>
      <c r="ER202" s="139" t="str">
        <f t="shared" si="253"/>
        <v/>
      </c>
      <c r="ES202" s="139" t="str">
        <f t="shared" si="254"/>
        <v/>
      </c>
      <c r="ET202" s="139" t="str">
        <f t="shared" si="255"/>
        <v/>
      </c>
      <c r="EU202" s="139" t="str">
        <f t="shared" si="256"/>
        <v/>
      </c>
      <c r="EV202" s="139" t="str">
        <f t="shared" si="257"/>
        <v/>
      </c>
      <c r="EW202" s="139" t="str">
        <f t="shared" si="258"/>
        <v/>
      </c>
      <c r="EX202" s="139" t="str">
        <f t="shared" si="259"/>
        <v/>
      </c>
      <c r="EY202" s="139" t="str">
        <f t="shared" si="260"/>
        <v/>
      </c>
      <c r="EZ202" s="139" t="str">
        <f t="shared" si="261"/>
        <v/>
      </c>
      <c r="FA202" s="139" t="str">
        <f t="shared" si="262"/>
        <v/>
      </c>
      <c r="FB202" s="139" t="str">
        <f t="shared" si="263"/>
        <v/>
      </c>
      <c r="FC202" s="139" t="str">
        <f t="shared" si="264"/>
        <v/>
      </c>
      <c r="FD202" s="139" t="str">
        <f t="shared" si="265"/>
        <v/>
      </c>
      <c r="FE202" s="139" t="str">
        <f t="shared" si="266"/>
        <v/>
      </c>
      <c r="FF202" s="139" t="str">
        <f t="shared" si="267"/>
        <v/>
      </c>
      <c r="FG202" s="139" t="str">
        <f t="shared" si="268"/>
        <v/>
      </c>
      <c r="FH202" s="139" t="str">
        <f t="shared" si="269"/>
        <v/>
      </c>
      <c r="FI202" s="139" t="str">
        <f t="shared" si="270"/>
        <v/>
      </c>
      <c r="FJ202" s="139" t="str">
        <f t="shared" si="271"/>
        <v/>
      </c>
      <c r="FK202" s="139" t="str">
        <f t="shared" si="272"/>
        <v/>
      </c>
      <c r="FL202" s="139" t="str">
        <f t="shared" si="273"/>
        <v/>
      </c>
      <c r="FM202" s="139" t="str">
        <f t="shared" si="274"/>
        <v/>
      </c>
      <c r="FN202" s="139" t="str">
        <f t="shared" si="275"/>
        <v/>
      </c>
      <c r="FO202" s="139" t="str">
        <f t="shared" si="276"/>
        <v/>
      </c>
      <c r="FP202" s="139" t="str">
        <f t="shared" si="277"/>
        <v/>
      </c>
      <c r="FQ202" s="139" t="str">
        <f t="shared" si="278"/>
        <v/>
      </c>
      <c r="FR202" s="139" t="str">
        <f t="shared" si="279"/>
        <v/>
      </c>
      <c r="FS202" s="139" t="str">
        <f t="shared" si="280"/>
        <v/>
      </c>
      <c r="FT202" s="139" t="str">
        <f t="shared" si="281"/>
        <v/>
      </c>
      <c r="FU202" s="148" t="str">
        <f t="shared" si="282"/>
        <v/>
      </c>
      <c r="FV202" s="149"/>
      <c r="FY202" s="210">
        <v>197</v>
      </c>
      <c r="FZ202">
        <v>32.151587103784927</v>
      </c>
      <c r="GA202">
        <v>58.934915884839185</v>
      </c>
      <c r="GB202">
        <v>31.836642411358881</v>
      </c>
      <c r="GC202">
        <v>10.46195322619163</v>
      </c>
      <c r="GD202">
        <v>9.5798851989148766</v>
      </c>
      <c r="GE202">
        <v>14.425247407695062</v>
      </c>
      <c r="GF202">
        <v>8.1256957423916933</v>
      </c>
      <c r="GG202">
        <v>16.688446924184536</v>
      </c>
      <c r="GH202">
        <v>20.309066183070797</v>
      </c>
      <c r="GI202">
        <v>34.390435421338267</v>
      </c>
      <c r="GJ202"/>
      <c r="GK202"/>
      <c r="GL202"/>
      <c r="GM202"/>
    </row>
    <row r="203" spans="1:195" s="7" customFormat="1">
      <c r="A203" s="1"/>
      <c r="B203" s="76" t="str">
        <f t="shared" ca="1" si="249"/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49.796942684107329</v>
      </c>
      <c r="AO203">
        <v>60.917029010209397</v>
      </c>
      <c r="AP203">
        <v>433.42709834363319</v>
      </c>
      <c r="AQ203">
        <v>211.38207298016448</v>
      </c>
      <c r="AR203">
        <v>57.650565118003904</v>
      </c>
      <c r="AS203">
        <v>468.21605219705373</v>
      </c>
      <c r="AT203">
        <v>24.681004225596165</v>
      </c>
      <c r="AU203">
        <v>19.371641158763612</v>
      </c>
      <c r="AV203"/>
      <c r="AW203"/>
      <c r="AX203" s="146"/>
      <c r="AY203" s="76" t="str">
        <f t="shared" ca="1" si="172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7"/>
        <v/>
      </c>
      <c r="CL203" s="179" t="str">
        <f t="shared" si="208"/>
        <v/>
      </c>
      <c r="CM203" s="180" t="str">
        <f t="shared" si="20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10"/>
        <v/>
      </c>
      <c r="DB203" s="146"/>
      <c r="DC203" s="76" t="str">
        <f t="shared" ca="1" si="173"/>
        <v/>
      </c>
      <c r="DD203" t="str">
        <f t="shared" si="211"/>
        <v/>
      </c>
      <c r="DE203" s="129" t="str">
        <f t="shared" si="337"/>
        <v/>
      </c>
      <c r="DF203" s="161" t="str">
        <f t="shared" si="284"/>
        <v/>
      </c>
      <c r="DG203" s="161" t="str">
        <f t="shared" si="285"/>
        <v/>
      </c>
      <c r="DH203" s="161" t="str">
        <f t="shared" si="286"/>
        <v/>
      </c>
      <c r="DI203" s="161" t="str">
        <f t="shared" si="287"/>
        <v/>
      </c>
      <c r="DJ203" s="161" t="str">
        <f t="shared" si="288"/>
        <v/>
      </c>
      <c r="DK203" s="161" t="str">
        <f t="shared" si="289"/>
        <v/>
      </c>
      <c r="DL203" s="161" t="str">
        <f t="shared" si="290"/>
        <v/>
      </c>
      <c r="DM203" s="161" t="str">
        <f t="shared" si="291"/>
        <v/>
      </c>
      <c r="DN203" s="161" t="str">
        <f t="shared" si="314"/>
        <v/>
      </c>
      <c r="DO203" s="161" t="str">
        <f t="shared" si="315"/>
        <v/>
      </c>
      <c r="DP203" s="161" t="str">
        <f t="shared" si="316"/>
        <v/>
      </c>
      <c r="DQ203" s="161" t="str">
        <f t="shared" si="317"/>
        <v/>
      </c>
      <c r="DR203" s="161" t="str">
        <f t="shared" si="318"/>
        <v/>
      </c>
      <c r="DS203" s="161" t="str">
        <f t="shared" si="319"/>
        <v/>
      </c>
      <c r="DT203" s="161" t="str">
        <f t="shared" si="320"/>
        <v/>
      </c>
      <c r="DU203" s="161" t="str">
        <f t="shared" si="321"/>
        <v/>
      </c>
      <c r="DV203" s="161" t="str">
        <f t="shared" si="322"/>
        <v/>
      </c>
      <c r="DW203" s="161" t="str">
        <f t="shared" si="323"/>
        <v/>
      </c>
      <c r="DX203" s="161" t="str">
        <f t="shared" si="324"/>
        <v/>
      </c>
      <c r="DY203" s="161" t="str">
        <f t="shared" si="325"/>
        <v/>
      </c>
      <c r="DZ203" s="161" t="str">
        <f t="shared" si="326"/>
        <v/>
      </c>
      <c r="EA203" s="161" t="str">
        <f t="shared" si="327"/>
        <v/>
      </c>
      <c r="EB203" s="161" t="str">
        <f t="shared" si="328"/>
        <v/>
      </c>
      <c r="EC203" s="161" t="str">
        <f t="shared" si="329"/>
        <v/>
      </c>
      <c r="ED203" s="161" t="str">
        <f t="shared" si="330"/>
        <v/>
      </c>
      <c r="EE203" s="161" t="str">
        <f t="shared" si="331"/>
        <v/>
      </c>
      <c r="EF203" s="161" t="str">
        <f t="shared" si="332"/>
        <v/>
      </c>
      <c r="EG203" s="161" t="str">
        <f t="shared" si="333"/>
        <v/>
      </c>
      <c r="EH203" s="161" t="str">
        <f t="shared" si="334"/>
        <v/>
      </c>
      <c r="EI203" s="161" t="str">
        <f t="shared" si="335"/>
        <v/>
      </c>
      <c r="EJ203" s="161" t="str">
        <f t="shared" si="336"/>
        <v/>
      </c>
      <c r="EK203" s="147" t="str">
        <f t="shared" si="250"/>
        <v/>
      </c>
      <c r="EL203" s="149"/>
      <c r="EN203" s="146"/>
      <c r="EO203" s="146"/>
      <c r="EP203" s="139" t="str">
        <f t="shared" si="251"/>
        <v/>
      </c>
      <c r="EQ203" s="139" t="str">
        <f t="shared" si="252"/>
        <v/>
      </c>
      <c r="ER203" s="139" t="str">
        <f t="shared" si="253"/>
        <v/>
      </c>
      <c r="ES203" s="139" t="str">
        <f t="shared" si="254"/>
        <v/>
      </c>
      <c r="ET203" s="139" t="str">
        <f t="shared" si="255"/>
        <v/>
      </c>
      <c r="EU203" s="139" t="str">
        <f t="shared" si="256"/>
        <v/>
      </c>
      <c r="EV203" s="139" t="str">
        <f t="shared" si="257"/>
        <v/>
      </c>
      <c r="EW203" s="139" t="str">
        <f t="shared" si="258"/>
        <v/>
      </c>
      <c r="EX203" s="139" t="str">
        <f t="shared" si="259"/>
        <v/>
      </c>
      <c r="EY203" s="139" t="str">
        <f t="shared" si="260"/>
        <v/>
      </c>
      <c r="EZ203" s="139" t="str">
        <f t="shared" si="261"/>
        <v/>
      </c>
      <c r="FA203" s="139" t="str">
        <f t="shared" si="262"/>
        <v/>
      </c>
      <c r="FB203" s="139" t="str">
        <f t="shared" si="263"/>
        <v/>
      </c>
      <c r="FC203" s="139" t="str">
        <f t="shared" si="264"/>
        <v/>
      </c>
      <c r="FD203" s="139" t="str">
        <f t="shared" si="265"/>
        <v/>
      </c>
      <c r="FE203" s="139" t="str">
        <f t="shared" si="266"/>
        <v/>
      </c>
      <c r="FF203" s="139" t="str">
        <f t="shared" si="267"/>
        <v/>
      </c>
      <c r="FG203" s="139" t="str">
        <f t="shared" si="268"/>
        <v/>
      </c>
      <c r="FH203" s="139" t="str">
        <f t="shared" si="269"/>
        <v/>
      </c>
      <c r="FI203" s="139" t="str">
        <f t="shared" si="270"/>
        <v/>
      </c>
      <c r="FJ203" s="139" t="str">
        <f t="shared" si="271"/>
        <v/>
      </c>
      <c r="FK203" s="139" t="str">
        <f t="shared" si="272"/>
        <v/>
      </c>
      <c r="FL203" s="139" t="str">
        <f t="shared" si="273"/>
        <v/>
      </c>
      <c r="FM203" s="139" t="str">
        <f t="shared" si="274"/>
        <v/>
      </c>
      <c r="FN203" s="139" t="str">
        <f t="shared" si="275"/>
        <v/>
      </c>
      <c r="FO203" s="139" t="str">
        <f t="shared" si="276"/>
        <v/>
      </c>
      <c r="FP203" s="139" t="str">
        <f t="shared" si="277"/>
        <v/>
      </c>
      <c r="FQ203" s="139" t="str">
        <f t="shared" si="278"/>
        <v/>
      </c>
      <c r="FR203" s="139" t="str">
        <f t="shared" si="279"/>
        <v/>
      </c>
      <c r="FS203" s="139" t="str">
        <f t="shared" si="280"/>
        <v/>
      </c>
      <c r="FT203" s="139" t="str">
        <f t="shared" si="281"/>
        <v/>
      </c>
      <c r="FU203" s="148" t="str">
        <f t="shared" si="282"/>
        <v/>
      </c>
      <c r="FV203" s="149"/>
      <c r="FY203" s="210">
        <v>198</v>
      </c>
      <c r="FZ203">
        <v>20.468761235510421</v>
      </c>
      <c r="GA203">
        <v>60.629662579639245</v>
      </c>
      <c r="GB203">
        <v>35.574278238115895</v>
      </c>
      <c r="GC203">
        <v>8.9272915716115833</v>
      </c>
      <c r="GD203">
        <v>6.2802439822204539</v>
      </c>
      <c r="GE203">
        <v>8.7233660761921499</v>
      </c>
      <c r="GF203">
        <v>13.565279020039915</v>
      </c>
      <c r="GG203">
        <v>28.073852563816398</v>
      </c>
      <c r="GH203">
        <v>21.991632440514781</v>
      </c>
      <c r="GI203">
        <v>37.573510794762903</v>
      </c>
      <c r="GJ203"/>
      <c r="GK203"/>
      <c r="GL203"/>
      <c r="GM203"/>
    </row>
    <row r="204" spans="1:195" s="7" customFormat="1">
      <c r="A204" s="1"/>
      <c r="B204" s="76" t="str">
        <f t="shared" ca="1" si="249"/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58.475297121395045</v>
      </c>
      <c r="AO204">
        <v>67.792866248708307</v>
      </c>
      <c r="AP204">
        <v>522.98547056877192</v>
      </c>
      <c r="AQ204">
        <v>223.88847190453245</v>
      </c>
      <c r="AR204">
        <v>63.074968785905419</v>
      </c>
      <c r="AS204">
        <v>311.76947350338253</v>
      </c>
      <c r="AT204">
        <v>24.356445824410837</v>
      </c>
      <c r="AU204">
        <v>13.073958745190016</v>
      </c>
      <c r="AV204"/>
      <c r="AW204"/>
      <c r="AX204" s="146"/>
      <c r="AY204" s="76" t="str">
        <f t="shared" ca="1" si="172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7"/>
        <v/>
      </c>
      <c r="CL204" s="179" t="str">
        <f t="shared" si="208"/>
        <v/>
      </c>
      <c r="CM204" s="180" t="str">
        <f t="shared" si="20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10"/>
        <v/>
      </c>
      <c r="DB204" s="146"/>
      <c r="DC204" s="76" t="str">
        <f t="shared" ca="1" si="173"/>
        <v/>
      </c>
      <c r="DD204" t="str">
        <f t="shared" si="211"/>
        <v/>
      </c>
      <c r="DE204" s="129" t="str">
        <f t="shared" si="337"/>
        <v/>
      </c>
      <c r="DF204" s="161" t="str">
        <f t="shared" si="284"/>
        <v/>
      </c>
      <c r="DG204" s="161" t="str">
        <f t="shared" si="285"/>
        <v/>
      </c>
      <c r="DH204" s="161" t="str">
        <f t="shared" si="286"/>
        <v/>
      </c>
      <c r="DI204" s="161" t="str">
        <f t="shared" si="287"/>
        <v/>
      </c>
      <c r="DJ204" s="161" t="str">
        <f t="shared" si="288"/>
        <v/>
      </c>
      <c r="DK204" s="161" t="str">
        <f t="shared" si="289"/>
        <v/>
      </c>
      <c r="DL204" s="161" t="str">
        <f t="shared" si="290"/>
        <v/>
      </c>
      <c r="DM204" s="161" t="str">
        <f t="shared" si="291"/>
        <v/>
      </c>
      <c r="DN204" s="161" t="str">
        <f t="shared" si="314"/>
        <v/>
      </c>
      <c r="DO204" s="161" t="str">
        <f t="shared" si="315"/>
        <v/>
      </c>
      <c r="DP204" s="161" t="str">
        <f t="shared" si="316"/>
        <v/>
      </c>
      <c r="DQ204" s="161" t="str">
        <f t="shared" si="317"/>
        <v/>
      </c>
      <c r="DR204" s="161" t="str">
        <f t="shared" si="318"/>
        <v/>
      </c>
      <c r="DS204" s="161" t="str">
        <f t="shared" si="319"/>
        <v/>
      </c>
      <c r="DT204" s="161" t="str">
        <f t="shared" si="320"/>
        <v/>
      </c>
      <c r="DU204" s="161" t="str">
        <f t="shared" si="321"/>
        <v/>
      </c>
      <c r="DV204" s="161" t="str">
        <f t="shared" si="322"/>
        <v/>
      </c>
      <c r="DW204" s="161" t="str">
        <f t="shared" si="323"/>
        <v/>
      </c>
      <c r="DX204" s="161" t="str">
        <f t="shared" si="324"/>
        <v/>
      </c>
      <c r="DY204" s="161" t="str">
        <f t="shared" si="325"/>
        <v/>
      </c>
      <c r="DZ204" s="161" t="str">
        <f t="shared" si="326"/>
        <v/>
      </c>
      <c r="EA204" s="161" t="str">
        <f t="shared" si="327"/>
        <v/>
      </c>
      <c r="EB204" s="161" t="str">
        <f t="shared" si="328"/>
        <v/>
      </c>
      <c r="EC204" s="161" t="str">
        <f t="shared" si="329"/>
        <v/>
      </c>
      <c r="ED204" s="161" t="str">
        <f t="shared" si="330"/>
        <v/>
      </c>
      <c r="EE204" s="161" t="str">
        <f t="shared" si="331"/>
        <v/>
      </c>
      <c r="EF204" s="161" t="str">
        <f t="shared" si="332"/>
        <v/>
      </c>
      <c r="EG204" s="161" t="str">
        <f t="shared" si="333"/>
        <v/>
      </c>
      <c r="EH204" s="161" t="str">
        <f t="shared" si="334"/>
        <v/>
      </c>
      <c r="EI204" s="161" t="str">
        <f t="shared" si="335"/>
        <v/>
      </c>
      <c r="EJ204" s="161" t="str">
        <f t="shared" si="336"/>
        <v/>
      </c>
      <c r="EK204" s="147" t="str">
        <f t="shared" si="250"/>
        <v/>
      </c>
      <c r="EL204" s="149"/>
      <c r="EN204" s="146"/>
      <c r="EO204" s="146"/>
      <c r="EP204" s="139" t="str">
        <f t="shared" si="251"/>
        <v/>
      </c>
      <c r="EQ204" s="139" t="str">
        <f t="shared" si="252"/>
        <v/>
      </c>
      <c r="ER204" s="139" t="str">
        <f t="shared" si="253"/>
        <v/>
      </c>
      <c r="ES204" s="139" t="str">
        <f t="shared" si="254"/>
        <v/>
      </c>
      <c r="ET204" s="139" t="str">
        <f t="shared" si="255"/>
        <v/>
      </c>
      <c r="EU204" s="139" t="str">
        <f t="shared" si="256"/>
        <v/>
      </c>
      <c r="EV204" s="139" t="str">
        <f t="shared" si="257"/>
        <v/>
      </c>
      <c r="EW204" s="139" t="str">
        <f t="shared" si="258"/>
        <v/>
      </c>
      <c r="EX204" s="139" t="str">
        <f t="shared" si="259"/>
        <v/>
      </c>
      <c r="EY204" s="139" t="str">
        <f t="shared" si="260"/>
        <v/>
      </c>
      <c r="EZ204" s="139" t="str">
        <f t="shared" si="261"/>
        <v/>
      </c>
      <c r="FA204" s="139" t="str">
        <f t="shared" si="262"/>
        <v/>
      </c>
      <c r="FB204" s="139" t="str">
        <f t="shared" si="263"/>
        <v/>
      </c>
      <c r="FC204" s="139" t="str">
        <f t="shared" si="264"/>
        <v/>
      </c>
      <c r="FD204" s="139" t="str">
        <f t="shared" si="265"/>
        <v/>
      </c>
      <c r="FE204" s="139" t="str">
        <f t="shared" si="266"/>
        <v/>
      </c>
      <c r="FF204" s="139" t="str">
        <f t="shared" si="267"/>
        <v/>
      </c>
      <c r="FG204" s="139" t="str">
        <f t="shared" si="268"/>
        <v/>
      </c>
      <c r="FH204" s="139" t="str">
        <f t="shared" si="269"/>
        <v/>
      </c>
      <c r="FI204" s="139" t="str">
        <f t="shared" si="270"/>
        <v/>
      </c>
      <c r="FJ204" s="139" t="str">
        <f t="shared" si="271"/>
        <v/>
      </c>
      <c r="FK204" s="139" t="str">
        <f t="shared" si="272"/>
        <v/>
      </c>
      <c r="FL204" s="139" t="str">
        <f t="shared" si="273"/>
        <v/>
      </c>
      <c r="FM204" s="139" t="str">
        <f t="shared" si="274"/>
        <v/>
      </c>
      <c r="FN204" s="139" t="str">
        <f t="shared" si="275"/>
        <v/>
      </c>
      <c r="FO204" s="139" t="str">
        <f t="shared" si="276"/>
        <v/>
      </c>
      <c r="FP204" s="139" t="str">
        <f t="shared" si="277"/>
        <v/>
      </c>
      <c r="FQ204" s="139" t="str">
        <f t="shared" si="278"/>
        <v/>
      </c>
      <c r="FR204" s="139" t="str">
        <f t="shared" si="279"/>
        <v/>
      </c>
      <c r="FS204" s="139" t="str">
        <f t="shared" si="280"/>
        <v/>
      </c>
      <c r="FT204" s="139" t="str">
        <f t="shared" si="281"/>
        <v/>
      </c>
      <c r="FU204" s="148" t="str">
        <f t="shared" si="282"/>
        <v/>
      </c>
      <c r="FV204" s="149"/>
      <c r="FY204" s="210">
        <v>199</v>
      </c>
      <c r="FZ204">
        <v>20.652829311916001</v>
      </c>
      <c r="GA204">
        <v>62.363255547376028</v>
      </c>
      <c r="GB204">
        <v>22.82335287046298</v>
      </c>
      <c r="GC204">
        <v>8.6837312403674236</v>
      </c>
      <c r="GD204">
        <v>7.8045100248429504</v>
      </c>
      <c r="GE204">
        <v>8.6763509850852962</v>
      </c>
      <c r="GF204">
        <v>7.6537342422411667</v>
      </c>
      <c r="GG204">
        <v>17.806058598003521</v>
      </c>
      <c r="GH204">
        <v>26.677785884333261</v>
      </c>
      <c r="GI204">
        <v>30.187402556692824</v>
      </c>
      <c r="GJ204"/>
      <c r="GK204"/>
      <c r="GL204"/>
      <c r="GM204"/>
    </row>
    <row r="205" spans="1:195" s="7" customFormat="1">
      <c r="A205" s="1"/>
      <c r="B205" s="76" t="str">
        <f t="shared" ca="1" si="249"/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49.600809043431141</v>
      </c>
      <c r="AO205">
        <v>68.664272085947886</v>
      </c>
      <c r="AP205">
        <v>562.61724116904588</v>
      </c>
      <c r="AQ205">
        <v>237.24660846866209</v>
      </c>
      <c r="AR205">
        <v>66.217757011121051</v>
      </c>
      <c r="AS205">
        <v>344.29318029621459</v>
      </c>
      <c r="AT205">
        <v>32.199761800096731</v>
      </c>
      <c r="AU205">
        <v>107.43430586454605</v>
      </c>
      <c r="AV205"/>
      <c r="AW205"/>
      <c r="AX205" s="146"/>
      <c r="AY205" s="76" t="str">
        <f t="shared" ca="1" si="172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7"/>
        <v/>
      </c>
      <c r="CL205" s="179" t="str">
        <f t="shared" si="208"/>
        <v/>
      </c>
      <c r="CM205" s="180" t="str">
        <f t="shared" si="20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10"/>
        <v/>
      </c>
      <c r="DB205" s="146"/>
      <c r="DC205" s="76" t="str">
        <f t="shared" ca="1" si="173"/>
        <v/>
      </c>
      <c r="DD205" t="str">
        <f t="shared" si="211"/>
        <v/>
      </c>
      <c r="DE205" s="129" t="str">
        <f t="shared" si="337"/>
        <v/>
      </c>
      <c r="DF205" s="161" t="str">
        <f t="shared" si="284"/>
        <v/>
      </c>
      <c r="DG205" s="161" t="str">
        <f t="shared" si="285"/>
        <v/>
      </c>
      <c r="DH205" s="161" t="str">
        <f t="shared" si="286"/>
        <v/>
      </c>
      <c r="DI205" s="161" t="str">
        <f t="shared" si="287"/>
        <v/>
      </c>
      <c r="DJ205" s="161" t="str">
        <f t="shared" si="288"/>
        <v/>
      </c>
      <c r="DK205" s="161" t="str">
        <f t="shared" si="289"/>
        <v/>
      </c>
      <c r="DL205" s="161" t="str">
        <f t="shared" si="290"/>
        <v/>
      </c>
      <c r="DM205" s="161" t="str">
        <f t="shared" si="291"/>
        <v/>
      </c>
      <c r="DN205" s="161" t="str">
        <f t="shared" si="314"/>
        <v/>
      </c>
      <c r="DO205" s="161" t="str">
        <f t="shared" si="315"/>
        <v/>
      </c>
      <c r="DP205" s="161" t="str">
        <f t="shared" si="316"/>
        <v/>
      </c>
      <c r="DQ205" s="161" t="str">
        <f t="shared" si="317"/>
        <v/>
      </c>
      <c r="DR205" s="161" t="str">
        <f t="shared" si="318"/>
        <v/>
      </c>
      <c r="DS205" s="161" t="str">
        <f t="shared" si="319"/>
        <v/>
      </c>
      <c r="DT205" s="161" t="str">
        <f t="shared" si="320"/>
        <v/>
      </c>
      <c r="DU205" s="161" t="str">
        <f t="shared" si="321"/>
        <v/>
      </c>
      <c r="DV205" s="161" t="str">
        <f t="shared" si="322"/>
        <v/>
      </c>
      <c r="DW205" s="161" t="str">
        <f t="shared" si="323"/>
        <v/>
      </c>
      <c r="DX205" s="161" t="str">
        <f t="shared" si="324"/>
        <v/>
      </c>
      <c r="DY205" s="161" t="str">
        <f t="shared" si="325"/>
        <v/>
      </c>
      <c r="DZ205" s="161" t="str">
        <f t="shared" si="326"/>
        <v/>
      </c>
      <c r="EA205" s="161" t="str">
        <f t="shared" si="327"/>
        <v/>
      </c>
      <c r="EB205" s="161" t="str">
        <f t="shared" si="328"/>
        <v/>
      </c>
      <c r="EC205" s="161" t="str">
        <f t="shared" si="329"/>
        <v/>
      </c>
      <c r="ED205" s="161" t="str">
        <f t="shared" si="330"/>
        <v/>
      </c>
      <c r="EE205" s="161" t="str">
        <f t="shared" si="331"/>
        <v/>
      </c>
      <c r="EF205" s="161" t="str">
        <f t="shared" si="332"/>
        <v/>
      </c>
      <c r="EG205" s="161" t="str">
        <f t="shared" si="333"/>
        <v/>
      </c>
      <c r="EH205" s="161" t="str">
        <f t="shared" si="334"/>
        <v/>
      </c>
      <c r="EI205" s="161" t="str">
        <f t="shared" si="335"/>
        <v/>
      </c>
      <c r="EJ205" s="161" t="str">
        <f t="shared" si="336"/>
        <v/>
      </c>
      <c r="EK205" s="147" t="str">
        <f t="shared" si="250"/>
        <v/>
      </c>
      <c r="EL205" s="149"/>
      <c r="EN205" s="146"/>
      <c r="EO205" s="146"/>
      <c r="EP205" s="139" t="str">
        <f t="shared" si="251"/>
        <v/>
      </c>
      <c r="EQ205" s="139" t="str">
        <f t="shared" si="252"/>
        <v/>
      </c>
      <c r="ER205" s="139" t="str">
        <f t="shared" si="253"/>
        <v/>
      </c>
      <c r="ES205" s="139" t="str">
        <f t="shared" si="254"/>
        <v/>
      </c>
      <c r="ET205" s="139" t="str">
        <f t="shared" si="255"/>
        <v/>
      </c>
      <c r="EU205" s="139" t="str">
        <f t="shared" si="256"/>
        <v/>
      </c>
      <c r="EV205" s="139" t="str">
        <f t="shared" si="257"/>
        <v/>
      </c>
      <c r="EW205" s="139" t="str">
        <f t="shared" si="258"/>
        <v/>
      </c>
      <c r="EX205" s="139" t="str">
        <f t="shared" si="259"/>
        <v/>
      </c>
      <c r="EY205" s="139" t="str">
        <f t="shared" si="260"/>
        <v/>
      </c>
      <c r="EZ205" s="139" t="str">
        <f t="shared" si="261"/>
        <v/>
      </c>
      <c r="FA205" s="139" t="str">
        <f t="shared" si="262"/>
        <v/>
      </c>
      <c r="FB205" s="139" t="str">
        <f t="shared" si="263"/>
        <v/>
      </c>
      <c r="FC205" s="139" t="str">
        <f t="shared" si="264"/>
        <v/>
      </c>
      <c r="FD205" s="139" t="str">
        <f t="shared" si="265"/>
        <v/>
      </c>
      <c r="FE205" s="139" t="str">
        <f t="shared" si="266"/>
        <v/>
      </c>
      <c r="FF205" s="139" t="str">
        <f t="shared" si="267"/>
        <v/>
      </c>
      <c r="FG205" s="139" t="str">
        <f t="shared" si="268"/>
        <v/>
      </c>
      <c r="FH205" s="139" t="str">
        <f t="shared" si="269"/>
        <v/>
      </c>
      <c r="FI205" s="139" t="str">
        <f t="shared" si="270"/>
        <v/>
      </c>
      <c r="FJ205" s="139" t="str">
        <f t="shared" si="271"/>
        <v/>
      </c>
      <c r="FK205" s="139" t="str">
        <f t="shared" si="272"/>
        <v/>
      </c>
      <c r="FL205" s="139" t="str">
        <f t="shared" si="273"/>
        <v/>
      </c>
      <c r="FM205" s="139" t="str">
        <f t="shared" si="274"/>
        <v/>
      </c>
      <c r="FN205" s="139" t="str">
        <f t="shared" si="275"/>
        <v/>
      </c>
      <c r="FO205" s="139" t="str">
        <f t="shared" si="276"/>
        <v/>
      </c>
      <c r="FP205" s="139" t="str">
        <f t="shared" si="277"/>
        <v/>
      </c>
      <c r="FQ205" s="139" t="str">
        <f t="shared" si="278"/>
        <v/>
      </c>
      <c r="FR205" s="139" t="str">
        <f t="shared" si="279"/>
        <v/>
      </c>
      <c r="FS205" s="139" t="str">
        <f t="shared" si="280"/>
        <v/>
      </c>
      <c r="FT205" s="139" t="str">
        <f t="shared" si="281"/>
        <v/>
      </c>
      <c r="FU205" s="148" t="str">
        <f t="shared" si="282"/>
        <v/>
      </c>
      <c r="FV205" s="149"/>
      <c r="FY205" s="210">
        <v>200</v>
      </c>
      <c r="FZ205">
        <v>26.21965621698542</v>
      </c>
      <c r="GA205">
        <v>58.052609583837466</v>
      </c>
      <c r="GB205">
        <v>44.355874966075696</v>
      </c>
      <c r="GC205">
        <v>12.226739388053959</v>
      </c>
      <c r="GD205">
        <v>6.4392699636739152</v>
      </c>
      <c r="GE205">
        <v>6.6749848447010223</v>
      </c>
      <c r="GF205">
        <v>7.0759933275529141</v>
      </c>
      <c r="GG205">
        <v>8.9453836994554372</v>
      </c>
      <c r="GH205">
        <v>7.5028107074585559</v>
      </c>
      <c r="GI205">
        <v>32.470192296620318</v>
      </c>
      <c r="GJ205"/>
      <c r="GK205"/>
      <c r="GL205"/>
      <c r="GM205"/>
    </row>
    <row r="206" spans="1:195" s="7" customFormat="1">
      <c r="A206" s="1"/>
      <c r="B206" s="76" t="str">
        <f t="shared" ca="1" si="249"/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52.900460796734819</v>
      </c>
      <c r="AO206">
        <v>68.666962372241969</v>
      </c>
      <c r="AP206">
        <v>517.53151055763556</v>
      </c>
      <c r="AQ206">
        <v>201.68954295192529</v>
      </c>
      <c r="AR206">
        <v>65.648004324744079</v>
      </c>
      <c r="AS206">
        <v>408.78103600991142</v>
      </c>
      <c r="AT206">
        <v>28.126174416040499</v>
      </c>
      <c r="AU206">
        <v>-18.005002664646895</v>
      </c>
      <c r="AV206"/>
      <c r="AW206"/>
      <c r="AX206" s="146"/>
      <c r="AY206" s="76" t="str">
        <f t="shared" ca="1" si="172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7"/>
        <v/>
      </c>
      <c r="CL206" s="179" t="str">
        <f t="shared" si="208"/>
        <v/>
      </c>
      <c r="CM206" s="180" t="str">
        <f t="shared" si="20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10"/>
        <v/>
      </c>
      <c r="DB206" s="146"/>
      <c r="DC206" s="76" t="str">
        <f t="shared" ca="1" si="173"/>
        <v/>
      </c>
      <c r="DD206" t="str">
        <f t="shared" si="211"/>
        <v/>
      </c>
      <c r="DE206" s="129" t="str">
        <f t="shared" si="337"/>
        <v/>
      </c>
      <c r="DF206" s="161" t="str">
        <f t="shared" si="284"/>
        <v/>
      </c>
      <c r="DG206" s="161" t="str">
        <f t="shared" si="285"/>
        <v/>
      </c>
      <c r="DH206" s="161" t="str">
        <f t="shared" si="286"/>
        <v/>
      </c>
      <c r="DI206" s="161" t="str">
        <f t="shared" si="287"/>
        <v/>
      </c>
      <c r="DJ206" s="161" t="str">
        <f t="shared" si="288"/>
        <v/>
      </c>
      <c r="DK206" s="161" t="str">
        <f t="shared" si="289"/>
        <v/>
      </c>
      <c r="DL206" s="161" t="str">
        <f t="shared" si="290"/>
        <v/>
      </c>
      <c r="DM206" s="161" t="str">
        <f t="shared" si="291"/>
        <v/>
      </c>
      <c r="DN206" s="161" t="str">
        <f t="shared" si="314"/>
        <v/>
      </c>
      <c r="DO206" s="161" t="str">
        <f t="shared" si="315"/>
        <v/>
      </c>
      <c r="DP206" s="161" t="str">
        <f t="shared" si="316"/>
        <v/>
      </c>
      <c r="DQ206" s="161" t="str">
        <f t="shared" si="317"/>
        <v/>
      </c>
      <c r="DR206" s="161" t="str">
        <f t="shared" si="318"/>
        <v/>
      </c>
      <c r="DS206" s="161" t="str">
        <f t="shared" si="319"/>
        <v/>
      </c>
      <c r="DT206" s="161" t="str">
        <f t="shared" si="320"/>
        <v/>
      </c>
      <c r="DU206" s="161" t="str">
        <f t="shared" si="321"/>
        <v/>
      </c>
      <c r="DV206" s="161" t="str">
        <f t="shared" si="322"/>
        <v/>
      </c>
      <c r="DW206" s="161" t="str">
        <f t="shared" si="323"/>
        <v/>
      </c>
      <c r="DX206" s="161" t="str">
        <f t="shared" si="324"/>
        <v/>
      </c>
      <c r="DY206" s="161" t="str">
        <f t="shared" si="325"/>
        <v/>
      </c>
      <c r="DZ206" s="161" t="str">
        <f t="shared" si="326"/>
        <v/>
      </c>
      <c r="EA206" s="161" t="str">
        <f t="shared" si="327"/>
        <v/>
      </c>
      <c r="EB206" s="161" t="str">
        <f t="shared" si="328"/>
        <v/>
      </c>
      <c r="EC206" s="161" t="str">
        <f t="shared" si="329"/>
        <v/>
      </c>
      <c r="ED206" s="161" t="str">
        <f t="shared" si="330"/>
        <v/>
      </c>
      <c r="EE206" s="161" t="str">
        <f t="shared" si="331"/>
        <v/>
      </c>
      <c r="EF206" s="161" t="str">
        <f t="shared" si="332"/>
        <v/>
      </c>
      <c r="EG206" s="161" t="str">
        <f t="shared" si="333"/>
        <v/>
      </c>
      <c r="EH206" s="161" t="str">
        <f t="shared" si="334"/>
        <v/>
      </c>
      <c r="EI206" s="161" t="str">
        <f t="shared" si="335"/>
        <v/>
      </c>
      <c r="EJ206" s="161" t="str">
        <f t="shared" si="336"/>
        <v/>
      </c>
      <c r="EK206" s="147" t="str">
        <f t="shared" si="250"/>
        <v/>
      </c>
      <c r="EL206" s="149"/>
      <c r="EN206" s="146"/>
      <c r="EO206" s="146"/>
      <c r="EP206" s="139" t="str">
        <f t="shared" si="251"/>
        <v/>
      </c>
      <c r="EQ206" s="139" t="str">
        <f t="shared" si="252"/>
        <v/>
      </c>
      <c r="ER206" s="139" t="str">
        <f t="shared" si="253"/>
        <v/>
      </c>
      <c r="ES206" s="139" t="str">
        <f t="shared" si="254"/>
        <v/>
      </c>
      <c r="ET206" s="139" t="str">
        <f t="shared" si="255"/>
        <v/>
      </c>
      <c r="EU206" s="139" t="str">
        <f t="shared" si="256"/>
        <v/>
      </c>
      <c r="EV206" s="139" t="str">
        <f t="shared" si="257"/>
        <v/>
      </c>
      <c r="EW206" s="139" t="str">
        <f t="shared" si="258"/>
        <v/>
      </c>
      <c r="EX206" s="139" t="str">
        <f t="shared" si="259"/>
        <v/>
      </c>
      <c r="EY206" s="139" t="str">
        <f t="shared" si="260"/>
        <v/>
      </c>
      <c r="EZ206" s="139" t="str">
        <f t="shared" si="261"/>
        <v/>
      </c>
      <c r="FA206" s="139" t="str">
        <f t="shared" si="262"/>
        <v/>
      </c>
      <c r="FB206" s="139" t="str">
        <f t="shared" si="263"/>
        <v/>
      </c>
      <c r="FC206" s="139" t="str">
        <f t="shared" si="264"/>
        <v/>
      </c>
      <c r="FD206" s="139" t="str">
        <f t="shared" si="265"/>
        <v/>
      </c>
      <c r="FE206" s="139" t="str">
        <f t="shared" si="266"/>
        <v/>
      </c>
      <c r="FF206" s="139" t="str">
        <f t="shared" si="267"/>
        <v/>
      </c>
      <c r="FG206" s="139" t="str">
        <f t="shared" si="268"/>
        <v/>
      </c>
      <c r="FH206" s="139" t="str">
        <f t="shared" si="269"/>
        <v/>
      </c>
      <c r="FI206" s="139" t="str">
        <f t="shared" si="270"/>
        <v/>
      </c>
      <c r="FJ206" s="139" t="str">
        <f t="shared" si="271"/>
        <v/>
      </c>
      <c r="FK206" s="139" t="str">
        <f t="shared" si="272"/>
        <v/>
      </c>
      <c r="FL206" s="139" t="str">
        <f t="shared" si="273"/>
        <v/>
      </c>
      <c r="FM206" s="139" t="str">
        <f t="shared" si="274"/>
        <v/>
      </c>
      <c r="FN206" s="139" t="str">
        <f t="shared" si="275"/>
        <v/>
      </c>
      <c r="FO206" s="139" t="str">
        <f t="shared" si="276"/>
        <v/>
      </c>
      <c r="FP206" s="139" t="str">
        <f t="shared" si="277"/>
        <v/>
      </c>
      <c r="FQ206" s="139" t="str">
        <f t="shared" si="278"/>
        <v/>
      </c>
      <c r="FR206" s="139" t="str">
        <f t="shared" si="279"/>
        <v/>
      </c>
      <c r="FS206" s="139" t="str">
        <f t="shared" si="280"/>
        <v/>
      </c>
      <c r="FT206" s="139" t="str">
        <f t="shared" si="281"/>
        <v/>
      </c>
      <c r="FU206" s="148" t="str">
        <f t="shared" si="282"/>
        <v/>
      </c>
      <c r="FV206" s="149"/>
      <c r="FY206" s="210">
        <v>201</v>
      </c>
      <c r="FZ206">
        <v>17.94095492406522</v>
      </c>
      <c r="GA206">
        <v>51.99514390797053</v>
      </c>
      <c r="GB206">
        <v>24.311841477021513</v>
      </c>
      <c r="GC206">
        <v>7.4590247838900101</v>
      </c>
      <c r="GD206">
        <v>4.8290492849727409</v>
      </c>
      <c r="GE206">
        <v>5.1179973566363133</v>
      </c>
      <c r="GF206">
        <v>10.953680262532282</v>
      </c>
      <c r="GG206">
        <v>14.489383191885793</v>
      </c>
      <c r="GH206">
        <v>7.3597883370180668</v>
      </c>
      <c r="GI206">
        <v>22.992606377203938</v>
      </c>
      <c r="GJ206"/>
      <c r="GK206"/>
      <c r="GL206"/>
      <c r="GM206"/>
    </row>
    <row r="207" spans="1:195" s="7" customFormat="1">
      <c r="A207" s="1"/>
      <c r="B207" s="76" t="str">
        <f t="shared" ca="1" si="249"/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59.5122535673014</v>
      </c>
      <c r="AO207">
        <v>54.06407577779985</v>
      </c>
      <c r="AP207">
        <v>344.09281397850111</v>
      </c>
      <c r="AQ207">
        <v>169.37384403607024</v>
      </c>
      <c r="AR207">
        <v>51.056224032848981</v>
      </c>
      <c r="AS207">
        <v>300.04459555331124</v>
      </c>
      <c r="AT207">
        <v>19.071434030803093</v>
      </c>
      <c r="AU207">
        <v>-34.541857373040187</v>
      </c>
      <c r="AV207"/>
      <c r="AW207"/>
      <c r="AX207" s="146"/>
      <c r="AY207" s="76" t="str">
        <f t="shared" ca="1" si="172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7"/>
        <v/>
      </c>
      <c r="CL207" s="179" t="str">
        <f t="shared" si="208"/>
        <v/>
      </c>
      <c r="CM207" s="180" t="str">
        <f t="shared" si="20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10"/>
        <v/>
      </c>
      <c r="DB207" s="146"/>
      <c r="DC207" s="76" t="str">
        <f t="shared" ca="1" si="173"/>
        <v/>
      </c>
      <c r="DD207" t="str">
        <f t="shared" si="211"/>
        <v/>
      </c>
      <c r="DE207" s="129" t="str">
        <f t="shared" si="337"/>
        <v/>
      </c>
      <c r="DF207" s="161" t="str">
        <f t="shared" si="284"/>
        <v/>
      </c>
      <c r="DG207" s="161" t="str">
        <f t="shared" si="285"/>
        <v/>
      </c>
      <c r="DH207" s="161" t="str">
        <f t="shared" si="286"/>
        <v/>
      </c>
      <c r="DI207" s="161" t="str">
        <f t="shared" si="287"/>
        <v/>
      </c>
      <c r="DJ207" s="161" t="str">
        <f t="shared" si="288"/>
        <v/>
      </c>
      <c r="DK207" s="161" t="str">
        <f t="shared" si="289"/>
        <v/>
      </c>
      <c r="DL207" s="161" t="str">
        <f t="shared" si="290"/>
        <v/>
      </c>
      <c r="DM207" s="161" t="str">
        <f t="shared" si="291"/>
        <v/>
      </c>
      <c r="DN207" s="161" t="str">
        <f t="shared" si="314"/>
        <v/>
      </c>
      <c r="DO207" s="161" t="str">
        <f t="shared" ref="DO207:EJ207" si="338">IF($AZ207="", "", (BK207*$CW207)/$CZ207)</f>
        <v/>
      </c>
      <c r="DP207" s="161" t="str">
        <f t="shared" si="338"/>
        <v/>
      </c>
      <c r="DQ207" s="161" t="str">
        <f t="shared" si="338"/>
        <v/>
      </c>
      <c r="DR207" s="161" t="str">
        <f t="shared" si="338"/>
        <v/>
      </c>
      <c r="DS207" s="161" t="str">
        <f t="shared" si="338"/>
        <v/>
      </c>
      <c r="DT207" s="161" t="str">
        <f t="shared" si="338"/>
        <v/>
      </c>
      <c r="DU207" s="161" t="str">
        <f t="shared" si="338"/>
        <v/>
      </c>
      <c r="DV207" s="161" t="str">
        <f t="shared" si="338"/>
        <v/>
      </c>
      <c r="DW207" s="161" t="str">
        <f t="shared" si="338"/>
        <v/>
      </c>
      <c r="DX207" s="161" t="str">
        <f t="shared" si="338"/>
        <v/>
      </c>
      <c r="DY207" s="161" t="str">
        <f t="shared" si="338"/>
        <v/>
      </c>
      <c r="DZ207" s="161" t="str">
        <f t="shared" si="338"/>
        <v/>
      </c>
      <c r="EA207" s="161" t="str">
        <f t="shared" si="338"/>
        <v/>
      </c>
      <c r="EB207" s="161" t="str">
        <f t="shared" si="338"/>
        <v/>
      </c>
      <c r="EC207" s="161" t="str">
        <f t="shared" si="338"/>
        <v/>
      </c>
      <c r="ED207" s="161" t="str">
        <f t="shared" si="338"/>
        <v/>
      </c>
      <c r="EE207" s="161" t="str">
        <f t="shared" si="338"/>
        <v/>
      </c>
      <c r="EF207" s="161" t="str">
        <f t="shared" si="338"/>
        <v/>
      </c>
      <c r="EG207" s="161" t="str">
        <f t="shared" si="338"/>
        <v/>
      </c>
      <c r="EH207" s="161" t="str">
        <f t="shared" si="338"/>
        <v/>
      </c>
      <c r="EI207" s="161" t="str">
        <f t="shared" si="338"/>
        <v/>
      </c>
      <c r="EJ207" s="161" t="str">
        <f t="shared" si="338"/>
        <v/>
      </c>
      <c r="EK207" s="147" t="str">
        <f t="shared" si="250"/>
        <v/>
      </c>
      <c r="EL207" s="149"/>
      <c r="EN207" s="146"/>
      <c r="EO207" s="146"/>
      <c r="EP207" s="139" t="str">
        <f t="shared" si="251"/>
        <v/>
      </c>
      <c r="EQ207" s="139" t="str">
        <f t="shared" si="252"/>
        <v/>
      </c>
      <c r="ER207" s="139" t="str">
        <f t="shared" si="253"/>
        <v/>
      </c>
      <c r="ES207" s="139" t="str">
        <f t="shared" si="254"/>
        <v/>
      </c>
      <c r="ET207" s="139" t="str">
        <f t="shared" si="255"/>
        <v/>
      </c>
      <c r="EU207" s="139" t="str">
        <f t="shared" si="256"/>
        <v/>
      </c>
      <c r="EV207" s="139" t="str">
        <f t="shared" si="257"/>
        <v/>
      </c>
      <c r="EW207" s="139" t="str">
        <f t="shared" si="258"/>
        <v/>
      </c>
      <c r="EX207" s="139" t="str">
        <f t="shared" si="259"/>
        <v/>
      </c>
      <c r="EY207" s="139" t="str">
        <f t="shared" si="260"/>
        <v/>
      </c>
      <c r="EZ207" s="139" t="str">
        <f t="shared" si="261"/>
        <v/>
      </c>
      <c r="FA207" s="139" t="str">
        <f t="shared" si="262"/>
        <v/>
      </c>
      <c r="FB207" s="139" t="str">
        <f t="shared" si="263"/>
        <v/>
      </c>
      <c r="FC207" s="139" t="str">
        <f t="shared" si="264"/>
        <v/>
      </c>
      <c r="FD207" s="139" t="str">
        <f t="shared" si="265"/>
        <v/>
      </c>
      <c r="FE207" s="139" t="str">
        <f t="shared" si="266"/>
        <v/>
      </c>
      <c r="FF207" s="139" t="str">
        <f t="shared" si="267"/>
        <v/>
      </c>
      <c r="FG207" s="139" t="str">
        <f t="shared" si="268"/>
        <v/>
      </c>
      <c r="FH207" s="139" t="str">
        <f t="shared" si="269"/>
        <v/>
      </c>
      <c r="FI207" s="139" t="str">
        <f t="shared" si="270"/>
        <v/>
      </c>
      <c r="FJ207" s="139" t="str">
        <f t="shared" si="271"/>
        <v/>
      </c>
      <c r="FK207" s="139" t="str">
        <f t="shared" si="272"/>
        <v/>
      </c>
      <c r="FL207" s="139" t="str">
        <f t="shared" si="273"/>
        <v/>
      </c>
      <c r="FM207" s="139" t="str">
        <f t="shared" si="274"/>
        <v/>
      </c>
      <c r="FN207" s="139" t="str">
        <f t="shared" si="275"/>
        <v/>
      </c>
      <c r="FO207" s="139" t="str">
        <f t="shared" si="276"/>
        <v/>
      </c>
      <c r="FP207" s="139" t="str">
        <f t="shared" si="277"/>
        <v/>
      </c>
      <c r="FQ207" s="139" t="str">
        <f t="shared" si="278"/>
        <v/>
      </c>
      <c r="FR207" s="139" t="str">
        <f t="shared" si="279"/>
        <v/>
      </c>
      <c r="FS207" s="139" t="str">
        <f t="shared" si="280"/>
        <v/>
      </c>
      <c r="FT207" s="139" t="str">
        <f t="shared" si="281"/>
        <v/>
      </c>
      <c r="FU207" s="148" t="str">
        <f t="shared" si="282"/>
        <v/>
      </c>
      <c r="FV207" s="149"/>
      <c r="FY207" s="210">
        <v>202</v>
      </c>
      <c r="FZ207">
        <v>21.844773854771216</v>
      </c>
      <c r="GA207">
        <v>63.404324111888627</v>
      </c>
      <c r="GB207">
        <v>54.556264215720233</v>
      </c>
      <c r="GC207">
        <v>12.8097296506561</v>
      </c>
      <c r="GD207">
        <v>6.0080171064600094</v>
      </c>
      <c r="GE207">
        <v>7.7866233229376123</v>
      </c>
      <c r="GF207">
        <v>8.7314449005979586</v>
      </c>
      <c r="GG207">
        <v>11.635344222400533</v>
      </c>
      <c r="GH207">
        <v>14.145836158957119</v>
      </c>
      <c r="GI207">
        <v>39.796416871761359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60.404173464821042</v>
      </c>
      <c r="AO208">
        <v>78.764997225593405</v>
      </c>
      <c r="AP208">
        <v>624.6664747892288</v>
      </c>
      <c r="AQ208">
        <v>253.99813723388581</v>
      </c>
      <c r="AR208">
        <v>74.410731005894931</v>
      </c>
      <c r="AS208">
        <v>404.85176933041146</v>
      </c>
      <c r="AT208">
        <v>31.969489704108597</v>
      </c>
      <c r="AU208">
        <v>18.106530172889521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20.793920347514025</v>
      </c>
      <c r="GA208">
        <v>51.454770903955009</v>
      </c>
      <c r="GB208">
        <v>44.011103052776484</v>
      </c>
      <c r="GC208">
        <v>12.068745016691642</v>
      </c>
      <c r="GD208">
        <v>5.7367766132807736</v>
      </c>
      <c r="GE208">
        <v>5.8347387376498485</v>
      </c>
      <c r="GF208">
        <v>6.8452011946878653</v>
      </c>
      <c r="GG208">
        <v>10.560250893676027</v>
      </c>
      <c r="GH208">
        <v>15.564891385793425</v>
      </c>
      <c r="GI208">
        <v>37.273523313285466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36.86034890131377</v>
      </c>
      <c r="AO209">
        <v>48.028739283194092</v>
      </c>
      <c r="AP209">
        <v>372.77798705490073</v>
      </c>
      <c r="AQ209">
        <v>148.18311288903195</v>
      </c>
      <c r="AR209">
        <v>44.614130292366937</v>
      </c>
      <c r="AS209">
        <v>217.40065476353561</v>
      </c>
      <c r="AT209">
        <v>20.405922094457079</v>
      </c>
      <c r="AU209">
        <v>3.0684452118991525</v>
      </c>
      <c r="AV209"/>
      <c r="AW209"/>
      <c r="FY209" s="210">
        <v>204</v>
      </c>
      <c r="FZ209">
        <v>21.120254095376009</v>
      </c>
      <c r="GA209">
        <v>59.031512397390635</v>
      </c>
      <c r="GB209">
        <v>33.816130019805222</v>
      </c>
      <c r="GC209">
        <v>11.414880995091115</v>
      </c>
      <c r="GD209">
        <v>6.4907020986164259</v>
      </c>
      <c r="GE209">
        <v>5.7170920260810965</v>
      </c>
      <c r="GF209">
        <v>10.852405171619905</v>
      </c>
      <c r="GG209">
        <v>22.849114532189997</v>
      </c>
      <c r="GH209">
        <v>25.151922359649699</v>
      </c>
      <c r="GI209">
        <v>37.095852212708088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63.381893543061565</v>
      </c>
      <c r="AO210">
        <v>81.790970408983895</v>
      </c>
      <c r="AP210">
        <v>559.17405069719916</v>
      </c>
      <c r="AQ210">
        <v>219.70407694341725</v>
      </c>
      <c r="AR210">
        <v>76.656337985948284</v>
      </c>
      <c r="AS210">
        <v>667.41717521126895</v>
      </c>
      <c r="AT210">
        <v>29.255112219552021</v>
      </c>
      <c r="AU210">
        <v>-3.5817337384723942</v>
      </c>
      <c r="AV210"/>
      <c r="AW210"/>
      <c r="FY210" s="210">
        <v>205</v>
      </c>
      <c r="FZ210">
        <v>23.395709050908884</v>
      </c>
      <c r="GA210">
        <v>40.787806361382479</v>
      </c>
      <c r="GB210">
        <v>33.936026399456075</v>
      </c>
      <c r="GC210">
        <v>11.129760747417116</v>
      </c>
      <c r="GD210">
        <v>4.2306831191143655</v>
      </c>
      <c r="GE210">
        <v>3.5812391187407804</v>
      </c>
      <c r="GF210">
        <v>6.6978186515821907</v>
      </c>
      <c r="GG210">
        <v>16.842294636746207</v>
      </c>
      <c r="GH210">
        <v>28.658828997680946</v>
      </c>
      <c r="GI210">
        <v>30.328820484704526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55.248857474873127</v>
      </c>
      <c r="AO211">
        <v>78.249347098391837</v>
      </c>
      <c r="AP211">
        <v>570.11120885475646</v>
      </c>
      <c r="AQ211">
        <v>250.55378681555413</v>
      </c>
      <c r="AR211">
        <v>73.289777681041173</v>
      </c>
      <c r="AS211">
        <v>423.00334389306698</v>
      </c>
      <c r="AT211">
        <v>28.777272471405492</v>
      </c>
      <c r="AU211">
        <v>2.7727698033015793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25.615178202918234</v>
      </c>
      <c r="GA211">
        <v>56.481933598352313</v>
      </c>
      <c r="GB211">
        <v>29.67032525574831</v>
      </c>
      <c r="GC211">
        <v>10.447334199566594</v>
      </c>
      <c r="GD211">
        <v>7.2597431434073059</v>
      </c>
      <c r="GE211">
        <v>9.0309168180380723</v>
      </c>
      <c r="GF211">
        <v>13.453570543401973</v>
      </c>
      <c r="GG211">
        <v>24.340721284568676</v>
      </c>
      <c r="GH211">
        <v>32.068789551019563</v>
      </c>
      <c r="GI211">
        <v>36.764289249286016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58.823824833069104</v>
      </c>
      <c r="AO212">
        <v>77.303382733599932</v>
      </c>
      <c r="AP212">
        <v>523.78450619466309</v>
      </c>
      <c r="AQ212">
        <v>213.29231364414576</v>
      </c>
      <c r="AR212">
        <v>70.467513056258383</v>
      </c>
      <c r="AS212">
        <v>439.93574405962755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" si="339">AVERAGE(DF88:DF97)</f>
        <v>2.083333333333333</v>
      </c>
      <c r="DG212" s="182">
        <f t="shared" ref="DG212:EI212" si="340">AVERAGE(DG88:DG97)</f>
        <v>4.1666666666666661</v>
      </c>
      <c r="DH212" s="182">
        <f t="shared" si="340"/>
        <v>0</v>
      </c>
      <c r="DI212" s="182">
        <f t="shared" si="340"/>
        <v>1.0416666666666665</v>
      </c>
      <c r="DJ212" s="182">
        <f t="shared" si="340"/>
        <v>3.125</v>
      </c>
      <c r="DK212" s="182">
        <f t="shared" si="340"/>
        <v>2.083333333333333</v>
      </c>
      <c r="DL212" s="182">
        <f t="shared" si="340"/>
        <v>3.125</v>
      </c>
      <c r="DM212" s="182">
        <f t="shared" si="340"/>
        <v>0</v>
      </c>
      <c r="DN212" s="182">
        <f t="shared" si="340"/>
        <v>2.083333333333333</v>
      </c>
      <c r="DO212" s="182">
        <f t="shared" si="340"/>
        <v>1.0416666666666665</v>
      </c>
      <c r="DP212" s="182">
        <f t="shared" si="340"/>
        <v>0</v>
      </c>
      <c r="DQ212" s="182">
        <f t="shared" si="340"/>
        <v>0</v>
      </c>
      <c r="DR212" s="182">
        <f t="shared" si="340"/>
        <v>0</v>
      </c>
      <c r="DS212" s="182">
        <f t="shared" si="340"/>
        <v>0</v>
      </c>
      <c r="DT212" s="182">
        <f t="shared" si="340"/>
        <v>0</v>
      </c>
      <c r="DU212" s="182">
        <f t="shared" si="340"/>
        <v>0</v>
      </c>
      <c r="DV212" s="182">
        <f t="shared" si="340"/>
        <v>0</v>
      </c>
      <c r="DW212" s="182">
        <f t="shared" si="340"/>
        <v>1.0416666666666665</v>
      </c>
      <c r="DX212" s="182">
        <f t="shared" si="340"/>
        <v>0</v>
      </c>
      <c r="DY212" s="182">
        <f t="shared" si="340"/>
        <v>0</v>
      </c>
      <c r="DZ212" s="182">
        <f t="shared" si="340"/>
        <v>0</v>
      </c>
      <c r="EA212" s="182">
        <f t="shared" si="340"/>
        <v>0</v>
      </c>
      <c r="EB212" s="182">
        <f t="shared" si="340"/>
        <v>0</v>
      </c>
      <c r="EC212" s="182">
        <f t="shared" si="340"/>
        <v>0</v>
      </c>
      <c r="ED212" s="182">
        <f t="shared" si="340"/>
        <v>0</v>
      </c>
      <c r="EE212" s="182">
        <f t="shared" si="340"/>
        <v>0</v>
      </c>
      <c r="EF212" s="182">
        <f t="shared" si="340"/>
        <v>0</v>
      </c>
      <c r="EG212" s="182">
        <f t="shared" si="340"/>
        <v>0</v>
      </c>
      <c r="EH212" s="182">
        <f t="shared" si="340"/>
        <v>0</v>
      </c>
      <c r="EI212" s="182">
        <f t="shared" si="340"/>
        <v>0</v>
      </c>
      <c r="EJ212" s="182">
        <f t="shared" ref="EJ212" si="341">AVERAGE(EJ88:EJ97)</f>
        <v>0</v>
      </c>
      <c r="FY212" s="210">
        <v>207</v>
      </c>
      <c r="FZ212">
        <v>15.169686476618255</v>
      </c>
      <c r="GA212">
        <v>44.884441237056556</v>
      </c>
      <c r="GB212">
        <v>37.061556541611665</v>
      </c>
      <c r="GC212">
        <v>9.0541806358435704</v>
      </c>
      <c r="GD212">
        <v>4.8180016864630879</v>
      </c>
      <c r="GE212">
        <v>5.6637268564057681</v>
      </c>
      <c r="GF212">
        <v>9.2751599553946349</v>
      </c>
      <c r="GG212">
        <v>16.437917090590993</v>
      </c>
      <c r="GH212">
        <v>12.156168151030617</v>
      </c>
      <c r="GI212">
        <v>32.745760574734099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66.349782962005207</v>
      </c>
      <c r="AO213">
        <v>69.034830349804324</v>
      </c>
      <c r="AP213">
        <v>491.09027800894086</v>
      </c>
      <c r="AQ213">
        <v>236.90387550376983</v>
      </c>
      <c r="AR213">
        <v>63.810946916414657</v>
      </c>
      <c r="AS213">
        <v>431.33715302848577</v>
      </c>
      <c r="AT213">
        <v>27.471616578967694</v>
      </c>
      <c r="AU213">
        <v>26.194590372998945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42">AVERAGE(DF98:DF107)</f>
        <v>0</v>
      </c>
      <c r="DG213" s="185">
        <f t="shared" ref="DG213:EI213" si="343">AVERAGE(DG98:DG107)</f>
        <v>0</v>
      </c>
      <c r="DH213" s="185">
        <f t="shared" si="343"/>
        <v>44.517390289449111</v>
      </c>
      <c r="DI213" s="185">
        <f t="shared" si="343"/>
        <v>19.505718954248362</v>
      </c>
      <c r="DJ213" s="185">
        <f t="shared" si="343"/>
        <v>4.1666666666666661</v>
      </c>
      <c r="DK213" s="185">
        <f t="shared" si="343"/>
        <v>0</v>
      </c>
      <c r="DL213" s="185">
        <f t="shared" si="343"/>
        <v>2.083333333333333</v>
      </c>
      <c r="DM213" s="185">
        <f t="shared" si="343"/>
        <v>4.1666666666666661</v>
      </c>
      <c r="DN213" s="185">
        <f t="shared" si="343"/>
        <v>5.208333333333333</v>
      </c>
      <c r="DO213" s="185">
        <f t="shared" si="343"/>
        <v>1.0416666666666665</v>
      </c>
      <c r="DP213" s="185">
        <f t="shared" si="343"/>
        <v>2.083333333333333</v>
      </c>
      <c r="DQ213" s="185">
        <f t="shared" si="343"/>
        <v>0</v>
      </c>
      <c r="DR213" s="185">
        <f t="shared" si="343"/>
        <v>2.083333333333333</v>
      </c>
      <c r="DS213" s="185">
        <f t="shared" si="343"/>
        <v>0</v>
      </c>
      <c r="DT213" s="185">
        <f t="shared" si="343"/>
        <v>0</v>
      </c>
      <c r="DU213" s="185">
        <f t="shared" si="343"/>
        <v>0</v>
      </c>
      <c r="DV213" s="185">
        <f t="shared" si="343"/>
        <v>0</v>
      </c>
      <c r="DW213" s="185">
        <f t="shared" si="343"/>
        <v>0</v>
      </c>
      <c r="DX213" s="185">
        <f t="shared" si="343"/>
        <v>0</v>
      </c>
      <c r="DY213" s="185">
        <f t="shared" si="343"/>
        <v>0</v>
      </c>
      <c r="DZ213" s="185">
        <f t="shared" si="343"/>
        <v>0</v>
      </c>
      <c r="EA213" s="185">
        <f t="shared" si="343"/>
        <v>0</v>
      </c>
      <c r="EB213" s="185">
        <f t="shared" si="343"/>
        <v>0</v>
      </c>
      <c r="EC213" s="185">
        <f t="shared" si="343"/>
        <v>0</v>
      </c>
      <c r="ED213" s="185">
        <f t="shared" si="343"/>
        <v>0</v>
      </c>
      <c r="EE213" s="185">
        <f t="shared" si="343"/>
        <v>0</v>
      </c>
      <c r="EF213" s="185">
        <f t="shared" si="343"/>
        <v>0</v>
      </c>
      <c r="EG213" s="185">
        <f t="shared" si="343"/>
        <v>0</v>
      </c>
      <c r="EH213" s="185">
        <f t="shared" si="343"/>
        <v>0</v>
      </c>
      <c r="EI213" s="185">
        <f t="shared" si="343"/>
        <v>0</v>
      </c>
      <c r="EJ213" s="185">
        <f t="shared" si="342"/>
        <v>0</v>
      </c>
      <c r="FY213" s="210">
        <v>208</v>
      </c>
      <c r="FZ213">
        <v>22.586760608643292</v>
      </c>
      <c r="GA213">
        <v>39.942967083389547</v>
      </c>
      <c r="GB213">
        <v>36.369313204622202</v>
      </c>
      <c r="GC213">
        <v>13.536405635933425</v>
      </c>
      <c r="GD213">
        <v>6.1979502718757944</v>
      </c>
      <c r="GE213">
        <v>4.8218194965916723</v>
      </c>
      <c r="GF213">
        <v>10.828333145180581</v>
      </c>
      <c r="GG213">
        <v>13.113109290353867</v>
      </c>
      <c r="GH213">
        <v>9.5505324401319456</v>
      </c>
      <c r="GI213">
        <v>34.927016560553788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50.971796345246865</v>
      </c>
      <c r="AO214">
        <v>81.510650542877016</v>
      </c>
      <c r="AP214">
        <v>629.7361554849557</v>
      </c>
      <c r="AQ214">
        <v>241.80787850242373</v>
      </c>
      <c r="AR214">
        <v>75.56122154420494</v>
      </c>
      <c r="AS214">
        <v>529.01903152302714</v>
      </c>
      <c r="AT214">
        <v>32.816141182577731</v>
      </c>
      <c r="AU214">
        <v>-8.7392087408392385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4">AVERAGE(DF108:DF117)</f>
        <v>0</v>
      </c>
      <c r="DG214" s="182">
        <f t="shared" ref="DG214:EI214" si="345">AVERAGE(DG108:DG117)</f>
        <v>0</v>
      </c>
      <c r="DH214" s="182">
        <f t="shared" si="345"/>
        <v>19.401041666666664</v>
      </c>
      <c r="DI214" s="182">
        <f t="shared" si="345"/>
        <v>2.083333333333333</v>
      </c>
      <c r="DJ214" s="182">
        <f t="shared" si="345"/>
        <v>7.2916666666666661</v>
      </c>
      <c r="DK214" s="182">
        <f t="shared" si="345"/>
        <v>1.0416666666666665</v>
      </c>
      <c r="DL214" s="182">
        <f t="shared" si="345"/>
        <v>1.0416666666666665</v>
      </c>
      <c r="DM214" s="182">
        <f t="shared" si="345"/>
        <v>1.0416666666666665</v>
      </c>
      <c r="DN214" s="182">
        <f t="shared" si="345"/>
        <v>1.0416666666666665</v>
      </c>
      <c r="DO214" s="182">
        <f t="shared" si="345"/>
        <v>3.125</v>
      </c>
      <c r="DP214" s="182">
        <f t="shared" si="345"/>
        <v>2.083333333333333</v>
      </c>
      <c r="DQ214" s="182">
        <f t="shared" si="345"/>
        <v>3.125</v>
      </c>
      <c r="DR214" s="182">
        <f t="shared" si="345"/>
        <v>5.208333333333333</v>
      </c>
      <c r="DS214" s="182">
        <f t="shared" si="345"/>
        <v>1.0416666666666665</v>
      </c>
      <c r="DT214" s="182">
        <f t="shared" si="345"/>
        <v>0</v>
      </c>
      <c r="DU214" s="182">
        <f t="shared" si="345"/>
        <v>3.125</v>
      </c>
      <c r="DV214" s="182">
        <f t="shared" si="345"/>
        <v>0</v>
      </c>
      <c r="DW214" s="182">
        <f t="shared" si="345"/>
        <v>0</v>
      </c>
      <c r="DX214" s="182">
        <f t="shared" si="345"/>
        <v>0</v>
      </c>
      <c r="DY214" s="182">
        <f t="shared" si="345"/>
        <v>0</v>
      </c>
      <c r="DZ214" s="182">
        <f t="shared" si="345"/>
        <v>0</v>
      </c>
      <c r="EA214" s="182">
        <f t="shared" si="345"/>
        <v>0</v>
      </c>
      <c r="EB214" s="182">
        <f t="shared" si="345"/>
        <v>0</v>
      </c>
      <c r="EC214" s="182">
        <f t="shared" si="345"/>
        <v>0</v>
      </c>
      <c r="ED214" s="182">
        <f t="shared" si="345"/>
        <v>0</v>
      </c>
      <c r="EE214" s="182">
        <f t="shared" si="345"/>
        <v>0</v>
      </c>
      <c r="EF214" s="182">
        <f t="shared" si="345"/>
        <v>0</v>
      </c>
      <c r="EG214" s="182">
        <f t="shared" si="345"/>
        <v>0</v>
      </c>
      <c r="EH214" s="182">
        <f t="shared" si="345"/>
        <v>0</v>
      </c>
      <c r="EI214" s="182">
        <f t="shared" si="345"/>
        <v>0</v>
      </c>
      <c r="EJ214" s="182">
        <f t="shared" si="344"/>
        <v>0</v>
      </c>
      <c r="FY214" s="210">
        <v>209</v>
      </c>
      <c r="FZ214">
        <v>14.006278520146672</v>
      </c>
      <c r="GA214">
        <v>45.9598437697843</v>
      </c>
      <c r="GB214">
        <v>34.226185714499316</v>
      </c>
      <c r="GC214">
        <v>9.9088271317993435</v>
      </c>
      <c r="GD214">
        <v>8.0137085936431536</v>
      </c>
      <c r="GE214">
        <v>10.945533399941791</v>
      </c>
      <c r="GF214">
        <v>6.7156100789925945</v>
      </c>
      <c r="GG214">
        <v>17.875304367925242</v>
      </c>
      <c r="GH214">
        <v>23.874930734386055</v>
      </c>
      <c r="GI214">
        <v>32.702525973020961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52.801998457242782</v>
      </c>
      <c r="AO215">
        <v>61.279970234269648</v>
      </c>
      <c r="AP215">
        <v>451.00465748979826</v>
      </c>
      <c r="AQ215">
        <v>213.32901126132148</v>
      </c>
      <c r="AR215">
        <v>57.099932870905796</v>
      </c>
      <c r="AS215">
        <v>436.04570992421338</v>
      </c>
      <c r="AT215">
        <v>24.19354539472333</v>
      </c>
      <c r="AU215">
        <v>-16.62923488593573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6">AVERAGE(DF118:DF127)</f>
        <v>0</v>
      </c>
      <c r="DG215" s="182">
        <f t="shared" ref="DG215:EI215" si="347">AVERAGE(DG118:DG127)</f>
        <v>6.510416666666667</v>
      </c>
      <c r="DH215" s="182">
        <f t="shared" si="347"/>
        <v>27.603039321789321</v>
      </c>
      <c r="DI215" s="182">
        <f t="shared" si="347"/>
        <v>51.967877668308702</v>
      </c>
      <c r="DJ215" s="182">
        <f t="shared" si="347"/>
        <v>1.0416666666666665</v>
      </c>
      <c r="DK215" s="182">
        <f t="shared" si="347"/>
        <v>7.4404761904761916</v>
      </c>
      <c r="DL215" s="182">
        <f t="shared" si="347"/>
        <v>0</v>
      </c>
      <c r="DM215" s="182">
        <f t="shared" si="347"/>
        <v>0</v>
      </c>
      <c r="DN215" s="182">
        <f t="shared" si="347"/>
        <v>0</v>
      </c>
      <c r="DO215" s="182">
        <f t="shared" si="347"/>
        <v>0</v>
      </c>
      <c r="DP215" s="182">
        <f t="shared" si="347"/>
        <v>1.0416666666666665</v>
      </c>
      <c r="DQ215" s="182">
        <f t="shared" si="347"/>
        <v>2.083333333333333</v>
      </c>
      <c r="DR215" s="182">
        <f t="shared" si="347"/>
        <v>5.2083333333333339</v>
      </c>
      <c r="DS215" s="182">
        <f t="shared" si="347"/>
        <v>3.125</v>
      </c>
      <c r="DT215" s="182">
        <f t="shared" si="347"/>
        <v>4.1666666666666661</v>
      </c>
      <c r="DU215" s="182">
        <f t="shared" si="347"/>
        <v>7.8125</v>
      </c>
      <c r="DV215" s="182">
        <f t="shared" si="347"/>
        <v>3.6458333333333335</v>
      </c>
      <c r="DW215" s="182">
        <f t="shared" si="347"/>
        <v>0</v>
      </c>
      <c r="DX215" s="182">
        <f t="shared" si="347"/>
        <v>0</v>
      </c>
      <c r="DY215" s="182">
        <f t="shared" si="347"/>
        <v>0</v>
      </c>
      <c r="DZ215" s="182">
        <f t="shared" si="347"/>
        <v>0</v>
      </c>
      <c r="EA215" s="182">
        <f t="shared" si="347"/>
        <v>0</v>
      </c>
      <c r="EB215" s="182">
        <f t="shared" si="347"/>
        <v>0</v>
      </c>
      <c r="EC215" s="182">
        <f t="shared" si="347"/>
        <v>0</v>
      </c>
      <c r="ED215" s="182">
        <f t="shared" si="347"/>
        <v>0</v>
      </c>
      <c r="EE215" s="182">
        <f t="shared" si="347"/>
        <v>0</v>
      </c>
      <c r="EF215" s="182">
        <f t="shared" si="347"/>
        <v>0</v>
      </c>
      <c r="EG215" s="182">
        <f t="shared" si="347"/>
        <v>0</v>
      </c>
      <c r="EH215" s="182">
        <f t="shared" si="347"/>
        <v>0</v>
      </c>
      <c r="EI215" s="182">
        <f t="shared" si="347"/>
        <v>0</v>
      </c>
      <c r="EJ215" s="182">
        <f t="shared" si="346"/>
        <v>0</v>
      </c>
      <c r="FY215" s="210">
        <v>210</v>
      </c>
      <c r="FZ215">
        <v>19.131610472196794</v>
      </c>
      <c r="GA215">
        <v>71.037713120607393</v>
      </c>
      <c r="GB215">
        <v>27.493037174410027</v>
      </c>
      <c r="GC215">
        <v>8.8189942611720671</v>
      </c>
      <c r="GD215">
        <v>5.7792546160197835</v>
      </c>
      <c r="GE215">
        <v>5.7647076315553711</v>
      </c>
      <c r="GF215">
        <v>8.5614142102618231</v>
      </c>
      <c r="GG215">
        <v>9.0481585829034685</v>
      </c>
      <c r="GH215">
        <v>11.511660413194852</v>
      </c>
      <c r="GI215">
        <v>27.09731359149724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49.242467385140742</v>
      </c>
      <c r="AO216">
        <v>66.288435565288722</v>
      </c>
      <c r="AP216">
        <v>473.58750629696931</v>
      </c>
      <c r="AQ216">
        <v>209.96351499441474</v>
      </c>
      <c r="AR216">
        <v>62.14094824624614</v>
      </c>
      <c r="AS216">
        <v>288.54501940447483</v>
      </c>
      <c r="AT216">
        <v>24.541789984988114</v>
      </c>
      <c r="AU216">
        <v>-20.28666324354117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8">AVERAGE(DF128:DF137)</f>
        <v>0</v>
      </c>
      <c r="DG216" s="182">
        <f t="shared" ref="DG216:EI216" si="349">AVERAGE(DG128:DG137)</f>
        <v>0</v>
      </c>
      <c r="DH216" s="182">
        <f t="shared" si="349"/>
        <v>22.156535594035596</v>
      </c>
      <c r="DI216" s="182">
        <f t="shared" si="349"/>
        <v>18.686868686868685</v>
      </c>
      <c r="DJ216" s="182">
        <f t="shared" si="349"/>
        <v>10.948183760683762</v>
      </c>
      <c r="DK216" s="182">
        <f t="shared" si="349"/>
        <v>4.545454545454545</v>
      </c>
      <c r="DL216" s="182">
        <f t="shared" si="349"/>
        <v>3.125</v>
      </c>
      <c r="DM216" s="182">
        <f t="shared" si="349"/>
        <v>0</v>
      </c>
      <c r="DN216" s="182">
        <f t="shared" si="349"/>
        <v>0</v>
      </c>
      <c r="DO216" s="182">
        <f t="shared" si="349"/>
        <v>0</v>
      </c>
      <c r="DP216" s="182">
        <f t="shared" si="349"/>
        <v>1.0416666666666665</v>
      </c>
      <c r="DQ216" s="182">
        <f t="shared" si="349"/>
        <v>4.5138888888888884</v>
      </c>
      <c r="DR216" s="182">
        <f t="shared" si="349"/>
        <v>2.4621212121212119</v>
      </c>
      <c r="DS216" s="182">
        <f t="shared" si="349"/>
        <v>11.334498834498834</v>
      </c>
      <c r="DT216" s="182">
        <f t="shared" si="349"/>
        <v>0</v>
      </c>
      <c r="DU216" s="182">
        <f t="shared" si="349"/>
        <v>1.4204545454545454</v>
      </c>
      <c r="DV216" s="182">
        <f t="shared" si="349"/>
        <v>0</v>
      </c>
      <c r="DW216" s="182">
        <f t="shared" si="349"/>
        <v>0</v>
      </c>
      <c r="DX216" s="182">
        <f t="shared" si="349"/>
        <v>0</v>
      </c>
      <c r="DY216" s="182">
        <f t="shared" si="349"/>
        <v>0</v>
      </c>
      <c r="DZ216" s="182">
        <f t="shared" si="349"/>
        <v>0</v>
      </c>
      <c r="EA216" s="182">
        <f t="shared" si="349"/>
        <v>0</v>
      </c>
      <c r="EB216" s="182">
        <f t="shared" si="349"/>
        <v>0</v>
      </c>
      <c r="EC216" s="182">
        <f t="shared" si="349"/>
        <v>0</v>
      </c>
      <c r="ED216" s="182">
        <f t="shared" si="349"/>
        <v>0</v>
      </c>
      <c r="EE216" s="182">
        <f t="shared" si="349"/>
        <v>0</v>
      </c>
      <c r="EF216" s="182">
        <f t="shared" si="349"/>
        <v>0</v>
      </c>
      <c r="EG216" s="182">
        <f t="shared" si="349"/>
        <v>0</v>
      </c>
      <c r="EH216" s="182">
        <f t="shared" si="349"/>
        <v>0</v>
      </c>
      <c r="EI216" s="182">
        <f t="shared" si="349"/>
        <v>0</v>
      </c>
      <c r="EJ216" s="182">
        <f t="shared" si="348"/>
        <v>0</v>
      </c>
      <c r="FY216" s="210">
        <v>211</v>
      </c>
      <c r="FZ216">
        <v>19.35943107705662</v>
      </c>
      <c r="GA216">
        <v>51.397433039105529</v>
      </c>
      <c r="GB216">
        <v>31.904050854885966</v>
      </c>
      <c r="GC216">
        <v>8.8051022641049475</v>
      </c>
      <c r="GD216">
        <v>5.9880011689034687</v>
      </c>
      <c r="GE216">
        <v>7.5843653719809989</v>
      </c>
      <c r="GF216">
        <v>10.346316748204055</v>
      </c>
      <c r="GG216">
        <v>13.51650865862362</v>
      </c>
      <c r="GH216">
        <v>13.402212576436396</v>
      </c>
      <c r="GI216">
        <v>30.270167300903662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46.129831884790498</v>
      </c>
      <c r="AO217">
        <v>45.407284798527705</v>
      </c>
      <c r="AP217">
        <v>372.05652539992536</v>
      </c>
      <c r="AQ217">
        <v>167.44946990319644</v>
      </c>
      <c r="AR217">
        <v>43.080098401263342</v>
      </c>
      <c r="AS217">
        <v>262.26910798780307</v>
      </c>
      <c r="AT217">
        <v>18.112528074460393</v>
      </c>
      <c r="AU217">
        <v>31.796948395381285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50">AVERAGE(DF138:DF147)</f>
        <v>0</v>
      </c>
      <c r="DG217" s="182">
        <f t="shared" ref="DG217:EI217" si="351">AVERAGE(DG138:DG147)</f>
        <v>1.0416666666666665</v>
      </c>
      <c r="DH217" s="182">
        <f t="shared" si="351"/>
        <v>23.181276088252833</v>
      </c>
      <c r="DI217" s="182">
        <f t="shared" si="351"/>
        <v>30.332341269841272</v>
      </c>
      <c r="DJ217" s="182">
        <f t="shared" si="351"/>
        <v>14.525058275058274</v>
      </c>
      <c r="DK217" s="182">
        <f t="shared" si="351"/>
        <v>1.0416666666666665</v>
      </c>
      <c r="DL217" s="182">
        <f t="shared" si="351"/>
        <v>0</v>
      </c>
      <c r="DM217" s="182">
        <f t="shared" si="351"/>
        <v>3.7878787878787876</v>
      </c>
      <c r="DN217" s="182">
        <f t="shared" si="351"/>
        <v>0</v>
      </c>
      <c r="DO217" s="182">
        <f t="shared" si="351"/>
        <v>0</v>
      </c>
      <c r="DP217" s="182">
        <f t="shared" si="351"/>
        <v>2.4038461538461537</v>
      </c>
      <c r="DQ217" s="182">
        <f t="shared" si="351"/>
        <v>1.0416666666666665</v>
      </c>
      <c r="DR217" s="182">
        <f t="shared" si="351"/>
        <v>3.4455128205128203</v>
      </c>
      <c r="DS217" s="182">
        <f t="shared" si="351"/>
        <v>0</v>
      </c>
      <c r="DT217" s="182">
        <f t="shared" si="351"/>
        <v>0</v>
      </c>
      <c r="DU217" s="182">
        <f t="shared" si="351"/>
        <v>3.7878787878787876</v>
      </c>
      <c r="DV217" s="182">
        <f t="shared" si="351"/>
        <v>0</v>
      </c>
      <c r="DW217" s="182">
        <f t="shared" si="351"/>
        <v>0</v>
      </c>
      <c r="DX217" s="182">
        <f t="shared" si="351"/>
        <v>0</v>
      </c>
      <c r="DY217" s="182">
        <f t="shared" si="351"/>
        <v>0</v>
      </c>
      <c r="DZ217" s="182">
        <f t="shared" si="351"/>
        <v>0</v>
      </c>
      <c r="EA217" s="182">
        <f t="shared" si="351"/>
        <v>0</v>
      </c>
      <c r="EB217" s="182">
        <f t="shared" si="351"/>
        <v>0</v>
      </c>
      <c r="EC217" s="182">
        <f t="shared" si="351"/>
        <v>0</v>
      </c>
      <c r="ED217" s="182">
        <f t="shared" si="351"/>
        <v>0</v>
      </c>
      <c r="EE217" s="182">
        <f t="shared" si="351"/>
        <v>0</v>
      </c>
      <c r="EF217" s="182">
        <f t="shared" si="351"/>
        <v>0</v>
      </c>
      <c r="EG217" s="182">
        <f t="shared" si="351"/>
        <v>0</v>
      </c>
      <c r="EH217" s="182">
        <f t="shared" si="351"/>
        <v>0</v>
      </c>
      <c r="EI217" s="182">
        <f t="shared" si="351"/>
        <v>0</v>
      </c>
      <c r="EJ217" s="182">
        <f t="shared" si="350"/>
        <v>0</v>
      </c>
      <c r="FY217" s="210">
        <v>212</v>
      </c>
      <c r="FZ217">
        <v>24.001123691393897</v>
      </c>
      <c r="GA217">
        <v>64.795071067476911</v>
      </c>
      <c r="GB217">
        <v>31.694665131021278</v>
      </c>
      <c r="GC217">
        <v>13.940466280379459</v>
      </c>
      <c r="GD217">
        <v>8.4063938579485367</v>
      </c>
      <c r="GE217">
        <v>6.7092624086766817</v>
      </c>
      <c r="GF217">
        <v>8.7738023510540391</v>
      </c>
      <c r="GG217">
        <v>16.361296262549281</v>
      </c>
      <c r="GH217">
        <v>22.863573892735186</v>
      </c>
      <c r="GI217">
        <v>39.099803403196113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62.46870469432546</v>
      </c>
      <c r="AO218">
        <v>86.778381183902695</v>
      </c>
      <c r="AP218">
        <v>648.93255299516306</v>
      </c>
      <c r="AQ218">
        <v>240.71877441615072</v>
      </c>
      <c r="AR218">
        <v>80.802959329091408</v>
      </c>
      <c r="AS218">
        <v>496.86109617669683</v>
      </c>
      <c r="AT218">
        <v>30.888186461712483</v>
      </c>
      <c r="AU218">
        <v>10.563859469893233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52">AVERAGE(DF148:DF157)</f>
        <v>0</v>
      </c>
      <c r="DG218" s="182">
        <f t="shared" ref="DG218:EI218" si="353">AVERAGE(DG148:DG157)</f>
        <v>0</v>
      </c>
      <c r="DH218" s="182">
        <f t="shared" si="353"/>
        <v>0</v>
      </c>
      <c r="DI218" s="182">
        <f t="shared" si="353"/>
        <v>7.5520833333333339</v>
      </c>
      <c r="DJ218" s="182">
        <f t="shared" si="353"/>
        <v>3.4722222222222223</v>
      </c>
      <c r="DK218" s="182">
        <f t="shared" si="353"/>
        <v>0</v>
      </c>
      <c r="DL218" s="182">
        <f t="shared" si="353"/>
        <v>0</v>
      </c>
      <c r="DM218" s="182">
        <f t="shared" si="353"/>
        <v>1.0416666666666665</v>
      </c>
      <c r="DN218" s="182">
        <f t="shared" si="353"/>
        <v>0</v>
      </c>
      <c r="DO218" s="182">
        <f t="shared" si="353"/>
        <v>0</v>
      </c>
      <c r="DP218" s="182">
        <f t="shared" si="353"/>
        <v>1.0416666666666665</v>
      </c>
      <c r="DQ218" s="182">
        <f t="shared" si="353"/>
        <v>0</v>
      </c>
      <c r="DR218" s="182">
        <f t="shared" si="353"/>
        <v>0</v>
      </c>
      <c r="DS218" s="182">
        <f t="shared" si="353"/>
        <v>1.0416666666666665</v>
      </c>
      <c r="DT218" s="182">
        <f t="shared" si="353"/>
        <v>1.0416666666666665</v>
      </c>
      <c r="DU218" s="182">
        <f t="shared" si="353"/>
        <v>0</v>
      </c>
      <c r="DV218" s="182">
        <f t="shared" si="353"/>
        <v>0</v>
      </c>
      <c r="DW218" s="182">
        <f t="shared" si="353"/>
        <v>0</v>
      </c>
      <c r="DX218" s="182">
        <f t="shared" si="353"/>
        <v>0</v>
      </c>
      <c r="DY218" s="182">
        <f t="shared" si="353"/>
        <v>0</v>
      </c>
      <c r="DZ218" s="182">
        <f t="shared" si="353"/>
        <v>0</v>
      </c>
      <c r="EA218" s="182">
        <f t="shared" si="353"/>
        <v>0</v>
      </c>
      <c r="EB218" s="182">
        <f t="shared" si="353"/>
        <v>0</v>
      </c>
      <c r="EC218" s="182">
        <f t="shared" si="353"/>
        <v>0</v>
      </c>
      <c r="ED218" s="182">
        <f t="shared" si="353"/>
        <v>0</v>
      </c>
      <c r="EE218" s="182">
        <f t="shared" si="353"/>
        <v>0</v>
      </c>
      <c r="EF218" s="182">
        <f t="shared" si="353"/>
        <v>0</v>
      </c>
      <c r="EG218" s="182">
        <f t="shared" si="353"/>
        <v>0</v>
      </c>
      <c r="EH218" s="182">
        <f t="shared" si="353"/>
        <v>0</v>
      </c>
      <c r="EI218" s="182">
        <f t="shared" si="353"/>
        <v>0</v>
      </c>
      <c r="EJ218" s="182">
        <f t="shared" si="352"/>
        <v>0</v>
      </c>
      <c r="FY218" s="210">
        <v>213</v>
      </c>
      <c r="FZ218">
        <v>21.37117302426909</v>
      </c>
      <c r="GA218">
        <v>65.398026644035838</v>
      </c>
      <c r="GB218">
        <v>30.610423701563899</v>
      </c>
      <c r="GC218">
        <v>9.9705397341413491</v>
      </c>
      <c r="GD218">
        <v>6.9078837443999515</v>
      </c>
      <c r="GE218">
        <v>9.2440272422266148</v>
      </c>
      <c r="GF218">
        <v>7.3365955675376089</v>
      </c>
      <c r="GG218">
        <v>12.65335980910494</v>
      </c>
      <c r="GH218">
        <v>13.691453795948741</v>
      </c>
      <c r="GI218">
        <v>28.302883404093212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60.330107517672687</v>
      </c>
      <c r="AO219">
        <v>81.955351764850917</v>
      </c>
      <c r="AP219">
        <v>555.49002033889849</v>
      </c>
      <c r="AQ219">
        <v>210.14392145931058</v>
      </c>
      <c r="AR219">
        <v>76.757058629067998</v>
      </c>
      <c r="AS219">
        <v>339.3968169704255</v>
      </c>
      <c r="AT219">
        <v>27.644120965725325</v>
      </c>
      <c r="AU219">
        <v>45.423318938842101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4">AVERAGE(DF158:DF167)</f>
        <v>0</v>
      </c>
      <c r="DG219" s="182">
        <f t="shared" ref="DG219:EI219" si="355">AVERAGE(DG158:DG167)</f>
        <v>0</v>
      </c>
      <c r="DH219" s="182">
        <f t="shared" si="355"/>
        <v>0</v>
      </c>
      <c r="DI219" s="182">
        <f t="shared" si="355"/>
        <v>1.0416666666666665</v>
      </c>
      <c r="DJ219" s="182">
        <f t="shared" si="355"/>
        <v>3.125</v>
      </c>
      <c r="DK219" s="182">
        <f t="shared" si="355"/>
        <v>1.0416666666666665</v>
      </c>
      <c r="DL219" s="182">
        <f t="shared" si="355"/>
        <v>3.8825757575757569</v>
      </c>
      <c r="DM219" s="182">
        <f t="shared" si="355"/>
        <v>1.0416666666666665</v>
      </c>
      <c r="DN219" s="182">
        <f t="shared" si="355"/>
        <v>0</v>
      </c>
      <c r="DO219" s="182">
        <f t="shared" si="355"/>
        <v>1.0416666666666665</v>
      </c>
      <c r="DP219" s="182">
        <f t="shared" si="355"/>
        <v>0</v>
      </c>
      <c r="DQ219" s="182">
        <f t="shared" si="355"/>
        <v>0</v>
      </c>
      <c r="DR219" s="182">
        <f t="shared" si="355"/>
        <v>2.083333333333333</v>
      </c>
      <c r="DS219" s="182">
        <f t="shared" si="355"/>
        <v>3.4375</v>
      </c>
      <c r="DT219" s="182">
        <f t="shared" si="355"/>
        <v>2.083333333333333</v>
      </c>
      <c r="DU219" s="182">
        <f t="shared" si="355"/>
        <v>0</v>
      </c>
      <c r="DV219" s="182">
        <f t="shared" si="355"/>
        <v>1.0416666666666665</v>
      </c>
      <c r="DW219" s="182">
        <f t="shared" si="355"/>
        <v>0</v>
      </c>
      <c r="DX219" s="182">
        <f t="shared" si="355"/>
        <v>0</v>
      </c>
      <c r="DY219" s="182">
        <f t="shared" si="355"/>
        <v>0</v>
      </c>
      <c r="DZ219" s="182">
        <f t="shared" si="355"/>
        <v>0</v>
      </c>
      <c r="EA219" s="182">
        <f t="shared" si="355"/>
        <v>0</v>
      </c>
      <c r="EB219" s="182">
        <f t="shared" si="355"/>
        <v>0</v>
      </c>
      <c r="EC219" s="182">
        <f t="shared" si="355"/>
        <v>0</v>
      </c>
      <c r="ED219" s="182">
        <f t="shared" si="355"/>
        <v>0</v>
      </c>
      <c r="EE219" s="182">
        <f t="shared" si="355"/>
        <v>0</v>
      </c>
      <c r="EF219" s="182">
        <f t="shared" si="355"/>
        <v>0</v>
      </c>
      <c r="EG219" s="182">
        <f t="shared" si="355"/>
        <v>0</v>
      </c>
      <c r="EH219" s="182">
        <f t="shared" si="355"/>
        <v>0</v>
      </c>
      <c r="EI219" s="182">
        <f t="shared" si="355"/>
        <v>0</v>
      </c>
      <c r="EJ219" s="182">
        <f t="shared" si="354"/>
        <v>0</v>
      </c>
      <c r="FY219" s="210">
        <v>214</v>
      </c>
      <c r="FZ219">
        <v>22.184842527094172</v>
      </c>
      <c r="GA219">
        <v>51.432818157008356</v>
      </c>
      <c r="GB219">
        <v>14.777201652224795</v>
      </c>
      <c r="GC219">
        <v>6.0695054383675648</v>
      </c>
      <c r="GD219">
        <v>4.3906443841264462</v>
      </c>
      <c r="GE219">
        <v>2.7895714791247865</v>
      </c>
      <c r="GF219">
        <v>9.4020331279717091</v>
      </c>
      <c r="GG219">
        <v>17.653538325472752</v>
      </c>
      <c r="GH219">
        <v>15.550518150932982</v>
      </c>
      <c r="GI219">
        <v>21.376820941081114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68.573743565611878</v>
      </c>
      <c r="AO220">
        <v>82.162541306849562</v>
      </c>
      <c r="AP220">
        <v>618.67512056876603</v>
      </c>
      <c r="AQ220">
        <v>233.53986590852816</v>
      </c>
      <c r="AR220">
        <v>76.361105956291283</v>
      </c>
      <c r="AS220">
        <v>513.8925663181368</v>
      </c>
      <c r="AT220">
        <v>30.134840671749391</v>
      </c>
      <c r="AU220">
        <v>-9.2615184821042167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6">AVERAGE(DF168:DF177)</f>
        <v>0</v>
      </c>
      <c r="DG220" s="182">
        <f t="shared" ref="DG220:EI220" si="357">AVERAGE(DG168:DG177)</f>
        <v>0</v>
      </c>
      <c r="DH220" s="182">
        <f t="shared" si="357"/>
        <v>0</v>
      </c>
      <c r="DI220" s="182">
        <f t="shared" si="357"/>
        <v>6.6495433789954337</v>
      </c>
      <c r="DJ220" s="182">
        <f t="shared" si="357"/>
        <v>7.203815261044177</v>
      </c>
      <c r="DK220" s="182">
        <f t="shared" si="357"/>
        <v>0</v>
      </c>
      <c r="DL220" s="182">
        <f t="shared" si="357"/>
        <v>0</v>
      </c>
      <c r="DM220" s="182">
        <f t="shared" si="357"/>
        <v>0</v>
      </c>
      <c r="DN220" s="182">
        <f t="shared" si="357"/>
        <v>1.0416666666666665</v>
      </c>
      <c r="DO220" s="182">
        <f t="shared" si="357"/>
        <v>1.0416666666666665</v>
      </c>
      <c r="DP220" s="182">
        <f t="shared" si="357"/>
        <v>0</v>
      </c>
      <c r="DQ220" s="182">
        <f t="shared" si="357"/>
        <v>0</v>
      </c>
      <c r="DR220" s="182">
        <f t="shared" si="357"/>
        <v>1.0416666666666665</v>
      </c>
      <c r="DS220" s="182">
        <f t="shared" si="357"/>
        <v>1.0416666666666665</v>
      </c>
      <c r="DT220" s="182">
        <f t="shared" si="357"/>
        <v>2.083333333333333</v>
      </c>
      <c r="DU220" s="182">
        <f t="shared" si="357"/>
        <v>2.083333333333333</v>
      </c>
      <c r="DV220" s="182">
        <f t="shared" si="357"/>
        <v>1.0416666666666665</v>
      </c>
      <c r="DW220" s="182">
        <f t="shared" si="357"/>
        <v>0</v>
      </c>
      <c r="DX220" s="182">
        <f t="shared" si="357"/>
        <v>0</v>
      </c>
      <c r="DY220" s="182">
        <f t="shared" si="357"/>
        <v>1.0416666666666665</v>
      </c>
      <c r="DZ220" s="182">
        <f t="shared" si="357"/>
        <v>0</v>
      </c>
      <c r="EA220" s="182">
        <f t="shared" si="357"/>
        <v>0</v>
      </c>
      <c r="EB220" s="182">
        <f t="shared" si="357"/>
        <v>0</v>
      </c>
      <c r="EC220" s="182">
        <f t="shared" si="357"/>
        <v>0</v>
      </c>
      <c r="ED220" s="182">
        <f t="shared" si="357"/>
        <v>0</v>
      </c>
      <c r="EE220" s="182">
        <f t="shared" si="357"/>
        <v>0</v>
      </c>
      <c r="EF220" s="182">
        <f t="shared" si="357"/>
        <v>0</v>
      </c>
      <c r="EG220" s="182">
        <f t="shared" si="357"/>
        <v>0</v>
      </c>
      <c r="EH220" s="182">
        <f t="shared" si="357"/>
        <v>0</v>
      </c>
      <c r="EI220" s="182">
        <f t="shared" si="357"/>
        <v>0</v>
      </c>
      <c r="EJ220" s="182">
        <f t="shared" si="356"/>
        <v>0</v>
      </c>
      <c r="FY220" s="210">
        <v>215</v>
      </c>
      <c r="FZ220">
        <v>20.527811369878108</v>
      </c>
      <c r="GA220">
        <v>39.970768925452276</v>
      </c>
      <c r="GB220">
        <v>44.051729998521367</v>
      </c>
      <c r="GC220">
        <v>14.826467969788089</v>
      </c>
      <c r="GD220">
        <v>9.2185494302288458</v>
      </c>
      <c r="GE220">
        <v>11.072355785135194</v>
      </c>
      <c r="GF220">
        <v>8.9607456600994624</v>
      </c>
      <c r="GG220">
        <v>18.586086006573765</v>
      </c>
      <c r="GH220">
        <v>24.977941860629944</v>
      </c>
      <c r="GI220">
        <v>43.453490465458515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49.799061189148851</v>
      </c>
      <c r="AO221">
        <v>65.729477736697049</v>
      </c>
      <c r="AP221">
        <v>498.79434034413111</v>
      </c>
      <c r="AQ221">
        <v>199.5889875677336</v>
      </c>
      <c r="AR221">
        <v>62.151053461813561</v>
      </c>
      <c r="AS221">
        <v>282.45105388795423</v>
      </c>
      <c r="AT221">
        <v>24.77625432895012</v>
      </c>
      <c r="AU221">
        <v>21.937910443618744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8">AVERAGE(DF178:DF187)</f>
        <v>0</v>
      </c>
      <c r="DG221" s="182">
        <f t="shared" ref="DG221:EI221" si="359">AVERAGE(DG178:DG187)</f>
        <v>0</v>
      </c>
      <c r="DH221" s="182">
        <f t="shared" si="359"/>
        <v>0</v>
      </c>
      <c r="DI221" s="182">
        <f t="shared" si="359"/>
        <v>5.7779947916666661</v>
      </c>
      <c r="DJ221" s="182">
        <f t="shared" si="359"/>
        <v>8.1903594771241828</v>
      </c>
      <c r="DK221" s="182">
        <f t="shared" si="359"/>
        <v>0</v>
      </c>
      <c r="DL221" s="182">
        <f t="shared" si="359"/>
        <v>1.0416666666666665</v>
      </c>
      <c r="DM221" s="182">
        <f t="shared" si="359"/>
        <v>1.0416666666666665</v>
      </c>
      <c r="DN221" s="182">
        <f t="shared" si="359"/>
        <v>0</v>
      </c>
      <c r="DO221" s="182">
        <f t="shared" si="359"/>
        <v>1.0416666666666665</v>
      </c>
      <c r="DP221" s="182">
        <f t="shared" si="359"/>
        <v>1.0416666666666665</v>
      </c>
      <c r="DQ221" s="182">
        <f t="shared" si="359"/>
        <v>0</v>
      </c>
      <c r="DR221" s="182">
        <f t="shared" si="359"/>
        <v>0</v>
      </c>
      <c r="DS221" s="182">
        <f t="shared" si="359"/>
        <v>0</v>
      </c>
      <c r="DT221" s="182">
        <f t="shared" si="359"/>
        <v>0</v>
      </c>
      <c r="DU221" s="182">
        <f t="shared" si="359"/>
        <v>0</v>
      </c>
      <c r="DV221" s="182">
        <f t="shared" si="359"/>
        <v>0</v>
      </c>
      <c r="DW221" s="182">
        <f t="shared" si="359"/>
        <v>0</v>
      </c>
      <c r="DX221" s="182">
        <f t="shared" si="359"/>
        <v>0</v>
      </c>
      <c r="DY221" s="182">
        <f t="shared" si="359"/>
        <v>1.0416666666666665</v>
      </c>
      <c r="DZ221" s="182">
        <f t="shared" si="359"/>
        <v>0</v>
      </c>
      <c r="EA221" s="182">
        <f t="shared" si="359"/>
        <v>0</v>
      </c>
      <c r="EB221" s="182">
        <f t="shared" si="359"/>
        <v>0</v>
      </c>
      <c r="EC221" s="182">
        <f t="shared" si="359"/>
        <v>0</v>
      </c>
      <c r="ED221" s="182">
        <f t="shared" si="359"/>
        <v>0</v>
      </c>
      <c r="EE221" s="182">
        <f t="shared" si="359"/>
        <v>0</v>
      </c>
      <c r="EF221" s="182">
        <f t="shared" si="359"/>
        <v>0</v>
      </c>
      <c r="EG221" s="182">
        <f t="shared" si="359"/>
        <v>0</v>
      </c>
      <c r="EH221" s="182">
        <f t="shared" si="359"/>
        <v>0</v>
      </c>
      <c r="EI221" s="182">
        <f t="shared" si="359"/>
        <v>0</v>
      </c>
      <c r="EJ221" s="182">
        <f t="shared" si="358"/>
        <v>0</v>
      </c>
      <c r="FY221" s="210">
        <v>216</v>
      </c>
      <c r="FZ221">
        <v>18.19043147081252</v>
      </c>
      <c r="GA221">
        <v>57.331565719006925</v>
      </c>
      <c r="GB221">
        <v>42.777394206122217</v>
      </c>
      <c r="GC221">
        <v>12.779183821850266</v>
      </c>
      <c r="GD221">
        <v>6.1151795661387043</v>
      </c>
      <c r="GE221">
        <v>7.5248017291320357</v>
      </c>
      <c r="GF221">
        <v>8.0955770035939754</v>
      </c>
      <c r="GG221">
        <v>12.559868499975446</v>
      </c>
      <c r="GH221">
        <v>14.838045044348982</v>
      </c>
      <c r="GI221">
        <v>32.885370591287597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63.180196181309704</v>
      </c>
      <c r="AO222">
        <v>76.39081334546016</v>
      </c>
      <c r="AP222">
        <v>577.14226731946212</v>
      </c>
      <c r="AQ222">
        <v>245.13280184630705</v>
      </c>
      <c r="AR222">
        <v>71.921297631040417</v>
      </c>
      <c r="AS222">
        <v>343.69966044946887</v>
      </c>
      <c r="AT222">
        <v>30.627475442182881</v>
      </c>
      <c r="AU222">
        <v>-10.889778290691602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19.778800860504454</v>
      </c>
      <c r="GA222">
        <v>26.560389083231179</v>
      </c>
      <c r="GB222">
        <v>36.392676898800275</v>
      </c>
      <c r="GC222">
        <v>13.622532372095337</v>
      </c>
      <c r="GD222">
        <v>5.7892082859197345</v>
      </c>
      <c r="GE222">
        <v>4.5789546096777114</v>
      </c>
      <c r="GF222">
        <v>6.3507300231198514</v>
      </c>
      <c r="GG222">
        <v>15.207579558077887</v>
      </c>
      <c r="GH222">
        <v>18.129454506680652</v>
      </c>
      <c r="GI222">
        <v>33.542784202581856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44.967172492210281</v>
      </c>
      <c r="AO223">
        <v>74.091199881954367</v>
      </c>
      <c r="AP223">
        <v>540.85614163434047</v>
      </c>
      <c r="AQ223">
        <v>187.26659920574926</v>
      </c>
      <c r="AR223">
        <v>68.182175941241141</v>
      </c>
      <c r="AS223">
        <v>330.88985259428341</v>
      </c>
      <c r="AT223">
        <v>29.753883103700812</v>
      </c>
      <c r="AU223">
        <v>-15.902605324081875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22.434043451573725</v>
      </c>
      <c r="GA223">
        <v>38.353075289302467</v>
      </c>
      <c r="GB223">
        <v>42.313832927503874</v>
      </c>
      <c r="GC223">
        <v>12.915953975627145</v>
      </c>
      <c r="GD223">
        <v>5.3856594645394278</v>
      </c>
      <c r="GE223">
        <v>4.5150727258496879</v>
      </c>
      <c r="GF223">
        <v>10.987077372519972</v>
      </c>
      <c r="GG223">
        <v>19.375618875747278</v>
      </c>
      <c r="GH223">
        <v>12.732716468496466</v>
      </c>
      <c r="GI223">
        <v>37.25526357618746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56.972697540942761</v>
      </c>
      <c r="AO224">
        <v>77.425287534048849</v>
      </c>
      <c r="AP224">
        <v>526.21955460475795</v>
      </c>
      <c r="AQ224">
        <v>191.87420773727612</v>
      </c>
      <c r="AR224">
        <v>72.77841071751574</v>
      </c>
      <c r="AS224">
        <v>424.35516299422022</v>
      </c>
      <c r="AT224">
        <v>28.729387820909992</v>
      </c>
      <c r="AU224">
        <v>4.7330955754425066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23.826396209948989</v>
      </c>
      <c r="GA224">
        <v>45.800730336578816</v>
      </c>
      <c r="GB224">
        <v>37.183213128026701</v>
      </c>
      <c r="GC224">
        <v>13.266716618124011</v>
      </c>
      <c r="GD224">
        <v>8.314838448331761</v>
      </c>
      <c r="GE224">
        <v>9.0787476814521089</v>
      </c>
      <c r="GF224">
        <v>10.007354840128158</v>
      </c>
      <c r="GG224">
        <v>21.321878351204845</v>
      </c>
      <c r="GH224">
        <v>27.179988192815529</v>
      </c>
      <c r="GI224">
        <v>38.451963735951594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50.951326771934212</v>
      </c>
      <c r="AO225">
        <v>69.11261822388964</v>
      </c>
      <c r="AP225">
        <v>487.59924288385145</v>
      </c>
      <c r="AQ225">
        <v>204.22874828413944</v>
      </c>
      <c r="AR225">
        <v>64.19361585686768</v>
      </c>
      <c r="AS225">
        <v>350.50279382479931</v>
      </c>
      <c r="AT225">
        <v>26.293526761259116</v>
      </c>
      <c r="AU225">
        <v>5.0423984023443875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0.58803917097593472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25.208795417394615</v>
      </c>
      <c r="GA225">
        <v>53.335803528024982</v>
      </c>
      <c r="GB225">
        <v>37.21608951112205</v>
      </c>
      <c r="GC225">
        <v>12.952429803481671</v>
      </c>
      <c r="GD225">
        <v>7.1344280211699758</v>
      </c>
      <c r="GE225">
        <v>6.83187925017012</v>
      </c>
      <c r="GF225">
        <v>9.3142925093849733</v>
      </c>
      <c r="GG225">
        <v>21.010259024137127</v>
      </c>
      <c r="GH225">
        <v>21.358990150187655</v>
      </c>
      <c r="GI225">
        <v>37.249597437074357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49.37820594105645</v>
      </c>
      <c r="AO226">
        <v>53.273527488162529</v>
      </c>
      <c r="AP226">
        <v>393.87521655675113</v>
      </c>
      <c r="AQ226">
        <v>194.24386407381883</v>
      </c>
      <c r="AR226">
        <v>50.962066170693433</v>
      </c>
      <c r="AS226">
        <v>315.49262630589101</v>
      </c>
      <c r="AT226">
        <v>22.036609653995068</v>
      </c>
      <c r="AU226">
        <v>48.121339868028549</v>
      </c>
      <c r="AV226"/>
      <c r="AW226"/>
      <c r="DE226" s="187">
        <f>DE101</f>
        <v>39673</v>
      </c>
      <c r="DF226" s="205"/>
      <c r="DG226" s="205">
        <f t="shared" ref="DG226:DG234" si="360">((DG213*$H$372)+(DH213*$I$372)+(DI213*$J$372)+(DJ213*$K$372)+(DK213*$L$372)+(DL213*$M$372)+(DM213*$N$372)+(DN213*$O$372)+(DO213*$P$372)+(DP213*$Q$372)+(DQ213*$R$372)+(DR213*$S$372)+(DS213*$T$372)+(DT213*$U$372))/SUM(DG213:DT213)</f>
        <v>0.43438354968577786</v>
      </c>
      <c r="DH226" s="205">
        <f>(LN(DG226/DG225))/(DE213-DE212)</f>
        <v>-1.1217246819651914E-2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23.743093131815822</v>
      </c>
      <c r="GA226">
        <v>35.639604981231479</v>
      </c>
      <c r="GB226">
        <v>31.582607999703111</v>
      </c>
      <c r="GC226">
        <v>11.4716048084686</v>
      </c>
      <c r="GD226">
        <v>7.9059029093785398</v>
      </c>
      <c r="GE226">
        <v>10.714060311513856</v>
      </c>
      <c r="GF226">
        <v>13.462417818837558</v>
      </c>
      <c r="GG226">
        <v>26.592656379453583</v>
      </c>
      <c r="GH226">
        <v>34.133867962299441</v>
      </c>
      <c r="GI226">
        <v>38.185810654122527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45.770615723860963</v>
      </c>
      <c r="AO227">
        <v>64.731226334807502</v>
      </c>
      <c r="AP227">
        <v>478.59257460781367</v>
      </c>
      <c r="AQ227">
        <v>192.57358906020525</v>
      </c>
      <c r="AR227">
        <v>62.18930646978864</v>
      </c>
      <c r="AS227">
        <v>281.11726890934938</v>
      </c>
      <c r="AT227">
        <v>24.030107071404853</v>
      </c>
      <c r="AU227">
        <v>-5.185114481972767</v>
      </c>
      <c r="AV227"/>
      <c r="AW227"/>
      <c r="DE227" s="187">
        <f>DE111</f>
        <v>39714</v>
      </c>
      <c r="DF227" s="205"/>
      <c r="DG227" s="205">
        <f t="shared" si="360"/>
        <v>1.209052048149303</v>
      </c>
      <c r="DH227" s="205">
        <f t="shared" ref="DH227:DH234" si="361">(LN(DG227/DG226))/(DE214-DE213)</f>
        <v>2.4967414668569634E-2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20.198865928607269</v>
      </c>
      <c r="GA227">
        <v>48.556104244307832</v>
      </c>
      <c r="GB227">
        <v>48.748602819978458</v>
      </c>
      <c r="GC227">
        <v>17.092387608366369</v>
      </c>
      <c r="GD227">
        <v>9.1300286917705797</v>
      </c>
      <c r="GE227">
        <v>9.1586464584767651</v>
      </c>
      <c r="GF227">
        <v>10.093569108350019</v>
      </c>
      <c r="GG227">
        <v>23.058488419548208</v>
      </c>
      <c r="GH227">
        <v>29.423656307062494</v>
      </c>
      <c r="GI227">
        <v>46.092896890001157</v>
      </c>
      <c r="GJ227"/>
      <c r="GK227"/>
      <c r="GL227"/>
      <c r="GM227"/>
    </row>
    <row r="228" spans="1:195" s="7" customFormat="1">
      <c r="A228" s="9" t="s">
        <v>60</v>
      </c>
      <c r="B228">
        <v>0.61683884800133981</v>
      </c>
      <c r="C228">
        <v>8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10.416666666666666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68.720254480699154</v>
      </c>
      <c r="AO228">
        <v>84.557452293230398</v>
      </c>
      <c r="AP228">
        <v>550.16153256472319</v>
      </c>
      <c r="AQ228">
        <v>236.64545834643138</v>
      </c>
      <c r="AR228">
        <v>78.561531232618108</v>
      </c>
      <c r="AS228">
        <v>477.65227484664888</v>
      </c>
      <c r="AT228">
        <v>28.989634719365355</v>
      </c>
      <c r="AU228">
        <v>19.796699264576919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60"/>
        <v>0.78268534984001203</v>
      </c>
      <c r="DH228" s="205">
        <f t="shared" si="361"/>
        <v>-1.3177610215033584E-2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18.108287440254554</v>
      </c>
      <c r="GA228">
        <v>52.497836234205238</v>
      </c>
      <c r="GB228">
        <v>37.115152076381335</v>
      </c>
      <c r="GC228">
        <v>10.80153126366125</v>
      </c>
      <c r="GD228">
        <v>4.9224392595861222</v>
      </c>
      <c r="GE228">
        <v>7.2413609223879316</v>
      </c>
      <c r="GF228">
        <v>12.111371510027515</v>
      </c>
      <c r="GG228">
        <v>24.045347276739754</v>
      </c>
      <c r="GH228">
        <v>30.970376953702861</v>
      </c>
      <c r="GI228">
        <v>33.581342273806882</v>
      </c>
      <c r="GJ228"/>
      <c r="GK228"/>
      <c r="GL228"/>
      <c r="GM228"/>
    </row>
    <row r="229" spans="1:195" s="7" customFormat="1">
      <c r="A229" s="90"/>
      <c r="B229">
        <v>0.50959910114652596</v>
      </c>
      <c r="C229">
        <v>9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56.3687096006988</v>
      </c>
      <c r="AO229">
        <v>58.000458784764916</v>
      </c>
      <c r="AP229">
        <v>436.43477716768632</v>
      </c>
      <c r="AQ229">
        <v>205.48636666732128</v>
      </c>
      <c r="AR229">
        <v>53.683139259043656</v>
      </c>
      <c r="AS229">
        <v>305.75335873825009</v>
      </c>
      <c r="AT229">
        <v>23.138696867095121</v>
      </c>
      <c r="AU229">
        <v>14.935992245727947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60"/>
        <v>1.2472090749239182</v>
      </c>
      <c r="DH229" s="205">
        <f t="shared" si="361"/>
        <v>1.6640458242305471E-2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29.736360673512042</v>
      </c>
      <c r="GA229">
        <v>38.105164664544404</v>
      </c>
      <c r="GB229">
        <v>36.852024205844657</v>
      </c>
      <c r="GC229">
        <v>11.976494429077956</v>
      </c>
      <c r="GD229">
        <v>6.7545755714700473</v>
      </c>
      <c r="GE229">
        <v>8.2155917732566</v>
      </c>
      <c r="GF229">
        <v>9.3984496606363628</v>
      </c>
      <c r="GG229">
        <v>20.294496928822035</v>
      </c>
      <c r="GH229">
        <v>28.850580605141619</v>
      </c>
      <c r="GI229">
        <v>36.872540971227281</v>
      </c>
      <c r="GJ229"/>
      <c r="GK229"/>
      <c r="GL229"/>
      <c r="GM229"/>
    </row>
    <row r="230" spans="1:195" s="7" customFormat="1">
      <c r="A230" s="77"/>
      <c r="B230">
        <v>0.95692423305003071</v>
      </c>
      <c r="C230">
        <v>2</v>
      </c>
      <c r="D230">
        <v>39646</v>
      </c>
      <c r="E230">
        <v>0</v>
      </c>
      <c r="F230">
        <v>20.833333333333332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10.416666666666666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10.416666666666666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42.179378644221217</v>
      </c>
      <c r="AO230">
        <v>43.382894847716024</v>
      </c>
      <c r="AP230">
        <v>337.57343727161572</v>
      </c>
      <c r="AQ230">
        <v>165.62749418340468</v>
      </c>
      <c r="AR230">
        <v>40.586227500437069</v>
      </c>
      <c r="AS230">
        <v>351.1977559755889</v>
      </c>
      <c r="AT230">
        <v>16.728885786813272</v>
      </c>
      <c r="AU230">
        <v>34.914768287890119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60"/>
        <v>0.47786335749570596</v>
      </c>
      <c r="DH230" s="205">
        <f t="shared" si="361"/>
        <v>-3.9972448554577135E-2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21.731188030325917</v>
      </c>
      <c r="GA230">
        <v>60.116073133391154</v>
      </c>
      <c r="GB230">
        <v>35.505045980852792</v>
      </c>
      <c r="GC230">
        <v>8.6997270688233392</v>
      </c>
      <c r="GD230">
        <v>5.0679009390562646</v>
      </c>
      <c r="GE230">
        <v>5.3573116018550637</v>
      </c>
      <c r="GF230">
        <v>10.797434381728753</v>
      </c>
      <c r="GG230">
        <v>20.051300010061222</v>
      </c>
      <c r="GH230">
        <v>18.064471016219915</v>
      </c>
      <c r="GI230">
        <v>32.455080400258545</v>
      </c>
      <c r="GJ230"/>
      <c r="GK230"/>
      <c r="GL230"/>
      <c r="GM230"/>
    </row>
    <row r="231" spans="1:195" s="7" customFormat="1">
      <c r="A231" s="77"/>
      <c r="B231">
        <v>0.21528737205633153</v>
      </c>
      <c r="C231">
        <v>9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72.779193947748894</v>
      </c>
      <c r="AO231">
        <v>95.800242973545863</v>
      </c>
      <c r="AP231">
        <v>629.112283552858</v>
      </c>
      <c r="AQ231">
        <v>235.64594747176557</v>
      </c>
      <c r="AR231">
        <v>88.87404313979151</v>
      </c>
      <c r="AS231">
        <v>396.848184187551</v>
      </c>
      <c r="AT231">
        <v>34.659704459098172</v>
      </c>
      <c r="AU231">
        <v>-16.09927469665012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60"/>
        <v>1.170332433057278</v>
      </c>
      <c r="DH231" s="205">
        <f t="shared" si="361"/>
        <v>1.8660797700152502E-2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27.471614019498546</v>
      </c>
      <c r="GA231">
        <v>49.955035026799067</v>
      </c>
      <c r="GB231">
        <v>27.153668893924738</v>
      </c>
      <c r="GC231">
        <v>9.3353731686357531</v>
      </c>
      <c r="GD231">
        <v>5.1927791171118045</v>
      </c>
      <c r="GE231">
        <v>5.2536460081096852</v>
      </c>
      <c r="GF231">
        <v>9.4267996864073638</v>
      </c>
      <c r="GG231">
        <v>10.966040161583921</v>
      </c>
      <c r="GH231">
        <v>6.4286902985939101</v>
      </c>
      <c r="GI231">
        <v>27.285161626073897</v>
      </c>
      <c r="GJ231"/>
      <c r="GK231"/>
      <c r="GL231"/>
      <c r="GM231"/>
    </row>
    <row r="232" spans="1:195" s="7" customFormat="1">
      <c r="A232" s="77"/>
      <c r="B232">
        <v>0.67062813202368243</v>
      </c>
      <c r="C232">
        <v>6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10.416666666666666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51.288407025915021</v>
      </c>
      <c r="AO232">
        <v>68.778999064164623</v>
      </c>
      <c r="AP232">
        <v>512.75213237809351</v>
      </c>
      <c r="AQ232">
        <v>213.09741765226863</v>
      </c>
      <c r="AR232">
        <v>64.268639278723214</v>
      </c>
      <c r="AS232">
        <v>302.37922345335221</v>
      </c>
      <c r="AT232">
        <v>27.949195971656764</v>
      </c>
      <c r="AU232">
        <v>-38.326077130574149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60"/>
        <v>2.5147428438050352</v>
      </c>
      <c r="DH232" s="205">
        <f t="shared" si="361"/>
        <v>1.2140995397928615E-2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22.605331986811969</v>
      </c>
      <c r="GA232">
        <v>52.863727263600751</v>
      </c>
      <c r="GB232">
        <v>33.548933431911195</v>
      </c>
      <c r="GC232">
        <v>11.8806170203055</v>
      </c>
      <c r="GD232">
        <v>7.5523389160699033</v>
      </c>
      <c r="GE232">
        <v>7.6184738184801954</v>
      </c>
      <c r="GF232">
        <v>7.2149870030569652</v>
      </c>
      <c r="GG232">
        <v>9.1400136593521726</v>
      </c>
      <c r="GH232">
        <v>3.7644202463121923</v>
      </c>
      <c r="GI232">
        <v>31.327060458487534</v>
      </c>
      <c r="GJ232"/>
      <c r="GK232"/>
      <c r="GL232"/>
      <c r="GM232"/>
    </row>
    <row r="233" spans="1:195" s="7" customFormat="1">
      <c r="A233" s="77"/>
      <c r="B233">
        <v>0.89672139615901347</v>
      </c>
      <c r="C233">
        <v>8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10.416666666666666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45.16217539149676</v>
      </c>
      <c r="AO233">
        <v>73.377962519415448</v>
      </c>
      <c r="AP233">
        <v>472.19450710969693</v>
      </c>
      <c r="AQ233">
        <v>179.95311040068893</v>
      </c>
      <c r="AR233">
        <v>67.994235264553026</v>
      </c>
      <c r="AS233">
        <v>373.30517813255699</v>
      </c>
      <c r="AT233">
        <v>27.789865394064023</v>
      </c>
      <c r="AU233">
        <v>-53.978873820838814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60"/>
        <v>1.4605740104268035</v>
      </c>
      <c r="DH233" s="205">
        <f t="shared" si="361"/>
        <v>-1.3931821360494916E-2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18.543255326092293</v>
      </c>
      <c r="GA233">
        <v>45.148416599627701</v>
      </c>
      <c r="GB233">
        <v>33.44772811311141</v>
      </c>
      <c r="GC233">
        <v>13.557100294938921</v>
      </c>
      <c r="GD233">
        <v>8.6853765881072782</v>
      </c>
      <c r="GE233">
        <v>8.2074961363598824</v>
      </c>
      <c r="GF233">
        <v>8.3592310188420971</v>
      </c>
      <c r="GG233">
        <v>14.156273710417425</v>
      </c>
      <c r="GH233">
        <v>10.831763248974205</v>
      </c>
      <c r="GI233">
        <v>33.027097410120319</v>
      </c>
      <c r="GJ233"/>
      <c r="GK233"/>
      <c r="GL233"/>
      <c r="GM233"/>
    </row>
    <row r="234" spans="1:195" s="7" customFormat="1">
      <c r="A234" s="77"/>
      <c r="B234">
        <v>0.55881259537676309</v>
      </c>
      <c r="C234">
        <v>2</v>
      </c>
      <c r="D234">
        <v>39646</v>
      </c>
      <c r="E234">
        <v>0</v>
      </c>
      <c r="F234">
        <v>20.833333333333332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10.416666666666666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10.416666666666666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56.73117026258528</v>
      </c>
      <c r="AO234">
        <v>82.723695005219469</v>
      </c>
      <c r="AP234">
        <v>572.02216296403924</v>
      </c>
      <c r="AQ234">
        <v>206.26831412734754</v>
      </c>
      <c r="AR234">
        <v>77.425779349949721</v>
      </c>
      <c r="AS234">
        <v>364.02944134101722</v>
      </c>
      <c r="AT234">
        <v>29.346720477363522</v>
      </c>
      <c r="AU234">
        <v>22.655346098144172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60"/>
        <v>0.54947109158463348</v>
      </c>
      <c r="DH234" s="205">
        <f t="shared" si="361"/>
        <v>-2.5727069246949247E-2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23.812337666219225</v>
      </c>
      <c r="GA234">
        <v>41.848240318935275</v>
      </c>
      <c r="GB234">
        <v>28.149570712974231</v>
      </c>
      <c r="GC234">
        <v>14.003296280958208</v>
      </c>
      <c r="GD234">
        <v>8.3292934714095086</v>
      </c>
      <c r="GE234">
        <v>5.1836423125282902</v>
      </c>
      <c r="GF234">
        <v>10.928923105665957</v>
      </c>
      <c r="GG234">
        <v>21.400286420054407</v>
      </c>
      <c r="GH234">
        <v>20.805147110288392</v>
      </c>
      <c r="GI234">
        <v>36.176759976623266</v>
      </c>
      <c r="GJ234"/>
      <c r="GK234"/>
      <c r="GL234"/>
      <c r="GM234"/>
    </row>
    <row r="235" spans="1:195" s="7" customFormat="1">
      <c r="A235" s="77"/>
      <c r="B235">
        <v>4.7243429427164196E-2</v>
      </c>
      <c r="C235">
        <v>7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53.819836558398961</v>
      </c>
      <c r="AO235">
        <v>82.764422180775512</v>
      </c>
      <c r="AP235">
        <v>588.2619747253076</v>
      </c>
      <c r="AQ235">
        <v>234.43182754256253</v>
      </c>
      <c r="AR235">
        <v>77.561925111846932</v>
      </c>
      <c r="AS235">
        <v>355.33835344444009</v>
      </c>
      <c r="AT235">
        <v>31.340224302266019</v>
      </c>
      <c r="AU235">
        <v>58.760279055946633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16.874367051688896</v>
      </c>
      <c r="GA235">
        <v>51.24317699066809</v>
      </c>
      <c r="GB235">
        <v>37.247970070867993</v>
      </c>
      <c r="GC235">
        <v>9.3528509564557023</v>
      </c>
      <c r="GD235">
        <v>4.6877981147634067</v>
      </c>
      <c r="GE235">
        <v>6.2061938692348537</v>
      </c>
      <c r="GF235">
        <v>5.6540424346085345</v>
      </c>
      <c r="GG235">
        <v>10.478500372811123</v>
      </c>
      <c r="GH235">
        <v>13.336334073245494</v>
      </c>
      <c r="GI235">
        <v>30.436816650333622</v>
      </c>
      <c r="GJ235"/>
      <c r="GK235"/>
      <c r="GL235"/>
      <c r="GM235"/>
    </row>
    <row r="236" spans="1:195" s="7" customFormat="1">
      <c r="A236" s="77"/>
      <c r="B236">
        <v>0.70430030114579312</v>
      </c>
      <c r="C236">
        <v>9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57.27493563559544</v>
      </c>
      <c r="AO236">
        <v>79.531189102062413</v>
      </c>
      <c r="AP236">
        <v>567.04816483392892</v>
      </c>
      <c r="AQ236">
        <v>231.61256465214754</v>
      </c>
      <c r="AR236">
        <v>74.073318716987572</v>
      </c>
      <c r="AS236">
        <v>334.2136950595538</v>
      </c>
      <c r="AT236">
        <v>28.234411766325252</v>
      </c>
      <c r="AU236">
        <v>-0.7919831302418352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32.946977398026107</v>
      </c>
      <c r="GA236">
        <v>78.246472332243073</v>
      </c>
      <c r="GB236">
        <v>58.905015977894372</v>
      </c>
      <c r="GC236">
        <v>13.788274254395429</v>
      </c>
      <c r="GD236">
        <v>6.3111755902492845</v>
      </c>
      <c r="GE236">
        <v>8.6068558336372494</v>
      </c>
      <c r="GF236">
        <v>5.4004039306048739</v>
      </c>
      <c r="GG236">
        <v>5.9846094754005756</v>
      </c>
      <c r="GH236">
        <v>12.623966084859395</v>
      </c>
      <c r="GI236">
        <v>40.566409491227184</v>
      </c>
      <c r="GJ236"/>
      <c r="GK236"/>
      <c r="GL236"/>
      <c r="GM236"/>
    </row>
    <row r="237" spans="1:195" s="7" customFormat="1">
      <c r="A237" s="77"/>
      <c r="B237">
        <v>0.14082526933162853</v>
      </c>
      <c r="C237">
        <v>10</v>
      </c>
      <c r="D237">
        <v>39646</v>
      </c>
      <c r="E237">
        <v>0</v>
      </c>
      <c r="F237">
        <v>20.833333333333332</v>
      </c>
      <c r="G237">
        <v>0</v>
      </c>
      <c r="H237">
        <v>10.416666666666666</v>
      </c>
      <c r="I237">
        <v>0</v>
      </c>
      <c r="J237">
        <v>0</v>
      </c>
      <c r="K237">
        <v>10.416666666666666</v>
      </c>
      <c r="L237">
        <v>0</v>
      </c>
      <c r="M237">
        <v>10.416666666666666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68.267085624613259</v>
      </c>
      <c r="AO237">
        <v>81.320497784333185</v>
      </c>
      <c r="AP237">
        <v>569.67179695396464</v>
      </c>
      <c r="AQ237">
        <v>233.43162695682452</v>
      </c>
      <c r="AR237">
        <v>75.31658774870904</v>
      </c>
      <c r="AS237">
        <v>352.68538046771437</v>
      </c>
      <c r="AT237">
        <v>31.71272959128498</v>
      </c>
      <c r="AU237">
        <v>-8.615650248658838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25.579974419452043</v>
      </c>
      <c r="GA237">
        <v>28.640481159349843</v>
      </c>
      <c r="GB237">
        <v>26.033626410480927</v>
      </c>
      <c r="GC237">
        <v>9.8500460723165375</v>
      </c>
      <c r="GD237">
        <v>4.7931075659303595</v>
      </c>
      <c r="GE237">
        <v>4.1851913797186517</v>
      </c>
      <c r="GF237">
        <v>11.412811210522618</v>
      </c>
      <c r="GG237">
        <v>22.409485252203464</v>
      </c>
      <c r="GH237">
        <v>22.86631975202631</v>
      </c>
      <c r="GI237">
        <v>28.523740746110906</v>
      </c>
      <c r="GJ237"/>
      <c r="GK237"/>
      <c r="GL237"/>
      <c r="GM237"/>
    </row>
    <row r="238" spans="1:195" s="7" customFormat="1">
      <c r="A238" s="77"/>
      <c r="B238">
        <v>0.28107599878681278</v>
      </c>
      <c r="C238">
        <v>8</v>
      </c>
      <c r="D238">
        <v>39673</v>
      </c>
      <c r="E238">
        <v>0</v>
      </c>
      <c r="F238">
        <v>0</v>
      </c>
      <c r="G238">
        <v>0</v>
      </c>
      <c r="H238">
        <v>20.833333333333332</v>
      </c>
      <c r="I238">
        <v>41.666666666666664</v>
      </c>
      <c r="J238">
        <v>0</v>
      </c>
      <c r="K238">
        <v>0</v>
      </c>
      <c r="L238">
        <v>20.833333333333332</v>
      </c>
      <c r="M238">
        <v>10.416666666666666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66.666258970706195</v>
      </c>
      <c r="AO238">
        <v>100.43190071981044</v>
      </c>
      <c r="AP238">
        <v>696.54178425575867</v>
      </c>
      <c r="AQ238">
        <v>261.55324647646916</v>
      </c>
      <c r="AR238">
        <v>93.784115068404702</v>
      </c>
      <c r="AS238">
        <v>616.06461772851037</v>
      </c>
      <c r="AT238">
        <v>37.648808711337161</v>
      </c>
      <c r="AU238">
        <v>112.66800498807679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37.893757006636022</v>
      </c>
      <c r="GA238">
        <v>53.609974192476955</v>
      </c>
      <c r="GB238">
        <v>33.033382319916427</v>
      </c>
      <c r="GC238">
        <v>10.71719647486894</v>
      </c>
      <c r="GD238">
        <v>7.1434584828116012</v>
      </c>
      <c r="GE238">
        <v>9.4050827033128783</v>
      </c>
      <c r="GF238">
        <v>4.2456506281398454</v>
      </c>
      <c r="GG238">
        <v>7.4120180620981095</v>
      </c>
      <c r="GH238">
        <v>10.783297378564592</v>
      </c>
      <c r="GI238">
        <v>32.913757286293418</v>
      </c>
      <c r="GJ238"/>
      <c r="GK238"/>
      <c r="GL238"/>
      <c r="GM238"/>
    </row>
    <row r="239" spans="1:195" s="7" customFormat="1">
      <c r="A239" s="77" t="s">
        <v>61</v>
      </c>
      <c r="B239">
        <v>0.24375086987760852</v>
      </c>
      <c r="C239">
        <v>2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58.854541307060515</v>
      </c>
      <c r="AO239">
        <v>70.932503692420454</v>
      </c>
      <c r="AP239">
        <v>548.75576888211867</v>
      </c>
      <c r="AQ239">
        <v>231.39504521075347</v>
      </c>
      <c r="AR239">
        <v>65.556737780300779</v>
      </c>
      <c r="AS239">
        <v>306.2628322304692</v>
      </c>
      <c r="AT239">
        <v>27.508545553533654</v>
      </c>
      <c r="AU239">
        <v>-22.796502051770503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24.269785705402601</v>
      </c>
      <c r="GA239">
        <v>71.855691024956116</v>
      </c>
      <c r="GB239">
        <v>33.165882199715739</v>
      </c>
      <c r="GC239">
        <v>11.216766431617222</v>
      </c>
      <c r="GD239">
        <v>7.5815983467335446</v>
      </c>
      <c r="GE239">
        <v>8.7344169330721222</v>
      </c>
      <c r="GF239">
        <v>12.025980953139552</v>
      </c>
      <c r="GG239">
        <v>20.95185989316408</v>
      </c>
      <c r="GH239">
        <v>18.332358219223391</v>
      </c>
      <c r="GI239">
        <v>35.378275883700603</v>
      </c>
      <c r="GJ239"/>
      <c r="GK239"/>
      <c r="GL239"/>
      <c r="GM239"/>
    </row>
    <row r="240" spans="1:195" s="7" customFormat="1">
      <c r="A240" s="77" t="s">
        <v>62</v>
      </c>
      <c r="B240">
        <v>0.52149179656089206</v>
      </c>
      <c r="C240">
        <v>3</v>
      </c>
      <c r="D240">
        <v>39673</v>
      </c>
      <c r="E240">
        <v>0</v>
      </c>
      <c r="F240">
        <v>0</v>
      </c>
      <c r="G240">
        <v>285.94771241830063</v>
      </c>
      <c r="H240">
        <v>142.97385620915031</v>
      </c>
      <c r="I240">
        <v>0</v>
      </c>
      <c r="J240">
        <v>0</v>
      </c>
      <c r="K240">
        <v>0</v>
      </c>
      <c r="L240">
        <v>0</v>
      </c>
      <c r="M240">
        <v>10.416666666666666</v>
      </c>
      <c r="N240">
        <v>0</v>
      </c>
      <c r="O240">
        <v>0</v>
      </c>
      <c r="P240">
        <v>0</v>
      </c>
      <c r="Q240">
        <v>10.416666666666666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67.309301571240468</v>
      </c>
      <c r="AO240">
        <v>77.781575285889375</v>
      </c>
      <c r="AP240">
        <v>552.07573300718207</v>
      </c>
      <c r="AQ240">
        <v>227.05627948353305</v>
      </c>
      <c r="AR240">
        <v>72.56267106104967</v>
      </c>
      <c r="AS240">
        <v>382.17891907082941</v>
      </c>
      <c r="AT240">
        <v>28.747210065485998</v>
      </c>
      <c r="AU240">
        <v>44.050429269986658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2.083333333333333</v>
      </c>
      <c r="DG240" s="182">
        <v>4.1666666666666661</v>
      </c>
      <c r="DH240" s="182">
        <v>0</v>
      </c>
      <c r="DI240" s="182">
        <v>1.0416666666666665</v>
      </c>
      <c r="DJ240" s="182">
        <v>3.125</v>
      </c>
      <c r="DK240" s="182">
        <v>2.083333333333333</v>
      </c>
      <c r="DL240" s="182">
        <v>3.125</v>
      </c>
      <c r="DM240" s="182">
        <v>0</v>
      </c>
      <c r="DN240" s="182">
        <v>2.083333333333333</v>
      </c>
      <c r="DO240" s="182">
        <v>1.0416666666666665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1.0416666666666665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17.030297944884598</v>
      </c>
      <c r="GA240">
        <v>40.029430609325239</v>
      </c>
      <c r="GB240">
        <v>27.886596419041972</v>
      </c>
      <c r="GC240">
        <v>12.362090645408635</v>
      </c>
      <c r="GD240">
        <v>11.235811445426991</v>
      </c>
      <c r="GE240">
        <v>14.322254442386896</v>
      </c>
      <c r="GF240">
        <v>7.1565599059702842</v>
      </c>
      <c r="GG240">
        <v>16.752825112803961</v>
      </c>
      <c r="GH240">
        <v>27.112124091783048</v>
      </c>
      <c r="GI240">
        <v>37.244915673138827</v>
      </c>
      <c r="GJ240"/>
      <c r="GK240"/>
      <c r="GL240"/>
      <c r="GM240"/>
    </row>
    <row r="241" spans="1:195" s="7" customFormat="1">
      <c r="A241" s="77"/>
      <c r="B241">
        <v>0.44430894997405446</v>
      </c>
      <c r="C241">
        <v>2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51.383947211740825</v>
      </c>
      <c r="AO241">
        <v>69.833573307005537</v>
      </c>
      <c r="AP241">
        <v>562.47766746329785</v>
      </c>
      <c r="AQ241">
        <v>217.84553256257297</v>
      </c>
      <c r="AR241">
        <v>66.250038899402142</v>
      </c>
      <c r="AS241">
        <v>431.03054170297395</v>
      </c>
      <c r="AT241">
        <v>27.683892625476407</v>
      </c>
      <c r="AU241">
        <v>17.178291465973238</v>
      </c>
      <c r="AV241"/>
      <c r="AW241"/>
      <c r="DE241" s="187">
        <v>39673</v>
      </c>
      <c r="DF241" s="185">
        <v>0</v>
      </c>
      <c r="DG241" s="185">
        <v>0</v>
      </c>
      <c r="DH241" s="185">
        <v>44.517390289449111</v>
      </c>
      <c r="DI241" s="185">
        <v>19.505718954248362</v>
      </c>
      <c r="DJ241" s="185">
        <v>4.1666666666666661</v>
      </c>
      <c r="DK241" s="185">
        <v>0</v>
      </c>
      <c r="DL241" s="185">
        <v>2.083333333333333</v>
      </c>
      <c r="DM241" s="185">
        <v>4.1666666666666661</v>
      </c>
      <c r="DN241" s="185">
        <v>5.208333333333333</v>
      </c>
      <c r="DO241" s="185">
        <v>1.0416666666666665</v>
      </c>
      <c r="DP241" s="185">
        <v>2.083333333333333</v>
      </c>
      <c r="DQ241" s="185">
        <v>0</v>
      </c>
      <c r="DR241" s="185">
        <v>2.083333333333333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16.120693125360358</v>
      </c>
      <c r="GA241">
        <v>59.970506613504583</v>
      </c>
      <c r="GB241">
        <v>28.801377314716184</v>
      </c>
      <c r="GC241">
        <v>10.032837100674826</v>
      </c>
      <c r="GD241">
        <v>5.4944849149201822</v>
      </c>
      <c r="GE241">
        <v>4.4210300284499899</v>
      </c>
      <c r="GF241">
        <v>11.727576066695276</v>
      </c>
      <c r="GG241">
        <v>20.812675981688784</v>
      </c>
      <c r="GH241">
        <v>19.36132982984774</v>
      </c>
      <c r="GI241">
        <v>29.341275684983003</v>
      </c>
      <c r="GJ241"/>
      <c r="GK241"/>
      <c r="GL241"/>
      <c r="GM241"/>
    </row>
    <row r="242" spans="1:195" s="7" customFormat="1">
      <c r="A242" s="1"/>
      <c r="B242">
        <v>0.76867998307001617</v>
      </c>
      <c r="C242">
        <v>8</v>
      </c>
      <c r="D242">
        <v>39673</v>
      </c>
      <c r="E242">
        <v>0</v>
      </c>
      <c r="F242">
        <v>0</v>
      </c>
      <c r="G242">
        <v>0</v>
      </c>
      <c r="H242">
        <v>20.833333333333332</v>
      </c>
      <c r="I242">
        <v>41.666666666666664</v>
      </c>
      <c r="J242">
        <v>0</v>
      </c>
      <c r="K242">
        <v>0</v>
      </c>
      <c r="L242">
        <v>20.833333333333332</v>
      </c>
      <c r="M242">
        <v>10.416666666666666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41.723640783317286</v>
      </c>
      <c r="AO242">
        <v>57.012044552781752</v>
      </c>
      <c r="AP242">
        <v>414.34217679835791</v>
      </c>
      <c r="AQ242">
        <v>178.46880800673867</v>
      </c>
      <c r="AR242">
        <v>54.869153251523528</v>
      </c>
      <c r="AS242">
        <v>269.38938296974959</v>
      </c>
      <c r="AT242">
        <v>21.917649565236829</v>
      </c>
      <c r="AU242">
        <v>0.36301484455761113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19.401041666666664</v>
      </c>
      <c r="DI242" s="182">
        <v>2.083333333333333</v>
      </c>
      <c r="DJ242" s="182">
        <v>7.2916666666666661</v>
      </c>
      <c r="DK242" s="182">
        <v>1.0416666666666665</v>
      </c>
      <c r="DL242" s="182">
        <v>1.0416666666666665</v>
      </c>
      <c r="DM242" s="182">
        <v>1.0416666666666665</v>
      </c>
      <c r="DN242" s="182">
        <v>1.0416666666666665</v>
      </c>
      <c r="DO242" s="182">
        <v>3.125</v>
      </c>
      <c r="DP242" s="182">
        <v>2.083333333333333</v>
      </c>
      <c r="DQ242" s="182">
        <v>3.125</v>
      </c>
      <c r="DR242" s="182">
        <v>5.208333333333333</v>
      </c>
      <c r="DS242" s="182">
        <v>1.0416666666666665</v>
      </c>
      <c r="DT242" s="182">
        <v>0</v>
      </c>
      <c r="DU242" s="182">
        <v>3.125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27.88513577866938</v>
      </c>
      <c r="GA242">
        <v>45.953536404022259</v>
      </c>
      <c r="GB242">
        <v>24.243974484442369</v>
      </c>
      <c r="GC242">
        <v>11.124820897461849</v>
      </c>
      <c r="GD242">
        <v>8.8916054310265515</v>
      </c>
      <c r="GE242">
        <v>9.6190937077433816</v>
      </c>
      <c r="GF242">
        <v>11.767104233842295</v>
      </c>
      <c r="GG242">
        <v>20.778200842854822</v>
      </c>
      <c r="GH242">
        <v>14.808449887774364</v>
      </c>
      <c r="GI242">
        <v>36.370454845969853</v>
      </c>
      <c r="GJ242"/>
      <c r="GK242"/>
      <c r="GL242"/>
      <c r="GM242"/>
    </row>
    <row r="243" spans="1:195" s="7" customFormat="1">
      <c r="A243" s="1"/>
      <c r="B243">
        <v>5.5248910185016875E-2</v>
      </c>
      <c r="C243">
        <v>5</v>
      </c>
      <c r="D243">
        <v>39673</v>
      </c>
      <c r="E243">
        <v>0</v>
      </c>
      <c r="F243">
        <v>0</v>
      </c>
      <c r="G243">
        <v>0</v>
      </c>
      <c r="H243">
        <v>10.416666666666666</v>
      </c>
      <c r="I243">
        <v>0</v>
      </c>
      <c r="J243">
        <v>0</v>
      </c>
      <c r="K243">
        <v>0</v>
      </c>
      <c r="L243">
        <v>10.416666666666666</v>
      </c>
      <c r="M243">
        <v>0</v>
      </c>
      <c r="N243">
        <v>0</v>
      </c>
      <c r="O243">
        <v>10.416666666666666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61.438740736449219</v>
      </c>
      <c r="AO243">
        <v>66.543404115754441</v>
      </c>
      <c r="AP243">
        <v>441.02122588856969</v>
      </c>
      <c r="AQ243">
        <v>187.51590380438839</v>
      </c>
      <c r="AR243">
        <v>62.832562665067002</v>
      </c>
      <c r="AS243">
        <v>416.95204826862062</v>
      </c>
      <c r="AT243">
        <v>22.838107736975164</v>
      </c>
      <c r="AU243">
        <v>15.397423937928426</v>
      </c>
      <c r="AV243"/>
      <c r="AW243"/>
      <c r="DE243" s="187">
        <v>39747</v>
      </c>
      <c r="DF243" s="182">
        <v>0</v>
      </c>
      <c r="DG243" s="182">
        <v>6.510416666666667</v>
      </c>
      <c r="DH243" s="182">
        <v>27.603039321789321</v>
      </c>
      <c r="DI243" s="182">
        <v>51.967877668308702</v>
      </c>
      <c r="DJ243" s="182">
        <v>1.0416666666666665</v>
      </c>
      <c r="DK243" s="182">
        <v>7.4404761904761916</v>
      </c>
      <c r="DL243" s="182">
        <v>0</v>
      </c>
      <c r="DM243" s="182">
        <v>0</v>
      </c>
      <c r="DN243" s="182">
        <v>0</v>
      </c>
      <c r="DO243" s="182">
        <v>0</v>
      </c>
      <c r="DP243" s="182">
        <v>1.0416666666666665</v>
      </c>
      <c r="DQ243" s="182">
        <v>2.083333333333333</v>
      </c>
      <c r="DR243" s="182">
        <v>5.2083333333333339</v>
      </c>
      <c r="DS243" s="182">
        <v>3.125</v>
      </c>
      <c r="DT243" s="182">
        <v>4.1666666666666661</v>
      </c>
      <c r="DU243" s="182">
        <v>7.8125</v>
      </c>
      <c r="DV243" s="182">
        <v>3.6458333333333335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24.917200691001732</v>
      </c>
      <c r="GA243">
        <v>81.567890032367529</v>
      </c>
      <c r="GB243">
        <v>34.427953303480635</v>
      </c>
      <c r="GC243">
        <v>7.717038151176201</v>
      </c>
      <c r="GD243">
        <v>5.5525282634607054</v>
      </c>
      <c r="GE243">
        <v>7.832737475639167</v>
      </c>
      <c r="GF243">
        <v>9.5030645512111391</v>
      </c>
      <c r="GG243">
        <v>12.893415271931852</v>
      </c>
      <c r="GH243">
        <v>14.771813569141068</v>
      </c>
      <c r="GI243">
        <v>29.976944111192527</v>
      </c>
      <c r="GJ243"/>
      <c r="GK243"/>
      <c r="GL243"/>
      <c r="GM243"/>
    </row>
    <row r="244" spans="1:195" s="7" customFormat="1">
      <c r="A244" s="1"/>
      <c r="B244">
        <v>0.14393543423122424</v>
      </c>
      <c r="C244">
        <v>4</v>
      </c>
      <c r="D244">
        <v>39673</v>
      </c>
      <c r="E244">
        <v>0</v>
      </c>
      <c r="F244">
        <v>0</v>
      </c>
      <c r="G244">
        <v>0</v>
      </c>
      <c r="H244">
        <v>10.416666666666666</v>
      </c>
      <c r="I244">
        <v>0</v>
      </c>
      <c r="J244">
        <v>0</v>
      </c>
      <c r="K244">
        <v>0</v>
      </c>
      <c r="L244">
        <v>0</v>
      </c>
      <c r="M244">
        <v>10.416666666666666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54.533899827244625</v>
      </c>
      <c r="AO244">
        <v>72.302001298322324</v>
      </c>
      <c r="AP244">
        <v>502.03097578577092</v>
      </c>
      <c r="AQ244">
        <v>193.96373844659152</v>
      </c>
      <c r="AR244">
        <v>68.145336342593524</v>
      </c>
      <c r="AS244">
        <v>359.01697439808515</v>
      </c>
      <c r="AT244">
        <v>28.147896097462734</v>
      </c>
      <c r="AU244">
        <v>27.642634797532995</v>
      </c>
      <c r="AV244"/>
      <c r="AW244"/>
      <c r="DE244" s="187">
        <v>39775</v>
      </c>
      <c r="DF244" s="182">
        <v>0</v>
      </c>
      <c r="DG244" s="182">
        <v>0</v>
      </c>
      <c r="DH244" s="182">
        <v>22.156535594035596</v>
      </c>
      <c r="DI244" s="182">
        <v>18.686868686868685</v>
      </c>
      <c r="DJ244" s="182">
        <v>10.948183760683762</v>
      </c>
      <c r="DK244" s="182">
        <v>4.545454545454545</v>
      </c>
      <c r="DL244" s="182">
        <v>3.125</v>
      </c>
      <c r="DM244" s="182">
        <v>0</v>
      </c>
      <c r="DN244" s="182">
        <v>0</v>
      </c>
      <c r="DO244" s="182">
        <v>0</v>
      </c>
      <c r="DP244" s="182">
        <v>1.0416666666666665</v>
      </c>
      <c r="DQ244" s="182">
        <v>4.5138888888888884</v>
      </c>
      <c r="DR244" s="182">
        <v>2.4621212121212119</v>
      </c>
      <c r="DS244" s="182">
        <v>11.334498834498834</v>
      </c>
      <c r="DT244" s="182">
        <v>0</v>
      </c>
      <c r="DU244" s="182">
        <v>1.4204545454545454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39.796931292919147</v>
      </c>
      <c r="GA244">
        <v>84.783326741624421</v>
      </c>
      <c r="GB244">
        <v>28.276855187237501</v>
      </c>
      <c r="GC244">
        <v>6.457754258900966</v>
      </c>
      <c r="GD244">
        <v>4.5893300252738882</v>
      </c>
      <c r="GE244">
        <v>5.6266869262306329</v>
      </c>
      <c r="GF244">
        <v>11.31373724871198</v>
      </c>
      <c r="GG244">
        <v>20.626962429442408</v>
      </c>
      <c r="GH244">
        <v>20.277284105127528</v>
      </c>
      <c r="GI244">
        <v>31.958616190459772</v>
      </c>
      <c r="GJ244"/>
      <c r="GK244"/>
      <c r="GL244"/>
      <c r="GM244"/>
    </row>
    <row r="245" spans="1:195" s="7" customFormat="1">
      <c r="A245" s="1"/>
      <c r="B245">
        <v>0.92839993090045425</v>
      </c>
      <c r="C245">
        <v>8</v>
      </c>
      <c r="D245">
        <v>39673</v>
      </c>
      <c r="E245">
        <v>0</v>
      </c>
      <c r="F245">
        <v>0</v>
      </c>
      <c r="G245">
        <v>0</v>
      </c>
      <c r="H245">
        <v>20.833333333333332</v>
      </c>
      <c r="I245">
        <v>41.666666666666664</v>
      </c>
      <c r="J245">
        <v>0</v>
      </c>
      <c r="K245">
        <v>0</v>
      </c>
      <c r="L245">
        <v>20.833333333333332</v>
      </c>
      <c r="M245">
        <v>10.416666666666666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48.01478949833249</v>
      </c>
      <c r="AO245">
        <v>77.677377223735704</v>
      </c>
      <c r="AP245">
        <v>514.48690024212931</v>
      </c>
      <c r="AQ245">
        <v>210.63749737565678</v>
      </c>
      <c r="AR245">
        <v>71.992252349341868</v>
      </c>
      <c r="AS245">
        <v>510.93467898960631</v>
      </c>
      <c r="AT245">
        <v>30.233917238872412</v>
      </c>
      <c r="AU245">
        <v>-29.929336042326554</v>
      </c>
      <c r="AV245"/>
      <c r="AW245"/>
      <c r="DE245" s="187">
        <v>39799</v>
      </c>
      <c r="DF245" s="182">
        <v>0</v>
      </c>
      <c r="DG245" s="182">
        <v>1.0416666666666665</v>
      </c>
      <c r="DH245" s="182">
        <v>23.181276088252833</v>
      </c>
      <c r="DI245" s="182">
        <v>30.332341269841272</v>
      </c>
      <c r="DJ245" s="182">
        <v>14.525058275058274</v>
      </c>
      <c r="DK245" s="182">
        <v>1.0416666666666665</v>
      </c>
      <c r="DL245" s="182">
        <v>0</v>
      </c>
      <c r="DM245" s="182">
        <v>3.7878787878787876</v>
      </c>
      <c r="DN245" s="182">
        <v>0</v>
      </c>
      <c r="DO245" s="182">
        <v>0</v>
      </c>
      <c r="DP245" s="182">
        <v>2.4038461538461537</v>
      </c>
      <c r="DQ245" s="182">
        <v>1.0416666666666665</v>
      </c>
      <c r="DR245" s="182">
        <v>3.4455128205128203</v>
      </c>
      <c r="DS245" s="182">
        <v>0</v>
      </c>
      <c r="DT245" s="182">
        <v>0</v>
      </c>
      <c r="DU245" s="182">
        <v>3.7878787878787876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0">
        <v>240</v>
      </c>
      <c r="FZ245">
        <v>27.841195973930329</v>
      </c>
      <c r="GA245">
        <v>54.943194540178723</v>
      </c>
      <c r="GB245">
        <v>36.61897553536496</v>
      </c>
      <c r="GC245">
        <v>13.582080305212589</v>
      </c>
      <c r="GD245">
        <v>8.1192458520825657</v>
      </c>
      <c r="GE245">
        <v>7.3298068678740087</v>
      </c>
      <c r="GF245">
        <v>10.654876511600881</v>
      </c>
      <c r="GG245">
        <v>21.836292043155442</v>
      </c>
      <c r="GH245">
        <v>21.882355544453333</v>
      </c>
      <c r="GI245">
        <v>37.741181046176422</v>
      </c>
      <c r="GJ245"/>
      <c r="GK245"/>
      <c r="GL245"/>
      <c r="GM245"/>
    </row>
    <row r="246" spans="1:195" s="7" customFormat="1">
      <c r="A246" s="1"/>
      <c r="B246">
        <v>5.2610509990337562E-2</v>
      </c>
      <c r="C246">
        <v>1</v>
      </c>
      <c r="D246">
        <v>39673</v>
      </c>
      <c r="E246">
        <v>0</v>
      </c>
      <c r="F246">
        <v>0</v>
      </c>
      <c r="G246">
        <v>0</v>
      </c>
      <c r="H246">
        <v>10.416666666666666</v>
      </c>
      <c r="I246">
        <v>0</v>
      </c>
      <c r="J246">
        <v>0</v>
      </c>
      <c r="K246">
        <v>10.416666666666666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52.973550755744803</v>
      </c>
      <c r="AO246">
        <v>67.186254877444796</v>
      </c>
      <c r="AP246">
        <v>489.95609333393259</v>
      </c>
      <c r="AQ246">
        <v>185.5180505846777</v>
      </c>
      <c r="AR246">
        <v>61.896820675840203</v>
      </c>
      <c r="AS246">
        <v>278.80371412774122</v>
      </c>
      <c r="AT246">
        <v>22.521729525576877</v>
      </c>
      <c r="AU246">
        <v>-26.500019019793324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7.5520833333333339</v>
      </c>
      <c r="DJ246" s="182">
        <v>3.4722222222222223</v>
      </c>
      <c r="DK246" s="182">
        <v>0</v>
      </c>
      <c r="DL246" s="182">
        <v>0</v>
      </c>
      <c r="DM246" s="182">
        <v>1.0416666666666665</v>
      </c>
      <c r="DN246" s="182">
        <v>0</v>
      </c>
      <c r="DO246" s="182">
        <v>0</v>
      </c>
      <c r="DP246" s="182">
        <v>1.0416666666666665</v>
      </c>
      <c r="DQ246" s="182">
        <v>0</v>
      </c>
      <c r="DR246" s="182">
        <v>0</v>
      </c>
      <c r="DS246" s="182">
        <v>1.0416666666666665</v>
      </c>
      <c r="DT246" s="182">
        <v>1.0416666666666665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30.037526390352909</v>
      </c>
      <c r="GA246">
        <v>41.325782056065762</v>
      </c>
      <c r="GB246">
        <v>18.639583057683492</v>
      </c>
      <c r="GC246">
        <v>10.929254332839864</v>
      </c>
      <c r="GD246">
        <v>7.7426244095049723</v>
      </c>
      <c r="GE246">
        <v>8.6288015493096619</v>
      </c>
      <c r="GF246">
        <v>13.563192241042058</v>
      </c>
      <c r="GG246">
        <v>23.554134492136988</v>
      </c>
      <c r="GH246">
        <v>19.81602341883109</v>
      </c>
      <c r="GI246">
        <v>36.567130932395841</v>
      </c>
      <c r="GJ246"/>
      <c r="GK246"/>
      <c r="GL246"/>
      <c r="GM246"/>
    </row>
    <row r="247" spans="1:195" s="7" customFormat="1">
      <c r="A247" s="77" t="s">
        <v>61</v>
      </c>
      <c r="B247">
        <v>0.26451626933224581</v>
      </c>
      <c r="C247">
        <v>1</v>
      </c>
      <c r="D247">
        <v>39673</v>
      </c>
      <c r="E247">
        <v>0</v>
      </c>
      <c r="F247">
        <v>0</v>
      </c>
      <c r="G247">
        <v>0</v>
      </c>
      <c r="H247">
        <v>10.416666666666666</v>
      </c>
      <c r="I247">
        <v>0</v>
      </c>
      <c r="J247">
        <v>0</v>
      </c>
      <c r="K247">
        <v>10.416666666666666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66.570312025534946</v>
      </c>
      <c r="AO247">
        <v>89.530770232751593</v>
      </c>
      <c r="AP247">
        <v>696.99502540483468</v>
      </c>
      <c r="AQ247">
        <v>263.38016036853759</v>
      </c>
      <c r="AR247">
        <v>84.955382443703996</v>
      </c>
      <c r="AS247">
        <v>409.11143819216375</v>
      </c>
      <c r="AT247">
        <v>31.889214909362735</v>
      </c>
      <c r="AU247">
        <v>28.319479241879151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1.0416666666666665</v>
      </c>
      <c r="DJ247" s="182">
        <v>3.125</v>
      </c>
      <c r="DK247" s="182">
        <v>1.0416666666666665</v>
      </c>
      <c r="DL247" s="182">
        <v>3.8825757575757569</v>
      </c>
      <c r="DM247" s="182">
        <v>1.0416666666666665</v>
      </c>
      <c r="DN247" s="182">
        <v>0</v>
      </c>
      <c r="DO247" s="182">
        <v>1.0416666666666665</v>
      </c>
      <c r="DP247" s="182">
        <v>0</v>
      </c>
      <c r="DQ247" s="182">
        <v>0</v>
      </c>
      <c r="DR247" s="182">
        <v>2.083333333333333</v>
      </c>
      <c r="DS247" s="182">
        <v>3.4375</v>
      </c>
      <c r="DT247" s="182">
        <v>2.083333333333333</v>
      </c>
      <c r="DU247" s="182">
        <v>0</v>
      </c>
      <c r="DV247" s="182">
        <v>1.0416666666666665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18.721248945053802</v>
      </c>
      <c r="GA247">
        <v>30.386362618297856</v>
      </c>
      <c r="GB247">
        <v>31.391392506117032</v>
      </c>
      <c r="GC247">
        <v>13.913421168383927</v>
      </c>
      <c r="GD247">
        <v>7.5379552299574604</v>
      </c>
      <c r="GE247">
        <v>7.5032002586167854</v>
      </c>
      <c r="GF247">
        <v>11.387882059541802</v>
      </c>
      <c r="GG247">
        <v>14.701653769565066</v>
      </c>
      <c r="GH247">
        <v>10.276834443937117</v>
      </c>
      <c r="GI247">
        <v>33.867585827237427</v>
      </c>
      <c r="GJ247"/>
      <c r="GK247"/>
      <c r="GL247"/>
      <c r="GM247"/>
    </row>
    <row r="248" spans="1:195" s="7" customFormat="1">
      <c r="A248" s="77" t="s">
        <v>62</v>
      </c>
      <c r="B248">
        <v>0.91507591592986137</v>
      </c>
      <c r="C248">
        <v>2</v>
      </c>
      <c r="D248">
        <v>39714</v>
      </c>
      <c r="E248">
        <v>0</v>
      </c>
      <c r="F248">
        <v>0</v>
      </c>
      <c r="G248">
        <v>20.833333333333332</v>
      </c>
      <c r="H248">
        <v>0</v>
      </c>
      <c r="I248">
        <v>0</v>
      </c>
      <c r="J248">
        <v>10.416666666666666</v>
      </c>
      <c r="K248">
        <v>0</v>
      </c>
      <c r="L248">
        <v>0</v>
      </c>
      <c r="M248">
        <v>10.416666666666666</v>
      </c>
      <c r="N248">
        <v>0</v>
      </c>
      <c r="O248">
        <v>0</v>
      </c>
      <c r="P248">
        <v>0</v>
      </c>
      <c r="Q248">
        <v>10.416666666666666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50.754431364350026</v>
      </c>
      <c r="AO248">
        <v>61.320335265380699</v>
      </c>
      <c r="AP248">
        <v>475.69194707858611</v>
      </c>
      <c r="AQ248">
        <v>184.29478396811163</v>
      </c>
      <c r="AR248">
        <v>58.444758304380557</v>
      </c>
      <c r="AS248">
        <v>281.90440218254423</v>
      </c>
      <c r="AT248">
        <v>23.47503414595867</v>
      </c>
      <c r="AU248">
        <v>-14.848478458813812</v>
      </c>
      <c r="AV248"/>
      <c r="AW248"/>
      <c r="DE248" s="187">
        <v>39949</v>
      </c>
      <c r="DF248" s="182">
        <v>0</v>
      </c>
      <c r="DG248" s="182">
        <v>0</v>
      </c>
      <c r="DH248" s="182">
        <v>0</v>
      </c>
      <c r="DI248" s="182">
        <v>6.6495433789954337</v>
      </c>
      <c r="DJ248" s="182">
        <v>7.203815261044177</v>
      </c>
      <c r="DK248" s="182">
        <v>0</v>
      </c>
      <c r="DL248" s="182">
        <v>0</v>
      </c>
      <c r="DM248" s="182">
        <v>0</v>
      </c>
      <c r="DN248" s="182">
        <v>1.0416666666666665</v>
      </c>
      <c r="DO248" s="182">
        <v>8</v>
      </c>
      <c r="DP248" s="182">
        <v>0</v>
      </c>
      <c r="DQ248" s="182">
        <v>0</v>
      </c>
      <c r="DR248" s="182">
        <v>1.0416666666666665</v>
      </c>
      <c r="DS248" s="182">
        <v>1.0416666666666665</v>
      </c>
      <c r="DT248" s="182">
        <v>2.083333333333333</v>
      </c>
      <c r="DU248" s="182">
        <v>2.083333333333333</v>
      </c>
      <c r="DV248" s="182">
        <v>1.0416666666666665</v>
      </c>
      <c r="DW248" s="182">
        <v>0</v>
      </c>
      <c r="DX248" s="182">
        <v>0</v>
      </c>
      <c r="DY248" s="182">
        <v>1.0416666666666665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0">
        <v>243</v>
      </c>
      <c r="FZ248">
        <v>33.156581780759943</v>
      </c>
      <c r="GA248">
        <v>51.047868561883</v>
      </c>
      <c r="GB248">
        <v>34.547017826348494</v>
      </c>
      <c r="GC248">
        <v>12.70134256095915</v>
      </c>
      <c r="GD248">
        <v>6.3461339702358019</v>
      </c>
      <c r="GE248">
        <v>5.6015816081895871</v>
      </c>
      <c r="GF248">
        <v>10.671746933172926</v>
      </c>
      <c r="GG248">
        <v>24.721547682628547</v>
      </c>
      <c r="GH248">
        <v>31.913793348277515</v>
      </c>
      <c r="GI248">
        <v>37.861597828405834</v>
      </c>
      <c r="GJ248"/>
      <c r="GK248"/>
      <c r="GL248"/>
      <c r="GM248"/>
    </row>
    <row r="249" spans="1:195" s="7" customFormat="1">
      <c r="A249" s="1"/>
      <c r="B249">
        <v>0.46431120635324774</v>
      </c>
      <c r="C249">
        <v>9</v>
      </c>
      <c r="D249">
        <v>39714</v>
      </c>
      <c r="E249">
        <v>0</v>
      </c>
      <c r="F249">
        <v>0</v>
      </c>
      <c r="G249">
        <v>10.416666666666666</v>
      </c>
      <c r="H249">
        <v>10.416666666666666</v>
      </c>
      <c r="I249">
        <v>0</v>
      </c>
      <c r="J249">
        <v>0</v>
      </c>
      <c r="K249">
        <v>10.416666666666666</v>
      </c>
      <c r="L249">
        <v>0</v>
      </c>
      <c r="M249">
        <v>0</v>
      </c>
      <c r="N249">
        <v>10.416666666666666</v>
      </c>
      <c r="O249">
        <v>0</v>
      </c>
      <c r="P249">
        <v>0</v>
      </c>
      <c r="Q249">
        <v>20.833333333333332</v>
      </c>
      <c r="R249">
        <v>10.416666666666666</v>
      </c>
      <c r="S249">
        <v>0</v>
      </c>
      <c r="T249">
        <v>31.25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58.813602772051617</v>
      </c>
      <c r="AO249">
        <v>69.560615965871349</v>
      </c>
      <c r="AP249">
        <v>458.39145346889899</v>
      </c>
      <c r="AQ249">
        <v>207.15757453511878</v>
      </c>
      <c r="AR249">
        <v>66.066086514632985</v>
      </c>
      <c r="AS249">
        <v>348.79565975438067</v>
      </c>
      <c r="AT249">
        <v>24.080368913716047</v>
      </c>
      <c r="AU249">
        <v>10.157710947535341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5.7779947916666661</v>
      </c>
      <c r="DJ249" s="182">
        <v>8.1903594771241828</v>
      </c>
      <c r="DK249" s="182">
        <v>0</v>
      </c>
      <c r="DL249" s="182">
        <v>1.0416666666666665</v>
      </c>
      <c r="DM249" s="182">
        <v>1.0416666666666665</v>
      </c>
      <c r="DN249" s="182">
        <v>0</v>
      </c>
      <c r="DO249" s="182">
        <v>1.0416666666666665</v>
      </c>
      <c r="DP249" s="182">
        <v>1.0416666666666665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1.0416666666666665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24.181288274471441</v>
      </c>
      <c r="GA249">
        <v>66.860905458538411</v>
      </c>
      <c r="GB249">
        <v>39.969521345485603</v>
      </c>
      <c r="GC249">
        <v>8.4749391651314188</v>
      </c>
      <c r="GD249">
        <v>3.7661113578963685</v>
      </c>
      <c r="GE249">
        <v>5.8570403532269841</v>
      </c>
      <c r="GF249">
        <v>11.251725694674047</v>
      </c>
      <c r="GG249">
        <v>20.439122385922836</v>
      </c>
      <c r="GH249">
        <v>18.442372563701671</v>
      </c>
      <c r="GI249">
        <v>32.034243352653583</v>
      </c>
      <c r="GJ249"/>
      <c r="GK249"/>
      <c r="GL249"/>
      <c r="GM249"/>
    </row>
    <row r="250" spans="1:195" s="7" customFormat="1">
      <c r="A250" s="1"/>
      <c r="B250">
        <v>0.84837238929652337</v>
      </c>
      <c r="C250">
        <v>6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20.833333333333332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60.616498019489327</v>
      </c>
      <c r="AO250">
        <v>73.829029247187151</v>
      </c>
      <c r="AP250">
        <v>566.41565715464867</v>
      </c>
      <c r="AQ250">
        <v>243.51261559072498</v>
      </c>
      <c r="AR250">
        <v>68.474903667203208</v>
      </c>
      <c r="AS250">
        <v>425.14876424789094</v>
      </c>
      <c r="AT250">
        <v>28.324796400766278</v>
      </c>
      <c r="AU250">
        <v>33.386557610873062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31.188304110557652</v>
      </c>
      <c r="GA250">
        <v>62.392607330397354</v>
      </c>
      <c r="GB250">
        <v>30.831731592672682</v>
      </c>
      <c r="GC250">
        <v>11.373546643808895</v>
      </c>
      <c r="GD250">
        <v>8.3713926135775392</v>
      </c>
      <c r="GE250">
        <v>10.275081465557051</v>
      </c>
      <c r="GF250">
        <v>10.875220557249042</v>
      </c>
      <c r="GG250">
        <v>19.862192764126409</v>
      </c>
      <c r="GH250">
        <v>18.370380919007236</v>
      </c>
      <c r="GI250">
        <v>33.951503127460477</v>
      </c>
      <c r="GJ250"/>
      <c r="GK250"/>
      <c r="GL250"/>
      <c r="GM250"/>
    </row>
    <row r="251" spans="1:195" s="7" customFormat="1">
      <c r="A251" s="1"/>
      <c r="B251">
        <v>7.6771288366602519E-2</v>
      </c>
      <c r="C251">
        <v>9</v>
      </c>
      <c r="D251">
        <v>39714</v>
      </c>
      <c r="E251">
        <v>0</v>
      </c>
      <c r="F251">
        <v>0</v>
      </c>
      <c r="G251">
        <v>10.416666666666666</v>
      </c>
      <c r="H251">
        <v>10.416666666666666</v>
      </c>
      <c r="I251">
        <v>0</v>
      </c>
      <c r="J251">
        <v>0</v>
      </c>
      <c r="K251">
        <v>10.416666666666666</v>
      </c>
      <c r="L251">
        <v>0</v>
      </c>
      <c r="M251">
        <v>0</v>
      </c>
      <c r="N251">
        <v>10.416666666666666</v>
      </c>
      <c r="O251">
        <v>0</v>
      </c>
      <c r="P251">
        <v>0</v>
      </c>
      <c r="Q251">
        <v>20.833333333333332</v>
      </c>
      <c r="R251">
        <v>10.416666666666666</v>
      </c>
      <c r="S251">
        <v>0</v>
      </c>
      <c r="T251">
        <v>31.25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62.072843417132688</v>
      </c>
      <c r="AO251">
        <v>80.178447823283321</v>
      </c>
      <c r="AP251">
        <v>521.38360691791843</v>
      </c>
      <c r="AQ251">
        <v>211.13290629017047</v>
      </c>
      <c r="AR251">
        <v>76.323492892280115</v>
      </c>
      <c r="AS251">
        <v>426.67850626600347</v>
      </c>
      <c r="AT251">
        <v>29.372656600139411</v>
      </c>
      <c r="AU251">
        <v>15.91115541030098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26.14007964324702</v>
      </c>
      <c r="GA251">
        <v>57.232056990320167</v>
      </c>
      <c r="GB251">
        <v>38.346882806210743</v>
      </c>
      <c r="GC251">
        <v>14.692361768877545</v>
      </c>
      <c r="GD251">
        <v>9.6645336807148308</v>
      </c>
      <c r="GE251">
        <v>10.527370800649789</v>
      </c>
      <c r="GF251">
        <v>6.778286313987639</v>
      </c>
      <c r="GG251">
        <v>8.6239392936239305</v>
      </c>
      <c r="GH251">
        <v>12.475162085957704</v>
      </c>
      <c r="GI251">
        <v>35.192171540204747</v>
      </c>
      <c r="GJ251"/>
      <c r="GK251"/>
      <c r="GL251"/>
      <c r="GM251"/>
    </row>
    <row r="252" spans="1:195" s="7" customFormat="1">
      <c r="A252" s="1"/>
      <c r="B252">
        <v>0.60722013542484987</v>
      </c>
      <c r="C252">
        <v>1</v>
      </c>
      <c r="D252">
        <v>39714</v>
      </c>
      <c r="E252">
        <v>0</v>
      </c>
      <c r="F252">
        <v>0</v>
      </c>
      <c r="G252">
        <v>65.104166666666671</v>
      </c>
      <c r="H252">
        <v>0</v>
      </c>
      <c r="I252">
        <v>10.416666666666666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10.416666666666666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45.645517620289432</v>
      </c>
      <c r="AO252">
        <v>61.033877448415424</v>
      </c>
      <c r="AP252">
        <v>476.33243685649347</v>
      </c>
      <c r="AQ252">
        <v>206.08378666084093</v>
      </c>
      <c r="AR252">
        <v>56.702363454157236</v>
      </c>
      <c r="AS252">
        <v>407.35041127080819</v>
      </c>
      <c r="AT252">
        <v>23.812546316460214</v>
      </c>
      <c r="AU252">
        <v>-34.142120996019585</v>
      </c>
      <c r="AV252"/>
      <c r="AW252"/>
      <c r="FY252" s="210">
        <v>247</v>
      </c>
      <c r="FZ252">
        <v>36.411081516423152</v>
      </c>
      <c r="GA252">
        <v>76.329296381566337</v>
      </c>
      <c r="GB252">
        <v>43.57403881701854</v>
      </c>
      <c r="GC252">
        <v>10.500981491403218</v>
      </c>
      <c r="GD252">
        <v>6.7929070567416794</v>
      </c>
      <c r="GE252">
        <v>8.4633111564781149</v>
      </c>
      <c r="GF252">
        <v>11.931784874036248</v>
      </c>
      <c r="GG252">
        <v>17.199910881620376</v>
      </c>
      <c r="GH252">
        <v>14.728844161792452</v>
      </c>
      <c r="GI252">
        <v>41.260471861917019</v>
      </c>
      <c r="GJ252"/>
      <c r="GK252"/>
      <c r="GL252"/>
      <c r="GM252"/>
    </row>
    <row r="253" spans="1:195" s="7" customFormat="1">
      <c r="A253" s="1"/>
      <c r="B253">
        <v>0.38483164154332439</v>
      </c>
      <c r="C253">
        <v>3</v>
      </c>
      <c r="D253">
        <v>39714</v>
      </c>
      <c r="E253">
        <v>0</v>
      </c>
      <c r="F253">
        <v>0</v>
      </c>
      <c r="G253">
        <v>97.65625</v>
      </c>
      <c r="H253">
        <v>0</v>
      </c>
      <c r="I253">
        <v>10.416666666666666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20.833333333333332</v>
      </c>
      <c r="P253">
        <v>10.416666666666666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53.391432910646643</v>
      </c>
      <c r="AO253">
        <v>76.526271897402779</v>
      </c>
      <c r="AP253">
        <v>490.94450376296953</v>
      </c>
      <c r="AQ253">
        <v>211.44237651380715</v>
      </c>
      <c r="AR253">
        <v>71.50685682576372</v>
      </c>
      <c r="AS253">
        <v>559.50773895262262</v>
      </c>
      <c r="AT253">
        <v>29.868513865801976</v>
      </c>
      <c r="AU253">
        <v>12.110834120109406</v>
      </c>
      <c r="AV253"/>
      <c r="AW253"/>
      <c r="FY253" s="210">
        <v>248</v>
      </c>
      <c r="FZ253">
        <v>17.416514676691079</v>
      </c>
      <c r="GA253">
        <v>37.493485826517073</v>
      </c>
      <c r="GB253">
        <v>31.500470065608319</v>
      </c>
      <c r="GC253">
        <v>10.984861936025533</v>
      </c>
      <c r="GD253">
        <v>3.9362408362978023</v>
      </c>
      <c r="GE253">
        <v>3.4262693469412939</v>
      </c>
      <c r="GF253">
        <v>12.004091427222415</v>
      </c>
      <c r="GG253">
        <v>17.416192627642296</v>
      </c>
      <c r="GH253">
        <v>10.878273876954427</v>
      </c>
      <c r="GI253">
        <v>26.857740901430891</v>
      </c>
      <c r="GJ253"/>
      <c r="GK253"/>
      <c r="GL253"/>
      <c r="GM253"/>
    </row>
    <row r="254" spans="1:195" s="7" customFormat="1">
      <c r="A254" s="1"/>
      <c r="B254">
        <v>0.26308966508007003</v>
      </c>
      <c r="C254">
        <v>5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52.165959051602066</v>
      </c>
      <c r="AO254">
        <v>61.349689287854936</v>
      </c>
      <c r="AP254">
        <v>518.86920828142411</v>
      </c>
      <c r="AQ254">
        <v>229.16058542060256</v>
      </c>
      <c r="AR254">
        <v>57.730537314553501</v>
      </c>
      <c r="AS254">
        <v>301.34209725909449</v>
      </c>
      <c r="AT254">
        <v>24.362504190890192</v>
      </c>
      <c r="AU254">
        <v>15.232307506026388</v>
      </c>
      <c r="AV254"/>
      <c r="AW254"/>
      <c r="FY254" s="210">
        <v>249</v>
      </c>
      <c r="FZ254">
        <v>16.397984011589294</v>
      </c>
      <c r="GA254">
        <v>52.377135627892628</v>
      </c>
      <c r="GB254">
        <v>49.369699877420018</v>
      </c>
      <c r="GC254">
        <v>13.554454500428056</v>
      </c>
      <c r="GD254">
        <v>6.8073636177905668</v>
      </c>
      <c r="GE254">
        <v>7.1478870337815135</v>
      </c>
      <c r="GF254">
        <v>7.4227811184923569</v>
      </c>
      <c r="GG254">
        <v>17.164790086336758</v>
      </c>
      <c r="GH254">
        <v>19.972750601956101</v>
      </c>
      <c r="GI254">
        <v>36.967877161929763</v>
      </c>
      <c r="GJ254"/>
      <c r="GK254"/>
      <c r="GL254"/>
      <c r="GM254"/>
    </row>
    <row r="255" spans="1:195" s="7" customFormat="1">
      <c r="A255" s="1"/>
      <c r="B255">
        <v>0.23351948407375467</v>
      </c>
      <c r="C255">
        <v>1</v>
      </c>
      <c r="D255">
        <v>39714</v>
      </c>
      <c r="E255">
        <v>0</v>
      </c>
      <c r="F255">
        <v>0</v>
      </c>
      <c r="G255">
        <v>65.104166666666671</v>
      </c>
      <c r="H255">
        <v>0</v>
      </c>
      <c r="I255">
        <v>10.416666666666666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10.416666666666666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61.471290002870361</v>
      </c>
      <c r="AO255">
        <v>66.384685841713264</v>
      </c>
      <c r="AP255">
        <v>584.43265387480642</v>
      </c>
      <c r="AQ255">
        <v>253.70748440592823</v>
      </c>
      <c r="AR255">
        <v>64.537775812586574</v>
      </c>
      <c r="AS255">
        <v>420.4398804728869</v>
      </c>
      <c r="AT255">
        <v>27.046673070373341</v>
      </c>
      <c r="AU255">
        <v>99.23895190406833</v>
      </c>
      <c r="AV255"/>
      <c r="AW255"/>
      <c r="FY255" s="210">
        <v>250</v>
      </c>
      <c r="FZ255">
        <v>19.028924943092989</v>
      </c>
      <c r="GA255">
        <v>35.539012173265704</v>
      </c>
      <c r="GB255">
        <v>34.044375968784877</v>
      </c>
      <c r="GC255">
        <v>12.84865421489396</v>
      </c>
      <c r="GD255">
        <v>7.1791438560580341</v>
      </c>
      <c r="GE255">
        <v>8.4202979100198778</v>
      </c>
      <c r="GF255">
        <v>10.221158145640874</v>
      </c>
      <c r="GG255">
        <v>11.054784727977324</v>
      </c>
      <c r="GH255">
        <v>10.028054671576989</v>
      </c>
      <c r="GI255">
        <v>31.699022059335945</v>
      </c>
      <c r="GJ255"/>
      <c r="GK255"/>
      <c r="GL255"/>
      <c r="GM255"/>
    </row>
    <row r="256" spans="1:195" s="7" customFormat="1">
      <c r="A256" s="1"/>
      <c r="B256">
        <v>0.64664195559656257</v>
      </c>
      <c r="C256">
        <v>6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20.833333333333332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51.502243204057947</v>
      </c>
      <c r="AO256">
        <v>81.69790662718836</v>
      </c>
      <c r="AP256">
        <v>599.48310636743065</v>
      </c>
      <c r="AQ256">
        <v>240.54920422002928</v>
      </c>
      <c r="AR256">
        <v>76.590315357760645</v>
      </c>
      <c r="AS256">
        <v>424.71617877895352</v>
      </c>
      <c r="AT256">
        <v>31.646669273937832</v>
      </c>
      <c r="AU256">
        <v>-75.291307445828082</v>
      </c>
      <c r="AV256"/>
      <c r="AW256"/>
      <c r="FY256" s="210">
        <v>251</v>
      </c>
      <c r="FZ256">
        <v>14.787927645863457</v>
      </c>
      <c r="GA256">
        <v>40.024334842228427</v>
      </c>
      <c r="GB256">
        <v>42.004353017738708</v>
      </c>
      <c r="GC256">
        <v>13.112109662937678</v>
      </c>
      <c r="GD256">
        <v>7.0616245241699378</v>
      </c>
      <c r="GE256">
        <v>7.7732889608933009</v>
      </c>
      <c r="GF256">
        <v>7.1265703056925727</v>
      </c>
      <c r="GG256">
        <v>14.663684995177938</v>
      </c>
      <c r="GH256">
        <v>23.710610217658207</v>
      </c>
      <c r="GI256">
        <v>36.256515861891117</v>
      </c>
      <c r="GJ256"/>
      <c r="GK256"/>
      <c r="GL256"/>
      <c r="GM256"/>
    </row>
    <row r="257" spans="1:195" s="7" customFormat="1">
      <c r="A257" s="1"/>
      <c r="B257">
        <v>0.23598006789215664</v>
      </c>
      <c r="C257">
        <v>8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10.416666666666666</v>
      </c>
      <c r="M257">
        <v>0</v>
      </c>
      <c r="N257">
        <v>0</v>
      </c>
      <c r="O257">
        <v>0</v>
      </c>
      <c r="P257">
        <v>0</v>
      </c>
      <c r="Q257">
        <v>10.416666666666666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52.342533651414627</v>
      </c>
      <c r="AO257">
        <v>78.470840659554355</v>
      </c>
      <c r="AP257">
        <v>510.9516223768814</v>
      </c>
      <c r="AQ257">
        <v>210.80405288016266</v>
      </c>
      <c r="AR257">
        <v>74.58689975313186</v>
      </c>
      <c r="AS257">
        <v>537.99719611162914</v>
      </c>
      <c r="AT257">
        <v>32.723369869541258</v>
      </c>
      <c r="AU257">
        <v>69.598949454413869</v>
      </c>
      <c r="AV257"/>
      <c r="AW257"/>
      <c r="FY257" s="210">
        <v>252</v>
      </c>
      <c r="FZ257">
        <v>27.287869461467686</v>
      </c>
      <c r="GA257">
        <v>57.628003693681762</v>
      </c>
      <c r="GB257">
        <v>29.242101145167865</v>
      </c>
      <c r="GC257">
        <v>10.686483702606003</v>
      </c>
      <c r="GD257">
        <v>10.173159232484217</v>
      </c>
      <c r="GE257">
        <v>12.618992277689415</v>
      </c>
      <c r="GF257">
        <v>12.126439933913051</v>
      </c>
      <c r="GG257">
        <v>30.040277709143634</v>
      </c>
      <c r="GH257">
        <v>36.532890832212985</v>
      </c>
      <c r="GI257">
        <v>42.54480373599813</v>
      </c>
      <c r="GJ257"/>
      <c r="GK257"/>
      <c r="GL257"/>
      <c r="GM257"/>
    </row>
    <row r="258" spans="1:195" s="7" customFormat="1">
      <c r="A258" s="1"/>
      <c r="B258">
        <v>0.52307283941711447</v>
      </c>
      <c r="C258">
        <v>7</v>
      </c>
      <c r="D258">
        <v>39747</v>
      </c>
      <c r="E258">
        <v>0</v>
      </c>
      <c r="F258">
        <v>0</v>
      </c>
      <c r="G258">
        <v>74.404761904761912</v>
      </c>
      <c r="H258">
        <v>148.80952380952382</v>
      </c>
      <c r="I258">
        <v>0</v>
      </c>
      <c r="J258">
        <v>74.404761904761912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61.440513544653285</v>
      </c>
      <c r="AO258">
        <v>73.058615072470744</v>
      </c>
      <c r="AP258">
        <v>456.70968863476327</v>
      </c>
      <c r="AQ258">
        <v>179.68753682670825</v>
      </c>
      <c r="AR258">
        <v>67.625052731684974</v>
      </c>
      <c r="AS258">
        <v>317.47341978827598</v>
      </c>
      <c r="AT258">
        <v>26.028786633872084</v>
      </c>
      <c r="AU258">
        <v>12.647047937779718</v>
      </c>
      <c r="AV258"/>
      <c r="AW258"/>
      <c r="FY258" s="210">
        <v>253</v>
      </c>
      <c r="FZ258">
        <v>24.368075081997411</v>
      </c>
      <c r="GA258">
        <v>48.970213443454632</v>
      </c>
      <c r="GB258">
        <v>28.731178332086774</v>
      </c>
      <c r="GC258">
        <v>13.448846664703332</v>
      </c>
      <c r="GD258">
        <v>7.1056818884940522</v>
      </c>
      <c r="GE258">
        <v>5.5136675464143687</v>
      </c>
      <c r="GF258">
        <v>10.694050981779762</v>
      </c>
      <c r="GG258">
        <v>16.351228472731414</v>
      </c>
      <c r="GH258">
        <v>15.158088445755348</v>
      </c>
      <c r="GI258">
        <v>33.244486358603893</v>
      </c>
      <c r="GJ258"/>
      <c r="GK258"/>
      <c r="GL258"/>
      <c r="GM258"/>
    </row>
    <row r="259" spans="1:195" s="7" customFormat="1">
      <c r="A259" s="90"/>
      <c r="B259">
        <v>0.53041735983756011</v>
      </c>
      <c r="C259">
        <v>2</v>
      </c>
      <c r="D259">
        <v>39747</v>
      </c>
      <c r="E259">
        <v>0</v>
      </c>
      <c r="F259">
        <v>0</v>
      </c>
      <c r="G259">
        <v>91.145833333333329</v>
      </c>
      <c r="H259">
        <v>182.29166666666666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52.083333333333336</v>
      </c>
      <c r="R259">
        <v>0</v>
      </c>
      <c r="S259">
        <v>0</v>
      </c>
      <c r="T259">
        <v>78.125</v>
      </c>
      <c r="U259">
        <v>26.041666666666668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64.053996535959485</v>
      </c>
      <c r="AO259">
        <v>79.458026530212535</v>
      </c>
      <c r="AP259">
        <v>591.26684899791178</v>
      </c>
      <c r="AQ259">
        <v>248.5692121008608</v>
      </c>
      <c r="AR259">
        <v>75.378544831098949</v>
      </c>
      <c r="AS259">
        <v>449.35687601651642</v>
      </c>
      <c r="AT259">
        <v>29.882685966820443</v>
      </c>
      <c r="AU259">
        <v>-26.120220560457589</v>
      </c>
      <c r="AV259"/>
      <c r="AW259"/>
      <c r="FY259" s="210">
        <v>254</v>
      </c>
      <c r="FZ259">
        <v>22.720818728403923</v>
      </c>
      <c r="GA259">
        <v>34.057060235918406</v>
      </c>
      <c r="GB259">
        <v>17.209849105557389</v>
      </c>
      <c r="GC259">
        <v>7.5490727820969017</v>
      </c>
      <c r="GD259">
        <v>7.5728377266733231</v>
      </c>
      <c r="GE259">
        <v>11.58363307600861</v>
      </c>
      <c r="GF259">
        <v>9.4741334234151857</v>
      </c>
      <c r="GG259">
        <v>21.013532793209443</v>
      </c>
      <c r="GH259">
        <v>30.854737398756058</v>
      </c>
      <c r="GI259">
        <v>28.577027629459447</v>
      </c>
      <c r="GJ259"/>
      <c r="GK259"/>
      <c r="GL259"/>
      <c r="GM259"/>
    </row>
    <row r="260" spans="1:195" s="7" customFormat="1">
      <c r="A260" s="77" t="s">
        <v>61</v>
      </c>
      <c r="B260">
        <v>0.40122709509897558</v>
      </c>
      <c r="C260">
        <v>9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10.416666666666666</v>
      </c>
      <c r="S260">
        <v>0</v>
      </c>
      <c r="T260">
        <v>0</v>
      </c>
      <c r="U260">
        <v>10.416666666666666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54.467654659028952</v>
      </c>
      <c r="AO260">
        <v>67.940134215042491</v>
      </c>
      <c r="AP260">
        <v>567.12085358938907</v>
      </c>
      <c r="AQ260">
        <v>231.27726995170235</v>
      </c>
      <c r="AR260">
        <v>63.136658825173072</v>
      </c>
      <c r="AS260">
        <v>293.55007915331896</v>
      </c>
      <c r="AT260">
        <v>25.422332223483881</v>
      </c>
      <c r="AU260">
        <v>-4.7688600912733152</v>
      </c>
      <c r="AV260"/>
      <c r="AW260"/>
      <c r="FY260" s="210">
        <v>255</v>
      </c>
      <c r="FZ260">
        <v>21.405911406808126</v>
      </c>
      <c r="GA260">
        <v>41.13434010450387</v>
      </c>
      <c r="GB260">
        <v>26.531929649305031</v>
      </c>
      <c r="GC260">
        <v>12.603848502222789</v>
      </c>
      <c r="GD260">
        <v>7.7069009894454013</v>
      </c>
      <c r="GE260">
        <v>7.8346511039427513</v>
      </c>
      <c r="GF260">
        <v>6.7784526167752395</v>
      </c>
      <c r="GG260">
        <v>13.852439130640208</v>
      </c>
      <c r="GH260">
        <v>22.01751509598915</v>
      </c>
      <c r="GI260">
        <v>29.175435353655963</v>
      </c>
      <c r="GJ260"/>
      <c r="GK260"/>
      <c r="GL260"/>
      <c r="GM260"/>
    </row>
    <row r="261" spans="1:195" s="7" customFormat="1">
      <c r="A261" s="77" t="s">
        <v>62</v>
      </c>
      <c r="B261">
        <v>0.79062610209023876</v>
      </c>
      <c r="C261">
        <v>10</v>
      </c>
      <c r="D261">
        <v>39747</v>
      </c>
      <c r="E261">
        <v>0</v>
      </c>
      <c r="F261">
        <v>65.104166666666671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59.112787809018684</v>
      </c>
      <c r="AO261">
        <v>68.227474387022411</v>
      </c>
      <c r="AP261">
        <v>501.36487433677627</v>
      </c>
      <c r="AQ261">
        <v>237.49196112441433</v>
      </c>
      <c r="AR261">
        <v>63.958443780229914</v>
      </c>
      <c r="AS261">
        <v>367.05985052510943</v>
      </c>
      <c r="AT261">
        <v>25.992029644612373</v>
      </c>
      <c r="AU261">
        <v>-3.0326375314975529</v>
      </c>
      <c r="AV261"/>
      <c r="AW261"/>
      <c r="FY261" s="210">
        <v>256</v>
      </c>
      <c r="FZ261">
        <v>20.036383741504054</v>
      </c>
      <c r="GA261">
        <v>63.078465202814769</v>
      </c>
      <c r="GB261">
        <v>33.748401715696666</v>
      </c>
      <c r="GC261">
        <v>12.931812303651803</v>
      </c>
      <c r="GD261">
        <v>9.5808139888728778</v>
      </c>
      <c r="GE261">
        <v>10.107391997639294</v>
      </c>
      <c r="GF261">
        <v>7.2440495078249079</v>
      </c>
      <c r="GG261">
        <v>16.083342897807771</v>
      </c>
      <c r="GH261">
        <v>19.953085952811612</v>
      </c>
      <c r="GI261">
        <v>37.841947020298015</v>
      </c>
      <c r="GJ261"/>
      <c r="GK261"/>
      <c r="GL261"/>
      <c r="GM261"/>
    </row>
    <row r="262" spans="1:195" s="7" customFormat="1" ht="12.75" customHeight="1">
      <c r="A262" s="77"/>
      <c r="B262">
        <v>0.55441587261362235</v>
      </c>
      <c r="C262">
        <v>7</v>
      </c>
      <c r="D262">
        <v>39747</v>
      </c>
      <c r="E262">
        <v>0</v>
      </c>
      <c r="F262">
        <v>0</v>
      </c>
      <c r="G262">
        <v>74.404761904761912</v>
      </c>
      <c r="H262">
        <v>148.80952380952382</v>
      </c>
      <c r="I262">
        <v>0</v>
      </c>
      <c r="J262">
        <v>74.404761904761912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63.056231509499391</v>
      </c>
      <c r="AO262">
        <v>71.569205016746452</v>
      </c>
      <c r="AP262">
        <v>479.83922076033411</v>
      </c>
      <c r="AQ262">
        <v>219.67284492379409</v>
      </c>
      <c r="AR262">
        <v>67.217850003504637</v>
      </c>
      <c r="AS262">
        <v>421.97786843002677</v>
      </c>
      <c r="AT262">
        <v>26.754091544053718</v>
      </c>
      <c r="AU262">
        <v>4.8923147918362755</v>
      </c>
      <c r="AV262"/>
      <c r="AW262"/>
      <c r="FY262" s="210">
        <v>257</v>
      </c>
      <c r="FZ262">
        <v>22.743729724711095</v>
      </c>
      <c r="GA262">
        <v>62.640750809554504</v>
      </c>
      <c r="GB262">
        <v>32.560793157895432</v>
      </c>
      <c r="GC262">
        <v>9.8014491278040765</v>
      </c>
      <c r="GD262">
        <v>3.8294587154070938</v>
      </c>
      <c r="GE262">
        <v>2.884945548148202</v>
      </c>
      <c r="GF262">
        <v>5.3342098417008579</v>
      </c>
      <c r="GG262">
        <v>7.5632167075949832</v>
      </c>
      <c r="GH262">
        <v>7.5437538245320708</v>
      </c>
      <c r="GI262">
        <v>22.93135715388938</v>
      </c>
      <c r="GJ262"/>
      <c r="GK262"/>
      <c r="GL262"/>
      <c r="GM262"/>
    </row>
    <row r="263" spans="1:195" s="7" customFormat="1">
      <c r="A263" s="77"/>
      <c r="B263">
        <v>0.20177093668121149</v>
      </c>
      <c r="C263">
        <v>5</v>
      </c>
      <c r="D263">
        <v>39747</v>
      </c>
      <c r="E263">
        <v>0</v>
      </c>
      <c r="F263">
        <v>0</v>
      </c>
      <c r="G263">
        <v>110.47979797979797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20.833333333333332</v>
      </c>
      <c r="Q263">
        <v>0</v>
      </c>
      <c r="R263">
        <v>10.416666666666666</v>
      </c>
      <c r="S263">
        <v>31.25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64.673616225946461</v>
      </c>
      <c r="AO263">
        <v>90.633980114698701</v>
      </c>
      <c r="AP263">
        <v>698.19374181156797</v>
      </c>
      <c r="AQ263">
        <v>267.19262819899717</v>
      </c>
      <c r="AR263">
        <v>85.849004535129495</v>
      </c>
      <c r="AS263">
        <v>422.58356618702845</v>
      </c>
      <c r="AT263">
        <v>33.987095848028183</v>
      </c>
      <c r="AU263">
        <v>51.901828124945638</v>
      </c>
      <c r="AV263"/>
      <c r="AW263"/>
      <c r="FY263" s="210">
        <v>258</v>
      </c>
      <c r="FZ263">
        <v>30.610513297563386</v>
      </c>
      <c r="GA263">
        <v>49.254294792979699</v>
      </c>
      <c r="GB263">
        <v>32.466273809900102</v>
      </c>
      <c r="GC263">
        <v>12.462267851096843</v>
      </c>
      <c r="GD263">
        <v>6.9297989968532487</v>
      </c>
      <c r="GE263">
        <v>6.8080927559553901</v>
      </c>
      <c r="GF263">
        <v>8.4268788647081347</v>
      </c>
      <c r="GG263">
        <v>18.832825951133806</v>
      </c>
      <c r="GH263">
        <v>23.566854202283324</v>
      </c>
      <c r="GI263">
        <v>33.766563059217212</v>
      </c>
      <c r="GJ263"/>
      <c r="GK263"/>
      <c r="GL263"/>
      <c r="GM263"/>
    </row>
    <row r="264" spans="1:195" s="7" customFormat="1">
      <c r="A264" s="77"/>
      <c r="B264">
        <v>0.57041486891538651</v>
      </c>
      <c r="C264">
        <v>5</v>
      </c>
      <c r="D264">
        <v>39747</v>
      </c>
      <c r="E264">
        <v>0</v>
      </c>
      <c r="F264">
        <v>0</v>
      </c>
      <c r="G264">
        <v>110.47979797979797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20.833333333333332</v>
      </c>
      <c r="Q264">
        <v>0</v>
      </c>
      <c r="R264">
        <v>10.416666666666666</v>
      </c>
      <c r="S264">
        <v>31.25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47.817916988739711</v>
      </c>
      <c r="AO264">
        <v>55.452444047817472</v>
      </c>
      <c r="AP264">
        <v>407.98921624145396</v>
      </c>
      <c r="AQ264">
        <v>171.91414152133115</v>
      </c>
      <c r="AR264">
        <v>52.33209376075353</v>
      </c>
      <c r="AS264">
        <v>361.70569739647692</v>
      </c>
      <c r="AT264">
        <v>20.953344958843324</v>
      </c>
      <c r="AU264">
        <v>32.359459999600176</v>
      </c>
      <c r="AV264"/>
      <c r="AW264"/>
      <c r="FY264" s="210">
        <v>259</v>
      </c>
      <c r="FZ264">
        <v>29.436082465006262</v>
      </c>
      <c r="GA264">
        <v>29.127542644850301</v>
      </c>
      <c r="GB264">
        <v>14.799639146054103</v>
      </c>
      <c r="GC264">
        <v>10.773342808407556</v>
      </c>
      <c r="GD264">
        <v>4.9787687780007071</v>
      </c>
      <c r="GE264">
        <v>2.9126791336076563</v>
      </c>
      <c r="GF264">
        <v>9.2197820435905253</v>
      </c>
      <c r="GG264">
        <v>17.363408923671216</v>
      </c>
      <c r="GH264">
        <v>19.215603495465299</v>
      </c>
      <c r="GI264">
        <v>24.613611924247337</v>
      </c>
      <c r="GJ264"/>
      <c r="GK264"/>
      <c r="GL264"/>
      <c r="GM264"/>
    </row>
    <row r="265" spans="1:195" s="7" customFormat="1">
      <c r="A265" s="77"/>
      <c r="B265">
        <v>0.29329923378043987</v>
      </c>
      <c r="C265">
        <v>10</v>
      </c>
      <c r="D265">
        <v>39747</v>
      </c>
      <c r="E265">
        <v>0</v>
      </c>
      <c r="F265">
        <v>65.104166666666671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61.508162504427752</v>
      </c>
      <c r="AO265">
        <v>79.251095744436881</v>
      </c>
      <c r="AP265">
        <v>581.95335126437578</v>
      </c>
      <c r="AQ265">
        <v>227.18272363761707</v>
      </c>
      <c r="AR265">
        <v>73.394819737656974</v>
      </c>
      <c r="AS265">
        <v>438.79974331496095</v>
      </c>
      <c r="AT265">
        <v>27.864242217120594</v>
      </c>
      <c r="AU265">
        <v>18.177282645452713</v>
      </c>
      <c r="AV265"/>
      <c r="AW265"/>
      <c r="FY265" s="210">
        <v>260</v>
      </c>
      <c r="FZ265">
        <v>25.559404489316673</v>
      </c>
      <c r="GA265">
        <v>70.432022355852041</v>
      </c>
      <c r="GB265">
        <v>35.951968669941948</v>
      </c>
      <c r="GC265">
        <v>11.946453070192456</v>
      </c>
      <c r="GD265">
        <v>6.7662869582986698</v>
      </c>
      <c r="GE265">
        <v>5.2549908812319233</v>
      </c>
      <c r="GF265">
        <v>6.9685652239209901</v>
      </c>
      <c r="GG265">
        <v>16.795463919459209</v>
      </c>
      <c r="GH265">
        <v>24.378878198906047</v>
      </c>
      <c r="GI265">
        <v>36.424795751822309</v>
      </c>
      <c r="GJ265"/>
      <c r="GK265"/>
      <c r="GL265"/>
      <c r="GM265"/>
    </row>
    <row r="266" spans="1:195" s="7" customFormat="1">
      <c r="A266" s="1"/>
      <c r="B266">
        <v>0.76857807187503635</v>
      </c>
      <c r="C266">
        <v>6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10.416666666666666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10.416666666666666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60.692623519227176</v>
      </c>
      <c r="AO266">
        <v>67.076582723481238</v>
      </c>
      <c r="AP266">
        <v>428.08688604177934</v>
      </c>
      <c r="AQ266">
        <v>180.0634286706466</v>
      </c>
      <c r="AR266">
        <v>61.5781272850978</v>
      </c>
      <c r="AS266">
        <v>391.51358009157087</v>
      </c>
      <c r="AT266">
        <v>23.159442573864215</v>
      </c>
      <c r="AU266">
        <v>25.765547172722318</v>
      </c>
      <c r="AV266"/>
      <c r="AW266"/>
      <c r="FY266" s="210">
        <v>261</v>
      </c>
      <c r="FZ266">
        <v>14.861182895542139</v>
      </c>
      <c r="GA266">
        <v>76.934751665000661</v>
      </c>
      <c r="GB266">
        <v>39.265068989897223</v>
      </c>
      <c r="GC266">
        <v>13.225359112251237</v>
      </c>
      <c r="GD266">
        <v>8.5811499555399529</v>
      </c>
      <c r="GE266">
        <v>9.7310543541612944</v>
      </c>
      <c r="GF266">
        <v>6.9714044681903635</v>
      </c>
      <c r="GG266">
        <v>10.653539197627753</v>
      </c>
      <c r="GH266">
        <v>19.58762790600105</v>
      </c>
      <c r="GI266">
        <v>35.054776213807408</v>
      </c>
      <c r="GJ266"/>
      <c r="GK266"/>
      <c r="GL266"/>
      <c r="GM266"/>
    </row>
    <row r="267" spans="1:195" s="7" customFormat="1">
      <c r="A267" s="1"/>
      <c r="B267">
        <v>0.58116653543097008</v>
      </c>
      <c r="C267">
        <v>1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10.416666666666666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49.918582070247979</v>
      </c>
      <c r="AO267">
        <v>79.872438178662634</v>
      </c>
      <c r="AP267">
        <v>562.55985724591937</v>
      </c>
      <c r="AQ267">
        <v>206.52102003425131</v>
      </c>
      <c r="AR267">
        <v>74.896769462367686</v>
      </c>
      <c r="AS267">
        <v>348.56012784768632</v>
      </c>
      <c r="AT267">
        <v>33.650090633681963</v>
      </c>
      <c r="AU267">
        <v>-16.684874264801188</v>
      </c>
      <c r="AV267"/>
      <c r="AW267"/>
      <c r="FY267" s="210">
        <v>262</v>
      </c>
      <c r="FZ267">
        <v>29.328131462223407</v>
      </c>
      <c r="GA267">
        <v>58.393045591055916</v>
      </c>
      <c r="GB267">
        <v>53.757234567084943</v>
      </c>
      <c r="GC267">
        <v>14.108468122218097</v>
      </c>
      <c r="GD267">
        <v>4.4957812071115031</v>
      </c>
      <c r="GE267">
        <v>3.1997174595531925</v>
      </c>
      <c r="GF267">
        <v>8.5878129829681651</v>
      </c>
      <c r="GG267">
        <v>16.795833279128296</v>
      </c>
      <c r="GH267">
        <v>16.882643613191291</v>
      </c>
      <c r="GI267">
        <v>39.664669184811792</v>
      </c>
      <c r="GJ267"/>
      <c r="GK267"/>
      <c r="GL267"/>
      <c r="GM267"/>
    </row>
    <row r="268" spans="1:195" s="7" customFormat="1">
      <c r="A268" s="1"/>
      <c r="B268">
        <v>0.4821938103742287</v>
      </c>
      <c r="C268">
        <v>8</v>
      </c>
      <c r="D268">
        <v>39775</v>
      </c>
      <c r="E268">
        <v>0</v>
      </c>
      <c r="F268">
        <v>0</v>
      </c>
      <c r="G268">
        <v>34.722222222222221</v>
      </c>
      <c r="H268">
        <v>0</v>
      </c>
      <c r="I268">
        <v>34.722222222222221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34.722222222222221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61.150526276649771</v>
      </c>
      <c r="AO268">
        <v>92.546975318840367</v>
      </c>
      <c r="AP268">
        <v>670.72450453726697</v>
      </c>
      <c r="AQ268">
        <v>268.8810217243647</v>
      </c>
      <c r="AR268">
        <v>85.551599524097568</v>
      </c>
      <c r="AS268">
        <v>385.44457370608797</v>
      </c>
      <c r="AT268">
        <v>36.53687345815279</v>
      </c>
      <c r="AU268">
        <v>77.38722037898107</v>
      </c>
      <c r="AV268"/>
      <c r="AW268"/>
      <c r="FY268" s="210">
        <v>263</v>
      </c>
      <c r="FZ268">
        <v>19.645387060730002</v>
      </c>
      <c r="GA268">
        <v>63.565159906604094</v>
      </c>
      <c r="GB268">
        <v>44.526312558403518</v>
      </c>
      <c r="GC268">
        <v>11.819630284159206</v>
      </c>
      <c r="GD268">
        <v>8.1846601511688171</v>
      </c>
      <c r="GE268">
        <v>9.5958897336234674</v>
      </c>
      <c r="GF268">
        <v>8.9104892014368229</v>
      </c>
      <c r="GG268">
        <v>21.067682385137111</v>
      </c>
      <c r="GH268">
        <v>32.534504417707581</v>
      </c>
      <c r="GI268">
        <v>39.716332240269857</v>
      </c>
      <c r="GJ268"/>
      <c r="GK268"/>
      <c r="GL268"/>
      <c r="GM268"/>
    </row>
    <row r="269" spans="1:195" s="7" customFormat="1">
      <c r="A269" s="1"/>
      <c r="B269">
        <v>0.30740381952640328</v>
      </c>
      <c r="C269">
        <v>6</v>
      </c>
      <c r="D269">
        <v>39775</v>
      </c>
      <c r="E269">
        <v>0</v>
      </c>
      <c r="F269">
        <v>0</v>
      </c>
      <c r="G269">
        <v>0</v>
      </c>
      <c r="H269">
        <v>10.416666666666666</v>
      </c>
      <c r="I269">
        <v>20.833333333333332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10.416666666666666</v>
      </c>
      <c r="R269">
        <v>10.416666666666666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58.354163590053744</v>
      </c>
      <c r="AO269">
        <v>69.626870652320378</v>
      </c>
      <c r="AP269">
        <v>459.95909447098967</v>
      </c>
      <c r="AQ269">
        <v>203.58551721602097</v>
      </c>
      <c r="AR269">
        <v>64.073089809069458</v>
      </c>
      <c r="AS269">
        <v>376.2111378357701</v>
      </c>
      <c r="AT269">
        <v>26.172924148481968</v>
      </c>
      <c r="AU269">
        <v>40.076002079690298</v>
      </c>
      <c r="AV269"/>
      <c r="AW269"/>
      <c r="FY269" s="210">
        <v>264</v>
      </c>
      <c r="FZ269">
        <v>25.523568407492622</v>
      </c>
      <c r="GA269">
        <v>56.748177126207963</v>
      </c>
      <c r="GB269">
        <v>35.08899754448727</v>
      </c>
      <c r="GC269">
        <v>9.8885236156336145</v>
      </c>
      <c r="GD269">
        <v>7.3791142418341202</v>
      </c>
      <c r="GE269">
        <v>9.8880450444050076</v>
      </c>
      <c r="GF269">
        <v>5.1152865347141372</v>
      </c>
      <c r="GG269">
        <v>19.623828518027338</v>
      </c>
      <c r="GH269">
        <v>37.248120726809518</v>
      </c>
      <c r="GI269">
        <v>33.418476737722827</v>
      </c>
      <c r="GJ269"/>
      <c r="GK269"/>
      <c r="GL269"/>
      <c r="GM269"/>
    </row>
    <row r="270" spans="1:195" s="7" customFormat="1">
      <c r="A270" s="1"/>
      <c r="B270">
        <v>0.35953684686976395</v>
      </c>
      <c r="C270">
        <v>7</v>
      </c>
      <c r="D270">
        <v>39775</v>
      </c>
      <c r="E270">
        <v>0</v>
      </c>
      <c r="F270">
        <v>0</v>
      </c>
      <c r="G270">
        <v>135.20622895622895</v>
      </c>
      <c r="H270">
        <v>126.26262626262626</v>
      </c>
      <c r="I270">
        <v>0</v>
      </c>
      <c r="J270">
        <v>14.204545454545453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14.204545454545453</v>
      </c>
      <c r="R270">
        <v>28.409090909090907</v>
      </c>
      <c r="S270">
        <v>0</v>
      </c>
      <c r="T270">
        <v>14.204545454545453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56.258086095577141</v>
      </c>
      <c r="AO270">
        <v>60.37807984067134</v>
      </c>
      <c r="AP270">
        <v>453.62296888761654</v>
      </c>
      <c r="AQ270">
        <v>190.61270289949869</v>
      </c>
      <c r="AR270">
        <v>58.856953484368063</v>
      </c>
      <c r="AS270">
        <v>299.55869491098531</v>
      </c>
      <c r="AT270">
        <v>23.911620172613123</v>
      </c>
      <c r="AU270">
        <v>-4.5571769509723925</v>
      </c>
      <c r="AV270"/>
      <c r="AW270"/>
      <c r="FY270" s="210">
        <v>265</v>
      </c>
      <c r="FZ270">
        <v>21.149784348293473</v>
      </c>
      <c r="GA270">
        <v>58.39797741104811</v>
      </c>
      <c r="GB270">
        <v>30.433937328379294</v>
      </c>
      <c r="GC270">
        <v>8.9727348277528396</v>
      </c>
      <c r="GD270">
        <v>5.4688491210332009</v>
      </c>
      <c r="GE270">
        <v>5.3721524769555886</v>
      </c>
      <c r="GF270">
        <v>11.915590366393909</v>
      </c>
      <c r="GG270">
        <v>23.942552394612662</v>
      </c>
      <c r="GH270">
        <v>21.741189255553589</v>
      </c>
      <c r="GI270">
        <v>31.277417245587252</v>
      </c>
      <c r="GJ270"/>
      <c r="GK270"/>
      <c r="GL270"/>
      <c r="GM270"/>
    </row>
    <row r="271" spans="1:195" s="7" customFormat="1">
      <c r="A271" s="77"/>
      <c r="B271">
        <v>0.82986268484881975</v>
      </c>
      <c r="C271">
        <v>8</v>
      </c>
      <c r="D271">
        <v>39775</v>
      </c>
      <c r="E271">
        <v>0</v>
      </c>
      <c r="F271">
        <v>0</v>
      </c>
      <c r="G271">
        <v>34.722222222222221</v>
      </c>
      <c r="H271">
        <v>0</v>
      </c>
      <c r="I271">
        <v>34.722222222222221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34.722222222222221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56.961659711593157</v>
      </c>
      <c r="AO271">
        <v>59.901949956481076</v>
      </c>
      <c r="AP271">
        <v>413.23884776209695</v>
      </c>
      <c r="AQ271">
        <v>189.04142395328853</v>
      </c>
      <c r="AR271">
        <v>56.427863297160258</v>
      </c>
      <c r="AS271">
        <v>350.1996090785716</v>
      </c>
      <c r="AT271">
        <v>24.027033454286478</v>
      </c>
      <c r="AU271">
        <v>-37.913270988261509</v>
      </c>
      <c r="AV271"/>
      <c r="AW271"/>
      <c r="FY271" s="210">
        <v>266</v>
      </c>
      <c r="FZ271">
        <v>26.982741345955375</v>
      </c>
      <c r="GA271">
        <v>47.615579547836688</v>
      </c>
      <c r="GB271">
        <v>34.909812910062278</v>
      </c>
      <c r="GC271">
        <v>10.443492941084269</v>
      </c>
      <c r="GD271">
        <v>4.6985796197321212</v>
      </c>
      <c r="GE271">
        <v>4.0854416338739306</v>
      </c>
      <c r="GF271">
        <v>10.303029791855433</v>
      </c>
      <c r="GG271">
        <v>14.132285181727791</v>
      </c>
      <c r="GH271">
        <v>11.015609558046352</v>
      </c>
      <c r="GI271">
        <v>31.436823221428554</v>
      </c>
      <c r="GJ271"/>
      <c r="GK271"/>
      <c r="GL271"/>
      <c r="GM271"/>
    </row>
    <row r="272" spans="1:195" s="7" customFormat="1">
      <c r="A272" s="77"/>
      <c r="B272">
        <v>2.3730981499747728E-2</v>
      </c>
      <c r="C272">
        <v>10</v>
      </c>
      <c r="D272">
        <v>39775</v>
      </c>
      <c r="E272">
        <v>0</v>
      </c>
      <c r="F272">
        <v>0</v>
      </c>
      <c r="G272">
        <v>0</v>
      </c>
      <c r="H272">
        <v>20.833333333333332</v>
      </c>
      <c r="I272">
        <v>0</v>
      </c>
      <c r="J272">
        <v>20.833333333333332</v>
      </c>
      <c r="K272">
        <v>0</v>
      </c>
      <c r="L272">
        <v>0</v>
      </c>
      <c r="M272">
        <v>0</v>
      </c>
      <c r="N272">
        <v>0</v>
      </c>
      <c r="O272">
        <v>10.416666666666666</v>
      </c>
      <c r="P272">
        <v>10.416666666666666</v>
      </c>
      <c r="Q272">
        <v>0</v>
      </c>
      <c r="R272">
        <v>10.416666666666666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57.223916773412796</v>
      </c>
      <c r="AO272">
        <v>79.750480960794832</v>
      </c>
      <c r="AP272">
        <v>524.66155044692118</v>
      </c>
      <c r="AQ272">
        <v>230.6056943289218</v>
      </c>
      <c r="AR272">
        <v>74.04562791686007</v>
      </c>
      <c r="AS272">
        <v>386.73637915561056</v>
      </c>
      <c r="AT272">
        <v>29.942359375663429</v>
      </c>
      <c r="AU272">
        <v>-29.654913792457954</v>
      </c>
      <c r="AV272"/>
      <c r="AW272"/>
      <c r="FY272" s="210">
        <v>267</v>
      </c>
      <c r="FZ272">
        <v>27.937920703176488</v>
      </c>
      <c r="GA272">
        <v>53.528498943483683</v>
      </c>
      <c r="GB272">
        <v>46.725376324571535</v>
      </c>
      <c r="GC272">
        <v>12.763214859918078</v>
      </c>
      <c r="GD272">
        <v>6.9087265213201192</v>
      </c>
      <c r="GE272">
        <v>7.6686123145099376</v>
      </c>
      <c r="GF272">
        <v>12.312101063018698</v>
      </c>
      <c r="GG272">
        <v>16.903676673686462</v>
      </c>
      <c r="GH272">
        <v>10.427342568502674</v>
      </c>
      <c r="GI272">
        <v>39.953573154150511</v>
      </c>
      <c r="GJ272"/>
      <c r="GK272"/>
      <c r="GL272"/>
      <c r="GM272"/>
    </row>
    <row r="273" spans="1:195" s="7" customFormat="1">
      <c r="A273" s="1"/>
      <c r="B273">
        <v>0.54895756052746414</v>
      </c>
      <c r="C273">
        <v>8</v>
      </c>
      <c r="D273">
        <v>39775</v>
      </c>
      <c r="E273">
        <v>0</v>
      </c>
      <c r="F273">
        <v>0</v>
      </c>
      <c r="G273">
        <v>34.722222222222221</v>
      </c>
      <c r="H273">
        <v>0</v>
      </c>
      <c r="I273">
        <v>34.722222222222221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34.722222222222221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49.884372397167503</v>
      </c>
      <c r="AO273">
        <v>45.137215937947708</v>
      </c>
      <c r="AP273">
        <v>371.74834321249625</v>
      </c>
      <c r="AQ273">
        <v>177.83366461123774</v>
      </c>
      <c r="AR273">
        <v>42.265651002029934</v>
      </c>
      <c r="AS273">
        <v>266.09194327755688</v>
      </c>
      <c r="AT273">
        <v>19.158574253146281</v>
      </c>
      <c r="AU273">
        <v>-39.179087587611136</v>
      </c>
      <c r="AV273"/>
      <c r="AW273"/>
      <c r="FY273" s="210">
        <v>268</v>
      </c>
      <c r="FZ273">
        <v>16.040020259117217</v>
      </c>
      <c r="GA273">
        <v>38.027104730961177</v>
      </c>
      <c r="GB273">
        <v>45.298205866198778</v>
      </c>
      <c r="GC273">
        <v>9.5135662487385328</v>
      </c>
      <c r="GD273">
        <v>4.5492305122963419</v>
      </c>
      <c r="GE273">
        <v>9.1129579234920044</v>
      </c>
      <c r="GF273">
        <v>10.658057845218513</v>
      </c>
      <c r="GG273">
        <v>15.879571073497603</v>
      </c>
      <c r="GH273">
        <v>11.535025624015125</v>
      </c>
      <c r="GI273">
        <v>32.481883589958912</v>
      </c>
      <c r="GJ273"/>
      <c r="GK273"/>
      <c r="GL273"/>
      <c r="GM273"/>
    </row>
    <row r="274" spans="1:195" s="7" customFormat="1">
      <c r="A274" s="1"/>
      <c r="B274">
        <v>0.62189641921785244</v>
      </c>
      <c r="C274">
        <v>4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10.416666666666666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64.910154482671473</v>
      </c>
      <c r="AO274">
        <v>69.502004111028782</v>
      </c>
      <c r="AP274">
        <v>495.61856615339809</v>
      </c>
      <c r="AQ274">
        <v>223.12436358169111</v>
      </c>
      <c r="AR274">
        <v>65.04924335512888</v>
      </c>
      <c r="AS274">
        <v>423.73135809512524</v>
      </c>
      <c r="AT274">
        <v>27.232861507497844</v>
      </c>
      <c r="AU274">
        <v>6.1222627621543069</v>
      </c>
      <c r="AV274"/>
      <c r="AW274"/>
      <c r="FY274" s="210">
        <v>269</v>
      </c>
      <c r="FZ274">
        <v>22.160911123365118</v>
      </c>
      <c r="GA274">
        <v>57.072820850372324</v>
      </c>
      <c r="GB274">
        <v>34.972618953319618</v>
      </c>
      <c r="GC274">
        <v>9.1183925466743148</v>
      </c>
      <c r="GD274">
        <v>6.8792949545938198</v>
      </c>
      <c r="GE274">
        <v>10.277921717074342</v>
      </c>
      <c r="GF274">
        <v>9.5855977288824619</v>
      </c>
      <c r="GG274">
        <v>17.126348840243715</v>
      </c>
      <c r="GH274">
        <v>19.498353884545018</v>
      </c>
      <c r="GI274">
        <v>33.800372595172746</v>
      </c>
      <c r="GJ274"/>
      <c r="GK274"/>
      <c r="GL274"/>
      <c r="GM274"/>
    </row>
    <row r="275" spans="1:195" s="7" customFormat="1">
      <c r="A275" s="1"/>
      <c r="B275">
        <v>5.0583320178782643E-2</v>
      </c>
      <c r="C275">
        <v>8</v>
      </c>
      <c r="D275">
        <v>39775</v>
      </c>
      <c r="E275">
        <v>0</v>
      </c>
      <c r="F275">
        <v>0</v>
      </c>
      <c r="G275">
        <v>34.722222222222221</v>
      </c>
      <c r="H275">
        <v>0</v>
      </c>
      <c r="I275">
        <v>34.722222222222221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34.722222222222221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48.916998639374214</v>
      </c>
      <c r="AO275">
        <v>50.638402130090341</v>
      </c>
      <c r="AP275">
        <v>365.92746888364496</v>
      </c>
      <c r="AQ275">
        <v>162.44046136290098</v>
      </c>
      <c r="AR275">
        <v>49.86255701904561</v>
      </c>
      <c r="AS275">
        <v>442.84118435325644</v>
      </c>
      <c r="AT275">
        <v>21.295968000884049</v>
      </c>
      <c r="AU275">
        <v>14.30447795358644</v>
      </c>
      <c r="AV275"/>
      <c r="AW275"/>
      <c r="FY275" s="210">
        <v>270</v>
      </c>
      <c r="FZ275">
        <v>25.36109127795438</v>
      </c>
      <c r="GA275">
        <v>52.030832109024679</v>
      </c>
      <c r="GB275">
        <v>29.152896922694623</v>
      </c>
      <c r="GC275">
        <v>10.600847498026246</v>
      </c>
      <c r="GD275">
        <v>7.9810168525222274</v>
      </c>
      <c r="GE275">
        <v>9.4934398955531147</v>
      </c>
      <c r="GF275">
        <v>9.5148283754879621</v>
      </c>
      <c r="GG275">
        <v>13.897217631553767</v>
      </c>
      <c r="GH275">
        <v>17.750380091642718</v>
      </c>
      <c r="GI275">
        <v>32.51223178911259</v>
      </c>
      <c r="GJ275"/>
      <c r="GK275"/>
      <c r="GL275"/>
      <c r="GM275"/>
    </row>
    <row r="276" spans="1:195" s="7" customFormat="1">
      <c r="A276" s="1"/>
      <c r="B276">
        <v>9.8487881992716853E-2</v>
      </c>
      <c r="C276">
        <v>8</v>
      </c>
      <c r="D276">
        <v>39775</v>
      </c>
      <c r="E276">
        <v>0</v>
      </c>
      <c r="F276">
        <v>0</v>
      </c>
      <c r="G276">
        <v>34.722222222222221</v>
      </c>
      <c r="H276">
        <v>0</v>
      </c>
      <c r="I276">
        <v>34.722222222222221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34.722222222222221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55.189885358394363</v>
      </c>
      <c r="AO276">
        <v>78.398234060859593</v>
      </c>
      <c r="AP276">
        <v>576.9694764437495</v>
      </c>
      <c r="AQ276">
        <v>240.47882951894229</v>
      </c>
      <c r="AR276">
        <v>73.348634561698162</v>
      </c>
      <c r="AS276">
        <v>346.78309991574548</v>
      </c>
      <c r="AT276">
        <v>28.133296223990964</v>
      </c>
      <c r="AU276">
        <v>-1.9899005988571439</v>
      </c>
      <c r="AV276"/>
      <c r="AW276"/>
      <c r="FY276" s="210">
        <v>271</v>
      </c>
      <c r="FZ276">
        <v>19.980070167263705</v>
      </c>
      <c r="GA276">
        <v>45.259854537991771</v>
      </c>
      <c r="GB276">
        <v>42.002884918993928</v>
      </c>
      <c r="GC276">
        <v>12.077202433843301</v>
      </c>
      <c r="GD276">
        <v>6.3130356170798922</v>
      </c>
      <c r="GE276">
        <v>7.6028511062339081</v>
      </c>
      <c r="GF276">
        <v>9.1658393277195298</v>
      </c>
      <c r="GG276">
        <v>9.4904648416280697</v>
      </c>
      <c r="GH276">
        <v>3.9532843501249766</v>
      </c>
      <c r="GI276">
        <v>33.581066611499651</v>
      </c>
      <c r="GJ276"/>
      <c r="GK276"/>
      <c r="GL276"/>
      <c r="GM276"/>
    </row>
    <row r="277" spans="1:195" s="7" customFormat="1">
      <c r="A277" s="1"/>
      <c r="B277">
        <v>0.28186062528749911</v>
      </c>
      <c r="C277">
        <v>6</v>
      </c>
      <c r="D277">
        <v>39775</v>
      </c>
      <c r="E277">
        <v>0</v>
      </c>
      <c r="F277">
        <v>0</v>
      </c>
      <c r="G277">
        <v>0</v>
      </c>
      <c r="H277">
        <v>10.416666666666666</v>
      </c>
      <c r="I277">
        <v>20.833333333333332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10.416666666666666</v>
      </c>
      <c r="R277">
        <v>10.416666666666666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53.219123353210023</v>
      </c>
      <c r="AO277">
        <v>72.411953990850748</v>
      </c>
      <c r="AP277">
        <v>516.54552926795441</v>
      </c>
      <c r="AQ277">
        <v>234.8659147580191</v>
      </c>
      <c r="AR277">
        <v>67.530944258451655</v>
      </c>
      <c r="AS277">
        <v>432.48432573821236</v>
      </c>
      <c r="AT277">
        <v>28.250231969539367</v>
      </c>
      <c r="AU277">
        <v>-48.395030484688128</v>
      </c>
      <c r="AV277"/>
      <c r="AW277"/>
      <c r="FY277" s="210">
        <v>272</v>
      </c>
      <c r="FZ277">
        <v>21.031495255133674</v>
      </c>
      <c r="GA277">
        <v>59.846198651325352</v>
      </c>
      <c r="GB277">
        <v>50.560249735969997</v>
      </c>
      <c r="GC277">
        <v>15.103534859155205</v>
      </c>
      <c r="GD277">
        <v>7.2138037255138023</v>
      </c>
      <c r="GE277">
        <v>7.3207903467528315</v>
      </c>
      <c r="GF277">
        <v>9.3103896532296524</v>
      </c>
      <c r="GG277">
        <v>18.095221667473531</v>
      </c>
      <c r="GH277">
        <v>31.330824109544945</v>
      </c>
      <c r="GI277">
        <v>44.082328748056511</v>
      </c>
      <c r="GJ277"/>
      <c r="GK277"/>
      <c r="GL277"/>
      <c r="GM277"/>
    </row>
    <row r="278" spans="1:195" s="7" customFormat="1">
      <c r="A278" s="1"/>
      <c r="B278">
        <v>0.98154406922472814</v>
      </c>
      <c r="C278">
        <v>3</v>
      </c>
      <c r="D278">
        <v>39799</v>
      </c>
      <c r="E278">
        <v>0</v>
      </c>
      <c r="F278">
        <v>0</v>
      </c>
      <c r="G278">
        <v>83.333333333333329</v>
      </c>
      <c r="H278">
        <v>83.333333333333329</v>
      </c>
      <c r="I278">
        <v>107.37179487179486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24.038461538461537</v>
      </c>
      <c r="P278">
        <v>0</v>
      </c>
      <c r="Q278">
        <v>24.038461538461537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59.778318471670921</v>
      </c>
      <c r="AO278">
        <v>87.731486571991852</v>
      </c>
      <c r="AP278">
        <v>652.39565339102364</v>
      </c>
      <c r="AQ278">
        <v>245.21333746934656</v>
      </c>
      <c r="AR278">
        <v>80.606540554617268</v>
      </c>
      <c r="AS278">
        <v>530.84853390620788</v>
      </c>
      <c r="AT278">
        <v>30.998708769640036</v>
      </c>
      <c r="AU278">
        <v>6.3170311268940145</v>
      </c>
      <c r="AV278"/>
      <c r="AW278"/>
      <c r="FY278" s="210">
        <v>273</v>
      </c>
      <c r="FZ278">
        <v>28.078277083411574</v>
      </c>
      <c r="GA278">
        <v>55.687301650722631</v>
      </c>
      <c r="GB278">
        <v>34.39399654727054</v>
      </c>
      <c r="GC278">
        <v>9.361299347187062</v>
      </c>
      <c r="GD278">
        <v>4.4433699254212176</v>
      </c>
      <c r="GE278">
        <v>5.411161484598459</v>
      </c>
      <c r="GF278">
        <v>7.3083616836054048</v>
      </c>
      <c r="GG278">
        <v>21.032068550553142</v>
      </c>
      <c r="GH278">
        <v>33.405329567632208</v>
      </c>
      <c r="GI278">
        <v>33.629805610097748</v>
      </c>
      <c r="GJ278"/>
      <c r="GK278"/>
      <c r="GL278"/>
      <c r="GM278"/>
    </row>
    <row r="279" spans="1:195" s="7" customFormat="1">
      <c r="A279" s="1"/>
      <c r="B279">
        <v>0.90832067896324187</v>
      </c>
      <c r="C279">
        <v>8</v>
      </c>
      <c r="D279">
        <v>39799</v>
      </c>
      <c r="E279">
        <v>0</v>
      </c>
      <c r="F279">
        <v>0</v>
      </c>
      <c r="G279">
        <v>0</v>
      </c>
      <c r="H279">
        <v>148.80952380952382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10.416666666666666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58.928531530064312</v>
      </c>
      <c r="AO279">
        <v>85.673353984320443</v>
      </c>
      <c r="AP279">
        <v>655.36313703115911</v>
      </c>
      <c r="AQ279">
        <v>259.56604793924049</v>
      </c>
      <c r="AR279">
        <v>79.851126289583291</v>
      </c>
      <c r="AS279">
        <v>550.28926598341093</v>
      </c>
      <c r="AT279">
        <v>34.518344424889364</v>
      </c>
      <c r="AU279">
        <v>-98.785821006915242</v>
      </c>
      <c r="AV279"/>
      <c r="AW279"/>
      <c r="FY279" s="210">
        <v>274</v>
      </c>
      <c r="FZ279">
        <v>23.399910285615071</v>
      </c>
      <c r="GA279">
        <v>55.942108960225397</v>
      </c>
      <c r="GB279">
        <v>50.930659234078661</v>
      </c>
      <c r="GC279">
        <v>13.511665141311543</v>
      </c>
      <c r="GD279">
        <v>4.81546678741904</v>
      </c>
      <c r="GE279">
        <v>4.4055275798523814</v>
      </c>
      <c r="GF279">
        <v>6.8274567257245495</v>
      </c>
      <c r="GG279">
        <v>7.1585893491299517</v>
      </c>
      <c r="GH279">
        <v>8.2476351280393878</v>
      </c>
      <c r="GI279">
        <v>33.875927866965284</v>
      </c>
      <c r="GJ279"/>
      <c r="GK279"/>
      <c r="GL279"/>
      <c r="GM279"/>
    </row>
    <row r="280" spans="1:195" s="7" customFormat="1">
      <c r="A280" s="1"/>
      <c r="B280">
        <v>6.983900875919602E-3</v>
      </c>
      <c r="C280">
        <v>8</v>
      </c>
      <c r="D280">
        <v>39799</v>
      </c>
      <c r="E280">
        <v>0</v>
      </c>
      <c r="F280">
        <v>0</v>
      </c>
      <c r="G280">
        <v>0</v>
      </c>
      <c r="H280">
        <v>148.80952380952382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10.416666666666666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54.31819516318749</v>
      </c>
      <c r="AO280">
        <v>70.963025458198459</v>
      </c>
      <c r="AP280">
        <v>552.35583866748561</v>
      </c>
      <c r="AQ280">
        <v>239.9221384973344</v>
      </c>
      <c r="AR280">
        <v>66.408007422622603</v>
      </c>
      <c r="AS280">
        <v>407.47678813858494</v>
      </c>
      <c r="AT280">
        <v>29.140717614886583</v>
      </c>
      <c r="AU280">
        <v>-12.411463152620479</v>
      </c>
      <c r="AV280"/>
      <c r="AW280"/>
      <c r="FY280" s="210">
        <v>275</v>
      </c>
      <c r="FZ280">
        <v>35.210482486284818</v>
      </c>
      <c r="GA280">
        <v>70.87225564862004</v>
      </c>
      <c r="GB280">
        <v>39.988723827792867</v>
      </c>
      <c r="GC280">
        <v>9.9862535327711335</v>
      </c>
      <c r="GD280">
        <v>5.6554203502893339</v>
      </c>
      <c r="GE280">
        <v>8.1397169856059186</v>
      </c>
      <c r="GF280">
        <v>10.101387534756475</v>
      </c>
      <c r="GG280">
        <v>26.065728491165441</v>
      </c>
      <c r="GH280">
        <v>40.306654615122717</v>
      </c>
      <c r="GI280">
        <v>40.409709228064806</v>
      </c>
      <c r="GJ280"/>
      <c r="GK280"/>
      <c r="GL280"/>
      <c r="GM280"/>
    </row>
    <row r="281" spans="1:195" s="7" customFormat="1">
      <c r="A281" s="1"/>
      <c r="B281">
        <v>0.87060097950214388</v>
      </c>
      <c r="C281">
        <v>8</v>
      </c>
      <c r="D281">
        <v>39799</v>
      </c>
      <c r="E281">
        <v>0</v>
      </c>
      <c r="F281">
        <v>0</v>
      </c>
      <c r="G281">
        <v>0</v>
      </c>
      <c r="H281">
        <v>148.80952380952382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10.416666666666666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46.725535111697845</v>
      </c>
      <c r="AO281">
        <v>64.033277224695127</v>
      </c>
      <c r="AP281">
        <v>499.72284333815054</v>
      </c>
      <c r="AQ281">
        <v>218.67218477560991</v>
      </c>
      <c r="AR281">
        <v>59.470797271867383</v>
      </c>
      <c r="AS281">
        <v>342.95671214780174</v>
      </c>
      <c r="AT281">
        <v>26.23831780614201</v>
      </c>
      <c r="AU281">
        <v>-29.612384249329963</v>
      </c>
      <c r="AV281"/>
      <c r="AW281"/>
      <c r="FY281" s="210">
        <v>276</v>
      </c>
      <c r="FZ281">
        <v>25.694008460816541</v>
      </c>
      <c r="GA281">
        <v>48.331993742191386</v>
      </c>
      <c r="GB281">
        <v>28.900951084816345</v>
      </c>
      <c r="GC281">
        <v>8.0904761906769842</v>
      </c>
      <c r="GD281">
        <v>3.9870735849223919</v>
      </c>
      <c r="GE281">
        <v>4.9831557721281081</v>
      </c>
      <c r="GF281">
        <v>11.512643112050407</v>
      </c>
      <c r="GG281">
        <v>23.076520831823462</v>
      </c>
      <c r="GH281">
        <v>27.920491609116162</v>
      </c>
      <c r="GI281">
        <v>31.685697116544041</v>
      </c>
      <c r="GJ281"/>
      <c r="GK281"/>
      <c r="GL281"/>
      <c r="GM281"/>
    </row>
    <row r="282" spans="1:195" s="7" customFormat="1">
      <c r="A282" s="1"/>
      <c r="B282">
        <v>0.27553347394783767</v>
      </c>
      <c r="C282">
        <v>5</v>
      </c>
      <c r="D282">
        <v>39799</v>
      </c>
      <c r="E282">
        <v>0</v>
      </c>
      <c r="F282">
        <v>0</v>
      </c>
      <c r="G282">
        <v>70.112179487179489</v>
      </c>
      <c r="H282">
        <v>0</v>
      </c>
      <c r="I282">
        <v>0</v>
      </c>
      <c r="J282">
        <v>10.416666666666666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61.060117890409096</v>
      </c>
      <c r="AO282">
        <v>65.923717787968457</v>
      </c>
      <c r="AP282">
        <v>461.92130245152055</v>
      </c>
      <c r="AQ282">
        <v>195.6233957516028</v>
      </c>
      <c r="AR282">
        <v>61.592811516716409</v>
      </c>
      <c r="AS282">
        <v>462.19811062206026</v>
      </c>
      <c r="AT282">
        <v>23.566907751742132</v>
      </c>
      <c r="AU282">
        <v>8.6438124288167053</v>
      </c>
      <c r="AV282"/>
      <c r="AW282"/>
      <c r="FY282" s="210">
        <v>277</v>
      </c>
      <c r="FZ282">
        <v>20.476680759182486</v>
      </c>
      <c r="GA282">
        <v>58.259938269523829</v>
      </c>
      <c r="GB282">
        <v>45.147743252053566</v>
      </c>
      <c r="GC282">
        <v>18.001572773855944</v>
      </c>
      <c r="GD282">
        <v>11.053298349114176</v>
      </c>
      <c r="GE282">
        <v>10.308161510126203</v>
      </c>
      <c r="GF282">
        <v>9.2260238549733788</v>
      </c>
      <c r="GG282">
        <v>14.257554261424819</v>
      </c>
      <c r="GH282">
        <v>16.161735799647598</v>
      </c>
      <c r="GI282">
        <v>42.090345901790364</v>
      </c>
      <c r="GJ282"/>
      <c r="GK282"/>
      <c r="GL282"/>
      <c r="GM282"/>
    </row>
    <row r="283" spans="1:195" s="7" customFormat="1">
      <c r="A283" s="1"/>
      <c r="B283">
        <v>0.11189605086356202</v>
      </c>
      <c r="C283">
        <v>6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63.834274617986388</v>
      </c>
      <c r="AO283">
        <v>88.310256185276984</v>
      </c>
      <c r="AP283">
        <v>635.83810796890293</v>
      </c>
      <c r="AQ283">
        <v>235.12904312633816</v>
      </c>
      <c r="AR283">
        <v>83.143447918592372</v>
      </c>
      <c r="AS283">
        <v>398.44912860230369</v>
      </c>
      <c r="AT283">
        <v>31.215345428146872</v>
      </c>
      <c r="AU283">
        <v>3.0688536442085361</v>
      </c>
      <c r="AV283"/>
      <c r="AW283"/>
      <c r="FY283" s="210">
        <v>278</v>
      </c>
      <c r="FZ283">
        <v>30.055493134720415</v>
      </c>
      <c r="GA283">
        <v>70.355574174660063</v>
      </c>
      <c r="GB283">
        <v>38.313912631479148</v>
      </c>
      <c r="GC283">
        <v>12.092105300239639</v>
      </c>
      <c r="GD283">
        <v>5.8225591937245333</v>
      </c>
      <c r="GE283">
        <v>4.2965879045316964</v>
      </c>
      <c r="GF283">
        <v>10.343382514134081</v>
      </c>
      <c r="GG283">
        <v>17.393352502537844</v>
      </c>
      <c r="GH283">
        <v>18.160553708709667</v>
      </c>
      <c r="GI283">
        <v>35.530282138164495</v>
      </c>
      <c r="GJ283"/>
      <c r="GK283"/>
      <c r="GL283"/>
      <c r="GM283"/>
    </row>
    <row r="284" spans="1:195" s="7" customFormat="1">
      <c r="A284" s="1"/>
      <c r="B284">
        <v>0.62337817109981675</v>
      </c>
      <c r="C284">
        <v>3</v>
      </c>
      <c r="D284">
        <v>39799</v>
      </c>
      <c r="E284">
        <v>0</v>
      </c>
      <c r="F284">
        <v>0</v>
      </c>
      <c r="G284">
        <v>83.333333333333329</v>
      </c>
      <c r="H284">
        <v>83.333333333333329</v>
      </c>
      <c r="I284">
        <v>107.37179487179486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24.038461538461537</v>
      </c>
      <c r="P284">
        <v>0</v>
      </c>
      <c r="Q284">
        <v>24.038461538461537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55.085269907219256</v>
      </c>
      <c r="AO284">
        <v>70.115711058319619</v>
      </c>
      <c r="AP284">
        <v>525.12618508714411</v>
      </c>
      <c r="AQ284">
        <v>193.09562367349423</v>
      </c>
      <c r="AR284">
        <v>64.50035384385346</v>
      </c>
      <c r="AS284">
        <v>375.0099187830873</v>
      </c>
      <c r="AT284">
        <v>25.357952722867321</v>
      </c>
      <c r="AU284">
        <v>45.196635147739663</v>
      </c>
      <c r="AV284"/>
      <c r="AW284"/>
      <c r="FY284" s="210">
        <v>279</v>
      </c>
      <c r="FZ284">
        <v>27.687375014223115</v>
      </c>
      <c r="GA284">
        <v>85.389788803908317</v>
      </c>
      <c r="GB284">
        <v>51.232209814314501</v>
      </c>
      <c r="GC284">
        <v>14.021828037896322</v>
      </c>
      <c r="GD284">
        <v>7.1247920412223475</v>
      </c>
      <c r="GE284">
        <v>6.1246502164760894</v>
      </c>
      <c r="GF284">
        <v>5.7494107834558781</v>
      </c>
      <c r="GG284">
        <v>17.886557125676511</v>
      </c>
      <c r="GH284">
        <v>26.177453850872816</v>
      </c>
      <c r="GI284">
        <v>42.782776210429141</v>
      </c>
      <c r="GJ284"/>
      <c r="GK284"/>
      <c r="GL284"/>
      <c r="GM284"/>
    </row>
    <row r="285" spans="1:195" s="7" customFormat="1">
      <c r="A285" s="1"/>
      <c r="B285">
        <v>0.98830079235853407</v>
      </c>
      <c r="C285">
        <v>1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59.982835910576547</v>
      </c>
      <c r="AO285">
        <v>75.140279303644633</v>
      </c>
      <c r="AP285">
        <v>596.75120224183195</v>
      </c>
      <c r="AQ285">
        <v>220.49263319424347</v>
      </c>
      <c r="AR285">
        <v>71.054742486940484</v>
      </c>
      <c r="AS285">
        <v>446.44621654995865</v>
      </c>
      <c r="AT285">
        <v>31.219268986407993</v>
      </c>
      <c r="AU285">
        <v>9.6732094420257724</v>
      </c>
      <c r="AV285"/>
      <c r="AW285"/>
      <c r="FY285" s="210">
        <v>280</v>
      </c>
      <c r="FZ285">
        <v>28.438758857667786</v>
      </c>
      <c r="GA285">
        <v>73.937441724785671</v>
      </c>
      <c r="GB285">
        <v>43.060729392945198</v>
      </c>
      <c r="GC285">
        <v>12.775685464402336</v>
      </c>
      <c r="GD285">
        <v>5.6345462629440064</v>
      </c>
      <c r="GE285">
        <v>5.2736180284148508</v>
      </c>
      <c r="GF285">
        <v>10.073654802787592</v>
      </c>
      <c r="GG285">
        <v>14.106479144794136</v>
      </c>
      <c r="GH285">
        <v>15.289666714816361</v>
      </c>
      <c r="GI285">
        <v>36.730577315803849</v>
      </c>
      <c r="GJ285"/>
      <c r="GK285"/>
      <c r="GL285"/>
      <c r="GM285"/>
    </row>
    <row r="286" spans="1:195" s="7" customFormat="1">
      <c r="A286" s="1"/>
      <c r="B286">
        <v>0.80836185014013151</v>
      </c>
      <c r="C286">
        <v>7</v>
      </c>
      <c r="D286">
        <v>39799</v>
      </c>
      <c r="E286">
        <v>0</v>
      </c>
      <c r="F286">
        <v>0</v>
      </c>
      <c r="G286">
        <v>0</v>
      </c>
      <c r="H286">
        <v>60.763888888888886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10.416666666666666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49.855694412026438</v>
      </c>
      <c r="AO286">
        <v>66.036745829443618</v>
      </c>
      <c r="AP286">
        <v>457.57744321698721</v>
      </c>
      <c r="AQ286">
        <v>208.29478244357227</v>
      </c>
      <c r="AR286">
        <v>62.250130665888392</v>
      </c>
      <c r="AS286">
        <v>299.41648472746886</v>
      </c>
      <c r="AT286">
        <v>25.235932578182073</v>
      </c>
      <c r="AU286">
        <v>-14.250610524709932</v>
      </c>
      <c r="AV286"/>
      <c r="AW286"/>
      <c r="FY286" s="210">
        <v>281</v>
      </c>
      <c r="FZ286">
        <v>15.768478727813463</v>
      </c>
      <c r="GA286">
        <v>28.531967463046939</v>
      </c>
      <c r="GB286">
        <v>25.623955933992818</v>
      </c>
      <c r="GC286">
        <v>12.633192914348102</v>
      </c>
      <c r="GD286">
        <v>6.0826399434611371</v>
      </c>
      <c r="GE286">
        <v>4.2707192095472895</v>
      </c>
      <c r="GF286">
        <v>7.4259544211410979</v>
      </c>
      <c r="GG286">
        <v>12.934833558551698</v>
      </c>
      <c r="GH286">
        <v>15.333838854762284</v>
      </c>
      <c r="GI286">
        <v>26.730472750508127</v>
      </c>
      <c r="GJ286"/>
      <c r="GK286"/>
      <c r="GL286"/>
      <c r="GM286"/>
    </row>
    <row r="287" spans="1:195" s="7" customFormat="1">
      <c r="A287" s="1"/>
      <c r="B287">
        <v>0.54927888242715817</v>
      </c>
      <c r="C287">
        <v>3</v>
      </c>
      <c r="D287">
        <v>39799</v>
      </c>
      <c r="E287">
        <v>0</v>
      </c>
      <c r="F287">
        <v>0</v>
      </c>
      <c r="G287">
        <v>83.333333333333329</v>
      </c>
      <c r="H287">
        <v>83.333333333333329</v>
      </c>
      <c r="I287">
        <v>107.37179487179486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24.038461538461537</v>
      </c>
      <c r="P287">
        <v>0</v>
      </c>
      <c r="Q287">
        <v>24.038461538461537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54.234794013343389</v>
      </c>
      <c r="AO287">
        <v>72.739143544524339</v>
      </c>
      <c r="AP287">
        <v>502.42837711431736</v>
      </c>
      <c r="AQ287">
        <v>189.42655391237872</v>
      </c>
      <c r="AR287">
        <v>68.44046373371566</v>
      </c>
      <c r="AS287">
        <v>328.58767003821788</v>
      </c>
      <c r="AT287">
        <v>25.999025069875895</v>
      </c>
      <c r="AU287">
        <v>67.707843514680093</v>
      </c>
      <c r="AV287"/>
      <c r="AW287"/>
      <c r="FY287" s="210">
        <v>282</v>
      </c>
      <c r="FZ287">
        <v>17.799643725182801</v>
      </c>
      <c r="GA287">
        <v>32.879973711205849</v>
      </c>
      <c r="GB287">
        <v>43.450637539944239</v>
      </c>
      <c r="GC287">
        <v>12.293034006447055</v>
      </c>
      <c r="GD287">
        <v>7.2721035205017355</v>
      </c>
      <c r="GE287">
        <v>10.817702379836673</v>
      </c>
      <c r="GF287">
        <v>11.274510946251073</v>
      </c>
      <c r="GG287">
        <v>18.96328227965482</v>
      </c>
      <c r="GH287">
        <v>18.374397487391018</v>
      </c>
      <c r="GI287">
        <v>40.667976246464633</v>
      </c>
      <c r="GJ287"/>
      <c r="GK287"/>
      <c r="GL287"/>
      <c r="GM287"/>
    </row>
    <row r="288" spans="1:195" s="7" customFormat="1">
      <c r="A288" s="1"/>
      <c r="B288">
        <v>0.85536434395261995</v>
      </c>
      <c r="C288">
        <v>9</v>
      </c>
      <c r="D288">
        <v>39847</v>
      </c>
      <c r="E288">
        <v>0</v>
      </c>
      <c r="F288">
        <v>0</v>
      </c>
      <c r="G288">
        <v>0</v>
      </c>
      <c r="H288">
        <v>65.104166666666671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69.267081346565931</v>
      </c>
      <c r="AO288">
        <v>95.893250841671957</v>
      </c>
      <c r="AP288">
        <v>681.20868195856133</v>
      </c>
      <c r="AQ288">
        <v>263.89483675215553</v>
      </c>
      <c r="AR288">
        <v>89.049840180256609</v>
      </c>
      <c r="AS288">
        <v>396.67855432529831</v>
      </c>
      <c r="AT288">
        <v>35.659796604207081</v>
      </c>
      <c r="AU288">
        <v>12.68882766529255</v>
      </c>
      <c r="AV288"/>
      <c r="AW288"/>
      <c r="FY288" s="210">
        <v>283</v>
      </c>
      <c r="FZ288">
        <v>33.224817407852321</v>
      </c>
      <c r="GA288">
        <v>107.53782823528232</v>
      </c>
      <c r="GB288">
        <v>58.453091304662685</v>
      </c>
      <c r="GC288">
        <v>15.590138388844791</v>
      </c>
      <c r="GD288">
        <v>9.7340698422513086</v>
      </c>
      <c r="GE288">
        <v>11.467531334116167</v>
      </c>
      <c r="GF288">
        <v>10.834537002744499</v>
      </c>
      <c r="GG288">
        <v>15.062005364221134</v>
      </c>
      <c r="GH288">
        <v>16.905948546922605</v>
      </c>
      <c r="GI288">
        <v>50.777041763871487</v>
      </c>
      <c r="GJ288"/>
      <c r="GK288"/>
      <c r="GL288"/>
      <c r="GM288"/>
    </row>
    <row r="289" spans="1:195" s="7" customFormat="1">
      <c r="A289" s="1"/>
      <c r="B289">
        <v>0.60102049458542872</v>
      </c>
      <c r="C289">
        <v>8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56.730796924513733</v>
      </c>
      <c r="AO289">
        <v>70.869713278522141</v>
      </c>
      <c r="AP289">
        <v>543.9491880393648</v>
      </c>
      <c r="AQ289">
        <v>232.75097145049997</v>
      </c>
      <c r="AR289">
        <v>67.189153276787877</v>
      </c>
      <c r="AS289">
        <v>319.42961361258523</v>
      </c>
      <c r="AT289">
        <v>27.549280135027399</v>
      </c>
      <c r="AU289">
        <v>-54.013564230567212</v>
      </c>
      <c r="AV289"/>
      <c r="AW289"/>
      <c r="FY289" s="210">
        <v>284</v>
      </c>
      <c r="FZ289">
        <v>27.536763285757523</v>
      </c>
      <c r="GA289">
        <v>35.389696391888116</v>
      </c>
      <c r="GB289">
        <v>15.058835667947786</v>
      </c>
      <c r="GC289">
        <v>8.8047568621669985</v>
      </c>
      <c r="GD289">
        <v>5.5624246549545777</v>
      </c>
      <c r="GE289">
        <v>5.6195713402980383</v>
      </c>
      <c r="GF289">
        <v>9.6024216681680059</v>
      </c>
      <c r="GG289">
        <v>22.037767499200299</v>
      </c>
      <c r="GH289">
        <v>27.723602101387836</v>
      </c>
      <c r="GI289">
        <v>25.596050663347466</v>
      </c>
      <c r="GJ289"/>
      <c r="GK289"/>
      <c r="GL289"/>
      <c r="GM289"/>
    </row>
    <row r="290" spans="1:195" s="7" customFormat="1">
      <c r="A290" s="1"/>
      <c r="B290">
        <v>0.50262263940456808</v>
      </c>
      <c r="C290">
        <v>6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49.034652238976264</v>
      </c>
      <c r="AO290">
        <v>72.780182273601127</v>
      </c>
      <c r="AP290">
        <v>545.45534136000981</v>
      </c>
      <c r="AQ290">
        <v>209.11494705836128</v>
      </c>
      <c r="AR290">
        <v>68.10800639466234</v>
      </c>
      <c r="AS290">
        <v>291.87472940816718</v>
      </c>
      <c r="AT290">
        <v>26.540888584168275</v>
      </c>
      <c r="AU290">
        <v>-36.157179690024179</v>
      </c>
      <c r="AV290"/>
      <c r="AW290"/>
      <c r="FY290" s="210">
        <v>285</v>
      </c>
      <c r="FZ290">
        <v>23.236906581006362</v>
      </c>
      <c r="GA290">
        <v>59.023467762561964</v>
      </c>
      <c r="GB290">
        <v>33.724681452052216</v>
      </c>
      <c r="GC290">
        <v>10.285771372749586</v>
      </c>
      <c r="GD290">
        <v>7.7728710801470484</v>
      </c>
      <c r="GE290">
        <v>10.664746992863979</v>
      </c>
      <c r="GF290">
        <v>11.096417806279455</v>
      </c>
      <c r="GG290">
        <v>17.890306135426716</v>
      </c>
      <c r="GH290">
        <v>22.011113064826294</v>
      </c>
      <c r="GI290">
        <v>36.513645329726089</v>
      </c>
      <c r="GJ290"/>
      <c r="GK290"/>
      <c r="GL290"/>
      <c r="GM290"/>
    </row>
    <row r="291" spans="1:195" s="7" customFormat="1">
      <c r="A291" s="1"/>
      <c r="B291">
        <v>0.36705869569627603</v>
      </c>
      <c r="C291">
        <v>6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62.198096516016882</v>
      </c>
      <c r="AO291">
        <v>87.828878040952546</v>
      </c>
      <c r="AP291">
        <v>724.94423196414812</v>
      </c>
      <c r="AQ291">
        <v>286.73633270047355</v>
      </c>
      <c r="AR291">
        <v>83.971550857294929</v>
      </c>
      <c r="AS291">
        <v>385.45759472513191</v>
      </c>
      <c r="AT291">
        <v>36.044996447833547</v>
      </c>
      <c r="AU291">
        <v>-93.568086178490432</v>
      </c>
      <c r="AV291"/>
      <c r="AW291"/>
      <c r="FY291" s="210">
        <v>286</v>
      </c>
      <c r="FZ291">
        <v>19.699652547566796</v>
      </c>
      <c r="GA291">
        <v>39.269718767037773</v>
      </c>
      <c r="GB291">
        <v>40.417205757123256</v>
      </c>
      <c r="GC291">
        <v>9.8524181351434041</v>
      </c>
      <c r="GD291">
        <v>7.0718587986471242</v>
      </c>
      <c r="GE291">
        <v>9.8156004592896942</v>
      </c>
      <c r="GF291">
        <v>9.3731574986503734</v>
      </c>
      <c r="GG291">
        <v>17.810822969012193</v>
      </c>
      <c r="GH291">
        <v>17.54895000581817</v>
      </c>
      <c r="GI291">
        <v>35.845331838448153</v>
      </c>
      <c r="GJ291"/>
      <c r="GK291"/>
      <c r="GL291"/>
      <c r="GM291"/>
    </row>
    <row r="292" spans="1:195" s="7" customFormat="1">
      <c r="A292" s="1"/>
      <c r="B292">
        <v>0.84611420028927764</v>
      </c>
      <c r="C292">
        <v>8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54.800873824463601</v>
      </c>
      <c r="AO292">
        <v>69.392887174178824</v>
      </c>
      <c r="AP292">
        <v>569.35622624988707</v>
      </c>
      <c r="AQ292">
        <v>214.18301150508586</v>
      </c>
      <c r="AR292">
        <v>66.211834034951323</v>
      </c>
      <c r="AS292">
        <v>314.37950962242485</v>
      </c>
      <c r="AT292">
        <v>26.967058227291762</v>
      </c>
      <c r="AU292">
        <v>15.872083329094711</v>
      </c>
      <c r="AV292"/>
      <c r="AW292"/>
      <c r="FY292" s="210">
        <v>287</v>
      </c>
      <c r="FZ292">
        <v>16.961112012749851</v>
      </c>
      <c r="GA292">
        <v>46.722892814562499</v>
      </c>
      <c r="GB292">
        <v>29.407944572040773</v>
      </c>
      <c r="GC292">
        <v>8.15594358836581</v>
      </c>
      <c r="GD292">
        <v>8.0565775453766193</v>
      </c>
      <c r="GE292">
        <v>12.722121998734565</v>
      </c>
      <c r="GF292">
        <v>8.5307830886563014</v>
      </c>
      <c r="GG292">
        <v>14.100984343227855</v>
      </c>
      <c r="GH292">
        <v>16.771120893499145</v>
      </c>
      <c r="GI292">
        <v>27.906209498615233</v>
      </c>
      <c r="GJ292"/>
      <c r="GK292"/>
      <c r="GL292"/>
      <c r="GM292"/>
    </row>
    <row r="293" spans="1:195" s="7" customFormat="1">
      <c r="A293" s="1"/>
      <c r="B293">
        <v>0.2930906902776762</v>
      </c>
      <c r="C293">
        <v>10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10.416666666666666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74.474932894667333</v>
      </c>
      <c r="AO293">
        <v>86.2001327682772</v>
      </c>
      <c r="AP293">
        <v>537.45545324478417</v>
      </c>
      <c r="AQ293">
        <v>244.98305473169239</v>
      </c>
      <c r="AR293">
        <v>79.822510744165726</v>
      </c>
      <c r="AS293">
        <v>527.90736759798085</v>
      </c>
      <c r="AT293">
        <v>29.247959385210276</v>
      </c>
      <c r="AU293">
        <v>-39.909104246870193</v>
      </c>
      <c r="AV293"/>
      <c r="AW293"/>
      <c r="FY293" s="210">
        <v>288</v>
      </c>
      <c r="FZ293">
        <v>19.662511582905626</v>
      </c>
      <c r="GA293">
        <v>60.043016390540302</v>
      </c>
      <c r="GB293">
        <v>44.315830460756374</v>
      </c>
      <c r="GC293">
        <v>15.212131097861333</v>
      </c>
      <c r="GD293">
        <v>7.1612501143178804</v>
      </c>
      <c r="GE293">
        <v>4.6941972037025996</v>
      </c>
      <c r="GF293">
        <v>5.679191212869025</v>
      </c>
      <c r="GG293">
        <v>13.695000317469779</v>
      </c>
      <c r="GH293">
        <v>20.898023756147118</v>
      </c>
      <c r="GI293">
        <v>38.607278164423455</v>
      </c>
      <c r="GJ293"/>
      <c r="GK293"/>
      <c r="GL293"/>
      <c r="GM293"/>
    </row>
    <row r="294" spans="1:195" s="7" customFormat="1">
      <c r="A294" s="1"/>
      <c r="B294">
        <v>0.59150785520873028</v>
      </c>
      <c r="C294">
        <v>10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10.416666666666666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48.786927500846261</v>
      </c>
      <c r="AO294">
        <v>77.012903244234934</v>
      </c>
      <c r="AP294">
        <v>621.75431893140092</v>
      </c>
      <c r="AQ294">
        <v>242.36380320290161</v>
      </c>
      <c r="AR294">
        <v>74.288893578129432</v>
      </c>
      <c r="AS294">
        <v>363.96763752734461</v>
      </c>
      <c r="AT294">
        <v>30.233923871133612</v>
      </c>
      <c r="AU294">
        <v>-20.763330884396723</v>
      </c>
      <c r="AV294"/>
      <c r="AW294"/>
      <c r="FY294" s="210">
        <v>289</v>
      </c>
      <c r="FZ294">
        <v>24.849716137448016</v>
      </c>
      <c r="GA294">
        <v>81.818962014828841</v>
      </c>
      <c r="GB294">
        <v>50.519227418127144</v>
      </c>
      <c r="GC294">
        <v>12.94468053419539</v>
      </c>
      <c r="GD294">
        <v>7.3178194811037365</v>
      </c>
      <c r="GE294">
        <v>9.3776958202498673</v>
      </c>
      <c r="GF294">
        <v>9.8398209362778246</v>
      </c>
      <c r="GG294">
        <v>11.510219752238394</v>
      </c>
      <c r="GH294">
        <v>17.684291796515588</v>
      </c>
      <c r="GI294">
        <v>41.193487274866087</v>
      </c>
      <c r="GJ294"/>
      <c r="GK294"/>
      <c r="GL294"/>
      <c r="GM294"/>
    </row>
    <row r="295" spans="1:195" s="7" customFormat="1">
      <c r="A295" s="1"/>
      <c r="B295">
        <v>0.6359972390635722</v>
      </c>
      <c r="C295">
        <v>2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34.722222222222221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67.756968052609849</v>
      </c>
      <c r="AO295">
        <v>93.32058728601433</v>
      </c>
      <c r="AP295">
        <v>701.63164357123412</v>
      </c>
      <c r="AQ295">
        <v>284.176841898475</v>
      </c>
      <c r="AR295">
        <v>85.910113807016373</v>
      </c>
      <c r="AS295">
        <v>549.95008245805013</v>
      </c>
      <c r="AT295">
        <v>33.148909608950696</v>
      </c>
      <c r="AU295">
        <v>-9.2427527757198469</v>
      </c>
      <c r="AV295"/>
      <c r="AW295"/>
      <c r="FY295" s="210">
        <v>290</v>
      </c>
      <c r="FZ295">
        <v>21.189232915721334</v>
      </c>
      <c r="GA295">
        <v>63.49853474893191</v>
      </c>
      <c r="GB295">
        <v>26.759497290608458</v>
      </c>
      <c r="GC295">
        <v>9.7253957128838362</v>
      </c>
      <c r="GD295">
        <v>6.4339402892933339</v>
      </c>
      <c r="GE295">
        <v>6.400575582494028</v>
      </c>
      <c r="GF295">
        <v>13.80510248627329</v>
      </c>
      <c r="GG295">
        <v>24.797579920640057</v>
      </c>
      <c r="GH295">
        <v>22.025140480887959</v>
      </c>
      <c r="GI295">
        <v>32.980171357973063</v>
      </c>
      <c r="GJ295"/>
      <c r="GK295"/>
      <c r="GL295"/>
      <c r="GM295"/>
    </row>
    <row r="296" spans="1:195" s="7" customFormat="1">
      <c r="A296" s="1"/>
      <c r="B296">
        <v>0.82481066340660592</v>
      </c>
      <c r="C296">
        <v>7</v>
      </c>
      <c r="D296">
        <v>39847</v>
      </c>
      <c r="E296">
        <v>0</v>
      </c>
      <c r="F296">
        <v>0</v>
      </c>
      <c r="G296">
        <v>0</v>
      </c>
      <c r="H296">
        <v>10.416666666666666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50.199827563075871</v>
      </c>
      <c r="AO296">
        <v>79.081658745546207</v>
      </c>
      <c r="AP296">
        <v>602.72880252700179</v>
      </c>
      <c r="AQ296">
        <v>245.32115770936181</v>
      </c>
      <c r="AR296">
        <v>73.794840262429787</v>
      </c>
      <c r="AS296">
        <v>506.12897354693968</v>
      </c>
      <c r="AT296">
        <v>30.073698769290132</v>
      </c>
      <c r="AU296">
        <v>-43.286914843713021</v>
      </c>
      <c r="AV296"/>
      <c r="AW296"/>
      <c r="FY296" s="210">
        <v>291</v>
      </c>
      <c r="FZ296">
        <v>17.219141368465408</v>
      </c>
      <c r="GA296">
        <v>64.768371376801696</v>
      </c>
      <c r="GB296">
        <v>35.431593339188467</v>
      </c>
      <c r="GC296">
        <v>10.433534061904885</v>
      </c>
      <c r="GD296">
        <v>5.8638251108637167</v>
      </c>
      <c r="GE296">
        <v>6.2150048284653581</v>
      </c>
      <c r="GF296">
        <v>9.9865107966583473</v>
      </c>
      <c r="GG296">
        <v>18.548122334344519</v>
      </c>
      <c r="GH296">
        <v>27.015699989361085</v>
      </c>
      <c r="GI296">
        <v>34.187538570317137</v>
      </c>
      <c r="GJ296"/>
      <c r="GK296"/>
      <c r="GL296"/>
      <c r="GM296"/>
    </row>
    <row r="297" spans="1:195" s="7" customFormat="1">
      <c r="A297" s="1"/>
      <c r="B297">
        <v>0.26467485337215058</v>
      </c>
      <c r="C297">
        <v>8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52.092491685393171</v>
      </c>
      <c r="AO297">
        <v>55.594806802399276</v>
      </c>
      <c r="AP297">
        <v>343.69591147122873</v>
      </c>
      <c r="AQ297">
        <v>155.33605377717294</v>
      </c>
      <c r="AR297">
        <v>52.14754161401607</v>
      </c>
      <c r="AS297">
        <v>261.96911333246186</v>
      </c>
      <c r="AT297">
        <v>18.775539392668652</v>
      </c>
      <c r="AU297">
        <v>9.4455402175132868</v>
      </c>
      <c r="AV297"/>
      <c r="AW297"/>
      <c r="FY297" s="210">
        <v>292</v>
      </c>
      <c r="FZ297">
        <v>24.239841211527398</v>
      </c>
      <c r="GA297">
        <v>59.045808482973058</v>
      </c>
      <c r="GB297">
        <v>31.404417639512086</v>
      </c>
      <c r="GC297">
        <v>12.818315068877371</v>
      </c>
      <c r="GD297">
        <v>10.945287085088491</v>
      </c>
      <c r="GE297">
        <v>13.356026318271779</v>
      </c>
      <c r="GF297">
        <v>11.974334123098028</v>
      </c>
      <c r="GG297">
        <v>16.918478410339493</v>
      </c>
      <c r="GH297">
        <v>10.536247061514528</v>
      </c>
      <c r="GI297">
        <v>34.996040248078842</v>
      </c>
      <c r="GJ297"/>
      <c r="GK297"/>
      <c r="GL297"/>
      <c r="GM297"/>
    </row>
    <row r="298" spans="1:195" s="7" customFormat="1">
      <c r="A298" s="1"/>
      <c r="B298">
        <v>0.25350933807473197</v>
      </c>
      <c r="C298">
        <v>8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10.416666666666666</v>
      </c>
      <c r="J298">
        <v>10.416666666666666</v>
      </c>
      <c r="K298">
        <v>10.416666666666666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10.416666666666666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62.439373496366535</v>
      </c>
      <c r="AO298">
        <v>91.18506744217828</v>
      </c>
      <c r="AP298">
        <v>611.45804798170536</v>
      </c>
      <c r="AQ298">
        <v>213.79326184287987</v>
      </c>
      <c r="AR298">
        <v>84.331667736386066</v>
      </c>
      <c r="AS298">
        <v>508.88383302338281</v>
      </c>
      <c r="AT298">
        <v>32.987714813937025</v>
      </c>
      <c r="AU298">
        <v>29.994399420600743</v>
      </c>
      <c r="AV298"/>
      <c r="AW298"/>
      <c r="FY298" s="210">
        <v>293</v>
      </c>
      <c r="FZ298">
        <v>26.497632076049481</v>
      </c>
      <c r="GA298">
        <v>40.895325905732726</v>
      </c>
      <c r="GB298">
        <v>19.941280445966889</v>
      </c>
      <c r="GC298">
        <v>6.9751989979381701</v>
      </c>
      <c r="GD298">
        <v>3.7672339350314856</v>
      </c>
      <c r="GE298">
        <v>5.2703407550638248</v>
      </c>
      <c r="GF298">
        <v>12.044680188212578</v>
      </c>
      <c r="GG298">
        <v>21.772081537636648</v>
      </c>
      <c r="GH298">
        <v>16.888115860969702</v>
      </c>
      <c r="GI298">
        <v>25.750688416612782</v>
      </c>
      <c r="GJ298"/>
      <c r="GK298"/>
      <c r="GL298"/>
      <c r="GM298"/>
    </row>
    <row r="299" spans="1:195" s="7" customFormat="1">
      <c r="A299" s="1"/>
      <c r="B299">
        <v>8.228909765039738E-2</v>
      </c>
      <c r="C299">
        <v>5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71.178015846992935</v>
      </c>
      <c r="AO299">
        <v>111.21743396618028</v>
      </c>
      <c r="AP299">
        <v>820.5078977765761</v>
      </c>
      <c r="AQ299">
        <v>329.58700919076927</v>
      </c>
      <c r="AR299">
        <v>103.1006317870192</v>
      </c>
      <c r="AS299">
        <v>651.48709120561159</v>
      </c>
      <c r="AT299">
        <v>45.987776483376372</v>
      </c>
      <c r="AU299">
        <v>38.625819962094766</v>
      </c>
      <c r="AV299"/>
      <c r="AW299"/>
      <c r="FY299" s="210">
        <v>294</v>
      </c>
      <c r="FZ299">
        <v>30.298795729187781</v>
      </c>
      <c r="GA299">
        <v>70.316762542105408</v>
      </c>
      <c r="GB299">
        <v>41.398758026122081</v>
      </c>
      <c r="GC299">
        <v>10.00383343067505</v>
      </c>
      <c r="GD299">
        <v>5.2578029077773678</v>
      </c>
      <c r="GE299">
        <v>4.1929793634366952</v>
      </c>
      <c r="GF299">
        <v>8.2061206623203091</v>
      </c>
      <c r="GG299">
        <v>12.973412706366039</v>
      </c>
      <c r="GH299">
        <v>10.463575063953323</v>
      </c>
      <c r="GI299">
        <v>31.529566869663999</v>
      </c>
      <c r="GJ299"/>
      <c r="GK299"/>
      <c r="GL299"/>
      <c r="GM299"/>
    </row>
    <row r="300" spans="1:195" s="7" customFormat="1">
      <c r="A300" s="1"/>
      <c r="B300">
        <v>0.91836411059195022</v>
      </c>
      <c r="C300">
        <v>4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49.111187433450283</v>
      </c>
      <c r="AO300">
        <v>51.822701132397313</v>
      </c>
      <c r="AP300">
        <v>378.02786022322579</v>
      </c>
      <c r="AQ300">
        <v>182.93189013511665</v>
      </c>
      <c r="AR300">
        <v>49.770460401488876</v>
      </c>
      <c r="AS300">
        <v>333.82974489225768</v>
      </c>
      <c r="AT300">
        <v>20.870835020364559</v>
      </c>
      <c r="AU300">
        <v>47.700047004287804</v>
      </c>
      <c r="AV300"/>
      <c r="AW300"/>
      <c r="FY300" s="210">
        <v>295</v>
      </c>
      <c r="FZ300">
        <v>24.049504411810581</v>
      </c>
      <c r="GA300">
        <v>52.728227181882218</v>
      </c>
      <c r="GB300">
        <v>44.449550946087108</v>
      </c>
      <c r="GC300">
        <v>10.180315674578104</v>
      </c>
      <c r="GD300">
        <v>7.2305510450874833</v>
      </c>
      <c r="GE300">
        <v>10.319340284158145</v>
      </c>
      <c r="GF300">
        <v>6.1781324410278478</v>
      </c>
      <c r="GG300">
        <v>12.311329566312786</v>
      </c>
      <c r="GH300">
        <v>17.323376839642606</v>
      </c>
      <c r="GI300">
        <v>36.345681263505604</v>
      </c>
      <c r="GJ300"/>
      <c r="GK300"/>
      <c r="GL300"/>
      <c r="GM300"/>
    </row>
    <row r="301" spans="1:195" s="7" customFormat="1">
      <c r="A301" s="1"/>
      <c r="B301">
        <v>0.38207423189772971</v>
      </c>
      <c r="C301">
        <v>4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68.466838025651867</v>
      </c>
      <c r="AO301">
        <v>77.162315826346045</v>
      </c>
      <c r="AP301">
        <v>545.65648624423864</v>
      </c>
      <c r="AQ301">
        <v>232.21992757763974</v>
      </c>
      <c r="AR301">
        <v>72.269085608119738</v>
      </c>
      <c r="AS301">
        <v>375.64077489130682</v>
      </c>
      <c r="AT301">
        <v>27.984661287944196</v>
      </c>
      <c r="AU301">
        <v>23.79307966547227</v>
      </c>
      <c r="AV301"/>
      <c r="AW301"/>
      <c r="FY301" s="210">
        <v>296</v>
      </c>
      <c r="FZ301">
        <v>25.903189326501511</v>
      </c>
      <c r="GA301">
        <v>59.978728713852753</v>
      </c>
      <c r="GB301">
        <v>30.509243302231773</v>
      </c>
      <c r="GC301">
        <v>11.404373117582294</v>
      </c>
      <c r="GD301">
        <v>6.6879467836863986</v>
      </c>
      <c r="GE301">
        <v>4.8632368502165928</v>
      </c>
      <c r="GF301">
        <v>8.9230475703311676</v>
      </c>
      <c r="GG301">
        <v>11.342535751037847</v>
      </c>
      <c r="GH301">
        <v>11.781614846232698</v>
      </c>
      <c r="GI301">
        <v>32.227822029275274</v>
      </c>
      <c r="GJ301"/>
      <c r="GK301"/>
      <c r="GL301"/>
      <c r="GM301"/>
    </row>
    <row r="302" spans="1:195" s="7" customFormat="1">
      <c r="A302" s="1"/>
      <c r="B302">
        <v>9.2022031620592415E-2</v>
      </c>
      <c r="C302">
        <v>1</v>
      </c>
      <c r="D302">
        <v>39910</v>
      </c>
      <c r="E302">
        <v>0</v>
      </c>
      <c r="F302">
        <v>0</v>
      </c>
      <c r="G302">
        <v>0</v>
      </c>
      <c r="H302">
        <v>10.416666666666666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20.833333333333332</v>
      </c>
      <c r="R302">
        <v>0</v>
      </c>
      <c r="S302">
        <v>10.416666666666666</v>
      </c>
      <c r="T302">
        <v>0</v>
      </c>
      <c r="U302">
        <v>10.416666666666666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52.709273418026442</v>
      </c>
      <c r="AO302">
        <v>79.401783244662539</v>
      </c>
      <c r="AP302">
        <v>561.62649645027466</v>
      </c>
      <c r="AQ302">
        <v>206.70471677673694</v>
      </c>
      <c r="AR302">
        <v>74.819886903061473</v>
      </c>
      <c r="AS302">
        <v>336.94503080859226</v>
      </c>
      <c r="AT302">
        <v>28.858452990208701</v>
      </c>
      <c r="AU302">
        <v>5.7740359639726302</v>
      </c>
      <c r="AV302"/>
      <c r="AW302"/>
      <c r="FY302" s="210">
        <v>297</v>
      </c>
      <c r="FZ302">
        <v>15.854461201744609</v>
      </c>
      <c r="GA302">
        <v>35.294676045609961</v>
      </c>
      <c r="GB302">
        <v>22.383353436637943</v>
      </c>
      <c r="GC302">
        <v>8.1182864769230978</v>
      </c>
      <c r="GD302">
        <v>6.4276095749108793</v>
      </c>
      <c r="GE302">
        <v>7.9601853270937797</v>
      </c>
      <c r="GF302">
        <v>7.6797552493570782</v>
      </c>
      <c r="GG302">
        <v>18.530898036547164</v>
      </c>
      <c r="GH302">
        <v>21.218281047427592</v>
      </c>
      <c r="GI302">
        <v>23.620031504806189</v>
      </c>
      <c r="GJ302"/>
      <c r="GK302"/>
      <c r="GL302"/>
      <c r="GM302"/>
    </row>
    <row r="303" spans="1:195" s="7" customFormat="1">
      <c r="A303" s="1"/>
      <c r="B303">
        <v>0.44840692564596463</v>
      </c>
      <c r="C303">
        <v>1</v>
      </c>
      <c r="D303">
        <v>39910</v>
      </c>
      <c r="E303">
        <v>0</v>
      </c>
      <c r="F303">
        <v>0</v>
      </c>
      <c r="G303">
        <v>0</v>
      </c>
      <c r="H303">
        <v>10.416666666666666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20.833333333333332</v>
      </c>
      <c r="R303">
        <v>0</v>
      </c>
      <c r="S303">
        <v>10.416666666666666</v>
      </c>
      <c r="T303">
        <v>0</v>
      </c>
      <c r="U303">
        <v>10.416666666666666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61.838852248331854</v>
      </c>
      <c r="AO303">
        <v>58.799602567970432</v>
      </c>
      <c r="AP303">
        <v>439.7374777562211</v>
      </c>
      <c r="AQ303">
        <v>189.33569035582866</v>
      </c>
      <c r="AR303">
        <v>54.884327051386954</v>
      </c>
      <c r="AS303">
        <v>294.43162403112956</v>
      </c>
      <c r="AT303">
        <v>22.624802106912679</v>
      </c>
      <c r="AU303">
        <v>-6.1662258282824007</v>
      </c>
      <c r="AV303"/>
      <c r="AW303"/>
      <c r="FY303" s="210">
        <v>298</v>
      </c>
      <c r="FZ303">
        <v>28.403742526484258</v>
      </c>
      <c r="GA303">
        <v>55.857544063513124</v>
      </c>
      <c r="GB303">
        <v>31.412891906820338</v>
      </c>
      <c r="GC303">
        <v>12.63388895327761</v>
      </c>
      <c r="GD303">
        <v>7.5770843113215296</v>
      </c>
      <c r="GE303">
        <v>7.7543938897919427</v>
      </c>
      <c r="GF303">
        <v>8.6870875355641406</v>
      </c>
      <c r="GG303">
        <v>17.543638339333928</v>
      </c>
      <c r="GH303">
        <v>28.311874832770446</v>
      </c>
      <c r="GI303">
        <v>35.869506347757806</v>
      </c>
      <c r="GJ303"/>
      <c r="GK303"/>
      <c r="GL303"/>
      <c r="GM303"/>
    </row>
    <row r="304" spans="1:195" s="7" customFormat="1">
      <c r="A304" s="1"/>
      <c r="B304">
        <v>0.32983006102636336</v>
      </c>
      <c r="C304">
        <v>3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28.409090909090907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55.1285588232397</v>
      </c>
      <c r="AO304">
        <v>86.584907464275744</v>
      </c>
      <c r="AP304">
        <v>612.76475975843903</v>
      </c>
      <c r="AQ304">
        <v>229.9684303009935</v>
      </c>
      <c r="AR304">
        <v>79.963834691250526</v>
      </c>
      <c r="AS304">
        <v>486.12781436680922</v>
      </c>
      <c r="AT304">
        <v>30.830661254782893</v>
      </c>
      <c r="AU304">
        <v>-24.195029316607361</v>
      </c>
      <c r="AV304"/>
      <c r="AW304"/>
      <c r="FY304" s="210">
        <v>299</v>
      </c>
      <c r="FZ304">
        <v>16.699647195793915</v>
      </c>
      <c r="GA304">
        <v>54.328606433856542</v>
      </c>
      <c r="GB304">
        <v>48.249650109344969</v>
      </c>
      <c r="GC304">
        <v>10.79354067320924</v>
      </c>
      <c r="GD304">
        <v>3.3449888327757398</v>
      </c>
      <c r="GE304">
        <v>3.2690334498226479</v>
      </c>
      <c r="GF304">
        <v>12.921485521725872</v>
      </c>
      <c r="GG304">
        <v>27.193739786854017</v>
      </c>
      <c r="GH304">
        <v>33.157214950852989</v>
      </c>
      <c r="GI304">
        <v>38.049966707981795</v>
      </c>
      <c r="GJ304"/>
      <c r="GK304"/>
      <c r="GL304"/>
      <c r="GM304"/>
    </row>
    <row r="305" spans="1:195" s="7" customFormat="1">
      <c r="A305" s="1"/>
      <c r="B305">
        <v>0.21761787172233693</v>
      </c>
      <c r="C305">
        <v>8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10.416666666666666</v>
      </c>
      <c r="J305">
        <v>10.416666666666666</v>
      </c>
      <c r="K305">
        <v>10.416666666666666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10.416666666666666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70.325265449482032</v>
      </c>
      <c r="AO305">
        <v>87.18083741917107</v>
      </c>
      <c r="AP305">
        <v>660.88230734725585</v>
      </c>
      <c r="AQ305">
        <v>267.05592116585086</v>
      </c>
      <c r="AR305">
        <v>81.49581345743583</v>
      </c>
      <c r="AS305">
        <v>386.65619103010766</v>
      </c>
      <c r="AT305">
        <v>33.444717691690272</v>
      </c>
      <c r="AU305">
        <v>10.356397025509665</v>
      </c>
      <c r="AV305"/>
      <c r="AW305"/>
      <c r="FY305" s="210">
        <v>300</v>
      </c>
      <c r="FZ305">
        <v>28.829193624651694</v>
      </c>
      <c r="GA305">
        <v>42.97855496093316</v>
      </c>
      <c r="GB305">
        <v>30.585772483344652</v>
      </c>
      <c r="GC305">
        <v>8.5069360876288229</v>
      </c>
      <c r="GD305">
        <v>5.9794882853609037</v>
      </c>
      <c r="GE305">
        <v>9.0400357171787995</v>
      </c>
      <c r="GF305">
        <v>9.0460545447281326</v>
      </c>
      <c r="GG305">
        <v>15.993360367111697</v>
      </c>
      <c r="GH305">
        <v>17.725440667928506</v>
      </c>
      <c r="GI305">
        <v>28.015433273843115</v>
      </c>
      <c r="GJ305"/>
      <c r="GK305"/>
      <c r="GL305"/>
      <c r="GM305"/>
    </row>
    <row r="306" spans="1:195" s="7" customFormat="1">
      <c r="A306" s="1"/>
      <c r="B306">
        <v>0.34866162780421583</v>
      </c>
      <c r="C306">
        <v>3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28.409090909090907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56.015947387647806</v>
      </c>
      <c r="AO306">
        <v>67.976184328727271</v>
      </c>
      <c r="AP306">
        <v>498.13947705765133</v>
      </c>
      <c r="AQ306">
        <v>227.61517078570728</v>
      </c>
      <c r="AR306">
        <v>63.050507653364811</v>
      </c>
      <c r="AS306">
        <v>460.87857720019764</v>
      </c>
      <c r="AT306">
        <v>27.518817627801678</v>
      </c>
      <c r="AU306">
        <v>37.782214586288291</v>
      </c>
      <c r="AV306"/>
      <c r="AW306"/>
      <c r="FY306" s="210">
        <v>301</v>
      </c>
      <c r="FZ306">
        <v>17.492379991287791</v>
      </c>
      <c r="GA306">
        <v>53.393751078247803</v>
      </c>
      <c r="GB306">
        <v>39.119643805714468</v>
      </c>
      <c r="GC306">
        <v>10.006934417196975</v>
      </c>
      <c r="GD306">
        <v>4.2854824769804782</v>
      </c>
      <c r="GE306">
        <v>4.9672921092554931</v>
      </c>
      <c r="GF306">
        <v>6.1140556002421302</v>
      </c>
      <c r="GG306">
        <v>7.9838298841514561</v>
      </c>
      <c r="GH306">
        <v>10.38473353156362</v>
      </c>
      <c r="GI306">
        <v>25.851457391627488</v>
      </c>
      <c r="GJ306"/>
      <c r="GK306"/>
      <c r="GL306"/>
      <c r="GM306"/>
    </row>
    <row r="307" spans="1:195" s="7" customFormat="1">
      <c r="A307" s="1"/>
      <c r="B307">
        <v>0.6344196215365141</v>
      </c>
      <c r="C307">
        <v>1</v>
      </c>
      <c r="D307">
        <v>39910</v>
      </c>
      <c r="E307">
        <v>0</v>
      </c>
      <c r="F307">
        <v>0</v>
      </c>
      <c r="G307">
        <v>0</v>
      </c>
      <c r="H307">
        <v>10.416666666666666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20.833333333333332</v>
      </c>
      <c r="R307">
        <v>0</v>
      </c>
      <c r="S307">
        <v>10.416666666666666</v>
      </c>
      <c r="T307">
        <v>0</v>
      </c>
      <c r="U307">
        <v>10.416666666666666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50.612916447940236</v>
      </c>
      <c r="AO307">
        <v>73.878716315902878</v>
      </c>
      <c r="AP307">
        <v>573.89946629116935</v>
      </c>
      <c r="AQ307">
        <v>229.66934177637063</v>
      </c>
      <c r="AR307">
        <v>69.110265530900207</v>
      </c>
      <c r="AS307">
        <v>332.14287372505737</v>
      </c>
      <c r="AT307">
        <v>28.77666456576647</v>
      </c>
      <c r="AU307">
        <v>-46.147262455147761</v>
      </c>
      <c r="AV307"/>
      <c r="AW307"/>
      <c r="FY307" s="210">
        <v>302</v>
      </c>
      <c r="FZ307">
        <v>26.309234111054145</v>
      </c>
      <c r="GA307">
        <v>41.71079330538376</v>
      </c>
      <c r="GB307">
        <v>33.163810804567113</v>
      </c>
      <c r="GC307">
        <v>9.5445209627595649</v>
      </c>
      <c r="GD307">
        <v>4.633372542113471</v>
      </c>
      <c r="GE307">
        <v>4.0340990599117221</v>
      </c>
      <c r="GF307">
        <v>5.7070625549526657</v>
      </c>
      <c r="GG307">
        <v>13.626368956136947</v>
      </c>
      <c r="GH307">
        <v>21.348166916598696</v>
      </c>
      <c r="GI307">
        <v>29.824309115999672</v>
      </c>
      <c r="GJ307"/>
      <c r="GK307"/>
      <c r="GL307"/>
      <c r="GM307"/>
    </row>
    <row r="308" spans="1:195" s="7" customFormat="1">
      <c r="A308" s="1"/>
      <c r="B308">
        <v>0.62805164590995499</v>
      </c>
      <c r="C308">
        <v>5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76.490195001423686</v>
      </c>
      <c r="AO308">
        <v>72.94325488709076</v>
      </c>
      <c r="AP308">
        <v>517.50551197967468</v>
      </c>
      <c r="AQ308">
        <v>226.23479564928107</v>
      </c>
      <c r="AR308">
        <v>67.953375962565588</v>
      </c>
      <c r="AS308">
        <v>390.05060642578292</v>
      </c>
      <c r="AT308">
        <v>26.511025004594476</v>
      </c>
      <c r="AU308">
        <v>3.3506336038471423</v>
      </c>
      <c r="AV308"/>
      <c r="AW308"/>
      <c r="FY308" s="210">
        <v>303</v>
      </c>
      <c r="FZ308">
        <v>23.794822566701548</v>
      </c>
      <c r="GA308">
        <v>54.720924493441615</v>
      </c>
      <c r="GB308">
        <v>19.913360842981852</v>
      </c>
      <c r="GC308">
        <v>9.4410907391582679</v>
      </c>
      <c r="GD308">
        <v>9.308527707423238</v>
      </c>
      <c r="GE308">
        <v>11.628778092911904</v>
      </c>
      <c r="GF308">
        <v>10.652530625547815</v>
      </c>
      <c r="GG308">
        <v>16.757787354879145</v>
      </c>
      <c r="GH308">
        <v>14.664345387403946</v>
      </c>
      <c r="GI308">
        <v>35.170543065018883</v>
      </c>
      <c r="GJ308"/>
      <c r="GK308"/>
      <c r="GL308"/>
      <c r="GM308"/>
    </row>
    <row r="309" spans="1:195" s="7" customFormat="1">
      <c r="A309" s="1"/>
      <c r="B309">
        <v>6.1158461316244583E-2</v>
      </c>
      <c r="C309">
        <v>4</v>
      </c>
      <c r="D309">
        <v>39949</v>
      </c>
      <c r="E309">
        <v>0</v>
      </c>
      <c r="F309">
        <v>0</v>
      </c>
      <c r="G309">
        <v>0</v>
      </c>
      <c r="H309">
        <v>45.662100456620998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46.742323056207425</v>
      </c>
      <c r="AO309">
        <v>52.98155411205331</v>
      </c>
      <c r="AP309">
        <v>389.10433317123909</v>
      </c>
      <c r="AQ309">
        <v>179.80257811921425</v>
      </c>
      <c r="AR309">
        <v>48.441549918781782</v>
      </c>
      <c r="AS309">
        <v>365.32644637341548</v>
      </c>
      <c r="AT309">
        <v>21.426908394178813</v>
      </c>
      <c r="AU309">
        <v>41.831614330628888</v>
      </c>
      <c r="AV309"/>
      <c r="AW309"/>
      <c r="FY309" s="210">
        <v>304</v>
      </c>
      <c r="FZ309">
        <v>31.537801014132338</v>
      </c>
      <c r="GA309">
        <v>42.65333598403204</v>
      </c>
      <c r="GB309">
        <v>14.633486811472473</v>
      </c>
      <c r="GC309">
        <v>9.7343090771382048</v>
      </c>
      <c r="GD309">
        <v>9.4613663238211991</v>
      </c>
      <c r="GE309">
        <v>10.965010700592853</v>
      </c>
      <c r="GF309">
        <v>11.535137636926889</v>
      </c>
      <c r="GG309">
        <v>17.96348284229704</v>
      </c>
      <c r="GH309">
        <v>10.03489635826616</v>
      </c>
      <c r="GI309">
        <v>28.923611731741033</v>
      </c>
      <c r="GJ309"/>
      <c r="GK309"/>
      <c r="GL309"/>
      <c r="GM309"/>
    </row>
    <row r="310" spans="1:195" s="7" customFormat="1">
      <c r="A310" s="1"/>
      <c r="B310">
        <v>0.63516223196897759</v>
      </c>
      <c r="C310">
        <v>6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46.790514961046483</v>
      </c>
      <c r="AO310">
        <v>65.287316816939125</v>
      </c>
      <c r="AP310">
        <v>514.03948082551369</v>
      </c>
      <c r="AQ310">
        <v>224.6416073016081</v>
      </c>
      <c r="AR310">
        <v>61.19211637931803</v>
      </c>
      <c r="AS310">
        <v>349.34024215631683</v>
      </c>
      <c r="AT310">
        <v>25.096439959217445</v>
      </c>
      <c r="AU310">
        <v>1.1983980768935112</v>
      </c>
      <c r="AV310"/>
      <c r="AW310"/>
      <c r="FY310" s="210">
        <v>305</v>
      </c>
      <c r="FZ310">
        <v>32.87729197216337</v>
      </c>
      <c r="GA310">
        <v>48.744805705839433</v>
      </c>
      <c r="GB310">
        <v>38.712677462066587</v>
      </c>
      <c r="GC310">
        <v>11.836233101608071</v>
      </c>
      <c r="GD310">
        <v>6.698903818173469</v>
      </c>
      <c r="GE310">
        <v>7.8552016126002258</v>
      </c>
      <c r="GF310">
        <v>8.6357702778621981</v>
      </c>
      <c r="GG310">
        <v>14.550315086013377</v>
      </c>
      <c r="GH310">
        <v>9.609614175975171</v>
      </c>
      <c r="GI310">
        <v>33.938749523733797</v>
      </c>
      <c r="GJ310"/>
      <c r="GK310"/>
      <c r="GL310"/>
      <c r="GM310"/>
    </row>
    <row r="311" spans="1:195" s="7" customFormat="1">
      <c r="A311" s="1"/>
      <c r="B311">
        <v>0.2581240144646717</v>
      </c>
      <c r="C311">
        <v>1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40.788152610441763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53.752845997884563</v>
      </c>
      <c r="AO311">
        <v>81.390800578853259</v>
      </c>
      <c r="AP311">
        <v>595.78364817162185</v>
      </c>
      <c r="AQ311">
        <v>221.11600965409249</v>
      </c>
      <c r="AR311">
        <v>75.860441611593942</v>
      </c>
      <c r="AS311">
        <v>369.08368398649191</v>
      </c>
      <c r="AT311">
        <v>28.624262335867485</v>
      </c>
      <c r="AU311">
        <v>-3.4459861938312715</v>
      </c>
      <c r="AV311"/>
      <c r="AW311"/>
      <c r="FY311" s="210">
        <v>306</v>
      </c>
      <c r="FZ311">
        <v>22.360210146121204</v>
      </c>
      <c r="GA311">
        <v>44.538478743819276</v>
      </c>
      <c r="GB311">
        <v>38.82049350276732</v>
      </c>
      <c r="GC311">
        <v>13.756663601215628</v>
      </c>
      <c r="GD311">
        <v>8.3469202975661823</v>
      </c>
      <c r="GE311">
        <v>6.6999083104148891</v>
      </c>
      <c r="GF311">
        <v>4.5075724715709775</v>
      </c>
      <c r="GG311">
        <v>13.048306600243111</v>
      </c>
      <c r="GH311">
        <v>20.375616667446693</v>
      </c>
      <c r="GI311">
        <v>37.857265636935836</v>
      </c>
      <c r="GJ311"/>
      <c r="GK311"/>
      <c r="GL311"/>
      <c r="GM311"/>
    </row>
    <row r="312" spans="1:195" s="7" customFormat="1">
      <c r="A312" s="1"/>
      <c r="B312">
        <v>0.15186209393833572</v>
      </c>
      <c r="C312">
        <v>9</v>
      </c>
      <c r="D312">
        <v>39949</v>
      </c>
      <c r="E312">
        <v>0</v>
      </c>
      <c r="F312">
        <v>0</v>
      </c>
      <c r="G312">
        <v>0</v>
      </c>
      <c r="H312">
        <v>20.833333333333332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10.416666666666666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49.326804277802644</v>
      </c>
      <c r="AO312">
        <v>66.292048575006945</v>
      </c>
      <c r="AP312">
        <v>448.41155911332078</v>
      </c>
      <c r="AQ312">
        <v>203.62173829094829</v>
      </c>
      <c r="AR312">
        <v>62.449762071945976</v>
      </c>
      <c r="AS312">
        <v>302.73939576308925</v>
      </c>
      <c r="AT312">
        <v>23.783619161575306</v>
      </c>
      <c r="AU312">
        <v>13.680808642726147</v>
      </c>
      <c r="AV312"/>
      <c r="AW312"/>
      <c r="FY312" s="210">
        <v>307</v>
      </c>
      <c r="FZ312">
        <v>28.566526821792916</v>
      </c>
      <c r="GA312">
        <v>36.092481460933662</v>
      </c>
      <c r="GB312">
        <v>23.57543626466617</v>
      </c>
      <c r="GC312">
        <v>10.506077406081177</v>
      </c>
      <c r="GD312">
        <v>6.5797619392084634</v>
      </c>
      <c r="GE312">
        <v>7.8645392313590072</v>
      </c>
      <c r="GF312">
        <v>13.825877291313095</v>
      </c>
      <c r="GG312">
        <v>20.501932901623295</v>
      </c>
      <c r="GH312">
        <v>15.5641514020106</v>
      </c>
      <c r="GI312">
        <v>31.357157304047682</v>
      </c>
      <c r="GJ312"/>
      <c r="GK312"/>
      <c r="GL312"/>
      <c r="GM312"/>
    </row>
    <row r="313" spans="1:195" s="7" customFormat="1">
      <c r="A313" s="1"/>
      <c r="B313">
        <v>0.70296519344304986</v>
      </c>
      <c r="C313">
        <v>7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20.833333333333332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10.416666666666666</v>
      </c>
      <c r="R313">
        <v>0</v>
      </c>
      <c r="S313">
        <v>10.416666666666666</v>
      </c>
      <c r="T313">
        <v>0</v>
      </c>
      <c r="U313">
        <v>10.416666666666666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45.282698661380621</v>
      </c>
      <c r="AO313">
        <v>48.339012974826225</v>
      </c>
      <c r="AP313">
        <v>368.79569259694472</v>
      </c>
      <c r="AQ313">
        <v>167.08753790105828</v>
      </c>
      <c r="AR313">
        <v>45.48575446750781</v>
      </c>
      <c r="AS313">
        <v>245.09693656204357</v>
      </c>
      <c r="AT313">
        <v>19.947296603925228</v>
      </c>
      <c r="AU313">
        <v>62.105461583693277</v>
      </c>
      <c r="AV313"/>
      <c r="AW313"/>
      <c r="FY313" s="210">
        <v>308</v>
      </c>
      <c r="FZ313">
        <v>27.8072296313062</v>
      </c>
      <c r="GA313">
        <v>70.352961816446381</v>
      </c>
      <c r="GB313">
        <v>55.506177836731034</v>
      </c>
      <c r="GC313">
        <v>15.051934780960149</v>
      </c>
      <c r="GD313">
        <v>7.2101699243634192</v>
      </c>
      <c r="GE313">
        <v>6.7906921143442176</v>
      </c>
      <c r="GF313">
        <v>7.5177618638941581</v>
      </c>
      <c r="GG313">
        <v>8.7700903147986953</v>
      </c>
      <c r="GH313">
        <v>13.27202965204299</v>
      </c>
      <c r="GI313">
        <v>41.715373539307329</v>
      </c>
      <c r="GJ313"/>
      <c r="GK313"/>
      <c r="GL313"/>
      <c r="GM313"/>
    </row>
    <row r="314" spans="1:195" s="7" customFormat="1">
      <c r="A314" s="1"/>
      <c r="B314">
        <v>0.92395283400468919</v>
      </c>
      <c r="C314">
        <v>2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10.416666666666666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66.800752981188538</v>
      </c>
      <c r="AO314">
        <v>73.807526908947864</v>
      </c>
      <c r="AP314">
        <v>505.48534482773812</v>
      </c>
      <c r="AQ314">
        <v>234.05165270663514</v>
      </c>
      <c r="AR314">
        <v>69.17237944353883</v>
      </c>
      <c r="AS314">
        <v>458.56866825554602</v>
      </c>
      <c r="AT314">
        <v>27.193308212003291</v>
      </c>
      <c r="AU314">
        <v>-19.757509007239591</v>
      </c>
      <c r="AV314"/>
      <c r="AW314"/>
      <c r="FY314" s="210">
        <v>309</v>
      </c>
      <c r="FZ314">
        <v>31.629099507099511</v>
      </c>
      <c r="GA314">
        <v>63.21489728762711</v>
      </c>
      <c r="GB314">
        <v>38.623522745104623</v>
      </c>
      <c r="GC314">
        <v>12.803612907720078</v>
      </c>
      <c r="GD314">
        <v>6.545257952105815</v>
      </c>
      <c r="GE314">
        <v>5.4627952541215148</v>
      </c>
      <c r="GF314">
        <v>9.271315141994906</v>
      </c>
      <c r="GG314">
        <v>13.494426170179789</v>
      </c>
      <c r="GH314">
        <v>13.505560176613185</v>
      </c>
      <c r="GI314">
        <v>34.945852495173661</v>
      </c>
      <c r="GJ314"/>
      <c r="GK314"/>
      <c r="GL314"/>
      <c r="GM314"/>
    </row>
    <row r="315" spans="1:195" s="7" customFormat="1">
      <c r="A315" s="1"/>
      <c r="B315">
        <v>9.1486202307297759E-2</v>
      </c>
      <c r="C315">
        <v>6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53.570262943257674</v>
      </c>
      <c r="AO315">
        <v>83.768235311124911</v>
      </c>
      <c r="AP315">
        <v>671.02385943574859</v>
      </c>
      <c r="AQ315">
        <v>248.00787366221772</v>
      </c>
      <c r="AR315">
        <v>77.15273656502238</v>
      </c>
      <c r="AS315">
        <v>459.55738592229693</v>
      </c>
      <c r="AT315">
        <v>31.236442631175482</v>
      </c>
      <c r="AU315">
        <v>-1.4193966218991036</v>
      </c>
      <c r="AV315"/>
      <c r="AW315"/>
      <c r="FY315" s="210">
        <v>310</v>
      </c>
      <c r="FZ315">
        <v>27.603134123966296</v>
      </c>
      <c r="GA315">
        <v>70.208542746195945</v>
      </c>
      <c r="GB315">
        <v>34.186356489991311</v>
      </c>
      <c r="GC315">
        <v>5.9709433046237583</v>
      </c>
      <c r="GD315">
        <v>2.6122842608532828</v>
      </c>
      <c r="GE315">
        <v>3.1128032572839892</v>
      </c>
      <c r="GF315">
        <v>7.4131731852181204</v>
      </c>
      <c r="GG315">
        <v>11.5311523932925</v>
      </c>
      <c r="GH315">
        <v>12.158264346195216</v>
      </c>
      <c r="GI315">
        <v>25.914796605210501</v>
      </c>
      <c r="GJ315"/>
      <c r="GK315"/>
      <c r="GL315"/>
      <c r="GM315"/>
    </row>
    <row r="316" spans="1:195" s="7" customFormat="1">
      <c r="A316" s="1"/>
      <c r="B316">
        <v>0.33978810810690963</v>
      </c>
      <c r="C316">
        <v>1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40.788152610441763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55.781416892628158</v>
      </c>
      <c r="AO316">
        <v>58.209601948618868</v>
      </c>
      <c r="AP316">
        <v>455.74316695297779</v>
      </c>
      <c r="AQ316">
        <v>196.70027001270947</v>
      </c>
      <c r="AR316">
        <v>54.977035080119819</v>
      </c>
      <c r="AS316">
        <v>283.38086012688473</v>
      </c>
      <c r="AT316">
        <v>20.732179559116364</v>
      </c>
      <c r="AU316">
        <v>-1.4840649682200286</v>
      </c>
      <c r="AV316"/>
      <c r="AW316"/>
      <c r="FY316" s="210">
        <v>311</v>
      </c>
      <c r="FZ316">
        <v>31.537320851060578</v>
      </c>
      <c r="GA316">
        <v>67.03314092993034</v>
      </c>
      <c r="GB316">
        <v>49.217606575880403</v>
      </c>
      <c r="GC316">
        <v>15.069402654827499</v>
      </c>
      <c r="GD316">
        <v>9.4558136958504324</v>
      </c>
      <c r="GE316">
        <v>8.9513687838318923</v>
      </c>
      <c r="GF316">
        <v>9.5538425005192078</v>
      </c>
      <c r="GG316">
        <v>15.249341373944668</v>
      </c>
      <c r="GH316">
        <v>12.638693162636981</v>
      </c>
      <c r="GI316">
        <v>42.21983333896511</v>
      </c>
      <c r="GJ316"/>
      <c r="GK316"/>
      <c r="GL316"/>
      <c r="GM316"/>
    </row>
    <row r="317" spans="1:195" s="7" customFormat="1">
      <c r="A317" s="1"/>
      <c r="B317">
        <v>0.14952262954119888</v>
      </c>
      <c r="C317">
        <v>7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20.833333333333332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10.416666666666666</v>
      </c>
      <c r="R317">
        <v>0</v>
      </c>
      <c r="S317">
        <v>10.416666666666666</v>
      </c>
      <c r="T317">
        <v>0</v>
      </c>
      <c r="U317">
        <v>10.416666666666666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48.82140951981652</v>
      </c>
      <c r="AO317">
        <v>53.323528658536851</v>
      </c>
      <c r="AP317">
        <v>412.45786195837104</v>
      </c>
      <c r="AQ317">
        <v>179.59956028626769</v>
      </c>
      <c r="AR317">
        <v>49.883733357936897</v>
      </c>
      <c r="AS317">
        <v>298.30822985274636</v>
      </c>
      <c r="AT317">
        <v>18.904559193289135</v>
      </c>
      <c r="AU317">
        <v>-16.462494981597022</v>
      </c>
      <c r="AV317"/>
      <c r="AW317"/>
      <c r="FY317" s="210">
        <v>312</v>
      </c>
      <c r="FZ317">
        <v>24.438319548142768</v>
      </c>
      <c r="GA317">
        <v>50.076401578618373</v>
      </c>
      <c r="GB317">
        <v>17.5868001805662</v>
      </c>
      <c r="GC317">
        <v>8.0259440181424964</v>
      </c>
      <c r="GD317">
        <v>8.8961506725805393</v>
      </c>
      <c r="GE317">
        <v>12.935440217046333</v>
      </c>
      <c r="GF317">
        <v>8.8238775214298677</v>
      </c>
      <c r="GG317">
        <v>20.153219021153326</v>
      </c>
      <c r="GH317">
        <v>27.936661383001525</v>
      </c>
      <c r="GI317">
        <v>29.564295609333318</v>
      </c>
      <c r="GJ317"/>
      <c r="GK317"/>
      <c r="GL317"/>
      <c r="GM317"/>
    </row>
    <row r="318" spans="1:195" s="7" customFormat="1">
      <c r="A318" s="1"/>
      <c r="B318">
        <v>0.43805862801246231</v>
      </c>
      <c r="C318">
        <v>2</v>
      </c>
      <c r="D318">
        <v>39987</v>
      </c>
      <c r="E318">
        <v>0</v>
      </c>
      <c r="F318">
        <v>0</v>
      </c>
      <c r="G318">
        <v>0</v>
      </c>
      <c r="H318">
        <v>57.779947916666664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43.545745882222185</v>
      </c>
      <c r="AO318">
        <v>65.294492418144486</v>
      </c>
      <c r="AP318">
        <v>473.31092054405735</v>
      </c>
      <c r="AQ318">
        <v>189.90173832947778</v>
      </c>
      <c r="AR318">
        <v>61.024825271161092</v>
      </c>
      <c r="AS318">
        <v>363.72296492126395</v>
      </c>
      <c r="AT318">
        <v>24.504681872357029</v>
      </c>
      <c r="AU318">
        <v>14.247255782707352</v>
      </c>
      <c r="AV318"/>
      <c r="AW318"/>
      <c r="FY318" s="210">
        <v>313</v>
      </c>
      <c r="FZ318">
        <v>19.860537778977481</v>
      </c>
      <c r="GA318">
        <v>50.907569348434144</v>
      </c>
      <c r="GB318">
        <v>38.662615817141301</v>
      </c>
      <c r="GC318">
        <v>10.341852411236044</v>
      </c>
      <c r="GD318">
        <v>6.4405269859333787</v>
      </c>
      <c r="GE318">
        <v>8.5742116311709626</v>
      </c>
      <c r="GF318">
        <v>11.036883627863514</v>
      </c>
      <c r="GG318">
        <v>27.209515318823861</v>
      </c>
      <c r="GH318">
        <v>27.181547391293929</v>
      </c>
      <c r="GI318">
        <v>37.34357396222979</v>
      </c>
      <c r="GJ318"/>
      <c r="GK318"/>
      <c r="GL318"/>
      <c r="GM318"/>
    </row>
    <row r="319" spans="1:195" s="7" customFormat="1">
      <c r="A319" s="1"/>
      <c r="B319">
        <v>0.66829975378332196</v>
      </c>
      <c r="C319">
        <v>3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60.333301257589667</v>
      </c>
      <c r="AO319">
        <v>72.301367197845735</v>
      </c>
      <c r="AP319">
        <v>429.32092305751996</v>
      </c>
      <c r="AQ319">
        <v>206.05271087546825</v>
      </c>
      <c r="AR319">
        <v>67.501045362583767</v>
      </c>
      <c r="AS319">
        <v>549.19087846020113</v>
      </c>
      <c r="AT319">
        <v>28.483424775361158</v>
      </c>
      <c r="AU319">
        <v>89.176351730466195</v>
      </c>
      <c r="AV319"/>
      <c r="AW319"/>
      <c r="FY319" s="210">
        <v>314</v>
      </c>
      <c r="FZ319">
        <v>18.991922455008705</v>
      </c>
      <c r="GA319">
        <v>65.525947757761685</v>
      </c>
      <c r="GB319">
        <v>44.083012263273638</v>
      </c>
      <c r="GC319">
        <v>14.595264848444414</v>
      </c>
      <c r="GD319">
        <v>7.0279913448218849</v>
      </c>
      <c r="GE319">
        <v>4.790218963699064</v>
      </c>
      <c r="GF319">
        <v>11.890193834259186</v>
      </c>
      <c r="GG319">
        <v>12.711801332193975</v>
      </c>
      <c r="GH319">
        <v>4.1899665995449684</v>
      </c>
      <c r="GI319">
        <v>39.465418055158111</v>
      </c>
      <c r="GJ319"/>
      <c r="GK319"/>
      <c r="GL319"/>
      <c r="GM319"/>
    </row>
    <row r="320" spans="1:195" s="7" customFormat="1">
      <c r="A320" s="1"/>
      <c r="B320">
        <v>0.84310125843249772</v>
      </c>
      <c r="C320">
        <v>2</v>
      </c>
      <c r="D320">
        <v>39987</v>
      </c>
      <c r="E320">
        <v>0</v>
      </c>
      <c r="F320">
        <v>0</v>
      </c>
      <c r="G320">
        <v>0</v>
      </c>
      <c r="H320">
        <v>57.779947916666664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57.026614949078677</v>
      </c>
      <c r="AO320">
        <v>57.858397800938704</v>
      </c>
      <c r="AP320">
        <v>397.76564166402761</v>
      </c>
      <c r="AQ320">
        <v>187.44243848042024</v>
      </c>
      <c r="AR320">
        <v>54.075094740754309</v>
      </c>
      <c r="AS320">
        <v>286.77192527869573</v>
      </c>
      <c r="AT320">
        <v>23.794670624611982</v>
      </c>
      <c r="AU320">
        <v>44.579380450934039</v>
      </c>
      <c r="AV320"/>
      <c r="AW320"/>
      <c r="FY320" s="210">
        <v>315</v>
      </c>
      <c r="FZ320">
        <v>16.791115194415681</v>
      </c>
      <c r="GA320">
        <v>59.352642031286329</v>
      </c>
      <c r="GB320">
        <v>28.827355663628737</v>
      </c>
      <c r="GC320">
        <v>12.249153316777768</v>
      </c>
      <c r="GD320">
        <v>5.3795926546763155</v>
      </c>
      <c r="GE320">
        <v>2.7302123301659651</v>
      </c>
      <c r="GF320">
        <v>10.001280722635213</v>
      </c>
      <c r="GG320">
        <v>19.362473395987102</v>
      </c>
      <c r="GH320">
        <v>18.009651919693585</v>
      </c>
      <c r="GI320">
        <v>27.724486526006633</v>
      </c>
      <c r="GJ320"/>
      <c r="GK320"/>
      <c r="GL320"/>
      <c r="GM320"/>
    </row>
    <row r="321" spans="1:195" s="7" customFormat="1">
      <c r="A321" s="1"/>
      <c r="B321">
        <v>0.94765268721408757</v>
      </c>
      <c r="C321">
        <v>9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10.416666666666666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10.416666666666666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63.984053894737521</v>
      </c>
      <c r="AO321">
        <v>73.574780037088715</v>
      </c>
      <c r="AP321">
        <v>551.14758216899406</v>
      </c>
      <c r="AQ321">
        <v>213.45956273603568</v>
      </c>
      <c r="AR321">
        <v>69.370780228701918</v>
      </c>
      <c r="AS321">
        <v>323.1356559657516</v>
      </c>
      <c r="AT321">
        <v>27.500779130157444</v>
      </c>
      <c r="AU321">
        <v>22.852731277419942</v>
      </c>
      <c r="AV321"/>
      <c r="AW321"/>
      <c r="FY321" s="210">
        <v>316</v>
      </c>
      <c r="FZ321">
        <v>18.466982615976089</v>
      </c>
      <c r="GA321">
        <v>47.240547773309316</v>
      </c>
      <c r="GB321">
        <v>48.591322315294377</v>
      </c>
      <c r="GC321">
        <v>12.603351863089388</v>
      </c>
      <c r="GD321">
        <v>6.3481726177348303</v>
      </c>
      <c r="GE321">
        <v>7.6200551451073357</v>
      </c>
      <c r="GF321">
        <v>8.8808522798734515</v>
      </c>
      <c r="GG321">
        <v>15.204967442874937</v>
      </c>
      <c r="GH321">
        <v>14.628673368322682</v>
      </c>
      <c r="GI321">
        <v>39.003369438902162</v>
      </c>
      <c r="GJ321"/>
      <c r="GK321"/>
      <c r="GL321"/>
      <c r="GM321"/>
    </row>
    <row r="322" spans="1:195" s="7" customFormat="1">
      <c r="A322" s="1"/>
      <c r="B322">
        <v>2.8006799234906232E-2</v>
      </c>
      <c r="C322">
        <v>2</v>
      </c>
      <c r="D322">
        <v>39987</v>
      </c>
      <c r="E322">
        <v>0</v>
      </c>
      <c r="F322">
        <v>0</v>
      </c>
      <c r="G322">
        <v>0</v>
      </c>
      <c r="H322">
        <v>57.779947916666664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50.737276160841837</v>
      </c>
      <c r="AO322">
        <v>81.575915168551575</v>
      </c>
      <c r="AP322">
        <v>542.2598051809814</v>
      </c>
      <c r="AQ322">
        <v>210.31143597810109</v>
      </c>
      <c r="AR322">
        <v>78.298729261677451</v>
      </c>
      <c r="AS322">
        <v>347.15624076649482</v>
      </c>
      <c r="AT322">
        <v>29.953064622141714</v>
      </c>
      <c r="AU322">
        <v>-69.003489408515037</v>
      </c>
      <c r="AV322"/>
      <c r="AW322"/>
      <c r="FY322" s="210">
        <v>317</v>
      </c>
      <c r="FZ322">
        <v>28.062010094557678</v>
      </c>
      <c r="GA322">
        <v>66.480445632689893</v>
      </c>
      <c r="GB322">
        <v>50.388571228294914</v>
      </c>
      <c r="GC322">
        <v>12.477958954476396</v>
      </c>
      <c r="GD322">
        <v>4.6135932962891131</v>
      </c>
      <c r="GE322">
        <v>3.8879623134434258</v>
      </c>
      <c r="GF322">
        <v>8.3568507075776974</v>
      </c>
      <c r="GG322">
        <v>14.137362494466872</v>
      </c>
      <c r="GH322">
        <v>13.209165602196759</v>
      </c>
      <c r="GI322">
        <v>35.775618098620392</v>
      </c>
      <c r="GJ322"/>
      <c r="GK322"/>
      <c r="GL322"/>
      <c r="GM322"/>
    </row>
    <row r="323" spans="1:195" s="7" customFormat="1">
      <c r="A323" s="1"/>
      <c r="B323">
        <v>0.37270823489266736</v>
      </c>
      <c r="C323">
        <v>5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10.416666666666666</v>
      </c>
      <c r="J323">
        <v>0</v>
      </c>
      <c r="K323">
        <v>0</v>
      </c>
      <c r="L323">
        <v>0</v>
      </c>
      <c r="M323">
        <v>0</v>
      </c>
      <c r="N323">
        <v>10.416666666666666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64.127840168128301</v>
      </c>
      <c r="AO323">
        <v>64.098063590519473</v>
      </c>
      <c r="AP323">
        <v>460.75095533676068</v>
      </c>
      <c r="AQ323">
        <v>194.43394202303605</v>
      </c>
      <c r="AR323">
        <v>60.541658784455258</v>
      </c>
      <c r="AS323">
        <v>314.76856612133764</v>
      </c>
      <c r="AT323">
        <v>25.151566207377304</v>
      </c>
      <c r="AU323">
        <v>67.596901107584031</v>
      </c>
      <c r="AV323"/>
      <c r="AW323"/>
      <c r="FY323" s="210">
        <v>318</v>
      </c>
      <c r="FZ323">
        <v>22.276230208451167</v>
      </c>
      <c r="GA323">
        <v>60.468838844523418</v>
      </c>
      <c r="GB323">
        <v>51.650671447511264</v>
      </c>
      <c r="GC323">
        <v>14.495345722128727</v>
      </c>
      <c r="GD323">
        <v>6.8824679826623383</v>
      </c>
      <c r="GE323">
        <v>5.9611420033084723</v>
      </c>
      <c r="GF323">
        <v>12.071386494379448</v>
      </c>
      <c r="GG323">
        <v>25.380211151115493</v>
      </c>
      <c r="GH323">
        <v>21.935215506674361</v>
      </c>
      <c r="GI323">
        <v>44.537002044503694</v>
      </c>
      <c r="GJ323"/>
      <c r="GK323"/>
      <c r="GL323"/>
      <c r="GM323"/>
    </row>
    <row r="324" spans="1:195" s="7" customFormat="1">
      <c r="A324" s="1"/>
      <c r="B324">
        <v>0.69784095577983751</v>
      </c>
      <c r="C324">
        <v>5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10.416666666666666</v>
      </c>
      <c r="J324">
        <v>0</v>
      </c>
      <c r="K324">
        <v>0</v>
      </c>
      <c r="L324">
        <v>0</v>
      </c>
      <c r="M324">
        <v>0</v>
      </c>
      <c r="N324">
        <v>10.416666666666666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68.59554601575374</v>
      </c>
      <c r="AO324">
        <v>90.740529273355165</v>
      </c>
      <c r="AP324">
        <v>650.24542639220567</v>
      </c>
      <c r="AQ324">
        <v>253.99442147419455</v>
      </c>
      <c r="AR324">
        <v>83.898194612676832</v>
      </c>
      <c r="AS324">
        <v>546.93412820649701</v>
      </c>
      <c r="AT324">
        <v>31.08733239306552</v>
      </c>
      <c r="AU324">
        <v>-12.353078424817868</v>
      </c>
      <c r="AV324"/>
      <c r="AW324"/>
      <c r="FY324" s="210">
        <v>319</v>
      </c>
      <c r="FZ324">
        <v>18.237360329331469</v>
      </c>
      <c r="GA324">
        <v>46.042948711199521</v>
      </c>
      <c r="GB324">
        <v>31.666027747272089</v>
      </c>
      <c r="GC324">
        <v>10.770504610415371</v>
      </c>
      <c r="GD324">
        <v>6.58241992432297</v>
      </c>
      <c r="GE324">
        <v>7.8461117430211855</v>
      </c>
      <c r="GF324">
        <v>6.001532486986541</v>
      </c>
      <c r="GG324">
        <v>12.868459281152514</v>
      </c>
      <c r="GH324">
        <v>20.899109521284942</v>
      </c>
      <c r="GI324">
        <v>32.99489178769096</v>
      </c>
      <c r="GJ324"/>
      <c r="GK324"/>
      <c r="GL324"/>
      <c r="GM324"/>
    </row>
    <row r="325" spans="1:195" s="7" customFormat="1">
      <c r="A325" s="1"/>
      <c r="B325">
        <v>0.9793170272203231</v>
      </c>
      <c r="C325">
        <v>5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10.416666666666666</v>
      </c>
      <c r="J325">
        <v>0</v>
      </c>
      <c r="K325">
        <v>0</v>
      </c>
      <c r="L325">
        <v>0</v>
      </c>
      <c r="M325">
        <v>0</v>
      </c>
      <c r="N325">
        <v>10.416666666666666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56.118823486764526</v>
      </c>
      <c r="AO325">
        <v>72.097040397478054</v>
      </c>
      <c r="AP325">
        <v>517.18236465072448</v>
      </c>
      <c r="AQ325">
        <v>229.49633963774019</v>
      </c>
      <c r="AR325">
        <v>67.593780870992035</v>
      </c>
      <c r="AS325">
        <v>334.99629725014125</v>
      </c>
      <c r="AT325">
        <v>25.60007149755937</v>
      </c>
      <c r="AU325">
        <v>10.594217653512645</v>
      </c>
      <c r="AV325"/>
      <c r="AW325"/>
      <c r="FY325" s="210">
        <v>320</v>
      </c>
      <c r="FZ325">
        <v>27.419306770996318</v>
      </c>
      <c r="GA325">
        <v>52.813977229708463</v>
      </c>
      <c r="GB325">
        <v>37.602644520588903</v>
      </c>
      <c r="GC325">
        <v>12.357552380487594</v>
      </c>
      <c r="GD325">
        <v>8.3875852605050643</v>
      </c>
      <c r="GE325">
        <v>7.9192058795683646</v>
      </c>
      <c r="GF325">
        <v>9.541807245778557</v>
      </c>
      <c r="GG325">
        <v>28.326292712704522</v>
      </c>
      <c r="GH325">
        <v>35.396061797083902</v>
      </c>
      <c r="GI325">
        <v>40.978464388034261</v>
      </c>
      <c r="GJ325"/>
      <c r="GK325"/>
      <c r="GL325"/>
      <c r="GM325"/>
    </row>
    <row r="326" spans="1:195" s="7" customFormat="1">
      <c r="A326" s="1"/>
      <c r="B326">
        <v>0.90610997256252168</v>
      </c>
      <c r="C326">
        <v>9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10.416666666666666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10.416666666666666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43.752681474711459</v>
      </c>
      <c r="AO326">
        <v>53.621794433943627</v>
      </c>
      <c r="AP326">
        <v>459.5493731233999</v>
      </c>
      <c r="AQ326">
        <v>200.7114507128309</v>
      </c>
      <c r="AR326">
        <v>50.373751967364171</v>
      </c>
      <c r="AS326">
        <v>237.96020580134686</v>
      </c>
      <c r="AT326">
        <v>19.280760591286075</v>
      </c>
      <c r="AU326">
        <v>18.766153089649656</v>
      </c>
      <c r="AV326"/>
      <c r="AW326"/>
      <c r="FY326" s="210">
        <v>321</v>
      </c>
      <c r="FZ326">
        <v>20.592093499456933</v>
      </c>
      <c r="GA326">
        <v>55.953645128665904</v>
      </c>
      <c r="GB326">
        <v>25.50427974991192</v>
      </c>
      <c r="GC326">
        <v>8.5570991887123053</v>
      </c>
      <c r="GD326">
        <v>5.3587162327028972</v>
      </c>
      <c r="GE326">
        <v>6.852175797705236</v>
      </c>
      <c r="GF326">
        <v>7.9420721401132486</v>
      </c>
      <c r="GG326">
        <v>10.775077634058926</v>
      </c>
      <c r="GH326">
        <v>16.961567671190267</v>
      </c>
      <c r="GI326">
        <v>24.997928652418192</v>
      </c>
      <c r="GJ326"/>
      <c r="GK326"/>
      <c r="GL326"/>
      <c r="GM326"/>
    </row>
    <row r="327" spans="1:195" s="7" customFormat="1">
      <c r="A327" s="1"/>
      <c r="B327">
        <v>0.96925173748489057</v>
      </c>
      <c r="C327">
        <v>5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10.416666666666666</v>
      </c>
      <c r="J327">
        <v>0</v>
      </c>
      <c r="K327">
        <v>0</v>
      </c>
      <c r="L327">
        <v>0</v>
      </c>
      <c r="M327">
        <v>0</v>
      </c>
      <c r="N327">
        <v>10.416666666666666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72.978811711281921</v>
      </c>
      <c r="AO327">
        <v>91.656823110268775</v>
      </c>
      <c r="AP327">
        <v>677.70465006155553</v>
      </c>
      <c r="AQ327">
        <v>260.92636386744709</v>
      </c>
      <c r="AR327">
        <v>85.099958241785288</v>
      </c>
      <c r="AS327">
        <v>529.21271890607807</v>
      </c>
      <c r="AT327">
        <v>33.227887797260166</v>
      </c>
      <c r="AU327">
        <v>31.875632500161124</v>
      </c>
      <c r="AV327"/>
      <c r="AW327"/>
      <c r="FY327" s="210">
        <v>322</v>
      </c>
      <c r="FZ327">
        <v>16.810492830924815</v>
      </c>
      <c r="GA327">
        <v>37.442145514300343</v>
      </c>
      <c r="GB327">
        <v>44.448140058156689</v>
      </c>
      <c r="GC327">
        <v>13.680132824769482</v>
      </c>
      <c r="GD327">
        <v>5.1424414411652428</v>
      </c>
      <c r="GE327">
        <v>4.359767781829226</v>
      </c>
      <c r="GF327">
        <v>6.3753069729490282</v>
      </c>
      <c r="GG327">
        <v>9.5916394206238049</v>
      </c>
      <c r="GH327">
        <v>9.1172634927611043</v>
      </c>
      <c r="GI327">
        <v>30.030022424639665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50.228869526047141</v>
      </c>
      <c r="AO328">
        <v>59.985209136652216</v>
      </c>
      <c r="AP328">
        <v>431.79671896837073</v>
      </c>
      <c r="AQ328">
        <v>208.43710975001477</v>
      </c>
      <c r="AR328">
        <v>55.809897600047286</v>
      </c>
      <c r="AS328">
        <v>437.50573280413863</v>
      </c>
      <c r="AT328">
        <v>26.439074913937038</v>
      </c>
      <c r="AU328">
        <v>22.247248991042529</v>
      </c>
      <c r="AV328"/>
      <c r="AW328"/>
      <c r="FY328" s="210">
        <v>323</v>
      </c>
      <c r="FZ328">
        <v>30.98730449927254</v>
      </c>
      <c r="GA328">
        <v>70.705153432580161</v>
      </c>
      <c r="GB328">
        <v>29.019787908117273</v>
      </c>
      <c r="GC328">
        <v>7.1729918178033767</v>
      </c>
      <c r="GD328">
        <v>8.0658367576893539</v>
      </c>
      <c r="GE328">
        <v>12.535101890740799</v>
      </c>
      <c r="GF328">
        <v>8.4874329106165067</v>
      </c>
      <c r="GG328">
        <v>16.059899921304666</v>
      </c>
      <c r="GH328">
        <v>16.485353335327357</v>
      </c>
      <c r="GI328">
        <v>30.642480564592805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58.888145010815471</v>
      </c>
      <c r="AO329">
        <v>80.176860892519628</v>
      </c>
      <c r="AP329">
        <v>582.77636410718128</v>
      </c>
      <c r="AQ329">
        <v>237.5588342731044</v>
      </c>
      <c r="AR329">
        <v>74.646062538478475</v>
      </c>
      <c r="AS329">
        <v>355.15554604962898</v>
      </c>
      <c r="AT329">
        <v>29.841178212196695</v>
      </c>
      <c r="AU329">
        <v>-8.6378783725034651</v>
      </c>
      <c r="AV329"/>
      <c r="AW329"/>
      <c r="FY329" s="210">
        <v>324</v>
      </c>
      <c r="FZ329">
        <v>16.260115567344812</v>
      </c>
      <c r="GA329">
        <v>31.051693960709304</v>
      </c>
      <c r="GB329">
        <v>17.047624741491205</v>
      </c>
      <c r="GC329">
        <v>7.9325845383556688</v>
      </c>
      <c r="GD329">
        <v>8.4723539942272748</v>
      </c>
      <c r="GE329">
        <v>12.04436852122968</v>
      </c>
      <c r="GF329">
        <v>9.2161917810840581</v>
      </c>
      <c r="GG329">
        <v>13.96627780138007</v>
      </c>
      <c r="GH329">
        <v>12.669959176584854</v>
      </c>
      <c r="GI329">
        <v>23.09978923555472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61.935123492247193</v>
      </c>
      <c r="AO330">
        <v>87.488950681930845</v>
      </c>
      <c r="AP330">
        <v>590.57360739734918</v>
      </c>
      <c r="AQ330">
        <v>223.27173745416559</v>
      </c>
      <c r="AR330">
        <v>80.719521739065925</v>
      </c>
      <c r="AS330">
        <v>531.98090490144239</v>
      </c>
      <c r="AT330">
        <v>28.961679606944145</v>
      </c>
      <c r="AU330">
        <v>-38.664203817346994</v>
      </c>
      <c r="AV330"/>
      <c r="AW330"/>
      <c r="FY330" s="210">
        <v>325</v>
      </c>
      <c r="FZ330">
        <v>24.861881944168019</v>
      </c>
      <c r="GA330">
        <v>99.543812707164648</v>
      </c>
      <c r="GB330">
        <v>48.457791024532185</v>
      </c>
      <c r="GC330">
        <v>11.984985985413685</v>
      </c>
      <c r="GD330">
        <v>7.0190386140730343</v>
      </c>
      <c r="GE330">
        <v>8.2307630104201994</v>
      </c>
      <c r="GF330">
        <v>7.8175221430411836</v>
      </c>
      <c r="GG330">
        <v>21.503852883661832</v>
      </c>
      <c r="GH330">
        <v>31.794777196714602</v>
      </c>
      <c r="GI330">
        <v>41.440635655035862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56.363096084188655</v>
      </c>
      <c r="AO331">
        <v>57.228322863149472</v>
      </c>
      <c r="AP331">
        <v>451.53569351646377</v>
      </c>
      <c r="AQ331">
        <v>200.42796375527337</v>
      </c>
      <c r="AR331">
        <v>52.515921139050519</v>
      </c>
      <c r="AS331">
        <v>277.01457100640403</v>
      </c>
      <c r="AT331">
        <v>23.802135674847491</v>
      </c>
      <c r="AU331">
        <v>22.68515249535918</v>
      </c>
      <c r="AV331"/>
      <c r="AW331"/>
      <c r="FY331" s="210">
        <v>326</v>
      </c>
      <c r="FZ331">
        <v>21.555176219126942</v>
      </c>
      <c r="GA331">
        <v>58.88964080570382</v>
      </c>
      <c r="GB331">
        <v>35.676334959080506</v>
      </c>
      <c r="GC331">
        <v>10.46672415200983</v>
      </c>
      <c r="GD331">
        <v>6.5916292359843416</v>
      </c>
      <c r="GE331">
        <v>5.8958432417906765</v>
      </c>
      <c r="GF331">
        <v>11.082556172597009</v>
      </c>
      <c r="GG331">
        <v>19.625597148322775</v>
      </c>
      <c r="GH331">
        <v>12.446581627013536</v>
      </c>
      <c r="GI331">
        <v>33.982008140276633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56.519612751224258</v>
      </c>
      <c r="AO332">
        <v>84.98426805598217</v>
      </c>
      <c r="AP332">
        <v>602.54080907294463</v>
      </c>
      <c r="AQ332">
        <v>218.58829486048458</v>
      </c>
      <c r="AR332">
        <v>79.046716082341248</v>
      </c>
      <c r="AS332">
        <v>466.74366786169026</v>
      </c>
      <c r="AT332">
        <v>31.958833252522926</v>
      </c>
      <c r="AU332">
        <v>3.2770030191597161</v>
      </c>
      <c r="AV332"/>
      <c r="AW332"/>
      <c r="FY332" s="210">
        <v>327</v>
      </c>
      <c r="FZ332">
        <v>30.21609055086611</v>
      </c>
      <c r="GA332">
        <v>61.992213359810336</v>
      </c>
      <c r="GB332">
        <v>19.785367822044186</v>
      </c>
      <c r="GC332">
        <v>9.970077119264154</v>
      </c>
      <c r="GD332">
        <v>7.2259430684861954</v>
      </c>
      <c r="GE332">
        <v>5.8599011761122437</v>
      </c>
      <c r="GF332">
        <v>9.4493053450800044</v>
      </c>
      <c r="GG332">
        <v>17.626687056535459</v>
      </c>
      <c r="GH332">
        <v>15.513390808253627</v>
      </c>
      <c r="GI332">
        <v>29.241553465694587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53.722661005252988</v>
      </c>
      <c r="AO333">
        <v>78.366021326880286</v>
      </c>
      <c r="AP333">
        <v>631.16223892752168</v>
      </c>
      <c r="AQ333">
        <v>237.38953842261316</v>
      </c>
      <c r="AR333">
        <v>74.285256144151845</v>
      </c>
      <c r="AS333">
        <v>380.1357942918026</v>
      </c>
      <c r="AT333">
        <v>29.156960248666596</v>
      </c>
      <c r="AU333">
        <v>-4.0261065816510584</v>
      </c>
      <c r="AV333"/>
      <c r="AW333"/>
      <c r="FY333" s="210">
        <v>328</v>
      </c>
      <c r="FZ333">
        <v>21.748686315018574</v>
      </c>
      <c r="GA333">
        <v>74.072913781453678</v>
      </c>
      <c r="GB333">
        <v>47.720097408218138</v>
      </c>
      <c r="GC333">
        <v>12.200551077915847</v>
      </c>
      <c r="GD333">
        <v>6.7264244706508736</v>
      </c>
      <c r="GE333">
        <v>6.7015784293876228</v>
      </c>
      <c r="GF333">
        <v>11.874736880682235</v>
      </c>
      <c r="GG333">
        <v>17.799664692124587</v>
      </c>
      <c r="GH333">
        <v>20.840200398425271</v>
      </c>
      <c r="GI333">
        <v>38.912396517213438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56.456474813228077</v>
      </c>
      <c r="AO334">
        <v>100.23960227734982</v>
      </c>
      <c r="AP334">
        <v>750.29702363737465</v>
      </c>
      <c r="AQ334">
        <v>265.65851140525842</v>
      </c>
      <c r="AR334">
        <v>93.50575873208183</v>
      </c>
      <c r="AS334">
        <v>561.99386235996838</v>
      </c>
      <c r="AT334">
        <v>39.233933139821779</v>
      </c>
      <c r="AU334">
        <v>14.654762246911773</v>
      </c>
      <c r="AV334"/>
      <c r="AW334"/>
      <c r="FY334" s="210">
        <v>329</v>
      </c>
      <c r="FZ334">
        <v>35.2151373945293</v>
      </c>
      <c r="GA334">
        <v>60.349136697681011</v>
      </c>
      <c r="GB334">
        <v>36.517198289696225</v>
      </c>
      <c r="GC334">
        <v>10.737570495908148</v>
      </c>
      <c r="GD334">
        <v>7.5243536998552729</v>
      </c>
      <c r="GE334">
        <v>9.602746061687629</v>
      </c>
      <c r="GF334">
        <v>13.759915013500704</v>
      </c>
      <c r="GG334">
        <v>21.372491913578209</v>
      </c>
      <c r="GH334">
        <v>12.109873281359208</v>
      </c>
      <c r="GI334">
        <v>35.523184924709504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48.998269580736185</v>
      </c>
      <c r="AO335">
        <v>72.106802476024185</v>
      </c>
      <c r="AP335">
        <v>495.87489976413087</v>
      </c>
      <c r="AQ335">
        <v>193.90936614267758</v>
      </c>
      <c r="AR335">
        <v>68.72255655932706</v>
      </c>
      <c r="AS335">
        <v>379.94098257245508</v>
      </c>
      <c r="AT335">
        <v>27.113041276276945</v>
      </c>
      <c r="AU335">
        <v>12.216753058902386</v>
      </c>
      <c r="AV335"/>
      <c r="AW335"/>
      <c r="FY335" s="210">
        <v>330</v>
      </c>
      <c r="FZ335">
        <v>23.366913207021845</v>
      </c>
      <c r="GA335">
        <v>37.810719427815059</v>
      </c>
      <c r="GB335">
        <v>50.143890836455185</v>
      </c>
      <c r="GC335">
        <v>16.085926609170077</v>
      </c>
      <c r="GD335">
        <v>9.0385656444229632</v>
      </c>
      <c r="GE335">
        <v>9.6657741212188419</v>
      </c>
      <c r="GF335">
        <v>7.074190550115623</v>
      </c>
      <c r="GG335">
        <v>10.903158019411116</v>
      </c>
      <c r="GH335">
        <v>13.807470181577061</v>
      </c>
      <c r="GI335">
        <v>42.237850322772339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57.210779641659961</v>
      </c>
      <c r="AO336">
        <v>89.987412155766378</v>
      </c>
      <c r="AP336">
        <v>676.32153071665698</v>
      </c>
      <c r="AQ336">
        <v>260.74289818545589</v>
      </c>
      <c r="AR336">
        <v>85.01237980882874</v>
      </c>
      <c r="AS336">
        <v>528.14714090588427</v>
      </c>
      <c r="AT336">
        <v>35.165049018456756</v>
      </c>
      <c r="AU336">
        <v>-24.521762730840827</v>
      </c>
      <c r="AV336"/>
      <c r="AW336"/>
      <c r="FY336" s="210">
        <v>331</v>
      </c>
      <c r="FZ336">
        <v>22.721461104302215</v>
      </c>
      <c r="GA336">
        <v>47.194402204568675</v>
      </c>
      <c r="GB336">
        <v>37.655106448134113</v>
      </c>
      <c r="GC336">
        <v>11.171336684918071</v>
      </c>
      <c r="GD336">
        <v>9.9717805630455043</v>
      </c>
      <c r="GE336">
        <v>13.184933382401899</v>
      </c>
      <c r="GF336">
        <v>9.5196841089535589</v>
      </c>
      <c r="GG336">
        <v>13.868170709070363</v>
      </c>
      <c r="GH336">
        <v>5.0118029250050844</v>
      </c>
      <c r="GI336">
        <v>35.568801972927893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56.408177949315622</v>
      </c>
      <c r="AO337">
        <v>50.705455479725188</v>
      </c>
      <c r="AP337">
        <v>387.33721956139698</v>
      </c>
      <c r="AQ337">
        <v>183.49465569493583</v>
      </c>
      <c r="AR337">
        <v>48.110763072061268</v>
      </c>
      <c r="AS337">
        <v>261.15339860890231</v>
      </c>
      <c r="AT337">
        <v>18.282735680435668</v>
      </c>
      <c r="AU337">
        <v>18.006776267395303</v>
      </c>
      <c r="AV337"/>
      <c r="AW337"/>
      <c r="FY337" s="210">
        <v>332</v>
      </c>
      <c r="FZ337">
        <v>21.907910545030497</v>
      </c>
      <c r="GA337">
        <v>49.727762327817871</v>
      </c>
      <c r="GB337">
        <v>22.969792761988877</v>
      </c>
      <c r="GC337">
        <v>7.0854901518691031</v>
      </c>
      <c r="GD337">
        <v>6.0123388201603269</v>
      </c>
      <c r="GE337">
        <v>6.7021373987771753</v>
      </c>
      <c r="GF337">
        <v>11.580744983510478</v>
      </c>
      <c r="GG337">
        <v>20.19571381599842</v>
      </c>
      <c r="GH337">
        <v>18.322879169849379</v>
      </c>
      <c r="GI337">
        <v>28.287505365264831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55.490713114041228</v>
      </c>
      <c r="AO338">
        <v>64.029013104159006</v>
      </c>
      <c r="AP338">
        <v>438.14823140560424</v>
      </c>
      <c r="AQ338">
        <v>176.99735276211942</v>
      </c>
      <c r="AR338">
        <v>58.479582766089131</v>
      </c>
      <c r="AS338">
        <v>263.29280176042869</v>
      </c>
      <c r="AT338">
        <v>20.854638297070604</v>
      </c>
      <c r="AU338">
        <v>-2.9286710455158014</v>
      </c>
      <c r="AV338"/>
      <c r="AW338"/>
      <c r="FY338" s="210">
        <v>333</v>
      </c>
      <c r="FZ338">
        <v>17.054260684991998</v>
      </c>
      <c r="GA338">
        <v>35.663046574102623</v>
      </c>
      <c r="GB338">
        <v>22.191148372783282</v>
      </c>
      <c r="GC338">
        <v>10.141457024928892</v>
      </c>
      <c r="GD338">
        <v>5.9516732754394397</v>
      </c>
      <c r="GE338">
        <v>4.5372611620257599</v>
      </c>
      <c r="GF338">
        <v>7.941684860628742</v>
      </c>
      <c r="GG338">
        <v>17.163995695085163</v>
      </c>
      <c r="GH338">
        <v>23.849984755372265</v>
      </c>
      <c r="GI338">
        <v>27.047969036264927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54.071644273588163</v>
      </c>
      <c r="AO339">
        <v>61.506716885920319</v>
      </c>
      <c r="AP339">
        <v>476.34851272005864</v>
      </c>
      <c r="AQ339">
        <v>230.16134303804483</v>
      </c>
      <c r="AR339">
        <v>58.342749222006908</v>
      </c>
      <c r="AS339">
        <v>290.1838486586808</v>
      </c>
      <c r="AT339">
        <v>23.320213473263376</v>
      </c>
      <c r="AU339">
        <v>5.8883055111913336</v>
      </c>
      <c r="AV339"/>
      <c r="AW339"/>
      <c r="FY339" s="210">
        <v>334</v>
      </c>
      <c r="FZ339">
        <v>22.398115734764342</v>
      </c>
      <c r="GA339">
        <v>48.451615614303499</v>
      </c>
      <c r="GB339">
        <v>28.115230652049689</v>
      </c>
      <c r="GC339">
        <v>7.2059119228006958</v>
      </c>
      <c r="GD339">
        <v>7.1244806583860161</v>
      </c>
      <c r="GE339">
        <v>12.53577940630456</v>
      </c>
      <c r="GF339">
        <v>10.702005030649879</v>
      </c>
      <c r="GG339">
        <v>17.39738473463326</v>
      </c>
      <c r="GH339">
        <v>17.234397899958232</v>
      </c>
      <c r="GI339">
        <v>30.310577576694488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46.695792524209779</v>
      </c>
      <c r="AO340">
        <v>45.157204106039529</v>
      </c>
      <c r="AP340">
        <v>291.53262851812883</v>
      </c>
      <c r="AQ340">
        <v>151.76095931796166</v>
      </c>
      <c r="AR340">
        <v>41.721863498368478</v>
      </c>
      <c r="AS340">
        <v>218.52485383145157</v>
      </c>
      <c r="AT340">
        <v>17.403757160601057</v>
      </c>
      <c r="AU340">
        <v>-10.567175438509151</v>
      </c>
      <c r="AV340"/>
      <c r="AW340"/>
      <c r="FY340" s="210">
        <v>335</v>
      </c>
      <c r="FZ340">
        <v>19.048871766367913</v>
      </c>
      <c r="GA340">
        <v>47.950408623427506</v>
      </c>
      <c r="GB340">
        <v>29.836596303413096</v>
      </c>
      <c r="GC340">
        <v>10.250108557619471</v>
      </c>
      <c r="GD340">
        <v>6.2379825923831911</v>
      </c>
      <c r="GE340">
        <v>6.3653971986086804</v>
      </c>
      <c r="GF340">
        <v>12.489562158304583</v>
      </c>
      <c r="GG340">
        <v>25.905338707720635</v>
      </c>
      <c r="GH340">
        <v>23.817636611494471</v>
      </c>
      <c r="GI340">
        <v>33.732767673088929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66.084753585929022</v>
      </c>
      <c r="AO341">
        <v>88.323503568041545</v>
      </c>
      <c r="AP341">
        <v>721.04895770088933</v>
      </c>
      <c r="AQ341">
        <v>302.65506116422523</v>
      </c>
      <c r="AR341">
        <v>82.110293379505094</v>
      </c>
      <c r="AS341">
        <v>386.56695333423869</v>
      </c>
      <c r="AT341">
        <v>37.592758380272322</v>
      </c>
      <c r="AU341">
        <v>-112.80332440986872</v>
      </c>
      <c r="AV341"/>
      <c r="AW341"/>
      <c r="FY341" s="210">
        <v>336</v>
      </c>
      <c r="FZ341">
        <v>25.504100917731947</v>
      </c>
      <c r="GA341">
        <v>53.408977259433641</v>
      </c>
      <c r="GB341">
        <v>40.250289211640819</v>
      </c>
      <c r="GC341">
        <v>11.092176258011417</v>
      </c>
      <c r="GD341">
        <v>4.2504072860965296</v>
      </c>
      <c r="GE341">
        <v>5.1753898248580743</v>
      </c>
      <c r="GF341">
        <v>8.6895486244228355</v>
      </c>
      <c r="GG341">
        <v>11.886457513285645</v>
      </c>
      <c r="GH341">
        <v>10.288325396580596</v>
      </c>
      <c r="GI341">
        <v>29.985780539794938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47.097180788481218</v>
      </c>
      <c r="AO342">
        <v>73.273494203486919</v>
      </c>
      <c r="AP342">
        <v>561.98876196888421</v>
      </c>
      <c r="AQ342">
        <v>216.21209170190608</v>
      </c>
      <c r="AR342">
        <v>69.051359259636058</v>
      </c>
      <c r="AS342">
        <v>401.5425323931139</v>
      </c>
      <c r="AT342">
        <v>30.17873577162668</v>
      </c>
      <c r="AU342">
        <v>46.754027381426653</v>
      </c>
      <c r="AV342"/>
      <c r="AW342"/>
      <c r="FY342" s="210">
        <v>337</v>
      </c>
      <c r="FZ342">
        <v>28.774940673742325</v>
      </c>
      <c r="GA342">
        <v>39.506904638370671</v>
      </c>
      <c r="GB342">
        <v>19.128914294206762</v>
      </c>
      <c r="GC342">
        <v>11.781703278834383</v>
      </c>
      <c r="GD342">
        <v>5.7025300915392974</v>
      </c>
      <c r="GE342">
        <v>5.4400688447745598</v>
      </c>
      <c r="GF342">
        <v>6.6858163013736007</v>
      </c>
      <c r="GG342">
        <v>16.407123674197717</v>
      </c>
      <c r="GH342">
        <v>29.524707440040807</v>
      </c>
      <c r="GI342">
        <v>28.841796772069539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42.974268173480667</v>
      </c>
      <c r="AO343">
        <v>59.782962089705791</v>
      </c>
      <c r="AP343">
        <v>437.47882020924652</v>
      </c>
      <c r="AQ343">
        <v>206.8805297721469</v>
      </c>
      <c r="AR343">
        <v>55.70714244232105</v>
      </c>
      <c r="AS343">
        <v>374.53142047399695</v>
      </c>
      <c r="AT343">
        <v>25.024982404766401</v>
      </c>
      <c r="AU343">
        <v>50.725971293711176</v>
      </c>
      <c r="AV343"/>
      <c r="AW343"/>
      <c r="FY343" s="210">
        <v>338</v>
      </c>
      <c r="FZ343">
        <v>20.665009849430302</v>
      </c>
      <c r="GA343">
        <v>45.920892382838986</v>
      </c>
      <c r="GB343">
        <v>32.332312787310954</v>
      </c>
      <c r="GC343">
        <v>12.167526672432396</v>
      </c>
      <c r="GD343">
        <v>5.335820520044785</v>
      </c>
      <c r="GE343">
        <v>5.5548162512268853</v>
      </c>
      <c r="GF343">
        <v>12.777523945156448</v>
      </c>
      <c r="GG343">
        <v>19.935394366390987</v>
      </c>
      <c r="GH343">
        <v>24.291797479002387</v>
      </c>
      <c r="GI343">
        <v>32.633849751421714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55.419325328826972</v>
      </c>
      <c r="AO344">
        <v>81.642891480309984</v>
      </c>
      <c r="AP344">
        <v>636.45270879129771</v>
      </c>
      <c r="AQ344">
        <v>258.59724997109026</v>
      </c>
      <c r="AR344">
        <v>76.719736041886435</v>
      </c>
      <c r="AS344">
        <v>344.21002419375958</v>
      </c>
      <c r="AT344">
        <v>32.060998773010937</v>
      </c>
      <c r="AU344">
        <v>-39.674902328189205</v>
      </c>
      <c r="AV344"/>
      <c r="AW344"/>
      <c r="FY344" s="210">
        <v>339</v>
      </c>
      <c r="FZ344">
        <v>25.115192141632878</v>
      </c>
      <c r="GA344">
        <v>32.734542668418641</v>
      </c>
      <c r="GB344">
        <v>26.873198936050667</v>
      </c>
      <c r="GC344">
        <v>8.2080025111438424</v>
      </c>
      <c r="GD344">
        <v>4.3089386100136728</v>
      </c>
      <c r="GE344">
        <v>6.6781974883333142</v>
      </c>
      <c r="GF344">
        <v>12.171843952874207</v>
      </c>
      <c r="GG344">
        <v>18.597028975040779</v>
      </c>
      <c r="GH344">
        <v>11.767785949011524</v>
      </c>
      <c r="GI344">
        <v>30.394791969744052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64.828134316843972</v>
      </c>
      <c r="AO345">
        <v>72.071310564219701</v>
      </c>
      <c r="AP345">
        <v>558.83061237487777</v>
      </c>
      <c r="AQ345">
        <v>242.71160777250526</v>
      </c>
      <c r="AR345">
        <v>68.782258562287353</v>
      </c>
      <c r="AS345">
        <v>412.82901147111346</v>
      </c>
      <c r="AT345">
        <v>28.102406263714457</v>
      </c>
      <c r="AU345">
        <v>15.009300890183489</v>
      </c>
      <c r="AV345"/>
      <c r="AW345"/>
      <c r="FY345" s="210">
        <v>340</v>
      </c>
      <c r="FZ345">
        <v>21.326806523287033</v>
      </c>
      <c r="GA345">
        <v>43.572233216684175</v>
      </c>
      <c r="GB345">
        <v>45.761673528878454</v>
      </c>
      <c r="GC345">
        <v>11.242358262771576</v>
      </c>
      <c r="GD345">
        <v>8.6545990220332598</v>
      </c>
      <c r="GE345">
        <v>13.23695386002546</v>
      </c>
      <c r="GF345">
        <v>10.232675298267464</v>
      </c>
      <c r="GG345">
        <v>12.298261152820739</v>
      </c>
      <c r="GH345">
        <v>8.5355233653211862</v>
      </c>
      <c r="GI345">
        <v>37.842919585893526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64.514177159103667</v>
      </c>
      <c r="AO346">
        <v>92.500583695231839</v>
      </c>
      <c r="AP346">
        <v>600.10499031004179</v>
      </c>
      <c r="AQ346">
        <v>220.13445891998012</v>
      </c>
      <c r="AR346">
        <v>85.705640959021011</v>
      </c>
      <c r="AS346">
        <v>427.16400134083227</v>
      </c>
      <c r="AT346">
        <v>33.119354652925544</v>
      </c>
      <c r="AU346">
        <v>-72.433990623899348</v>
      </c>
      <c r="AV346"/>
      <c r="AW346"/>
      <c r="FY346" s="210">
        <v>341</v>
      </c>
      <c r="FZ346">
        <v>25.558152975895162</v>
      </c>
      <c r="GA346">
        <v>34.571160283680079</v>
      </c>
      <c r="GB346">
        <v>28.240493343682079</v>
      </c>
      <c r="GC346">
        <v>15.468576667934778</v>
      </c>
      <c r="GD346">
        <v>7.9247799622422779</v>
      </c>
      <c r="GE346">
        <v>6.1322864614407626</v>
      </c>
      <c r="GF346">
        <v>12.973990889434392</v>
      </c>
      <c r="GG346">
        <v>26.990352450976602</v>
      </c>
      <c r="GH346">
        <v>30.606219844785926</v>
      </c>
      <c r="GI346">
        <v>35.315361778835843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56.882506853645438</v>
      </c>
      <c r="AO347">
        <v>76.134858910108477</v>
      </c>
      <c r="AP347">
        <v>523.75832270420312</v>
      </c>
      <c r="AQ347">
        <v>205.86748010332738</v>
      </c>
      <c r="AR347">
        <v>71.066092475264597</v>
      </c>
      <c r="AS347">
        <v>479.03655735010051</v>
      </c>
      <c r="AT347">
        <v>27.751776721174632</v>
      </c>
      <c r="AU347">
        <v>21.682521474017623</v>
      </c>
      <c r="AV347"/>
      <c r="AW347"/>
      <c r="FY347" s="210">
        <v>342</v>
      </c>
      <c r="FZ347">
        <v>21.093662262518521</v>
      </c>
      <c r="GA347">
        <v>44.150150167193971</v>
      </c>
      <c r="GB347">
        <v>39.445717221971783</v>
      </c>
      <c r="GC347">
        <v>9.4393837129535143</v>
      </c>
      <c r="GD347">
        <v>5.853401537255599</v>
      </c>
      <c r="GE347">
        <v>8.0508612295966451</v>
      </c>
      <c r="GF347">
        <v>10.459805794017999</v>
      </c>
      <c r="GG347">
        <v>21.218097755943926</v>
      </c>
      <c r="GH347">
        <v>16.934386114775066</v>
      </c>
      <c r="GI347">
        <v>37.077843323945203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41.729763827800539</v>
      </c>
      <c r="AO348">
        <v>60.115879996756348</v>
      </c>
      <c r="AP348">
        <v>453.45055203173433</v>
      </c>
      <c r="AQ348">
        <v>192.79227534026697</v>
      </c>
      <c r="AR348">
        <v>56.128170471264497</v>
      </c>
      <c r="AS348">
        <v>247.56401949790435</v>
      </c>
      <c r="AT348">
        <v>25.710621120604955</v>
      </c>
      <c r="AU348">
        <v>36.299834195065031</v>
      </c>
      <c r="AV348"/>
      <c r="AW348"/>
      <c r="FY348" s="210">
        <v>343</v>
      </c>
      <c r="FZ348">
        <v>27.49091589014462</v>
      </c>
      <c r="GA348">
        <v>46.648640610977445</v>
      </c>
      <c r="GB348">
        <v>25.13581811057421</v>
      </c>
      <c r="GC348">
        <v>9.69888886139743</v>
      </c>
      <c r="GD348">
        <v>5.6169082572480669</v>
      </c>
      <c r="GE348">
        <v>4.6501879602250984</v>
      </c>
      <c r="GF348">
        <v>9.1137421925953337</v>
      </c>
      <c r="GG348">
        <v>13.862259628176353</v>
      </c>
      <c r="GH348">
        <v>16.539693237012521</v>
      </c>
      <c r="GI348">
        <v>27.801537428797673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39.566006425537196</v>
      </c>
      <c r="AO349">
        <v>55.411332357668684</v>
      </c>
      <c r="AP349">
        <v>382.00857811220527</v>
      </c>
      <c r="AQ349">
        <v>171.5424814416231</v>
      </c>
      <c r="AR349">
        <v>51.219625645165124</v>
      </c>
      <c r="AS349">
        <v>418.60418099001276</v>
      </c>
      <c r="AT349">
        <v>22.696557754198228</v>
      </c>
      <c r="AU349">
        <v>-12.860223827893664</v>
      </c>
      <c r="AV349"/>
      <c r="AW349"/>
      <c r="FY349" s="210">
        <v>344</v>
      </c>
      <c r="FZ349">
        <v>20.1408748186306</v>
      </c>
      <c r="GA349">
        <v>46.133933563676891</v>
      </c>
      <c r="GB349">
        <v>41.537146491046961</v>
      </c>
      <c r="GC349">
        <v>14.138964600246581</v>
      </c>
      <c r="GD349">
        <v>5.3105801526391776</v>
      </c>
      <c r="GE349">
        <v>3.4530879983550085</v>
      </c>
      <c r="GF349">
        <v>8.4808062406699847</v>
      </c>
      <c r="GG349">
        <v>12.271951303532708</v>
      </c>
      <c r="GH349">
        <v>15.070918229737563</v>
      </c>
      <c r="GI349">
        <v>35.621951832142663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51.021843963990882</v>
      </c>
      <c r="AO350">
        <v>65.404089339479725</v>
      </c>
      <c r="AP350">
        <v>509.14347514613604</v>
      </c>
      <c r="AQ350">
        <v>201.47549923054464</v>
      </c>
      <c r="AR350">
        <v>61.535703777884891</v>
      </c>
      <c r="AS350">
        <v>300.73310232616336</v>
      </c>
      <c r="AT350">
        <v>26.517294886984711</v>
      </c>
      <c r="AU350">
        <v>33.923565342257469</v>
      </c>
      <c r="AV350"/>
      <c r="AW350"/>
      <c r="FY350" s="210">
        <v>345</v>
      </c>
      <c r="FZ350">
        <v>18.337045874560648</v>
      </c>
      <c r="GA350">
        <v>28.395319313376689</v>
      </c>
      <c r="GB350">
        <v>11.019048072565433</v>
      </c>
      <c r="GC350">
        <v>8.7794396297056565</v>
      </c>
      <c r="GD350">
        <v>8.0128339033537301</v>
      </c>
      <c r="GE350">
        <v>8.097858815987081</v>
      </c>
      <c r="GF350">
        <v>6.3536858864526211</v>
      </c>
      <c r="GG350">
        <v>14.896097535918711</v>
      </c>
      <c r="GH350">
        <v>22.525561489164531</v>
      </c>
      <c r="GI350">
        <v>25.381848143694704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51.853832897848655</v>
      </c>
      <c r="AO351">
        <v>70.62364898385394</v>
      </c>
      <c r="AP351">
        <v>528.73141404647743</v>
      </c>
      <c r="AQ351">
        <v>215.63467019242847</v>
      </c>
      <c r="AR351">
        <v>65.490999575618332</v>
      </c>
      <c r="AS351">
        <v>308.94566476344835</v>
      </c>
      <c r="AT351">
        <v>29.271527755155628</v>
      </c>
      <c r="AU351">
        <v>-27.960183203075076</v>
      </c>
      <c r="AV351"/>
      <c r="AW351"/>
      <c r="FY351" s="210">
        <v>346</v>
      </c>
      <c r="FZ351">
        <v>20.169727938129604</v>
      </c>
      <c r="GA351">
        <v>50.5428005816227</v>
      </c>
      <c r="GB351">
        <v>25.368399656061939</v>
      </c>
      <c r="GC351">
        <v>8.1887724964340745</v>
      </c>
      <c r="GD351">
        <v>5.1835856353810428</v>
      </c>
      <c r="GE351">
        <v>4.5500763715110093</v>
      </c>
      <c r="GF351">
        <v>14.660957776805603</v>
      </c>
      <c r="GG351">
        <v>21.315729498839833</v>
      </c>
      <c r="GH351">
        <v>14.382546314589401</v>
      </c>
      <c r="GI351">
        <v>26.880571450802741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54.892285461995719</v>
      </c>
      <c r="AO352">
        <v>65.476373808389766</v>
      </c>
      <c r="AP352">
        <v>524.00372717254174</v>
      </c>
      <c r="AQ352">
        <v>200.53145283185646</v>
      </c>
      <c r="AR352">
        <v>60.954594606131387</v>
      </c>
      <c r="AS352">
        <v>288.03780768510654</v>
      </c>
      <c r="AT352">
        <v>24.64657961429711</v>
      </c>
      <c r="AU352">
        <v>-4.3908095203654698</v>
      </c>
      <c r="AV352"/>
      <c r="AW352"/>
      <c r="FY352" s="210">
        <v>347</v>
      </c>
      <c r="FZ352">
        <v>25.237604460575341</v>
      </c>
      <c r="GA352">
        <v>50.935039246513071</v>
      </c>
      <c r="GB352">
        <v>19.670077522955779</v>
      </c>
      <c r="GC352">
        <v>9.6258269572697071</v>
      </c>
      <c r="GD352">
        <v>6.0672809187722923</v>
      </c>
      <c r="GE352">
        <v>6.2071625354688376</v>
      </c>
      <c r="GF352">
        <v>8.7500019846185406</v>
      </c>
      <c r="GG352">
        <v>11.680528792081729</v>
      </c>
      <c r="GH352">
        <v>10.517914965638488</v>
      </c>
      <c r="GI352">
        <v>23.993886443630739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58.731020608185098</v>
      </c>
      <c r="AO353">
        <v>58.406263424608689</v>
      </c>
      <c r="AP353">
        <v>383.94910529022269</v>
      </c>
      <c r="AQ353">
        <v>191.79450600914964</v>
      </c>
      <c r="AR353">
        <v>54.639093504455182</v>
      </c>
      <c r="AS353">
        <v>487.79131125658444</v>
      </c>
      <c r="AT353">
        <v>23.171006501819985</v>
      </c>
      <c r="AU353">
        <v>65.030111980503847</v>
      </c>
      <c r="AV353"/>
      <c r="AW353"/>
      <c r="FY353" s="210">
        <v>348</v>
      </c>
      <c r="FZ353">
        <v>15.776353531067937</v>
      </c>
      <c r="GA353">
        <v>59.407879062865007</v>
      </c>
      <c r="GB353">
        <v>43.379172792513138</v>
      </c>
      <c r="GC353">
        <v>9.4027846958803636</v>
      </c>
      <c r="GD353">
        <v>6.1961948350710783</v>
      </c>
      <c r="GE353">
        <v>8.5359708950827216</v>
      </c>
      <c r="GF353">
        <v>8.7768148714202283</v>
      </c>
      <c r="GG353">
        <v>16.087662314852651</v>
      </c>
      <c r="GH353">
        <v>18.554033679224599</v>
      </c>
      <c r="GI353">
        <v>34.666585791646263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57.328026289753041</v>
      </c>
      <c r="AO354">
        <v>69.320695320579276</v>
      </c>
      <c r="AP354">
        <v>516.20981867077103</v>
      </c>
      <c r="AQ354">
        <v>211.61494400525586</v>
      </c>
      <c r="AR354">
        <v>64.959546532632331</v>
      </c>
      <c r="AS354">
        <v>380.88373692348932</v>
      </c>
      <c r="AT354">
        <v>25.792385426375755</v>
      </c>
      <c r="AU354">
        <v>-18.812986310381987</v>
      </c>
      <c r="AV354"/>
      <c r="AW354"/>
      <c r="FY354" s="210">
        <v>349</v>
      </c>
      <c r="FZ354">
        <v>19.333689643548443</v>
      </c>
      <c r="GA354">
        <v>54.117411402527139</v>
      </c>
      <c r="GB354">
        <v>30.267078901751724</v>
      </c>
      <c r="GC354">
        <v>11.220547476500835</v>
      </c>
      <c r="GD354">
        <v>9.6934927439413006</v>
      </c>
      <c r="GE354">
        <v>12.116381021879553</v>
      </c>
      <c r="GF354">
        <v>7.2776919671267715</v>
      </c>
      <c r="GG354">
        <v>17.807067841421556</v>
      </c>
      <c r="GH354">
        <v>26.302451443703344</v>
      </c>
      <c r="GI354">
        <v>32.764110328893324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47.685333845825149</v>
      </c>
      <c r="AO355">
        <v>69.927409962071096</v>
      </c>
      <c r="AP355">
        <v>512.90504038281244</v>
      </c>
      <c r="AQ355">
        <v>176.84952320226358</v>
      </c>
      <c r="AR355">
        <v>65.572256717934195</v>
      </c>
      <c r="AS355">
        <v>286.96147255506219</v>
      </c>
      <c r="AT355">
        <v>27.627003737775016</v>
      </c>
      <c r="AU355">
        <v>8.0371867232891496</v>
      </c>
      <c r="AV355"/>
      <c r="AW355"/>
      <c r="FY355" s="210">
        <v>350</v>
      </c>
      <c r="FZ355">
        <v>23.618130170167642</v>
      </c>
      <c r="GA355">
        <v>45.638182728041478</v>
      </c>
      <c r="GB355">
        <v>40.972929208770502</v>
      </c>
      <c r="GC355">
        <v>9.2920432251145968</v>
      </c>
      <c r="GD355">
        <v>3.0622886724222695</v>
      </c>
      <c r="GE355">
        <v>4.3250152579559744</v>
      </c>
      <c r="GF355">
        <v>7.8470834970156833</v>
      </c>
      <c r="GG355">
        <v>20.832151098646779</v>
      </c>
      <c r="GH355">
        <v>30.194094171816705</v>
      </c>
      <c r="GI355">
        <v>32.458316287172934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57.519236300738555</v>
      </c>
      <c r="AO356">
        <v>82.308041080518294</v>
      </c>
      <c r="AP356">
        <v>576.96978214192586</v>
      </c>
      <c r="AQ356">
        <v>212.70400381598287</v>
      </c>
      <c r="AR356">
        <v>78.141471455651839</v>
      </c>
      <c r="AS356">
        <v>379.32981645888418</v>
      </c>
      <c r="AT356">
        <v>29.064455341389252</v>
      </c>
      <c r="AU356">
        <v>40.054539300842343</v>
      </c>
      <c r="AV356"/>
      <c r="AW356"/>
      <c r="FY356" s="210">
        <v>351</v>
      </c>
      <c r="FZ356">
        <v>29.188284429656136</v>
      </c>
      <c r="GA356">
        <v>40.656429950758401</v>
      </c>
      <c r="GB356">
        <v>19.008208252641843</v>
      </c>
      <c r="GC356">
        <v>7.5554507929231889</v>
      </c>
      <c r="GD356">
        <v>8.1078191616825901</v>
      </c>
      <c r="GE356">
        <v>12.914026627148289</v>
      </c>
      <c r="GF356">
        <v>10.197132181918311</v>
      </c>
      <c r="GG356">
        <v>16.202908300593243</v>
      </c>
      <c r="GH356">
        <v>20.596361088356019</v>
      </c>
      <c r="GI356">
        <v>29.042972633015008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65.972525281411023</v>
      </c>
      <c r="AO357">
        <v>73.83397513109918</v>
      </c>
      <c r="AP357">
        <v>542.29811740224818</v>
      </c>
      <c r="AQ357">
        <v>223.78137465890791</v>
      </c>
      <c r="AR357">
        <v>70.596780451850734</v>
      </c>
      <c r="AS357">
        <v>444.14253635059811</v>
      </c>
      <c r="AT357">
        <v>30.54920674045718</v>
      </c>
      <c r="AU357">
        <v>26.451535433248651</v>
      </c>
      <c r="AV357"/>
      <c r="AW357"/>
      <c r="FY357" s="210">
        <v>352</v>
      </c>
      <c r="FZ357">
        <v>21.416877426653919</v>
      </c>
      <c r="GA357">
        <v>45.340213377743012</v>
      </c>
      <c r="GB357">
        <v>35.241748601838239</v>
      </c>
      <c r="GC357">
        <v>10.218389106577094</v>
      </c>
      <c r="GD357">
        <v>6.2388382646054428</v>
      </c>
      <c r="GE357">
        <v>8.0039879365351432</v>
      </c>
      <c r="GF357">
        <v>9.937587474404717</v>
      </c>
      <c r="GG357">
        <v>21.741480833714892</v>
      </c>
      <c r="GH357">
        <v>21.725591916829977</v>
      </c>
      <c r="GI357">
        <v>31.320347797069477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50.572326418387227</v>
      </c>
      <c r="AO358">
        <v>82.932580958466104</v>
      </c>
      <c r="AP358">
        <v>577.16545374680243</v>
      </c>
      <c r="AQ358">
        <v>213.72330912017219</v>
      </c>
      <c r="AR358">
        <v>75.941684858973062</v>
      </c>
      <c r="AS358">
        <v>346.78167482895816</v>
      </c>
      <c r="AT358">
        <v>31.36229605148613</v>
      </c>
      <c r="AU358">
        <v>10.447636530622379</v>
      </c>
      <c r="AV358"/>
      <c r="AW358"/>
      <c r="FY358" s="210">
        <v>353</v>
      </c>
      <c r="FZ358">
        <v>27.028971098283101</v>
      </c>
      <c r="GA358">
        <v>53.39032476267262</v>
      </c>
      <c r="GB358">
        <v>36.349483128372995</v>
      </c>
      <c r="GC358">
        <v>12.318228937591636</v>
      </c>
      <c r="GD358">
        <v>8.7194378772305967</v>
      </c>
      <c r="GE358">
        <v>9.6481083771881924</v>
      </c>
      <c r="GF358">
        <v>7.2800422626466066</v>
      </c>
      <c r="GG358">
        <v>12.835941163954326</v>
      </c>
      <c r="GH358">
        <v>23.311843789617274</v>
      </c>
      <c r="GI358">
        <v>35.232237170442808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46.242731346723929</v>
      </c>
      <c r="AO359">
        <v>58.307001005792074</v>
      </c>
      <c r="AP359">
        <v>418.65884634992142</v>
      </c>
      <c r="AQ359">
        <v>186.55859217714877</v>
      </c>
      <c r="AR359">
        <v>55.323180622726376</v>
      </c>
      <c r="AS359">
        <v>308.0103597841956</v>
      </c>
      <c r="AT359">
        <v>21.668551488980508</v>
      </c>
      <c r="AU359">
        <v>6.6880596822638596</v>
      </c>
      <c r="AV359"/>
      <c r="AW359"/>
      <c r="FY359" s="210">
        <v>354</v>
      </c>
      <c r="FZ359">
        <v>14.422359272464245</v>
      </c>
      <c r="GA359">
        <v>45.389667826985196</v>
      </c>
      <c r="GB359">
        <v>38.321054896096577</v>
      </c>
      <c r="GC359">
        <v>11.712668388727151</v>
      </c>
      <c r="GD359">
        <v>5.5440287747507586</v>
      </c>
      <c r="GE359">
        <v>6.3008785968286274</v>
      </c>
      <c r="GF359">
        <v>6.4079960886373</v>
      </c>
      <c r="GG359">
        <v>8.9177076336459926</v>
      </c>
      <c r="GH359">
        <v>10.564294160785849</v>
      </c>
      <c r="GI359">
        <v>30.630360835043842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55.978050987250946</v>
      </c>
      <c r="AO360">
        <v>76.853699170517359</v>
      </c>
      <c r="AP360">
        <v>530.73375106615936</v>
      </c>
      <c r="AQ360">
        <v>202.16021523067815</v>
      </c>
      <c r="AR360">
        <v>71.816665631897962</v>
      </c>
      <c r="AS360">
        <v>442.01342940273395</v>
      </c>
      <c r="AT360">
        <v>28.784761999068355</v>
      </c>
      <c r="AU360">
        <v>-22.148445898843526</v>
      </c>
      <c r="AV360"/>
      <c r="AW360"/>
      <c r="FY360" s="210">
        <v>355</v>
      </c>
      <c r="FZ360">
        <v>25.929191534957237</v>
      </c>
      <c r="GA360">
        <v>59.719388518039771</v>
      </c>
      <c r="GB360">
        <v>45.207023411372035</v>
      </c>
      <c r="GC360">
        <v>10.016326412130637</v>
      </c>
      <c r="GD360">
        <v>6.1785629604869454</v>
      </c>
      <c r="GE360">
        <v>9.4132605446469295</v>
      </c>
      <c r="GF360">
        <v>10.601981881419826</v>
      </c>
      <c r="GG360">
        <v>19.180645299431745</v>
      </c>
      <c r="GH360">
        <v>20.44216780643535</v>
      </c>
      <c r="GI360">
        <v>37.623289949460542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50.397033782703275</v>
      </c>
      <c r="AO361">
        <v>53.308322281272766</v>
      </c>
      <c r="AP361">
        <v>327.38447929358591</v>
      </c>
      <c r="AQ361">
        <v>151.79873866477982</v>
      </c>
      <c r="AR361">
        <v>49.534291616457359</v>
      </c>
      <c r="AS361">
        <v>253.93747150449997</v>
      </c>
      <c r="AT361">
        <v>19.653588680540945</v>
      </c>
      <c r="AU361">
        <v>-3.8704736603897043</v>
      </c>
      <c r="AV361"/>
      <c r="AW361"/>
      <c r="FY361" s="210">
        <v>356</v>
      </c>
      <c r="FZ361">
        <v>33.943295140469658</v>
      </c>
      <c r="GA361">
        <v>66.96797345342992</v>
      </c>
      <c r="GB361">
        <v>52.466268389588208</v>
      </c>
      <c r="GC361">
        <v>14.560234230822923</v>
      </c>
      <c r="GD361">
        <v>6.7015224758503615</v>
      </c>
      <c r="GE361">
        <v>6.1625530662738717</v>
      </c>
      <c r="GF361">
        <v>9.2879364232527539</v>
      </c>
      <c r="GG361">
        <v>11.794909905429849</v>
      </c>
      <c r="GH361">
        <v>11.581632980427964</v>
      </c>
      <c r="GI361">
        <v>41.877155606365648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36.953466934155507</v>
      </c>
      <c r="AO362">
        <v>56.183501501792875</v>
      </c>
      <c r="AP362">
        <v>465.89918324988213</v>
      </c>
      <c r="AQ362">
        <v>191.24316772017795</v>
      </c>
      <c r="AR362">
        <v>53.54197635975332</v>
      </c>
      <c r="AS362">
        <v>275.73971311491022</v>
      </c>
      <c r="AT362">
        <v>24.641016592185522</v>
      </c>
      <c r="AU362">
        <v>28.991322209162647</v>
      </c>
      <c r="AV362"/>
      <c r="AW362"/>
      <c r="FY362" s="210">
        <v>357</v>
      </c>
      <c r="FZ362">
        <v>10.663989046603454</v>
      </c>
      <c r="GA362">
        <v>30.684439405726007</v>
      </c>
      <c r="GB362">
        <v>26.972833163451615</v>
      </c>
      <c r="GC362">
        <v>7.4553445300676238</v>
      </c>
      <c r="GD362">
        <v>4.6895653506494375</v>
      </c>
      <c r="GE362">
        <v>7.5447583864598862</v>
      </c>
      <c r="GF362">
        <v>9.0371776969773663</v>
      </c>
      <c r="GG362">
        <v>20.861107502499372</v>
      </c>
      <c r="GH362">
        <v>21.684863823655839</v>
      </c>
      <c r="GI362">
        <v>27.700863334257892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55.509844479830555</v>
      </c>
      <c r="AO363">
        <v>47.24201240862179</v>
      </c>
      <c r="AP363">
        <v>344.92470492429266</v>
      </c>
      <c r="AQ363">
        <v>172.68532382752451</v>
      </c>
      <c r="AR363">
        <v>43.926872226244264</v>
      </c>
      <c r="AS363">
        <v>272.89451685218597</v>
      </c>
      <c r="AT363">
        <v>18.076282303918564</v>
      </c>
      <c r="AU363">
        <v>15.68984579143453</v>
      </c>
      <c r="AV363"/>
      <c r="AW363"/>
      <c r="FY363" s="210">
        <v>358</v>
      </c>
      <c r="FZ363">
        <v>29.169058822454836</v>
      </c>
      <c r="GA363">
        <v>55.007182052809647</v>
      </c>
      <c r="GB363">
        <v>48.224800896548594</v>
      </c>
      <c r="GC363">
        <v>12.840470161405783</v>
      </c>
      <c r="GD363">
        <v>6.4018135329670116</v>
      </c>
      <c r="GE363">
        <v>7.4624370522100429</v>
      </c>
      <c r="GF363">
        <v>6.9658825600105816</v>
      </c>
      <c r="GG363">
        <v>9.4234788800579388</v>
      </c>
      <c r="GH363">
        <v>10.548344584454664</v>
      </c>
      <c r="GI363">
        <v>36.458882041075618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52.163665020441748</v>
      </c>
      <c r="AO364">
        <v>74.722713416139271</v>
      </c>
      <c r="AP364">
        <v>569.60849076404668</v>
      </c>
      <c r="AQ364">
        <v>220.78345246962402</v>
      </c>
      <c r="AR364">
        <v>69.28022750448298</v>
      </c>
      <c r="AS364">
        <v>324.95295526915675</v>
      </c>
      <c r="AT364">
        <v>27.701372513788925</v>
      </c>
      <c r="AU364">
        <v>59.093674878732088</v>
      </c>
      <c r="AV364"/>
      <c r="AW364"/>
      <c r="FY364" s="210">
        <v>359</v>
      </c>
      <c r="FZ364">
        <v>31.535051760226622</v>
      </c>
      <c r="GA364">
        <v>62.212325164153448</v>
      </c>
      <c r="GB364">
        <v>31.922938747747533</v>
      </c>
      <c r="GC364">
        <v>9.5638532881243421</v>
      </c>
      <c r="GD364">
        <v>6.1005946327244667</v>
      </c>
      <c r="GE364">
        <v>8.3115675312297412</v>
      </c>
      <c r="GF364">
        <v>4.083730433219972</v>
      </c>
      <c r="GG364">
        <v>10.674557502879296</v>
      </c>
      <c r="GH364">
        <v>22.486797374344061</v>
      </c>
      <c r="GI364">
        <v>31.277232602421893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58.559405366045986</v>
      </c>
      <c r="AO365">
        <v>67.403202489270058</v>
      </c>
      <c r="AP365">
        <v>479.66880617162468</v>
      </c>
      <c r="AQ365">
        <v>220.89992277129403</v>
      </c>
      <c r="AR365">
        <v>63.77427233211187</v>
      </c>
      <c r="AS365">
        <v>410.64187950293177</v>
      </c>
      <c r="AT365">
        <v>26.577718135512171</v>
      </c>
      <c r="AU365">
        <v>-10.222361838498907</v>
      </c>
      <c r="AV365"/>
      <c r="AW365"/>
      <c r="FY365" s="210">
        <v>360</v>
      </c>
      <c r="FZ365">
        <v>24.579957053794256</v>
      </c>
      <c r="GA365">
        <v>36.971095212361661</v>
      </c>
      <c r="GB365">
        <v>18.639076785850243</v>
      </c>
      <c r="GC365">
        <v>9.031595341497642</v>
      </c>
      <c r="GD365">
        <v>7.2669786138535484</v>
      </c>
      <c r="GE365">
        <v>9.9084822625301321</v>
      </c>
      <c r="GF365">
        <v>13.886980387729059</v>
      </c>
      <c r="GG365">
        <v>19.513049928189488</v>
      </c>
      <c r="GH365">
        <v>16.737834770101479</v>
      </c>
      <c r="GI365">
        <v>27.844917326535267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46.711164588468662</v>
      </c>
      <c r="AO366">
        <v>71.585228255714583</v>
      </c>
      <c r="AP366">
        <v>578.52369207136269</v>
      </c>
      <c r="AQ366">
        <v>218.24023431712459</v>
      </c>
      <c r="AR366">
        <v>67.135235433419709</v>
      </c>
      <c r="AS366">
        <v>626.85644678658593</v>
      </c>
      <c r="AT366">
        <v>27.126576508155683</v>
      </c>
      <c r="AU366">
        <v>-12.403605428018873</v>
      </c>
      <c r="AV366"/>
      <c r="AW366"/>
      <c r="FY366" s="210">
        <v>361</v>
      </c>
      <c r="FZ366">
        <v>20.00453565464165</v>
      </c>
      <c r="GA366">
        <v>50.460936592921541</v>
      </c>
      <c r="GB366">
        <v>30.719532829625386</v>
      </c>
      <c r="GC366">
        <v>9.4588100588828201</v>
      </c>
      <c r="GD366">
        <v>6.6031356820396629</v>
      </c>
      <c r="GE366">
        <v>7.2850410343880707</v>
      </c>
      <c r="GF366">
        <v>10.375063507739714</v>
      </c>
      <c r="GG366">
        <v>22.336725416950376</v>
      </c>
      <c r="GH366">
        <v>25.520484248214533</v>
      </c>
      <c r="GI366">
        <v>33.562973059772652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52.976622661363059</v>
      </c>
      <c r="AO367">
        <v>57.494474691777747</v>
      </c>
      <c r="AP367">
        <v>385.94950868472313</v>
      </c>
      <c r="AQ367">
        <v>193.46959341869302</v>
      </c>
      <c r="AR367">
        <v>55.03075505344443</v>
      </c>
      <c r="AS367">
        <v>282.68227538139587</v>
      </c>
      <c r="AT367">
        <v>22.773924820664686</v>
      </c>
      <c r="AU367">
        <v>26.784818268649815</v>
      </c>
      <c r="AV367"/>
      <c r="AW367"/>
      <c r="FY367" s="210">
        <v>362</v>
      </c>
      <c r="FZ367">
        <v>25.046794494785633</v>
      </c>
      <c r="GA367">
        <v>44.738634423561635</v>
      </c>
      <c r="GB367">
        <v>22.834402202118323</v>
      </c>
      <c r="GC367">
        <v>6.4031136489204679</v>
      </c>
      <c r="GD367">
        <v>5.0211730289728216</v>
      </c>
      <c r="GE367">
        <v>6.2071451475019961</v>
      </c>
      <c r="GF367">
        <v>8.2467155623843933</v>
      </c>
      <c r="GG367">
        <v>13.95702928978055</v>
      </c>
      <c r="GH367">
        <v>18.951649647042746</v>
      </c>
      <c r="GI367">
        <v>26.587198813147747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58.462586056870165</v>
      </c>
      <c r="AO368">
        <v>66.05784723173403</v>
      </c>
      <c r="AP368">
        <v>492.56083989446927</v>
      </c>
      <c r="AQ368">
        <v>211.18506273597191</v>
      </c>
      <c r="AR368">
        <v>60.519194811019496</v>
      </c>
      <c r="AS368">
        <v>407.57049918060085</v>
      </c>
      <c r="AT368">
        <v>24.300308652341215</v>
      </c>
      <c r="AU368">
        <v>-16.754601259622859</v>
      </c>
      <c r="AV368"/>
      <c r="AW368"/>
      <c r="FY368" s="210">
        <v>363</v>
      </c>
      <c r="FZ368">
        <v>27.620141371692654</v>
      </c>
      <c r="GA368">
        <v>41.539469240615958</v>
      </c>
      <c r="GB368">
        <v>26.746695843321159</v>
      </c>
      <c r="GC368">
        <v>9.9634813431698603</v>
      </c>
      <c r="GD368">
        <v>4.6159188541347147</v>
      </c>
      <c r="GE368">
        <v>5.0229543347535692</v>
      </c>
      <c r="GF368">
        <v>13.170975310793237</v>
      </c>
      <c r="GG368">
        <v>19.404196668546867</v>
      </c>
      <c r="GH368">
        <v>14.318950594712744</v>
      </c>
      <c r="GI368">
        <v>27.366689240854214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61.134030739097319</v>
      </c>
      <c r="AO369">
        <v>71.850176358136451</v>
      </c>
      <c r="AP369">
        <v>497.0926365735877</v>
      </c>
      <c r="AQ369">
        <v>226.11461856800014</v>
      </c>
      <c r="AR369">
        <v>67.96822214037897</v>
      </c>
      <c r="AS369">
        <v>382.8889543277719</v>
      </c>
      <c r="AT369">
        <v>25.501533043153348</v>
      </c>
      <c r="AU369">
        <v>45.293843254530394</v>
      </c>
      <c r="AV369"/>
      <c r="AW369"/>
      <c r="FY369" s="210">
        <v>364</v>
      </c>
      <c r="FZ369">
        <v>28.305058468212355</v>
      </c>
      <c r="GA369">
        <v>72.451142235071188</v>
      </c>
      <c r="GB369">
        <v>45.527490948200253</v>
      </c>
      <c r="GC369">
        <v>11.169013231295697</v>
      </c>
      <c r="GD369">
        <v>5.2101525465193284</v>
      </c>
      <c r="GE369">
        <v>5.180099733564707</v>
      </c>
      <c r="GF369">
        <v>8.7413887727274275</v>
      </c>
      <c r="GG369">
        <v>21.446994736860777</v>
      </c>
      <c r="GH369">
        <v>27.515445225360065</v>
      </c>
      <c r="GI369">
        <v>38.370103633502325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52.115932862215985</v>
      </c>
      <c r="AO370">
        <v>66.788337549655452</v>
      </c>
      <c r="AP370">
        <v>465.16551610658195</v>
      </c>
      <c r="AQ370">
        <v>178.21101647396549</v>
      </c>
      <c r="AR370">
        <v>62.3832614087435</v>
      </c>
      <c r="AS370">
        <v>344.01979786262092</v>
      </c>
      <c r="AT370">
        <v>24.16322663497014</v>
      </c>
      <c r="AU370">
        <v>35.204527940684265</v>
      </c>
      <c r="AV370"/>
      <c r="AW370"/>
      <c r="FY370" s="210">
        <v>365</v>
      </c>
      <c r="FZ370">
        <v>25.095239691828418</v>
      </c>
      <c r="GA370">
        <v>52.850313469627565</v>
      </c>
      <c r="GB370">
        <v>38.223591269434735</v>
      </c>
      <c r="GC370">
        <v>12.016182087798789</v>
      </c>
      <c r="GD370">
        <v>5.0122895882911207</v>
      </c>
      <c r="GE370">
        <v>3.8225289226827845</v>
      </c>
      <c r="GF370">
        <v>11.431335318678023</v>
      </c>
      <c r="GG370">
        <v>27.140371990548765</v>
      </c>
      <c r="GH370">
        <v>32.286805344023584</v>
      </c>
      <c r="GI370">
        <v>33.724688705585912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55.600530176012704</v>
      </c>
      <c r="AO371">
        <v>80.505944574848058</v>
      </c>
      <c r="AP371">
        <v>602.45907364204822</v>
      </c>
      <c r="AQ371">
        <v>244.31183831838101</v>
      </c>
      <c r="AR371">
        <v>73.791787756590949</v>
      </c>
      <c r="AS371">
        <v>337.04799425640994</v>
      </c>
      <c r="AT371">
        <v>31.558151598698927</v>
      </c>
      <c r="AU371">
        <v>61.475271832587545</v>
      </c>
      <c r="AV371"/>
      <c r="AW371"/>
      <c r="FY371" s="210">
        <v>366</v>
      </c>
      <c r="FZ371">
        <v>28.546577538727547</v>
      </c>
      <c r="GA371">
        <v>62.480243319338477</v>
      </c>
      <c r="GB371">
        <v>22.516531309367771</v>
      </c>
      <c r="GC371">
        <v>7.2626193547114921</v>
      </c>
      <c r="GD371">
        <v>8.2153122178048221</v>
      </c>
      <c r="GE371">
        <v>11.871732710615081</v>
      </c>
      <c r="GF371">
        <v>10.676592085436289</v>
      </c>
      <c r="GG371">
        <v>14.682543269369072</v>
      </c>
      <c r="GH371">
        <v>13.329074271741204</v>
      </c>
      <c r="GI371">
        <v>28.180013206462085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1.5970676574776279E-3</v>
      </c>
      <c r="H372" s="59">
        <f t="shared" ref="H372:AK372" si="362">+H36</f>
        <v>8.9100000000000013E-3</v>
      </c>
      <c r="I372" s="59">
        <f t="shared" si="362"/>
        <v>4.9708664268728449E-2</v>
      </c>
      <c r="J372" s="59">
        <f t="shared" si="362"/>
        <v>0.13587464291257986</v>
      </c>
      <c r="K372" s="59">
        <f t="shared" si="362"/>
        <v>0.27732337860619083</v>
      </c>
      <c r="L372" s="59">
        <f t="shared" si="362"/>
        <v>0.48230672197979785</v>
      </c>
      <c r="M372" s="59">
        <f t="shared" si="362"/>
        <v>0.7580411904797747</v>
      </c>
      <c r="N372" s="59">
        <f t="shared" si="362"/>
        <v>1.1110173556223539</v>
      </c>
      <c r="O372" s="59">
        <f t="shared" si="362"/>
        <v>1.547180103367521</v>
      </c>
      <c r="P372" s="59">
        <f t="shared" si="362"/>
        <v>2.072044734749841</v>
      </c>
      <c r="Q372" s="59">
        <f t="shared" si="362"/>
        <v>2.6907769828781971</v>
      </c>
      <c r="R372" s="59">
        <f t="shared" si="362"/>
        <v>3.4082509405286605</v>
      </c>
      <c r="S372" s="59">
        <f t="shared" si="362"/>
        <v>4.2290925970175506</v>
      </c>
      <c r="T372" s="59">
        <f t="shared" si="362"/>
        <v>5.1577135406092971</v>
      </c>
      <c r="U372" s="59">
        <f t="shared" si="362"/>
        <v>6.1983376798386134</v>
      </c>
      <c r="V372" s="59">
        <f t="shared" si="362"/>
        <v>7.3550228533492659</v>
      </c>
      <c r="W372" s="59">
        <f t="shared" si="362"/>
        <v>8.6316785995008587</v>
      </c>
      <c r="X372" s="59">
        <f t="shared" si="362"/>
        <v>10.032080977320962</v>
      </c>
      <c r="Y372" s="59">
        <f t="shared" si="362"/>
        <v>11.559885080748183</v>
      </c>
      <c r="Z372" s="59">
        <f t="shared" si="362"/>
        <v>13.218635718938282</v>
      </c>
      <c r="AA372" s="59">
        <f t="shared" si="362"/>
        <v>15.011776617723273</v>
      </c>
      <c r="AB372" s="59">
        <f t="shared" si="362"/>
        <v>16.94265841356523</v>
      </c>
      <c r="AC372" s="59">
        <f t="shared" si="362"/>
        <v>19.01454565054064</v>
      </c>
      <c r="AD372" s="59">
        <f t="shared" si="362"/>
        <v>21.230622945949783</v>
      </c>
      <c r="AE372" s="59">
        <f t="shared" si="362"/>
        <v>23.594000456398458</v>
      </c>
      <c r="AF372" s="59">
        <f t="shared" si="362"/>
        <v>26.107718750493603</v>
      </c>
      <c r="AG372" s="59">
        <f t="shared" si="362"/>
        <v>28.774753174458162</v>
      </c>
      <c r="AH372" s="59">
        <f t="shared" si="362"/>
        <v>31.598017781484351</v>
      </c>
      <c r="AI372" s="59">
        <f t="shared" si="362"/>
        <v>34.580368883423944</v>
      </c>
      <c r="AJ372" s="59">
        <f t="shared" si="362"/>
        <v>37.724608273673908</v>
      </c>
      <c r="AK372" s="59">
        <f t="shared" si="362"/>
        <v>41.033486162285527</v>
      </c>
      <c r="AL372" s="78"/>
      <c r="AM372" s="43">
        <v>356</v>
      </c>
      <c r="AN372">
        <v>61.851967993445029</v>
      </c>
      <c r="AO372">
        <v>92.045952139329231</v>
      </c>
      <c r="AP372">
        <v>680.8501031733648</v>
      </c>
      <c r="AQ372">
        <v>255.34348167191115</v>
      </c>
      <c r="AR372">
        <v>86.423338546581419</v>
      </c>
      <c r="AS372">
        <v>399.20883603608041</v>
      </c>
      <c r="AT372">
        <v>33.359031692764816</v>
      </c>
      <c r="AU372">
        <v>-91.661912778033042</v>
      </c>
      <c r="AV372"/>
      <c r="AW372"/>
      <c r="FY372" s="210">
        <v>367</v>
      </c>
      <c r="FZ372">
        <v>13.208502416092161</v>
      </c>
      <c r="GA372">
        <v>59.715266209792986</v>
      </c>
      <c r="GB372">
        <v>45.577733799554707</v>
      </c>
      <c r="GC372">
        <v>10.883937532446845</v>
      </c>
      <c r="GD372">
        <v>6.7481625075554099</v>
      </c>
      <c r="GE372">
        <v>8.2361583856070961</v>
      </c>
      <c r="GF372">
        <v>12.158101281455963</v>
      </c>
      <c r="GG372">
        <v>23.950167215780759</v>
      </c>
      <c r="GH372">
        <v>26.395452984951543</v>
      </c>
      <c r="GI372">
        <v>38.099311370332011</v>
      </c>
      <c r="GJ372"/>
      <c r="GK372"/>
      <c r="GL372"/>
      <c r="GM372"/>
    </row>
    <row r="373" spans="1:195" s="7" customFormat="1">
      <c r="A373" s="95"/>
      <c r="B373" s="71">
        <f t="shared" ref="B373:B378" si="363">+C4</f>
        <v>39646</v>
      </c>
      <c r="C373" s="18">
        <f t="shared" ref="C373:C382" si="364">+D70</f>
        <v>16.666666666666664</v>
      </c>
      <c r="D373" s="18">
        <f t="shared" ref="D373:D382" si="365">SUM(G373:AK373)</f>
        <v>28.895584208430893</v>
      </c>
      <c r="E373" s="19">
        <f t="shared" ref="E373:E382" si="366">IF(C373&lt;1, 0.000001, D373/C373)</f>
        <v>1.7337350525058539</v>
      </c>
      <c r="F373" s="19"/>
      <c r="G373" s="18">
        <f>AVERAGE(E228:E237)*G$372</f>
        <v>0</v>
      </c>
      <c r="H373" s="18">
        <f t="shared" ref="H373:AK373" si="367">AVERAGE(F228:F237)*H$372</f>
        <v>5.5687500000000008E-2</v>
      </c>
      <c r="I373" s="18">
        <f t="shared" si="367"/>
        <v>0</v>
      </c>
      <c r="J373" s="18">
        <f t="shared" si="367"/>
        <v>0.14153608636727066</v>
      </c>
      <c r="K373" s="18">
        <f t="shared" si="367"/>
        <v>0.57775703876289752</v>
      </c>
      <c r="L373" s="18">
        <f t="shared" si="367"/>
        <v>0.50240283539562269</v>
      </c>
      <c r="M373" s="18">
        <f t="shared" si="367"/>
        <v>0.78962624008309856</v>
      </c>
      <c r="N373" s="18">
        <f t="shared" si="367"/>
        <v>0</v>
      </c>
      <c r="O373" s="18">
        <f t="shared" si="367"/>
        <v>1.6116459410078341</v>
      </c>
      <c r="P373" s="18">
        <f t="shared" si="367"/>
        <v>4.3167598640621678</v>
      </c>
      <c r="Q373" s="18">
        <f t="shared" si="367"/>
        <v>0</v>
      </c>
      <c r="R373" s="18">
        <f t="shared" si="367"/>
        <v>0</v>
      </c>
      <c r="S373" s="18">
        <f t="shared" si="367"/>
        <v>0</v>
      </c>
      <c r="T373" s="18">
        <f t="shared" si="367"/>
        <v>0</v>
      </c>
      <c r="U373" s="18">
        <f t="shared" si="367"/>
        <v>0</v>
      </c>
      <c r="V373" s="18">
        <f t="shared" si="367"/>
        <v>0</v>
      </c>
      <c r="W373" s="18">
        <f t="shared" si="367"/>
        <v>0</v>
      </c>
      <c r="X373" s="18">
        <f t="shared" si="367"/>
        <v>20.900168702752001</v>
      </c>
      <c r="Y373" s="18">
        <f t="shared" si="367"/>
        <v>0</v>
      </c>
      <c r="Z373" s="18">
        <f t="shared" si="367"/>
        <v>0</v>
      </c>
      <c r="AA373" s="18">
        <f t="shared" si="367"/>
        <v>0</v>
      </c>
      <c r="AB373" s="18">
        <f t="shared" si="367"/>
        <v>0</v>
      </c>
      <c r="AC373" s="18">
        <f t="shared" si="367"/>
        <v>0</v>
      </c>
      <c r="AD373" s="18">
        <f t="shared" si="367"/>
        <v>0</v>
      </c>
      <c r="AE373" s="18">
        <f t="shared" si="367"/>
        <v>0</v>
      </c>
      <c r="AF373" s="18">
        <f t="shared" si="367"/>
        <v>0</v>
      </c>
      <c r="AG373" s="18">
        <f t="shared" si="367"/>
        <v>0</v>
      </c>
      <c r="AH373" s="18">
        <f t="shared" si="367"/>
        <v>0</v>
      </c>
      <c r="AI373" s="18">
        <f t="shared" si="367"/>
        <v>0</v>
      </c>
      <c r="AJ373" s="18">
        <f t="shared" si="367"/>
        <v>0</v>
      </c>
      <c r="AK373" s="18">
        <f t="shared" si="367"/>
        <v>0</v>
      </c>
      <c r="AL373" s="78"/>
      <c r="AM373" s="43">
        <v>357</v>
      </c>
      <c r="AN373">
        <v>49.961187441124864</v>
      </c>
      <c r="AO373">
        <v>60.913042798430823</v>
      </c>
      <c r="AP373">
        <v>454.07696327655486</v>
      </c>
      <c r="AQ373">
        <v>167.29494224034846</v>
      </c>
      <c r="AR373">
        <v>57.382101296950147</v>
      </c>
      <c r="AS373">
        <v>267.93038523541759</v>
      </c>
      <c r="AT373">
        <v>24.646662541809722</v>
      </c>
      <c r="AU373">
        <v>49.957414121666424</v>
      </c>
      <c r="AV373"/>
      <c r="AW373"/>
      <c r="FY373" s="210">
        <v>368</v>
      </c>
      <c r="FZ373">
        <v>25.129584982467922</v>
      </c>
      <c r="GA373">
        <v>49.461573737706871</v>
      </c>
      <c r="GB373">
        <v>55.765923122332062</v>
      </c>
      <c r="GC373">
        <v>12.729106909378444</v>
      </c>
      <c r="GD373">
        <v>8.1205655220961592</v>
      </c>
      <c r="GE373">
        <v>13.261601294113117</v>
      </c>
      <c r="GF373">
        <v>6.3396380456100303</v>
      </c>
      <c r="GG373">
        <v>9.055380206818116</v>
      </c>
      <c r="GH373">
        <v>14.964261408513972</v>
      </c>
      <c r="GI373">
        <v>39.890757971404973</v>
      </c>
      <c r="GJ373"/>
      <c r="GK373"/>
      <c r="GL373"/>
      <c r="GM373"/>
    </row>
    <row r="374" spans="1:195" s="7" customFormat="1">
      <c r="A374" s="95"/>
      <c r="B374" s="71">
        <f t="shared" si="363"/>
        <v>39673</v>
      </c>
      <c r="C374" s="18">
        <f t="shared" si="364"/>
        <v>82.475490196078439</v>
      </c>
      <c r="D374" s="18">
        <f t="shared" si="365"/>
        <v>33.192811027919696</v>
      </c>
      <c r="E374" s="19">
        <f t="shared" si="366"/>
        <v>0.40245666862975438</v>
      </c>
      <c r="F374" s="19">
        <f>IF(F388&lt;0,0,F388)</f>
        <v>0</v>
      </c>
      <c r="G374" s="18">
        <f>AVERAGE(E238:E247)*G$372</f>
        <v>0</v>
      </c>
      <c r="H374" s="18">
        <f t="shared" ref="H374:AK374" si="368">AVERAGE(F238:F247)*H$372</f>
        <v>0</v>
      </c>
      <c r="I374" s="18">
        <f t="shared" si="368"/>
        <v>1.4214078835012218</v>
      </c>
      <c r="J374" s="18">
        <f t="shared" si="368"/>
        <v>3.3580130294979909</v>
      </c>
      <c r="K374" s="18">
        <f t="shared" si="368"/>
        <v>3.4665422325773854</v>
      </c>
      <c r="L374" s="18">
        <f t="shared" si="368"/>
        <v>0</v>
      </c>
      <c r="M374" s="18">
        <f t="shared" si="368"/>
        <v>1.5792524801661971</v>
      </c>
      <c r="N374" s="18">
        <f t="shared" si="368"/>
        <v>8.101168218079664</v>
      </c>
      <c r="O374" s="18">
        <f t="shared" si="368"/>
        <v>8.0582297050391709</v>
      </c>
      <c r="P374" s="18">
        <f t="shared" si="368"/>
        <v>0</v>
      </c>
      <c r="Q374" s="18">
        <f t="shared" si="368"/>
        <v>2.8028926904981217</v>
      </c>
      <c r="R374" s="18">
        <f t="shared" si="368"/>
        <v>0</v>
      </c>
      <c r="S374" s="18">
        <f t="shared" si="368"/>
        <v>4.4053047885599481</v>
      </c>
      <c r="T374" s="18">
        <f t="shared" si="368"/>
        <v>0</v>
      </c>
      <c r="U374" s="18">
        <f t="shared" si="368"/>
        <v>0</v>
      </c>
      <c r="V374" s="18">
        <f t="shared" si="368"/>
        <v>0</v>
      </c>
      <c r="W374" s="18">
        <f t="shared" si="368"/>
        <v>0</v>
      </c>
      <c r="X374" s="18">
        <f t="shared" si="368"/>
        <v>0</v>
      </c>
      <c r="Y374" s="18">
        <f t="shared" si="368"/>
        <v>0</v>
      </c>
      <c r="Z374" s="18">
        <f t="shared" si="368"/>
        <v>0</v>
      </c>
      <c r="AA374" s="18">
        <f t="shared" si="368"/>
        <v>0</v>
      </c>
      <c r="AB374" s="18">
        <f t="shared" si="368"/>
        <v>0</v>
      </c>
      <c r="AC374" s="18">
        <f t="shared" si="368"/>
        <v>0</v>
      </c>
      <c r="AD374" s="18">
        <f t="shared" si="368"/>
        <v>0</v>
      </c>
      <c r="AE374" s="18">
        <f t="shared" si="368"/>
        <v>0</v>
      </c>
      <c r="AF374" s="18">
        <f t="shared" si="368"/>
        <v>0</v>
      </c>
      <c r="AG374" s="18">
        <f t="shared" si="368"/>
        <v>0</v>
      </c>
      <c r="AH374" s="18">
        <f t="shared" si="368"/>
        <v>0</v>
      </c>
      <c r="AI374" s="18">
        <f t="shared" si="368"/>
        <v>0</v>
      </c>
      <c r="AJ374" s="18">
        <f t="shared" si="368"/>
        <v>0</v>
      </c>
      <c r="AK374" s="18">
        <f t="shared" si="368"/>
        <v>0</v>
      </c>
      <c r="AL374" s="78"/>
      <c r="AM374" s="43">
        <v>358</v>
      </c>
      <c r="AN374">
        <v>58.425238497715313</v>
      </c>
      <c r="AO374">
        <v>76.483981180054812</v>
      </c>
      <c r="AP374">
        <v>523.24752522616689</v>
      </c>
      <c r="AQ374">
        <v>222.50235058399474</v>
      </c>
      <c r="AR374">
        <v>72.558176673946136</v>
      </c>
      <c r="AS374">
        <v>329.61078574823034</v>
      </c>
      <c r="AT374">
        <v>26.95367392958369</v>
      </c>
      <c r="AU374">
        <v>-26.588379883049676</v>
      </c>
      <c r="AV374"/>
      <c r="AW374"/>
      <c r="FY374" s="210">
        <v>369</v>
      </c>
      <c r="FZ374">
        <v>22.811276767463479</v>
      </c>
      <c r="GA374">
        <v>81.953552766528077</v>
      </c>
      <c r="GB374">
        <v>35.219453204495906</v>
      </c>
      <c r="GC374">
        <v>12.259829293926012</v>
      </c>
      <c r="GD374">
        <v>11.630292050593564</v>
      </c>
      <c r="GE374">
        <v>13.112641270651839</v>
      </c>
      <c r="GF374">
        <v>5.3146582648152476</v>
      </c>
      <c r="GG374">
        <v>16.464817650130449</v>
      </c>
      <c r="GH374">
        <v>27.763711476433933</v>
      </c>
      <c r="GI374">
        <v>40.07874988737759</v>
      </c>
      <c r="GJ374"/>
      <c r="GK374"/>
      <c r="GL374"/>
      <c r="GM374"/>
    </row>
    <row r="375" spans="1:195" s="7" customFormat="1">
      <c r="A375" s="95"/>
      <c r="B375" s="71">
        <f t="shared" si="363"/>
        <v>39714</v>
      </c>
      <c r="C375" s="18">
        <f t="shared" si="364"/>
        <v>63.411458333333329</v>
      </c>
      <c r="D375" s="18">
        <f t="shared" si="365"/>
        <v>119.69292984457002</v>
      </c>
      <c r="E375" s="19">
        <f t="shared" si="366"/>
        <v>1.8875599614092358</v>
      </c>
      <c r="F375" s="19">
        <f>IF(F389&lt;0,0,F389)</f>
        <v>3.7693971043110758E-2</v>
      </c>
      <c r="G375" s="18">
        <f>AVERAGE(E248:E257)*G$372</f>
        <v>0</v>
      </c>
      <c r="H375" s="18">
        <f t="shared" ref="H375:AK375" si="369">AVERAGE(F248:F257)*H$372</f>
        <v>0</v>
      </c>
      <c r="I375" s="18">
        <f t="shared" si="369"/>
        <v>1.3398038416180715</v>
      </c>
      <c r="J375" s="18">
        <f t="shared" si="369"/>
        <v>0.28307217273454133</v>
      </c>
      <c r="K375" s="18">
        <f t="shared" si="369"/>
        <v>0.86663555814434634</v>
      </c>
      <c r="L375" s="18">
        <f t="shared" si="369"/>
        <v>0.50240283539562269</v>
      </c>
      <c r="M375" s="18">
        <f t="shared" si="369"/>
        <v>1.5792524801661971</v>
      </c>
      <c r="N375" s="18">
        <f t="shared" si="369"/>
        <v>1.1573097454399519</v>
      </c>
      <c r="O375" s="18">
        <f t="shared" si="369"/>
        <v>1.6116459410078341</v>
      </c>
      <c r="P375" s="18">
        <f t="shared" si="369"/>
        <v>12.950279592186506</v>
      </c>
      <c r="Q375" s="18">
        <f t="shared" si="369"/>
        <v>5.6057853809962435</v>
      </c>
      <c r="R375" s="18">
        <f t="shared" si="369"/>
        <v>10.650784189152064</v>
      </c>
      <c r="S375" s="18">
        <f t="shared" si="369"/>
        <v>26.431828731359687</v>
      </c>
      <c r="T375" s="18">
        <f t="shared" si="369"/>
        <v>10.745236542936034</v>
      </c>
      <c r="U375" s="18">
        <f t="shared" si="369"/>
        <v>0</v>
      </c>
      <c r="V375" s="18">
        <f t="shared" si="369"/>
        <v>45.968892833432911</v>
      </c>
      <c r="W375" s="18">
        <f t="shared" si="369"/>
        <v>0</v>
      </c>
      <c r="X375" s="18">
        <f t="shared" si="369"/>
        <v>0</v>
      </c>
      <c r="Y375" s="18">
        <f t="shared" si="369"/>
        <v>0</v>
      </c>
      <c r="Z375" s="18">
        <f t="shared" si="369"/>
        <v>0</v>
      </c>
      <c r="AA375" s="18">
        <f t="shared" si="369"/>
        <v>0</v>
      </c>
      <c r="AB375" s="18">
        <f t="shared" si="369"/>
        <v>0</v>
      </c>
      <c r="AC375" s="18">
        <f t="shared" si="369"/>
        <v>0</v>
      </c>
      <c r="AD375" s="18">
        <f t="shared" si="369"/>
        <v>0</v>
      </c>
      <c r="AE375" s="18">
        <f t="shared" si="369"/>
        <v>0</v>
      </c>
      <c r="AF375" s="18">
        <f t="shared" si="369"/>
        <v>0</v>
      </c>
      <c r="AG375" s="18">
        <f t="shared" si="369"/>
        <v>0</v>
      </c>
      <c r="AH375" s="18">
        <f t="shared" si="369"/>
        <v>0</v>
      </c>
      <c r="AI375" s="18">
        <f t="shared" si="369"/>
        <v>0</v>
      </c>
      <c r="AJ375" s="18">
        <f t="shared" si="369"/>
        <v>0</v>
      </c>
      <c r="AK375" s="18">
        <f t="shared" si="369"/>
        <v>0</v>
      </c>
      <c r="AL375" s="78"/>
      <c r="AM375" s="43">
        <v>359</v>
      </c>
      <c r="AN375">
        <v>52.234333934699222</v>
      </c>
      <c r="AO375">
        <v>64.46397345629245</v>
      </c>
      <c r="AP375">
        <v>472.29345420015363</v>
      </c>
      <c r="AQ375">
        <v>218.16864903707139</v>
      </c>
      <c r="AR375">
        <v>60.661194861723224</v>
      </c>
      <c r="AS375">
        <v>352.31125224551664</v>
      </c>
      <c r="AT375">
        <v>24.196075839046561</v>
      </c>
      <c r="AU375">
        <v>94.554927971887722</v>
      </c>
      <c r="AV375"/>
      <c r="AW375"/>
      <c r="FY375" s="210">
        <v>370</v>
      </c>
      <c r="FZ375">
        <v>26.897104981926706</v>
      </c>
      <c r="GA375">
        <v>42.446265181449967</v>
      </c>
      <c r="GB375">
        <v>20.051536271217699</v>
      </c>
      <c r="GC375">
        <v>10.485119128719138</v>
      </c>
      <c r="GD375">
        <v>8.3604562176214845</v>
      </c>
      <c r="GE375">
        <v>9.0972997844841981</v>
      </c>
      <c r="GF375">
        <v>12.927450139341442</v>
      </c>
      <c r="GG375">
        <v>19.635232366790294</v>
      </c>
      <c r="GH375">
        <v>8.1845808356612828</v>
      </c>
      <c r="GI375">
        <v>28.674416740538248</v>
      </c>
      <c r="GJ375"/>
      <c r="GK375"/>
      <c r="GL375"/>
      <c r="GM375"/>
    </row>
    <row r="376" spans="1:195" s="7" customFormat="1">
      <c r="A376" s="95"/>
      <c r="B376" s="71">
        <f t="shared" si="363"/>
        <v>39747</v>
      </c>
      <c r="C376" s="18">
        <f t="shared" si="364"/>
        <v>155.31768578643582</v>
      </c>
      <c r="D376" s="18">
        <f t="shared" si="365"/>
        <v>205.66930075107857</v>
      </c>
      <c r="E376" s="19">
        <f t="shared" si="366"/>
        <v>1.3241846845044871</v>
      </c>
      <c r="F376" s="19">
        <f>IF(F390&lt;0,0,F390)</f>
        <v>0</v>
      </c>
      <c r="G376" s="18">
        <f>AVERAGE(E258:E267)*G$372</f>
        <v>0</v>
      </c>
      <c r="H376" s="18">
        <f t="shared" ref="H376:AK376" si="370">AVERAGE(F258:F267)*H$372</f>
        <v>0.11601562500000002</v>
      </c>
      <c r="I376" s="18">
        <f t="shared" si="370"/>
        <v>2.2911466660206563</v>
      </c>
      <c r="J376" s="18">
        <f t="shared" si="370"/>
        <v>6.5207696933492567</v>
      </c>
      <c r="K376" s="18">
        <f t="shared" si="370"/>
        <v>0.28887851938144876</v>
      </c>
      <c r="L376" s="18">
        <f t="shared" si="370"/>
        <v>7.1771833627946116</v>
      </c>
      <c r="M376" s="18">
        <f t="shared" si="370"/>
        <v>0</v>
      </c>
      <c r="N376" s="18">
        <f t="shared" si="370"/>
        <v>0</v>
      </c>
      <c r="O376" s="18">
        <f t="shared" si="370"/>
        <v>0</v>
      </c>
      <c r="P376" s="18">
        <f t="shared" si="370"/>
        <v>0</v>
      </c>
      <c r="Q376" s="18">
        <f t="shared" si="370"/>
        <v>2.8028926904981217</v>
      </c>
      <c r="R376" s="18">
        <f t="shared" si="370"/>
        <v>14.201045585536084</v>
      </c>
      <c r="S376" s="18">
        <f t="shared" si="370"/>
        <v>22.026523942799745</v>
      </c>
      <c r="T376" s="18">
        <f t="shared" si="370"/>
        <v>16.117854814404055</v>
      </c>
      <c r="U376" s="18">
        <f t="shared" si="370"/>
        <v>45.196212248823223</v>
      </c>
      <c r="V376" s="18">
        <f t="shared" si="370"/>
        <v>57.461116041791136</v>
      </c>
      <c r="W376" s="18">
        <f t="shared" si="370"/>
        <v>31.469661560680215</v>
      </c>
      <c r="X376" s="18">
        <f t="shared" si="370"/>
        <v>0</v>
      </c>
      <c r="Y376" s="18">
        <f t="shared" si="370"/>
        <v>0</v>
      </c>
      <c r="Z376" s="18">
        <f t="shared" si="370"/>
        <v>0</v>
      </c>
      <c r="AA376" s="18">
        <f t="shared" si="370"/>
        <v>0</v>
      </c>
      <c r="AB376" s="18">
        <f t="shared" si="370"/>
        <v>0</v>
      </c>
      <c r="AC376" s="18">
        <f t="shared" si="370"/>
        <v>0</v>
      </c>
      <c r="AD376" s="18">
        <f t="shared" si="370"/>
        <v>0</v>
      </c>
      <c r="AE376" s="18">
        <f t="shared" si="370"/>
        <v>0</v>
      </c>
      <c r="AF376" s="18">
        <f t="shared" si="370"/>
        <v>0</v>
      </c>
      <c r="AG376" s="18">
        <f t="shared" si="370"/>
        <v>0</v>
      </c>
      <c r="AH376" s="18">
        <f t="shared" si="370"/>
        <v>0</v>
      </c>
      <c r="AI376" s="18">
        <f t="shared" si="370"/>
        <v>0</v>
      </c>
      <c r="AJ376" s="18">
        <f t="shared" si="370"/>
        <v>0</v>
      </c>
      <c r="AK376" s="18">
        <f t="shared" si="370"/>
        <v>0</v>
      </c>
      <c r="AL376" s="78"/>
      <c r="AM376" s="43">
        <v>360</v>
      </c>
      <c r="AN376">
        <v>56.686141931443068</v>
      </c>
      <c r="AO376">
        <v>55.171518547395564</v>
      </c>
      <c r="AP376">
        <v>405.32695070406135</v>
      </c>
      <c r="AQ376">
        <v>184.37996768244278</v>
      </c>
      <c r="AR376">
        <v>53.323025484318698</v>
      </c>
      <c r="AS376">
        <v>303.28654086057151</v>
      </c>
      <c r="AT376">
        <v>22.86467368524573</v>
      </c>
      <c r="AU376">
        <v>31.397513988628983</v>
      </c>
      <c r="AV376"/>
      <c r="AW376"/>
      <c r="FY376" s="210">
        <v>371</v>
      </c>
      <c r="FZ376">
        <v>21.731168210324633</v>
      </c>
      <c r="GA376">
        <v>55.829277752346016</v>
      </c>
      <c r="GB376">
        <v>26.973336447032743</v>
      </c>
      <c r="GC376">
        <v>7.6599371104678049</v>
      </c>
      <c r="GD376">
        <v>5.2823719975451553</v>
      </c>
      <c r="GE376">
        <v>6.5802629097386349</v>
      </c>
      <c r="GF376">
        <v>8.7046490244760335</v>
      </c>
      <c r="GG376">
        <v>16.212442698915009</v>
      </c>
      <c r="GH376">
        <v>16.005217206961486</v>
      </c>
      <c r="GI376">
        <v>28.627547870462511</v>
      </c>
      <c r="GJ376"/>
      <c r="GK376"/>
      <c r="GL376"/>
      <c r="GM376"/>
    </row>
    <row r="377" spans="1:195" s="7" customFormat="1">
      <c r="A377" s="95"/>
      <c r="B377" s="71">
        <f t="shared" si="363"/>
        <v>39775</v>
      </c>
      <c r="C377" s="18">
        <f t="shared" si="364"/>
        <v>104.08249158249158</v>
      </c>
      <c r="D377" s="18">
        <f t="shared" si="365"/>
        <v>133.5392288516916</v>
      </c>
      <c r="E377" s="19">
        <f t="shared" si="366"/>
        <v>1.2830133754614608</v>
      </c>
      <c r="F377" s="19">
        <f>IF(F391&lt;0,0,F391)</f>
        <v>0</v>
      </c>
      <c r="G377" s="18">
        <f>AVERAGE(E268:E277)*G$372</f>
        <v>0</v>
      </c>
      <c r="H377" s="18">
        <f t="shared" ref="H377:AK377" si="371">AVERAGE(F268:F277)*H$372</f>
        <v>0</v>
      </c>
      <c r="I377" s="18">
        <f t="shared" si="371"/>
        <v>1.535089747776915</v>
      </c>
      <c r="J377" s="18">
        <f t="shared" si="371"/>
        <v>2.2817332711329699</v>
      </c>
      <c r="K377" s="18">
        <f t="shared" si="371"/>
        <v>5.9701560672166085</v>
      </c>
      <c r="L377" s="18">
        <f t="shared" si="371"/>
        <v>2.1923032817263537</v>
      </c>
      <c r="M377" s="18">
        <f t="shared" si="371"/>
        <v>0</v>
      </c>
      <c r="N377" s="18">
        <f t="shared" si="371"/>
        <v>0</v>
      </c>
      <c r="O377" s="18">
        <f t="shared" si="371"/>
        <v>0</v>
      </c>
      <c r="P377" s="18">
        <f t="shared" si="371"/>
        <v>0</v>
      </c>
      <c r="Q377" s="18">
        <f t="shared" si="371"/>
        <v>2.8028926904981217</v>
      </c>
      <c r="R377" s="18">
        <f t="shared" si="371"/>
        <v>62.721284669451045</v>
      </c>
      <c r="S377" s="18">
        <f t="shared" si="371"/>
        <v>14.817843379701642</v>
      </c>
      <c r="T377" s="18">
        <f t="shared" si="371"/>
        <v>30.770450100225915</v>
      </c>
      <c r="U377" s="18">
        <f t="shared" si="371"/>
        <v>0</v>
      </c>
      <c r="V377" s="18">
        <f t="shared" si="371"/>
        <v>10.447475643962026</v>
      </c>
      <c r="W377" s="18">
        <f t="shared" si="371"/>
        <v>0</v>
      </c>
      <c r="X377" s="18">
        <f t="shared" si="371"/>
        <v>0</v>
      </c>
      <c r="Y377" s="18">
        <f t="shared" si="371"/>
        <v>0</v>
      </c>
      <c r="Z377" s="18">
        <f t="shared" si="371"/>
        <v>0</v>
      </c>
      <c r="AA377" s="18">
        <f t="shared" si="371"/>
        <v>0</v>
      </c>
      <c r="AB377" s="18">
        <f t="shared" si="371"/>
        <v>0</v>
      </c>
      <c r="AC377" s="18">
        <f t="shared" si="371"/>
        <v>0</v>
      </c>
      <c r="AD377" s="18">
        <f t="shared" si="371"/>
        <v>0</v>
      </c>
      <c r="AE377" s="18">
        <f t="shared" si="371"/>
        <v>0</v>
      </c>
      <c r="AF377" s="18">
        <f t="shared" si="371"/>
        <v>0</v>
      </c>
      <c r="AG377" s="18">
        <f t="shared" si="371"/>
        <v>0</v>
      </c>
      <c r="AH377" s="18">
        <f t="shared" si="371"/>
        <v>0</v>
      </c>
      <c r="AI377" s="18">
        <f t="shared" si="371"/>
        <v>0</v>
      </c>
      <c r="AJ377" s="18">
        <f t="shared" si="371"/>
        <v>0</v>
      </c>
      <c r="AK377" s="18">
        <f t="shared" si="371"/>
        <v>0</v>
      </c>
      <c r="AL377" s="78"/>
      <c r="AM377" s="43">
        <v>361</v>
      </c>
      <c r="AN377">
        <v>51.868731301361848</v>
      </c>
      <c r="AO377">
        <v>70.561430927452122</v>
      </c>
      <c r="AP377">
        <v>522.41894563071776</v>
      </c>
      <c r="AQ377">
        <v>216.32723808517639</v>
      </c>
      <c r="AR377">
        <v>65.729429425588947</v>
      </c>
      <c r="AS377">
        <v>309.43181676263288</v>
      </c>
      <c r="AT377">
        <v>27.604308444995777</v>
      </c>
      <c r="AU377">
        <v>-21.306075391722871</v>
      </c>
      <c r="AV377"/>
      <c r="AW377"/>
      <c r="FY377" s="210">
        <v>372</v>
      </c>
      <c r="FZ377">
        <v>13.889541451198468</v>
      </c>
      <c r="GA377">
        <v>40.082280857124786</v>
      </c>
      <c r="GB377">
        <v>39.62551513552517</v>
      </c>
      <c r="GC377">
        <v>9.7507695570790158</v>
      </c>
      <c r="GD377">
        <v>10.112178289032213</v>
      </c>
      <c r="GE377">
        <v>16.139728942396967</v>
      </c>
      <c r="GF377">
        <v>8.6451453092114523</v>
      </c>
      <c r="GG377">
        <v>14.874927995938577</v>
      </c>
      <c r="GH377">
        <v>17.448647256412084</v>
      </c>
      <c r="GI377">
        <v>35.112687027757808</v>
      </c>
      <c r="GJ377"/>
      <c r="GK377"/>
      <c r="GL377"/>
      <c r="GM377"/>
    </row>
    <row r="378" spans="1:195" s="7" customFormat="1">
      <c r="A378" s="95"/>
      <c r="B378" s="71">
        <f t="shared" si="363"/>
        <v>39799</v>
      </c>
      <c r="C378" s="18">
        <f t="shared" si="364"/>
        <v>159.57341269841271</v>
      </c>
      <c r="D378" s="18">
        <f t="shared" si="365"/>
        <v>86.273970515632101</v>
      </c>
      <c r="E378" s="19">
        <f t="shared" si="366"/>
        <v>0.54065379098388033</v>
      </c>
      <c r="F378" s="19">
        <f t="shared" ref="F378:F382" si="372">IF(F392&lt;0,0,F392)</f>
        <v>0</v>
      </c>
      <c r="G378" s="18">
        <f>AVERAGE(E278:E287)*G$372</f>
        <v>0</v>
      </c>
      <c r="H378" s="18">
        <f t="shared" ref="H378:AK378" si="373">AVERAGE(F278:F287)*H$372</f>
        <v>0</v>
      </c>
      <c r="I378" s="18">
        <f t="shared" si="373"/>
        <v>1.5912348858459144</v>
      </c>
      <c r="J378" s="18">
        <f t="shared" si="373"/>
        <v>10.288325516173275</v>
      </c>
      <c r="K378" s="18">
        <f t="shared" si="373"/>
        <v>8.9330126762571087</v>
      </c>
      <c r="L378" s="18">
        <f t="shared" si="373"/>
        <v>0.50240283539562269</v>
      </c>
      <c r="M378" s="18">
        <f t="shared" si="373"/>
        <v>0</v>
      </c>
      <c r="N378" s="18">
        <f t="shared" si="373"/>
        <v>0</v>
      </c>
      <c r="O378" s="18">
        <f t="shared" si="373"/>
        <v>0</v>
      </c>
      <c r="P378" s="18">
        <f t="shared" si="373"/>
        <v>0</v>
      </c>
      <c r="Q378" s="18">
        <f t="shared" si="373"/>
        <v>19.404641703448537</v>
      </c>
      <c r="R378" s="18">
        <f t="shared" si="373"/>
        <v>10.650784189152064</v>
      </c>
      <c r="S378" s="18">
        <f t="shared" si="373"/>
        <v>34.90356870935959</v>
      </c>
      <c r="T378" s="18">
        <f t="shared" si="373"/>
        <v>0</v>
      </c>
      <c r="U378" s="18">
        <f t="shared" si="373"/>
        <v>0</v>
      </c>
      <c r="V378" s="18">
        <f t="shared" si="373"/>
        <v>0</v>
      </c>
      <c r="W378" s="18">
        <f t="shared" si="373"/>
        <v>0</v>
      </c>
      <c r="X378" s="18">
        <f t="shared" si="373"/>
        <v>0</v>
      </c>
      <c r="Y378" s="18">
        <f t="shared" si="373"/>
        <v>0</v>
      </c>
      <c r="Z378" s="18">
        <f t="shared" si="373"/>
        <v>0</v>
      </c>
      <c r="AA378" s="18">
        <f t="shared" si="373"/>
        <v>0</v>
      </c>
      <c r="AB378" s="18">
        <f t="shared" si="373"/>
        <v>0</v>
      </c>
      <c r="AC378" s="18">
        <f t="shared" si="373"/>
        <v>0</v>
      </c>
      <c r="AD378" s="18">
        <f t="shared" si="373"/>
        <v>0</v>
      </c>
      <c r="AE378" s="18">
        <f t="shared" si="373"/>
        <v>0</v>
      </c>
      <c r="AF378" s="18">
        <f t="shared" si="373"/>
        <v>0</v>
      </c>
      <c r="AG378" s="18">
        <f t="shared" si="373"/>
        <v>0</v>
      </c>
      <c r="AH378" s="18">
        <f t="shared" si="373"/>
        <v>0</v>
      </c>
      <c r="AI378" s="18">
        <f t="shared" si="373"/>
        <v>0</v>
      </c>
      <c r="AJ378" s="18">
        <f t="shared" si="373"/>
        <v>0</v>
      </c>
      <c r="AK378" s="18">
        <f t="shared" si="373"/>
        <v>0</v>
      </c>
      <c r="AL378" s="78"/>
      <c r="AM378" s="43">
        <v>362</v>
      </c>
      <c r="AN378">
        <v>39.884897967770556</v>
      </c>
      <c r="AO378">
        <v>59.111873436909022</v>
      </c>
      <c r="AP378">
        <v>469.08550692038006</v>
      </c>
      <c r="AQ378">
        <v>177.99385625821631</v>
      </c>
      <c r="AR378">
        <v>56.839245884689845</v>
      </c>
      <c r="AS378">
        <v>316.3691512811734</v>
      </c>
      <c r="AT378">
        <v>24.415838828752786</v>
      </c>
      <c r="AU378">
        <v>25.367461623509527</v>
      </c>
      <c r="AV378"/>
      <c r="AW378"/>
      <c r="FY378" s="210">
        <v>373</v>
      </c>
      <c r="FZ378">
        <v>19.809086319936011</v>
      </c>
      <c r="GA378">
        <v>53.560297438474407</v>
      </c>
      <c r="GB378">
        <v>33.870275659175185</v>
      </c>
      <c r="GC378">
        <v>10.417779802773552</v>
      </c>
      <c r="GD378">
        <v>6.5555799587067662</v>
      </c>
      <c r="GE378">
        <v>5.9111020201497988</v>
      </c>
      <c r="GF378">
        <v>5.3878224712415008</v>
      </c>
      <c r="GG378">
        <v>9.5660106663645497</v>
      </c>
      <c r="GH378">
        <v>14.510289825936814</v>
      </c>
      <c r="GI378">
        <v>32.879407023382491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74">+C10</f>
        <v>39847</v>
      </c>
      <c r="C379" s="18">
        <f t="shared" si="364"/>
        <v>13.107638888888889</v>
      </c>
      <c r="D379" s="18">
        <f t="shared" si="365"/>
        <v>12.734301567036908</v>
      </c>
      <c r="E379" s="19">
        <f t="shared" si="366"/>
        <v>0.97151757650506743</v>
      </c>
      <c r="F379" s="19">
        <f t="shared" si="372"/>
        <v>1.221000478161245E-2</v>
      </c>
      <c r="G379" s="18">
        <f>AVERAGE(E288:E297)*G$372</f>
        <v>0</v>
      </c>
      <c r="H379" s="18">
        <f t="shared" ref="H379:AK379" si="375">AVERAGE(F288:F297)*H$372</f>
        <v>0</v>
      </c>
      <c r="I379" s="18">
        <f t="shared" si="375"/>
        <v>0</v>
      </c>
      <c r="J379" s="18">
        <f t="shared" si="375"/>
        <v>1.0261366261627125</v>
      </c>
      <c r="K379" s="18">
        <f t="shared" si="375"/>
        <v>0.96292839793816265</v>
      </c>
      <c r="L379" s="18">
        <f t="shared" si="375"/>
        <v>0</v>
      </c>
      <c r="M379" s="18">
        <f t="shared" si="375"/>
        <v>0</v>
      </c>
      <c r="N379" s="18">
        <f t="shared" si="375"/>
        <v>0</v>
      </c>
      <c r="O379" s="18">
        <f t="shared" si="375"/>
        <v>0</v>
      </c>
      <c r="P379" s="18">
        <f t="shared" si="375"/>
        <v>0</v>
      </c>
      <c r="Q379" s="18">
        <f t="shared" si="375"/>
        <v>0</v>
      </c>
      <c r="R379" s="18">
        <f t="shared" si="375"/>
        <v>0</v>
      </c>
      <c r="S379" s="18">
        <f t="shared" si="375"/>
        <v>0</v>
      </c>
      <c r="T379" s="18">
        <f t="shared" si="375"/>
        <v>10.745236542936034</v>
      </c>
      <c r="U379" s="18">
        <f t="shared" si="375"/>
        <v>0</v>
      </c>
      <c r="V379" s="18">
        <f t="shared" si="375"/>
        <v>0</v>
      </c>
      <c r="W379" s="18">
        <f t="shared" si="375"/>
        <v>0</v>
      </c>
      <c r="X379" s="18">
        <f t="shared" si="375"/>
        <v>0</v>
      </c>
      <c r="Y379" s="18">
        <f t="shared" si="375"/>
        <v>0</v>
      </c>
      <c r="Z379" s="18">
        <f t="shared" si="375"/>
        <v>0</v>
      </c>
      <c r="AA379" s="18">
        <f t="shared" si="375"/>
        <v>0</v>
      </c>
      <c r="AB379" s="18">
        <f t="shared" si="375"/>
        <v>0</v>
      </c>
      <c r="AC379" s="18">
        <f t="shared" si="375"/>
        <v>0</v>
      </c>
      <c r="AD379" s="18">
        <f t="shared" si="375"/>
        <v>0</v>
      </c>
      <c r="AE379" s="18">
        <f t="shared" si="375"/>
        <v>0</v>
      </c>
      <c r="AF379" s="18">
        <f t="shared" si="375"/>
        <v>0</v>
      </c>
      <c r="AG379" s="18">
        <f t="shared" si="375"/>
        <v>0</v>
      </c>
      <c r="AH379" s="18">
        <f t="shared" si="375"/>
        <v>0</v>
      </c>
      <c r="AI379" s="18">
        <f t="shared" si="375"/>
        <v>0</v>
      </c>
      <c r="AJ379" s="18">
        <f t="shared" si="375"/>
        <v>0</v>
      </c>
      <c r="AK379" s="18">
        <f t="shared" si="375"/>
        <v>0</v>
      </c>
      <c r="AL379" s="78"/>
      <c r="AM379" s="43">
        <v>363</v>
      </c>
      <c r="AN379">
        <v>55.460206318513393</v>
      </c>
      <c r="AO379">
        <v>56.134217931840638</v>
      </c>
      <c r="AP379">
        <v>445.1162122223829</v>
      </c>
      <c r="AQ379">
        <v>189.76947280259495</v>
      </c>
      <c r="AR379">
        <v>52.925774764313005</v>
      </c>
      <c r="AS379">
        <v>261.80980018177377</v>
      </c>
      <c r="AT379">
        <v>22.380239718454416</v>
      </c>
      <c r="AU379">
        <v>32.211965838983005</v>
      </c>
      <c r="AV379"/>
      <c r="AW379"/>
      <c r="FY379" s="210">
        <v>374</v>
      </c>
      <c r="FZ379">
        <v>23.039147442203276</v>
      </c>
      <c r="GA379">
        <v>40.668934570124911</v>
      </c>
      <c r="GB379">
        <v>26.510741109064337</v>
      </c>
      <c r="GC379">
        <v>12.215235297317392</v>
      </c>
      <c r="GD379">
        <v>4.7390743264924327</v>
      </c>
      <c r="GE379">
        <v>3.486581959512272</v>
      </c>
      <c r="GF379">
        <v>15.545840555290493</v>
      </c>
      <c r="GG379">
        <v>20.826898281221236</v>
      </c>
      <c r="GH379">
        <v>4.45345017601921</v>
      </c>
      <c r="GI379">
        <v>26.959449412467954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74"/>
        <v>39910</v>
      </c>
      <c r="C380" s="18">
        <f t="shared" si="364"/>
        <v>29.640151515151512</v>
      </c>
      <c r="D380" s="18">
        <f t="shared" si="365"/>
        <v>93.582308771416535</v>
      </c>
      <c r="E380" s="19">
        <f t="shared" si="366"/>
        <v>3.1572817272401239</v>
      </c>
      <c r="F380" s="19">
        <f t="shared" si="372"/>
        <v>1.8708053376225473E-2</v>
      </c>
      <c r="G380" s="18">
        <f>AVERAGE(E298:E307)*G$372</f>
        <v>0</v>
      </c>
      <c r="H380" s="18">
        <f t="shared" ref="H380:AK380" si="376">AVERAGE(F298:F307)*H$372</f>
        <v>0</v>
      </c>
      <c r="I380" s="18">
        <f t="shared" si="376"/>
        <v>0</v>
      </c>
      <c r="J380" s="18">
        <f t="shared" si="376"/>
        <v>0.42460825910181205</v>
      </c>
      <c r="K380" s="18">
        <f t="shared" si="376"/>
        <v>0.57775703876289752</v>
      </c>
      <c r="L380" s="18">
        <f t="shared" si="376"/>
        <v>1.0048056707912454</v>
      </c>
      <c r="M380" s="18">
        <f t="shared" si="376"/>
        <v>5.8863046988012799</v>
      </c>
      <c r="N380" s="18">
        <f t="shared" si="376"/>
        <v>0</v>
      </c>
      <c r="O380" s="18">
        <f t="shared" si="376"/>
        <v>0</v>
      </c>
      <c r="P380" s="18">
        <f t="shared" si="376"/>
        <v>0</v>
      </c>
      <c r="Q380" s="18">
        <f t="shared" si="376"/>
        <v>0</v>
      </c>
      <c r="R380" s="18">
        <f t="shared" si="376"/>
        <v>0</v>
      </c>
      <c r="S380" s="18">
        <f t="shared" si="376"/>
        <v>26.43182873135969</v>
      </c>
      <c r="T380" s="18">
        <f t="shared" si="376"/>
        <v>0</v>
      </c>
      <c r="U380" s="18">
        <f t="shared" si="376"/>
        <v>32.283008749159443</v>
      </c>
      <c r="V380" s="18">
        <f t="shared" si="376"/>
        <v>0</v>
      </c>
      <c r="W380" s="18">
        <f t="shared" si="376"/>
        <v>26.973995623440182</v>
      </c>
      <c r="X380" s="18">
        <f t="shared" si="376"/>
        <v>0</v>
      </c>
      <c r="Y380" s="18">
        <f t="shared" si="376"/>
        <v>0</v>
      </c>
      <c r="Z380" s="18">
        <f t="shared" si="376"/>
        <v>0</v>
      </c>
      <c r="AA380" s="18">
        <f t="shared" si="376"/>
        <v>0</v>
      </c>
      <c r="AB380" s="18">
        <f t="shared" si="376"/>
        <v>0</v>
      </c>
      <c r="AC380" s="18">
        <f t="shared" si="376"/>
        <v>0</v>
      </c>
      <c r="AD380" s="18">
        <f t="shared" si="376"/>
        <v>0</v>
      </c>
      <c r="AE380" s="18">
        <f t="shared" si="376"/>
        <v>0</v>
      </c>
      <c r="AF380" s="18">
        <f t="shared" si="376"/>
        <v>0</v>
      </c>
      <c r="AG380" s="18">
        <f t="shared" si="376"/>
        <v>0</v>
      </c>
      <c r="AH380" s="18">
        <f t="shared" si="376"/>
        <v>0</v>
      </c>
      <c r="AI380" s="18">
        <f t="shared" si="376"/>
        <v>0</v>
      </c>
      <c r="AJ380" s="18">
        <f t="shared" si="376"/>
        <v>0</v>
      </c>
      <c r="AK380" s="18">
        <f t="shared" si="376"/>
        <v>0</v>
      </c>
      <c r="AL380" s="78"/>
      <c r="AM380" s="43">
        <v>364</v>
      </c>
      <c r="AN380">
        <v>63.42963656069152</v>
      </c>
      <c r="AO380">
        <v>83.560166807575612</v>
      </c>
      <c r="AP380">
        <v>657.55957897689575</v>
      </c>
      <c r="AQ380">
        <v>263.9168895313141</v>
      </c>
      <c r="AR380">
        <v>77.371831056216465</v>
      </c>
      <c r="AS380">
        <v>357.52242007221412</v>
      </c>
      <c r="AT380">
        <v>31.101171971360298</v>
      </c>
      <c r="AU380">
        <v>40.841269337073328</v>
      </c>
      <c r="AV380"/>
      <c r="AW380"/>
      <c r="FY380" s="210">
        <v>375</v>
      </c>
      <c r="FZ380">
        <v>16.13308132246739</v>
      </c>
      <c r="GA380">
        <v>79.64356596550769</v>
      </c>
      <c r="GB380">
        <v>51.143240859472023</v>
      </c>
      <c r="GC380">
        <v>12.3176710106014</v>
      </c>
      <c r="GD380">
        <v>5.5981275430102748</v>
      </c>
      <c r="GE380">
        <v>5.6107760374850582</v>
      </c>
      <c r="GF380">
        <v>10.039160151576068</v>
      </c>
      <c r="GG380">
        <v>14.609708732548517</v>
      </c>
      <c r="GH380">
        <v>16.282295513409835</v>
      </c>
      <c r="GI380">
        <v>37.555649997641694</v>
      </c>
      <c r="GJ380"/>
      <c r="GK380"/>
      <c r="GL380"/>
      <c r="GM380"/>
    </row>
    <row r="381" spans="1:195" s="7" customFormat="1">
      <c r="A381" s="1"/>
      <c r="B381" s="71">
        <f t="shared" si="374"/>
        <v>39949</v>
      </c>
      <c r="C381" s="18">
        <f t="shared" si="364"/>
        <v>27.307173901083782</v>
      </c>
      <c r="D381" s="18">
        <f t="shared" si="365"/>
        <v>47.797822766267743</v>
      </c>
      <c r="E381" s="19">
        <f t="shared" si="366"/>
        <v>1.7503760344958552</v>
      </c>
      <c r="F381" s="19">
        <f t="shared" si="372"/>
        <v>0</v>
      </c>
      <c r="G381" s="18">
        <f>AVERAGE(E308:E317)*G$372</f>
        <v>0</v>
      </c>
      <c r="H381" s="18">
        <f t="shared" ref="H381:AK381" si="377">AVERAGE(F308:F317)*H$372</f>
        <v>0</v>
      </c>
      <c r="I381" s="18">
        <f t="shared" si="377"/>
        <v>0</v>
      </c>
      <c r="J381" s="18">
        <f t="shared" si="377"/>
        <v>0.90350433215271431</v>
      </c>
      <c r="K381" s="18">
        <f t="shared" si="377"/>
        <v>3.4178157353323213</v>
      </c>
      <c r="L381" s="18">
        <f t="shared" si="377"/>
        <v>0</v>
      </c>
      <c r="M381" s="18">
        <f t="shared" si="377"/>
        <v>0</v>
      </c>
      <c r="N381" s="18">
        <f t="shared" si="377"/>
        <v>0</v>
      </c>
      <c r="O381" s="18">
        <f t="shared" si="377"/>
        <v>1.6116459410078341</v>
      </c>
      <c r="P381" s="18">
        <f t="shared" si="377"/>
        <v>2.1583799320310839</v>
      </c>
      <c r="Q381" s="18">
        <f t="shared" si="377"/>
        <v>0</v>
      </c>
      <c r="R381" s="18">
        <f t="shared" si="377"/>
        <v>0</v>
      </c>
      <c r="S381" s="18">
        <f t="shared" si="377"/>
        <v>8.8106095771198962</v>
      </c>
      <c r="T381" s="18">
        <f t="shared" si="377"/>
        <v>0</v>
      </c>
      <c r="U381" s="18">
        <f t="shared" si="377"/>
        <v>12.913203499663776</v>
      </c>
      <c r="V381" s="18">
        <f t="shared" si="377"/>
        <v>0</v>
      </c>
      <c r="W381" s="18">
        <f t="shared" si="377"/>
        <v>17.982663748960121</v>
      </c>
      <c r="X381" s="18">
        <f t="shared" si="377"/>
        <v>0</v>
      </c>
      <c r="Y381" s="18">
        <f t="shared" si="377"/>
        <v>0</v>
      </c>
      <c r="Z381" s="18">
        <f t="shared" si="377"/>
        <v>0</v>
      </c>
      <c r="AA381" s="18">
        <f t="shared" si="377"/>
        <v>0</v>
      </c>
      <c r="AB381" s="18">
        <f t="shared" si="377"/>
        <v>0</v>
      </c>
      <c r="AC381" s="18">
        <f t="shared" si="377"/>
        <v>0</v>
      </c>
      <c r="AD381" s="18">
        <f t="shared" si="377"/>
        <v>0</v>
      </c>
      <c r="AE381" s="18">
        <f t="shared" si="377"/>
        <v>0</v>
      </c>
      <c r="AF381" s="18">
        <f t="shared" si="377"/>
        <v>0</v>
      </c>
      <c r="AG381" s="18">
        <f t="shared" si="377"/>
        <v>0</v>
      </c>
      <c r="AH381" s="18">
        <f t="shared" si="377"/>
        <v>0</v>
      </c>
      <c r="AI381" s="18">
        <f t="shared" si="377"/>
        <v>0</v>
      </c>
      <c r="AJ381" s="18">
        <f t="shared" si="377"/>
        <v>0</v>
      </c>
      <c r="AK381" s="18">
        <f t="shared" si="377"/>
        <v>0</v>
      </c>
      <c r="AL381" s="78"/>
      <c r="AM381" s="43">
        <v>365</v>
      </c>
      <c r="AN381">
        <v>50.932097981420128</v>
      </c>
      <c r="AO381">
        <v>70.842174147900423</v>
      </c>
      <c r="AP381">
        <v>584.58508935593511</v>
      </c>
      <c r="AQ381">
        <v>241.60334638849969</v>
      </c>
      <c r="AR381">
        <v>66.338200557723127</v>
      </c>
      <c r="AS381">
        <v>351.16659536269719</v>
      </c>
      <c r="AT381">
        <v>29.916542116467326</v>
      </c>
      <c r="AU381">
        <v>-9.4606386369463973</v>
      </c>
      <c r="AV381"/>
      <c r="AW381"/>
      <c r="FY381" s="210">
        <v>376</v>
      </c>
      <c r="FZ381">
        <v>19.063903286189056</v>
      </c>
      <c r="GA381">
        <v>30.164170126854444</v>
      </c>
      <c r="GB381">
        <v>26.07864237928765</v>
      </c>
      <c r="GC381">
        <v>9.5919705764123915</v>
      </c>
      <c r="GD381">
        <v>5.751344256790782</v>
      </c>
      <c r="GE381">
        <v>7.821048055761973</v>
      </c>
      <c r="GF381">
        <v>7.2347745099620511</v>
      </c>
      <c r="GG381">
        <v>15.064603316040051</v>
      </c>
      <c r="GH381">
        <v>22.288887437685414</v>
      </c>
      <c r="GI381">
        <v>27.267661334517417</v>
      </c>
      <c r="GJ381"/>
      <c r="GK381"/>
      <c r="GL381"/>
      <c r="GM381"/>
    </row>
    <row r="382" spans="1:195" s="7" customFormat="1">
      <c r="A382" s="1"/>
      <c r="B382" s="71">
        <f t="shared" si="374"/>
        <v>39987</v>
      </c>
      <c r="C382" s="18">
        <f t="shared" si="364"/>
        <v>29.833984374999996</v>
      </c>
      <c r="D382" s="18">
        <f t="shared" si="365"/>
        <v>41.262359637476443</v>
      </c>
      <c r="E382" s="19">
        <f t="shared" si="366"/>
        <v>1.3830656716456917</v>
      </c>
      <c r="F382" s="19">
        <f t="shared" si="372"/>
        <v>0</v>
      </c>
      <c r="G382" s="18">
        <f>AVERAGE(E318:E327)*G$372</f>
        <v>0</v>
      </c>
      <c r="H382" s="18">
        <f t="shared" ref="H382:AK382" si="378">AVERAGE(F318:F327)*H$372</f>
        <v>0</v>
      </c>
      <c r="I382" s="18">
        <f t="shared" si="378"/>
        <v>0</v>
      </c>
      <c r="J382" s="18">
        <f t="shared" si="378"/>
        <v>2.355248937205364</v>
      </c>
      <c r="K382" s="18">
        <f t="shared" si="378"/>
        <v>1.155514077525795</v>
      </c>
      <c r="L382" s="18">
        <f t="shared" si="378"/>
        <v>0</v>
      </c>
      <c r="M382" s="18">
        <f t="shared" si="378"/>
        <v>1.5792524801661971</v>
      </c>
      <c r="N382" s="18">
        <f t="shared" si="378"/>
        <v>0</v>
      </c>
      <c r="O382" s="18">
        <f t="shared" si="378"/>
        <v>0</v>
      </c>
      <c r="P382" s="18">
        <f t="shared" si="378"/>
        <v>8.6335197281243357</v>
      </c>
      <c r="Q382" s="18">
        <f t="shared" si="378"/>
        <v>0</v>
      </c>
      <c r="R382" s="18">
        <f t="shared" si="378"/>
        <v>0</v>
      </c>
      <c r="S382" s="18">
        <f t="shared" si="378"/>
        <v>0</v>
      </c>
      <c r="T382" s="18">
        <f t="shared" si="378"/>
        <v>0</v>
      </c>
      <c r="U382" s="18">
        <f t="shared" si="378"/>
        <v>0</v>
      </c>
      <c r="V382" s="18">
        <f t="shared" si="378"/>
        <v>0</v>
      </c>
      <c r="W382" s="18">
        <f t="shared" si="378"/>
        <v>0</v>
      </c>
      <c r="X382" s="18">
        <f t="shared" si="378"/>
        <v>0</v>
      </c>
      <c r="Y382" s="18">
        <f t="shared" si="378"/>
        <v>0</v>
      </c>
      <c r="Z382" s="18">
        <f t="shared" si="378"/>
        <v>27.538824414454751</v>
      </c>
      <c r="AA382" s="18">
        <f t="shared" si="378"/>
        <v>0</v>
      </c>
      <c r="AB382" s="18">
        <f t="shared" si="378"/>
        <v>0</v>
      </c>
      <c r="AC382" s="18">
        <f t="shared" si="378"/>
        <v>0</v>
      </c>
      <c r="AD382" s="18">
        <f t="shared" si="378"/>
        <v>0</v>
      </c>
      <c r="AE382" s="18">
        <f t="shared" si="378"/>
        <v>0</v>
      </c>
      <c r="AF382" s="18">
        <f t="shared" si="378"/>
        <v>0</v>
      </c>
      <c r="AG382" s="18">
        <f t="shared" si="378"/>
        <v>0</v>
      </c>
      <c r="AH382" s="18">
        <f t="shared" si="378"/>
        <v>0</v>
      </c>
      <c r="AI382" s="18">
        <f t="shared" si="378"/>
        <v>0</v>
      </c>
      <c r="AJ382" s="18">
        <f t="shared" si="378"/>
        <v>0</v>
      </c>
      <c r="AK382" s="18">
        <f t="shared" si="378"/>
        <v>0</v>
      </c>
      <c r="AL382" s="78"/>
      <c r="AM382" s="43">
        <v>366</v>
      </c>
      <c r="AN382">
        <v>45.239478811550455</v>
      </c>
      <c r="AO382">
        <v>56.736532385385473</v>
      </c>
      <c r="AP382">
        <v>447.84417775942711</v>
      </c>
      <c r="AQ382">
        <v>207.76123928357381</v>
      </c>
      <c r="AR382">
        <v>54.343869415404889</v>
      </c>
      <c r="AS382">
        <v>270.42673112313673</v>
      </c>
      <c r="AT382">
        <v>25.296318097056556</v>
      </c>
      <c r="AU382">
        <v>23.088630285665893</v>
      </c>
      <c r="AV382"/>
      <c r="AW382"/>
      <c r="FY382" s="210">
        <v>377</v>
      </c>
      <c r="FZ382">
        <v>13.244815077075604</v>
      </c>
      <c r="GA382">
        <v>41.110208925430797</v>
      </c>
      <c r="GB382">
        <v>36.288736261191687</v>
      </c>
      <c r="GC382">
        <v>13.950375977553183</v>
      </c>
      <c r="GD382">
        <v>8.9265612355276005</v>
      </c>
      <c r="GE382">
        <v>10.017961689270861</v>
      </c>
      <c r="GF382">
        <v>12.180318771356989</v>
      </c>
      <c r="GG382">
        <v>23.395215756611652</v>
      </c>
      <c r="GH382">
        <v>19.504128969105711</v>
      </c>
      <c r="GI382">
        <v>39.956268818318669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55.20534352035677</v>
      </c>
      <c r="AO383">
        <v>82.38052110700383</v>
      </c>
      <c r="AP383">
        <v>639.86351450968891</v>
      </c>
      <c r="AQ383">
        <v>244.97279370356947</v>
      </c>
      <c r="AR383">
        <v>76.588855567897937</v>
      </c>
      <c r="AS383">
        <v>455.11293644075528</v>
      </c>
      <c r="AT383">
        <v>32.849356971786506</v>
      </c>
      <c r="AU383">
        <v>-78.716776242887292</v>
      </c>
      <c r="AV383"/>
      <c r="AW383"/>
      <c r="FY383" s="210">
        <v>378</v>
      </c>
      <c r="FZ383">
        <v>27.559536776589212</v>
      </c>
      <c r="GA383">
        <v>39.532333654294135</v>
      </c>
      <c r="GB383">
        <v>29.459097716731073</v>
      </c>
      <c r="GC383">
        <v>11.91793862357766</v>
      </c>
      <c r="GD383">
        <v>5.9772953201498469</v>
      </c>
      <c r="GE383">
        <v>6.1620985130548158</v>
      </c>
      <c r="GF383">
        <v>11.095579255621562</v>
      </c>
      <c r="GG383">
        <v>17.015118460292939</v>
      </c>
      <c r="GH383">
        <v>17.462144742604586</v>
      </c>
      <c r="GI383">
        <v>34.107233079154739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65.538351308033</v>
      </c>
      <c r="AO384">
        <v>85.057198629091957</v>
      </c>
      <c r="AP384">
        <v>591.21805727871754</v>
      </c>
      <c r="AQ384">
        <v>234.71839320044168</v>
      </c>
      <c r="AR384">
        <v>78.812559489258774</v>
      </c>
      <c r="AS384">
        <v>648.52751842200405</v>
      </c>
      <c r="AT384">
        <v>29.030340981017634</v>
      </c>
      <c r="AU384">
        <v>43.72193214214532</v>
      </c>
      <c r="AV384"/>
      <c r="AW384"/>
      <c r="FY384" s="210">
        <v>379</v>
      </c>
      <c r="FZ384">
        <v>25.22304088082123</v>
      </c>
      <c r="GA384">
        <v>60.975385587036641</v>
      </c>
      <c r="GB384">
        <v>27.499644085583085</v>
      </c>
      <c r="GC384">
        <v>8.9254568956453735</v>
      </c>
      <c r="GD384">
        <v>4.9120158007143271</v>
      </c>
      <c r="GE384">
        <v>4.5714733529327827</v>
      </c>
      <c r="GF384">
        <v>6.5074391118152555</v>
      </c>
      <c r="GG384">
        <v>9.9871557717222554</v>
      </c>
      <c r="GH384">
        <v>11.609595841357043</v>
      </c>
      <c r="GI384">
        <v>28.575102312432207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64.365332654265217</v>
      </c>
      <c r="AO385">
        <v>84.451383749756729</v>
      </c>
      <c r="AP385">
        <v>590.55302500124094</v>
      </c>
      <c r="AQ385">
        <v>266.60898263241609</v>
      </c>
      <c r="AR385">
        <v>78.701630492732889</v>
      </c>
      <c r="AS385">
        <v>378.28809837679376</v>
      </c>
      <c r="AT385">
        <v>31.638080426598879</v>
      </c>
      <c r="AU385">
        <v>42.539255689022937</v>
      </c>
      <c r="AV385"/>
      <c r="AW385"/>
      <c r="FY385" s="210">
        <v>380</v>
      </c>
      <c r="FZ385">
        <v>26.858517238562229</v>
      </c>
      <c r="GA385">
        <v>53.706151763988672</v>
      </c>
      <c r="GB385">
        <v>42.481602245460259</v>
      </c>
      <c r="GC385">
        <v>10.338282650900673</v>
      </c>
      <c r="GD385">
        <v>9.3234187001227689</v>
      </c>
      <c r="GE385">
        <v>14.248161756634987</v>
      </c>
      <c r="GF385">
        <v>10.412574615990732</v>
      </c>
      <c r="GG385">
        <v>21.010714671895158</v>
      </c>
      <c r="GH385">
        <v>25.752549009139134</v>
      </c>
      <c r="GI385">
        <v>39.917580363927648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44.584516146751106</v>
      </c>
      <c r="AO386">
        <v>56.250842431649652</v>
      </c>
      <c r="AP386">
        <v>393.17854834536797</v>
      </c>
      <c r="AQ386">
        <v>186.75946164775044</v>
      </c>
      <c r="AR386">
        <v>52.536640462195344</v>
      </c>
      <c r="AS386">
        <v>277.46800805550902</v>
      </c>
      <c r="AT386">
        <v>24.977253949686084</v>
      </c>
      <c r="AU386">
        <v>-31.643335456719676</v>
      </c>
      <c r="AV386"/>
      <c r="AW386"/>
      <c r="FY386" s="210">
        <v>381</v>
      </c>
      <c r="FZ386">
        <v>14.901059084915193</v>
      </c>
      <c r="GA386">
        <v>58.357347939960249</v>
      </c>
      <c r="GB386">
        <v>52.591181572714746</v>
      </c>
      <c r="GC386">
        <v>16.802883160326996</v>
      </c>
      <c r="GD386">
        <v>7.8173853883629079</v>
      </c>
      <c r="GE386">
        <v>5.6321444942523575</v>
      </c>
      <c r="GF386">
        <v>5.6896882248857912</v>
      </c>
      <c r="GG386">
        <v>8.2579057396763531</v>
      </c>
      <c r="GH386">
        <v>10.117078020727075</v>
      </c>
      <c r="GI386">
        <v>39.119539701274014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43.413026483418967</v>
      </c>
      <c r="AO387">
        <v>61.312513550764663</v>
      </c>
      <c r="AP387">
        <v>461.16211585221902</v>
      </c>
      <c r="AQ387">
        <v>193.60621122827001</v>
      </c>
      <c r="AR387">
        <v>56.64781443597726</v>
      </c>
      <c r="AS387">
        <v>244.36884365021197</v>
      </c>
      <c r="AT387">
        <v>22.42122908611984</v>
      </c>
      <c r="AU387">
        <v>-29.403213440663599</v>
      </c>
      <c r="AV387"/>
      <c r="AW387"/>
      <c r="FY387" s="210">
        <v>382</v>
      </c>
      <c r="FZ387">
        <v>26.266047111174625</v>
      </c>
      <c r="GA387">
        <v>40.479834208240206</v>
      </c>
      <c r="GB387">
        <v>27.154440522434964</v>
      </c>
      <c r="GC387">
        <v>10.437777655626528</v>
      </c>
      <c r="GD387">
        <v>6.8697050063553524</v>
      </c>
      <c r="GE387">
        <v>7.6052740448038971</v>
      </c>
      <c r="GF387">
        <v>10.828760483757442</v>
      </c>
      <c r="GG387">
        <v>21.638569039529596</v>
      </c>
      <c r="GH387">
        <v>24.439035569062924</v>
      </c>
      <c r="GI387">
        <v>35.216409869684924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9">IF(C374&lt;1,0,LN(E374/E373)/E21)</f>
        <v>-5.4090589430553414E-2</v>
      </c>
      <c r="G388" s="13"/>
      <c r="H388" s="19">
        <f>IF(G406&lt;0,0,G406)</f>
        <v>1.7782442878880408E-2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57.354606643048875</v>
      </c>
      <c r="AO388">
        <v>75.489041089508248</v>
      </c>
      <c r="AP388">
        <v>524.58359866557464</v>
      </c>
      <c r="AQ388">
        <v>205.68142182167651</v>
      </c>
      <c r="AR388">
        <v>71.036202494033404</v>
      </c>
      <c r="AS388">
        <v>357.8372377750992</v>
      </c>
      <c r="AT388">
        <v>27.370009680425301</v>
      </c>
      <c r="AU388">
        <v>20.963219231961592</v>
      </c>
      <c r="AV388"/>
      <c r="AW388"/>
      <c r="FY388" s="210">
        <v>383</v>
      </c>
      <c r="FZ388">
        <v>19.325794619489024</v>
      </c>
      <c r="GA388">
        <v>43.294513066517538</v>
      </c>
      <c r="GB388">
        <v>29.185484054734026</v>
      </c>
      <c r="GC388">
        <v>8.3017641990464934</v>
      </c>
      <c r="GD388">
        <v>6.5317720534271251</v>
      </c>
      <c r="GE388">
        <v>9.489931487766297</v>
      </c>
      <c r="GF388">
        <v>11.104260014416289</v>
      </c>
      <c r="GG388">
        <v>21.590216964426567</v>
      </c>
      <c r="GH388">
        <v>23.05793503393333</v>
      </c>
      <c r="GI388">
        <v>34.344386500899951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9"/>
        <v>3.7693971043110758E-2</v>
      </c>
      <c r="G389" s="13"/>
      <c r="H389" s="19">
        <f t="shared" ref="H389:H398" si="380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46.036989352225063</v>
      </c>
      <c r="AO389">
        <v>72.080861731142278</v>
      </c>
      <c r="AP389">
        <v>488.20795741345478</v>
      </c>
      <c r="AQ389">
        <v>192.4676511861411</v>
      </c>
      <c r="AR389">
        <v>67.914399620814905</v>
      </c>
      <c r="AS389">
        <v>314.04095770497253</v>
      </c>
      <c r="AT389">
        <v>27.603882993822136</v>
      </c>
      <c r="AU389">
        <v>74.383338908816768</v>
      </c>
      <c r="AV389"/>
      <c r="AW389"/>
      <c r="FY389" s="210">
        <v>384</v>
      </c>
      <c r="FZ389">
        <v>19.850235843348003</v>
      </c>
      <c r="GA389">
        <v>52.304794561508871</v>
      </c>
      <c r="GB389">
        <v>23.667745601037176</v>
      </c>
      <c r="GC389">
        <v>9.1136944009128875</v>
      </c>
      <c r="GD389">
        <v>6.8424219056542084</v>
      </c>
      <c r="GE389">
        <v>7.806718311152018</v>
      </c>
      <c r="GF389">
        <v>4.9671103298095796</v>
      </c>
      <c r="GG389">
        <v>5.7376521948223322</v>
      </c>
      <c r="GH389">
        <v>7.7576782710467311</v>
      </c>
      <c r="GI389">
        <v>22.606301938828469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9"/>
        <v>-1.0742061565953391E-2</v>
      </c>
      <c r="G390" s="13"/>
      <c r="H390" s="19">
        <f t="shared" si="380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54.43194480641673</v>
      </c>
      <c r="AO390">
        <v>55.286546583729681</v>
      </c>
      <c r="AP390">
        <v>406.55577122010516</v>
      </c>
      <c r="AQ390">
        <v>178.44535312971354</v>
      </c>
      <c r="AR390">
        <v>50.620104753400661</v>
      </c>
      <c r="AS390">
        <v>351.31187220626106</v>
      </c>
      <c r="AT390">
        <v>22.188166968744326</v>
      </c>
      <c r="AU390">
        <v>0.25343831473657374</v>
      </c>
      <c r="AV390"/>
      <c r="AW390"/>
      <c r="FY390" s="210">
        <v>385</v>
      </c>
      <c r="FZ390">
        <v>31.250996854489834</v>
      </c>
      <c r="GA390">
        <v>52.950264613016984</v>
      </c>
      <c r="GB390">
        <v>23.480249841595811</v>
      </c>
      <c r="GC390">
        <v>8.4191893939605684</v>
      </c>
      <c r="GD390">
        <v>4.956662972100542</v>
      </c>
      <c r="GE390">
        <v>4.666848379449382</v>
      </c>
      <c r="GF390">
        <v>9.7956487216382335</v>
      </c>
      <c r="GG390">
        <v>15.586641598995167</v>
      </c>
      <c r="GH390">
        <v>18.734446133837896</v>
      </c>
      <c r="GI390">
        <v>28.708250559915918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9"/>
        <v>-1.1280509596265237E-3</v>
      </c>
      <c r="G391" s="13"/>
      <c r="H391" s="19">
        <f t="shared" si="380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57.098503234640489</v>
      </c>
      <c r="AO391">
        <v>81.406663150173841</v>
      </c>
      <c r="AP391">
        <v>620.02395751122503</v>
      </c>
      <c r="AQ391">
        <v>248.93327713371991</v>
      </c>
      <c r="AR391">
        <v>74.362154977854146</v>
      </c>
      <c r="AS391">
        <v>427.66214824591111</v>
      </c>
      <c r="AT391">
        <v>28.046080066433372</v>
      </c>
      <c r="AU391">
        <v>-8.7310738037665132</v>
      </c>
      <c r="AV391"/>
      <c r="AW391"/>
      <c r="FY391" s="210">
        <v>386</v>
      </c>
      <c r="FZ391">
        <v>24.818686170975866</v>
      </c>
      <c r="GA391">
        <v>46.705947409111083</v>
      </c>
      <c r="GB391">
        <v>20.947430769153215</v>
      </c>
      <c r="GC391">
        <v>9.1068166146578573</v>
      </c>
      <c r="GD391">
        <v>7.22232874890795</v>
      </c>
      <c r="GE391">
        <v>8.5507172615873586</v>
      </c>
      <c r="GF391">
        <v>10.296553321875637</v>
      </c>
      <c r="GG391">
        <v>17.708757431125356</v>
      </c>
      <c r="GH391">
        <v>23.94109274584844</v>
      </c>
      <c r="GI391">
        <v>27.131722836840616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9"/>
        <v>-3.6007819101641463E-2</v>
      </c>
      <c r="G392" s="13"/>
      <c r="H392" s="19">
        <f t="shared" si="380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46.861807733853034</v>
      </c>
      <c r="AO392">
        <v>56.599757806847016</v>
      </c>
      <c r="AP392">
        <v>373.90832171641068</v>
      </c>
      <c r="AQ392">
        <v>170.32700527950124</v>
      </c>
      <c r="AR392">
        <v>53.085103573230299</v>
      </c>
      <c r="AS392">
        <v>331.52570243181043</v>
      </c>
      <c r="AT392">
        <v>21.063152657723165</v>
      </c>
      <c r="AU392">
        <v>32.546942181844429</v>
      </c>
      <c r="AV392"/>
      <c r="AW392"/>
      <c r="FY392" s="210">
        <v>387</v>
      </c>
      <c r="FZ392">
        <v>18.982840168521886</v>
      </c>
      <c r="GA392">
        <v>35.938635520491474</v>
      </c>
      <c r="GB392">
        <v>20.141869785896947</v>
      </c>
      <c r="GC392">
        <v>9.7054591750589569</v>
      </c>
      <c r="GD392">
        <v>5.0976332241766578</v>
      </c>
      <c r="GE392">
        <v>3.9972443555153676</v>
      </c>
      <c r="GF392">
        <v>12.017162230696007</v>
      </c>
      <c r="GG392">
        <v>15.552588989786667</v>
      </c>
      <c r="GH392">
        <v>11.185172207636219</v>
      </c>
      <c r="GI392">
        <v>25.444467829209184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9"/>
        <v>1.221000478161245E-2</v>
      </c>
      <c r="G393" s="13"/>
      <c r="H393" s="19">
        <f t="shared" si="380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64.093125725053852</v>
      </c>
      <c r="AO393">
        <v>87.011929741620321</v>
      </c>
      <c r="AP393">
        <v>562.01178068430511</v>
      </c>
      <c r="AQ393">
        <v>218.57459148144278</v>
      </c>
      <c r="AR393">
        <v>79.337457755641765</v>
      </c>
      <c r="AS393">
        <v>593.13720086708179</v>
      </c>
      <c r="AT393">
        <v>33.16673204678078</v>
      </c>
      <c r="AU393">
        <v>20.365042483122188</v>
      </c>
      <c r="AV393"/>
      <c r="AW393"/>
      <c r="FY393" s="210">
        <v>388</v>
      </c>
      <c r="FZ393">
        <v>25.340817014009858</v>
      </c>
      <c r="GA393">
        <v>32.243741637886465</v>
      </c>
      <c r="GB393">
        <v>30.930543060878975</v>
      </c>
      <c r="GC393">
        <v>12.829169236499867</v>
      </c>
      <c r="GD393">
        <v>8.3986082292109145</v>
      </c>
      <c r="GE393">
        <v>9.6525814060945425</v>
      </c>
      <c r="GF393">
        <v>9.6172050908684117</v>
      </c>
      <c r="GG393">
        <v>18.00950901991035</v>
      </c>
      <c r="GH393">
        <v>20.896491129103193</v>
      </c>
      <c r="GI393">
        <v>34.610272033109162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9"/>
        <v>1.8708053376225473E-2</v>
      </c>
      <c r="G394" s="13"/>
      <c r="H394" s="19">
        <f t="shared" si="380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65.866567052466209</v>
      </c>
      <c r="AO394">
        <v>70.609491344739681</v>
      </c>
      <c r="AP394">
        <v>454.85866760364502</v>
      </c>
      <c r="AQ394">
        <v>200.28837614207055</v>
      </c>
      <c r="AR394">
        <v>66.212261976162736</v>
      </c>
      <c r="AS394">
        <v>419.40776070603232</v>
      </c>
      <c r="AT394">
        <v>25.108194172461832</v>
      </c>
      <c r="AU394">
        <v>36.913132012269479</v>
      </c>
      <c r="AV394"/>
      <c r="AW394"/>
      <c r="FY394" s="210">
        <v>389</v>
      </c>
      <c r="FZ394">
        <v>20.447593745725143</v>
      </c>
      <c r="GA394">
        <v>53.353743375820443</v>
      </c>
      <c r="GB394">
        <v>24.20104239203441</v>
      </c>
      <c r="GC394">
        <v>4.4747370135139857</v>
      </c>
      <c r="GD394">
        <v>3.8862021367445467</v>
      </c>
      <c r="GE394">
        <v>6.0153994834556412</v>
      </c>
      <c r="GF394">
        <v>7.0755079014528226</v>
      </c>
      <c r="GG394">
        <v>13.319497228735555</v>
      </c>
      <c r="GH394">
        <v>14.598391678055981</v>
      </c>
      <c r="GI394">
        <v>23.536630701759947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9"/>
        <v>-1.5125148789672428E-2</v>
      </c>
      <c r="G395" s="13"/>
      <c r="H395" s="19">
        <f t="shared" si="380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42.947557427713221</v>
      </c>
      <c r="AO395">
        <v>57.956797928075353</v>
      </c>
      <c r="AP395">
        <v>408.76073740798995</v>
      </c>
      <c r="AQ395">
        <v>188.78630964006021</v>
      </c>
      <c r="AR395">
        <v>54.479700098615446</v>
      </c>
      <c r="AS395">
        <v>384.86569141872457</v>
      </c>
      <c r="AT395">
        <v>22.597942265165639</v>
      </c>
      <c r="AU395">
        <v>27.96876494530413</v>
      </c>
      <c r="AV395"/>
      <c r="AW395"/>
      <c r="FY395" s="210">
        <v>390</v>
      </c>
      <c r="FZ395">
        <v>33.788405713604028</v>
      </c>
      <c r="GA395">
        <v>66.953015974960735</v>
      </c>
      <c r="GB395">
        <v>41.07839242288707</v>
      </c>
      <c r="GC395">
        <v>8.8013408051217805</v>
      </c>
      <c r="GD395">
        <v>5.0899259561946906</v>
      </c>
      <c r="GE395">
        <v>7.4382327205653986</v>
      </c>
      <c r="GF395">
        <v>9.093482952502324</v>
      </c>
      <c r="GG395">
        <v>12.82969805812329</v>
      </c>
      <c r="GH395">
        <v>8.4248364008281484</v>
      </c>
      <c r="GI395">
        <v>31.136735577846213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9"/>
        <v>-6.1981080324016152E-3</v>
      </c>
      <c r="G396" s="13"/>
      <c r="H396" s="19">
        <f t="shared" si="380"/>
        <v>5.9926341004324507E-4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58.154942008393071</v>
      </c>
      <c r="AO396">
        <v>83.559469407119934</v>
      </c>
      <c r="AP396">
        <v>605.80165311057078</v>
      </c>
      <c r="AQ396">
        <v>254.04955301662227</v>
      </c>
      <c r="AR396">
        <v>78.0057321114042</v>
      </c>
      <c r="AS396">
        <v>365.64116213866487</v>
      </c>
      <c r="AT396">
        <v>33.272053175213905</v>
      </c>
      <c r="AU396">
        <v>-19.015849326055303</v>
      </c>
      <c r="AV396"/>
      <c r="AW396"/>
      <c r="FY396" s="210">
        <v>391</v>
      </c>
      <c r="FZ396">
        <v>17.72554135467324</v>
      </c>
      <c r="GA396">
        <v>34.053535377483122</v>
      </c>
      <c r="GB396">
        <v>29.635289467724441</v>
      </c>
      <c r="GC396">
        <v>7.2632892253725236</v>
      </c>
      <c r="GD396">
        <v>4.0634524839250199</v>
      </c>
      <c r="GE396">
        <v>6.2055046180776454</v>
      </c>
      <c r="GF396">
        <v>3.5849612897814365</v>
      </c>
      <c r="GG396">
        <v>12.917313994290945</v>
      </c>
      <c r="GH396">
        <v>26.800492492843443</v>
      </c>
      <c r="GI396">
        <v>24.175922554073107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9"/>
        <v>0</v>
      </c>
      <c r="G397" s="13"/>
      <c r="H397" s="19">
        <f t="shared" si="380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63.398469271035196</v>
      </c>
      <c r="AO397">
        <v>86.48087854945156</v>
      </c>
      <c r="AP397">
        <v>582.70670837758723</v>
      </c>
      <c r="AQ397">
        <v>219.28621332709565</v>
      </c>
      <c r="AR397">
        <v>79.368352252107812</v>
      </c>
      <c r="AS397">
        <v>427.60936762196172</v>
      </c>
      <c r="AT397">
        <v>29.353268389450943</v>
      </c>
      <c r="AU397">
        <v>-61.534849025418325</v>
      </c>
      <c r="AV397"/>
      <c r="AW397"/>
      <c r="FY397" s="210">
        <v>392</v>
      </c>
      <c r="FZ397">
        <v>24.278548719317335</v>
      </c>
      <c r="GA397">
        <v>62.216402934741893</v>
      </c>
      <c r="GB397">
        <v>42.686949198303054</v>
      </c>
      <c r="GC397">
        <v>7.2708437941429036</v>
      </c>
      <c r="GD397">
        <v>2.0268201782943374</v>
      </c>
      <c r="GE397">
        <v>2.8038442490234283</v>
      </c>
      <c r="GF397">
        <v>10.602137105022281</v>
      </c>
      <c r="GG397">
        <v>20.297421410746516</v>
      </c>
      <c r="GH397">
        <v>20.726457212193338</v>
      </c>
      <c r="GI397">
        <v>32.512126893178227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9"/>
        <v>0</v>
      </c>
      <c r="G398" s="13"/>
      <c r="H398" s="19">
        <f t="shared" si="380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62.204952279134318</v>
      </c>
      <c r="AO398">
        <v>78.509467271377119</v>
      </c>
      <c r="AP398">
        <v>561.42848951032806</v>
      </c>
      <c r="AQ398">
        <v>210.93585351067046</v>
      </c>
      <c r="AR398">
        <v>75.744235756116481</v>
      </c>
      <c r="AS398">
        <v>338.10896242378209</v>
      </c>
      <c r="AT398">
        <v>30.202298089901873</v>
      </c>
      <c r="AU398">
        <v>82.150147450510275</v>
      </c>
      <c r="AV398"/>
      <c r="AW398"/>
      <c r="FY398" s="210">
        <v>393</v>
      </c>
      <c r="FZ398">
        <v>25.377314404049521</v>
      </c>
      <c r="GA398">
        <v>56.333670420122054</v>
      </c>
      <c r="GB398">
        <v>39.318229773229355</v>
      </c>
      <c r="GC398">
        <v>15.302189387520421</v>
      </c>
      <c r="GD398">
        <v>8.4048180239933359</v>
      </c>
      <c r="GE398">
        <v>8.140389619677153</v>
      </c>
      <c r="GF398">
        <v>10.031935328511869</v>
      </c>
      <c r="GG398">
        <v>17.619291759815052</v>
      </c>
      <c r="GH398">
        <v>15.875308452959104</v>
      </c>
      <c r="GI398">
        <v>35.707650640965781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50.15721432631851</v>
      </c>
      <c r="AO399">
        <v>74.14852301775133</v>
      </c>
      <c r="AP399">
        <v>510.73045702157503</v>
      </c>
      <c r="AQ399">
        <v>206.22605799465663</v>
      </c>
      <c r="AR399">
        <v>68.134724733455712</v>
      </c>
      <c r="AS399">
        <v>415.11325738816709</v>
      </c>
      <c r="AT399">
        <v>27.828842902227553</v>
      </c>
      <c r="AU399">
        <v>5.6022693669266399</v>
      </c>
      <c r="AV399"/>
      <c r="AW399"/>
      <c r="FY399" s="210">
        <v>394</v>
      </c>
      <c r="FZ399">
        <v>26.660321461075231</v>
      </c>
      <c r="GA399">
        <v>59.325259541311311</v>
      </c>
      <c r="GB399">
        <v>45.013432179173179</v>
      </c>
      <c r="GC399">
        <v>12.370680489448217</v>
      </c>
      <c r="GD399">
        <v>5.9104009421627843</v>
      </c>
      <c r="GE399">
        <v>6.0207010890333006</v>
      </c>
      <c r="GF399">
        <v>11.4523101204726</v>
      </c>
      <c r="GG399">
        <v>22.763064902094438</v>
      </c>
      <c r="GH399">
        <v>19.049299822558968</v>
      </c>
      <c r="GI399">
        <v>41.985228271116895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51.285654445703429</v>
      </c>
      <c r="AO400">
        <v>43.53337630512646</v>
      </c>
      <c r="AP400">
        <v>299.5646834291648</v>
      </c>
      <c r="AQ400">
        <v>160.65435335812026</v>
      </c>
      <c r="AR400">
        <v>41.154748271497589</v>
      </c>
      <c r="AS400">
        <v>273.00296920226162</v>
      </c>
      <c r="AT400">
        <v>16.494275742171684</v>
      </c>
      <c r="AU400">
        <v>-4.7558382883055117</v>
      </c>
      <c r="AV400"/>
      <c r="AW400"/>
      <c r="FY400" s="210">
        <v>395</v>
      </c>
      <c r="FZ400">
        <v>17.25781707143917</v>
      </c>
      <c r="GA400">
        <v>54.419450104353743</v>
      </c>
      <c r="GB400">
        <v>33.594114408056875</v>
      </c>
      <c r="GC400">
        <v>12.026734670914191</v>
      </c>
      <c r="GD400">
        <v>7.2577973701123106</v>
      </c>
      <c r="GE400">
        <v>7.4278548237560091</v>
      </c>
      <c r="GF400">
        <v>8.7829063973403461</v>
      </c>
      <c r="GG400">
        <v>15.601087358493082</v>
      </c>
      <c r="GH400">
        <v>18.358246587532772</v>
      </c>
      <c r="GI400">
        <v>31.46815515444565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56.868102802197406</v>
      </c>
      <c r="AO401">
        <v>59.636049531758736</v>
      </c>
      <c r="AP401">
        <v>444.51338435906251</v>
      </c>
      <c r="AQ401">
        <v>198.54919906900031</v>
      </c>
      <c r="AR401">
        <v>56.383696184734276</v>
      </c>
      <c r="AS401">
        <v>354.92267236862267</v>
      </c>
      <c r="AT401">
        <v>22.038229505589356</v>
      </c>
      <c r="AU401">
        <v>21.906710204297859</v>
      </c>
      <c r="AV401"/>
      <c r="AW401"/>
      <c r="FY401" s="210">
        <v>396</v>
      </c>
      <c r="FZ401">
        <v>27.775633289664597</v>
      </c>
      <c r="GA401">
        <v>57.548394212009285</v>
      </c>
      <c r="GB401">
        <v>24.956639554966422</v>
      </c>
      <c r="GC401">
        <v>8.0679178220512977</v>
      </c>
      <c r="GD401">
        <v>3.534562001065944</v>
      </c>
      <c r="GE401">
        <v>3.2578732762389908</v>
      </c>
      <c r="GF401">
        <v>7.2988447533974021</v>
      </c>
      <c r="GG401">
        <v>19.678001450396057</v>
      </c>
      <c r="GH401">
        <v>32.120707887365107</v>
      </c>
      <c r="GI401">
        <v>27.296539216908879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50.973477247836726</v>
      </c>
      <c r="AO402">
        <v>54.66201194286284</v>
      </c>
      <c r="AP402">
        <v>385.36172371849437</v>
      </c>
      <c r="AQ402">
        <v>196.43005331008339</v>
      </c>
      <c r="AR402">
        <v>50.248844090784026</v>
      </c>
      <c r="AS402">
        <v>254.79523947053005</v>
      </c>
      <c r="AT402">
        <v>21.615949178297654</v>
      </c>
      <c r="AU402">
        <v>26.422455105613356</v>
      </c>
      <c r="AV402"/>
      <c r="AW402"/>
      <c r="FY402" s="210">
        <v>397</v>
      </c>
      <c r="FZ402">
        <v>33.948212772577712</v>
      </c>
      <c r="GA402">
        <v>64.655691236862026</v>
      </c>
      <c r="GB402">
        <v>43.694953410540393</v>
      </c>
      <c r="GC402">
        <v>9.6944980934634568</v>
      </c>
      <c r="GD402">
        <v>5.4326030596870911</v>
      </c>
      <c r="GE402">
        <v>7.6355061106862347</v>
      </c>
      <c r="GF402">
        <v>10.401326849733445</v>
      </c>
      <c r="GG402">
        <v>17.046247816240552</v>
      </c>
      <c r="GH402">
        <v>19.82017541285763</v>
      </c>
      <c r="GI402">
        <v>36.19243787287234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45.260312516996393</v>
      </c>
      <c r="AO403">
        <v>53.614547295533363</v>
      </c>
      <c r="AP403">
        <v>379.613335406977</v>
      </c>
      <c r="AQ403">
        <v>158.06307348698937</v>
      </c>
      <c r="AR403">
        <v>49.576461132690476</v>
      </c>
      <c r="AS403">
        <v>374.79984806287166</v>
      </c>
      <c r="AT403">
        <v>21.149080085484204</v>
      </c>
      <c r="AU403">
        <v>-1.6967846143361127</v>
      </c>
      <c r="AV403"/>
      <c r="AW403"/>
      <c r="FY403" s="210">
        <v>398</v>
      </c>
      <c r="FZ403">
        <v>14.03415895260974</v>
      </c>
      <c r="GA403">
        <v>34.390293413580913</v>
      </c>
      <c r="GB403">
        <v>26.385816956154116</v>
      </c>
      <c r="GC403">
        <v>10.190157283813763</v>
      </c>
      <c r="GD403">
        <v>5.1769677961591967</v>
      </c>
      <c r="GE403">
        <v>4.6150089441104774</v>
      </c>
      <c r="GF403">
        <v>8.4971105755604714</v>
      </c>
      <c r="GG403">
        <v>14.353434061218245</v>
      </c>
      <c r="GH403">
        <v>19.018268346470169</v>
      </c>
      <c r="GI403">
        <v>26.018903642627464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54.539512155989726</v>
      </c>
      <c r="AO404">
        <v>70.540056213139479</v>
      </c>
      <c r="AP404">
        <v>467.95664238041775</v>
      </c>
      <c r="AQ404">
        <v>202.52893785757175</v>
      </c>
      <c r="AR404">
        <v>67.099154186434731</v>
      </c>
      <c r="AS404">
        <v>352.38096421386109</v>
      </c>
      <c r="AT404">
        <v>28.160442067916673</v>
      </c>
      <c r="AU404">
        <v>135.46341742445981</v>
      </c>
      <c r="AV404"/>
      <c r="AW404"/>
      <c r="FY404" s="210">
        <v>399</v>
      </c>
      <c r="FZ404">
        <v>23.167286755886884</v>
      </c>
      <c r="GA404">
        <v>66.555489340604169</v>
      </c>
      <c r="GB404">
        <v>32.415761564396782</v>
      </c>
      <c r="GC404">
        <v>7.0392814925674916</v>
      </c>
      <c r="GD404">
        <v>7.5500954448006636</v>
      </c>
      <c r="GE404">
        <v>12.725613674194967</v>
      </c>
      <c r="GF404">
        <v>10.461001228167108</v>
      </c>
      <c r="GG404">
        <v>19.587596635389311</v>
      </c>
      <c r="GH404">
        <v>20.35101269537461</v>
      </c>
      <c r="GI404">
        <v>32.571325105293845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81">+C4</f>
        <v>39646</v>
      </c>
      <c r="C405" s="61">
        <v>0</v>
      </c>
      <c r="D405" s="61">
        <f t="shared" ref="D405:D414" si="382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5.5</v>
      </c>
      <c r="E405" s="108">
        <f t="shared" ref="E405:E414" si="383">IF(D405=0,0.00000001,(1-$A$43/100)*($A$39*(D405^($A$41))))</f>
        <v>0.61090991534074368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39.03907635894852</v>
      </c>
      <c r="AO405">
        <v>51.254880362925427</v>
      </c>
      <c r="AP405">
        <v>414.98984505326644</v>
      </c>
      <c r="AQ405">
        <v>170.90874565729845</v>
      </c>
      <c r="AR405">
        <v>47.409375769724321</v>
      </c>
      <c r="AS405">
        <v>282.426120157014</v>
      </c>
      <c r="AT405">
        <v>19.272428961203975</v>
      </c>
      <c r="AU405">
        <v>48.177683757208634</v>
      </c>
      <c r="AV405"/>
      <c r="AW405"/>
      <c r="FY405" s="210">
        <v>400</v>
      </c>
      <c r="FZ405">
        <v>22.924425657760565</v>
      </c>
      <c r="GA405">
        <v>44.493273987486646</v>
      </c>
      <c r="GB405">
        <v>40.253874244418562</v>
      </c>
      <c r="GC405">
        <v>13.845487254799259</v>
      </c>
      <c r="GD405">
        <v>8.3580405324970926</v>
      </c>
      <c r="GE405">
        <v>9.5322082117924154</v>
      </c>
      <c r="GF405">
        <v>9.0995892143540917</v>
      </c>
      <c r="GG405">
        <v>13.329818242514886</v>
      </c>
      <c r="GH405">
        <v>10.989146314939742</v>
      </c>
      <c r="GI405">
        <v>36.37788419185074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81"/>
        <v>39673</v>
      </c>
      <c r="C406" s="61">
        <f>B406-B405</f>
        <v>27</v>
      </c>
      <c r="D406" s="61">
        <f t="shared" si="382"/>
        <v>3.7521050024764731</v>
      </c>
      <c r="E406" s="108">
        <f t="shared" si="383"/>
        <v>0.23663537217334957</v>
      </c>
      <c r="F406" s="19">
        <f t="shared" ref="F406:F414" si="384">IF(C374&lt;1,0,LN(E406/E405)/E21)</f>
        <v>-3.5127002513459411E-2</v>
      </c>
      <c r="G406" s="19">
        <f t="shared" ref="G406:G414" si="385">IF(D406=0, 0, 0.051-(0.068*LN(D406))+(0.006*A406))</f>
        <v>1.7782442878880408E-2</v>
      </c>
      <c r="H406" s="19">
        <f t="shared" ref="H406:H414" si="386">+IF((G406&gt;0),G406,0)</f>
        <v>1.7782442878880408E-2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53.634120038514183</v>
      </c>
      <c r="AO406">
        <v>63.619858855308735</v>
      </c>
      <c r="AP406">
        <v>515.87454497882561</v>
      </c>
      <c r="AQ406">
        <v>224.63406658263369</v>
      </c>
      <c r="AR406">
        <v>59.866877853024398</v>
      </c>
      <c r="AS406">
        <v>350.27075081876148</v>
      </c>
      <c r="AT406">
        <v>24.286276506375291</v>
      </c>
      <c r="AU406">
        <v>21.552599660848262</v>
      </c>
      <c r="AV406"/>
      <c r="AW406"/>
      <c r="FY406" s="210">
        <v>401</v>
      </c>
      <c r="FZ406">
        <v>18.849305147664236</v>
      </c>
      <c r="GA406">
        <v>36.564885716688991</v>
      </c>
      <c r="GB406">
        <v>40.625244198302994</v>
      </c>
      <c r="GC406">
        <v>10.626314383902935</v>
      </c>
      <c r="GD406">
        <v>7.2422812285710778</v>
      </c>
      <c r="GE406">
        <v>10.803551928594722</v>
      </c>
      <c r="GF406">
        <v>8.4627586938554682</v>
      </c>
      <c r="GG406">
        <v>17.661262587422804</v>
      </c>
      <c r="GH406">
        <v>23.639950486142691</v>
      </c>
      <c r="GI406">
        <v>35.989071130683534</v>
      </c>
      <c r="GJ406"/>
      <c r="GK406"/>
      <c r="GL406"/>
      <c r="GM406"/>
    </row>
    <row r="407" spans="1:195" s="7" customFormat="1">
      <c r="A407" s="189">
        <v>4.03</v>
      </c>
      <c r="B407" s="71">
        <f t="shared" si="381"/>
        <v>39714</v>
      </c>
      <c r="C407" s="61">
        <f>B407-$B$405</f>
        <v>68</v>
      </c>
      <c r="D407" s="61">
        <f t="shared" si="382"/>
        <v>6.517453798767967</v>
      </c>
      <c r="E407" s="108">
        <f t="shared" si="383"/>
        <v>0.93065999913201036</v>
      </c>
      <c r="F407" s="19">
        <f t="shared" si="384"/>
        <v>3.3399355330766975E-2</v>
      </c>
      <c r="G407" s="19">
        <f t="shared" si="385"/>
        <v>-5.2284896904256001E-2</v>
      </c>
      <c r="H407" s="19">
        <f t="shared" si="386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46.621184147242658</v>
      </c>
      <c r="AO407">
        <v>50.640628365366851</v>
      </c>
      <c r="AP407">
        <v>391.16829616413906</v>
      </c>
      <c r="AQ407">
        <v>166.42530285824492</v>
      </c>
      <c r="AR407">
        <v>49.077394583213426</v>
      </c>
      <c r="AS407">
        <v>306.86326880101797</v>
      </c>
      <c r="AT407">
        <v>18.53972619105879</v>
      </c>
      <c r="AU407">
        <v>-22.346645150430433</v>
      </c>
      <c r="AV407"/>
      <c r="AW407"/>
      <c r="FY407" s="210">
        <v>402</v>
      </c>
      <c r="FZ407">
        <v>25.608999816878875</v>
      </c>
      <c r="GA407">
        <v>55.185372676335007</v>
      </c>
      <c r="GB407">
        <v>27.636383195474064</v>
      </c>
      <c r="GC407">
        <v>10.777286239888445</v>
      </c>
      <c r="GD407">
        <v>3.9134402845324625</v>
      </c>
      <c r="GE407">
        <v>2.3404436597807248</v>
      </c>
      <c r="GF407">
        <v>13.988416392276067</v>
      </c>
      <c r="GG407">
        <v>21.173225240445898</v>
      </c>
      <c r="GH407">
        <v>16.977945767954516</v>
      </c>
      <c r="GI407">
        <v>28.976712777907935</v>
      </c>
      <c r="GJ407"/>
      <c r="GK407"/>
      <c r="GL407"/>
      <c r="GM407"/>
    </row>
    <row r="408" spans="1:195" s="7" customFormat="1">
      <c r="A408" s="189">
        <v>0.78</v>
      </c>
      <c r="B408" s="71">
        <f t="shared" si="381"/>
        <v>39747</v>
      </c>
      <c r="C408" s="61">
        <f t="shared" ref="C408:C414" si="387">B408-$B$405</f>
        <v>101</v>
      </c>
      <c r="D408" s="61">
        <f t="shared" si="382"/>
        <v>4.9236352550935223</v>
      </c>
      <c r="E408" s="108">
        <f t="shared" si="383"/>
        <v>0.46424439434640352</v>
      </c>
      <c r="F408" s="19">
        <f t="shared" si="384"/>
        <v>-2.1075238952011983E-2</v>
      </c>
      <c r="G408" s="19">
        <f t="shared" si="385"/>
        <v>-5.27152048847742E-2</v>
      </c>
      <c r="H408" s="19">
        <f t="shared" si="386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42.119884358782265</v>
      </c>
      <c r="AO408">
        <v>75.097137809395349</v>
      </c>
      <c r="AP408">
        <v>643.86690657491465</v>
      </c>
      <c r="AQ408">
        <v>225.42155169496331</v>
      </c>
      <c r="AR408">
        <v>70.464692877503168</v>
      </c>
      <c r="AS408">
        <v>415.97185733811864</v>
      </c>
      <c r="AT408">
        <v>29.813292320385695</v>
      </c>
      <c r="AU408">
        <v>-6.6577925488690752</v>
      </c>
      <c r="AV408"/>
      <c r="AW408"/>
      <c r="FY408" s="210">
        <v>403</v>
      </c>
      <c r="FZ408">
        <v>26.046598375823265</v>
      </c>
      <c r="GA408">
        <v>48.473054966172462</v>
      </c>
      <c r="GB408">
        <v>28.070656277859776</v>
      </c>
      <c r="GC408">
        <v>8.2828069634167392</v>
      </c>
      <c r="GD408">
        <v>5.778594299568395</v>
      </c>
      <c r="GE408">
        <v>6.7084316317384154</v>
      </c>
      <c r="GF408">
        <v>9.6941371554427764</v>
      </c>
      <c r="GG408">
        <v>19.605242499403367</v>
      </c>
      <c r="GH408">
        <v>24.256447618450501</v>
      </c>
      <c r="GI408">
        <v>29.6432123910337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81"/>
        <v>39775</v>
      </c>
      <c r="C409" s="61">
        <f t="shared" si="387"/>
        <v>129</v>
      </c>
      <c r="D409" s="61">
        <f t="shared" si="382"/>
        <v>5.5219369187221989</v>
      </c>
      <c r="E409" s="108">
        <f t="shared" si="383"/>
        <v>0.61697061195089542</v>
      </c>
      <c r="F409" s="19">
        <f t="shared" si="384"/>
        <v>1.0157509525205577E-2</v>
      </c>
      <c r="G409" s="19">
        <f t="shared" si="385"/>
        <v>-6.4353550907351384E-2</v>
      </c>
      <c r="H409" s="19">
        <f t="shared" si="386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67.139373911964881</v>
      </c>
      <c r="AO409">
        <v>74.465212691161796</v>
      </c>
      <c r="AP409">
        <v>532.28879430899099</v>
      </c>
      <c r="AQ409">
        <v>232.11079781084368</v>
      </c>
      <c r="AR409">
        <v>68.864494161337888</v>
      </c>
      <c r="AS409">
        <v>422.370011947769</v>
      </c>
      <c r="AT409">
        <v>28.258239220250818</v>
      </c>
      <c r="AU409">
        <v>76.450123264552971</v>
      </c>
      <c r="AV409"/>
      <c r="AW409"/>
      <c r="FY409" s="210">
        <v>404</v>
      </c>
      <c r="FZ409">
        <v>29.673907133672838</v>
      </c>
      <c r="GA409">
        <v>54.534544740552889</v>
      </c>
      <c r="GB409">
        <v>33.863208160173542</v>
      </c>
      <c r="GC409">
        <v>11.407081656402298</v>
      </c>
      <c r="GD409">
        <v>5.9897946100970847</v>
      </c>
      <c r="GE409">
        <v>6.4721712904000102</v>
      </c>
      <c r="GF409">
        <v>8.9011173690569585</v>
      </c>
      <c r="GG409">
        <v>16.266895750059195</v>
      </c>
      <c r="GH409">
        <v>18.323882938758427</v>
      </c>
      <c r="GI409">
        <v>31.761802539702899</v>
      </c>
      <c r="GJ409"/>
      <c r="GK409"/>
      <c r="GL409"/>
      <c r="GM409"/>
    </row>
    <row r="410" spans="1:195" s="7" customFormat="1">
      <c r="A410" s="189">
        <v>0.21</v>
      </c>
      <c r="B410" s="71">
        <f t="shared" si="381"/>
        <v>39799</v>
      </c>
      <c r="C410" s="61">
        <f t="shared" si="387"/>
        <v>153</v>
      </c>
      <c r="D410" s="61">
        <f t="shared" si="382"/>
        <v>3.9528107888381436</v>
      </c>
      <c r="E410" s="108">
        <f t="shared" si="383"/>
        <v>0.26928034133599049</v>
      </c>
      <c r="F410" s="19">
        <f t="shared" si="384"/>
        <v>-3.4544516424671524E-2</v>
      </c>
      <c r="G410" s="19">
        <f t="shared" si="385"/>
        <v>-4.1201030421438502E-2</v>
      </c>
      <c r="H410" s="19">
        <f t="shared" si="386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56.714199629041993</v>
      </c>
      <c r="AO410">
        <v>93.916764508437865</v>
      </c>
      <c r="AP410">
        <v>665.34028213718022</v>
      </c>
      <c r="AQ410">
        <v>250.5506988184469</v>
      </c>
      <c r="AR410">
        <v>87.043406505651689</v>
      </c>
      <c r="AS410">
        <v>530.94543365761365</v>
      </c>
      <c r="AT410">
        <v>34.988985124884636</v>
      </c>
      <c r="AU410">
        <v>5.7317994489387898</v>
      </c>
      <c r="AV410"/>
      <c r="AW410"/>
      <c r="FY410" s="210">
        <v>405</v>
      </c>
      <c r="FZ410">
        <v>23.497271878849439</v>
      </c>
      <c r="GA410">
        <v>80.41120005178486</v>
      </c>
      <c r="GB410">
        <v>40.392110176174413</v>
      </c>
      <c r="GC410">
        <v>13.179638015907548</v>
      </c>
      <c r="GD410">
        <v>8.0052653070563515</v>
      </c>
      <c r="GE410">
        <v>8.0582789102103902</v>
      </c>
      <c r="GF410">
        <v>7.3369507703112822</v>
      </c>
      <c r="GG410">
        <v>13.384767218778116</v>
      </c>
      <c r="GH410">
        <v>16.671388008444154</v>
      </c>
      <c r="GI410">
        <v>35.945868378773774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7"/>
        <v>201</v>
      </c>
      <c r="D411" s="61">
        <f t="shared" si="382"/>
        <v>4.8543046357615882</v>
      </c>
      <c r="E411" s="108">
        <f t="shared" si="383"/>
        <v>0.44820090782722904</v>
      </c>
      <c r="F411" s="19">
        <f t="shared" si="384"/>
        <v>1.0614345600652136E-2</v>
      </c>
      <c r="G411" s="19">
        <f t="shared" si="385"/>
        <v>-4.8750878824877442E-2</v>
      </c>
      <c r="H411" s="19">
        <f t="shared" si="386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54.538540724295977</v>
      </c>
      <c r="AO411">
        <v>65.882198071057729</v>
      </c>
      <c r="AP411">
        <v>474.05196899950181</v>
      </c>
      <c r="AQ411">
        <v>206.19416394644415</v>
      </c>
      <c r="AR411">
        <v>60.656713531224348</v>
      </c>
      <c r="AS411">
        <v>375.24850918141601</v>
      </c>
      <c r="AT411">
        <v>24.117629232653726</v>
      </c>
      <c r="AU411">
        <v>-6.1156719049111601</v>
      </c>
      <c r="AV411"/>
      <c r="AW411"/>
      <c r="FY411" s="210">
        <v>406</v>
      </c>
      <c r="FZ411">
        <v>20.865604485430328</v>
      </c>
      <c r="GA411">
        <v>67.30344379718089</v>
      </c>
      <c r="GB411">
        <v>35.187809044388445</v>
      </c>
      <c r="GC411">
        <v>9.9983631119639735</v>
      </c>
      <c r="GD411">
        <v>5.601063781614144</v>
      </c>
      <c r="GE411">
        <v>5.2324567416300933</v>
      </c>
      <c r="GF411">
        <v>6.3299811327412421</v>
      </c>
      <c r="GG411">
        <v>10.709819137583333</v>
      </c>
      <c r="GH411">
        <v>16.143127869126324</v>
      </c>
      <c r="GI411">
        <v>30.81766412564674</v>
      </c>
      <c r="GJ411"/>
      <c r="GK411"/>
      <c r="GL411"/>
      <c r="GM411"/>
    </row>
    <row r="412" spans="1:195" s="7" customFormat="1">
      <c r="A412" s="189">
        <v>4</v>
      </c>
      <c r="B412" s="71">
        <f t="shared" si="381"/>
        <v>39910</v>
      </c>
      <c r="C412" s="61">
        <f t="shared" si="387"/>
        <v>264</v>
      </c>
      <c r="D412" s="61">
        <f t="shared" si="382"/>
        <v>9.1980830670926519</v>
      </c>
      <c r="E412" s="108">
        <f t="shared" si="383"/>
        <v>2.1869914028861448</v>
      </c>
      <c r="F412" s="19">
        <f t="shared" si="384"/>
        <v>2.5159373060329102E-2</v>
      </c>
      <c r="G412" s="19">
        <f t="shared" si="385"/>
        <v>-7.5891666804897562E-2</v>
      </c>
      <c r="H412" s="19">
        <f t="shared" si="386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43.571604464435346</v>
      </c>
      <c r="AO412">
        <v>57.142476095609297</v>
      </c>
      <c r="AP412">
        <v>485.43693156170878</v>
      </c>
      <c r="AQ412">
        <v>211.53511346406401</v>
      </c>
      <c r="AR412">
        <v>55.189183593532604</v>
      </c>
      <c r="AS412">
        <v>325.36157668910533</v>
      </c>
      <c r="AT412">
        <v>23.34204004602941</v>
      </c>
      <c r="AU412">
        <v>4.280893032413724</v>
      </c>
      <c r="AV412"/>
      <c r="AW412"/>
      <c r="FY412" s="210">
        <v>407</v>
      </c>
      <c r="FZ412">
        <v>19.984956290222065</v>
      </c>
      <c r="GA412">
        <v>52.572832167705336</v>
      </c>
      <c r="GB412">
        <v>36.936588532048425</v>
      </c>
      <c r="GC412">
        <v>11.239927036791284</v>
      </c>
      <c r="GD412">
        <v>4.2308233049000457</v>
      </c>
      <c r="GE412">
        <v>3.0022703228988212</v>
      </c>
      <c r="GF412">
        <v>6.3206434718080873</v>
      </c>
      <c r="GG412">
        <v>8.0409372951000986</v>
      </c>
      <c r="GH412">
        <v>12.594857160939059</v>
      </c>
      <c r="GI412">
        <v>29.830880317642869</v>
      </c>
      <c r="GJ412"/>
      <c r="GK412"/>
      <c r="GL412"/>
      <c r="GM412"/>
    </row>
    <row r="413" spans="1:195" s="7" customFormat="1">
      <c r="A413" s="190">
        <v>7.33</v>
      </c>
      <c r="B413" s="71">
        <f t="shared" si="381"/>
        <v>39949</v>
      </c>
      <c r="C413" s="61">
        <f t="shared" si="387"/>
        <v>303</v>
      </c>
      <c r="D413" s="61">
        <f t="shared" si="382"/>
        <v>6.3885831927270909</v>
      </c>
      <c r="E413" s="108">
        <f t="shared" si="383"/>
        <v>0.8856884871361812</v>
      </c>
      <c r="F413" s="19">
        <f t="shared" si="384"/>
        <v>-2.3177353731655605E-2</v>
      </c>
      <c r="G413" s="19">
        <f t="shared" si="385"/>
        <v>-3.1126851443465851E-2</v>
      </c>
      <c r="H413" s="19">
        <f t="shared" si="386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59.780689588154338</v>
      </c>
      <c r="AO413">
        <v>75.991508010782781</v>
      </c>
      <c r="AP413">
        <v>601.14610132100665</v>
      </c>
      <c r="AQ413">
        <v>248.52165263552087</v>
      </c>
      <c r="AR413">
        <v>73.533695063772086</v>
      </c>
      <c r="AS413">
        <v>406.09556232154642</v>
      </c>
      <c r="AT413">
        <v>27.031278118684639</v>
      </c>
      <c r="AU413">
        <v>11.354830217020965</v>
      </c>
      <c r="AV413"/>
      <c r="AW413"/>
      <c r="FY413" s="210">
        <v>408</v>
      </c>
      <c r="FZ413">
        <v>22.704131855842459</v>
      </c>
      <c r="GA413">
        <v>86.294449555288438</v>
      </c>
      <c r="GB413">
        <v>30.051285121973127</v>
      </c>
      <c r="GC413">
        <v>6.9553906495340758</v>
      </c>
      <c r="GD413">
        <v>6.397832245635529</v>
      </c>
      <c r="GE413">
        <v>8.5996179153514767</v>
      </c>
      <c r="GF413">
        <v>13.515892727970179</v>
      </c>
      <c r="GG413">
        <v>18.604895823371582</v>
      </c>
      <c r="GH413">
        <v>10.329135862678896</v>
      </c>
      <c r="GI413">
        <v>32.470689100275671</v>
      </c>
      <c r="GJ413"/>
      <c r="GK413"/>
      <c r="GL413"/>
      <c r="GM413"/>
    </row>
    <row r="414" spans="1:195" s="7" customFormat="1">
      <c r="A414" s="189">
        <v>10.51</v>
      </c>
      <c r="B414" s="71">
        <f t="shared" si="381"/>
        <v>39987</v>
      </c>
      <c r="C414" s="61">
        <f t="shared" si="387"/>
        <v>341</v>
      </c>
      <c r="D414" s="61">
        <f t="shared" si="382"/>
        <v>5.3044189852700496</v>
      </c>
      <c r="E414" s="108">
        <f t="shared" si="383"/>
        <v>0.55844383337302206</v>
      </c>
      <c r="F414" s="19">
        <f t="shared" si="384"/>
        <v>-1.213713809469911E-2</v>
      </c>
      <c r="G414" s="19">
        <f t="shared" si="385"/>
        <v>5.9926341004324507E-4</v>
      </c>
      <c r="H414" s="19">
        <f t="shared" si="386"/>
        <v>5.9926341004324507E-4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47.270860398088416</v>
      </c>
      <c r="AO414">
        <v>53.878276075603523</v>
      </c>
      <c r="AP414">
        <v>373.7735061614124</v>
      </c>
      <c r="AQ414">
        <v>162.68011997230454</v>
      </c>
      <c r="AR414">
        <v>50.247039803564064</v>
      </c>
      <c r="AS414">
        <v>254.01006395384312</v>
      </c>
      <c r="AT414">
        <v>20.093609835194226</v>
      </c>
      <c r="AU414">
        <v>23.687330626893857</v>
      </c>
      <c r="AV414"/>
      <c r="AW414"/>
      <c r="FY414" s="210">
        <v>409</v>
      </c>
      <c r="FZ414">
        <v>25.34418273667989</v>
      </c>
      <c r="GA414">
        <v>46.948964431327624</v>
      </c>
      <c r="GB414">
        <v>32.728828594768402</v>
      </c>
      <c r="GC414">
        <v>11.677305758094121</v>
      </c>
      <c r="GD414">
        <v>6.7568075892225883</v>
      </c>
      <c r="GE414">
        <v>7.7187794035862529</v>
      </c>
      <c r="GF414">
        <v>4.6175721179424869</v>
      </c>
      <c r="GG414">
        <v>6.5854992794551492</v>
      </c>
      <c r="GH414">
        <v>11.499481855125007</v>
      </c>
      <c r="GI414">
        <v>31.819058855454653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52.810250982876667</v>
      </c>
      <c r="AO415">
        <v>68.424194586242336</v>
      </c>
      <c r="AP415">
        <v>531.94418061078431</v>
      </c>
      <c r="AQ415">
        <v>232.42446393667581</v>
      </c>
      <c r="AR415">
        <v>62.959129069131393</v>
      </c>
      <c r="AS415">
        <v>384.36640093478604</v>
      </c>
      <c r="AT415">
        <v>27.845659572659475</v>
      </c>
      <c r="AU415">
        <v>14.439870063023539</v>
      </c>
      <c r="AV415"/>
      <c r="AW415"/>
      <c r="FY415" s="210">
        <v>410</v>
      </c>
      <c r="FZ415">
        <v>23.724833757893563</v>
      </c>
      <c r="GA415">
        <v>44.275125895917782</v>
      </c>
      <c r="GB415">
        <v>34.67980614691232</v>
      </c>
      <c r="GC415">
        <v>11.74930154248182</v>
      </c>
      <c r="GD415">
        <v>9.6390273686824788</v>
      </c>
      <c r="GE415">
        <v>13.572804165199184</v>
      </c>
      <c r="GF415">
        <v>11.980431487072762</v>
      </c>
      <c r="GG415">
        <v>19.922806085854774</v>
      </c>
      <c r="GH415">
        <v>20.991607845818798</v>
      </c>
      <c r="GI415">
        <v>35.172757970357438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63.902295757356327</v>
      </c>
      <c r="AO416">
        <v>76.217395093780254</v>
      </c>
      <c r="AP416">
        <v>504.33002350297323</v>
      </c>
      <c r="AQ416">
        <v>209.20374785241398</v>
      </c>
      <c r="AR416">
        <v>70.772906304354649</v>
      </c>
      <c r="AS416">
        <v>429.12677936492099</v>
      </c>
      <c r="AT416">
        <v>27.459095751132111</v>
      </c>
      <c r="AU416">
        <v>20.199594062743056</v>
      </c>
      <c r="AV416"/>
      <c r="AW416"/>
      <c r="FY416" s="210">
        <v>411</v>
      </c>
      <c r="FZ416">
        <v>18.177455630456315</v>
      </c>
      <c r="GA416">
        <v>37.682868328256525</v>
      </c>
      <c r="GB416">
        <v>20.808592881967904</v>
      </c>
      <c r="GC416">
        <v>8.4966780957147332</v>
      </c>
      <c r="GD416">
        <v>6.4423781484617137</v>
      </c>
      <c r="GE416">
        <v>8.8465444477774486</v>
      </c>
      <c r="GF416">
        <v>11.206422953254094</v>
      </c>
      <c r="GG416">
        <v>15.657462638280048</v>
      </c>
      <c r="GH416">
        <v>5.5572285746779011</v>
      </c>
      <c r="GI416">
        <v>25.741700548333878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52.079297095279763</v>
      </c>
      <c r="AO417">
        <v>79.523428460817954</v>
      </c>
      <c r="AP417">
        <v>569.03204714060394</v>
      </c>
      <c r="AQ417">
        <v>210.46462550182946</v>
      </c>
      <c r="AR417">
        <v>74.943214810470081</v>
      </c>
      <c r="AS417">
        <v>448.32564224887261</v>
      </c>
      <c r="AT417">
        <v>28.658631014417594</v>
      </c>
      <c r="AU417">
        <v>-0.97248450705308009</v>
      </c>
      <c r="AV417"/>
      <c r="AW417"/>
      <c r="FY417" s="210">
        <v>412</v>
      </c>
      <c r="FZ417">
        <v>26.434431880415143</v>
      </c>
      <c r="GA417">
        <v>40.256597121905102</v>
      </c>
      <c r="GB417">
        <v>25.296440108371314</v>
      </c>
      <c r="GC417">
        <v>11.534117169840293</v>
      </c>
      <c r="GD417">
        <v>5.7986892331207134</v>
      </c>
      <c r="GE417">
        <v>4.5015566798799833</v>
      </c>
      <c r="GF417">
        <v>6.5721817693664679</v>
      </c>
      <c r="GG417">
        <v>5.5382155939873714</v>
      </c>
      <c r="GH417">
        <v>4.9091780410412866</v>
      </c>
      <c r="GI417">
        <v>24.374946581426514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53.202355617472861</v>
      </c>
      <c r="AO418">
        <v>59.968980964852868</v>
      </c>
      <c r="AP418">
        <v>483.64080226085639</v>
      </c>
      <c r="AQ418">
        <v>206.57822605147396</v>
      </c>
      <c r="AR418">
        <v>56.034276331808002</v>
      </c>
      <c r="AS418">
        <v>397.74322328113959</v>
      </c>
      <c r="AT418">
        <v>26.161659866410201</v>
      </c>
      <c r="AU418">
        <v>31.164211303786164</v>
      </c>
      <c r="AV418"/>
      <c r="AW418"/>
      <c r="FY418" s="210">
        <v>413</v>
      </c>
      <c r="FZ418">
        <v>21.871598675902799</v>
      </c>
      <c r="GA418">
        <v>56.536244801223447</v>
      </c>
      <c r="GB418">
        <v>35.95818120925081</v>
      </c>
      <c r="GC418">
        <v>7.539330500891861</v>
      </c>
      <c r="GD418">
        <v>6.237894039862212</v>
      </c>
      <c r="GE418">
        <v>10.316209066856196</v>
      </c>
      <c r="GF418">
        <v>12.45724642890624</v>
      </c>
      <c r="GG418">
        <v>22.062888007449601</v>
      </c>
      <c r="GH418">
        <v>20.978470210524151</v>
      </c>
      <c r="GI418">
        <v>31.566896035406877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48.619960751139573</v>
      </c>
      <c r="AO419">
        <v>60.290763138956819</v>
      </c>
      <c r="AP419">
        <v>468.60112214350198</v>
      </c>
      <c r="AQ419">
        <v>206.5591821789094</v>
      </c>
      <c r="AR419">
        <v>58.005879266213604</v>
      </c>
      <c r="AS419">
        <v>384.89908388554613</v>
      </c>
      <c r="AT419">
        <v>22.970627998915884</v>
      </c>
      <c r="AU419">
        <v>-16.503481466865821</v>
      </c>
      <c r="AV419"/>
      <c r="AW419"/>
      <c r="FY419" s="210">
        <v>414</v>
      </c>
      <c r="FZ419">
        <v>18.561613351195827</v>
      </c>
      <c r="GA419">
        <v>44.445417645479893</v>
      </c>
      <c r="GB419">
        <v>22.131236741367768</v>
      </c>
      <c r="GC419">
        <v>8.4467824793260462</v>
      </c>
      <c r="GD419">
        <v>6.4828742732949829</v>
      </c>
      <c r="GE419">
        <v>7.9778085703771975</v>
      </c>
      <c r="GF419">
        <v>8.3854064960282937</v>
      </c>
      <c r="GG419">
        <v>15.418148196736576</v>
      </c>
      <c r="GH419">
        <v>16.986261817770345</v>
      </c>
      <c r="GI419">
        <v>26.479214233935306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59.035775632585015</v>
      </c>
      <c r="AO420">
        <v>65.648211052350945</v>
      </c>
      <c r="AP420">
        <v>503.03131524973185</v>
      </c>
      <c r="AQ420">
        <v>217.19440618887614</v>
      </c>
      <c r="AR420">
        <v>62.358818172464261</v>
      </c>
      <c r="AS420">
        <v>364.07201782568154</v>
      </c>
      <c r="AT420">
        <v>23.804161976530196</v>
      </c>
      <c r="AU420">
        <v>20.611071183619394</v>
      </c>
      <c r="AV420"/>
      <c r="AW420"/>
      <c r="FY420" s="210">
        <v>415</v>
      </c>
      <c r="FZ420">
        <v>23.55522869018478</v>
      </c>
      <c r="GA420">
        <v>63.476480989664367</v>
      </c>
      <c r="GB420">
        <v>58.079587171162913</v>
      </c>
      <c r="GC420">
        <v>17.31821516782427</v>
      </c>
      <c r="GD420">
        <v>7.7888673353460049</v>
      </c>
      <c r="GE420">
        <v>7.9331764170970782</v>
      </c>
      <c r="GF420">
        <v>12.421530290674664</v>
      </c>
      <c r="GG420">
        <v>23.002115167358841</v>
      </c>
      <c r="GH420">
        <v>30.191891429005864</v>
      </c>
      <c r="GI420">
        <v>49.052373511747916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64.539918871593912</v>
      </c>
      <c r="AO421">
        <v>78.543213814947208</v>
      </c>
      <c r="AP421">
        <v>612.82040191631665</v>
      </c>
      <c r="AQ421">
        <v>246.88273871629036</v>
      </c>
      <c r="AR421">
        <v>72.758172528752354</v>
      </c>
      <c r="AS421">
        <v>494.42682507687289</v>
      </c>
      <c r="AT421">
        <v>32.068386378828585</v>
      </c>
      <c r="AU421">
        <v>122.15456930368292</v>
      </c>
      <c r="AV421"/>
      <c r="AW421"/>
      <c r="FY421" s="210">
        <v>416</v>
      </c>
      <c r="FZ421">
        <v>18.525231778347852</v>
      </c>
      <c r="GA421">
        <v>49.874958448032089</v>
      </c>
      <c r="GB421">
        <v>38.330854264576566</v>
      </c>
      <c r="GC421">
        <v>8.9276967905333446</v>
      </c>
      <c r="GD421">
        <v>5.3240012141579349</v>
      </c>
      <c r="GE421">
        <v>6.8499334540266519</v>
      </c>
      <c r="GF421">
        <v>8.9039786360818596</v>
      </c>
      <c r="GG421">
        <v>12.062135629138446</v>
      </c>
      <c r="GH421">
        <v>7.0697082276322387</v>
      </c>
      <c r="GI421">
        <v>32.421965888702061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1.5970676574776279E-3</v>
      </c>
      <c r="H422" s="44">
        <f t="shared" ref="H422:AK422" si="388">H372</f>
        <v>8.9100000000000013E-3</v>
      </c>
      <c r="I422" s="44">
        <f t="shared" si="388"/>
        <v>4.9708664268728449E-2</v>
      </c>
      <c r="J422" s="44">
        <f t="shared" si="388"/>
        <v>0.13587464291257986</v>
      </c>
      <c r="K422" s="44">
        <f t="shared" si="388"/>
        <v>0.27732337860619083</v>
      </c>
      <c r="L422" s="44">
        <f t="shared" si="388"/>
        <v>0.48230672197979785</v>
      </c>
      <c r="M422" s="44">
        <f t="shared" si="388"/>
        <v>0.7580411904797747</v>
      </c>
      <c r="N422" s="44">
        <f t="shared" si="388"/>
        <v>1.1110173556223539</v>
      </c>
      <c r="O422" s="44">
        <f t="shared" si="388"/>
        <v>1.547180103367521</v>
      </c>
      <c r="P422" s="44">
        <f t="shared" si="388"/>
        <v>2.072044734749841</v>
      </c>
      <c r="Q422" s="44">
        <f t="shared" si="388"/>
        <v>2.6907769828781971</v>
      </c>
      <c r="R422" s="44">
        <f t="shared" si="388"/>
        <v>3.4082509405286605</v>
      </c>
      <c r="S422" s="44">
        <f t="shared" si="388"/>
        <v>4.2290925970175506</v>
      </c>
      <c r="T422" s="44">
        <f t="shared" si="388"/>
        <v>5.1577135406092971</v>
      </c>
      <c r="U422" s="44">
        <f t="shared" si="388"/>
        <v>6.1983376798386134</v>
      </c>
      <c r="V422" s="44">
        <f t="shared" si="388"/>
        <v>7.3550228533492659</v>
      </c>
      <c r="W422" s="44">
        <f t="shared" si="388"/>
        <v>8.6316785995008587</v>
      </c>
      <c r="X422" s="44">
        <f t="shared" si="388"/>
        <v>10.032080977320962</v>
      </c>
      <c r="Y422" s="44">
        <f t="shared" si="388"/>
        <v>11.559885080748183</v>
      </c>
      <c r="Z422" s="44">
        <f t="shared" si="388"/>
        <v>13.218635718938282</v>
      </c>
      <c r="AA422" s="44">
        <f t="shared" si="388"/>
        <v>15.011776617723273</v>
      </c>
      <c r="AB422" s="44">
        <f t="shared" si="388"/>
        <v>16.94265841356523</v>
      </c>
      <c r="AC422" s="44">
        <f t="shared" si="388"/>
        <v>19.01454565054064</v>
      </c>
      <c r="AD422" s="44">
        <f t="shared" si="388"/>
        <v>21.230622945949783</v>
      </c>
      <c r="AE422" s="44">
        <f t="shared" si="388"/>
        <v>23.594000456398458</v>
      </c>
      <c r="AF422" s="44">
        <f t="shared" si="388"/>
        <v>26.107718750493603</v>
      </c>
      <c r="AG422" s="44">
        <f t="shared" si="388"/>
        <v>28.774753174458162</v>
      </c>
      <c r="AH422" s="44">
        <f t="shared" si="388"/>
        <v>31.598017781484351</v>
      </c>
      <c r="AI422" s="44">
        <f t="shared" si="388"/>
        <v>34.580368883423944</v>
      </c>
      <c r="AJ422" s="44">
        <f t="shared" si="388"/>
        <v>37.724608273673908</v>
      </c>
      <c r="AK422" s="44">
        <f t="shared" si="388"/>
        <v>41.033486162285527</v>
      </c>
      <c r="AL422" s="4"/>
      <c r="AM422" s="43">
        <v>406</v>
      </c>
      <c r="AN422">
        <v>49.075144547181978</v>
      </c>
      <c r="AO422">
        <v>67.090537329454463</v>
      </c>
      <c r="AP422">
        <v>504.56221451303998</v>
      </c>
      <c r="AQ422">
        <v>208.18933322730553</v>
      </c>
      <c r="AR422">
        <v>62.909252857031014</v>
      </c>
      <c r="AS422">
        <v>335.29067102945834</v>
      </c>
      <c r="AT422">
        <v>23.900662120837158</v>
      </c>
      <c r="AU422">
        <v>-37.165561349047678</v>
      </c>
      <c r="AV422"/>
      <c r="AW422"/>
      <c r="FY422" s="210">
        <v>417</v>
      </c>
      <c r="FZ422">
        <v>21.886076717752754</v>
      </c>
      <c r="GA422">
        <v>68.979584021983783</v>
      </c>
      <c r="GB422">
        <v>26.48626224441373</v>
      </c>
      <c r="GC422">
        <v>8.9706736823960398</v>
      </c>
      <c r="GD422">
        <v>4.9691663680901437</v>
      </c>
      <c r="GE422">
        <v>4.8207995743125229</v>
      </c>
      <c r="GF422">
        <v>6.9649771564553467</v>
      </c>
      <c r="GG422">
        <v>7.9622323153288219</v>
      </c>
      <c r="GH422">
        <v>9.4032074163349169</v>
      </c>
      <c r="GI422">
        <v>25.559344658166793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9">SUM(G423:AK423)</f>
        <v>24.246459960453144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90">(($A$453+$A$455*(H$422)+($A$457*$D423))*($E21*H37))</f>
        <v>2.7966910037006534E-2</v>
      </c>
      <c r="I423" s="107">
        <f t="shared" si="390"/>
        <v>0.71236846109526775</v>
      </c>
      <c r="J423" s="107">
        <f t="shared" si="390"/>
        <v>1.7461816583492127</v>
      </c>
      <c r="K423" s="107">
        <f t="shared" si="390"/>
        <v>2.0034067238062025</v>
      </c>
      <c r="L423" s="107">
        <f t="shared" si="390"/>
        <v>0.24624641159928734</v>
      </c>
      <c r="M423" s="107">
        <f t="shared" si="390"/>
        <v>1.1444162658500556</v>
      </c>
      <c r="N423" s="107">
        <f t="shared" si="390"/>
        <v>3.8407782219247171</v>
      </c>
      <c r="O423" s="107">
        <f t="shared" si="390"/>
        <v>4.4769319801054008</v>
      </c>
      <c r="P423" s="107">
        <f t="shared" si="390"/>
        <v>1.9407731115752678</v>
      </c>
      <c r="Q423" s="107">
        <f t="shared" si="390"/>
        <v>1.2159204553128018</v>
      </c>
      <c r="R423" s="107">
        <f t="shared" si="390"/>
        <v>0</v>
      </c>
      <c r="S423" s="107">
        <f t="shared" si="390"/>
        <v>1.738216748426513</v>
      </c>
      <c r="T423" s="107">
        <f t="shared" si="390"/>
        <v>0</v>
      </c>
      <c r="U423" s="107">
        <f t="shared" si="390"/>
        <v>0</v>
      </c>
      <c r="V423" s="107">
        <f t="shared" si="390"/>
        <v>0</v>
      </c>
      <c r="W423" s="107">
        <f t="shared" si="390"/>
        <v>0</v>
      </c>
      <c r="X423" s="107">
        <f t="shared" si="390"/>
        <v>5.1532530123714135</v>
      </c>
      <c r="Y423" s="107">
        <f t="shared" si="390"/>
        <v>0</v>
      </c>
      <c r="Z423" s="107">
        <f t="shared" si="390"/>
        <v>0</v>
      </c>
      <c r="AA423" s="107">
        <f t="shared" si="390"/>
        <v>0</v>
      </c>
      <c r="AB423" s="107">
        <f t="shared" si="390"/>
        <v>0</v>
      </c>
      <c r="AC423" s="107">
        <f t="shared" si="390"/>
        <v>0</v>
      </c>
      <c r="AD423" s="107">
        <f t="shared" si="390"/>
        <v>0</v>
      </c>
      <c r="AE423" s="107">
        <f t="shared" si="390"/>
        <v>0</v>
      </c>
      <c r="AF423" s="107">
        <f t="shared" si="390"/>
        <v>0</v>
      </c>
      <c r="AG423" s="107">
        <f t="shared" si="390"/>
        <v>0</v>
      </c>
      <c r="AH423" s="107">
        <f t="shared" si="390"/>
        <v>0</v>
      </c>
      <c r="AI423" s="107">
        <f t="shared" si="390"/>
        <v>0</v>
      </c>
      <c r="AJ423" s="107">
        <f t="shared" si="390"/>
        <v>0</v>
      </c>
      <c r="AK423" s="107">
        <f t="shared" si="390"/>
        <v>0</v>
      </c>
      <c r="AL423" s="4"/>
      <c r="AM423" s="43">
        <v>407</v>
      </c>
      <c r="AN423">
        <v>48.409318732475555</v>
      </c>
      <c r="AO423">
        <v>65.846521520998152</v>
      </c>
      <c r="AP423">
        <v>476.9178426345519</v>
      </c>
      <c r="AQ423">
        <v>184.75471590005608</v>
      </c>
      <c r="AR423">
        <v>60.512307634623987</v>
      </c>
      <c r="AS423">
        <v>291.9889126176227</v>
      </c>
      <c r="AT423">
        <v>22.493191268384845</v>
      </c>
      <c r="AU423">
        <v>-9.921511719817655</v>
      </c>
      <c r="AV423"/>
      <c r="AW423"/>
      <c r="FY423" s="210">
        <v>418</v>
      </c>
      <c r="FZ423">
        <v>14.395055517322891</v>
      </c>
      <c r="GA423">
        <v>44.577915403819034</v>
      </c>
      <c r="GB423">
        <v>36.314015474627453</v>
      </c>
      <c r="GC423">
        <v>11.014748160336504</v>
      </c>
      <c r="GD423">
        <v>7.4963217395526875</v>
      </c>
      <c r="GE423">
        <v>10.166635555067277</v>
      </c>
      <c r="GF423">
        <v>13.211226988468875</v>
      </c>
      <c r="GG423">
        <v>24.738201291180712</v>
      </c>
      <c r="GH423">
        <v>26.423222922142958</v>
      </c>
      <c r="GI423">
        <v>39.623812667929734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9"/>
        <v>66.160684272062227</v>
      </c>
      <c r="D424" s="191">
        <f>$A$406</f>
        <v>9.4499999999999993</v>
      </c>
      <c r="E424" s="8"/>
      <c r="F424" s="124"/>
      <c r="G424" s="107">
        <f t="shared" ref="G424:V432" si="391">(($A$453+$A$455*(G$422)+($A$457*$D424))*($E22*G38))</f>
        <v>0</v>
      </c>
      <c r="H424" s="107">
        <f t="shared" si="391"/>
        <v>0</v>
      </c>
      <c r="I424" s="107">
        <f t="shared" si="391"/>
        <v>1.6368569098994554</v>
      </c>
      <c r="J424" s="107">
        <f t="shared" si="391"/>
        <v>2.1462980207541706</v>
      </c>
      <c r="K424" s="107">
        <f t="shared" si="391"/>
        <v>2.5305245803621337</v>
      </c>
      <c r="L424" s="107">
        <f t="shared" si="391"/>
        <v>0.28940866833926793</v>
      </c>
      <c r="M424" s="107">
        <f t="shared" si="391"/>
        <v>1.785722873844622</v>
      </c>
      <c r="N424" s="107">
        <f t="shared" si="391"/>
        <v>5.1078899153281041</v>
      </c>
      <c r="O424" s="107">
        <f t="shared" si="391"/>
        <v>5.1715055462584782</v>
      </c>
      <c r="P424" s="107">
        <f t="shared" si="391"/>
        <v>6.6626267966927113</v>
      </c>
      <c r="Q424" s="107">
        <f t="shared" si="391"/>
        <v>4.1245704975846351</v>
      </c>
      <c r="R424" s="107">
        <f t="shared" si="391"/>
        <v>4.9283874498597795</v>
      </c>
      <c r="S424" s="107">
        <f t="shared" si="391"/>
        <v>13.288756415828168</v>
      </c>
      <c r="T424" s="107">
        <f t="shared" si="391"/>
        <v>4.2440191020746312</v>
      </c>
      <c r="U424" s="107">
        <f t="shared" si="391"/>
        <v>0</v>
      </c>
      <c r="V424" s="107">
        <f t="shared" si="391"/>
        <v>14.244117495236072</v>
      </c>
      <c r="W424" s="107">
        <f t="shared" si="390"/>
        <v>0</v>
      </c>
      <c r="X424" s="107">
        <f t="shared" si="390"/>
        <v>0</v>
      </c>
      <c r="Y424" s="107">
        <f t="shared" si="390"/>
        <v>0</v>
      </c>
      <c r="Z424" s="107">
        <f t="shared" si="390"/>
        <v>0</v>
      </c>
      <c r="AA424" s="107">
        <f t="shared" si="390"/>
        <v>0</v>
      </c>
      <c r="AB424" s="107">
        <f t="shared" si="390"/>
        <v>0</v>
      </c>
      <c r="AC424" s="107">
        <f t="shared" si="390"/>
        <v>0</v>
      </c>
      <c r="AD424" s="107">
        <f t="shared" si="390"/>
        <v>0</v>
      </c>
      <c r="AE424" s="107">
        <f t="shared" si="390"/>
        <v>0</v>
      </c>
      <c r="AF424" s="107">
        <f t="shared" si="390"/>
        <v>0</v>
      </c>
      <c r="AG424" s="107">
        <f t="shared" si="390"/>
        <v>0</v>
      </c>
      <c r="AH424" s="107">
        <f t="shared" si="390"/>
        <v>0</v>
      </c>
      <c r="AI424" s="107">
        <f t="shared" si="390"/>
        <v>0</v>
      </c>
      <c r="AJ424" s="107">
        <f t="shared" si="390"/>
        <v>0</v>
      </c>
      <c r="AK424" s="107">
        <f t="shared" si="390"/>
        <v>0</v>
      </c>
      <c r="AL424" s="4"/>
      <c r="AM424" s="43">
        <v>408</v>
      </c>
      <c r="AN424">
        <v>58.169775377107861</v>
      </c>
      <c r="AO424">
        <v>68.124889311849387</v>
      </c>
      <c r="AP424">
        <v>542.62007712000934</v>
      </c>
      <c r="AQ424">
        <v>235.92332085792142</v>
      </c>
      <c r="AR424">
        <v>63.877976165183647</v>
      </c>
      <c r="AS424">
        <v>313.64227305335442</v>
      </c>
      <c r="AT424">
        <v>27.684743399112943</v>
      </c>
      <c r="AU424">
        <v>43.174135450191045</v>
      </c>
      <c r="AV424"/>
      <c r="AW424"/>
      <c r="FY424" s="210">
        <v>419</v>
      </c>
      <c r="FZ424">
        <v>12.978111435047797</v>
      </c>
      <c r="GA424">
        <v>54.937607361855612</v>
      </c>
      <c r="GB424">
        <v>34.568444235590334</v>
      </c>
      <c r="GC424">
        <v>11.300337031710013</v>
      </c>
      <c r="GD424">
        <v>7.4925304830033888</v>
      </c>
      <c r="GE424">
        <v>8.4527225068468752</v>
      </c>
      <c r="GF424">
        <v>9.5223750145899437</v>
      </c>
      <c r="GG424">
        <v>15.984715434084174</v>
      </c>
      <c r="GH424">
        <v>15.463580233727553</v>
      </c>
      <c r="GI424">
        <v>33.245278830213884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9"/>
        <v>43.307920997285606</v>
      </c>
      <c r="D425" s="191">
        <f>A$407</f>
        <v>4.03</v>
      </c>
      <c r="E425" s="8"/>
      <c r="F425" s="124"/>
      <c r="G425" s="107">
        <f t="shared" si="391"/>
        <v>0</v>
      </c>
      <c r="H425" s="107">
        <f t="shared" si="390"/>
        <v>3.5421295123815824E-2</v>
      </c>
      <c r="I425" s="107">
        <f t="shared" si="390"/>
        <v>1.1039652011660237</v>
      </c>
      <c r="J425" s="107">
        <f t="shared" si="390"/>
        <v>2.0503849725788772</v>
      </c>
      <c r="K425" s="107">
        <f t="shared" si="390"/>
        <v>0.34312701194082978</v>
      </c>
      <c r="L425" s="107">
        <f t="shared" si="390"/>
        <v>2.2313610443739589</v>
      </c>
      <c r="M425" s="107">
        <f t="shared" si="390"/>
        <v>0.44528897200877787</v>
      </c>
      <c r="N425" s="107">
        <f t="shared" si="390"/>
        <v>0.31358277206445001</v>
      </c>
      <c r="O425" s="107">
        <f t="shared" si="390"/>
        <v>0.41477590840420059</v>
      </c>
      <c r="P425" s="107">
        <f t="shared" si="390"/>
        <v>3.1210153040195792</v>
      </c>
      <c r="Q425" s="107">
        <f t="shared" si="390"/>
        <v>1.8643033254417312</v>
      </c>
      <c r="R425" s="107">
        <f t="shared" si="390"/>
        <v>4.9541049608002377</v>
      </c>
      <c r="S425" s="107">
        <f t="shared" si="390"/>
        <v>8.4199884468659381</v>
      </c>
      <c r="T425" s="107">
        <f t="shared" si="390"/>
        <v>3.8900146382641285</v>
      </c>
      <c r="U425" s="107">
        <f t="shared" si="390"/>
        <v>5.0786555584886575</v>
      </c>
      <c r="V425" s="107">
        <f t="shared" si="390"/>
        <v>7.8928665761944492</v>
      </c>
      <c r="W425" s="107">
        <f t="shared" si="390"/>
        <v>1.1490650095499568</v>
      </c>
      <c r="X425" s="107">
        <f t="shared" si="390"/>
        <v>0</v>
      </c>
      <c r="Y425" s="107">
        <f t="shared" si="390"/>
        <v>0</v>
      </c>
      <c r="Z425" s="107">
        <f t="shared" si="390"/>
        <v>0</v>
      </c>
      <c r="AA425" s="107">
        <f t="shared" si="390"/>
        <v>0</v>
      </c>
      <c r="AB425" s="107">
        <f t="shared" si="390"/>
        <v>0</v>
      </c>
      <c r="AC425" s="107">
        <f t="shared" si="390"/>
        <v>0</v>
      </c>
      <c r="AD425" s="107">
        <f t="shared" si="390"/>
        <v>0</v>
      </c>
      <c r="AE425" s="107">
        <f t="shared" si="390"/>
        <v>0</v>
      </c>
      <c r="AF425" s="107">
        <f t="shared" si="390"/>
        <v>0</v>
      </c>
      <c r="AG425" s="107">
        <f t="shared" si="390"/>
        <v>0</v>
      </c>
      <c r="AH425" s="107">
        <f t="shared" si="390"/>
        <v>0</v>
      </c>
      <c r="AI425" s="107">
        <f t="shared" si="390"/>
        <v>0</v>
      </c>
      <c r="AJ425" s="107">
        <f t="shared" si="390"/>
        <v>0</v>
      </c>
      <c r="AK425" s="107">
        <f t="shared" si="390"/>
        <v>0</v>
      </c>
      <c r="AL425" s="4"/>
      <c r="AM425" s="43">
        <v>409</v>
      </c>
      <c r="AN425">
        <v>48.324914742411053</v>
      </c>
      <c r="AO425">
        <v>66.106754669327273</v>
      </c>
      <c r="AP425">
        <v>412.60513060588903</v>
      </c>
      <c r="AQ425">
        <v>185.69648062165618</v>
      </c>
      <c r="AR425">
        <v>62.079285409421715</v>
      </c>
      <c r="AS425">
        <v>357.2767579472233</v>
      </c>
      <c r="AT425">
        <v>24.081957216150002</v>
      </c>
      <c r="AU425">
        <v>-11.347089966231351</v>
      </c>
      <c r="AV425"/>
      <c r="AW425"/>
      <c r="FY425" s="210">
        <v>420</v>
      </c>
      <c r="FZ425">
        <v>13.918629688205957</v>
      </c>
      <c r="GA425">
        <v>37.101583304301087</v>
      </c>
      <c r="GB425">
        <v>18.163268662921435</v>
      </c>
      <c r="GC425">
        <v>9.7746315809974593</v>
      </c>
      <c r="GD425">
        <v>5.4826872446005623</v>
      </c>
      <c r="GE425">
        <v>3.7802124206010608</v>
      </c>
      <c r="GF425">
        <v>8.176345265258167</v>
      </c>
      <c r="GG425">
        <v>12.104059122961321</v>
      </c>
      <c r="GH425">
        <v>11.960129081065281</v>
      </c>
      <c r="GI425">
        <v>22.714969051386447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9"/>
        <v>12.221836543319016</v>
      </c>
      <c r="D426" s="191">
        <f>A$408</f>
        <v>0.78</v>
      </c>
      <c r="E426" s="8"/>
      <c r="F426" s="124"/>
      <c r="G426" s="107">
        <f t="shared" si="391"/>
        <v>0</v>
      </c>
      <c r="H426" s="107">
        <f t="shared" si="390"/>
        <v>1.9837487206736722E-2</v>
      </c>
      <c r="I426" s="107">
        <f t="shared" si="390"/>
        <v>0.65011833865226887</v>
      </c>
      <c r="J426" s="107">
        <f t="shared" si="390"/>
        <v>1.4755772027883425</v>
      </c>
      <c r="K426" s="107">
        <f t="shared" si="390"/>
        <v>1.025794437534995</v>
      </c>
      <c r="L426" s="107">
        <f t="shared" si="390"/>
        <v>1.4847670958591497</v>
      </c>
      <c r="M426" s="107">
        <f t="shared" si="390"/>
        <v>0</v>
      </c>
      <c r="N426" s="107">
        <f t="shared" si="390"/>
        <v>0</v>
      </c>
      <c r="O426" s="107">
        <f t="shared" si="390"/>
        <v>0</v>
      </c>
      <c r="P426" s="107">
        <f t="shared" si="390"/>
        <v>0</v>
      </c>
      <c r="Q426" s="107">
        <f t="shared" si="390"/>
        <v>0.56088052538770505</v>
      </c>
      <c r="R426" s="107">
        <f t="shared" si="390"/>
        <v>6.2365964606439341</v>
      </c>
      <c r="S426" s="107">
        <f t="shared" si="390"/>
        <v>2.1872701028475916</v>
      </c>
      <c r="T426" s="107">
        <f t="shared" si="390"/>
        <v>1.631849236004749</v>
      </c>
      <c r="U426" s="107">
        <f t="shared" si="390"/>
        <v>0.32894656130530242</v>
      </c>
      <c r="V426" s="107">
        <f t="shared" si="390"/>
        <v>-1.5833815426823024</v>
      </c>
      <c r="W426" s="107">
        <f t="shared" si="390"/>
        <v>-1.7964193622294573</v>
      </c>
      <c r="X426" s="107">
        <f t="shared" si="390"/>
        <v>0</v>
      </c>
      <c r="Y426" s="107">
        <f t="shared" si="390"/>
        <v>0</v>
      </c>
      <c r="Z426" s="107">
        <f t="shared" si="390"/>
        <v>0</v>
      </c>
      <c r="AA426" s="107">
        <f t="shared" si="390"/>
        <v>0</v>
      </c>
      <c r="AB426" s="107">
        <f t="shared" si="390"/>
        <v>0</v>
      </c>
      <c r="AC426" s="107">
        <f t="shared" si="390"/>
        <v>0</v>
      </c>
      <c r="AD426" s="107">
        <f t="shared" si="390"/>
        <v>0</v>
      </c>
      <c r="AE426" s="107">
        <f t="shared" si="390"/>
        <v>0</v>
      </c>
      <c r="AF426" s="107">
        <f t="shared" si="390"/>
        <v>0</v>
      </c>
      <c r="AG426" s="107">
        <f t="shared" si="390"/>
        <v>0</v>
      </c>
      <c r="AH426" s="107">
        <f t="shared" si="390"/>
        <v>0</v>
      </c>
      <c r="AI426" s="107">
        <f t="shared" si="390"/>
        <v>0</v>
      </c>
      <c r="AJ426" s="107">
        <f t="shared" si="390"/>
        <v>0</v>
      </c>
      <c r="AK426" s="107">
        <f t="shared" si="390"/>
        <v>0</v>
      </c>
      <c r="AL426" s="4"/>
      <c r="AM426" s="43">
        <v>410</v>
      </c>
      <c r="AN426">
        <v>61.915104306931312</v>
      </c>
      <c r="AO426">
        <v>71.567828047723452</v>
      </c>
      <c r="AP426">
        <v>506.98685413246875</v>
      </c>
      <c r="AQ426">
        <v>225.70850226619092</v>
      </c>
      <c r="AR426">
        <v>66.035582651236638</v>
      </c>
      <c r="AS426">
        <v>327.52395993999096</v>
      </c>
      <c r="AT426">
        <v>27.882068531158723</v>
      </c>
      <c r="AU426">
        <v>28.570913448379038</v>
      </c>
      <c r="AV426"/>
      <c r="AW426"/>
      <c r="FY426" s="210">
        <v>421</v>
      </c>
      <c r="FZ426">
        <v>17.620471103721634</v>
      </c>
      <c r="GA426">
        <v>31.202853864984281</v>
      </c>
      <c r="GB426">
        <v>39.5433052698979</v>
      </c>
      <c r="GC426">
        <v>13.332169022903239</v>
      </c>
      <c r="GD426">
        <v>7.1645396785558457</v>
      </c>
      <c r="GE426">
        <v>7.1254415797451003</v>
      </c>
      <c r="GF426">
        <v>11.609702667148976</v>
      </c>
      <c r="GG426">
        <v>20.742061754302707</v>
      </c>
      <c r="GH426">
        <v>17.873298087038911</v>
      </c>
      <c r="GI426">
        <v>37.900362703501884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9"/>
        <v>11.696185478745697</v>
      </c>
      <c r="D427" s="191">
        <f>A$409</f>
        <v>0.14000000000000001</v>
      </c>
      <c r="E427" s="8"/>
      <c r="F427" s="124"/>
      <c r="G427" s="107">
        <f t="shared" si="391"/>
        <v>0</v>
      </c>
      <c r="H427" s="107">
        <f t="shared" si="390"/>
        <v>0</v>
      </c>
      <c r="I427" s="107">
        <f t="shared" si="390"/>
        <v>0.40883905467131287</v>
      </c>
      <c r="J427" s="107">
        <f t="shared" si="390"/>
        <v>1.6192692466370013</v>
      </c>
      <c r="K427" s="107">
        <f t="shared" si="390"/>
        <v>1.8720268961599591</v>
      </c>
      <c r="L427" s="107">
        <f t="shared" si="390"/>
        <v>0.32596613576216654</v>
      </c>
      <c r="M427" s="107">
        <f t="shared" si="390"/>
        <v>0</v>
      </c>
      <c r="N427" s="107">
        <f t="shared" si="390"/>
        <v>0</v>
      </c>
      <c r="O427" s="107">
        <f t="shared" si="390"/>
        <v>0</v>
      </c>
      <c r="P427" s="107">
        <f t="shared" si="390"/>
        <v>0</v>
      </c>
      <c r="Q427" s="107">
        <f t="shared" si="390"/>
        <v>1.5744213733617591</v>
      </c>
      <c r="R427" s="107">
        <f t="shared" si="390"/>
        <v>4.0082822221408705</v>
      </c>
      <c r="S427" s="107">
        <f t="shared" si="390"/>
        <v>1.7909525485620397</v>
      </c>
      <c r="T427" s="107">
        <f t="shared" si="390"/>
        <v>0.46052353187484907</v>
      </c>
      <c r="U427" s="107">
        <f t="shared" si="390"/>
        <v>0</v>
      </c>
      <c r="V427" s="107">
        <f t="shared" si="390"/>
        <v>-0.36409553042425957</v>
      </c>
      <c r="W427" s="107">
        <f t="shared" si="390"/>
        <v>0</v>
      </c>
      <c r="X427" s="107">
        <f t="shared" si="390"/>
        <v>0</v>
      </c>
      <c r="Y427" s="107">
        <f t="shared" si="390"/>
        <v>0</v>
      </c>
      <c r="Z427" s="107">
        <f t="shared" si="390"/>
        <v>0</v>
      </c>
      <c r="AA427" s="107">
        <f t="shared" si="390"/>
        <v>0</v>
      </c>
      <c r="AB427" s="107">
        <f t="shared" si="390"/>
        <v>0</v>
      </c>
      <c r="AC427" s="107">
        <f t="shared" si="390"/>
        <v>0</v>
      </c>
      <c r="AD427" s="107">
        <f t="shared" si="390"/>
        <v>0</v>
      </c>
      <c r="AE427" s="107">
        <f t="shared" si="390"/>
        <v>0</v>
      </c>
      <c r="AF427" s="107">
        <f t="shared" si="390"/>
        <v>0</v>
      </c>
      <c r="AG427" s="107">
        <f t="shared" si="390"/>
        <v>0</v>
      </c>
      <c r="AH427" s="107">
        <f t="shared" si="390"/>
        <v>0</v>
      </c>
      <c r="AI427" s="107">
        <f t="shared" si="390"/>
        <v>0</v>
      </c>
      <c r="AJ427" s="107">
        <f t="shared" si="390"/>
        <v>0</v>
      </c>
      <c r="AK427" s="107">
        <f t="shared" si="390"/>
        <v>0</v>
      </c>
      <c r="AL427" s="4"/>
      <c r="AM427" s="43">
        <v>411</v>
      </c>
      <c r="AN427">
        <v>55.665496708578097</v>
      </c>
      <c r="AO427">
        <v>53.129608302137569</v>
      </c>
      <c r="AP427">
        <v>341.89116161396089</v>
      </c>
      <c r="AQ427">
        <v>158.61733224718054</v>
      </c>
      <c r="AR427">
        <v>49.568576422437566</v>
      </c>
      <c r="AS427">
        <v>256.51151324538085</v>
      </c>
      <c r="AT427">
        <v>20.824898438679906</v>
      </c>
      <c r="AU427">
        <v>24.011708378444315</v>
      </c>
      <c r="AV427"/>
      <c r="AW427"/>
      <c r="FY427" s="210">
        <v>422</v>
      </c>
      <c r="FZ427">
        <v>25.389769574751845</v>
      </c>
      <c r="GA427">
        <v>57.793072177000454</v>
      </c>
      <c r="GB427">
        <v>43.949560284930122</v>
      </c>
      <c r="GC427">
        <v>12.439623709828997</v>
      </c>
      <c r="GD427">
        <v>5.2560807556024693</v>
      </c>
      <c r="GE427">
        <v>4.6705914990006345</v>
      </c>
      <c r="GF427">
        <v>11.261188668690213</v>
      </c>
      <c r="GG427">
        <v>14.418057751185357</v>
      </c>
      <c r="GH427">
        <v>9.5377721453945981</v>
      </c>
      <c r="GI427">
        <v>35.896193745482066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9"/>
        <v>13.01200781442583</v>
      </c>
      <c r="D428" s="191">
        <f>A$410</f>
        <v>0.21</v>
      </c>
      <c r="E428" s="8"/>
      <c r="F428" s="124"/>
      <c r="G428" s="107">
        <f t="shared" si="391"/>
        <v>0</v>
      </c>
      <c r="H428" s="107">
        <f t="shared" si="390"/>
        <v>0</v>
      </c>
      <c r="I428" s="107">
        <f t="shared" si="390"/>
        <v>0.42135544946830422</v>
      </c>
      <c r="J428" s="107">
        <f t="shared" si="390"/>
        <v>2.9518382753291639</v>
      </c>
      <c r="K428" s="107">
        <f t="shared" si="390"/>
        <v>2.5182893035101475</v>
      </c>
      <c r="L428" s="107">
        <f t="shared" si="390"/>
        <v>0.12318032784666316</v>
      </c>
      <c r="M428" s="107">
        <f t="shared" si="390"/>
        <v>0</v>
      </c>
      <c r="N428" s="107">
        <f t="shared" si="390"/>
        <v>0</v>
      </c>
      <c r="O428" s="107">
        <f t="shared" si="390"/>
        <v>0</v>
      </c>
      <c r="P428" s="107">
        <f t="shared" si="390"/>
        <v>0</v>
      </c>
      <c r="Q428" s="107">
        <f t="shared" si="390"/>
        <v>2.8145129014312875</v>
      </c>
      <c r="R428" s="107">
        <f t="shared" si="390"/>
        <v>1.1983273545868738</v>
      </c>
      <c r="S428" s="107">
        <f t="shared" si="390"/>
        <v>2.6279290787216589</v>
      </c>
      <c r="T428" s="107">
        <f t="shared" si="390"/>
        <v>0.35657512353173221</v>
      </c>
      <c r="U428" s="107">
        <f t="shared" si="390"/>
        <v>0</v>
      </c>
      <c r="V428" s="107">
        <f t="shared" si="390"/>
        <v>0</v>
      </c>
      <c r="W428" s="107">
        <f t="shared" si="390"/>
        <v>0</v>
      </c>
      <c r="X428" s="107">
        <f t="shared" si="390"/>
        <v>0</v>
      </c>
      <c r="Y428" s="107">
        <f t="shared" si="390"/>
        <v>0</v>
      </c>
      <c r="Z428" s="107">
        <f t="shared" si="390"/>
        <v>0</v>
      </c>
      <c r="AA428" s="107">
        <f t="shared" si="390"/>
        <v>0</v>
      </c>
      <c r="AB428" s="107">
        <f t="shared" si="390"/>
        <v>0</v>
      </c>
      <c r="AC428" s="107">
        <f t="shared" si="390"/>
        <v>0</v>
      </c>
      <c r="AD428" s="107">
        <f t="shared" si="390"/>
        <v>0</v>
      </c>
      <c r="AE428" s="107">
        <f t="shared" si="390"/>
        <v>0</v>
      </c>
      <c r="AF428" s="107">
        <f t="shared" si="390"/>
        <v>0</v>
      </c>
      <c r="AG428" s="107">
        <f t="shared" si="390"/>
        <v>0</v>
      </c>
      <c r="AH428" s="107">
        <f t="shared" si="390"/>
        <v>0</v>
      </c>
      <c r="AI428" s="107">
        <f t="shared" si="390"/>
        <v>0</v>
      </c>
      <c r="AJ428" s="107">
        <f t="shared" si="390"/>
        <v>0</v>
      </c>
      <c r="AK428" s="107">
        <f t="shared" si="390"/>
        <v>0</v>
      </c>
      <c r="AL428" s="4"/>
      <c r="AM428" s="43">
        <v>412</v>
      </c>
      <c r="AN428">
        <v>57.311239375633932</v>
      </c>
      <c r="AO428">
        <v>49.722829024934562</v>
      </c>
      <c r="AP428">
        <v>332.03814459915083</v>
      </c>
      <c r="AQ428">
        <v>155.2163541793542</v>
      </c>
      <c r="AR428">
        <v>48.397753101607698</v>
      </c>
      <c r="AS428">
        <v>262.43127255679684</v>
      </c>
      <c r="AT428">
        <v>16.62050667032419</v>
      </c>
      <c r="AU428">
        <v>8.9093332328192325</v>
      </c>
      <c r="AV428"/>
      <c r="AW428"/>
      <c r="FY428" s="210">
        <v>423</v>
      </c>
      <c r="FZ428">
        <v>29.972488053431064</v>
      </c>
      <c r="GA428">
        <v>77.441985632244283</v>
      </c>
      <c r="GB428">
        <v>44.458484359634475</v>
      </c>
      <c r="GC428">
        <v>11.711704045304952</v>
      </c>
      <c r="GD428">
        <v>4.9948764042953719</v>
      </c>
      <c r="GE428">
        <v>5.1235789597332495</v>
      </c>
      <c r="GF428">
        <v>11.436031196168667</v>
      </c>
      <c r="GG428">
        <v>14.094693879842545</v>
      </c>
      <c r="GH428">
        <v>4.5945781979256157</v>
      </c>
      <c r="GI428">
        <v>35.94441165900065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9"/>
        <v>8.1528411821949174</v>
      </c>
      <c r="D429" s="191">
        <f>A$411</f>
        <v>1.28</v>
      </c>
      <c r="E429" s="8"/>
      <c r="F429" s="124"/>
      <c r="G429" s="107">
        <f t="shared" si="391"/>
        <v>0</v>
      </c>
      <c r="H429" s="107">
        <f t="shared" si="390"/>
        <v>0</v>
      </c>
      <c r="I429" s="107">
        <f t="shared" si="390"/>
        <v>0</v>
      </c>
      <c r="J429" s="107">
        <f t="shared" si="390"/>
        <v>0.59140356458043875</v>
      </c>
      <c r="K429" s="107">
        <f t="shared" si="390"/>
        <v>0.61509875130361036</v>
      </c>
      <c r="L429" s="107">
        <f t="shared" si="390"/>
        <v>0.38889789096938443</v>
      </c>
      <c r="M429" s="107">
        <f t="shared" si="390"/>
        <v>2.1816301769002044</v>
      </c>
      <c r="N429" s="107">
        <f t="shared" si="390"/>
        <v>0</v>
      </c>
      <c r="O429" s="107">
        <f t="shared" si="390"/>
        <v>0</v>
      </c>
      <c r="P429" s="107">
        <f t="shared" si="390"/>
        <v>0</v>
      </c>
      <c r="Q429" s="107">
        <f t="shared" si="390"/>
        <v>0</v>
      </c>
      <c r="R429" s="107">
        <f t="shared" si="390"/>
        <v>0</v>
      </c>
      <c r="S429" s="107">
        <f t="shared" si="390"/>
        <v>4.3362904131217448</v>
      </c>
      <c r="T429" s="107">
        <f t="shared" si="390"/>
        <v>1.1689813962443785</v>
      </c>
      <c r="U429" s="107">
        <f t="shared" si="390"/>
        <v>1.5127833904689918</v>
      </c>
      <c r="V429" s="107">
        <f t="shared" si="390"/>
        <v>0</v>
      </c>
      <c r="W429" s="107">
        <f t="shared" si="390"/>
        <v>-2.6422444013938349</v>
      </c>
      <c r="X429" s="107">
        <f t="shared" si="390"/>
        <v>0</v>
      </c>
      <c r="Y429" s="107">
        <f t="shared" si="390"/>
        <v>0</v>
      </c>
      <c r="Z429" s="107">
        <f t="shared" si="390"/>
        <v>0</v>
      </c>
      <c r="AA429" s="107">
        <f t="shared" si="390"/>
        <v>0</v>
      </c>
      <c r="AB429" s="107">
        <f t="shared" si="390"/>
        <v>0</v>
      </c>
      <c r="AC429" s="107">
        <f t="shared" si="390"/>
        <v>0</v>
      </c>
      <c r="AD429" s="107">
        <f t="shared" si="390"/>
        <v>0</v>
      </c>
      <c r="AE429" s="107">
        <f t="shared" si="390"/>
        <v>0</v>
      </c>
      <c r="AF429" s="107">
        <f t="shared" si="390"/>
        <v>0</v>
      </c>
      <c r="AG429" s="107">
        <f t="shared" si="390"/>
        <v>0</v>
      </c>
      <c r="AH429" s="107">
        <f t="shared" si="390"/>
        <v>0</v>
      </c>
      <c r="AI429" s="107">
        <f t="shared" si="390"/>
        <v>0</v>
      </c>
      <c r="AJ429" s="107">
        <f t="shared" si="390"/>
        <v>0</v>
      </c>
      <c r="AK429" s="107">
        <f t="shared" si="390"/>
        <v>0</v>
      </c>
      <c r="AL429" s="4"/>
      <c r="AM429" s="43">
        <v>413</v>
      </c>
      <c r="AN429">
        <v>52.449586076587799</v>
      </c>
      <c r="AO429">
        <v>64.599069016623773</v>
      </c>
      <c r="AP429">
        <v>524.04751304155434</v>
      </c>
      <c r="AQ429">
        <v>225.52495897627423</v>
      </c>
      <c r="AR429">
        <v>59.599804423022597</v>
      </c>
      <c r="AS429">
        <v>289.35099520835303</v>
      </c>
      <c r="AT429">
        <v>25.632285142041749</v>
      </c>
      <c r="AU429">
        <v>16.308622951170065</v>
      </c>
      <c r="AV429"/>
      <c r="AW429"/>
      <c r="FY429" s="210">
        <v>424</v>
      </c>
      <c r="FZ429">
        <v>29.841994040195782</v>
      </c>
      <c r="GA429">
        <v>42.626278731020051</v>
      </c>
      <c r="GB429">
        <v>30.105672087807484</v>
      </c>
      <c r="GC429">
        <v>12.286418967898767</v>
      </c>
      <c r="GD429">
        <v>8.7003588528068008</v>
      </c>
      <c r="GE429">
        <v>11.765631302390528</v>
      </c>
      <c r="GF429">
        <v>10.876504743833356</v>
      </c>
      <c r="GG429">
        <v>20.367556218567152</v>
      </c>
      <c r="GH429">
        <v>16.921833502984025</v>
      </c>
      <c r="GI429">
        <v>34.930028651220447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9"/>
        <v>20.305617295078317</v>
      </c>
      <c r="D430" s="191">
        <f>A$412</f>
        <v>4</v>
      </c>
      <c r="E430" s="8"/>
      <c r="F430" s="124"/>
      <c r="G430" s="107">
        <f t="shared" si="391"/>
        <v>0</v>
      </c>
      <c r="H430" s="107">
        <f t="shared" si="390"/>
        <v>0</v>
      </c>
      <c r="I430" s="107">
        <f t="shared" si="390"/>
        <v>0</v>
      </c>
      <c r="J430" s="107">
        <f t="shared" si="390"/>
        <v>0.47150234158583926</v>
      </c>
      <c r="K430" s="107">
        <f t="shared" si="390"/>
        <v>1.3976740606038269</v>
      </c>
      <c r="L430" s="107">
        <f t="shared" si="390"/>
        <v>0.34389857843054278</v>
      </c>
      <c r="M430" s="107">
        <f t="shared" si="390"/>
        <v>1.954814649822372</v>
      </c>
      <c r="N430" s="107">
        <f t="shared" si="390"/>
        <v>0</v>
      </c>
      <c r="O430" s="107">
        <f t="shared" si="390"/>
        <v>0.48836489561172691</v>
      </c>
      <c r="P430" s="107">
        <f t="shared" si="390"/>
        <v>0.61230157522083206</v>
      </c>
      <c r="Q430" s="107">
        <f t="shared" si="390"/>
        <v>0</v>
      </c>
      <c r="R430" s="107">
        <f t="shared" si="390"/>
        <v>0</v>
      </c>
      <c r="S430" s="107">
        <f t="shared" si="390"/>
        <v>7.1971109959045183</v>
      </c>
      <c r="T430" s="107">
        <f t="shared" si="390"/>
        <v>0</v>
      </c>
      <c r="U430" s="107">
        <f t="shared" si="390"/>
        <v>5.9508732759614222</v>
      </c>
      <c r="V430" s="107">
        <f t="shared" si="390"/>
        <v>0</v>
      </c>
      <c r="W430" s="107">
        <f t="shared" si="390"/>
        <v>1.8890769219372343</v>
      </c>
      <c r="X430" s="107">
        <f t="shared" si="390"/>
        <v>0</v>
      </c>
      <c r="Y430" s="107">
        <f t="shared" si="390"/>
        <v>0</v>
      </c>
      <c r="Z430" s="107">
        <f t="shared" si="390"/>
        <v>0</v>
      </c>
      <c r="AA430" s="107">
        <f t="shared" si="390"/>
        <v>0</v>
      </c>
      <c r="AB430" s="107">
        <f t="shared" si="390"/>
        <v>0</v>
      </c>
      <c r="AC430" s="107">
        <f t="shared" si="390"/>
        <v>0</v>
      </c>
      <c r="AD430" s="107">
        <f t="shared" si="390"/>
        <v>0</v>
      </c>
      <c r="AE430" s="107">
        <f t="shared" si="390"/>
        <v>0</v>
      </c>
      <c r="AF430" s="107">
        <f t="shared" si="390"/>
        <v>0</v>
      </c>
      <c r="AG430" s="107">
        <f t="shared" si="390"/>
        <v>0</v>
      </c>
      <c r="AH430" s="107">
        <f t="shared" si="390"/>
        <v>0</v>
      </c>
      <c r="AI430" s="107">
        <f t="shared" si="390"/>
        <v>0</v>
      </c>
      <c r="AJ430" s="107">
        <f t="shared" si="390"/>
        <v>0</v>
      </c>
      <c r="AK430" s="107">
        <f t="shared" si="390"/>
        <v>0</v>
      </c>
      <c r="AL430" s="4"/>
      <c r="AM430" s="43">
        <v>414</v>
      </c>
      <c r="AN430">
        <v>49.505794407644402</v>
      </c>
      <c r="AO430">
        <v>54.672430180780317</v>
      </c>
      <c r="AP430">
        <v>378.13628249498362</v>
      </c>
      <c r="AQ430">
        <v>175.31476380551223</v>
      </c>
      <c r="AR430">
        <v>50.787389736850841</v>
      </c>
      <c r="AS430">
        <v>327.07036365062464</v>
      </c>
      <c r="AT430">
        <v>20.764870849247043</v>
      </c>
      <c r="AU430">
        <v>21.260796925805636</v>
      </c>
      <c r="AV430"/>
      <c r="AW430"/>
      <c r="FY430" s="210">
        <v>425</v>
      </c>
      <c r="FZ430">
        <v>21.848133350094599</v>
      </c>
      <c r="GA430">
        <v>55.289807354198295</v>
      </c>
      <c r="GB430">
        <v>24.804669809446089</v>
      </c>
      <c r="GC430">
        <v>9.5386647807145337</v>
      </c>
      <c r="GD430">
        <v>5.8373710626624034</v>
      </c>
      <c r="GE430">
        <v>6.557719454926235</v>
      </c>
      <c r="GF430">
        <v>7.4516074634002347</v>
      </c>
      <c r="GG430">
        <v>10.66252363732122</v>
      </c>
      <c r="GH430">
        <v>16.17707617775309</v>
      </c>
      <c r="GI430">
        <v>23.688512148267066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9"/>
        <v>18.301208785144325</v>
      </c>
      <c r="D431" s="191">
        <f>A$413</f>
        <v>7.33</v>
      </c>
      <c r="E431" s="8"/>
      <c r="F431" s="124"/>
      <c r="G431" s="107">
        <f t="shared" si="391"/>
        <v>0</v>
      </c>
      <c r="H431" s="107">
        <f t="shared" si="390"/>
        <v>0</v>
      </c>
      <c r="I431" s="107">
        <f t="shared" si="390"/>
        <v>0</v>
      </c>
      <c r="J431" s="107">
        <f t="shared" si="390"/>
        <v>1.5263118289924793</v>
      </c>
      <c r="K431" s="107">
        <f t="shared" si="390"/>
        <v>2.1188026232492474</v>
      </c>
      <c r="L431" s="107">
        <f t="shared" si="390"/>
        <v>0</v>
      </c>
      <c r="M431" s="107">
        <f t="shared" si="390"/>
        <v>0.70440852516589081</v>
      </c>
      <c r="N431" s="107">
        <f t="shared" si="390"/>
        <v>0</v>
      </c>
      <c r="O431" s="107">
        <f t="shared" si="390"/>
        <v>0.67320340608095319</v>
      </c>
      <c r="P431" s="107">
        <f t="shared" si="390"/>
        <v>4.3045738319472155</v>
      </c>
      <c r="Q431" s="107">
        <f t="shared" si="390"/>
        <v>0</v>
      </c>
      <c r="R431" s="107">
        <f t="shared" si="390"/>
        <v>0</v>
      </c>
      <c r="S431" s="107">
        <f t="shared" si="390"/>
        <v>2.8320816091856447</v>
      </c>
      <c r="T431" s="107">
        <f t="shared" si="390"/>
        <v>0</v>
      </c>
      <c r="U431" s="107">
        <f t="shared" si="390"/>
        <v>3.2379924511893385</v>
      </c>
      <c r="V431" s="107">
        <f t="shared" si="390"/>
        <v>0</v>
      </c>
      <c r="W431" s="107">
        <f t="shared" si="390"/>
        <v>2.9383961694179148</v>
      </c>
      <c r="X431" s="107">
        <f t="shared" si="390"/>
        <v>0</v>
      </c>
      <c r="Y431" s="107">
        <f t="shared" si="390"/>
        <v>0</v>
      </c>
      <c r="Z431" s="107">
        <f t="shared" si="390"/>
        <v>-3.4561660084358257E-2</v>
      </c>
      <c r="AA431" s="107">
        <f t="shared" si="390"/>
        <v>0</v>
      </c>
      <c r="AB431" s="107">
        <f t="shared" si="390"/>
        <v>0</v>
      </c>
      <c r="AC431" s="107">
        <f t="shared" si="390"/>
        <v>0</v>
      </c>
      <c r="AD431" s="107">
        <f t="shared" si="390"/>
        <v>0</v>
      </c>
      <c r="AE431" s="107">
        <f t="shared" si="390"/>
        <v>0</v>
      </c>
      <c r="AF431" s="107">
        <f t="shared" si="390"/>
        <v>0</v>
      </c>
      <c r="AG431" s="107">
        <f t="shared" si="390"/>
        <v>0</v>
      </c>
      <c r="AH431" s="107">
        <f t="shared" si="390"/>
        <v>0</v>
      </c>
      <c r="AI431" s="107">
        <f t="shared" si="390"/>
        <v>0</v>
      </c>
      <c r="AJ431" s="107">
        <f t="shared" si="390"/>
        <v>0</v>
      </c>
      <c r="AK431" s="107">
        <f t="shared" si="390"/>
        <v>0</v>
      </c>
      <c r="AL431" s="4"/>
      <c r="AM431" s="43">
        <v>415</v>
      </c>
      <c r="AN431">
        <v>71.960606272432585</v>
      </c>
      <c r="AO431">
        <v>106.77542171044385</v>
      </c>
      <c r="AP431">
        <v>761.57697541198058</v>
      </c>
      <c r="AQ431">
        <v>292.81946617006673</v>
      </c>
      <c r="AR431">
        <v>98.404490183213341</v>
      </c>
      <c r="AS431">
        <v>505.64410127569749</v>
      </c>
      <c r="AT431">
        <v>41.182101579520669</v>
      </c>
      <c r="AU431">
        <v>24.303729434664156</v>
      </c>
      <c r="AV431"/>
      <c r="AW431"/>
      <c r="FY431" s="210">
        <v>426</v>
      </c>
      <c r="FZ431">
        <v>24.398576218340853</v>
      </c>
      <c r="GA431">
        <v>38.502280711427161</v>
      </c>
      <c r="GB431">
        <v>45.442676329711688</v>
      </c>
      <c r="GC431">
        <v>13.515906219637106</v>
      </c>
      <c r="GD431">
        <v>8.81636674074411</v>
      </c>
      <c r="GE431">
        <v>12.173244348491995</v>
      </c>
      <c r="GF431">
        <v>9.920067787148005</v>
      </c>
      <c r="GG431">
        <v>16.270373540269293</v>
      </c>
      <c r="GH431">
        <v>18.821050306491085</v>
      </c>
      <c r="GI431">
        <v>40.682909287227382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9"/>
        <v>41.220974567302605</v>
      </c>
      <c r="D432" s="191">
        <f>A$414</f>
        <v>10.51</v>
      </c>
      <c r="E432" s="8"/>
      <c r="F432" s="124"/>
      <c r="G432" s="107">
        <f t="shared" si="391"/>
        <v>0</v>
      </c>
      <c r="H432" s="107">
        <f t="shared" ref="H432:AK432" si="392">(($A$453+$A$455*(H$422)+($A$457*$D432))*($E30*H46))</f>
        <v>1.279365671333599E-2</v>
      </c>
      <c r="I432" s="107">
        <f t="shared" si="392"/>
        <v>0.60788337210882259</v>
      </c>
      <c r="J432" s="107">
        <f t="shared" si="392"/>
        <v>2.039335128752418</v>
      </c>
      <c r="K432" s="107">
        <f t="shared" si="392"/>
        <v>1.9215291779005592</v>
      </c>
      <c r="L432" s="107">
        <f t="shared" si="392"/>
        <v>0.85979053707985453</v>
      </c>
      <c r="M432" s="107">
        <f t="shared" si="392"/>
        <v>0.81166767861575684</v>
      </c>
      <c r="N432" s="107">
        <f t="shared" si="392"/>
        <v>0.64358479888228315</v>
      </c>
      <c r="O432" s="107">
        <f t="shared" si="392"/>
        <v>0.87074422465222512</v>
      </c>
      <c r="P432" s="107">
        <f t="shared" si="392"/>
        <v>1.8281919100860482</v>
      </c>
      <c r="Q432" s="107">
        <f t="shared" si="392"/>
        <v>2.0836774672424059</v>
      </c>
      <c r="R432" s="107">
        <f t="shared" si="392"/>
        <v>5.8047015513898383</v>
      </c>
      <c r="S432" s="107">
        <f t="shared" si="392"/>
        <v>7.6321531582495759</v>
      </c>
      <c r="T432" s="107">
        <f t="shared" si="392"/>
        <v>3.498532367797166</v>
      </c>
      <c r="U432" s="107">
        <f t="shared" si="392"/>
        <v>4.1983200405518444</v>
      </c>
      <c r="V432" s="107">
        <f t="shared" si="392"/>
        <v>4.6918326202630984</v>
      </c>
      <c r="W432" s="107">
        <f t="shared" si="392"/>
        <v>2.7064042219622517</v>
      </c>
      <c r="X432" s="107">
        <f t="shared" si="392"/>
        <v>0.60740209443351423</v>
      </c>
      <c r="Y432" s="107">
        <f t="shared" si="392"/>
        <v>0</v>
      </c>
      <c r="Z432" s="107">
        <f t="shared" si="392"/>
        <v>0.40243056062160337</v>
      </c>
      <c r="AA432" s="107">
        <f t="shared" si="392"/>
        <v>0</v>
      </c>
      <c r="AB432" s="107">
        <f t="shared" si="392"/>
        <v>0</v>
      </c>
      <c r="AC432" s="107">
        <f t="shared" si="392"/>
        <v>0</v>
      </c>
      <c r="AD432" s="107">
        <f t="shared" si="392"/>
        <v>0</v>
      </c>
      <c r="AE432" s="107">
        <f t="shared" si="392"/>
        <v>0</v>
      </c>
      <c r="AF432" s="107">
        <f t="shared" si="392"/>
        <v>0</v>
      </c>
      <c r="AG432" s="107">
        <f t="shared" si="392"/>
        <v>0</v>
      </c>
      <c r="AH432" s="107">
        <f t="shared" si="392"/>
        <v>0</v>
      </c>
      <c r="AI432" s="107">
        <f t="shared" si="392"/>
        <v>0</v>
      </c>
      <c r="AJ432" s="107">
        <f t="shared" si="392"/>
        <v>0</v>
      </c>
      <c r="AK432" s="107">
        <f t="shared" si="392"/>
        <v>0</v>
      </c>
      <c r="AL432" s="4"/>
      <c r="AM432" s="43">
        <v>416</v>
      </c>
      <c r="AN432">
        <v>43.817938297273351</v>
      </c>
      <c r="AO432">
        <v>70.822178013918133</v>
      </c>
      <c r="AP432">
        <v>501.22258601108615</v>
      </c>
      <c r="AQ432">
        <v>188.29046433122906</v>
      </c>
      <c r="AR432">
        <v>66.150169263981212</v>
      </c>
      <c r="AS432">
        <v>308.91675536921048</v>
      </c>
      <c r="AT432">
        <v>26.607115846932846</v>
      </c>
      <c r="AU432">
        <v>-6.2467897046823522</v>
      </c>
      <c r="AV432"/>
      <c r="AW432"/>
      <c r="FY432" s="210">
        <v>427</v>
      </c>
      <c r="FZ432">
        <v>17.125634042870786</v>
      </c>
      <c r="GA432">
        <v>43.087617951824924</v>
      </c>
      <c r="GB432">
        <v>38.006697156256443</v>
      </c>
      <c r="GC432">
        <v>11.695267883907528</v>
      </c>
      <c r="GD432">
        <v>6.9393852923545314</v>
      </c>
      <c r="GE432">
        <v>8.8813731854769635</v>
      </c>
      <c r="GF432">
        <v>9.7012119418213256</v>
      </c>
      <c r="GG432">
        <v>10.736944729630473</v>
      </c>
      <c r="GH432">
        <v>15.372357170329099</v>
      </c>
      <c r="GI432">
        <v>34.190141557521464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46.443081009790149</v>
      </c>
      <c r="AO433">
        <v>52.367666813064467</v>
      </c>
      <c r="AP433">
        <v>383.7808409194397</v>
      </c>
      <c r="AQ433">
        <v>186.00232415523487</v>
      </c>
      <c r="AR433">
        <v>48.337211818290051</v>
      </c>
      <c r="AS433">
        <v>369.89692301656572</v>
      </c>
      <c r="AT433">
        <v>19.496056346865586</v>
      </c>
      <c r="AU433">
        <v>-10.495456659898181</v>
      </c>
      <c r="AV433"/>
      <c r="AW433"/>
      <c r="FY433" s="210">
        <v>428</v>
      </c>
      <c r="FZ433">
        <v>23.096849078445658</v>
      </c>
      <c r="GA433">
        <v>42.721738046571595</v>
      </c>
      <c r="GB433">
        <v>27.239132348932507</v>
      </c>
      <c r="GC433">
        <v>11.382570354190118</v>
      </c>
      <c r="GD433">
        <v>6.3818137973877782</v>
      </c>
      <c r="GE433">
        <v>5.4542518726635976</v>
      </c>
      <c r="GF433">
        <v>9.8307992470119654</v>
      </c>
      <c r="GG433">
        <v>13.159368760281133</v>
      </c>
      <c r="GH433">
        <v>7.5896661830080054</v>
      </c>
      <c r="GI433">
        <v>29.773956873102346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51.684535378238706</v>
      </c>
      <c r="AO434">
        <v>86.35619199960972</v>
      </c>
      <c r="AP434">
        <v>590.51747178301309</v>
      </c>
      <c r="AQ434">
        <v>227.96115572044812</v>
      </c>
      <c r="AR434">
        <v>79.413375451899697</v>
      </c>
      <c r="AS434">
        <v>545.70588671339783</v>
      </c>
      <c r="AT434">
        <v>33.234537520419273</v>
      </c>
      <c r="AU434">
        <v>-33.17176970802133</v>
      </c>
      <c r="AV434"/>
      <c r="AW434"/>
      <c r="FY434" s="210">
        <v>429</v>
      </c>
      <c r="FZ434">
        <v>20.472687442778113</v>
      </c>
      <c r="GA434">
        <v>51.060790621809453</v>
      </c>
      <c r="GB434">
        <v>29.890956935147656</v>
      </c>
      <c r="GC434">
        <v>10.539073076184332</v>
      </c>
      <c r="GD434">
        <v>6.9822053730132083</v>
      </c>
      <c r="GE434">
        <v>8.0259180056730113</v>
      </c>
      <c r="GF434">
        <v>11.98864459235056</v>
      </c>
      <c r="GG434">
        <v>19.430024691308276</v>
      </c>
      <c r="GH434">
        <v>10.62745268449855</v>
      </c>
      <c r="GI434">
        <v>33.086363071273112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258.62573689601169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54.208814788403913</v>
      </c>
      <c r="AO435">
        <v>72.555502576802354</v>
      </c>
      <c r="AP435">
        <v>514.6503595591156</v>
      </c>
      <c r="AQ435">
        <v>203.94570256666958</v>
      </c>
      <c r="AR435">
        <v>66.418892681414107</v>
      </c>
      <c r="AS435">
        <v>412.30503322349921</v>
      </c>
      <c r="AT435">
        <v>26.253509341984024</v>
      </c>
      <c r="AU435">
        <v>28.401794926763561</v>
      </c>
      <c r="AV435"/>
      <c r="AW435"/>
      <c r="FY435" s="210">
        <v>430</v>
      </c>
      <c r="FZ435">
        <v>18.255021096380592</v>
      </c>
      <c r="GA435">
        <v>64.392020314094026</v>
      </c>
      <c r="GB435">
        <v>41.358307437550607</v>
      </c>
      <c r="GC435">
        <v>13.911091738537039</v>
      </c>
      <c r="GD435">
        <v>9.523752309111055</v>
      </c>
      <c r="GE435">
        <v>10.788841314221926</v>
      </c>
      <c r="GF435">
        <v>12.251638915721077</v>
      </c>
      <c r="GG435">
        <v>17.666024218015856</v>
      </c>
      <c r="GH435">
        <v>14.039620554276675</v>
      </c>
      <c r="GI435">
        <v>39.288446945101555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45.796433512939288</v>
      </c>
      <c r="AO436">
        <v>45.066995646027245</v>
      </c>
      <c r="AP436">
        <v>290.41103036313677</v>
      </c>
      <c r="AQ436">
        <v>143.17651542229879</v>
      </c>
      <c r="AR436">
        <v>42.492879486272507</v>
      </c>
      <c r="AS436">
        <v>358.68337127538376</v>
      </c>
      <c r="AT436">
        <v>17.49087862661337</v>
      </c>
      <c r="AU436">
        <v>23.701688773904142</v>
      </c>
      <c r="AV436"/>
      <c r="AW436"/>
      <c r="FY436" s="210">
        <v>431</v>
      </c>
      <c r="FZ436">
        <v>23.578057375712994</v>
      </c>
      <c r="GA436">
        <v>66.231766812878078</v>
      </c>
      <c r="GB436">
        <v>36.817093026854899</v>
      </c>
      <c r="GC436">
        <v>7.1871120610279213</v>
      </c>
      <c r="GD436">
        <v>3.5135258588454503</v>
      </c>
      <c r="GE436">
        <v>5.4994491311805431</v>
      </c>
      <c r="GF436">
        <v>12.315417081135074</v>
      </c>
      <c r="GG436">
        <v>18.906923091780307</v>
      </c>
      <c r="GH436">
        <v>16.268207202485232</v>
      </c>
      <c r="GI436">
        <v>29.979855381974446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61.735186726514634</v>
      </c>
      <c r="AO437">
        <v>82.848061837663039</v>
      </c>
      <c r="AP437">
        <v>566.86238112931585</v>
      </c>
      <c r="AQ437">
        <v>204.11420573180047</v>
      </c>
      <c r="AR437">
        <v>77.70880868475254</v>
      </c>
      <c r="AS437">
        <v>373.71825201842006</v>
      </c>
      <c r="AT437">
        <v>30.361224193760819</v>
      </c>
      <c r="AU437">
        <v>74.050359445318676</v>
      </c>
      <c r="AV437"/>
      <c r="AW437"/>
      <c r="FY437" s="210">
        <v>432</v>
      </c>
      <c r="FZ437">
        <v>24.116918079290382</v>
      </c>
      <c r="GA437">
        <v>64.068708806229282</v>
      </c>
      <c r="GB437">
        <v>36.919436177327043</v>
      </c>
      <c r="GC437">
        <v>10.494710547965058</v>
      </c>
      <c r="GD437">
        <v>4.6427276832443152</v>
      </c>
      <c r="GE437">
        <v>4.4977601329960351</v>
      </c>
      <c r="GF437">
        <v>12.988440717366162</v>
      </c>
      <c r="GG437">
        <v>21.623721462142033</v>
      </c>
      <c r="GH437">
        <v>20.643404808493976</v>
      </c>
      <c r="GI437">
        <v>34.242228382554053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58.648042413789334</v>
      </c>
      <c r="AO438">
        <v>77.334842015465966</v>
      </c>
      <c r="AP438">
        <v>578.17732696456994</v>
      </c>
      <c r="AQ438">
        <v>220.61191031186678</v>
      </c>
      <c r="AR438">
        <v>72.52459954394493</v>
      </c>
      <c r="AS438">
        <v>440.11665316776924</v>
      </c>
      <c r="AT438">
        <v>27.510199160287879</v>
      </c>
      <c r="AU438">
        <v>-32.345769097435493</v>
      </c>
      <c r="AV438"/>
      <c r="AW438"/>
      <c r="FY438" s="210">
        <v>433</v>
      </c>
      <c r="FZ438">
        <v>16.716187428945144</v>
      </c>
      <c r="GA438">
        <v>53.718460029967559</v>
      </c>
      <c r="GB438">
        <v>38.312948186377909</v>
      </c>
      <c r="GC438">
        <v>15.048949917311191</v>
      </c>
      <c r="GD438">
        <v>11.770002566666943</v>
      </c>
      <c r="GE438">
        <v>13.521754116111241</v>
      </c>
      <c r="GF438">
        <v>9.8428734796428721</v>
      </c>
      <c r="GG438">
        <v>20.466452840744108</v>
      </c>
      <c r="GH438">
        <v>20.312369336089592</v>
      </c>
      <c r="GI438">
        <v>42.105173942517311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52.923068687897853</v>
      </c>
      <c r="AO439">
        <v>77.150703944752649</v>
      </c>
      <c r="AP439">
        <v>604.05761416095174</v>
      </c>
      <c r="AQ439">
        <v>239.77283238758085</v>
      </c>
      <c r="AR439">
        <v>72.472377098698814</v>
      </c>
      <c r="AS439">
        <v>463.91787283838698</v>
      </c>
      <c r="AT439">
        <v>30.268321925693243</v>
      </c>
      <c r="AU439">
        <v>27.571841237319099</v>
      </c>
      <c r="AV439"/>
      <c r="AW439"/>
      <c r="FY439" s="210">
        <v>434</v>
      </c>
      <c r="FZ439">
        <v>14.552474276604105</v>
      </c>
      <c r="GA439">
        <v>66.733797014816176</v>
      </c>
      <c r="GB439">
        <v>36.580884707215738</v>
      </c>
      <c r="GC439">
        <v>5.8957449222733738</v>
      </c>
      <c r="GD439">
        <v>3.7775251349081773</v>
      </c>
      <c r="GE439">
        <v>6.7962337960019363</v>
      </c>
      <c r="GF439">
        <v>10.135836597308341</v>
      </c>
      <c r="GG439">
        <v>17.344579105151315</v>
      </c>
      <c r="GH439">
        <v>15.961688611348006</v>
      </c>
      <c r="GI439">
        <v>26.375216388468303</v>
      </c>
      <c r="GJ439"/>
      <c r="GK439"/>
      <c r="GL439"/>
      <c r="GM439"/>
    </row>
    <row r="440" spans="1:195" s="7" customFormat="1">
      <c r="A440" s="1">
        <v>19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65.687097759004516</v>
      </c>
      <c r="AO440">
        <v>71.873781781587169</v>
      </c>
      <c r="AP440">
        <v>488.07634312356538</v>
      </c>
      <c r="AQ440">
        <v>218.42227709872441</v>
      </c>
      <c r="AR440">
        <v>66.567153574814483</v>
      </c>
      <c r="AS440">
        <v>422.3016926603712</v>
      </c>
      <c r="AT440">
        <v>27.42232816393647</v>
      </c>
      <c r="AU440">
        <v>57.850594881367144</v>
      </c>
      <c r="AV440"/>
      <c r="AW440"/>
      <c r="FY440" s="210">
        <v>435</v>
      </c>
      <c r="FZ440">
        <v>19.34119401368557</v>
      </c>
      <c r="GA440">
        <v>55.229776934324306</v>
      </c>
      <c r="GB440">
        <v>23.930028976407645</v>
      </c>
      <c r="GC440">
        <v>9.0162674031516339</v>
      </c>
      <c r="GD440">
        <v>5.6191197785782068</v>
      </c>
      <c r="GE440">
        <v>6.9624719435631244</v>
      </c>
      <c r="GF440">
        <v>9.6405729357969037</v>
      </c>
      <c r="GG440">
        <v>17.435341927759918</v>
      </c>
      <c r="GH440">
        <v>20.264727856323134</v>
      </c>
      <c r="GI440">
        <v>25.066622702620695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93">SUM(G441:AK441)</f>
        <v>24.246459960453144</v>
      </c>
      <c r="D441" s="191">
        <f>$A$405</f>
        <v>13.69</v>
      </c>
      <c r="E441" s="8"/>
      <c r="F441" s="124"/>
      <c r="G441" s="107" t="str">
        <f t="shared" ref="G441:G450" si="394">IF(G423&lt;=0, "0.000", G423)</f>
        <v>0.000</v>
      </c>
      <c r="H441" s="107">
        <f t="shared" ref="H441:AK441" si="395">IF(H423&lt;=0, "0.000", H423)</f>
        <v>2.7966910037006534E-2</v>
      </c>
      <c r="I441" s="107">
        <f t="shared" si="395"/>
        <v>0.71236846109526775</v>
      </c>
      <c r="J441" s="107">
        <f t="shared" si="395"/>
        <v>1.7461816583492127</v>
      </c>
      <c r="K441" s="107">
        <f t="shared" si="395"/>
        <v>2.0034067238062025</v>
      </c>
      <c r="L441" s="107">
        <f t="shared" si="395"/>
        <v>0.24624641159928734</v>
      </c>
      <c r="M441" s="107">
        <f t="shared" si="395"/>
        <v>1.1444162658500556</v>
      </c>
      <c r="N441" s="107">
        <f t="shared" si="395"/>
        <v>3.8407782219247171</v>
      </c>
      <c r="O441" s="107">
        <f t="shared" si="395"/>
        <v>4.4769319801054008</v>
      </c>
      <c r="P441" s="107">
        <f t="shared" si="395"/>
        <v>1.9407731115752678</v>
      </c>
      <c r="Q441" s="107">
        <f t="shared" si="395"/>
        <v>1.2159204553128018</v>
      </c>
      <c r="R441" s="107" t="str">
        <f t="shared" si="395"/>
        <v>0.000</v>
      </c>
      <c r="S441" s="107">
        <f t="shared" si="395"/>
        <v>1.738216748426513</v>
      </c>
      <c r="T441" s="107" t="str">
        <f t="shared" si="395"/>
        <v>0.000</v>
      </c>
      <c r="U441" s="107" t="str">
        <f t="shared" si="395"/>
        <v>0.000</v>
      </c>
      <c r="V441" s="107" t="str">
        <f t="shared" si="395"/>
        <v>0.000</v>
      </c>
      <c r="W441" s="107" t="str">
        <f t="shared" si="395"/>
        <v>0.000</v>
      </c>
      <c r="X441" s="107">
        <f t="shared" si="395"/>
        <v>5.1532530123714135</v>
      </c>
      <c r="Y441" s="107" t="str">
        <f t="shared" si="395"/>
        <v>0.000</v>
      </c>
      <c r="Z441" s="107" t="str">
        <f t="shared" si="395"/>
        <v>0.000</v>
      </c>
      <c r="AA441" s="107" t="str">
        <f t="shared" si="395"/>
        <v>0.000</v>
      </c>
      <c r="AB441" s="107" t="str">
        <f t="shared" si="395"/>
        <v>0.000</v>
      </c>
      <c r="AC441" s="107" t="str">
        <f t="shared" si="395"/>
        <v>0.000</v>
      </c>
      <c r="AD441" s="107" t="str">
        <f t="shared" si="395"/>
        <v>0.000</v>
      </c>
      <c r="AE441" s="107" t="str">
        <f t="shared" si="395"/>
        <v>0.000</v>
      </c>
      <c r="AF441" s="107" t="str">
        <f t="shared" si="395"/>
        <v>0.000</v>
      </c>
      <c r="AG441" s="107" t="str">
        <f t="shared" si="395"/>
        <v>0.000</v>
      </c>
      <c r="AH441" s="107" t="str">
        <f t="shared" si="395"/>
        <v>0.000</v>
      </c>
      <c r="AI441" s="107" t="str">
        <f t="shared" si="395"/>
        <v>0.000</v>
      </c>
      <c r="AJ441" s="107" t="str">
        <f t="shared" si="395"/>
        <v>0.000</v>
      </c>
      <c r="AK441" s="107" t="str">
        <f t="shared" si="395"/>
        <v>0.000</v>
      </c>
      <c r="AL441" s="4"/>
      <c r="AM441" s="43">
        <v>425</v>
      </c>
      <c r="AN441">
        <v>50.116624991754364</v>
      </c>
      <c r="AO441">
        <v>46.569305744117671</v>
      </c>
      <c r="AP441">
        <v>369.66359048476033</v>
      </c>
      <c r="AQ441">
        <v>181.85608523878375</v>
      </c>
      <c r="AR441">
        <v>43.761723583116122</v>
      </c>
      <c r="AS441">
        <v>237.78907552745545</v>
      </c>
      <c r="AT441">
        <v>19.291722594612484</v>
      </c>
      <c r="AU441">
        <v>-38.737684550350323</v>
      </c>
      <c r="AV441"/>
      <c r="AW441"/>
      <c r="FY441" s="210">
        <v>436</v>
      </c>
      <c r="FZ441">
        <v>23.76785297680615</v>
      </c>
      <c r="GA441">
        <v>44.556804030175698</v>
      </c>
      <c r="GB441">
        <v>38.101622792216325</v>
      </c>
      <c r="GC441">
        <v>14.523351502791403</v>
      </c>
      <c r="GD441">
        <v>6.4562535433304298</v>
      </c>
      <c r="GE441">
        <v>5.4813704504735608</v>
      </c>
      <c r="GF441">
        <v>12.272246917795641</v>
      </c>
      <c r="GG441">
        <v>23.573246285609173</v>
      </c>
      <c r="GH441">
        <v>28.772335636062532</v>
      </c>
      <c r="GI441">
        <v>41.973190125115124</v>
      </c>
      <c r="GJ441"/>
      <c r="GK441"/>
      <c r="GL441"/>
      <c r="GM441"/>
    </row>
    <row r="442" spans="1:195" s="7" customFormat="1">
      <c r="A442" s="1">
        <v>385</v>
      </c>
      <c r="B442" s="48" t="s">
        <v>39</v>
      </c>
      <c r="C442" s="107">
        <f t="shared" si="393"/>
        <v>66.160684272062227</v>
      </c>
      <c r="D442" s="191">
        <f>$A$406</f>
        <v>9.4499999999999993</v>
      </c>
      <c r="E442" s="8"/>
      <c r="F442" s="124"/>
      <c r="G442" s="173" t="str">
        <f t="shared" si="394"/>
        <v>0.000</v>
      </c>
      <c r="H442" s="173" t="str">
        <f t="shared" ref="H442:V442" si="396">IF(H424&lt;=0, "0.000", H424)</f>
        <v>0.000</v>
      </c>
      <c r="I442" s="173">
        <f t="shared" si="396"/>
        <v>1.6368569098994554</v>
      </c>
      <c r="J442" s="173">
        <f t="shared" si="396"/>
        <v>2.1462980207541706</v>
      </c>
      <c r="K442" s="173">
        <f t="shared" si="396"/>
        <v>2.5305245803621337</v>
      </c>
      <c r="L442" s="173">
        <f t="shared" si="396"/>
        <v>0.28940866833926793</v>
      </c>
      <c r="M442" s="173">
        <f t="shared" si="396"/>
        <v>1.785722873844622</v>
      </c>
      <c r="N442" s="173">
        <f t="shared" si="396"/>
        <v>5.1078899153281041</v>
      </c>
      <c r="O442" s="173">
        <f t="shared" si="396"/>
        <v>5.1715055462584782</v>
      </c>
      <c r="P442" s="173">
        <f t="shared" si="396"/>
        <v>6.6626267966927113</v>
      </c>
      <c r="Q442" s="173">
        <f t="shared" si="396"/>
        <v>4.1245704975846351</v>
      </c>
      <c r="R442" s="173">
        <f t="shared" si="396"/>
        <v>4.9283874498597795</v>
      </c>
      <c r="S442" s="173">
        <f t="shared" si="396"/>
        <v>13.288756415828168</v>
      </c>
      <c r="T442" s="173">
        <f t="shared" si="396"/>
        <v>4.2440191020746312</v>
      </c>
      <c r="U442" s="173" t="str">
        <f t="shared" si="396"/>
        <v>0.000</v>
      </c>
      <c r="V442" s="173">
        <f t="shared" si="396"/>
        <v>14.244117495236072</v>
      </c>
      <c r="W442" s="173" t="str">
        <f t="shared" ref="W442:AK442" si="397">IF(W424&lt;=0, "0.000", W424)</f>
        <v>0.000</v>
      </c>
      <c r="X442" s="173" t="str">
        <f t="shared" si="397"/>
        <v>0.000</v>
      </c>
      <c r="Y442" s="173" t="str">
        <f t="shared" si="397"/>
        <v>0.000</v>
      </c>
      <c r="Z442" s="173" t="str">
        <f t="shared" si="397"/>
        <v>0.000</v>
      </c>
      <c r="AA442" s="173" t="str">
        <f t="shared" si="397"/>
        <v>0.000</v>
      </c>
      <c r="AB442" s="173" t="str">
        <f t="shared" si="397"/>
        <v>0.000</v>
      </c>
      <c r="AC442" s="173" t="str">
        <f t="shared" si="397"/>
        <v>0.000</v>
      </c>
      <c r="AD442" s="173" t="str">
        <f t="shared" si="397"/>
        <v>0.000</v>
      </c>
      <c r="AE442" s="173" t="str">
        <f t="shared" si="397"/>
        <v>0.000</v>
      </c>
      <c r="AF442" s="173" t="str">
        <f t="shared" si="397"/>
        <v>0.000</v>
      </c>
      <c r="AG442" s="173" t="str">
        <f t="shared" si="397"/>
        <v>0.000</v>
      </c>
      <c r="AH442" s="173" t="str">
        <f t="shared" si="397"/>
        <v>0.000</v>
      </c>
      <c r="AI442" s="173" t="str">
        <f t="shared" si="397"/>
        <v>0.000</v>
      </c>
      <c r="AJ442" s="173" t="str">
        <f t="shared" si="397"/>
        <v>0.000</v>
      </c>
      <c r="AK442" s="173" t="str">
        <f t="shared" si="397"/>
        <v>0.000</v>
      </c>
      <c r="AL442" s="4"/>
      <c r="AM442" s="43">
        <v>426</v>
      </c>
      <c r="AN442">
        <v>66.498077003024193</v>
      </c>
      <c r="AO442">
        <v>87.712237830869725</v>
      </c>
      <c r="AP442">
        <v>593.41051644846016</v>
      </c>
      <c r="AQ442">
        <v>228.54345148948869</v>
      </c>
      <c r="AR442">
        <v>81.439739472339696</v>
      </c>
      <c r="AS442">
        <v>624.74850477282337</v>
      </c>
      <c r="AT442">
        <v>32.206377383926437</v>
      </c>
      <c r="AU442">
        <v>15.728365024470865</v>
      </c>
      <c r="AV442"/>
      <c r="AW442"/>
      <c r="FY442" s="210">
        <v>437</v>
      </c>
      <c r="FZ442">
        <v>34.234258382691507</v>
      </c>
      <c r="GA442">
        <v>53.306256110453674</v>
      </c>
      <c r="GB442">
        <v>30.205253031254653</v>
      </c>
      <c r="GC442">
        <v>12.391185863767095</v>
      </c>
      <c r="GD442">
        <v>5.6880675781573196</v>
      </c>
      <c r="GE442">
        <v>5.0076122627674291</v>
      </c>
      <c r="GF442">
        <v>10.37047143423276</v>
      </c>
      <c r="GG442">
        <v>19.675559733603215</v>
      </c>
      <c r="GH442">
        <v>16.825936622220642</v>
      </c>
      <c r="GI442">
        <v>30.621536210505525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93"/>
        <v>43.307920997285606</v>
      </c>
      <c r="D443" s="191">
        <f>A$407</f>
        <v>4.03</v>
      </c>
      <c r="E443" s="8"/>
      <c r="F443" s="124"/>
      <c r="G443" s="173" t="str">
        <f t="shared" si="394"/>
        <v>0.000</v>
      </c>
      <c r="H443" s="173">
        <f t="shared" ref="H443:V443" si="398">IF(H425&lt;=0, "0.000", H425)</f>
        <v>3.5421295123815824E-2</v>
      </c>
      <c r="I443" s="173">
        <f t="shared" si="398"/>
        <v>1.1039652011660237</v>
      </c>
      <c r="J443" s="173">
        <f t="shared" si="398"/>
        <v>2.0503849725788772</v>
      </c>
      <c r="K443" s="173">
        <f t="shared" si="398"/>
        <v>0.34312701194082978</v>
      </c>
      <c r="L443" s="173">
        <f t="shared" si="398"/>
        <v>2.2313610443739589</v>
      </c>
      <c r="M443" s="173">
        <f t="shared" si="398"/>
        <v>0.44528897200877787</v>
      </c>
      <c r="N443" s="173">
        <f t="shared" si="398"/>
        <v>0.31358277206445001</v>
      </c>
      <c r="O443" s="173">
        <f t="shared" si="398"/>
        <v>0.41477590840420059</v>
      </c>
      <c r="P443" s="173">
        <f t="shared" si="398"/>
        <v>3.1210153040195792</v>
      </c>
      <c r="Q443" s="173">
        <f t="shared" si="398"/>
        <v>1.8643033254417312</v>
      </c>
      <c r="R443" s="173">
        <f t="shared" si="398"/>
        <v>4.9541049608002377</v>
      </c>
      <c r="S443" s="173">
        <f t="shared" si="398"/>
        <v>8.4199884468659381</v>
      </c>
      <c r="T443" s="173">
        <f t="shared" si="398"/>
        <v>3.8900146382641285</v>
      </c>
      <c r="U443" s="173">
        <f t="shared" si="398"/>
        <v>5.0786555584886575</v>
      </c>
      <c r="V443" s="173">
        <f t="shared" si="398"/>
        <v>7.8928665761944492</v>
      </c>
      <c r="W443" s="173">
        <f t="shared" ref="W443:AK443" si="399">IF(W425&lt;=0, "0.000", W425)</f>
        <v>1.1490650095499568</v>
      </c>
      <c r="X443" s="173" t="str">
        <f t="shared" si="399"/>
        <v>0.000</v>
      </c>
      <c r="Y443" s="173" t="str">
        <f t="shared" si="399"/>
        <v>0.000</v>
      </c>
      <c r="Z443" s="173" t="str">
        <f t="shared" si="399"/>
        <v>0.000</v>
      </c>
      <c r="AA443" s="173" t="str">
        <f t="shared" si="399"/>
        <v>0.000</v>
      </c>
      <c r="AB443" s="173" t="str">
        <f t="shared" si="399"/>
        <v>0.000</v>
      </c>
      <c r="AC443" s="173" t="str">
        <f t="shared" si="399"/>
        <v>0.000</v>
      </c>
      <c r="AD443" s="173" t="str">
        <f t="shared" si="399"/>
        <v>0.000</v>
      </c>
      <c r="AE443" s="173" t="str">
        <f t="shared" si="399"/>
        <v>0.000</v>
      </c>
      <c r="AF443" s="173" t="str">
        <f t="shared" si="399"/>
        <v>0.000</v>
      </c>
      <c r="AG443" s="173" t="str">
        <f t="shared" si="399"/>
        <v>0.000</v>
      </c>
      <c r="AH443" s="173" t="str">
        <f t="shared" si="399"/>
        <v>0.000</v>
      </c>
      <c r="AI443" s="173" t="str">
        <f t="shared" si="399"/>
        <v>0.000</v>
      </c>
      <c r="AJ443" s="173" t="str">
        <f t="shared" si="399"/>
        <v>0.000</v>
      </c>
      <c r="AK443" s="173" t="str">
        <f t="shared" si="399"/>
        <v>0.000</v>
      </c>
      <c r="AL443" s="4"/>
      <c r="AM443" s="43">
        <v>427</v>
      </c>
      <c r="AN443">
        <v>55.289851276426575</v>
      </c>
      <c r="AO443">
        <v>73.992218945896639</v>
      </c>
      <c r="AP443">
        <v>499.06548186848363</v>
      </c>
      <c r="AQ443">
        <v>195.73663091199353</v>
      </c>
      <c r="AR443">
        <v>68.253468137369552</v>
      </c>
      <c r="AS443">
        <v>322.04434071787381</v>
      </c>
      <c r="AT443">
        <v>28.08471504706651</v>
      </c>
      <c r="AU443">
        <v>-2.1690298398366039</v>
      </c>
      <c r="AV443"/>
      <c r="AW443"/>
      <c r="FY443" s="210">
        <v>438</v>
      </c>
      <c r="FZ443">
        <v>21.96424203538383</v>
      </c>
      <c r="GA443">
        <v>61.578642213794836</v>
      </c>
      <c r="GB443">
        <v>36.387158645010018</v>
      </c>
      <c r="GC443">
        <v>12.806804683047305</v>
      </c>
      <c r="GD443">
        <v>7.8113545325426283</v>
      </c>
      <c r="GE443">
        <v>7.5057640153984861</v>
      </c>
      <c r="GF443">
        <v>6.9323163678433017</v>
      </c>
      <c r="GG443">
        <v>10.33863401489959</v>
      </c>
      <c r="GH443">
        <v>15.393961946277626</v>
      </c>
      <c r="GI443">
        <v>35.831968990460858</v>
      </c>
      <c r="GJ443"/>
      <c r="GK443"/>
      <c r="GL443"/>
      <c r="GM443"/>
    </row>
    <row r="444" spans="1:195" s="7" customFormat="1">
      <c r="A444" s="1">
        <v>345</v>
      </c>
      <c r="B444" s="48" t="s">
        <v>41</v>
      </c>
      <c r="C444" s="107">
        <f t="shared" si="393"/>
        <v>15.601637448230775</v>
      </c>
      <c r="D444" s="191">
        <f>A$408</f>
        <v>0.78</v>
      </c>
      <c r="E444" s="8"/>
      <c r="F444" s="124"/>
      <c r="G444" s="173" t="str">
        <f t="shared" si="394"/>
        <v>0.000</v>
      </c>
      <c r="H444" s="173">
        <f t="shared" ref="H444:V444" si="400">IF(H426&lt;=0, "0.000", H426)</f>
        <v>1.9837487206736722E-2</v>
      </c>
      <c r="I444" s="173">
        <f t="shared" si="400"/>
        <v>0.65011833865226887</v>
      </c>
      <c r="J444" s="173">
        <f t="shared" si="400"/>
        <v>1.4755772027883425</v>
      </c>
      <c r="K444" s="173">
        <f t="shared" si="400"/>
        <v>1.025794437534995</v>
      </c>
      <c r="L444" s="173">
        <f t="shared" si="400"/>
        <v>1.4847670958591497</v>
      </c>
      <c r="M444" s="173" t="str">
        <f t="shared" si="400"/>
        <v>0.000</v>
      </c>
      <c r="N444" s="173" t="str">
        <f t="shared" si="400"/>
        <v>0.000</v>
      </c>
      <c r="O444" s="173" t="str">
        <f t="shared" si="400"/>
        <v>0.000</v>
      </c>
      <c r="P444" s="173" t="str">
        <f t="shared" si="400"/>
        <v>0.000</v>
      </c>
      <c r="Q444" s="173">
        <f t="shared" si="400"/>
        <v>0.56088052538770505</v>
      </c>
      <c r="R444" s="173">
        <f t="shared" si="400"/>
        <v>6.2365964606439341</v>
      </c>
      <c r="S444" s="173">
        <f t="shared" si="400"/>
        <v>2.1872701028475916</v>
      </c>
      <c r="T444" s="173">
        <f t="shared" si="400"/>
        <v>1.631849236004749</v>
      </c>
      <c r="U444" s="173">
        <f t="shared" si="400"/>
        <v>0.32894656130530242</v>
      </c>
      <c r="V444" s="173" t="str">
        <f t="shared" si="400"/>
        <v>0.000</v>
      </c>
      <c r="W444" s="173" t="str">
        <f t="shared" ref="W444:AK444" si="401">IF(W426&lt;=0, "0.000", W426)</f>
        <v>0.000</v>
      </c>
      <c r="X444" s="173" t="str">
        <f t="shared" si="401"/>
        <v>0.000</v>
      </c>
      <c r="Y444" s="173" t="str">
        <f t="shared" si="401"/>
        <v>0.000</v>
      </c>
      <c r="Z444" s="173" t="str">
        <f t="shared" si="401"/>
        <v>0.000</v>
      </c>
      <c r="AA444" s="173" t="str">
        <f t="shared" si="401"/>
        <v>0.000</v>
      </c>
      <c r="AB444" s="173" t="str">
        <f t="shared" si="401"/>
        <v>0.000</v>
      </c>
      <c r="AC444" s="173" t="str">
        <f t="shared" si="401"/>
        <v>0.000</v>
      </c>
      <c r="AD444" s="173" t="str">
        <f t="shared" si="401"/>
        <v>0.000</v>
      </c>
      <c r="AE444" s="173" t="str">
        <f t="shared" si="401"/>
        <v>0.000</v>
      </c>
      <c r="AF444" s="173" t="str">
        <f t="shared" si="401"/>
        <v>0.000</v>
      </c>
      <c r="AG444" s="173" t="str">
        <f t="shared" si="401"/>
        <v>0.000</v>
      </c>
      <c r="AH444" s="173" t="str">
        <f t="shared" si="401"/>
        <v>0.000</v>
      </c>
      <c r="AI444" s="173" t="str">
        <f t="shared" si="401"/>
        <v>0.000</v>
      </c>
      <c r="AJ444" s="173" t="str">
        <f t="shared" si="401"/>
        <v>0.000</v>
      </c>
      <c r="AK444" s="173" t="str">
        <f t="shared" si="401"/>
        <v>0.000</v>
      </c>
      <c r="AL444" s="4"/>
      <c r="AM444" s="43">
        <v>428</v>
      </c>
      <c r="AN444">
        <v>49.189701119422438</v>
      </c>
      <c r="AO444">
        <v>64.327631075960625</v>
      </c>
      <c r="AP444">
        <v>449.8488348883688</v>
      </c>
      <c r="AQ444">
        <v>176.63014656159473</v>
      </c>
      <c r="AR444">
        <v>61.805550810539415</v>
      </c>
      <c r="AS444">
        <v>377.80327175100535</v>
      </c>
      <c r="AT444">
        <v>24.571306689006477</v>
      </c>
      <c r="AU444">
        <v>22.273577433590951</v>
      </c>
      <c r="AV444"/>
      <c r="AW444"/>
      <c r="FY444" s="210">
        <v>439</v>
      </c>
      <c r="FZ444">
        <v>21.098302099739069</v>
      </c>
      <c r="GA444">
        <v>56.267739882083049</v>
      </c>
      <c r="GB444">
        <v>35.977416057275583</v>
      </c>
      <c r="GC444">
        <v>8.8797492154758206</v>
      </c>
      <c r="GD444">
        <v>5.3026335865463317</v>
      </c>
      <c r="GE444">
        <v>6.8592405793918187</v>
      </c>
      <c r="GF444">
        <v>7.3094565719107942</v>
      </c>
      <c r="GG444">
        <v>10.304247374529764</v>
      </c>
      <c r="GH444">
        <v>12.25789767788992</v>
      </c>
      <c r="GI444">
        <v>28.020665519890731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93"/>
        <v>12.060281009169957</v>
      </c>
      <c r="D445" s="191">
        <f>A$409</f>
        <v>0.14000000000000001</v>
      </c>
      <c r="E445" s="8"/>
      <c r="F445" s="124"/>
      <c r="G445" s="173" t="str">
        <f t="shared" si="394"/>
        <v>0.000</v>
      </c>
      <c r="H445" s="173" t="str">
        <f t="shared" ref="H445:V445" si="402">IF(H427&lt;=0, "0.000", H427)</f>
        <v>0.000</v>
      </c>
      <c r="I445" s="173">
        <f t="shared" si="402"/>
        <v>0.40883905467131287</v>
      </c>
      <c r="J445" s="173">
        <f t="shared" si="402"/>
        <v>1.6192692466370013</v>
      </c>
      <c r="K445" s="173">
        <f t="shared" si="402"/>
        <v>1.8720268961599591</v>
      </c>
      <c r="L445" s="173">
        <f t="shared" si="402"/>
        <v>0.32596613576216654</v>
      </c>
      <c r="M445" s="173" t="str">
        <f t="shared" si="402"/>
        <v>0.000</v>
      </c>
      <c r="N445" s="173" t="str">
        <f t="shared" si="402"/>
        <v>0.000</v>
      </c>
      <c r="O445" s="173" t="str">
        <f t="shared" si="402"/>
        <v>0.000</v>
      </c>
      <c r="P445" s="173" t="str">
        <f t="shared" si="402"/>
        <v>0.000</v>
      </c>
      <c r="Q445" s="173">
        <f t="shared" si="402"/>
        <v>1.5744213733617591</v>
      </c>
      <c r="R445" s="173">
        <f t="shared" si="402"/>
        <v>4.0082822221408705</v>
      </c>
      <c r="S445" s="173">
        <f t="shared" si="402"/>
        <v>1.7909525485620397</v>
      </c>
      <c r="T445" s="173">
        <f t="shared" si="402"/>
        <v>0.46052353187484907</v>
      </c>
      <c r="U445" s="173" t="str">
        <f t="shared" si="402"/>
        <v>0.000</v>
      </c>
      <c r="V445" s="173" t="str">
        <f t="shared" si="402"/>
        <v>0.000</v>
      </c>
      <c r="W445" s="173" t="str">
        <f t="shared" ref="W445:AK445" si="403">IF(W427&lt;=0, "0.000", W427)</f>
        <v>0.000</v>
      </c>
      <c r="X445" s="173" t="str">
        <f t="shared" si="403"/>
        <v>0.000</v>
      </c>
      <c r="Y445" s="173" t="str">
        <f t="shared" si="403"/>
        <v>0.000</v>
      </c>
      <c r="Z445" s="173" t="str">
        <f t="shared" si="403"/>
        <v>0.000</v>
      </c>
      <c r="AA445" s="173" t="str">
        <f t="shared" si="403"/>
        <v>0.000</v>
      </c>
      <c r="AB445" s="173" t="str">
        <f t="shared" si="403"/>
        <v>0.000</v>
      </c>
      <c r="AC445" s="173" t="str">
        <f t="shared" si="403"/>
        <v>0.000</v>
      </c>
      <c r="AD445" s="173" t="str">
        <f t="shared" si="403"/>
        <v>0.000</v>
      </c>
      <c r="AE445" s="173" t="str">
        <f t="shared" si="403"/>
        <v>0.000</v>
      </c>
      <c r="AF445" s="173" t="str">
        <f t="shared" si="403"/>
        <v>0.000</v>
      </c>
      <c r="AG445" s="173" t="str">
        <f t="shared" si="403"/>
        <v>0.000</v>
      </c>
      <c r="AH445" s="173" t="str">
        <f t="shared" si="403"/>
        <v>0.000</v>
      </c>
      <c r="AI445" s="173" t="str">
        <f t="shared" si="403"/>
        <v>0.000</v>
      </c>
      <c r="AJ445" s="173" t="str">
        <f t="shared" si="403"/>
        <v>0.000</v>
      </c>
      <c r="AK445" s="173" t="str">
        <f t="shared" si="403"/>
        <v>0.000</v>
      </c>
      <c r="AL445" s="4"/>
      <c r="AM445" s="43">
        <v>429</v>
      </c>
      <c r="AN445">
        <v>52.679490954745503</v>
      </c>
      <c r="AO445">
        <v>70.472449016171936</v>
      </c>
      <c r="AP445">
        <v>495.90244618195669</v>
      </c>
      <c r="AQ445">
        <v>202.1041164940363</v>
      </c>
      <c r="AR445">
        <v>65.915758936644295</v>
      </c>
      <c r="AS445">
        <v>472.06429893343659</v>
      </c>
      <c r="AT445">
        <v>28.235221349789906</v>
      </c>
      <c r="AU445">
        <v>42.369373933892206</v>
      </c>
      <c r="AV445"/>
      <c r="AW445"/>
      <c r="FY445" s="210">
        <v>440</v>
      </c>
      <c r="FZ445">
        <v>18.298840435117572</v>
      </c>
      <c r="GA445">
        <v>35.353886644246991</v>
      </c>
      <c r="GB445">
        <v>35.643406592207342</v>
      </c>
      <c r="GC445">
        <v>14.997848151777575</v>
      </c>
      <c r="GD445">
        <v>10.05709482137663</v>
      </c>
      <c r="GE445">
        <v>11.041998591008609</v>
      </c>
      <c r="GF445">
        <v>7.1245383068028749</v>
      </c>
      <c r="GG445">
        <v>12.70913678404054</v>
      </c>
      <c r="GH445">
        <v>18.167680482543357</v>
      </c>
      <c r="GI445">
        <v>38.170823299503823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93"/>
        <v>13.01200781442583</v>
      </c>
      <c r="D446" s="191">
        <f>A$410</f>
        <v>0.21</v>
      </c>
      <c r="E446" s="8"/>
      <c r="F446" s="124"/>
      <c r="G446" s="173" t="str">
        <f t="shared" si="394"/>
        <v>0.000</v>
      </c>
      <c r="H446" s="173" t="str">
        <f t="shared" ref="H446:V446" si="404">IF(H428&lt;=0, "0.000", H428)</f>
        <v>0.000</v>
      </c>
      <c r="I446" s="173">
        <f t="shared" si="404"/>
        <v>0.42135544946830422</v>
      </c>
      <c r="J446" s="173">
        <f t="shared" si="404"/>
        <v>2.9518382753291639</v>
      </c>
      <c r="K446" s="173">
        <f t="shared" si="404"/>
        <v>2.5182893035101475</v>
      </c>
      <c r="L446" s="173">
        <f t="shared" si="404"/>
        <v>0.12318032784666316</v>
      </c>
      <c r="M446" s="173" t="str">
        <f t="shared" si="404"/>
        <v>0.000</v>
      </c>
      <c r="N446" s="173" t="str">
        <f t="shared" si="404"/>
        <v>0.000</v>
      </c>
      <c r="O446" s="173" t="str">
        <f t="shared" si="404"/>
        <v>0.000</v>
      </c>
      <c r="P446" s="173" t="str">
        <f t="shared" si="404"/>
        <v>0.000</v>
      </c>
      <c r="Q446" s="173">
        <f t="shared" si="404"/>
        <v>2.8145129014312875</v>
      </c>
      <c r="R446" s="173">
        <f t="shared" si="404"/>
        <v>1.1983273545868738</v>
      </c>
      <c r="S446" s="173">
        <f t="shared" si="404"/>
        <v>2.6279290787216589</v>
      </c>
      <c r="T446" s="173">
        <f t="shared" si="404"/>
        <v>0.35657512353173221</v>
      </c>
      <c r="U446" s="173" t="str">
        <f t="shared" si="404"/>
        <v>0.000</v>
      </c>
      <c r="V446" s="173" t="str">
        <f t="shared" si="404"/>
        <v>0.000</v>
      </c>
      <c r="W446" s="173" t="str">
        <f t="shared" ref="W446:AK446" si="405">IF(W428&lt;=0, "0.000", W428)</f>
        <v>0.000</v>
      </c>
      <c r="X446" s="173" t="str">
        <f t="shared" si="405"/>
        <v>0.000</v>
      </c>
      <c r="Y446" s="173" t="str">
        <f t="shared" si="405"/>
        <v>0.000</v>
      </c>
      <c r="Z446" s="173" t="str">
        <f t="shared" si="405"/>
        <v>0.000</v>
      </c>
      <c r="AA446" s="173" t="str">
        <f t="shared" si="405"/>
        <v>0.000</v>
      </c>
      <c r="AB446" s="173" t="str">
        <f t="shared" si="405"/>
        <v>0.000</v>
      </c>
      <c r="AC446" s="173" t="str">
        <f t="shared" si="405"/>
        <v>0.000</v>
      </c>
      <c r="AD446" s="173" t="str">
        <f t="shared" si="405"/>
        <v>0.000</v>
      </c>
      <c r="AE446" s="173" t="str">
        <f t="shared" si="405"/>
        <v>0.000</v>
      </c>
      <c r="AF446" s="173" t="str">
        <f t="shared" si="405"/>
        <v>0.000</v>
      </c>
      <c r="AG446" s="173" t="str">
        <f t="shared" si="405"/>
        <v>0.000</v>
      </c>
      <c r="AH446" s="173" t="str">
        <f t="shared" si="405"/>
        <v>0.000</v>
      </c>
      <c r="AI446" s="173" t="str">
        <f t="shared" si="405"/>
        <v>0.000</v>
      </c>
      <c r="AJ446" s="173" t="str">
        <f t="shared" si="405"/>
        <v>0.000</v>
      </c>
      <c r="AK446" s="173" t="str">
        <f t="shared" si="405"/>
        <v>0.000</v>
      </c>
      <c r="AL446" s="4"/>
      <c r="AM446" s="43">
        <v>430</v>
      </c>
      <c r="AN446">
        <v>65.439707766071848</v>
      </c>
      <c r="AO446">
        <v>81.602265392309718</v>
      </c>
      <c r="AP446">
        <v>561.8406436251521</v>
      </c>
      <c r="AQ446">
        <v>241.47476484301041</v>
      </c>
      <c r="AR446">
        <v>75.601085963780733</v>
      </c>
      <c r="AS446">
        <v>477.19803239465892</v>
      </c>
      <c r="AT446">
        <v>29.171070113605101</v>
      </c>
      <c r="AU446">
        <v>-18.060853387705066</v>
      </c>
      <c r="AV446"/>
      <c r="AW446"/>
      <c r="FY446" s="210">
        <v>441</v>
      </c>
      <c r="FZ446">
        <v>24.474754241108684</v>
      </c>
      <c r="GA446">
        <v>37.317433149879591</v>
      </c>
      <c r="GB446">
        <v>19.105601921469187</v>
      </c>
      <c r="GC446">
        <v>13.979025458826179</v>
      </c>
      <c r="GD446">
        <v>9.8440343066381821</v>
      </c>
      <c r="GE446">
        <v>8.7485672402358965</v>
      </c>
      <c r="GF446">
        <v>8.1798859839093776</v>
      </c>
      <c r="GG446">
        <v>10.236211198722453</v>
      </c>
      <c r="GH446">
        <v>10.404339218735309</v>
      </c>
      <c r="GI446">
        <v>32.075255415011007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93"/>
        <v>10.795085583588753</v>
      </c>
      <c r="D447" s="191">
        <f>A$411</f>
        <v>1.28</v>
      </c>
      <c r="E447" s="8"/>
      <c r="F447" s="124"/>
      <c r="G447" s="173" t="str">
        <f t="shared" si="394"/>
        <v>0.000</v>
      </c>
      <c r="H447" s="173" t="str">
        <f t="shared" ref="H447:V447" si="406">IF(H429&lt;=0, "0.000", H429)</f>
        <v>0.000</v>
      </c>
      <c r="I447" s="173" t="str">
        <f t="shared" si="406"/>
        <v>0.000</v>
      </c>
      <c r="J447" s="173">
        <f t="shared" si="406"/>
        <v>0.59140356458043875</v>
      </c>
      <c r="K447" s="173">
        <f t="shared" si="406"/>
        <v>0.61509875130361036</v>
      </c>
      <c r="L447" s="173">
        <f t="shared" si="406"/>
        <v>0.38889789096938443</v>
      </c>
      <c r="M447" s="173">
        <f t="shared" si="406"/>
        <v>2.1816301769002044</v>
      </c>
      <c r="N447" s="173" t="str">
        <f t="shared" si="406"/>
        <v>0.000</v>
      </c>
      <c r="O447" s="173" t="str">
        <f t="shared" si="406"/>
        <v>0.000</v>
      </c>
      <c r="P447" s="173" t="str">
        <f t="shared" si="406"/>
        <v>0.000</v>
      </c>
      <c r="Q447" s="173" t="str">
        <f t="shared" si="406"/>
        <v>0.000</v>
      </c>
      <c r="R447" s="173" t="str">
        <f t="shared" si="406"/>
        <v>0.000</v>
      </c>
      <c r="S447" s="173">
        <f t="shared" si="406"/>
        <v>4.3362904131217448</v>
      </c>
      <c r="T447" s="173">
        <f t="shared" si="406"/>
        <v>1.1689813962443785</v>
      </c>
      <c r="U447" s="173">
        <f t="shared" si="406"/>
        <v>1.5127833904689918</v>
      </c>
      <c r="V447" s="173" t="str">
        <f t="shared" si="406"/>
        <v>0.000</v>
      </c>
      <c r="W447" s="173" t="str">
        <f t="shared" ref="W447:AK447" si="407">IF(W429&lt;=0, "0.000", W429)</f>
        <v>0.000</v>
      </c>
      <c r="X447" s="173" t="str">
        <f t="shared" si="407"/>
        <v>0.000</v>
      </c>
      <c r="Y447" s="173" t="str">
        <f t="shared" si="407"/>
        <v>0.000</v>
      </c>
      <c r="Z447" s="173" t="str">
        <f t="shared" si="407"/>
        <v>0.000</v>
      </c>
      <c r="AA447" s="173" t="str">
        <f t="shared" si="407"/>
        <v>0.000</v>
      </c>
      <c r="AB447" s="173" t="str">
        <f t="shared" si="407"/>
        <v>0.000</v>
      </c>
      <c r="AC447" s="173" t="str">
        <f t="shared" si="407"/>
        <v>0.000</v>
      </c>
      <c r="AD447" s="173" t="str">
        <f t="shared" si="407"/>
        <v>0.000</v>
      </c>
      <c r="AE447" s="173" t="str">
        <f t="shared" si="407"/>
        <v>0.000</v>
      </c>
      <c r="AF447" s="173" t="str">
        <f t="shared" si="407"/>
        <v>0.000</v>
      </c>
      <c r="AG447" s="173" t="str">
        <f t="shared" si="407"/>
        <v>0.000</v>
      </c>
      <c r="AH447" s="173" t="str">
        <f t="shared" si="407"/>
        <v>0.000</v>
      </c>
      <c r="AI447" s="173" t="str">
        <f t="shared" si="407"/>
        <v>0.000</v>
      </c>
      <c r="AJ447" s="173" t="str">
        <f t="shared" si="407"/>
        <v>0.000</v>
      </c>
      <c r="AK447" s="173" t="str">
        <f t="shared" si="407"/>
        <v>0.000</v>
      </c>
      <c r="AL447" s="4"/>
      <c r="AM447" s="43">
        <v>431</v>
      </c>
      <c r="AN447">
        <v>47.607267590030531</v>
      </c>
      <c r="AO447">
        <v>64.091127514529518</v>
      </c>
      <c r="AP447">
        <v>547.64214983950535</v>
      </c>
      <c r="AQ447">
        <v>220.29740702387494</v>
      </c>
      <c r="AR447">
        <v>60.316255698055897</v>
      </c>
      <c r="AS447">
        <v>343.60907573399101</v>
      </c>
      <c r="AT447">
        <v>25.537536951683496</v>
      </c>
      <c r="AU447">
        <v>17.18136022857772</v>
      </c>
      <c r="AV447"/>
      <c r="AW447"/>
      <c r="FY447" s="210">
        <v>442</v>
      </c>
      <c r="FZ447">
        <v>29.290773915428385</v>
      </c>
      <c r="GA447">
        <v>55.478078084682167</v>
      </c>
      <c r="GB447">
        <v>45.645258828544883</v>
      </c>
      <c r="GC447">
        <v>15.659084928079265</v>
      </c>
      <c r="GD447">
        <v>6.4013187972519798</v>
      </c>
      <c r="GE447">
        <v>4.6760323884683812</v>
      </c>
      <c r="GF447">
        <v>7.385834451305608</v>
      </c>
      <c r="GG447">
        <v>11.831592295593332</v>
      </c>
      <c r="GH447">
        <v>12.318255567242643</v>
      </c>
      <c r="GI447">
        <v>38.837933087971813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93"/>
        <v>20.305617295078317</v>
      </c>
      <c r="D448" s="191">
        <f>A$412</f>
        <v>4</v>
      </c>
      <c r="E448" s="8"/>
      <c r="F448" s="124"/>
      <c r="G448" s="173" t="str">
        <f t="shared" si="394"/>
        <v>0.000</v>
      </c>
      <c r="H448" s="173" t="str">
        <f t="shared" ref="H448:V448" si="408">IF(H430&lt;=0, "0.000", H430)</f>
        <v>0.000</v>
      </c>
      <c r="I448" s="173" t="str">
        <f t="shared" si="408"/>
        <v>0.000</v>
      </c>
      <c r="J448" s="173">
        <f t="shared" si="408"/>
        <v>0.47150234158583926</v>
      </c>
      <c r="K448" s="173">
        <f t="shared" si="408"/>
        <v>1.3976740606038269</v>
      </c>
      <c r="L448" s="173">
        <f t="shared" si="408"/>
        <v>0.34389857843054278</v>
      </c>
      <c r="M448" s="173">
        <f t="shared" si="408"/>
        <v>1.954814649822372</v>
      </c>
      <c r="N448" s="173" t="str">
        <f t="shared" si="408"/>
        <v>0.000</v>
      </c>
      <c r="O448" s="173">
        <f t="shared" si="408"/>
        <v>0.48836489561172691</v>
      </c>
      <c r="P448" s="173">
        <f t="shared" si="408"/>
        <v>0.61230157522083206</v>
      </c>
      <c r="Q448" s="173" t="str">
        <f t="shared" si="408"/>
        <v>0.000</v>
      </c>
      <c r="R448" s="173" t="str">
        <f t="shared" si="408"/>
        <v>0.000</v>
      </c>
      <c r="S448" s="173">
        <f t="shared" si="408"/>
        <v>7.1971109959045183</v>
      </c>
      <c r="T448" s="173" t="str">
        <f t="shared" si="408"/>
        <v>0.000</v>
      </c>
      <c r="U448" s="173">
        <f t="shared" si="408"/>
        <v>5.9508732759614222</v>
      </c>
      <c r="V448" s="173" t="str">
        <f t="shared" si="408"/>
        <v>0.000</v>
      </c>
      <c r="W448" s="173">
        <f t="shared" ref="W448:AK448" si="409">IF(W430&lt;=0, "0.000", W430)</f>
        <v>1.8890769219372343</v>
      </c>
      <c r="X448" s="173" t="str">
        <f t="shared" si="409"/>
        <v>0.000</v>
      </c>
      <c r="Y448" s="173" t="str">
        <f t="shared" si="409"/>
        <v>0.000</v>
      </c>
      <c r="Z448" s="173" t="str">
        <f t="shared" si="409"/>
        <v>0.000</v>
      </c>
      <c r="AA448" s="173" t="str">
        <f t="shared" si="409"/>
        <v>0.000</v>
      </c>
      <c r="AB448" s="173" t="str">
        <f t="shared" si="409"/>
        <v>0.000</v>
      </c>
      <c r="AC448" s="173" t="str">
        <f t="shared" si="409"/>
        <v>0.000</v>
      </c>
      <c r="AD448" s="173" t="str">
        <f t="shared" si="409"/>
        <v>0.000</v>
      </c>
      <c r="AE448" s="173" t="str">
        <f t="shared" si="409"/>
        <v>0.000</v>
      </c>
      <c r="AF448" s="173" t="str">
        <f t="shared" si="409"/>
        <v>0.000</v>
      </c>
      <c r="AG448" s="173" t="str">
        <f t="shared" si="409"/>
        <v>0.000</v>
      </c>
      <c r="AH448" s="173" t="str">
        <f t="shared" si="409"/>
        <v>0.000</v>
      </c>
      <c r="AI448" s="173" t="str">
        <f t="shared" si="409"/>
        <v>0.000</v>
      </c>
      <c r="AJ448" s="173" t="str">
        <f t="shared" si="409"/>
        <v>0.000</v>
      </c>
      <c r="AK448" s="173" t="str">
        <f t="shared" si="409"/>
        <v>0.000</v>
      </c>
      <c r="AL448" s="4"/>
      <c r="AM448" s="43">
        <v>432</v>
      </c>
      <c r="AN448">
        <v>49.703463130825249</v>
      </c>
      <c r="AO448">
        <v>72.549798397218751</v>
      </c>
      <c r="AP448">
        <v>580.46453288905138</v>
      </c>
      <c r="AQ448">
        <v>234.23805679760838</v>
      </c>
      <c r="AR448">
        <v>68.26975735251122</v>
      </c>
      <c r="AS448">
        <v>511.59220262292757</v>
      </c>
      <c r="AT448">
        <v>31.152962521241847</v>
      </c>
      <c r="AU448">
        <v>48.350977585518159</v>
      </c>
      <c r="AV448"/>
      <c r="AW448"/>
      <c r="FY448" s="210">
        <v>443</v>
      </c>
      <c r="FZ448">
        <v>24.975992882751928</v>
      </c>
      <c r="GA448">
        <v>41.896772860328767</v>
      </c>
      <c r="GB448">
        <v>44.476609484192274</v>
      </c>
      <c r="GC448">
        <v>16.184742628838805</v>
      </c>
      <c r="GD448">
        <v>9.8287668964223371</v>
      </c>
      <c r="GE448">
        <v>12.650999484452255</v>
      </c>
      <c r="GF448">
        <v>12.18766567607817</v>
      </c>
      <c r="GG448">
        <v>21.547303143143509</v>
      </c>
      <c r="GH448">
        <v>18.246803678550936</v>
      </c>
      <c r="GI448">
        <v>46.696600904424159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93"/>
        <v>18.335770445228682</v>
      </c>
      <c r="D449" s="191">
        <f>A$413</f>
        <v>7.33</v>
      </c>
      <c r="E449" s="8"/>
      <c r="F449" s="124"/>
      <c r="G449" s="173" t="str">
        <f t="shared" si="394"/>
        <v>0.000</v>
      </c>
      <c r="H449" s="173" t="str">
        <f t="shared" ref="H449:V449" si="410">IF(H431&lt;=0, "0.000", H431)</f>
        <v>0.000</v>
      </c>
      <c r="I449" s="173" t="str">
        <f t="shared" si="410"/>
        <v>0.000</v>
      </c>
      <c r="J449" s="173">
        <f t="shared" si="410"/>
        <v>1.5263118289924793</v>
      </c>
      <c r="K449" s="173">
        <f t="shared" si="410"/>
        <v>2.1188026232492474</v>
      </c>
      <c r="L449" s="173" t="str">
        <f t="shared" si="410"/>
        <v>0.000</v>
      </c>
      <c r="M449" s="173">
        <f t="shared" si="410"/>
        <v>0.70440852516589081</v>
      </c>
      <c r="N449" s="173" t="str">
        <f t="shared" si="410"/>
        <v>0.000</v>
      </c>
      <c r="O449" s="173">
        <f t="shared" si="410"/>
        <v>0.67320340608095319</v>
      </c>
      <c r="P449" s="173">
        <f t="shared" si="410"/>
        <v>4.3045738319472155</v>
      </c>
      <c r="Q449" s="173" t="str">
        <f t="shared" si="410"/>
        <v>0.000</v>
      </c>
      <c r="R449" s="173" t="str">
        <f t="shared" si="410"/>
        <v>0.000</v>
      </c>
      <c r="S449" s="173">
        <f t="shared" si="410"/>
        <v>2.8320816091856447</v>
      </c>
      <c r="T449" s="173" t="str">
        <f t="shared" si="410"/>
        <v>0.000</v>
      </c>
      <c r="U449" s="173">
        <f t="shared" si="410"/>
        <v>3.2379924511893385</v>
      </c>
      <c r="V449" s="173" t="str">
        <f t="shared" si="410"/>
        <v>0.000</v>
      </c>
      <c r="W449" s="173">
        <f t="shared" ref="W449:AK449" si="411">IF(W431&lt;=0, "0.000", W431)</f>
        <v>2.9383961694179148</v>
      </c>
      <c r="X449" s="173" t="str">
        <f t="shared" si="411"/>
        <v>0.000</v>
      </c>
      <c r="Y449" s="173" t="str">
        <f t="shared" si="411"/>
        <v>0.000</v>
      </c>
      <c r="Z449" s="173" t="str">
        <f t="shared" si="411"/>
        <v>0.000</v>
      </c>
      <c r="AA449" s="173" t="str">
        <f t="shared" si="411"/>
        <v>0.000</v>
      </c>
      <c r="AB449" s="173" t="str">
        <f t="shared" si="411"/>
        <v>0.000</v>
      </c>
      <c r="AC449" s="173" t="str">
        <f t="shared" si="411"/>
        <v>0.000</v>
      </c>
      <c r="AD449" s="173" t="str">
        <f t="shared" si="411"/>
        <v>0.000</v>
      </c>
      <c r="AE449" s="173" t="str">
        <f t="shared" si="411"/>
        <v>0.000</v>
      </c>
      <c r="AF449" s="173" t="str">
        <f t="shared" si="411"/>
        <v>0.000</v>
      </c>
      <c r="AG449" s="173" t="str">
        <f t="shared" si="411"/>
        <v>0.000</v>
      </c>
      <c r="AH449" s="173" t="str">
        <f t="shared" si="411"/>
        <v>0.000</v>
      </c>
      <c r="AI449" s="173" t="str">
        <f t="shared" si="411"/>
        <v>0.000</v>
      </c>
      <c r="AJ449" s="173" t="str">
        <f t="shared" si="411"/>
        <v>0.000</v>
      </c>
      <c r="AK449" s="173" t="str">
        <f t="shared" si="411"/>
        <v>0.000</v>
      </c>
      <c r="AL449" s="4"/>
      <c r="AM449" s="43">
        <v>433</v>
      </c>
      <c r="AN449">
        <v>65.876310420398497</v>
      </c>
      <c r="AO449">
        <v>89.681940523940966</v>
      </c>
      <c r="AP449">
        <v>585.8800737075951</v>
      </c>
      <c r="AQ449">
        <v>241.81517184437388</v>
      </c>
      <c r="AR449">
        <v>82.550486277010265</v>
      </c>
      <c r="AS449">
        <v>500.88083181895263</v>
      </c>
      <c r="AT449">
        <v>31.322984190298943</v>
      </c>
      <c r="AU449">
        <v>-54.324984781648475</v>
      </c>
      <c r="AV449"/>
      <c r="AW449"/>
      <c r="FY449" s="210">
        <v>444</v>
      </c>
      <c r="FZ449">
        <v>19.712545210203047</v>
      </c>
      <c r="GA449">
        <v>56.318949765127755</v>
      </c>
      <c r="GB449">
        <v>24.73351395590964</v>
      </c>
      <c r="GC449">
        <v>8.5297328962188619</v>
      </c>
      <c r="GD449">
        <v>8.0499821833379297</v>
      </c>
      <c r="GE449">
        <v>9.9724912449063083</v>
      </c>
      <c r="GF449">
        <v>6.2386325978398318</v>
      </c>
      <c r="GG449">
        <v>11.481950065441417</v>
      </c>
      <c r="GH449">
        <v>9.2361953385097255</v>
      </c>
      <c r="GI449">
        <v>24.007285898115214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93"/>
        <v>41.220974567302605</v>
      </c>
      <c r="D450" s="191">
        <f>A$414</f>
        <v>10.51</v>
      </c>
      <c r="E450" s="8"/>
      <c r="F450" s="124"/>
      <c r="G450" s="173" t="str">
        <f t="shared" si="394"/>
        <v>0.000</v>
      </c>
      <c r="H450" s="173">
        <f t="shared" ref="H450:V450" si="412">IF(H432&lt;=0, "0.000", H432)</f>
        <v>1.279365671333599E-2</v>
      </c>
      <c r="I450" s="173">
        <f t="shared" si="412"/>
        <v>0.60788337210882259</v>
      </c>
      <c r="J450" s="173">
        <f t="shared" si="412"/>
        <v>2.039335128752418</v>
      </c>
      <c r="K450" s="173">
        <f t="shared" si="412"/>
        <v>1.9215291779005592</v>
      </c>
      <c r="L450" s="173">
        <f t="shared" si="412"/>
        <v>0.85979053707985453</v>
      </c>
      <c r="M450" s="173">
        <f t="shared" si="412"/>
        <v>0.81166767861575684</v>
      </c>
      <c r="N450" s="173">
        <f t="shared" si="412"/>
        <v>0.64358479888228315</v>
      </c>
      <c r="O450" s="173">
        <f t="shared" si="412"/>
        <v>0.87074422465222512</v>
      </c>
      <c r="P450" s="173">
        <f t="shared" si="412"/>
        <v>1.8281919100860482</v>
      </c>
      <c r="Q450" s="173">
        <f t="shared" si="412"/>
        <v>2.0836774672424059</v>
      </c>
      <c r="R450" s="173">
        <f t="shared" si="412"/>
        <v>5.8047015513898383</v>
      </c>
      <c r="S450" s="173">
        <f t="shared" si="412"/>
        <v>7.6321531582495759</v>
      </c>
      <c r="T450" s="173">
        <f t="shared" si="412"/>
        <v>3.498532367797166</v>
      </c>
      <c r="U450" s="173">
        <f t="shared" si="412"/>
        <v>4.1983200405518444</v>
      </c>
      <c r="V450" s="173">
        <f t="shared" si="412"/>
        <v>4.6918326202630984</v>
      </c>
      <c r="W450" s="173">
        <f t="shared" ref="W450:AK450" si="413">IF(W432&lt;=0, "0.000", W432)</f>
        <v>2.7064042219622517</v>
      </c>
      <c r="X450" s="173">
        <f t="shared" si="413"/>
        <v>0.60740209443351423</v>
      </c>
      <c r="Y450" s="173" t="str">
        <f t="shared" si="413"/>
        <v>0.000</v>
      </c>
      <c r="Z450" s="173">
        <f t="shared" si="413"/>
        <v>0.40243056062160337</v>
      </c>
      <c r="AA450" s="173" t="str">
        <f t="shared" si="413"/>
        <v>0.000</v>
      </c>
      <c r="AB450" s="173" t="str">
        <f t="shared" si="413"/>
        <v>0.000</v>
      </c>
      <c r="AC450" s="173" t="str">
        <f t="shared" si="413"/>
        <v>0.000</v>
      </c>
      <c r="AD450" s="173" t="str">
        <f t="shared" si="413"/>
        <v>0.000</v>
      </c>
      <c r="AE450" s="173" t="str">
        <f t="shared" si="413"/>
        <v>0.000</v>
      </c>
      <c r="AF450" s="173" t="str">
        <f t="shared" si="413"/>
        <v>0.000</v>
      </c>
      <c r="AG450" s="173" t="str">
        <f t="shared" si="413"/>
        <v>0.000</v>
      </c>
      <c r="AH450" s="173" t="str">
        <f t="shared" si="413"/>
        <v>0.000</v>
      </c>
      <c r="AI450" s="173" t="str">
        <f t="shared" si="413"/>
        <v>0.000</v>
      </c>
      <c r="AJ450" s="173" t="str">
        <f t="shared" si="413"/>
        <v>0.000</v>
      </c>
      <c r="AK450" s="173" t="str">
        <f t="shared" si="413"/>
        <v>0.000</v>
      </c>
      <c r="AL450" s="4"/>
      <c r="AM450" s="43">
        <v>434</v>
      </c>
      <c r="AN450">
        <v>43.107393066769269</v>
      </c>
      <c r="AO450">
        <v>56.845741941236042</v>
      </c>
      <c r="AP450">
        <v>508.01455225527093</v>
      </c>
      <c r="AQ450">
        <v>204.15398055409548</v>
      </c>
      <c r="AR450">
        <v>52.31470843479832</v>
      </c>
      <c r="AS450">
        <v>256.94558249003643</v>
      </c>
      <c r="AT450">
        <v>23.364532901851749</v>
      </c>
      <c r="AU450">
        <v>-2.8991692655103027</v>
      </c>
      <c r="AV450"/>
      <c r="AW450"/>
      <c r="FY450" s="210">
        <v>445</v>
      </c>
      <c r="FZ450">
        <v>20.205040034321694</v>
      </c>
      <c r="GA450">
        <v>58.160656188179409</v>
      </c>
      <c r="GB450">
        <v>41.256995731378403</v>
      </c>
      <c r="GC450">
        <v>13.437628594946911</v>
      </c>
      <c r="GD450">
        <v>7.8460171837851895</v>
      </c>
      <c r="GE450">
        <v>6.9881441202671253</v>
      </c>
      <c r="GF450">
        <v>12.709657600186517</v>
      </c>
      <c r="GG450">
        <v>23.535043106115843</v>
      </c>
      <c r="GH450">
        <v>23.167972877756448</v>
      </c>
      <c r="GI450">
        <v>37.803790382546431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55.992518056574362</v>
      </c>
      <c r="AO451">
        <v>50.132684754071434</v>
      </c>
      <c r="AP451">
        <v>395.51159819064378</v>
      </c>
      <c r="AQ451">
        <v>192.50612447221113</v>
      </c>
      <c r="AR451">
        <v>46.324855568289706</v>
      </c>
      <c r="AS451">
        <v>304.95204463447044</v>
      </c>
      <c r="AT451">
        <v>20.035125758771567</v>
      </c>
      <c r="AU451">
        <v>-1.8521873567045883</v>
      </c>
      <c r="AV451"/>
      <c r="AW451"/>
      <c r="FY451" s="210">
        <v>446</v>
      </c>
      <c r="FZ451">
        <v>25.264556104072714</v>
      </c>
      <c r="GA451">
        <v>51.941777422032814</v>
      </c>
      <c r="GB451">
        <v>27.083109133045564</v>
      </c>
      <c r="GC451">
        <v>9.4393519584556618</v>
      </c>
      <c r="GD451">
        <v>5.0718380866843962</v>
      </c>
      <c r="GE451">
        <v>4.4902378506512548</v>
      </c>
      <c r="GF451">
        <v>5.4715884862156505</v>
      </c>
      <c r="GG451">
        <v>11.917936605336751</v>
      </c>
      <c r="GH451">
        <v>20.873475606329198</v>
      </c>
      <c r="GI451">
        <v>30.478288450587431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55.772512181617813</v>
      </c>
      <c r="AO452">
        <v>92.767236492911465</v>
      </c>
      <c r="AP452">
        <v>640.38837341344049</v>
      </c>
      <c r="AQ452">
        <v>239.478274260376</v>
      </c>
      <c r="AR452">
        <v>86.349746302663732</v>
      </c>
      <c r="AS452">
        <v>443.84450883739885</v>
      </c>
      <c r="AT452">
        <v>35.09856429134318</v>
      </c>
      <c r="AU452">
        <v>3.2909891335212418</v>
      </c>
      <c r="AV452"/>
      <c r="AW452"/>
      <c r="FY452" s="210">
        <v>447</v>
      </c>
      <c r="FZ452">
        <v>20.113398182822085</v>
      </c>
      <c r="GA452">
        <v>49.02087212521873</v>
      </c>
      <c r="GB452">
        <v>31.865279049437806</v>
      </c>
      <c r="GC452">
        <v>10.061785407349575</v>
      </c>
      <c r="GD452">
        <v>5.7382801524754878</v>
      </c>
      <c r="GE452">
        <v>6.79329119944805</v>
      </c>
      <c r="GF452">
        <v>9.269094894284768</v>
      </c>
      <c r="GG452">
        <v>18.20595320800188</v>
      </c>
      <c r="GH452">
        <v>19.220324860646453</v>
      </c>
      <c r="GI452">
        <v>29.314479243977001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265.0464393928259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59.52273263540809</v>
      </c>
      <c r="AO453">
        <v>60.402142611659301</v>
      </c>
      <c r="AP453">
        <v>440.24859580898448</v>
      </c>
      <c r="AQ453">
        <v>218.32613722965385</v>
      </c>
      <c r="AR453">
        <v>56.805031655988074</v>
      </c>
      <c r="AS453">
        <v>388.65170976285953</v>
      </c>
      <c r="AT453">
        <v>22.241048451802438</v>
      </c>
      <c r="AU453">
        <v>-3.261145560409755</v>
      </c>
      <c r="AV453"/>
      <c r="AW453"/>
      <c r="FY453" s="210">
        <v>448</v>
      </c>
      <c r="FZ453">
        <v>16.872341454224486</v>
      </c>
      <c r="GA453">
        <v>65.76787848049193</v>
      </c>
      <c r="GB453">
        <v>50.274632783600957</v>
      </c>
      <c r="GC453">
        <v>12.898672093483198</v>
      </c>
      <c r="GD453">
        <v>10.238560726705394</v>
      </c>
      <c r="GE453">
        <v>14.785606219210401</v>
      </c>
      <c r="GF453">
        <v>9.7964372070332431</v>
      </c>
      <c r="GG453">
        <v>14.610912151954382</v>
      </c>
      <c r="GH453">
        <v>11.429625607549125</v>
      </c>
      <c r="GI453">
        <v>42.796712066227528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52.930223842444548</v>
      </c>
      <c r="AO454">
        <v>78.616261697860651</v>
      </c>
      <c r="AP454">
        <v>537.46910634910068</v>
      </c>
      <c r="AQ454">
        <v>216.55084744465847</v>
      </c>
      <c r="AR454">
        <v>73.515497239556638</v>
      </c>
      <c r="AS454">
        <v>436.78048758798218</v>
      </c>
      <c r="AT454">
        <v>29.815981117978904</v>
      </c>
      <c r="AU454">
        <v>-16.812970032210966</v>
      </c>
      <c r="AV454"/>
      <c r="AW454"/>
      <c r="FY454" s="210">
        <v>449</v>
      </c>
      <c r="FZ454">
        <v>27.758220114802203</v>
      </c>
      <c r="GA454">
        <v>58.351884383589315</v>
      </c>
      <c r="GB454">
        <v>28.584392134905819</v>
      </c>
      <c r="GC454">
        <v>10.196485288609404</v>
      </c>
      <c r="GD454">
        <v>7.511496837404172</v>
      </c>
      <c r="GE454">
        <v>8.4643115003880514</v>
      </c>
      <c r="GF454">
        <v>6.7763565332356563</v>
      </c>
      <c r="GG454">
        <v>10.820465646641603</v>
      </c>
      <c r="GH454">
        <v>16.733898309850101</v>
      </c>
      <c r="GI454">
        <v>29.490159924361947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7"/>
      <c r="P455" s="227"/>
      <c r="Q455" s="227"/>
      <c r="R455" s="227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52.545133469131692</v>
      </c>
      <c r="AO455">
        <v>57.972229116538095</v>
      </c>
      <c r="AP455">
        <v>431.97395138903312</v>
      </c>
      <c r="AQ455">
        <v>192.2773485647329</v>
      </c>
      <c r="AR455">
        <v>54.08871680772311</v>
      </c>
      <c r="AS455">
        <v>347.36071925571235</v>
      </c>
      <c r="AT455">
        <v>20.957378700787174</v>
      </c>
      <c r="AU455">
        <v>-7.0438988854592779</v>
      </c>
      <c r="AV455"/>
      <c r="AW455"/>
      <c r="FY455" s="210">
        <v>450</v>
      </c>
      <c r="FZ455">
        <v>37.546968264972207</v>
      </c>
      <c r="GA455">
        <v>69.043019324160539</v>
      </c>
      <c r="GB455">
        <v>44.252510197198255</v>
      </c>
      <c r="GC455">
        <v>15.882567224987607</v>
      </c>
      <c r="GD455">
        <v>6.7679652486824402</v>
      </c>
      <c r="GE455">
        <v>5.4204729069187012</v>
      </c>
      <c r="GF455">
        <v>8.2640830292363781</v>
      </c>
      <c r="GG455">
        <v>16.65677233486764</v>
      </c>
      <c r="GH455">
        <v>16.1032678444247</v>
      </c>
      <c r="GI455">
        <v>36.1448863655514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60.683647868476285</v>
      </c>
      <c r="AO456">
        <v>81.439241231262642</v>
      </c>
      <c r="AP456">
        <v>486.65454347239086</v>
      </c>
      <c r="AQ456">
        <v>201.56525410862531</v>
      </c>
      <c r="AR456">
        <v>75.895872609281994</v>
      </c>
      <c r="AS456">
        <v>468.94711779834614</v>
      </c>
      <c r="AT456">
        <v>27.859329496735629</v>
      </c>
      <c r="AU456">
        <v>2.3482422432779773</v>
      </c>
      <c r="AV456"/>
      <c r="AW456"/>
      <c r="FY456" s="210">
        <v>451</v>
      </c>
      <c r="FZ456">
        <v>15.734476744123473</v>
      </c>
      <c r="GA456">
        <v>53.161179729081866</v>
      </c>
      <c r="GB456">
        <v>43.023489922288881</v>
      </c>
      <c r="GC456">
        <v>11.810780199408661</v>
      </c>
      <c r="GD456">
        <v>6.1506801041730643</v>
      </c>
      <c r="GE456">
        <v>6.3930266718662869</v>
      </c>
      <c r="GF456">
        <v>14.414211287134972</v>
      </c>
      <c r="GG456">
        <v>22.922130739429619</v>
      </c>
      <c r="GH456">
        <v>17.882631386536595</v>
      </c>
      <c r="GI456">
        <v>40.523583772961352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1.5970676574776279E-3</v>
      </c>
      <c r="F457" s="102">
        <f>+D457-D459</f>
        <v>-1.9270833333333335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50.912236434629449</v>
      </c>
      <c r="AO457">
        <v>65.45545501978674</v>
      </c>
      <c r="AP457">
        <v>353.83014889935805</v>
      </c>
      <c r="AQ457">
        <v>174.36510813453589</v>
      </c>
      <c r="AR457">
        <v>61.40610561747701</v>
      </c>
      <c r="AS457">
        <v>434.56166647560684</v>
      </c>
      <c r="AT457">
        <v>24.335168089383657</v>
      </c>
      <c r="AU457">
        <v>16.728669520474067</v>
      </c>
      <c r="AV457"/>
      <c r="AW457"/>
      <c r="FY457" s="210">
        <v>452</v>
      </c>
      <c r="FZ457">
        <v>28.307371662975736</v>
      </c>
      <c r="GA457">
        <v>41.070225765222411</v>
      </c>
      <c r="GB457">
        <v>37.281308201807441</v>
      </c>
      <c r="GC457">
        <v>15.928952958360522</v>
      </c>
      <c r="GD457">
        <v>9.490855061807892</v>
      </c>
      <c r="GE457">
        <v>10.61391190395114</v>
      </c>
      <c r="GF457">
        <v>9.6495657645211246</v>
      </c>
      <c r="GG457">
        <v>16.590068797606826</v>
      </c>
      <c r="GH457">
        <v>23.100619103946293</v>
      </c>
      <c r="GI457">
        <v>39.029944306807046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3.7722503665750589E-3</v>
      </c>
      <c r="I458" s="101">
        <f>+H458*F457</f>
        <v>-7.2694408105873536E-3</v>
      </c>
      <c r="J458" s="101">
        <f>+I458*$A$440</f>
        <v>-0.13811937540115971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60.443168481069414</v>
      </c>
      <c r="AO458">
        <v>84.510155707767638</v>
      </c>
      <c r="AP458">
        <v>588.25902933306293</v>
      </c>
      <c r="AQ458">
        <v>227.52416234456845</v>
      </c>
      <c r="AR458">
        <v>78.536246738366557</v>
      </c>
      <c r="AS458">
        <v>471.66266024379092</v>
      </c>
      <c r="AT458">
        <v>31.001448337362461</v>
      </c>
      <c r="AU458">
        <v>-20.382141794495503</v>
      </c>
      <c r="AV458"/>
      <c r="AW458"/>
      <c r="FY458" s="210">
        <v>453</v>
      </c>
      <c r="FZ458">
        <v>27.709709582359995</v>
      </c>
      <c r="GA458">
        <v>69.307122417794346</v>
      </c>
      <c r="GB458">
        <v>28.695617019282214</v>
      </c>
      <c r="GC458">
        <v>9.5063981331785978</v>
      </c>
      <c r="GD458">
        <v>8.8639746049314745</v>
      </c>
      <c r="GE458">
        <v>10.735224174938867</v>
      </c>
      <c r="GF458">
        <v>11.207719532797059</v>
      </c>
      <c r="GG458">
        <v>20.607598916189641</v>
      </c>
      <c r="GH458">
        <v>23.745049788527361</v>
      </c>
      <c r="GI458">
        <v>37.024304237304939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1.9270833333333335</v>
      </c>
      <c r="E459" s="97">
        <f>+H36</f>
        <v>8.9100000000000013E-3</v>
      </c>
      <c r="F459" s="102">
        <f>+D459-D461</f>
        <v>-14.526151017419393</v>
      </c>
      <c r="G459" s="101">
        <f>+D459*E459</f>
        <v>1.7170312500000003E-2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74.550649318393383</v>
      </c>
      <c r="AO459">
        <v>101.62655827872548</v>
      </c>
      <c r="AP459">
        <v>658.50372299175365</v>
      </c>
      <c r="AQ459">
        <v>248.6922576391832</v>
      </c>
      <c r="AR459">
        <v>94.647089097798428</v>
      </c>
      <c r="AS459">
        <v>558.31295845102397</v>
      </c>
      <c r="AT459">
        <v>37.600255295817696</v>
      </c>
      <c r="AU459">
        <v>-35.91574192711586</v>
      </c>
      <c r="AV459"/>
      <c r="AW459"/>
      <c r="FY459" s="210">
        <v>454</v>
      </c>
      <c r="FZ459">
        <v>23.264959943739388</v>
      </c>
      <c r="GA459">
        <v>45.725980832629858</v>
      </c>
      <c r="GB459">
        <v>35.404143960102658</v>
      </c>
      <c r="GC459">
        <v>7.2618485464365694</v>
      </c>
      <c r="GD459">
        <v>3.2794429366043354</v>
      </c>
      <c r="GE459">
        <v>6.4312947981187563</v>
      </c>
      <c r="GF459">
        <v>12.025350047434427</v>
      </c>
      <c r="GG459">
        <v>15.810019387465541</v>
      </c>
      <c r="GH459">
        <v>12.721643796169564</v>
      </c>
      <c r="GI459">
        <v>27.731424993013288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2.1045289226674233E-2</v>
      </c>
      <c r="I460" s="101">
        <f>+H460*F459</f>
        <v>-0.30570704951193928</v>
      </c>
      <c r="J460" s="101">
        <f>+I460*$A$440</f>
        <v>-5.8084339407268466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55.880456047956841</v>
      </c>
      <c r="AO460">
        <v>46.28771792723758</v>
      </c>
      <c r="AP460">
        <v>350.2276733600803</v>
      </c>
      <c r="AQ460">
        <v>178.28127915560975</v>
      </c>
      <c r="AR460">
        <v>43.015464332686946</v>
      </c>
      <c r="AS460">
        <v>245.00978980509032</v>
      </c>
      <c r="AT460">
        <v>17.130934298801822</v>
      </c>
      <c r="AU460">
        <v>-8.5838159136582117</v>
      </c>
      <c r="AV460"/>
      <c r="AW460"/>
      <c r="FY460" s="210">
        <v>455</v>
      </c>
      <c r="FZ460">
        <v>23.519861114146558</v>
      </c>
      <c r="GA460">
        <v>66.655780699522964</v>
      </c>
      <c r="GB460">
        <v>25.443836741236918</v>
      </c>
      <c r="GC460">
        <v>11.615840840056693</v>
      </c>
      <c r="GD460">
        <v>7.1575146397636651</v>
      </c>
      <c r="GE460">
        <v>4.4915315942719563</v>
      </c>
      <c r="GF460">
        <v>12.086250050025876</v>
      </c>
      <c r="GG460">
        <v>16.504446574881229</v>
      </c>
      <c r="GH460">
        <v>12.099428846786562</v>
      </c>
      <c r="GI460">
        <v>33.062108423615562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16.453234350752727</v>
      </c>
      <c r="E461" s="97">
        <f>+I36</f>
        <v>4.9708664268728449E-2</v>
      </c>
      <c r="F461" s="102">
        <f>+D461-D463</f>
        <v>-3.8470566620630002</v>
      </c>
      <c r="G461" s="101">
        <f>+D461*E461</f>
        <v>0.81786830247627762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61.579158568059505</v>
      </c>
      <c r="AO461">
        <v>79.282805571738137</v>
      </c>
      <c r="AP461">
        <v>592.13272059145402</v>
      </c>
      <c r="AQ461">
        <v>245.11094581948396</v>
      </c>
      <c r="AR461">
        <v>74.570122941310572</v>
      </c>
      <c r="AS461">
        <v>430.99403628508418</v>
      </c>
      <c r="AT461">
        <v>30.169034265197794</v>
      </c>
      <c r="AU461">
        <v>41.705781868015656</v>
      </c>
      <c r="AV461"/>
      <c r="AW461"/>
      <c r="FY461" s="210">
        <v>456</v>
      </c>
      <c r="FZ461">
        <v>23.970750773869192</v>
      </c>
      <c r="GA461">
        <v>38.703095113968971</v>
      </c>
      <c r="GB461">
        <v>25.72763257850194</v>
      </c>
      <c r="GC461">
        <v>10.527871448572158</v>
      </c>
      <c r="GD461">
        <v>6.4183287712531776</v>
      </c>
      <c r="GE461">
        <v>7.1002547713240958</v>
      </c>
      <c r="GF461">
        <v>9.5001838084501813</v>
      </c>
      <c r="GG461">
        <v>13.715794448349744</v>
      </c>
      <c r="GH461">
        <v>12.295991525880863</v>
      </c>
      <c r="GI461">
        <v>27.963912574477707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8.2183617632559811E-2</v>
      </c>
      <c r="I462" s="101">
        <f>+H462*F461</f>
        <v>-0.31616503372577748</v>
      </c>
      <c r="J462" s="101">
        <f>+I462*$A$440</f>
        <v>-6.0071356407897722</v>
      </c>
      <c r="K462" s="61">
        <f>IF(AND(J462&lt;0, J460&lt;0), 0, J462)</f>
        <v>0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57.101822769725707</v>
      </c>
      <c r="AO462">
        <v>66.853742528360456</v>
      </c>
      <c r="AP462">
        <v>485.45738174772521</v>
      </c>
      <c r="AQ462">
        <v>192.03215970341145</v>
      </c>
      <c r="AR462">
        <v>63.944386815879817</v>
      </c>
      <c r="AS462">
        <v>290.51538456067067</v>
      </c>
      <c r="AT462">
        <v>24.27441263421812</v>
      </c>
      <c r="AU462">
        <v>36.372342302639353</v>
      </c>
      <c r="AV462"/>
      <c r="AW462"/>
      <c r="FY462" s="210">
        <v>457</v>
      </c>
      <c r="FZ462">
        <v>15.383750318677661</v>
      </c>
      <c r="GA462">
        <v>43.874508595031543</v>
      </c>
      <c r="GB462">
        <v>44.629716935964261</v>
      </c>
      <c r="GC462">
        <v>11.953930337259532</v>
      </c>
      <c r="GD462">
        <v>9.323216848410695</v>
      </c>
      <c r="GE462">
        <v>13.426076863324139</v>
      </c>
      <c r="GF462">
        <v>8.9360903261323763</v>
      </c>
      <c r="GG462">
        <v>11.568687156437601</v>
      </c>
      <c r="GH462">
        <v>7.1356023705195737</v>
      </c>
      <c r="GI462">
        <v>36.807277485559304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20.300291012815727</v>
      </c>
      <c r="E463" s="97">
        <f>+J36</f>
        <v>0.13587464291257986</v>
      </c>
      <c r="F463" s="102">
        <f>+D463-D465</f>
        <v>10.846707447786381</v>
      </c>
      <c r="G463" s="101">
        <f>+D463*E463</f>
        <v>2.7582947923877912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50.273840303724384</v>
      </c>
      <c r="AO463">
        <v>59.768471159768424</v>
      </c>
      <c r="AP463">
        <v>445.4975015822547</v>
      </c>
      <c r="AQ463">
        <v>199.60275832366182</v>
      </c>
      <c r="AR463">
        <v>56.190145865719501</v>
      </c>
      <c r="AS463">
        <v>318.72415153438925</v>
      </c>
      <c r="AT463">
        <v>22.66539418492501</v>
      </c>
      <c r="AU463">
        <v>-14.437829937314842</v>
      </c>
      <c r="AV463"/>
      <c r="AW463"/>
      <c r="FY463" s="210">
        <v>458</v>
      </c>
      <c r="FZ463">
        <v>27.749952677484487</v>
      </c>
      <c r="GA463">
        <v>53.222208120022657</v>
      </c>
      <c r="GB463">
        <v>33.04480425798387</v>
      </c>
      <c r="GC463">
        <v>11.496913484997501</v>
      </c>
      <c r="GD463">
        <v>9.9122523403513476</v>
      </c>
      <c r="GE463">
        <v>14.134677625062524</v>
      </c>
      <c r="GF463">
        <v>12.892326022796746</v>
      </c>
      <c r="GG463">
        <v>16.038406426618753</v>
      </c>
      <c r="GH463">
        <v>8.1995918055500248</v>
      </c>
      <c r="GI463">
        <v>36.169080228096043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0.19411649862756739</v>
      </c>
      <c r="I464" s="101">
        <f>+H464*F463</f>
        <v>2.1055248714018497</v>
      </c>
      <c r="J464" s="101">
        <f>+I464*$A$440</f>
        <v>40.004972556635146</v>
      </c>
      <c r="K464" s="61">
        <f>IF(AND(J464&lt;0, J462&lt;0), 0, J464)</f>
        <v>40.004972556635146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70.188442148243894</v>
      </c>
      <c r="AO464">
        <v>93.789325517391305</v>
      </c>
      <c r="AP464">
        <v>661.97391294667352</v>
      </c>
      <c r="AQ464">
        <v>249.47137879048063</v>
      </c>
      <c r="AR464">
        <v>86.568124643444378</v>
      </c>
      <c r="AS464">
        <v>387.01496777517792</v>
      </c>
      <c r="AT464">
        <v>32.542135161032327</v>
      </c>
      <c r="AU464">
        <v>-3.2375742936642777</v>
      </c>
      <c r="AV464"/>
      <c r="AW464"/>
      <c r="FY464" s="210">
        <v>459</v>
      </c>
      <c r="FZ464">
        <v>26.744989351923564</v>
      </c>
      <c r="GA464">
        <v>59.836628632649038</v>
      </c>
      <c r="GB464">
        <v>48.543261634264276</v>
      </c>
      <c r="GC464">
        <v>16.071386461744325</v>
      </c>
      <c r="GD464">
        <v>6.1801480441187628</v>
      </c>
      <c r="GE464">
        <v>3.9891629961102462</v>
      </c>
      <c r="GF464">
        <v>7.5210275611767763</v>
      </c>
      <c r="GG464">
        <v>14.936185854362249</v>
      </c>
      <c r="GH464">
        <v>21.108951275850153</v>
      </c>
      <c r="GI464">
        <v>40.256975014446809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9.453583565029346</v>
      </c>
      <c r="E465" s="97">
        <f>+K36</f>
        <v>0.27732337860619083</v>
      </c>
      <c r="F465" s="102">
        <f>+D465-D467</f>
        <v>6.9901095390553198</v>
      </c>
      <c r="G465" s="101">
        <f>+D465*E465</f>
        <v>2.6216997341898964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50.261721098072329</v>
      </c>
      <c r="AO465">
        <v>57.632276147136089</v>
      </c>
      <c r="AP465">
        <v>395.15457998656802</v>
      </c>
      <c r="AQ465">
        <v>204.68767067378826</v>
      </c>
      <c r="AR465">
        <v>55.213667821095051</v>
      </c>
      <c r="AS465">
        <v>269.65634478694375</v>
      </c>
      <c r="AT465">
        <v>21.811212524533357</v>
      </c>
      <c r="AU465">
        <v>-3.6112483423244512</v>
      </c>
      <c r="AV465"/>
      <c r="AW465"/>
      <c r="FY465" s="210">
        <v>460</v>
      </c>
      <c r="FZ465">
        <v>24.912459925740219</v>
      </c>
      <c r="GA465">
        <v>61.201747030369262</v>
      </c>
      <c r="GB465">
        <v>31.434029566596138</v>
      </c>
      <c r="GC465">
        <v>9.201779390562713</v>
      </c>
      <c r="GD465">
        <v>9.3394846648163679</v>
      </c>
      <c r="GE465">
        <v>12.808698868136771</v>
      </c>
      <c r="GF465">
        <v>9.9525271783672551</v>
      </c>
      <c r="GG465">
        <v>17.045171123168469</v>
      </c>
      <c r="GH465">
        <v>10.354228350136088</v>
      </c>
      <c r="GI465">
        <v>35.574157303321449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0.36572521059384777</v>
      </c>
      <c r="I466" s="101">
        <f>+H466*F465</f>
        <v>2.5564592832450712</v>
      </c>
      <c r="J466" s="101">
        <f>+I466*$A$440</f>
        <v>48.572726381656352</v>
      </c>
      <c r="K466" s="61">
        <f>IF(AND(J466&lt;0, J464&lt;0), 0, J466)</f>
        <v>48.572726381656352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74.1918110870525</v>
      </c>
      <c r="AO466">
        <v>73.010560118712618</v>
      </c>
      <c r="AP466">
        <v>552.61382151114833</v>
      </c>
      <c r="AQ466">
        <v>256.08251274099985</v>
      </c>
      <c r="AR466">
        <v>69.517092729472608</v>
      </c>
      <c r="AS466">
        <v>415.7538292363505</v>
      </c>
      <c r="AT466">
        <v>26.109587730644478</v>
      </c>
      <c r="AU466">
        <v>8.5429656355986694</v>
      </c>
      <c r="AV466"/>
      <c r="AW466"/>
      <c r="FY466" s="210">
        <v>461</v>
      </c>
      <c r="FZ466">
        <v>25.215961566983697</v>
      </c>
      <c r="GA466">
        <v>62.582188148687017</v>
      </c>
      <c r="GB466">
        <v>40.675919420879531</v>
      </c>
      <c r="GC466">
        <v>11.73788349642871</v>
      </c>
      <c r="GD466">
        <v>6.1279714128623795</v>
      </c>
      <c r="GE466">
        <v>5.5218073086636448</v>
      </c>
      <c r="GF466">
        <v>6.5132035920527231</v>
      </c>
      <c r="GG466">
        <v>12.300065314994544</v>
      </c>
      <c r="GH466">
        <v>17.17224531101138</v>
      </c>
      <c r="GI466">
        <v>34.652753530114083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2.4634740259740258</v>
      </c>
      <c r="E467" s="97">
        <f>L36</f>
        <v>0.48230672197979785</v>
      </c>
      <c r="F467" s="102">
        <f>+D467-D469</f>
        <v>0.95779220779220764</v>
      </c>
      <c r="G467" s="101">
        <f>+D467*E467</f>
        <v>1.1881500821499078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57.075961447843589</v>
      </c>
      <c r="AO467">
        <v>87.951884292401587</v>
      </c>
      <c r="AP467">
        <v>609.4965829141513</v>
      </c>
      <c r="AQ467">
        <v>232.01619055700479</v>
      </c>
      <c r="AR467">
        <v>81.365062053514592</v>
      </c>
      <c r="AS467">
        <v>370.92524646911386</v>
      </c>
      <c r="AT467">
        <v>32.736737252000097</v>
      </c>
      <c r="AU467">
        <v>16.92577801323646</v>
      </c>
      <c r="AV467"/>
      <c r="AW467"/>
      <c r="FY467" s="210">
        <v>462</v>
      </c>
      <c r="FZ467">
        <v>20.997261541927241</v>
      </c>
      <c r="GA467">
        <v>64.899740574415262</v>
      </c>
      <c r="GB467">
        <v>37.892423406705497</v>
      </c>
      <c r="GC467">
        <v>11.822816215487915</v>
      </c>
      <c r="GD467">
        <v>5.7256446241982175</v>
      </c>
      <c r="GE467">
        <v>3.5734428166459895</v>
      </c>
      <c r="GF467">
        <v>8.220938500285115</v>
      </c>
      <c r="GG467">
        <v>12.694345402403357</v>
      </c>
      <c r="GH467">
        <v>12.046866639103122</v>
      </c>
      <c r="GI467">
        <v>30.035825298857961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0.60465557278996751</v>
      </c>
      <c r="I468" s="101">
        <f>+H468*F467</f>
        <v>0.57913439601636485</v>
      </c>
      <c r="J468" s="101">
        <f>+I468*$A$440</f>
        <v>11.003553524310933</v>
      </c>
      <c r="K468" s="61">
        <f>IF(AND(J468&lt;0, J466&lt;0), 0, J468)</f>
        <v>11.003553524310933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62.174548189006615</v>
      </c>
      <c r="AO468">
        <v>80.8170593022204</v>
      </c>
      <c r="AP468">
        <v>523.45433772729371</v>
      </c>
      <c r="AQ468">
        <v>231.0628235270064</v>
      </c>
      <c r="AR468">
        <v>77.109657575987455</v>
      </c>
      <c r="AS468">
        <v>444.4092844616614</v>
      </c>
      <c r="AT468">
        <v>30.322158302566802</v>
      </c>
      <c r="AU468">
        <v>16.795328758291063</v>
      </c>
      <c r="AV468"/>
      <c r="AW468"/>
      <c r="FY468" s="210">
        <v>463</v>
      </c>
      <c r="FZ468">
        <v>36.088908198111447</v>
      </c>
      <c r="GA468">
        <v>46.627031567913505</v>
      </c>
      <c r="GB468">
        <v>32.903857929437336</v>
      </c>
      <c r="GC468">
        <v>10.494217111800614</v>
      </c>
      <c r="GD468">
        <v>7.1159341342236946</v>
      </c>
      <c r="GE468">
        <v>9.3251106448391781</v>
      </c>
      <c r="GF468">
        <v>10.497370740717876</v>
      </c>
      <c r="GG468">
        <v>21.581383020490694</v>
      </c>
      <c r="GH468">
        <v>22.244203371403021</v>
      </c>
      <c r="GI468">
        <v>35.738022145280404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1.5056818181818181</v>
      </c>
      <c r="E469" s="97">
        <f>M36</f>
        <v>0.7580411904797747</v>
      </c>
      <c r="F469" s="102">
        <f>+D469-D471</f>
        <v>0.67234848484848486</v>
      </c>
      <c r="G469" s="101">
        <f>+D469*E469</f>
        <v>1.1413688379382971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52.704979290737128</v>
      </c>
      <c r="AO469">
        <v>76.90909991245907</v>
      </c>
      <c r="AP469">
        <v>562.83395644184736</v>
      </c>
      <c r="AQ469">
        <v>247.40271840730449</v>
      </c>
      <c r="AR469">
        <v>71.637146580033345</v>
      </c>
      <c r="AS469">
        <v>473.53912242618327</v>
      </c>
      <c r="AT469">
        <v>30.846069800459119</v>
      </c>
      <c r="AU469">
        <v>56.758416660089814</v>
      </c>
      <c r="AV469"/>
      <c r="AW469"/>
      <c r="FY469" s="210">
        <v>464</v>
      </c>
      <c r="FZ469">
        <v>24.552521967143775</v>
      </c>
      <c r="GA469">
        <v>36.877582245942882</v>
      </c>
      <c r="GB469">
        <v>18.955490841033836</v>
      </c>
      <c r="GC469">
        <v>9.7340094396881476</v>
      </c>
      <c r="GD469">
        <v>7.502557509918919</v>
      </c>
      <c r="GE469">
        <v>9.7143986222630048</v>
      </c>
      <c r="GF469">
        <v>7.3009319907340675</v>
      </c>
      <c r="GG469">
        <v>6.8685348622412272</v>
      </c>
      <c r="GH469">
        <v>4.2039090147534424</v>
      </c>
      <c r="GI469">
        <v>21.457489548822132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0.9177128738879391</v>
      </c>
      <c r="I470" s="101">
        <f>+H470*F469</f>
        <v>0.61702286028450448</v>
      </c>
      <c r="J470" s="101">
        <f>+I470*$A$440</f>
        <v>11.723434345405586</v>
      </c>
      <c r="K470" s="61">
        <f>IF(AND(J470&lt;0, J468&lt;0), 0, J470)</f>
        <v>11.723434345405586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47.200355667312003</v>
      </c>
      <c r="AO470">
        <v>58.656578013563447</v>
      </c>
      <c r="AP470">
        <v>464.31183896435283</v>
      </c>
      <c r="AQ470">
        <v>189.65610924171438</v>
      </c>
      <c r="AR470">
        <v>54.749904164624624</v>
      </c>
      <c r="AS470">
        <v>265.1193512787143</v>
      </c>
      <c r="AT470">
        <v>21.419013971071454</v>
      </c>
      <c r="AU470">
        <v>0.63177595141613541</v>
      </c>
      <c r="AV470"/>
      <c r="AW470"/>
      <c r="FY470" s="210">
        <v>465</v>
      </c>
      <c r="FZ470">
        <v>17.111161390535013</v>
      </c>
      <c r="GA470">
        <v>43.473069654252519</v>
      </c>
      <c r="GB470">
        <v>18.901033223527708</v>
      </c>
      <c r="GC470">
        <v>5.7689862741238001</v>
      </c>
      <c r="GD470">
        <v>5.1289350082606662</v>
      </c>
      <c r="GE470">
        <v>7.0474593888495445</v>
      </c>
      <c r="GF470">
        <v>8.208520892446499</v>
      </c>
      <c r="GG470">
        <v>16.081778470289468</v>
      </c>
      <c r="GH470">
        <v>16.387449293441261</v>
      </c>
      <c r="GI470">
        <v>20.687912005454031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0.83333333333333326</v>
      </c>
      <c r="E471" s="97">
        <f>+N36</f>
        <v>1.1110173556223539</v>
      </c>
      <c r="F471" s="102">
        <f>+D471-D473</f>
        <v>0</v>
      </c>
      <c r="G471" s="101">
        <f>+D471*E471</f>
        <v>0.92584779635196157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54.92961323345078</v>
      </c>
      <c r="AO471">
        <v>68.610642739267789</v>
      </c>
      <c r="AP471">
        <v>464.84036650499814</v>
      </c>
      <c r="AQ471">
        <v>212.636599524308</v>
      </c>
      <c r="AR471">
        <v>63.675163539942702</v>
      </c>
      <c r="AS471">
        <v>454.24503831744227</v>
      </c>
      <c r="AT471">
        <v>25.588074736576377</v>
      </c>
      <c r="AU471">
        <v>33.385502394814409</v>
      </c>
      <c r="AV471"/>
      <c r="AW471"/>
      <c r="FY471" s="210">
        <v>466</v>
      </c>
      <c r="FZ471">
        <v>22.142145454116278</v>
      </c>
      <c r="GA471">
        <v>59.334602572797294</v>
      </c>
      <c r="GB471">
        <v>38.42736060540566</v>
      </c>
      <c r="GC471">
        <v>13.810595797460101</v>
      </c>
      <c r="GD471">
        <v>8.3310436962020482</v>
      </c>
      <c r="GE471">
        <v>8.2094813488268077</v>
      </c>
      <c r="GF471">
        <v>7.9859540051247349</v>
      </c>
      <c r="GG471">
        <v>7.827169817647567</v>
      </c>
      <c r="GH471">
        <v>7.7869446527611608</v>
      </c>
      <c r="GI471">
        <v>34.321085370935876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1.3110850266534597</v>
      </c>
      <c r="I472" s="101">
        <f>+H472*F471</f>
        <v>0</v>
      </c>
      <c r="J472" s="101">
        <f>+I472*$A$440</f>
        <v>0</v>
      </c>
      <c r="K472" s="61">
        <f>IF(AND(J472&lt;0, J470&lt;0), 0, J472)</f>
        <v>0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51.859487288111666</v>
      </c>
      <c r="AO472">
        <v>56.978601528455918</v>
      </c>
      <c r="AP472">
        <v>403.46352596264285</v>
      </c>
      <c r="AQ472">
        <v>175.92381581464804</v>
      </c>
      <c r="AR472">
        <v>55.684125108254356</v>
      </c>
      <c r="AS472">
        <v>354.00376998969631</v>
      </c>
      <c r="AT472">
        <v>21.356241109263028</v>
      </c>
      <c r="AU472">
        <v>22.043652555049981</v>
      </c>
      <c r="AV472"/>
      <c r="AW472"/>
      <c r="FY472" s="210">
        <v>467</v>
      </c>
      <c r="FZ472">
        <v>19.947880133858781</v>
      </c>
      <c r="GA472">
        <v>69.954754771106664</v>
      </c>
      <c r="GB472">
        <v>50.309257330193994</v>
      </c>
      <c r="GC472">
        <v>11.346363974363516</v>
      </c>
      <c r="GD472">
        <v>7.7857771737857693</v>
      </c>
      <c r="GE472">
        <v>9.8724594752543027</v>
      </c>
      <c r="GF472">
        <v>8.5463288992853244</v>
      </c>
      <c r="GG472">
        <v>14.156213998748209</v>
      </c>
      <c r="GH472">
        <v>20.253193057332208</v>
      </c>
      <c r="GI472">
        <v>38.079158058128236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0.83333333333333326</v>
      </c>
      <c r="E473" s="97">
        <f>O36</f>
        <v>1.547180103367521</v>
      </c>
      <c r="F473" s="102">
        <f>+D473-D475</f>
        <v>-0.5208333333333337</v>
      </c>
      <c r="G473" s="101">
        <f>+D473*E473</f>
        <v>1.2893167528062675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55.04553819474269</v>
      </c>
      <c r="AO473">
        <v>79.66335719091856</v>
      </c>
      <c r="AP473">
        <v>536.65370852875549</v>
      </c>
      <c r="AQ473">
        <v>203.03885723731668</v>
      </c>
      <c r="AR473">
        <v>73.70524347357221</v>
      </c>
      <c r="AS473">
        <v>362.16386875944005</v>
      </c>
      <c r="AT473">
        <v>29.000603515910267</v>
      </c>
      <c r="AU473">
        <v>32.403591725067848</v>
      </c>
      <c r="AV473"/>
      <c r="AW473"/>
      <c r="FY473" s="210">
        <v>468</v>
      </c>
      <c r="FZ473">
        <v>15.819557589258654</v>
      </c>
      <c r="GA473">
        <v>33.173777788998571</v>
      </c>
      <c r="GB473">
        <v>32.444542737873114</v>
      </c>
      <c r="GC473">
        <v>10.839583096397705</v>
      </c>
      <c r="GD473">
        <v>6.0385740571627826</v>
      </c>
      <c r="GE473">
        <v>7.2977822132786132</v>
      </c>
      <c r="GF473">
        <v>7.7429197855301268</v>
      </c>
      <c r="GG473">
        <v>12.841238613491441</v>
      </c>
      <c r="GH473">
        <v>9.609614175975171</v>
      </c>
      <c r="GI473">
        <v>28.615217793041662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1.7904821660358381</v>
      </c>
      <c r="I474" s="101">
        <f>+H474*F473</f>
        <v>-0.93254279481033298</v>
      </c>
      <c r="J474" s="101">
        <f>+I474*$A$440</f>
        <v>-17.718313101396326</v>
      </c>
      <c r="K474" s="61">
        <f>IF(AND(J474&lt;0, J472&lt;0), 0, J474)</f>
        <v>-17.718313101396326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65.998143576934268</v>
      </c>
      <c r="AO474">
        <v>73.865201366340585</v>
      </c>
      <c r="AP474">
        <v>505.11223985124195</v>
      </c>
      <c r="AQ474">
        <v>222.86021298896398</v>
      </c>
      <c r="AR474">
        <v>71.037400448793321</v>
      </c>
      <c r="AS474">
        <v>375.8543374028672</v>
      </c>
      <c r="AT474">
        <v>27.900772380994979</v>
      </c>
      <c r="AU474">
        <v>22.444732191541938</v>
      </c>
      <c r="AV474"/>
      <c r="AW474"/>
      <c r="FY474" s="210">
        <v>469</v>
      </c>
      <c r="FZ474">
        <v>21.845737221406747</v>
      </c>
      <c r="GA474">
        <v>64.640722024590445</v>
      </c>
      <c r="GB474">
        <v>51.046178169861562</v>
      </c>
      <c r="GC474">
        <v>17.61664289004986</v>
      </c>
      <c r="GD474">
        <v>9.4279557551122934</v>
      </c>
      <c r="GE474">
        <v>6.5804588427228374</v>
      </c>
      <c r="GF474">
        <v>9.3707312385648898</v>
      </c>
      <c r="GG474">
        <v>17.378448922780063</v>
      </c>
      <c r="GH474">
        <v>22.991804188432937</v>
      </c>
      <c r="GI474">
        <v>48.930741117391207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1.354166666666667</v>
      </c>
      <c r="E475" s="97">
        <f>P36</f>
        <v>2.072044734749841</v>
      </c>
      <c r="F475" s="102">
        <f>+D475-D477</f>
        <v>0.11217948717948767</v>
      </c>
      <c r="G475" s="101">
        <f>+D475*E475</f>
        <v>2.8058939116404105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64.79385876513939</v>
      </c>
      <c r="AO475">
        <v>85.145983174215004</v>
      </c>
      <c r="AP475">
        <v>591.88935402449795</v>
      </c>
      <c r="AQ475">
        <v>245.18871682664621</v>
      </c>
      <c r="AR475">
        <v>79.644229073587596</v>
      </c>
      <c r="AS475">
        <v>524.96787660013445</v>
      </c>
      <c r="AT475">
        <v>28.911403360518662</v>
      </c>
      <c r="AU475">
        <v>2.635631898718513</v>
      </c>
      <c r="AV475"/>
      <c r="AW475"/>
      <c r="FY475" s="210">
        <v>470</v>
      </c>
      <c r="FZ475">
        <v>18.200292908768319</v>
      </c>
      <c r="GA475">
        <v>30.796299594950487</v>
      </c>
      <c r="GB475">
        <v>28.324350454563991</v>
      </c>
      <c r="GC475">
        <v>15.036950336087372</v>
      </c>
      <c r="GD475">
        <v>13.333142206252141</v>
      </c>
      <c r="GE475">
        <v>17.327009684785626</v>
      </c>
      <c r="GF475">
        <v>13.225508426758509</v>
      </c>
      <c r="GG475">
        <v>19.376721373001484</v>
      </c>
      <c r="GH475">
        <v>13.556009102155246</v>
      </c>
      <c r="GI475">
        <v>41.475586763815357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2.3612306705950674</v>
      </c>
      <c r="I476" s="101">
        <f>+H476*F475</f>
        <v>0.26488164573983242</v>
      </c>
      <c r="J476" s="101">
        <f>+I476*$A$440</f>
        <v>5.0327512690568161</v>
      </c>
      <c r="K476" s="61">
        <f>IF(AND(J476&lt;0, J474&lt;0), 0, J476)</f>
        <v>5.0327512690568161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57.844557195988706</v>
      </c>
      <c r="AO476">
        <v>76.019694628832838</v>
      </c>
      <c r="AP476">
        <v>534.93172699256763</v>
      </c>
      <c r="AQ476">
        <v>221.82428340121473</v>
      </c>
      <c r="AR476">
        <v>69.981967252279219</v>
      </c>
      <c r="AS476">
        <v>343.07599396714159</v>
      </c>
      <c r="AT476">
        <v>29.147482244165356</v>
      </c>
      <c r="AU476">
        <v>25.966907187017043</v>
      </c>
      <c r="AV476"/>
      <c r="AW476"/>
      <c r="FY476" s="210">
        <v>471</v>
      </c>
      <c r="FZ476">
        <v>21.684498273516649</v>
      </c>
      <c r="GA476">
        <v>44.026322110004415</v>
      </c>
      <c r="GB476">
        <v>22.631420937700831</v>
      </c>
      <c r="GC476">
        <v>7.1329093672806101</v>
      </c>
      <c r="GD476">
        <v>4.8530453698665088</v>
      </c>
      <c r="GE476">
        <v>6.0626086312733554</v>
      </c>
      <c r="GF476">
        <v>8.00582190101421</v>
      </c>
      <c r="GG476">
        <v>13.240550606263284</v>
      </c>
      <c r="GH476">
        <v>16.059210651914412</v>
      </c>
      <c r="GI476">
        <v>23.683293260897582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1.2419871794871793</v>
      </c>
      <c r="E477" s="97">
        <f>Q36</f>
        <v>2.6907769828781971</v>
      </c>
      <c r="F477" s="102">
        <f>+D477-D479</f>
        <v>-1.6399572649572658</v>
      </c>
      <c r="G477" s="101">
        <f>+D477*E477</f>
        <v>3.3419105155939142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57.120585268715672</v>
      </c>
      <c r="AO477">
        <v>72.718843312062219</v>
      </c>
      <c r="AP477">
        <v>527.7322111944577</v>
      </c>
      <c r="AQ477">
        <v>222.49999910267769</v>
      </c>
      <c r="AR477">
        <v>67.868106809176467</v>
      </c>
      <c r="AS477">
        <v>332.227370756146</v>
      </c>
      <c r="AT477">
        <v>26.813082926090811</v>
      </c>
      <c r="AU477">
        <v>0.137001806973303</v>
      </c>
      <c r="AV477"/>
      <c r="AW477"/>
      <c r="FY477" s="210">
        <v>472</v>
      </c>
      <c r="FZ477">
        <v>13.913694751688618</v>
      </c>
      <c r="GA477">
        <v>55.462644041239976</v>
      </c>
      <c r="GB477">
        <v>41.250390891654554</v>
      </c>
      <c r="GC477">
        <v>10.11955044182392</v>
      </c>
      <c r="GD477">
        <v>5.1539756178912812</v>
      </c>
      <c r="GE477">
        <v>7.1147367965224593</v>
      </c>
      <c r="GF477">
        <v>15.927348791794254</v>
      </c>
      <c r="GG477">
        <v>27.599109585324264</v>
      </c>
      <c r="GH477">
        <v>19.648632955232458</v>
      </c>
      <c r="GI477">
        <v>36.914736633585328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3.0283400044657283</v>
      </c>
      <c r="I478" s="101">
        <f>+H478*F477</f>
        <v>-4.9663481910842897</v>
      </c>
      <c r="J478" s="101">
        <f>+I478*$A$440</f>
        <v>-94.360615630601501</v>
      </c>
      <c r="K478" s="61">
        <f>IF(AND(J478&lt;0, J476&lt;0), 0, J478)</f>
        <v>-94.360615630601501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46.965412729242232</v>
      </c>
      <c r="AO478">
        <v>61.398029804194984</v>
      </c>
      <c r="AP478">
        <v>476.37619127850581</v>
      </c>
      <c r="AQ478">
        <v>207.90930502002968</v>
      </c>
      <c r="AR478">
        <v>57.827478317063267</v>
      </c>
      <c r="AS478">
        <v>338.37575733181848</v>
      </c>
      <c r="AT478">
        <v>23.729849818225883</v>
      </c>
      <c r="AU478">
        <v>-1.0751609764572114</v>
      </c>
      <c r="AV478"/>
      <c r="AW478"/>
      <c r="FY478" s="210">
        <v>473</v>
      </c>
      <c r="FZ478">
        <v>26.19109169016123</v>
      </c>
      <c r="GA478">
        <v>44.200025341266922</v>
      </c>
      <c r="GB478">
        <v>25.702855389404778</v>
      </c>
      <c r="GC478">
        <v>10.571684186695572</v>
      </c>
      <c r="GD478">
        <v>7.3494965863716901</v>
      </c>
      <c r="GE478">
        <v>7.2197404423113802</v>
      </c>
      <c r="GF478">
        <v>13.747451905170518</v>
      </c>
      <c r="GG478">
        <v>21.620877618324378</v>
      </c>
      <c r="GH478">
        <v>16.296339434530381</v>
      </c>
      <c r="GI478">
        <v>33.590950828003024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2.8819444444444451</v>
      </c>
      <c r="E479" s="97">
        <f>R36</f>
        <v>3.4082509405286605</v>
      </c>
      <c r="F479" s="102">
        <f>+D479-D481</f>
        <v>-0.37708818958818879</v>
      </c>
      <c r="G479" s="101">
        <f>+D479*E479</f>
        <v>9.8223898633291284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61.542181308193179</v>
      </c>
      <c r="AO479">
        <v>76.75411416283481</v>
      </c>
      <c r="AP479">
        <v>586.82560947375282</v>
      </c>
      <c r="AQ479">
        <v>232.61603886421778</v>
      </c>
      <c r="AR479">
        <v>74.030455078124447</v>
      </c>
      <c r="AS479">
        <v>490.05771150228213</v>
      </c>
      <c r="AT479">
        <v>29.249704965911189</v>
      </c>
      <c r="AU479">
        <v>0.92344408964448732</v>
      </c>
      <c r="AV479"/>
      <c r="AW479"/>
      <c r="FY479" s="210">
        <v>474</v>
      </c>
      <c r="FZ479">
        <v>28.908566927682088</v>
      </c>
      <c r="GA479">
        <v>51.173271041654601</v>
      </c>
      <c r="GB479">
        <v>16.649658097802263</v>
      </c>
      <c r="GC479">
        <v>5.8389765079765032</v>
      </c>
      <c r="GD479">
        <v>3.8171710253125148</v>
      </c>
      <c r="GE479">
        <v>3.8420307155516671</v>
      </c>
      <c r="GF479">
        <v>11.381017381040961</v>
      </c>
      <c r="GG479">
        <v>19.661630775524742</v>
      </c>
      <c r="GH479">
        <v>17.832093426952639</v>
      </c>
      <c r="GI479">
        <v>22.339716376669514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3.7965522281891317</v>
      </c>
      <c r="I480" s="101">
        <f>+H480*F479</f>
        <v>-1.431635006404844</v>
      </c>
      <c r="J480" s="101">
        <f>+I480*$A$440</f>
        <v>-27.201065121692036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47.679176959544691</v>
      </c>
      <c r="AO480">
        <v>40.29996130862461</v>
      </c>
      <c r="AP480">
        <v>257.31762731880133</v>
      </c>
      <c r="AQ480">
        <v>147.16742604254145</v>
      </c>
      <c r="AR480">
        <v>37.836955963016159</v>
      </c>
      <c r="AS480">
        <v>229.2556731778067</v>
      </c>
      <c r="AT480">
        <v>16.27675257585048</v>
      </c>
      <c r="AU480">
        <v>2.9513259255927444</v>
      </c>
      <c r="AV480"/>
      <c r="AW480"/>
      <c r="FY480" s="210">
        <v>475</v>
      </c>
      <c r="FZ480">
        <v>28.285738978048943</v>
      </c>
      <c r="GA480">
        <v>43.171812984655581</v>
      </c>
      <c r="GB480">
        <v>25.399399588243845</v>
      </c>
      <c r="GC480">
        <v>11.861887172299316</v>
      </c>
      <c r="GD480">
        <v>4.4020549119459087</v>
      </c>
      <c r="GE480">
        <v>2.5974458055450054</v>
      </c>
      <c r="GF480">
        <v>10.502122568733897</v>
      </c>
      <c r="GG480">
        <v>19.82609260342478</v>
      </c>
      <c r="GH480">
        <v>28.820105274559911</v>
      </c>
      <c r="GI480">
        <v>28.359295686488061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3.2590326340326339</v>
      </c>
      <c r="E481" s="97">
        <f>+S36</f>
        <v>4.2290925970175506</v>
      </c>
      <c r="F481" s="102">
        <f>+D481-D483</f>
        <v>1.933275058275058</v>
      </c>
      <c r="G481" s="101">
        <f>+D481*E481</f>
        <v>13.782750786026019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43.490303607568109</v>
      </c>
      <c r="AO481">
        <v>39.940060440020169</v>
      </c>
      <c r="AP481">
        <v>310.14566971308733</v>
      </c>
      <c r="AQ481">
        <v>158.79630560118051</v>
      </c>
      <c r="AR481">
        <v>37.189227527466123</v>
      </c>
      <c r="AS481">
        <v>225.57816382793769</v>
      </c>
      <c r="AT481">
        <v>16.266481983199757</v>
      </c>
      <c r="AU481">
        <v>-5.6945905690465874</v>
      </c>
      <c r="AV481"/>
      <c r="AW481"/>
      <c r="FY481" s="210">
        <v>476</v>
      </c>
      <c r="FZ481">
        <v>13.885144287032521</v>
      </c>
      <c r="GA481">
        <v>32.162194137261679</v>
      </c>
      <c r="GB481">
        <v>31.567743812039495</v>
      </c>
      <c r="GC481">
        <v>11.631735452151208</v>
      </c>
      <c r="GD481">
        <v>7.1008620104799602</v>
      </c>
      <c r="GE481">
        <v>9.3156148675390327</v>
      </c>
      <c r="GF481">
        <v>12.697191116459251</v>
      </c>
      <c r="GG481">
        <v>19.235864371648233</v>
      </c>
      <c r="GH481">
        <v>11.412173938315338</v>
      </c>
      <c r="GI481">
        <v>33.134499382600296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4.670379872358132</v>
      </c>
      <c r="I482" s="101">
        <f>+H482*F481</f>
        <v>9.0291289198998257</v>
      </c>
      <c r="J482" s="101">
        <f>+I482*$A$440</f>
        <v>171.5534494780967</v>
      </c>
      <c r="K482" s="61">
        <f>IF(AND(J482&lt;0, J480&lt;0), 0, J482)</f>
        <v>171.5534494780967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55.845725269822083</v>
      </c>
      <c r="AO482">
        <v>69.955610720348602</v>
      </c>
      <c r="AP482">
        <v>473.60382601556654</v>
      </c>
      <c r="AQ482">
        <v>208.17638332127751</v>
      </c>
      <c r="AR482">
        <v>65.236154923209696</v>
      </c>
      <c r="AS482">
        <v>387.75677413592069</v>
      </c>
      <c r="AT482">
        <v>26.270286147099764</v>
      </c>
      <c r="AU482">
        <v>-10.724450463072573</v>
      </c>
      <c r="AV482"/>
      <c r="AW482"/>
      <c r="FY482" s="210">
        <v>477</v>
      </c>
      <c r="FZ482">
        <v>29.242097220703556</v>
      </c>
      <c r="GA482">
        <v>55.474695879530266</v>
      </c>
      <c r="GB482">
        <v>25.343076615603628</v>
      </c>
      <c r="GC482">
        <v>12.644530438618863</v>
      </c>
      <c r="GD482">
        <v>7.3979211541002341</v>
      </c>
      <c r="GE482">
        <v>5.4424047801480615</v>
      </c>
      <c r="GF482">
        <v>8.3290988263856018</v>
      </c>
      <c r="GG482">
        <v>13.662110171380334</v>
      </c>
      <c r="GH482">
        <v>15.717288195421876</v>
      </c>
      <c r="GI482">
        <v>30.768790069967665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1.3257575757575759</v>
      </c>
      <c r="E483" s="97">
        <f>+T36</f>
        <v>5.1577135406092971</v>
      </c>
      <c r="F483" s="102">
        <f>+D483-D485</f>
        <v>-0.13257575757575757</v>
      </c>
      <c r="G483" s="101">
        <f>+D483*E483</f>
        <v>6.8378778000502054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56.457961143407942</v>
      </c>
      <c r="AO483">
        <v>81.474724959413138</v>
      </c>
      <c r="AP483">
        <v>636.07777116251179</v>
      </c>
      <c r="AQ483">
        <v>250.25138687205697</v>
      </c>
      <c r="AR483">
        <v>76.946797238281746</v>
      </c>
      <c r="AS483">
        <v>330.70712267740134</v>
      </c>
      <c r="AT483">
        <v>30.621592070047708</v>
      </c>
      <c r="AU483">
        <v>15.315377380217669</v>
      </c>
      <c r="AV483"/>
      <c r="AW483"/>
      <c r="FY483" s="210">
        <v>478</v>
      </c>
      <c r="FZ483">
        <v>22.469647242197446</v>
      </c>
      <c r="GA483">
        <v>36.98353293836999</v>
      </c>
      <c r="GB483">
        <v>19.800563700454102</v>
      </c>
      <c r="GC483">
        <v>10.289966751807796</v>
      </c>
      <c r="GD483">
        <v>7.3752211193311226</v>
      </c>
      <c r="GE483">
        <v>8.0833991560302767</v>
      </c>
      <c r="GF483">
        <v>7.7985132783804181</v>
      </c>
      <c r="GG483">
        <v>10.107347538680198</v>
      </c>
      <c r="GH483">
        <v>13.019351498131266</v>
      </c>
      <c r="GI483">
        <v>27.744970538850193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5.6541356705134369</v>
      </c>
      <c r="I484" s="101">
        <f>+H484*F483</f>
        <v>-0.74960131995443291</v>
      </c>
      <c r="J484" s="101">
        <f>+I484*$A$440</f>
        <v>-14.242425079134225</v>
      </c>
      <c r="K484" s="61">
        <f>IF(AND(J484&lt;0, J482&lt;0), 0, J484)</f>
        <v>-14.242425079134225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53.394046400792</v>
      </c>
      <c r="AO484">
        <v>61.370978858979925</v>
      </c>
      <c r="AP484">
        <v>397.74234461657699</v>
      </c>
      <c r="AQ484">
        <v>164.42280785100783</v>
      </c>
      <c r="AR484">
        <v>56.76756724343258</v>
      </c>
      <c r="AS484">
        <v>352.88570271144744</v>
      </c>
      <c r="AT484">
        <v>20.878028642143036</v>
      </c>
      <c r="AU484">
        <v>20.932889206735172</v>
      </c>
      <c r="AV484"/>
      <c r="AW484"/>
      <c r="FY484" s="210">
        <v>479</v>
      </c>
      <c r="FZ484">
        <v>28.261093963482651</v>
      </c>
      <c r="GA484">
        <v>54.106739149970146</v>
      </c>
      <c r="GB484">
        <v>18.436749667788284</v>
      </c>
      <c r="GC484">
        <v>4.9970421591847209</v>
      </c>
      <c r="GD484">
        <v>6.7873878846157014</v>
      </c>
      <c r="GE484">
        <v>10.860046591308581</v>
      </c>
      <c r="GF484">
        <v>10.932728686280063</v>
      </c>
      <c r="GG484">
        <v>24.427862220477397</v>
      </c>
      <c r="GH484">
        <v>23.023738362579298</v>
      </c>
      <c r="GI484">
        <v>28.963401396409051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1.4583333333333335</v>
      </c>
      <c r="E485" s="97">
        <f>+U36</f>
        <v>6.1983376798386134</v>
      </c>
      <c r="F485" s="102">
        <f>+D485-D487</f>
        <v>-8.9962121212120882E-2</v>
      </c>
      <c r="G485" s="101">
        <f>+D485*E485</f>
        <v>9.0392424497646449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73.66378143455502</v>
      </c>
      <c r="AO485">
        <v>106.62145168181965</v>
      </c>
      <c r="AP485">
        <v>679.69900512746199</v>
      </c>
      <c r="AQ485">
        <v>269.82942037091283</v>
      </c>
      <c r="AR485">
        <v>98.772153546576419</v>
      </c>
      <c r="AS485">
        <v>651.89382198795374</v>
      </c>
      <c r="AT485">
        <v>35.699988639343843</v>
      </c>
      <c r="AU485">
        <v>19.130962907065594</v>
      </c>
      <c r="AV485"/>
      <c r="AW485"/>
      <c r="FY485" s="210">
        <v>480</v>
      </c>
      <c r="FZ485">
        <v>16.206903121561719</v>
      </c>
      <c r="GA485">
        <v>32.675406944556315</v>
      </c>
      <c r="GB485">
        <v>14.94638804368879</v>
      </c>
      <c r="GC485">
        <v>8.3070921696073405</v>
      </c>
      <c r="GD485">
        <v>8.1050378670557386</v>
      </c>
      <c r="GE485">
        <v>10.36115437431123</v>
      </c>
      <c r="GF485">
        <v>10.635913695713759</v>
      </c>
      <c r="GG485">
        <v>19.207980469975446</v>
      </c>
      <c r="GH485">
        <v>18.691928365868002</v>
      </c>
      <c r="GI485">
        <v>30.595333073381529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6.7519564044792872</v>
      </c>
      <c r="I486" s="101">
        <f>+H486*F485</f>
        <v>-0.60742032047872152</v>
      </c>
      <c r="J486" s="101">
        <f>+I486*$A$440</f>
        <v>-11.540986089095709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60.05419612586428</v>
      </c>
      <c r="AO486">
        <v>86.486921927601998</v>
      </c>
      <c r="AP486">
        <v>503.63933454717983</v>
      </c>
      <c r="AQ486">
        <v>210.65187085113851</v>
      </c>
      <c r="AR486">
        <v>80.777897278901449</v>
      </c>
      <c r="AS486">
        <v>421.43989560545458</v>
      </c>
      <c r="AT486">
        <v>34.178993705253447</v>
      </c>
      <c r="AU486">
        <v>-66.829034343377913</v>
      </c>
      <c r="AV486"/>
      <c r="AW486"/>
      <c r="FY486" s="210">
        <v>481</v>
      </c>
      <c r="FZ486">
        <v>13.247003982150973</v>
      </c>
      <c r="GA486">
        <v>45.950074889972825</v>
      </c>
      <c r="GB486">
        <v>33.990900551622374</v>
      </c>
      <c r="GC486">
        <v>11.626333796032855</v>
      </c>
      <c r="GD486">
        <v>8.2655937083246371</v>
      </c>
      <c r="GE486">
        <v>8.9983324082250089</v>
      </c>
      <c r="GF486">
        <v>9.4480824810818067</v>
      </c>
      <c r="GG486">
        <v>24.471010319801387</v>
      </c>
      <c r="GH486">
        <v>27.244575824488397</v>
      </c>
      <c r="GI486">
        <v>37.482516908074444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1.5482954545454544</v>
      </c>
      <c r="E487" s="97">
        <f>V36</f>
        <v>7.3550228533492659</v>
      </c>
      <c r="F487" s="102">
        <f>+D487-D489</f>
        <v>0.66287878787878762</v>
      </c>
      <c r="G487" s="101">
        <f>+D487*E487</f>
        <v>11.387748451918606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46.488503879518319</v>
      </c>
      <c r="AO487">
        <v>47.511636122823631</v>
      </c>
      <c r="AP487">
        <v>331.82176377856564</v>
      </c>
      <c r="AQ487">
        <v>167.37968110973185</v>
      </c>
      <c r="AR487">
        <v>44.40318489286787</v>
      </c>
      <c r="AS487">
        <v>244.58527383579437</v>
      </c>
      <c r="AT487">
        <v>18.320740434173569</v>
      </c>
      <c r="AU487">
        <v>47.452861365469211</v>
      </c>
      <c r="AV487"/>
      <c r="AW487"/>
      <c r="FY487" s="210">
        <v>482</v>
      </c>
      <c r="FZ487">
        <v>24.526264465762306</v>
      </c>
      <c r="GA487">
        <v>62.999269653039377</v>
      </c>
      <c r="GB487">
        <v>49.199911199118688</v>
      </c>
      <c r="GC487">
        <v>9.3232853674804748</v>
      </c>
      <c r="GD487">
        <v>3.0896386247708074</v>
      </c>
      <c r="GE487">
        <v>5.0479489349936832</v>
      </c>
      <c r="GF487">
        <v>9.8295218404352518</v>
      </c>
      <c r="GG487">
        <v>14.067091045278792</v>
      </c>
      <c r="GH487">
        <v>16.029550169671356</v>
      </c>
      <c r="GI487">
        <v>34.114792533068531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7.9678223726495441</v>
      </c>
      <c r="I488" s="101">
        <f>+H488*F487</f>
        <v>5.2817004364154156</v>
      </c>
      <c r="J488" s="101">
        <f>+I488*$A$440</f>
        <v>100.3523082918929</v>
      </c>
      <c r="K488" s="61">
        <f>IF(AND(J488&lt;0, J486&lt;0), 0, J488)</f>
        <v>100.3523082918929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53.535088569590286</v>
      </c>
      <c r="AO488">
        <v>80.021529335823928</v>
      </c>
      <c r="AP488">
        <v>608.50978428935878</v>
      </c>
      <c r="AQ488">
        <v>233.10482050675711</v>
      </c>
      <c r="AR488">
        <v>73.906793246617255</v>
      </c>
      <c r="AS488">
        <v>332.42453480418391</v>
      </c>
      <c r="AT488">
        <v>30.19774216446557</v>
      </c>
      <c r="AU488">
        <v>-16.173547232419676</v>
      </c>
      <c r="AV488"/>
      <c r="AW488"/>
      <c r="FY488" s="210">
        <v>483</v>
      </c>
      <c r="FZ488">
        <v>24.583690416083677</v>
      </c>
      <c r="GA488">
        <v>43.279281440256852</v>
      </c>
      <c r="GB488">
        <v>24.143670409629703</v>
      </c>
      <c r="GC488">
        <v>10.785490040731172</v>
      </c>
      <c r="GD488">
        <v>5.5872349815535012</v>
      </c>
      <c r="GE488">
        <v>5.1541089573867795</v>
      </c>
      <c r="GF488">
        <v>10.084324088716967</v>
      </c>
      <c r="GG488">
        <v>11.188374787515841</v>
      </c>
      <c r="GH488">
        <v>10.723483297313699</v>
      </c>
      <c r="GI488">
        <v>25.506163350365149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0.88541666666666674</v>
      </c>
      <c r="E489" s="97">
        <f>W36</f>
        <v>8.6316785995008587</v>
      </c>
      <c r="F489" s="102">
        <f>+D489-D491</f>
        <v>0.67708333333333348</v>
      </c>
      <c r="G489" s="101">
        <f>+D489*E489</f>
        <v>7.6426320933080527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42.975881422032103</v>
      </c>
      <c r="AO489">
        <v>71.846861455120845</v>
      </c>
      <c r="AP489">
        <v>511.23462541833919</v>
      </c>
      <c r="AQ489">
        <v>206.49051342223987</v>
      </c>
      <c r="AR489">
        <v>68.309239206262774</v>
      </c>
      <c r="AS489">
        <v>300.54257111470491</v>
      </c>
      <c r="AT489">
        <v>28.80988849459305</v>
      </c>
      <c r="AU489">
        <v>-12.881474357602162</v>
      </c>
      <c r="AV489"/>
      <c r="AW489"/>
      <c r="FY489" s="210">
        <v>484</v>
      </c>
      <c r="FZ489">
        <v>25.873781334792412</v>
      </c>
      <c r="GA489">
        <v>57.067700471963377</v>
      </c>
      <c r="GB489">
        <v>44.388090031141616</v>
      </c>
      <c r="GC489">
        <v>14.609856133174222</v>
      </c>
      <c r="GD489">
        <v>6.4310662258339493</v>
      </c>
      <c r="GE489">
        <v>4.0532609260820447</v>
      </c>
      <c r="GF489">
        <v>5.2794258900524591</v>
      </c>
      <c r="GG489">
        <v>8.8251471141472351</v>
      </c>
      <c r="GH489">
        <v>6.7155570203956421</v>
      </c>
      <c r="GI489">
        <v>36.507442340876104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9.3055735277521183</v>
      </c>
      <c r="I490" s="101">
        <f>+H490*F489</f>
        <v>6.3006487427488311</v>
      </c>
      <c r="J490" s="101">
        <f>+I490*$A$440</f>
        <v>119.71232611222779</v>
      </c>
      <c r="K490" s="61">
        <f>IF(AND(J490&lt;0, J488&lt;0), 0, J490)</f>
        <v>119.71232611222779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45.876372208513409</v>
      </c>
      <c r="AO490">
        <v>44.473394594675405</v>
      </c>
      <c r="AP490">
        <v>380.1313576551089</v>
      </c>
      <c r="AQ490">
        <v>181.44413227616749</v>
      </c>
      <c r="AR490">
        <v>42.402664373704084</v>
      </c>
      <c r="AS490">
        <v>285.62015274335164</v>
      </c>
      <c r="AT490">
        <v>18.369083619029652</v>
      </c>
      <c r="AU490">
        <v>12.463403707451164</v>
      </c>
      <c r="AV490"/>
      <c r="AW490"/>
      <c r="FY490" s="210">
        <v>485</v>
      </c>
      <c r="FZ490">
        <v>29.754964468222958</v>
      </c>
      <c r="GA490">
        <v>68.627718941691896</v>
      </c>
      <c r="GB490">
        <v>25.756426759830852</v>
      </c>
      <c r="GC490">
        <v>12.448483279802451</v>
      </c>
      <c r="GD490">
        <v>10.332470805010864</v>
      </c>
      <c r="GE490">
        <v>9.1399718661817602</v>
      </c>
      <c r="GF490">
        <v>8.9091120970231348</v>
      </c>
      <c r="GG490">
        <v>11.335021464649738</v>
      </c>
      <c r="GH490">
        <v>8.5764464292616367</v>
      </c>
      <c r="GI490">
        <v>35.780387467660368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0.20833333333333331</v>
      </c>
      <c r="E491" s="97">
        <f>X36</f>
        <v>10.032080977320962</v>
      </c>
      <c r="F491" s="102">
        <f>+D491-D493</f>
        <v>0.20833333333333331</v>
      </c>
      <c r="G491" s="101">
        <f>+D491*E491</f>
        <v>2.0900168702752002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65.369578556441752</v>
      </c>
      <c r="AO491">
        <v>57.359024180297283</v>
      </c>
      <c r="AP491">
        <v>449.86057908655528</v>
      </c>
      <c r="AQ491">
        <v>203.22595557394524</v>
      </c>
      <c r="AR491">
        <v>55.137468442677907</v>
      </c>
      <c r="AS491">
        <v>306.157979143131</v>
      </c>
      <c r="AT491">
        <v>24.218096199824942</v>
      </c>
      <c r="AU491">
        <v>0.61684493526805007</v>
      </c>
      <c r="AV491"/>
      <c r="AW491"/>
      <c r="FY491" s="210">
        <v>486</v>
      </c>
      <c r="FZ491">
        <v>27.724012578988425</v>
      </c>
      <c r="GA491">
        <v>70.691419157423226</v>
      </c>
      <c r="GB491">
        <v>26.823868534656025</v>
      </c>
      <c r="GC491">
        <v>6.2624299523004057</v>
      </c>
      <c r="GD491">
        <v>6.1516754565781042</v>
      </c>
      <c r="GE491">
        <v>8.3596267493959502</v>
      </c>
      <c r="GF491">
        <v>8.46433275862735</v>
      </c>
      <c r="GG491">
        <v>11.508167988129964</v>
      </c>
      <c r="GH491">
        <v>14.316337859725142</v>
      </c>
      <c r="GI491">
        <v>27.774995432555805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10.768923029652976</v>
      </c>
      <c r="I492" s="101">
        <f>+H492*F491</f>
        <v>2.243525631177703</v>
      </c>
      <c r="J492" s="101">
        <f>+I492*$A$440</f>
        <v>42.626986992376359</v>
      </c>
      <c r="K492" s="61">
        <f>IF(AND(J492&lt;0, J490&lt;0), 0, J492)</f>
        <v>42.626986992376359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60.029813972641364</v>
      </c>
      <c r="AO492">
        <v>71.386949457026134</v>
      </c>
      <c r="AP492">
        <v>478.74937179077892</v>
      </c>
      <c r="AQ492">
        <v>182.14302337552701</v>
      </c>
      <c r="AR492">
        <v>66.077883130135717</v>
      </c>
      <c r="AS492">
        <v>415.41857578993279</v>
      </c>
      <c r="AT492">
        <v>26.678583086421458</v>
      </c>
      <c r="AU492">
        <v>19.817252095501161</v>
      </c>
      <c r="AV492"/>
      <c r="AW492"/>
      <c r="FY492" s="210">
        <v>487</v>
      </c>
      <c r="FZ492">
        <v>25.766084968891604</v>
      </c>
      <c r="GA492">
        <v>28.943034951789222</v>
      </c>
      <c r="GB492">
        <v>26.904443755873999</v>
      </c>
      <c r="GC492">
        <v>10.833975210439521</v>
      </c>
      <c r="GD492">
        <v>5.5696665254617015</v>
      </c>
      <c r="GE492">
        <v>4.1190453436834158</v>
      </c>
      <c r="GF492">
        <v>5.6468091710083588</v>
      </c>
      <c r="GG492">
        <v>11.932866747662956</v>
      </c>
      <c r="GH492">
        <v>13.245473564679086</v>
      </c>
      <c r="GI492">
        <v>28.659167610623662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11.559885080748183</v>
      </c>
      <c r="F493" s="102">
        <f>+D493-D495</f>
        <v>-0.20833333333333331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61.554887961755341</v>
      </c>
      <c r="AO493">
        <v>60.736152469818549</v>
      </c>
      <c r="AP493">
        <v>408.41826836267876</v>
      </c>
      <c r="AQ493">
        <v>204.02201335186004</v>
      </c>
      <c r="AR493">
        <v>56.785462718589173</v>
      </c>
      <c r="AS493">
        <v>351.34574659275114</v>
      </c>
      <c r="AT493">
        <v>23.78431199863142</v>
      </c>
      <c r="AU493">
        <v>39.563629008823199</v>
      </c>
      <c r="AV493"/>
      <c r="AW493"/>
      <c r="FY493" s="210">
        <v>488</v>
      </c>
      <c r="FZ493">
        <v>16.560393968961268</v>
      </c>
      <c r="GA493">
        <v>37.68165114118036</v>
      </c>
      <c r="GB493">
        <v>18.826655887464611</v>
      </c>
      <c r="GC493">
        <v>5.1095590340534747</v>
      </c>
      <c r="GD493">
        <v>7.827986379634452</v>
      </c>
      <c r="GE493">
        <v>14.45770013245982</v>
      </c>
      <c r="GF493">
        <v>9.7887571588947733</v>
      </c>
      <c r="GG493">
        <v>12.206698718303809</v>
      </c>
      <c r="GH493">
        <v>10.718419275622333</v>
      </c>
      <c r="GI493">
        <v>23.099911359365105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12.361468757198704</v>
      </c>
      <c r="I494" s="101">
        <f>+H494*F493</f>
        <v>-2.5753059910830629</v>
      </c>
      <c r="J494" s="101">
        <f>+I494*$A$440</f>
        <v>-48.930813830578195</v>
      </c>
      <c r="K494" s="61">
        <f>IF(AND(J494&lt;0, J492&lt;0), 0, J494)</f>
        <v>-48.930813830578195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47.402052818861449</v>
      </c>
      <c r="AO494">
        <v>55.524069601850535</v>
      </c>
      <c r="AP494">
        <v>339.35668419045629</v>
      </c>
      <c r="AQ494">
        <v>163.67251376223282</v>
      </c>
      <c r="AR494">
        <v>52.644494949280514</v>
      </c>
      <c r="AS494">
        <v>431.23282646787658</v>
      </c>
      <c r="AT494">
        <v>21.026361200700201</v>
      </c>
      <c r="AU494">
        <v>57.384124577446784</v>
      </c>
      <c r="AV494"/>
      <c r="AW494"/>
      <c r="FY494" s="210">
        <v>489</v>
      </c>
      <c r="FZ494">
        <v>20.687182063394054</v>
      </c>
      <c r="GA494">
        <v>74.689830513536904</v>
      </c>
      <c r="GB494">
        <v>29.952102642799584</v>
      </c>
      <c r="GC494">
        <v>5.3916329128681664</v>
      </c>
      <c r="GD494">
        <v>5.2613662367992866</v>
      </c>
      <c r="GE494">
        <v>8.2942547589481013</v>
      </c>
      <c r="GF494">
        <v>9.2779286255454387</v>
      </c>
      <c r="GG494">
        <v>18.724267633962288</v>
      </c>
      <c r="GH494">
        <v>27.940250165361682</v>
      </c>
      <c r="GI494">
        <v>29.084537535810362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0.20833333333333331</v>
      </c>
      <c r="E495" s="97">
        <f>Z36</f>
        <v>13.218635718938282</v>
      </c>
      <c r="F495" s="102">
        <f>+D495-D497</f>
        <v>0.20833333333333331</v>
      </c>
      <c r="G495" s="101">
        <f>+D495*E495</f>
        <v>2.7538824414454752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51.327866970322042</v>
      </c>
      <c r="AO495">
        <v>59.497945860252855</v>
      </c>
      <c r="AP495">
        <v>456.57264799548676</v>
      </c>
      <c r="AQ495">
        <v>210.7967900820959</v>
      </c>
      <c r="AR495">
        <v>55.239709248602836</v>
      </c>
      <c r="AS495">
        <v>265.27269584072855</v>
      </c>
      <c r="AT495">
        <v>24.188349226545117</v>
      </c>
      <c r="AU495">
        <v>3.446212922191763</v>
      </c>
      <c r="AV495"/>
      <c r="AW495"/>
      <c r="FY495" s="210">
        <v>490</v>
      </c>
      <c r="FZ495">
        <v>31.155796721732415</v>
      </c>
      <c r="GA495">
        <v>65.010483467784653</v>
      </c>
      <c r="GB495">
        <v>31.203438852720758</v>
      </c>
      <c r="GC495">
        <v>12.208418425116362</v>
      </c>
      <c r="GD495">
        <v>8.1542687098075941</v>
      </c>
      <c r="GE495">
        <v>10.409111578258152</v>
      </c>
      <c r="GF495">
        <v>11.203737751955476</v>
      </c>
      <c r="GG495">
        <v>14.571260501960232</v>
      </c>
      <c r="GH495">
        <v>16.650173433561655</v>
      </c>
      <c r="GI495">
        <v>34.954679212048035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14.086703184342294</v>
      </c>
      <c r="I496" s="101">
        <f>+H496*F495</f>
        <v>2.9347298300713112</v>
      </c>
      <c r="J496" s="101">
        <f>+I496*$A$440</f>
        <v>55.759866771354915</v>
      </c>
      <c r="K496" s="61">
        <f>IF(AND(J496&lt;0, J494&lt;0), 0, J496)</f>
        <v>55.759866771354915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46.102371626917758</v>
      </c>
      <c r="AO496">
        <v>67.357179011629484</v>
      </c>
      <c r="AP496">
        <v>431.20390648922711</v>
      </c>
      <c r="AQ496">
        <v>169.73313812571988</v>
      </c>
      <c r="AR496">
        <v>62.471772768408321</v>
      </c>
      <c r="AS496">
        <v>404.96167745510422</v>
      </c>
      <c r="AT496">
        <v>27.30689889058192</v>
      </c>
      <c r="AU496">
        <v>-13.17682602116356</v>
      </c>
      <c r="AV496"/>
      <c r="AW496"/>
      <c r="FY496" s="210">
        <v>491</v>
      </c>
      <c r="FZ496">
        <v>20.168335190462081</v>
      </c>
      <c r="GA496">
        <v>50.979078544719854</v>
      </c>
      <c r="GB496">
        <v>42.298186056984136</v>
      </c>
      <c r="GC496">
        <v>10.227045575651417</v>
      </c>
      <c r="GD496">
        <v>5.5204174600015419</v>
      </c>
      <c r="GE496">
        <v>8.6392064540993463</v>
      </c>
      <c r="GF496">
        <v>12.189100786515267</v>
      </c>
      <c r="GG496">
        <v>21.238656114290404</v>
      </c>
      <c r="GH496">
        <v>23.447266639195629</v>
      </c>
      <c r="GI496">
        <v>34.727449584302512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15.011776617723273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51.220172837714529</v>
      </c>
      <c r="AO497">
        <v>81.376230057294123</v>
      </c>
      <c r="AP497">
        <v>555.05404082427799</v>
      </c>
      <c r="AQ497">
        <v>220.72442486977474</v>
      </c>
      <c r="AR497">
        <v>74.890761455316635</v>
      </c>
      <c r="AS497">
        <v>522.75599612242945</v>
      </c>
      <c r="AT497">
        <v>32.863937634818932</v>
      </c>
      <c r="AU497">
        <v>61.703869689574496</v>
      </c>
      <c r="AV497"/>
      <c r="AW497"/>
      <c r="FY497" s="210">
        <v>492</v>
      </c>
      <c r="FZ497">
        <v>19.993289607858379</v>
      </c>
      <c r="GA497">
        <v>35.33322997769254</v>
      </c>
      <c r="GB497">
        <v>38.19721942440782</v>
      </c>
      <c r="GC497">
        <v>13.476549529163636</v>
      </c>
      <c r="GD497">
        <v>7.6796230887417734</v>
      </c>
      <c r="GE497">
        <v>8.8754234618118311</v>
      </c>
      <c r="GF497">
        <v>5.864321046211753</v>
      </c>
      <c r="GG497">
        <v>6.9871203457626052</v>
      </c>
      <c r="GH497">
        <v>3.8143648128683445</v>
      </c>
      <c r="GI497">
        <v>29.680770703032177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15.948021927964326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55.94959210691858</v>
      </c>
      <c r="AO498">
        <v>73.392901231629835</v>
      </c>
      <c r="AP498">
        <v>589.36157795195595</v>
      </c>
      <c r="AQ498">
        <v>228.22727383361931</v>
      </c>
      <c r="AR498">
        <v>68.227608080280021</v>
      </c>
      <c r="AS498">
        <v>438.78950273370185</v>
      </c>
      <c r="AT498">
        <v>27.35858213477297</v>
      </c>
      <c r="AU498">
        <v>43.36550549020324</v>
      </c>
      <c r="AV498"/>
      <c r="AW498"/>
      <c r="FY498" s="210">
        <v>493</v>
      </c>
      <c r="FZ498">
        <v>28.887629150565395</v>
      </c>
      <c r="GA498">
        <v>45.666762384963754</v>
      </c>
      <c r="GB498">
        <v>28.674813516380105</v>
      </c>
      <c r="GC498">
        <v>8.0271618644792309</v>
      </c>
      <c r="GD498">
        <v>8.3991124036904843</v>
      </c>
      <c r="GE498">
        <v>13.769638197133487</v>
      </c>
      <c r="GF498">
        <v>4.1251514872436728</v>
      </c>
      <c r="GG498">
        <v>3.4478754866710806</v>
      </c>
      <c r="GH498">
        <v>8.890433021294422</v>
      </c>
      <c r="GI498">
        <v>27.786876765735915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16.94265841356523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61.11761522643809</v>
      </c>
      <c r="AO499">
        <v>49.489220447283714</v>
      </c>
      <c r="AP499">
        <v>343.50354222119972</v>
      </c>
      <c r="AQ499">
        <v>171.03582176955334</v>
      </c>
      <c r="AR499">
        <v>46.987872135562796</v>
      </c>
      <c r="AS499">
        <v>275.66516684950199</v>
      </c>
      <c r="AT499">
        <v>19.330008530487543</v>
      </c>
      <c r="AU499">
        <v>33.601849275567446</v>
      </c>
      <c r="AV499"/>
      <c r="AW499"/>
      <c r="FY499" s="210">
        <v>494</v>
      </c>
      <c r="FZ499">
        <v>28.786592825910851</v>
      </c>
      <c r="GA499">
        <v>79.14967550334319</v>
      </c>
      <c r="GB499">
        <v>45.132965034913369</v>
      </c>
      <c r="GC499">
        <v>10.54991997084012</v>
      </c>
      <c r="GD499">
        <v>4.6509613768695859</v>
      </c>
      <c r="GE499">
        <v>4.185867468079822</v>
      </c>
      <c r="GF499">
        <v>7.6989255703185595</v>
      </c>
      <c r="GG499">
        <v>12.359784531179361</v>
      </c>
      <c r="GH499">
        <v>12.869656754103088</v>
      </c>
      <c r="GI499">
        <v>36.581258128582142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17.948731204356829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59.329836412840734</v>
      </c>
      <c r="AO500">
        <v>78.595797466529078</v>
      </c>
      <c r="AP500">
        <v>510.40976680469521</v>
      </c>
      <c r="AQ500">
        <v>209.75132748845905</v>
      </c>
      <c r="AR500">
        <v>72.95668297843595</v>
      </c>
      <c r="AS500">
        <v>482.49951504552956</v>
      </c>
      <c r="AT500">
        <v>25.704404533267958</v>
      </c>
      <c r="AU500">
        <v>-17.796341610558095</v>
      </c>
      <c r="AV500"/>
      <c r="AW500"/>
      <c r="FY500" s="210">
        <v>495</v>
      </c>
      <c r="FZ500">
        <v>30.062022371714566</v>
      </c>
      <c r="GA500">
        <v>93.060087143661718</v>
      </c>
      <c r="GB500">
        <v>39.56465027153348</v>
      </c>
      <c r="GC500">
        <v>10.07975040182953</v>
      </c>
      <c r="GD500">
        <v>6.7148431632673056</v>
      </c>
      <c r="GE500">
        <v>6.9053294251813062</v>
      </c>
      <c r="GF500">
        <v>11.09383644482689</v>
      </c>
      <c r="GG500">
        <v>27.246891786647957</v>
      </c>
      <c r="GH500">
        <v>31.314821138236173</v>
      </c>
      <c r="GI500">
        <v>40.994323772050876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19.01454565054064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50.317300663494052</v>
      </c>
      <c r="AO501">
        <v>74.735628545471442</v>
      </c>
      <c r="AP501">
        <v>481.70740940702319</v>
      </c>
      <c r="AQ501">
        <v>220.66100357933564</v>
      </c>
      <c r="AR501">
        <v>70.418228368657054</v>
      </c>
      <c r="AS501">
        <v>492.59356183642825</v>
      </c>
      <c r="AT501">
        <v>28.69842387895547</v>
      </c>
      <c r="AU501">
        <v>55.492618346003511</v>
      </c>
      <c r="AV501"/>
      <c r="AW501"/>
      <c r="FY501" s="210">
        <v>496</v>
      </c>
      <c r="FZ501">
        <v>25.005024058212321</v>
      </c>
      <c r="GA501">
        <v>70.256938664775362</v>
      </c>
      <c r="GB501">
        <v>34.122574785984149</v>
      </c>
      <c r="GC501">
        <v>11.894323142528719</v>
      </c>
      <c r="GD501">
        <v>7.6990329725054316</v>
      </c>
      <c r="GE501">
        <v>8.2147870826676552</v>
      </c>
      <c r="GF501">
        <v>14.054795644161507</v>
      </c>
      <c r="GG501">
        <v>18.927987824837796</v>
      </c>
      <c r="GH501">
        <v>13.299254922885003</v>
      </c>
      <c r="GI501">
        <v>37.35333846186299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20.092054379659082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49.378033867400426</v>
      </c>
      <c r="AO502">
        <v>57.953903873315788</v>
      </c>
      <c r="AP502">
        <v>471.36582100024901</v>
      </c>
      <c r="AQ502">
        <v>208.07686646838036</v>
      </c>
      <c r="AR502">
        <v>54.587174467573305</v>
      </c>
      <c r="AS502">
        <v>262.9861311724062</v>
      </c>
      <c r="AT502">
        <v>22.211042285596687</v>
      </c>
      <c r="AU502">
        <v>41.920348390999763</v>
      </c>
      <c r="AV502"/>
      <c r="AW502"/>
      <c r="FY502" s="210">
        <v>497</v>
      </c>
      <c r="FZ502">
        <v>31.22292041384344</v>
      </c>
      <c r="GA502">
        <v>49.83637298045403</v>
      </c>
      <c r="GB502">
        <v>45.10419123735695</v>
      </c>
      <c r="GC502">
        <v>11.785952377539243</v>
      </c>
      <c r="GD502">
        <v>6.5554099430902983</v>
      </c>
      <c r="GE502">
        <v>10.109913560223889</v>
      </c>
      <c r="GF502">
        <v>7.2109237112378723</v>
      </c>
      <c r="GG502">
        <v>15.670590956821474</v>
      </c>
      <c r="GH502">
        <v>24.42815705349599</v>
      </c>
      <c r="GI502">
        <v>37.769607999291907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21.230622945949783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53.231600596310656</v>
      </c>
      <c r="AO503">
        <v>61.16418240686049</v>
      </c>
      <c r="AP503">
        <v>402.1974952675385</v>
      </c>
      <c r="AQ503">
        <v>161.6205678501135</v>
      </c>
      <c r="AR503">
        <v>57.876689113497875</v>
      </c>
      <c r="AS503">
        <v>394.69148754506278</v>
      </c>
      <c r="AT503">
        <v>21.626913685691061</v>
      </c>
      <c r="AU503">
        <v>16.290019663826207</v>
      </c>
      <c r="AV503"/>
      <c r="AW503"/>
      <c r="FY503" s="210">
        <v>498</v>
      </c>
      <c r="FZ503">
        <v>22.283872316132062</v>
      </c>
      <c r="GA503">
        <v>39.025942052937836</v>
      </c>
      <c r="GB503">
        <v>18.254235594414702</v>
      </c>
      <c r="GC503">
        <v>11.1605148829304</v>
      </c>
      <c r="GD503">
        <v>7.1386899385398506</v>
      </c>
      <c r="GE503">
        <v>6.4480439138117216</v>
      </c>
      <c r="GF503">
        <v>6.5916677180982388</v>
      </c>
      <c r="GG503">
        <v>16.581118486351116</v>
      </c>
      <c r="GH503">
        <v>28.810528950280045</v>
      </c>
      <c r="GI503">
        <v>28.377957810352882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22.381137760988889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45.33501320183457</v>
      </c>
      <c r="AO504">
        <v>44.981894949875525</v>
      </c>
      <c r="AP504">
        <v>315.01287259406848</v>
      </c>
      <c r="AQ504">
        <v>156.27773305594002</v>
      </c>
      <c r="AR504">
        <v>42.306611245754404</v>
      </c>
      <c r="AS504">
        <v>218.8284505409213</v>
      </c>
      <c r="AT504">
        <v>17.417915629863796</v>
      </c>
      <c r="AU504">
        <v>21.675334366125977</v>
      </c>
      <c r="AV504"/>
      <c r="AW504"/>
      <c r="FY504" s="210">
        <v>499</v>
      </c>
      <c r="FZ504">
        <v>25.379125863287886</v>
      </c>
      <c r="GA504">
        <v>57.306356799009734</v>
      </c>
      <c r="GB504">
        <v>48.247250095073134</v>
      </c>
      <c r="GC504">
        <v>13.296266714508223</v>
      </c>
      <c r="GD504">
        <v>5.8777161019005923</v>
      </c>
      <c r="GE504">
        <v>6.234153580825148</v>
      </c>
      <c r="GF504">
        <v>8.1680762094549877</v>
      </c>
      <c r="GG504">
        <v>13.371323306230311</v>
      </c>
      <c r="GH504">
        <v>13.905763901425727</v>
      </c>
      <c r="GI504">
        <v>37.762254596831255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23.594000456398458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46.687347238020472</v>
      </c>
      <c r="AO505">
        <v>60.697593577114446</v>
      </c>
      <c r="AP505">
        <v>525.34336781474599</v>
      </c>
      <c r="AQ505">
        <v>229.30335308902588</v>
      </c>
      <c r="AR505">
        <v>57.158077678001405</v>
      </c>
      <c r="AS505">
        <v>304.19731190275593</v>
      </c>
      <c r="AT505">
        <v>23.726581710777129</v>
      </c>
      <c r="AU505">
        <v>35.537167264424795</v>
      </c>
      <c r="AV505"/>
      <c r="AW505"/>
      <c r="FY505" s="210">
        <v>500</v>
      </c>
      <c r="FZ505">
        <v>14.804365415312814</v>
      </c>
      <c r="GA505">
        <v>30.18277288508591</v>
      </c>
      <c r="GB505">
        <v>31.489504792406439</v>
      </c>
      <c r="GC505">
        <v>9.4761098793881313</v>
      </c>
      <c r="GD505">
        <v>4.3813438132710658</v>
      </c>
      <c r="GE505">
        <v>5.4705044503378177</v>
      </c>
      <c r="GF505">
        <v>8.7242269084271076</v>
      </c>
      <c r="GG505">
        <v>17.397892133308808</v>
      </c>
      <c r="GH505">
        <v>19.038457982345964</v>
      </c>
      <c r="GI505">
        <v>28.113604276404697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24.81905574583104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72.066792160548701</v>
      </c>
      <c r="AO506">
        <v>72.717528650687342</v>
      </c>
      <c r="AP506">
        <v>509.38513113517462</v>
      </c>
      <c r="AQ506">
        <v>235.52136865494532</v>
      </c>
      <c r="AR506">
        <v>68.053513256541322</v>
      </c>
      <c r="AS506">
        <v>346.94595488988284</v>
      </c>
      <c r="AT506">
        <v>26.447988273421345</v>
      </c>
      <c r="AU506">
        <v>34.603311390763395</v>
      </c>
      <c r="AV506"/>
      <c r="AW506"/>
      <c r="FY506" s="210">
        <v>501</v>
      </c>
      <c r="FZ506">
        <v>27.251743157007404</v>
      </c>
      <c r="GA506">
        <v>69.389229539652462</v>
      </c>
      <c r="GB506">
        <v>33.988721299042453</v>
      </c>
      <c r="GC506">
        <v>7.7236777685391367</v>
      </c>
      <c r="GD506">
        <v>5.4165198447567269</v>
      </c>
      <c r="GE506">
        <v>7.2558429614913749</v>
      </c>
      <c r="GF506">
        <v>9.2824052797912238</v>
      </c>
      <c r="GG506">
        <v>15.779388623215564</v>
      </c>
      <c r="GH506">
        <v>16.843455735176114</v>
      </c>
      <c r="GI506">
        <v>33.865446938101826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26.107718750493603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61.004993868824627</v>
      </c>
      <c r="AO507">
        <v>75.212149134251973</v>
      </c>
      <c r="AP507">
        <v>599.5152278406033</v>
      </c>
      <c r="AQ507">
        <v>229.43474240622217</v>
      </c>
      <c r="AR507">
        <v>70.472032840982379</v>
      </c>
      <c r="AS507">
        <v>352.66934522231548</v>
      </c>
      <c r="AT507">
        <v>28.12026438811343</v>
      </c>
      <c r="AU507">
        <v>10.091397265265414</v>
      </c>
      <c r="AV507"/>
      <c r="AW507"/>
      <c r="FY507" s="210">
        <v>502</v>
      </c>
      <c r="FZ507">
        <v>25.806612298458592</v>
      </c>
      <c r="GA507">
        <v>49.997062140042686</v>
      </c>
      <c r="GB507">
        <v>19.769978679457935</v>
      </c>
      <c r="GC507">
        <v>4.267973082023321</v>
      </c>
      <c r="GD507">
        <v>3.8273705964955864</v>
      </c>
      <c r="GE507">
        <v>5.3983563318387251</v>
      </c>
      <c r="GF507">
        <v>5.4939327256293966</v>
      </c>
      <c r="GG507">
        <v>7.2308990562261677</v>
      </c>
      <c r="GH507">
        <v>7.7476584471992318</v>
      </c>
      <c r="GI507">
        <v>18.376382217238124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27.408815424852396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58.325398787578102</v>
      </c>
      <c r="AO508">
        <v>62.261082253119298</v>
      </c>
      <c r="AP508">
        <v>410.98208740453163</v>
      </c>
      <c r="AQ508">
        <v>169.90191199755088</v>
      </c>
      <c r="AR508">
        <v>58.481025228971234</v>
      </c>
      <c r="AS508">
        <v>296.09254314896475</v>
      </c>
      <c r="AT508">
        <v>22.519127818564545</v>
      </c>
      <c r="AU508">
        <v>30.429595511388705</v>
      </c>
      <c r="AV508"/>
      <c r="AW508"/>
      <c r="FY508" s="210">
        <v>503</v>
      </c>
      <c r="FZ508">
        <v>22.231874921760156</v>
      </c>
      <c r="GA508">
        <v>52.735447664502956</v>
      </c>
      <c r="GB508">
        <v>45.02669924920724</v>
      </c>
      <c r="GC508">
        <v>10.735304033846052</v>
      </c>
      <c r="GD508">
        <v>4.2582359495460969</v>
      </c>
      <c r="GE508">
        <v>6.3385542663629382</v>
      </c>
      <c r="GF508">
        <v>8.3572813200974991</v>
      </c>
      <c r="GG508">
        <v>12.788447640712608</v>
      </c>
      <c r="GH508">
        <v>20.492179468341401</v>
      </c>
      <c r="GI508">
        <v>32.85646633504907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28.774753174458162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61.00670471542287</v>
      </c>
      <c r="AO509">
        <v>56.959235115352485</v>
      </c>
      <c r="AP509">
        <v>389.12225599808966</v>
      </c>
      <c r="AQ509">
        <v>177.67545427815753</v>
      </c>
      <c r="AR509">
        <v>54.540965997325806</v>
      </c>
      <c r="AS509">
        <v>293.75281263610896</v>
      </c>
      <c r="AT509">
        <v>19.8278297177303</v>
      </c>
      <c r="AU509">
        <v>31.347545399227599</v>
      </c>
      <c r="AV509"/>
      <c r="AW509"/>
      <c r="FY509" s="210">
        <v>504</v>
      </c>
      <c r="FZ509">
        <v>20.075428825777227</v>
      </c>
      <c r="GA509">
        <v>58.11022885464466</v>
      </c>
      <c r="GB509">
        <v>58.82395349751539</v>
      </c>
      <c r="GC509">
        <v>14.282041941648849</v>
      </c>
      <c r="GD509">
        <v>4.4141654472917153</v>
      </c>
      <c r="GE509">
        <v>4.3695402295488872</v>
      </c>
      <c r="GF509">
        <v>12.599590044628181</v>
      </c>
      <c r="GG509">
        <v>26.298247003917869</v>
      </c>
      <c r="GH509">
        <v>30.85792957649668</v>
      </c>
      <c r="GI509">
        <v>45.778855192263649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30.153360715919415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44.770521523519236</v>
      </c>
      <c r="AO510">
        <v>79.648019041031191</v>
      </c>
      <c r="AP510">
        <v>610.2320227209525</v>
      </c>
      <c r="AQ510">
        <v>241.9656071641401</v>
      </c>
      <c r="AR510">
        <v>74.448159779424046</v>
      </c>
      <c r="AS510">
        <v>389.39617577345285</v>
      </c>
      <c r="AT510">
        <v>31.200009574096569</v>
      </c>
      <c r="AU510">
        <v>-32.820552993945327</v>
      </c>
      <c r="AV510"/>
      <c r="AW510"/>
      <c r="FY510" s="210">
        <v>505</v>
      </c>
      <c r="FZ510">
        <v>26.043068336958129</v>
      </c>
      <c r="GA510">
        <v>73.081053170036455</v>
      </c>
      <c r="GB510">
        <v>30.329825841938664</v>
      </c>
      <c r="GC510">
        <v>11.213897013434687</v>
      </c>
      <c r="GD510">
        <v>8.8965423161354522</v>
      </c>
      <c r="GE510">
        <v>10.117584200076314</v>
      </c>
      <c r="GF510">
        <v>11.385751652070699</v>
      </c>
      <c r="GG510">
        <v>20.38074629211869</v>
      </c>
      <c r="GH510">
        <v>15.988985705774356</v>
      </c>
      <c r="GI510">
        <v>37.079139725723508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31.598017781484351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51.871815374128836</v>
      </c>
      <c r="AO511">
        <v>87.577737159746079</v>
      </c>
      <c r="AP511">
        <v>709.85992224697065</v>
      </c>
      <c r="AQ511">
        <v>297.03655591894983</v>
      </c>
      <c r="AR511">
        <v>83.224068965972506</v>
      </c>
      <c r="AS511">
        <v>457.09273551365732</v>
      </c>
      <c r="AT511">
        <v>36.49326454475797</v>
      </c>
      <c r="AU511">
        <v>-50.088303014711101</v>
      </c>
      <c r="AV511"/>
      <c r="AW511"/>
      <c r="FY511" s="210">
        <v>506</v>
      </c>
      <c r="FZ511">
        <v>16.464723349311726</v>
      </c>
      <c r="GA511">
        <v>28.169239667652114</v>
      </c>
      <c r="GB511">
        <v>28.991083738866926</v>
      </c>
      <c r="GC511">
        <v>9.695599051356897</v>
      </c>
      <c r="GD511">
        <v>5.0453940553749446</v>
      </c>
      <c r="GE511">
        <v>5.719334774954782</v>
      </c>
      <c r="GF511">
        <v>10.897075953617298</v>
      </c>
      <c r="GG511">
        <v>15.425717793374563</v>
      </c>
      <c r="GH511">
        <v>17.075839572740751</v>
      </c>
      <c r="GI511">
        <v>27.34050610357929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33.055576093432677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61.013161707377229</v>
      </c>
      <c r="AO512">
        <v>80.500084130574493</v>
      </c>
      <c r="AP512">
        <v>607.08586353003216</v>
      </c>
      <c r="AQ512">
        <v>240.82805756042094</v>
      </c>
      <c r="AR512">
        <v>74.682603339684476</v>
      </c>
      <c r="AS512">
        <v>524.39927225788119</v>
      </c>
      <c r="AT512">
        <v>31.323960423905486</v>
      </c>
      <c r="AU512">
        <v>19.762895771284143</v>
      </c>
      <c r="AV512"/>
      <c r="AW512"/>
      <c r="FY512" s="210">
        <v>507</v>
      </c>
      <c r="FZ512">
        <v>23.707503767711327</v>
      </c>
      <c r="GA512">
        <v>57.310389302052748</v>
      </c>
      <c r="GB512">
        <v>25.326088783748194</v>
      </c>
      <c r="GC512">
        <v>12.009216253643654</v>
      </c>
      <c r="GD512">
        <v>8.3687588743581909</v>
      </c>
      <c r="GE512">
        <v>7.1266447000652713</v>
      </c>
      <c r="GF512">
        <v>10.643347903219382</v>
      </c>
      <c r="GG512">
        <v>19.596335802394425</v>
      </c>
      <c r="GH512">
        <v>20.963989658163371</v>
      </c>
      <c r="GI512">
        <v>30.335539970783241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34.580368883423944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66.524122378533349</v>
      </c>
      <c r="AO513">
        <v>78.922480858125738</v>
      </c>
      <c r="AP513">
        <v>557.32922127861377</v>
      </c>
      <c r="AQ513">
        <v>239.69404023335514</v>
      </c>
      <c r="AR513">
        <v>74.770334064867498</v>
      </c>
      <c r="AS513">
        <v>369.53153099689399</v>
      </c>
      <c r="AT513">
        <v>28.476783153806451</v>
      </c>
      <c r="AU513">
        <v>-89.298633487104851</v>
      </c>
      <c r="AV513"/>
      <c r="AW513"/>
      <c r="FY513" s="210">
        <v>508</v>
      </c>
      <c r="FZ513">
        <v>21.529450224582401</v>
      </c>
      <c r="GA513">
        <v>43.973978632450169</v>
      </c>
      <c r="GB513">
        <v>23.92719288932631</v>
      </c>
      <c r="GC513">
        <v>9.3154896492045136</v>
      </c>
      <c r="GD513">
        <v>4.8575344689439079</v>
      </c>
      <c r="GE513">
        <v>4.4122275160227495</v>
      </c>
      <c r="GF513">
        <v>12.202113200667325</v>
      </c>
      <c r="GG513">
        <v>21.342572503584357</v>
      </c>
      <c r="GH513">
        <v>19.971116023579736</v>
      </c>
      <c r="GI513">
        <v>28.73782180102199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36.118289966252703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60.163485569218686</v>
      </c>
      <c r="AO514">
        <v>59.041832521973255</v>
      </c>
      <c r="AP514">
        <v>404.38562217735671</v>
      </c>
      <c r="AQ514">
        <v>184.67257166384883</v>
      </c>
      <c r="AR514">
        <v>55.715173032902612</v>
      </c>
      <c r="AS514">
        <v>315.92757367185675</v>
      </c>
      <c r="AT514">
        <v>22.097813898571463</v>
      </c>
      <c r="AU514">
        <v>-17.414396943445272</v>
      </c>
      <c r="AV514"/>
      <c r="AW514"/>
      <c r="FY514" s="210">
        <v>509</v>
      </c>
      <c r="FZ514">
        <v>24.611477859359113</v>
      </c>
      <c r="GA514">
        <v>49.66420665207793</v>
      </c>
      <c r="GB514">
        <v>17.989524160220032</v>
      </c>
      <c r="GC514">
        <v>6.1965166633137478</v>
      </c>
      <c r="GD514">
        <v>5.5656796497327239</v>
      </c>
      <c r="GE514">
        <v>8.5723278009895179</v>
      </c>
      <c r="GF514">
        <v>13.068183588596773</v>
      </c>
      <c r="GG514">
        <v>17.259065260611699</v>
      </c>
      <c r="GH514">
        <v>11.936039985821749</v>
      </c>
      <c r="GI514">
        <v>26.704772231649887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37.724608273673908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63.648335291357036</v>
      </c>
      <c r="AO515">
        <v>81.481514540779855</v>
      </c>
      <c r="AP515">
        <v>588.53058942727182</v>
      </c>
      <c r="AQ515">
        <v>229.54828716854701</v>
      </c>
      <c r="AR515">
        <v>76.124954492820919</v>
      </c>
      <c r="AS515">
        <v>346.3365232193828</v>
      </c>
      <c r="AT515">
        <v>29.942869118999297</v>
      </c>
      <c r="AU515">
        <v>-22.407140537156096</v>
      </c>
      <c r="AV515"/>
      <c r="AW515"/>
      <c r="FY515" s="210">
        <v>510</v>
      </c>
      <c r="FZ515">
        <v>14.539508482945749</v>
      </c>
      <c r="GA515">
        <v>29.800151830718494</v>
      </c>
      <c r="GB515">
        <v>25.014169769893478</v>
      </c>
      <c r="GC515">
        <v>13.425376682518561</v>
      </c>
      <c r="GD515">
        <v>7.5955232746305166</v>
      </c>
      <c r="GE515">
        <v>5.2041273371638184</v>
      </c>
      <c r="GF515">
        <v>7.2807802514481521</v>
      </c>
      <c r="GG515">
        <v>24.753008378598778</v>
      </c>
      <c r="GH515">
        <v>34.352035328403097</v>
      </c>
      <c r="GI515">
        <v>32.671718669080526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39.344277748809169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52.426716993030709</v>
      </c>
      <c r="AO516">
        <v>60.463021000017285</v>
      </c>
      <c r="AP516">
        <v>432.96155037957863</v>
      </c>
      <c r="AQ516">
        <v>169.07878253628874</v>
      </c>
      <c r="AR516">
        <v>56.097207737215179</v>
      </c>
      <c r="AS516">
        <v>272.42298661686345</v>
      </c>
      <c r="AT516">
        <v>20.677020183630123</v>
      </c>
      <c r="AU516">
        <v>-9.0988923241868402</v>
      </c>
      <c r="AV516"/>
      <c r="AW516"/>
      <c r="FY516" s="210">
        <v>511</v>
      </c>
      <c r="FZ516">
        <v>25.35396693123252</v>
      </c>
      <c r="GA516">
        <v>68.810476881580257</v>
      </c>
      <c r="GB516">
        <v>48.472373899426877</v>
      </c>
      <c r="GC516">
        <v>14.705635028136189</v>
      </c>
      <c r="GD516">
        <v>8.5782839361536158</v>
      </c>
      <c r="GE516">
        <v>9.4997636696382948</v>
      </c>
      <c r="GF516">
        <v>11.864626028626404</v>
      </c>
      <c r="GG516">
        <v>18.703104520327464</v>
      </c>
      <c r="GH516">
        <v>11.835716067577767</v>
      </c>
      <c r="GI516">
        <v>42.228123795629728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41.033486162285527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51.601694864467774</v>
      </c>
      <c r="AO517">
        <v>73.830535169182085</v>
      </c>
      <c r="AP517">
        <v>565.93087336613803</v>
      </c>
      <c r="AQ517">
        <v>226.7964311467743</v>
      </c>
      <c r="AR517">
        <v>69.955389041983167</v>
      </c>
      <c r="AS517">
        <v>317.77595172205616</v>
      </c>
      <c r="AT517">
        <v>28.438167295137294</v>
      </c>
      <c r="AU517">
        <v>57.719138783056437</v>
      </c>
      <c r="AV517"/>
      <c r="AW517"/>
      <c r="FY517" s="210">
        <v>512</v>
      </c>
      <c r="FZ517">
        <v>28.424143945638779</v>
      </c>
      <c r="GA517">
        <v>27.787135590085825</v>
      </c>
      <c r="GB517">
        <v>36.186603885834081</v>
      </c>
      <c r="GC517">
        <v>12.074588553525935</v>
      </c>
      <c r="GD517">
        <v>9.1769933018108834</v>
      </c>
      <c r="GE517">
        <v>12.960088023105074</v>
      </c>
      <c r="GF517">
        <v>6.207346246106745</v>
      </c>
      <c r="GG517">
        <v>14.437072363123734</v>
      </c>
      <c r="GH517">
        <v>17.306641357424716</v>
      </c>
      <c r="GI517">
        <v>34.163703645477909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41.033486162285527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36.937793125391124</v>
      </c>
      <c r="AO518">
        <v>35.89778958884412</v>
      </c>
      <c r="AP518">
        <v>291.06201949857694</v>
      </c>
      <c r="AQ518">
        <v>147.91622557460977</v>
      </c>
      <c r="AR518">
        <v>33.848091488753418</v>
      </c>
      <c r="AS518">
        <v>213.42575889547362</v>
      </c>
      <c r="AT518">
        <v>13.843969125558196</v>
      </c>
      <c r="AU518">
        <v>64.583592548411005</v>
      </c>
      <c r="AV518"/>
      <c r="AW518"/>
      <c r="FY518" s="210">
        <v>513</v>
      </c>
      <c r="FZ518">
        <v>24.688753187807315</v>
      </c>
      <c r="GA518">
        <v>69.587373236589968</v>
      </c>
      <c r="GB518">
        <v>37.591889790916163</v>
      </c>
      <c r="GC518">
        <v>11.90200370962795</v>
      </c>
      <c r="GD518">
        <v>5.691451970781122</v>
      </c>
      <c r="GE518">
        <v>3.6717187665510194</v>
      </c>
      <c r="GF518">
        <v>10.60070003780851</v>
      </c>
      <c r="GG518">
        <v>19.519802340741563</v>
      </c>
      <c r="GH518">
        <v>19.963184606029262</v>
      </c>
      <c r="GI518">
        <v>33.363903783706803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58.629648152724052</v>
      </c>
      <c r="AO519">
        <v>70.762747281351764</v>
      </c>
      <c r="AP519">
        <v>549.33967378758791</v>
      </c>
      <c r="AQ519">
        <v>215.82049084942599</v>
      </c>
      <c r="AR519">
        <v>66.57124308399429</v>
      </c>
      <c r="AS519">
        <v>449.58306058287133</v>
      </c>
      <c r="AT519">
        <v>24.878499767532986</v>
      </c>
      <c r="AU519">
        <v>-59.673708687368304</v>
      </c>
      <c r="AV519"/>
      <c r="AW519"/>
      <c r="FY519" s="210">
        <v>514</v>
      </c>
      <c r="FZ519">
        <v>24.096133500840562</v>
      </c>
      <c r="GA519">
        <v>36.339427262582973</v>
      </c>
      <c r="GB519">
        <v>45.542587805564189</v>
      </c>
      <c r="GC519">
        <v>12.617585327835641</v>
      </c>
      <c r="GD519">
        <v>4.1457186762137859</v>
      </c>
      <c r="GE519">
        <v>3.5068913914691553</v>
      </c>
      <c r="GF519">
        <v>11.262818246588099</v>
      </c>
      <c r="GG519">
        <v>18.242803282527685</v>
      </c>
      <c r="GH519">
        <v>16.056144865272483</v>
      </c>
      <c r="GI519">
        <v>37.758305584663141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80.264061794152056</v>
      </c>
      <c r="H520" s="63" t="s">
        <v>30</v>
      </c>
      <c r="I520" s="101">
        <f>SUM(K458:K518)</f>
        <v>431.09020808130327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63.37548136723791</v>
      </c>
      <c r="AO520">
        <v>102.25214307867067</v>
      </c>
      <c r="AP520">
        <v>767.64818445197784</v>
      </c>
      <c r="AQ520">
        <v>275.60998061373311</v>
      </c>
      <c r="AR520">
        <v>94.193757266706228</v>
      </c>
      <c r="AS520">
        <v>528.01985985392025</v>
      </c>
      <c r="AT520">
        <v>37.04848313685175</v>
      </c>
      <c r="AU520">
        <v>13.021990609444384</v>
      </c>
      <c r="AV520"/>
      <c r="AW520"/>
      <c r="FY520" s="210">
        <v>515</v>
      </c>
      <c r="FZ520">
        <v>27.690542239922902</v>
      </c>
      <c r="GA520">
        <v>47.206486301326983</v>
      </c>
      <c r="GB520">
        <v>20.274278506045732</v>
      </c>
      <c r="GC520">
        <v>6.8749547408814289</v>
      </c>
      <c r="GD520">
        <v>5.8680581157513938</v>
      </c>
      <c r="GE520">
        <v>8.7115564909928018</v>
      </c>
      <c r="GF520">
        <v>9.1239833664844703</v>
      </c>
      <c r="GG520">
        <v>9.8402401861676516</v>
      </c>
      <c r="GH520">
        <v>13.082551010848261</v>
      </c>
      <c r="GI520">
        <v>24.781164873253516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54.779272387922802</v>
      </c>
      <c r="AO521">
        <v>76.910866602063905</v>
      </c>
      <c r="AP521">
        <v>552.12555295146387</v>
      </c>
      <c r="AQ521">
        <v>244.51659425426695</v>
      </c>
      <c r="AR521">
        <v>72.672614941355789</v>
      </c>
      <c r="AS521">
        <v>436.03176105813827</v>
      </c>
      <c r="AT521">
        <v>31.512134103211523</v>
      </c>
      <c r="AU521">
        <v>79.303156277960184</v>
      </c>
      <c r="AV521"/>
      <c r="AW521"/>
      <c r="FY521" s="210">
        <v>516</v>
      </c>
      <c r="FZ521">
        <v>25.026142583746513</v>
      </c>
      <c r="GA521">
        <v>62.656729149784411</v>
      </c>
      <c r="GB521">
        <v>54.702608085298628</v>
      </c>
      <c r="GC521">
        <v>11.635259949378291</v>
      </c>
      <c r="GD521">
        <v>6.7592695047626572</v>
      </c>
      <c r="GE521">
        <v>9.3444431913882813</v>
      </c>
      <c r="GF521">
        <v>5.337506862409815</v>
      </c>
      <c r="GG521">
        <v>12.185125549118478</v>
      </c>
      <c r="GH521">
        <v>22.787307547976202</v>
      </c>
      <c r="GI521">
        <v>40.619001455663387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5.3708994840915461</v>
      </c>
      <c r="G522" s="63"/>
      <c r="H522" s="63" t="s">
        <v>101</v>
      </c>
      <c r="I522">
        <v>354.82888793945312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44.917654789751978</v>
      </c>
      <c r="AO522">
        <v>59.906330649551727</v>
      </c>
      <c r="AP522">
        <v>459.9496751213718</v>
      </c>
      <c r="AQ522">
        <v>164.8245140608293</v>
      </c>
      <c r="AR522">
        <v>56.804303678272568</v>
      </c>
      <c r="AS522">
        <v>300.60625439476246</v>
      </c>
      <c r="AT522">
        <v>22.957376457748765</v>
      </c>
      <c r="AU522">
        <v>-9.618933356321957E-2</v>
      </c>
      <c r="AV522"/>
      <c r="AW522"/>
      <c r="FY522" s="210">
        <v>517</v>
      </c>
      <c r="FZ522">
        <v>28.231392239576664</v>
      </c>
      <c r="GA522">
        <v>37.209102229885218</v>
      </c>
      <c r="GB522">
        <v>13.226091802843188</v>
      </c>
      <c r="GC522">
        <v>6.2595994697616062</v>
      </c>
      <c r="GD522">
        <v>3.8610870340426913</v>
      </c>
      <c r="GE522">
        <v>4.1840349964356989</v>
      </c>
      <c r="GF522">
        <v>7.1476784278833048</v>
      </c>
      <c r="GG522">
        <v>12.499997368160399</v>
      </c>
      <c r="GH522">
        <v>19.501239533670507</v>
      </c>
      <c r="GI522">
        <v>21.500273945397467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5.5248554396955614</v>
      </c>
      <c r="G523" s="63"/>
      <c r="H523" s="63" t="s">
        <v>103</v>
      </c>
      <c r="I523" s="123">
        <f>+I520*(365/I522)</f>
        <v>443.44733841548168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56.664600691920668</v>
      </c>
      <c r="AO523">
        <v>61.179700136053967</v>
      </c>
      <c r="AP523">
        <v>479.20740688450388</v>
      </c>
      <c r="AQ523">
        <v>215.38781501613983</v>
      </c>
      <c r="AR523">
        <v>58.665109838376857</v>
      </c>
      <c r="AS523">
        <v>350.13980650025832</v>
      </c>
      <c r="AT523">
        <v>25.626449429324605</v>
      </c>
      <c r="AU523">
        <v>105.60274474634625</v>
      </c>
      <c r="AV523"/>
      <c r="AW523"/>
      <c r="FY523" s="210">
        <v>518</v>
      </c>
      <c r="FZ523">
        <v>31.553548160365203</v>
      </c>
      <c r="GA523">
        <v>44.87266051971956</v>
      </c>
      <c r="GB523">
        <v>21.524576619263946</v>
      </c>
      <c r="GC523">
        <v>8.2387412537084472</v>
      </c>
      <c r="GD523">
        <v>6.2418626067883265</v>
      </c>
      <c r="GE523">
        <v>8.519492076956853</v>
      </c>
      <c r="GF523">
        <v>9.8476467206344811</v>
      </c>
      <c r="GG523">
        <v>14.390794945232532</v>
      </c>
      <c r="GH523">
        <v>11.065393561137956</v>
      </c>
      <c r="GI523">
        <v>23.663757950390661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45.032846293300082</v>
      </c>
      <c r="AO524">
        <v>60.719307756034354</v>
      </c>
      <c r="AP524">
        <v>448.30167383612104</v>
      </c>
      <c r="AQ524">
        <v>190.26949690938346</v>
      </c>
      <c r="AR524">
        <v>57.598780641475756</v>
      </c>
      <c r="AS524">
        <v>275.30074372292347</v>
      </c>
      <c r="AT524">
        <v>24.991981817067614</v>
      </c>
      <c r="AU524">
        <v>75.857603947003241</v>
      </c>
      <c r="AV524"/>
      <c r="AW524"/>
      <c r="FY524" s="210">
        <v>519</v>
      </c>
      <c r="FZ524">
        <v>27.146635351267324</v>
      </c>
      <c r="GA524">
        <v>63.777466984818616</v>
      </c>
      <c r="GB524">
        <v>31.488547717311821</v>
      </c>
      <c r="GC524">
        <v>10.406648223724568</v>
      </c>
      <c r="GD524">
        <v>7.2616614549666201</v>
      </c>
      <c r="GE524">
        <v>7.4750324535816732</v>
      </c>
      <c r="GF524">
        <v>9.8244392798738183</v>
      </c>
      <c r="GG524">
        <v>18.829702993170329</v>
      </c>
      <c r="GH524">
        <v>15.641167967652265</v>
      </c>
      <c r="GI524">
        <v>36.317209151279101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47.021496658370388</v>
      </c>
      <c r="AO525">
        <v>56.466053123631255</v>
      </c>
      <c r="AP525">
        <v>428.86684262951502</v>
      </c>
      <c r="AQ525">
        <v>181.56779385237314</v>
      </c>
      <c r="AR525">
        <v>53.607516125371227</v>
      </c>
      <c r="AS525">
        <v>286.28912089872438</v>
      </c>
      <c r="AT525">
        <v>22.506875791735677</v>
      </c>
      <c r="AU525">
        <v>49.959913800659294</v>
      </c>
      <c r="AV525"/>
      <c r="AW525"/>
      <c r="FY525" s="210">
        <v>520</v>
      </c>
      <c r="FZ525">
        <v>17.013608462099118</v>
      </c>
      <c r="GA525">
        <v>41.428009478285304</v>
      </c>
      <c r="GB525">
        <v>28.140687910454517</v>
      </c>
      <c r="GC525">
        <v>10.643667216060873</v>
      </c>
      <c r="GD525">
        <v>7.0456523350788753</v>
      </c>
      <c r="GE525">
        <v>6.7024388832429702</v>
      </c>
      <c r="GF525">
        <v>7.500396889496999</v>
      </c>
      <c r="GG525">
        <v>24.846643197424115</v>
      </c>
      <c r="GH525">
        <v>42.97362743286569</v>
      </c>
      <c r="GI525">
        <v>31.721894659241041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46.489830481136906</v>
      </c>
      <c r="AO526">
        <v>69.929135265444941</v>
      </c>
      <c r="AP526">
        <v>468.15920323542196</v>
      </c>
      <c r="AQ526">
        <v>194.63640000540116</v>
      </c>
      <c r="AR526">
        <v>63.920206750290262</v>
      </c>
      <c r="AS526">
        <v>416.45484352080194</v>
      </c>
      <c r="AT526">
        <v>27.809721467853038</v>
      </c>
      <c r="AU526">
        <v>-9.6626570154645925</v>
      </c>
      <c r="AV526"/>
      <c r="AW526"/>
      <c r="FY526" s="210">
        <v>521</v>
      </c>
      <c r="FZ526">
        <v>25.630521100417631</v>
      </c>
      <c r="GA526">
        <v>60.037188687651636</v>
      </c>
      <c r="GB526">
        <v>31.109511982878026</v>
      </c>
      <c r="GC526">
        <v>9.5621666026128196</v>
      </c>
      <c r="GD526">
        <v>5.6591153452459082</v>
      </c>
      <c r="GE526">
        <v>6.5575503016033201</v>
      </c>
      <c r="GF526">
        <v>13.056695219591175</v>
      </c>
      <c r="GG526">
        <v>22.529768089212141</v>
      </c>
      <c r="GH526">
        <v>23.229620229808159</v>
      </c>
      <c r="GI526">
        <v>37.547649107898188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69.883152770198492</v>
      </c>
      <c r="AO527">
        <v>90.538920991570222</v>
      </c>
      <c r="AP527">
        <v>654.58904433566408</v>
      </c>
      <c r="AQ527">
        <v>260.05207075832914</v>
      </c>
      <c r="AR527">
        <v>84.000653940416157</v>
      </c>
      <c r="AS527">
        <v>509.8229790314499</v>
      </c>
      <c r="AT527">
        <v>35.266255187623379</v>
      </c>
      <c r="AU527">
        <v>-13.108888025504637</v>
      </c>
      <c r="AV527"/>
      <c r="AW527"/>
      <c r="FY527" s="210">
        <v>522</v>
      </c>
      <c r="FZ527">
        <v>20.962678274928074</v>
      </c>
      <c r="GA527">
        <v>68.065962300699127</v>
      </c>
      <c r="GB527">
        <v>34.35158353560184</v>
      </c>
      <c r="GC527">
        <v>10.970086622205008</v>
      </c>
      <c r="GD527">
        <v>6.7656352094468311</v>
      </c>
      <c r="GE527">
        <v>5.5592642032937993</v>
      </c>
      <c r="GF527">
        <v>10.057005455709238</v>
      </c>
      <c r="GG527">
        <v>19.304334086042118</v>
      </c>
      <c r="GH527">
        <v>14.431372629889729</v>
      </c>
      <c r="GI527">
        <v>33.289331199884217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56.44069191133984</v>
      </c>
      <c r="AO528">
        <v>71.298567008265636</v>
      </c>
      <c r="AP528">
        <v>468.41645995968867</v>
      </c>
      <c r="AQ528">
        <v>198.72431691213367</v>
      </c>
      <c r="AR528">
        <v>67.454732194312768</v>
      </c>
      <c r="AS528">
        <v>440.92275697421042</v>
      </c>
      <c r="AT528">
        <v>26.601497186890679</v>
      </c>
      <c r="AU528">
        <v>-41.859060346388503</v>
      </c>
      <c r="AV528"/>
      <c r="AW528"/>
      <c r="FY528" s="210">
        <v>523</v>
      </c>
      <c r="FZ528">
        <v>21.346819635933194</v>
      </c>
      <c r="GA528">
        <v>48.666031646502063</v>
      </c>
      <c r="GB528">
        <v>21.02166372109788</v>
      </c>
      <c r="GC528">
        <v>9.26546496291013</v>
      </c>
      <c r="GD528">
        <v>5.6006948167476178</v>
      </c>
      <c r="GE528">
        <v>5.0072271146325704</v>
      </c>
      <c r="GF528">
        <v>9.732872003504788</v>
      </c>
      <c r="GG528">
        <v>13.670960473739759</v>
      </c>
      <c r="GH528">
        <v>7.242194069179317</v>
      </c>
      <c r="GI528">
        <v>25.244550927642891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52.002522248709965</v>
      </c>
      <c r="AO529">
        <v>68.991413942570716</v>
      </c>
      <c r="AP529">
        <v>553.93465301266826</v>
      </c>
      <c r="AQ529">
        <v>236.58078143055968</v>
      </c>
      <c r="AR529">
        <v>65.371234141663209</v>
      </c>
      <c r="AS529">
        <v>377.35224885382212</v>
      </c>
      <c r="AT529">
        <v>27.975041957822864</v>
      </c>
      <c r="AU529">
        <v>7.3313996372863457</v>
      </c>
      <c r="AV529"/>
      <c r="AW529"/>
      <c r="FY529" s="210">
        <v>524</v>
      </c>
      <c r="FZ529">
        <v>27.394182951192242</v>
      </c>
      <c r="GA529">
        <v>54.029187206003286</v>
      </c>
      <c r="GB529">
        <v>33.425314155816245</v>
      </c>
      <c r="GC529">
        <v>9.210098686056039</v>
      </c>
      <c r="GD529">
        <v>7.0751495197997336</v>
      </c>
      <c r="GE529">
        <v>9.2529466303665835</v>
      </c>
      <c r="GF529">
        <v>8.955816556608001</v>
      </c>
      <c r="GG529">
        <v>11.952472142075296</v>
      </c>
      <c r="GH529">
        <v>6.5284974996822438</v>
      </c>
      <c r="GI529">
        <v>34.043927118254423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56.902156919269622</v>
      </c>
      <c r="AO530">
        <v>84.338516279939938</v>
      </c>
      <c r="AP530">
        <v>625.25987981380467</v>
      </c>
      <c r="AQ530">
        <v>209.56841594355771</v>
      </c>
      <c r="AR530">
        <v>79.172806436118918</v>
      </c>
      <c r="AS530">
        <v>357.40577072197499</v>
      </c>
      <c r="AT530">
        <v>32.426597283351164</v>
      </c>
      <c r="AU530">
        <v>-16.841386187576784</v>
      </c>
      <c r="AV530"/>
      <c r="AW530"/>
      <c r="FY530" s="210">
        <v>525</v>
      </c>
      <c r="FZ530">
        <v>25.822941948218372</v>
      </c>
      <c r="GA530">
        <v>36.963973381806646</v>
      </c>
      <c r="GB530">
        <v>28.837696268230154</v>
      </c>
      <c r="GC530">
        <v>12.048871356984201</v>
      </c>
      <c r="GD530">
        <v>9.8815160006317537</v>
      </c>
      <c r="GE530">
        <v>13.39199555804972</v>
      </c>
      <c r="GF530">
        <v>10.030531668255634</v>
      </c>
      <c r="GG530">
        <v>17.81639636422253</v>
      </c>
      <c r="GH530">
        <v>23.170874933911424</v>
      </c>
      <c r="GI530">
        <v>35.558629048866614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16.666666666666664</v>
      </c>
      <c r="E531" s="108">
        <f>E405</f>
        <v>0.61090991534074368</v>
      </c>
      <c r="F531" s="102"/>
      <c r="G531" s="101">
        <f>D531*E531</f>
        <v>10.181831922345726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51.741101395134912</v>
      </c>
      <c r="AO531">
        <v>51.203302680124992</v>
      </c>
      <c r="AP531">
        <v>405.87155610738807</v>
      </c>
      <c r="AQ531">
        <v>173.45381583167514</v>
      </c>
      <c r="AR531">
        <v>50.554019178963571</v>
      </c>
      <c r="AS531">
        <v>269.98783272013009</v>
      </c>
      <c r="AT531">
        <v>20.033191713785403</v>
      </c>
      <c r="AU531">
        <v>45.558126055186221</v>
      </c>
      <c r="AV531"/>
      <c r="AW531"/>
      <c r="FY531" s="210">
        <v>526</v>
      </c>
      <c r="FZ531">
        <v>20.434293290964941</v>
      </c>
      <c r="GA531">
        <v>50.011164669410647</v>
      </c>
      <c r="GB531">
        <v>36.964350160081466</v>
      </c>
      <c r="GC531">
        <v>10.225144664498854</v>
      </c>
      <c r="GD531">
        <v>3.4629627405934178</v>
      </c>
      <c r="GE531">
        <v>4.5645969849862693</v>
      </c>
      <c r="GF531">
        <v>13.261282331368223</v>
      </c>
      <c r="GG531">
        <v>20.530060118432253</v>
      </c>
      <c r="GH531">
        <v>15.2092800130307</v>
      </c>
      <c r="GI531">
        <v>29.889118315469091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-0.37427454316739411</v>
      </c>
      <c r="I532" s="101">
        <f>AVERAGE(D531:D533)</f>
        <v>49.571078431372555</v>
      </c>
      <c r="J532" s="101">
        <f>I532*H532</f>
        <v>-18.553192734217028</v>
      </c>
      <c r="K532" s="61">
        <f>J532/(C533-C531)</f>
        <v>-0.68715528645248247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60.404741839455653</v>
      </c>
      <c r="AO532">
        <v>89.356923498834107</v>
      </c>
      <c r="AP532">
        <v>655.76084556757291</v>
      </c>
      <c r="AQ532">
        <v>251.05339387952668</v>
      </c>
      <c r="AR532">
        <v>82.97113148943987</v>
      </c>
      <c r="AS532">
        <v>383.32241567607338</v>
      </c>
      <c r="AT532">
        <v>32.855951374525176</v>
      </c>
      <c r="AU532">
        <v>-27.004449382215121</v>
      </c>
      <c r="AV532"/>
      <c r="AW532"/>
      <c r="FY532" s="210">
        <v>527</v>
      </c>
      <c r="FZ532">
        <v>30.250519881954244</v>
      </c>
      <c r="GA532">
        <v>35.345560469219912</v>
      </c>
      <c r="GB532">
        <v>29.637763749943254</v>
      </c>
      <c r="GC532">
        <v>12.133038997487093</v>
      </c>
      <c r="GD532">
        <v>6.7368469036461702</v>
      </c>
      <c r="GE532">
        <v>7.6360243060688289</v>
      </c>
      <c r="GF532">
        <v>11.696884663255441</v>
      </c>
      <c r="GG532">
        <v>18.227157841421405</v>
      </c>
      <c r="GH532">
        <v>9.7302753115324023</v>
      </c>
      <c r="GI532">
        <v>34.529393418152509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82.475490196078439</v>
      </c>
      <c r="E533" s="108">
        <f>E406</f>
        <v>0.23663537217334957</v>
      </c>
      <c r="F533" s="102"/>
      <c r="G533" s="101">
        <f>D533*E533</f>
        <v>19.516618317728465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46.909316033436625</v>
      </c>
      <c r="AO533">
        <v>43.002465578498061</v>
      </c>
      <c r="AP533">
        <v>319.04132182776942</v>
      </c>
      <c r="AQ533">
        <v>153.62049704765673</v>
      </c>
      <c r="AR533">
        <v>42.718829241425105</v>
      </c>
      <c r="AS533">
        <v>293.298220723349</v>
      </c>
      <c r="AT533">
        <v>17.838115687460206</v>
      </c>
      <c r="AU533">
        <v>-9.5573133436392315</v>
      </c>
      <c r="AV533"/>
      <c r="AW533"/>
      <c r="FY533" s="210">
        <v>528</v>
      </c>
      <c r="FZ533">
        <v>30.233822945243112</v>
      </c>
      <c r="GA533">
        <v>56.947873159471605</v>
      </c>
      <c r="GB533">
        <v>19.768561923129202</v>
      </c>
      <c r="GC533">
        <v>10.552254362226918</v>
      </c>
      <c r="GD533">
        <v>6.747493957066613</v>
      </c>
      <c r="GE533">
        <v>6.7834129637170992</v>
      </c>
      <c r="GF533">
        <v>9.1375811354748375</v>
      </c>
      <c r="GG533">
        <v>15.887926915949146</v>
      </c>
      <c r="GH533">
        <v>19.462757331599128</v>
      </c>
      <c r="GI533">
        <v>29.604828528298185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0.69402462695866074</v>
      </c>
      <c r="I534" s="101">
        <f>AVERAGE(D533:D535)</f>
        <v>72.943474264705884</v>
      </c>
      <c r="J534" s="101">
        <f>I534*H534</f>
        <v>50.624567515631171</v>
      </c>
      <c r="K534" s="61">
        <f>J534/(C535-C533)</f>
        <v>1.2347455491617358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59.977086447801398</v>
      </c>
      <c r="AO534">
        <v>44.569963488791743</v>
      </c>
      <c r="AP534">
        <v>337.96930563781024</v>
      </c>
      <c r="AQ534">
        <v>179.91847441419793</v>
      </c>
      <c r="AR534">
        <v>43.053238919739954</v>
      </c>
      <c r="AS534">
        <v>301.31203711624414</v>
      </c>
      <c r="AT534">
        <v>17.607696980676202</v>
      </c>
      <c r="AU534">
        <v>5.6913502106970153</v>
      </c>
      <c r="AV534"/>
      <c r="AW534"/>
      <c r="FY534" s="210">
        <v>529</v>
      </c>
      <c r="FZ534">
        <v>25.25552060043572</v>
      </c>
      <c r="GA534">
        <v>46.005967034925774</v>
      </c>
      <c r="GB534">
        <v>25.1665993767724</v>
      </c>
      <c r="GC534">
        <v>10.513217005089816</v>
      </c>
      <c r="GD534">
        <v>7.194427147345257</v>
      </c>
      <c r="GE534">
        <v>7.7453828968230871</v>
      </c>
      <c r="GF534">
        <v>9.0988130329589509</v>
      </c>
      <c r="GG534">
        <v>13.913478083144817</v>
      </c>
      <c r="GH534">
        <v>11.370347887335091</v>
      </c>
      <c r="GI534">
        <v>30.8672842793355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63.411458333333329</v>
      </c>
      <c r="E535" s="108">
        <f>E407</f>
        <v>0.93065999913201036</v>
      </c>
      <c r="F535" s="102"/>
      <c r="G535" s="101">
        <f>D535*E535</f>
        <v>59.014507757459505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67.019080734564582</v>
      </c>
      <c r="AO535">
        <v>78.547265417793099</v>
      </c>
      <c r="AP535">
        <v>568.21097008866684</v>
      </c>
      <c r="AQ535">
        <v>228.16851157764614</v>
      </c>
      <c r="AR535">
        <v>73.904923722976051</v>
      </c>
      <c r="AS535">
        <v>364.50186720461102</v>
      </c>
      <c r="AT535">
        <v>28.303834800908348</v>
      </c>
      <c r="AU535">
        <v>42.746876722739522</v>
      </c>
      <c r="AV535"/>
      <c r="AW535"/>
      <c r="FY535" s="210">
        <v>530</v>
      </c>
      <c r="FZ535">
        <v>27.116142861700592</v>
      </c>
      <c r="GA535">
        <v>48.230717072787591</v>
      </c>
      <c r="GB535">
        <v>25.470384794845025</v>
      </c>
      <c r="GC535">
        <v>7.0836360586034326</v>
      </c>
      <c r="GD535">
        <v>3.9086955750117287</v>
      </c>
      <c r="GE535">
        <v>3.4997502668642384</v>
      </c>
      <c r="GF535">
        <v>8.2454403557538321</v>
      </c>
      <c r="GG535">
        <v>15.492030053964873</v>
      </c>
      <c r="GH535">
        <v>17.204159364552623</v>
      </c>
      <c r="GI535">
        <v>25.655074166625091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-0.46641560478560684</v>
      </c>
      <c r="I536" s="101">
        <f>AVERAGE(D535:D537)</f>
        <v>109.36457205988458</v>
      </c>
      <c r="J536" s="101">
        <f>I536*H536</f>
        <v>-51.009343019430148</v>
      </c>
      <c r="K536" s="61">
        <f>J536/(C537-C535)</f>
        <v>-1.545737667255459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46.452243406616944</v>
      </c>
      <c r="AO536">
        <v>64.952001387522174</v>
      </c>
      <c r="AP536">
        <v>487.97103730600958</v>
      </c>
      <c r="AQ536">
        <v>218.0166264642495</v>
      </c>
      <c r="AR536">
        <v>60.838779593148828</v>
      </c>
      <c r="AS536">
        <v>317.69667344883283</v>
      </c>
      <c r="AT536">
        <v>26.459165060378727</v>
      </c>
      <c r="AU536">
        <v>63.10531832275349</v>
      </c>
      <c r="AV536"/>
      <c r="AW536"/>
      <c r="FY536" s="210">
        <v>531</v>
      </c>
      <c r="FZ536">
        <v>20.72578313047774</v>
      </c>
      <c r="GA536">
        <v>36.761395567455594</v>
      </c>
      <c r="GB536">
        <v>27.755420951118765</v>
      </c>
      <c r="GC536">
        <v>13.539827126975171</v>
      </c>
      <c r="GD536">
        <v>6.104060913457408</v>
      </c>
      <c r="GE536">
        <v>4.2922085310050377</v>
      </c>
      <c r="GF536">
        <v>11.441345163477274</v>
      </c>
      <c r="GG536">
        <v>13.259864149874611</v>
      </c>
      <c r="GH536">
        <v>12.344247839436255</v>
      </c>
      <c r="GI536">
        <v>31.603685501466035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155.31768578643582</v>
      </c>
      <c r="E537" s="108">
        <f>E408</f>
        <v>0.46424439434640352</v>
      </c>
      <c r="F537" s="102"/>
      <c r="G537" s="101">
        <f>D537*E537</f>
        <v>72.105364969208907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52.498496750047046</v>
      </c>
      <c r="AO537">
        <v>82.226778663273606</v>
      </c>
      <c r="AP537">
        <v>607.70687966043897</v>
      </c>
      <c r="AQ537">
        <v>234.91978666691898</v>
      </c>
      <c r="AR537">
        <v>77.565134932509721</v>
      </c>
      <c r="AS537">
        <v>609.13302236114566</v>
      </c>
      <c r="AT537">
        <v>34.060005682512411</v>
      </c>
      <c r="AU537">
        <v>46.516821329676404</v>
      </c>
      <c r="AV537"/>
      <c r="AW537"/>
      <c r="FY537" s="210">
        <v>532</v>
      </c>
      <c r="FZ537">
        <v>25.619472774994868</v>
      </c>
      <c r="GA537">
        <v>40.349177610227613</v>
      </c>
      <c r="GB537">
        <v>29.837521328918417</v>
      </c>
      <c r="GC537">
        <v>11.000006848643656</v>
      </c>
      <c r="GD537">
        <v>5.3386981019663811</v>
      </c>
      <c r="GE537">
        <v>5.5755377963402237</v>
      </c>
      <c r="GF537">
        <v>9.8923536942050525</v>
      </c>
      <c r="GG537">
        <v>14.827228650305569</v>
      </c>
      <c r="GH537">
        <v>16.015822694245184</v>
      </c>
      <c r="GI537">
        <v>29.263672443356949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0.1527262176044919</v>
      </c>
      <c r="I538" s="101">
        <f>AVERAGE(D537:D539)</f>
        <v>129.70008868446371</v>
      </c>
      <c r="J538" s="101">
        <f>I538*H538</f>
        <v>19.808603967745302</v>
      </c>
      <c r="K538" s="61">
        <f>J538/(C539-C537)</f>
        <v>0.70745014170518938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48.300558925374318</v>
      </c>
      <c r="AO538">
        <v>70.308519565922666</v>
      </c>
      <c r="AP538">
        <v>538.81796364045181</v>
      </c>
      <c r="AQ538">
        <v>223.75725351769995</v>
      </c>
      <c r="AR538">
        <v>65.799938340451789</v>
      </c>
      <c r="AS538">
        <v>382.03965188694832</v>
      </c>
      <c r="AT538">
        <v>26.628206188793921</v>
      </c>
      <c r="AU538">
        <v>-35.316679274878624</v>
      </c>
      <c r="AV538"/>
      <c r="AW538"/>
      <c r="FY538" s="210">
        <v>533</v>
      </c>
      <c r="FZ538">
        <v>21.444668334430389</v>
      </c>
      <c r="GA538">
        <v>37.874517278389177</v>
      </c>
      <c r="GB538">
        <v>38.447049697257569</v>
      </c>
      <c r="GC538">
        <v>13.453216252778551</v>
      </c>
      <c r="GD538">
        <v>9.2530038038733551</v>
      </c>
      <c r="GE538">
        <v>11.732909292966596</v>
      </c>
      <c r="GF538">
        <v>4.7638338662827744</v>
      </c>
      <c r="GG538">
        <v>5.0449597669632045</v>
      </c>
      <c r="GH538">
        <v>12.349830774325293</v>
      </c>
      <c r="GI538">
        <v>32.712750291598773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104.08249158249158</v>
      </c>
      <c r="E539" s="108">
        <f>E409</f>
        <v>0.61697061195089542</v>
      </c>
      <c r="F539" s="102"/>
      <c r="G539" s="101">
        <f>D539*E539</f>
        <v>64.215838525023756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38.803928823855543</v>
      </c>
      <c r="AO539">
        <v>51.42215955708177</v>
      </c>
      <c r="AP539">
        <v>358.25536171155659</v>
      </c>
      <c r="AQ539">
        <v>166.79847937189021</v>
      </c>
      <c r="AR539">
        <v>48.014164362420921</v>
      </c>
      <c r="AS539">
        <v>381.07391694674675</v>
      </c>
      <c r="AT539">
        <v>21.982872889344616</v>
      </c>
      <c r="AU539">
        <v>-11.241376383850707</v>
      </c>
      <c r="AV539"/>
      <c r="AW539"/>
      <c r="FY539" s="210">
        <v>534</v>
      </c>
      <c r="FZ539">
        <v>23.37901233101951</v>
      </c>
      <c r="GA539">
        <v>54.226663204738699</v>
      </c>
      <c r="GB539">
        <v>23.989882492241556</v>
      </c>
      <c r="GC539">
        <v>5.2704070182308724</v>
      </c>
      <c r="GD539">
        <v>2.9300085674874388</v>
      </c>
      <c r="GE539">
        <v>2.8114544069501024</v>
      </c>
      <c r="GF539">
        <v>8.6025748511213322</v>
      </c>
      <c r="GG539">
        <v>19.088855191944717</v>
      </c>
      <c r="GH539">
        <v>23.769286667583383</v>
      </c>
      <c r="GI539">
        <v>23.708284194077084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-0.34769027061490493</v>
      </c>
      <c r="I540" s="101">
        <f>AVERAGE(D539:D541)</f>
        <v>131.82795214045214</v>
      </c>
      <c r="J540" s="101">
        <f>I540*H540</f>
        <v>-45.835296354322537</v>
      </c>
      <c r="K540" s="61">
        <f>J540/(C541-C539)</f>
        <v>-1.909804014763439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46.749804071740421</v>
      </c>
      <c r="AO540">
        <v>73.65500581536962</v>
      </c>
      <c r="AP540">
        <v>480.54736248137226</v>
      </c>
      <c r="AQ540">
        <v>201.86759246585407</v>
      </c>
      <c r="AR540">
        <v>68.605331550494554</v>
      </c>
      <c r="AS540">
        <v>337.57750460464422</v>
      </c>
      <c r="AT540">
        <v>27.867568035026423</v>
      </c>
      <c r="AU540">
        <v>22.1500761152667</v>
      </c>
      <c r="AV540"/>
      <c r="AW540"/>
      <c r="FY540" s="210">
        <v>535</v>
      </c>
      <c r="FZ540">
        <v>32.469135001145816</v>
      </c>
      <c r="GA540">
        <v>24.750128816764398</v>
      </c>
      <c r="GB540">
        <v>8.3742574143242852</v>
      </c>
      <c r="GC540">
        <v>5.7915486024872971</v>
      </c>
      <c r="GD540">
        <v>4.9559517705463181</v>
      </c>
      <c r="GE540">
        <v>7.2733105025579068</v>
      </c>
      <c r="GF540">
        <v>6.7038477930207101</v>
      </c>
      <c r="GG540">
        <v>4.1300918170710164</v>
      </c>
      <c r="GH540">
        <v>5.8431890033105942</v>
      </c>
      <c r="GI540">
        <v>17.369692120003936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159.57341269841271</v>
      </c>
      <c r="E541" s="108">
        <f>E410</f>
        <v>0.26928034133599049</v>
      </c>
      <c r="F541" s="102"/>
      <c r="G541" s="101">
        <f>D541*E541</f>
        <v>42.969983039577457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66.286331792470804</v>
      </c>
      <c r="AO541">
        <v>72.895578647585339</v>
      </c>
      <c r="AP541">
        <v>475.21701539246709</v>
      </c>
      <c r="AQ541">
        <v>213.52342652917702</v>
      </c>
      <c r="AR541">
        <v>68.465756834487166</v>
      </c>
      <c r="AS541">
        <v>335.75635112791468</v>
      </c>
      <c r="AT541">
        <v>27.359477106596103</v>
      </c>
      <c r="AU541">
        <v>9.5503032614485459</v>
      </c>
      <c r="AV541"/>
      <c r="AW541"/>
      <c r="FY541" s="210">
        <v>536</v>
      </c>
      <c r="FZ541">
        <v>25.189584463644728</v>
      </c>
      <c r="GA541">
        <v>57.789234405981723</v>
      </c>
      <c r="GB541">
        <v>23.803116960475478</v>
      </c>
      <c r="GC541">
        <v>9.024179736277377</v>
      </c>
      <c r="GD541">
        <v>6.320852688464246</v>
      </c>
      <c r="GE541">
        <v>6.3760932302298068</v>
      </c>
      <c r="GF541">
        <v>8.9432315586900941</v>
      </c>
      <c r="GG541">
        <v>13.480000718496095</v>
      </c>
      <c r="GH541">
        <v>9.5964453084836663</v>
      </c>
      <c r="GI541">
        <v>23.117981347547264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0.17892056649123855</v>
      </c>
      <c r="I542" s="101">
        <f>AVERAGE(D541:D543)</f>
        <v>86.340525793650798</v>
      </c>
      <c r="J542" s="101">
        <f>I542*H542</f>
        <v>15.448095786151395</v>
      </c>
      <c r="K542" s="61">
        <f>J542/(C543-C541)</f>
        <v>0.32183532887815408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50.833331380943278</v>
      </c>
      <c r="AO542">
        <v>65.131448194091121</v>
      </c>
      <c r="AP542">
        <v>518.81899110182007</v>
      </c>
      <c r="AQ542">
        <v>204.55225328883589</v>
      </c>
      <c r="AR542">
        <v>59.568378699787417</v>
      </c>
      <c r="AS542">
        <v>370.47239154375109</v>
      </c>
      <c r="AT542">
        <v>23.471979648948224</v>
      </c>
      <c r="AU542">
        <v>12.638129497697971</v>
      </c>
      <c r="AV542"/>
      <c r="AW542"/>
      <c r="FY542" s="210">
        <v>537</v>
      </c>
      <c r="FZ542">
        <v>30.967908483955259</v>
      </c>
      <c r="GA542">
        <v>57.699433464028019</v>
      </c>
      <c r="GB542">
        <v>36.865078827557426</v>
      </c>
      <c r="GC542">
        <v>8.5865214809741612</v>
      </c>
      <c r="GD542">
        <v>6.5297340419059706</v>
      </c>
      <c r="GE542">
        <v>9.4064236738582299</v>
      </c>
      <c r="GF542">
        <v>10.386303304468798</v>
      </c>
      <c r="GG542">
        <v>18.734852018233205</v>
      </c>
      <c r="GH542">
        <v>16.076974053818535</v>
      </c>
      <c r="GI542">
        <v>36.014403858399668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13.107638888888889</v>
      </c>
      <c r="E543" s="108">
        <f>E411</f>
        <v>0.44820090782722904</v>
      </c>
      <c r="F543" s="102"/>
      <c r="G543" s="101">
        <f>D543*E543</f>
        <v>5.8748556494714919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55.578105789705049</v>
      </c>
      <c r="AO543">
        <v>73.680816654647245</v>
      </c>
      <c r="AP543">
        <v>491.00123117326797</v>
      </c>
      <c r="AQ543">
        <v>195.92346554268124</v>
      </c>
      <c r="AR543">
        <v>69.396581153413706</v>
      </c>
      <c r="AS543">
        <v>554.8594232995008</v>
      </c>
      <c r="AT543">
        <v>28.054116959325636</v>
      </c>
      <c r="AU543">
        <v>19.457974429416399</v>
      </c>
      <c r="AV543"/>
      <c r="AW543"/>
      <c r="FY543" s="210">
        <v>538</v>
      </c>
      <c r="FZ543">
        <v>16.683231773171315</v>
      </c>
      <c r="GA543">
        <v>39.85571655942767</v>
      </c>
      <c r="GB543">
        <v>17.713388251335594</v>
      </c>
      <c r="GC543">
        <v>5.6961018722088523</v>
      </c>
      <c r="GD543">
        <v>4.5336875124851908</v>
      </c>
      <c r="GE543">
        <v>4.8207945870015285</v>
      </c>
      <c r="GF543">
        <v>4.5366354817203396</v>
      </c>
      <c r="GG543">
        <v>15.283596976697613</v>
      </c>
      <c r="GH543">
        <v>27.006337007535674</v>
      </c>
      <c r="GI543">
        <v>22.29885684733317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1.7387904950589157</v>
      </c>
      <c r="I544" s="101">
        <f>AVERAGE(D543:D545)</f>
        <v>21.373895202020201</v>
      </c>
      <c r="J544" s="101">
        <f>I544*H544</f>
        <v>37.164725819658088</v>
      </c>
      <c r="K544" s="61">
        <f>J544/(C545-C543)</f>
        <v>0.58991628285171571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48.058012276862122</v>
      </c>
      <c r="AO544">
        <v>63.062050172072148</v>
      </c>
      <c r="AP544">
        <v>466.82868979643717</v>
      </c>
      <c r="AQ544">
        <v>205.12651322217587</v>
      </c>
      <c r="AR544">
        <v>59.579876731542036</v>
      </c>
      <c r="AS544">
        <v>381.89750165882117</v>
      </c>
      <c r="AT544">
        <v>26.886374391507303</v>
      </c>
      <c r="AU544">
        <v>44.715224670695655</v>
      </c>
      <c r="AV544"/>
      <c r="AW544"/>
      <c r="FY544" s="210">
        <v>539</v>
      </c>
      <c r="FZ544">
        <v>27.913050138005858</v>
      </c>
      <c r="GA544">
        <v>54.009358529450502</v>
      </c>
      <c r="GB544">
        <v>27.640414719434421</v>
      </c>
      <c r="GC544">
        <v>12.633128960582885</v>
      </c>
      <c r="GD544">
        <v>8.2345149618560551</v>
      </c>
      <c r="GE544">
        <v>6.9023599466301331</v>
      </c>
      <c r="GF544">
        <v>6.0278051006601245</v>
      </c>
      <c r="GG544">
        <v>11.903696798769914</v>
      </c>
      <c r="GH544">
        <v>8.1690341965210127</v>
      </c>
      <c r="GI544">
        <v>31.808951852259156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29.640151515151512</v>
      </c>
      <c r="E545" s="108">
        <f>E412</f>
        <v>2.1869914028861448</v>
      </c>
      <c r="F545" s="102"/>
      <c r="G545" s="101">
        <f>D545*E545</f>
        <v>64.822756543879095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46.000267064728121</v>
      </c>
      <c r="AO545">
        <v>66.28007607811837</v>
      </c>
      <c r="AP545">
        <v>439.32070981920901</v>
      </c>
      <c r="AQ545">
        <v>187.1310373441664</v>
      </c>
      <c r="AR545">
        <v>61.602896898167742</v>
      </c>
      <c r="AS545">
        <v>389.84475917323715</v>
      </c>
      <c r="AT545">
        <v>24.681020276200268</v>
      </c>
      <c r="AU545">
        <v>3.3163461857717849</v>
      </c>
      <c r="AV545"/>
      <c r="AW545"/>
      <c r="FY545" s="210">
        <v>540</v>
      </c>
      <c r="FZ545">
        <v>18.271615399423801</v>
      </c>
      <c r="GA545">
        <v>40.533950255306365</v>
      </c>
      <c r="GB545">
        <v>26.390706652599178</v>
      </c>
      <c r="GC545">
        <v>12.218520194450653</v>
      </c>
      <c r="GD545">
        <v>6.7055886528252238</v>
      </c>
      <c r="GE545">
        <v>6.7502651128791635</v>
      </c>
      <c r="GF545">
        <v>12.077479489266018</v>
      </c>
      <c r="GG545">
        <v>22.936854067438041</v>
      </c>
      <c r="GH545">
        <v>21.135925409297354</v>
      </c>
      <c r="GI545">
        <v>29.337935720496706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-1.3013029157499636</v>
      </c>
      <c r="I546" s="101">
        <f>AVERAGE(D545:D547)</f>
        <v>28.473662708117647</v>
      </c>
      <c r="J546" s="101">
        <f>I546*H546</f>
        <v>-37.0528603041545</v>
      </c>
      <c r="K546" s="61">
        <f>J546/(C547-C545)</f>
        <v>-0.95007334113216668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42.578498994559951</v>
      </c>
      <c r="AO546">
        <v>53.15464604063925</v>
      </c>
      <c r="AP546">
        <v>421.00400022326835</v>
      </c>
      <c r="AQ546">
        <v>181.90603057070902</v>
      </c>
      <c r="AR546">
        <v>51.762188678566645</v>
      </c>
      <c r="AS546">
        <v>290.38720636091711</v>
      </c>
      <c r="AT546">
        <v>20.21433994950603</v>
      </c>
      <c r="AU546">
        <v>-0.19462473480637144</v>
      </c>
      <c r="AV546"/>
      <c r="AW546"/>
      <c r="FY546" s="210">
        <v>541</v>
      </c>
      <c r="FZ546">
        <v>19.669983371258912</v>
      </c>
      <c r="GA546">
        <v>67.311631816145535</v>
      </c>
      <c r="GB546">
        <v>37.144321652203061</v>
      </c>
      <c r="GC546">
        <v>10.469953950279182</v>
      </c>
      <c r="GD546">
        <v>6.5314648216284432</v>
      </c>
      <c r="GE546">
        <v>6.7192707089221821</v>
      </c>
      <c r="GF546">
        <v>14.860479769816974</v>
      </c>
      <c r="GG546">
        <v>22.556550352598443</v>
      </c>
      <c r="GH546">
        <v>10.525031586489392</v>
      </c>
      <c r="GI546">
        <v>35.653296696035625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27.307173901083782</v>
      </c>
      <c r="E547" s="108">
        <f>E413</f>
        <v>0.8856884871361812</v>
      </c>
      <c r="F547" s="102"/>
      <c r="G547" s="101">
        <f>D547*E547</f>
        <v>24.185649540415508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56.232590807577616</v>
      </c>
      <c r="AO547">
        <v>65.883534859543886</v>
      </c>
      <c r="AP547">
        <v>420.47382975773024</v>
      </c>
      <c r="AQ547">
        <v>177.82783887474389</v>
      </c>
      <c r="AR547">
        <v>60.880375773774936</v>
      </c>
      <c r="AS547">
        <v>410.29277750329641</v>
      </c>
      <c r="AT547">
        <v>23.949615507220116</v>
      </c>
      <c r="AU547">
        <v>-12.026754529673525</v>
      </c>
      <c r="AV547"/>
      <c r="AW547"/>
      <c r="FY547" s="210">
        <v>542</v>
      </c>
      <c r="FZ547">
        <v>24.055537115334037</v>
      </c>
      <c r="GA547">
        <v>63.485918909949639</v>
      </c>
      <c r="GB547">
        <v>33.341810279756459</v>
      </c>
      <c r="GC547">
        <v>7.7844616009448329</v>
      </c>
      <c r="GD547">
        <v>3.6642219484624166</v>
      </c>
      <c r="GE547">
        <v>4.2567642396452712</v>
      </c>
      <c r="GF547">
        <v>8.5157605797935769</v>
      </c>
      <c r="GG547">
        <v>15.779813395024078</v>
      </c>
      <c r="GH547">
        <v>19.535898199767928</v>
      </c>
      <c r="GI547">
        <v>27.48731935567363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-0.32724465376315914</v>
      </c>
      <c r="I548" s="101">
        <f>AVERAGE(D547:D549)</f>
        <v>28.570579138041889</v>
      </c>
      <c r="J548" s="101">
        <f>I548*H548</f>
        <v>-9.3495692778414554</v>
      </c>
      <c r="K548" s="61">
        <f>J548/(C549-C547)</f>
        <v>-0.24604129678530146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47.893680705904458</v>
      </c>
      <c r="AO548">
        <v>60.132318495046135</v>
      </c>
      <c r="AP548">
        <v>452.40413228990764</v>
      </c>
      <c r="AQ548">
        <v>187.71949194320388</v>
      </c>
      <c r="AR548">
        <v>57.779783363901814</v>
      </c>
      <c r="AS548">
        <v>333.18179216457116</v>
      </c>
      <c r="AT548">
        <v>23.025489974896107</v>
      </c>
      <c r="AU548">
        <v>-22.322917784457974</v>
      </c>
      <c r="AV548"/>
      <c r="AW548"/>
      <c r="FY548" s="210">
        <v>543</v>
      </c>
      <c r="FZ548">
        <v>19.895605929729498</v>
      </c>
      <c r="GA548">
        <v>84.152441925368095</v>
      </c>
      <c r="GB548">
        <v>41.848164004630789</v>
      </c>
      <c r="GC548">
        <v>13.042327887009646</v>
      </c>
      <c r="GD548">
        <v>7.4983859902575549</v>
      </c>
      <c r="GE548">
        <v>6.101736074313246</v>
      </c>
      <c r="GF548">
        <v>14.5925058815971</v>
      </c>
      <c r="GG548">
        <v>21.959582240360906</v>
      </c>
      <c r="GH548">
        <v>22.429332105361038</v>
      </c>
      <c r="GI548">
        <v>42.208416274460099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29.833984374999996</v>
      </c>
      <c r="E549" s="108">
        <f>E414</f>
        <v>0.55844383337302206</v>
      </c>
      <c r="F549" s="102"/>
      <c r="G549" s="101">
        <f>D549*E549</f>
        <v>16.660604599165843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59.379517082607606</v>
      </c>
      <c r="AO549">
        <v>67.559529162690495</v>
      </c>
      <c r="AP549">
        <v>432.27029595306567</v>
      </c>
      <c r="AQ549">
        <v>187.07673935886569</v>
      </c>
      <c r="AR549">
        <v>63.052908368039887</v>
      </c>
      <c r="AS549">
        <v>328.36309487470038</v>
      </c>
      <c r="AT549">
        <v>24.264210707278334</v>
      </c>
      <c r="AU549">
        <v>-33.289147710367565</v>
      </c>
      <c r="AV549"/>
      <c r="AW549"/>
      <c r="FY549" s="210">
        <v>544</v>
      </c>
      <c r="FZ549">
        <v>25.089133793074129</v>
      </c>
      <c r="GA549">
        <v>54.325051948023543</v>
      </c>
      <c r="GB549">
        <v>61.973092061595338</v>
      </c>
      <c r="GC549">
        <v>15.130405687436756</v>
      </c>
      <c r="GD549">
        <v>5.3988311593791902</v>
      </c>
      <c r="GE549">
        <v>7.1853588394794849</v>
      </c>
      <c r="GF549">
        <v>7.8388645067136054</v>
      </c>
      <c r="GG549">
        <v>13.172564771189162</v>
      </c>
      <c r="GH549">
        <v>19.657081664262947</v>
      </c>
      <c r="GI549">
        <v>45.702519500693803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-0.55844383337302206</v>
      </c>
      <c r="I550" s="101">
        <f>AVERAGE(D549:D551)</f>
        <v>14.916992187499998</v>
      </c>
      <c r="J550" s="101">
        <f>I550*H550</f>
        <v>-8.3303022995829217</v>
      </c>
      <c r="K550" s="61">
        <f>J550/(C551-C549)</f>
        <v>2.0832526320011308E-4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49.81013336537076</v>
      </c>
      <c r="AO550">
        <v>46.514376777458978</v>
      </c>
      <c r="AP550">
        <v>389.69802460403417</v>
      </c>
      <c r="AQ550">
        <v>187.7764289253947</v>
      </c>
      <c r="AR550">
        <v>44.187428724611891</v>
      </c>
      <c r="AS550">
        <v>241.47556486507665</v>
      </c>
      <c r="AT550">
        <v>19.204961654828601</v>
      </c>
      <c r="AU550">
        <v>-0.49355870956758263</v>
      </c>
      <c r="AV550"/>
      <c r="AW550"/>
      <c r="FY550" s="210">
        <v>545</v>
      </c>
      <c r="FZ550">
        <v>29.451527129501663</v>
      </c>
      <c r="GA550">
        <v>54.774569638677107</v>
      </c>
      <c r="GB550">
        <v>23.440666992036739</v>
      </c>
      <c r="GC550">
        <v>10.681856071031213</v>
      </c>
      <c r="GD550">
        <v>8.9098590535081144</v>
      </c>
      <c r="GE550">
        <v>9.9548115641141699</v>
      </c>
      <c r="GF550">
        <v>12.10590655061962</v>
      </c>
      <c r="GG550">
        <v>18.897315999580474</v>
      </c>
      <c r="GH550">
        <v>8.6703376920510919</v>
      </c>
      <c r="GI550">
        <v>29.93437730282627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42.516588405603848</v>
      </c>
      <c r="AO551">
        <v>35.488668449395014</v>
      </c>
      <c r="AP551">
        <v>253.78988351492504</v>
      </c>
      <c r="AQ551">
        <v>117.66115284123229</v>
      </c>
      <c r="AR551">
        <v>36.407951698697147</v>
      </c>
      <c r="AS551">
        <v>200.95958906377766</v>
      </c>
      <c r="AT551">
        <v>12.945988922403524</v>
      </c>
      <c r="AU551">
        <v>23.106680178154207</v>
      </c>
      <c r="AV551"/>
      <c r="AW551"/>
      <c r="FY551" s="210">
        <v>546</v>
      </c>
      <c r="FZ551">
        <v>38.540921147650835</v>
      </c>
      <c r="GA551">
        <v>68.848637143784927</v>
      </c>
      <c r="GB551">
        <v>27.058247183361175</v>
      </c>
      <c r="GC551">
        <v>8.8598304548795408</v>
      </c>
      <c r="GD551">
        <v>7.0197849050574197</v>
      </c>
      <c r="GE551">
        <v>6.8640627648915276</v>
      </c>
      <c r="GF551">
        <v>9.4138580363696249</v>
      </c>
      <c r="GG551">
        <v>18.464946286354468</v>
      </c>
      <c r="GH551">
        <v>20.443565769332373</v>
      </c>
      <c r="GI551">
        <v>32.5594994582558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50.217834692083294</v>
      </c>
      <c r="AO552">
        <v>43.770432486607973</v>
      </c>
      <c r="AP552">
        <v>352.32038770908741</v>
      </c>
      <c r="AQ552">
        <v>183.64072041829044</v>
      </c>
      <c r="AR552">
        <v>41.572400219898455</v>
      </c>
      <c r="AS552">
        <v>279.77976856517245</v>
      </c>
      <c r="AT552">
        <v>17.849366462355171</v>
      </c>
      <c r="AU552">
        <v>-9.5365803681713572</v>
      </c>
      <c r="AV552"/>
      <c r="AW552"/>
      <c r="FY552" s="210">
        <v>547</v>
      </c>
      <c r="FZ552">
        <v>29.514774431371677</v>
      </c>
      <c r="GA552">
        <v>44.550958240806537</v>
      </c>
      <c r="GB552">
        <v>47.373182936870933</v>
      </c>
      <c r="GC552">
        <v>14.39076120596857</v>
      </c>
      <c r="GD552">
        <v>5.2705049482702186</v>
      </c>
      <c r="GE552">
        <v>4.0776500400480442</v>
      </c>
      <c r="GF552">
        <v>8.3905156073985712</v>
      </c>
      <c r="GG552">
        <v>20.945705112582587</v>
      </c>
      <c r="GH552">
        <v>33.906056404906465</v>
      </c>
      <c r="GI552">
        <v>42.078785844266143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59.238543896603289</v>
      </c>
      <c r="AO553">
        <v>80.784966348424831</v>
      </c>
      <c r="AP553">
        <v>633.93809814020335</v>
      </c>
      <c r="AQ553">
        <v>231.26763320719928</v>
      </c>
      <c r="AR553">
        <v>74.806107624752613</v>
      </c>
      <c r="AS553">
        <v>343.73874449006826</v>
      </c>
      <c r="AT553">
        <v>32.329915958100976</v>
      </c>
      <c r="AU553">
        <v>16.701973713951137</v>
      </c>
      <c r="AV553"/>
      <c r="AW553"/>
      <c r="FY553" s="210">
        <v>548</v>
      </c>
      <c r="FZ553">
        <v>13.365450084112744</v>
      </c>
      <c r="GA553">
        <v>34.143790347846448</v>
      </c>
      <c r="GB553">
        <v>19.312945389515676</v>
      </c>
      <c r="GC553">
        <v>6.1321925489688258</v>
      </c>
      <c r="GD553">
        <v>4.6144055963968675</v>
      </c>
      <c r="GE553">
        <v>5.2941686737581941</v>
      </c>
      <c r="GF553">
        <v>7.7041273647548252</v>
      </c>
      <c r="GG553">
        <v>14.109786061386995</v>
      </c>
      <c r="GH553">
        <v>16.030988088299672</v>
      </c>
      <c r="GI553">
        <v>21.618996292402851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38.481620267330854</v>
      </c>
      <c r="AO554">
        <v>48.231672326177012</v>
      </c>
      <c r="AP554">
        <v>369.90045597727396</v>
      </c>
      <c r="AQ554">
        <v>158.42834686891695</v>
      </c>
      <c r="AR554">
        <v>45.86628809063987</v>
      </c>
      <c r="AS554">
        <v>243.70993054438603</v>
      </c>
      <c r="AT554">
        <v>18.936465838965407</v>
      </c>
      <c r="AU554">
        <v>-11.600922368278047</v>
      </c>
      <c r="AV554"/>
      <c r="AW554"/>
      <c r="FY554" s="210">
        <v>549</v>
      </c>
      <c r="FZ554">
        <v>21.547150752459284</v>
      </c>
      <c r="GA554">
        <v>48.116542021445198</v>
      </c>
      <c r="GB554">
        <v>30.058762326957506</v>
      </c>
      <c r="GC554">
        <v>11.154989574290681</v>
      </c>
      <c r="GD554">
        <v>6.541592515932722</v>
      </c>
      <c r="GE554">
        <v>6.1177361282089757</v>
      </c>
      <c r="GF554">
        <v>11.723840780625958</v>
      </c>
      <c r="GG554">
        <v>22.355702131808272</v>
      </c>
      <c r="GH554">
        <v>23.793130378205927</v>
      </c>
      <c r="GI554">
        <v>32.571766040801513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59.112446548669894</v>
      </c>
      <c r="AO555">
        <v>68.008492231843277</v>
      </c>
      <c r="AP555">
        <v>463.52744575391631</v>
      </c>
      <c r="AQ555">
        <v>195.24231520417004</v>
      </c>
      <c r="AR555">
        <v>63.567505687794451</v>
      </c>
      <c r="AS555">
        <v>431.80431276936002</v>
      </c>
      <c r="AT555">
        <v>24.622017903039765</v>
      </c>
      <c r="AU555">
        <v>15.356987405940508</v>
      </c>
      <c r="AV555"/>
      <c r="AW555"/>
      <c r="FY555" s="210">
        <v>550</v>
      </c>
      <c r="FZ555">
        <v>24.291913815043266</v>
      </c>
      <c r="GA555">
        <v>61.494935714052403</v>
      </c>
      <c r="GB555">
        <v>41.320118030034543</v>
      </c>
      <c r="GC555">
        <v>12.854331056161806</v>
      </c>
      <c r="GD555">
        <v>7.4242588231615301</v>
      </c>
      <c r="GE555">
        <v>9.5137517584886186</v>
      </c>
      <c r="GF555">
        <v>13.047853396810172</v>
      </c>
      <c r="GG555">
        <v>17.703562272421777</v>
      </c>
      <c r="GH555">
        <v>8.4961223951939484</v>
      </c>
      <c r="GI555">
        <v>39.179724308279887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31.62900090535631</v>
      </c>
      <c r="H556" s="63" t="s">
        <v>103</v>
      </c>
      <c r="I556" s="123">
        <f>SUM(J532:J552)+G531</f>
        <v>-36.902738978016913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53.149028988182678</v>
      </c>
      <c r="AO556">
        <v>57.419729123256786</v>
      </c>
      <c r="AP556">
        <v>401.95550600566537</v>
      </c>
      <c r="AQ556">
        <v>196.35884095398251</v>
      </c>
      <c r="AR556">
        <v>53.717437725134445</v>
      </c>
      <c r="AS556">
        <v>445.61990208749967</v>
      </c>
      <c r="AT556">
        <v>23.77406286544732</v>
      </c>
      <c r="AU556">
        <v>-16.42140089308414</v>
      </c>
      <c r="AV556"/>
      <c r="AW556"/>
      <c r="FY556" s="210">
        <v>551</v>
      </c>
      <c r="FZ556">
        <v>18.514050503357801</v>
      </c>
      <c r="GA556">
        <v>72.524074554412266</v>
      </c>
      <c r="GB556">
        <v>45.624756258060543</v>
      </c>
      <c r="GC556">
        <v>14.0448326839924</v>
      </c>
      <c r="GD556">
        <v>6.9062441019481184</v>
      </c>
      <c r="GE556">
        <v>5.0287306567274621</v>
      </c>
      <c r="GF556">
        <v>8.2461286325089578</v>
      </c>
      <c r="GG556">
        <v>11.051778594426553</v>
      </c>
      <c r="GH556">
        <v>15.482419252063112</v>
      </c>
      <c r="GI556">
        <v>37.422851816002208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56.207429568457869</v>
      </c>
      <c r="AO557">
        <v>78.327446576799588</v>
      </c>
      <c r="AP557">
        <v>606.63888990259079</v>
      </c>
      <c r="AQ557">
        <v>231.44198472537775</v>
      </c>
      <c r="AR557">
        <v>72.265677181395489</v>
      </c>
      <c r="AS557">
        <v>344.742759195784</v>
      </c>
      <c r="AT557">
        <v>29.220632488978804</v>
      </c>
      <c r="AU557">
        <v>4.6995588921158209</v>
      </c>
      <c r="AV557"/>
      <c r="AW557"/>
      <c r="FY557" s="210">
        <v>552</v>
      </c>
      <c r="FZ557">
        <v>23.054410155725563</v>
      </c>
      <c r="GA557">
        <v>49.597338922854391</v>
      </c>
      <c r="GB557">
        <v>31.12119973964538</v>
      </c>
      <c r="GC557">
        <v>10.926714759615555</v>
      </c>
      <c r="GD557">
        <v>8.812293710541157</v>
      </c>
      <c r="GE557">
        <v>12.332537450413907</v>
      </c>
      <c r="GF557">
        <v>11.53749857533237</v>
      </c>
      <c r="GG557">
        <v>14.658922452077022</v>
      </c>
      <c r="GH557">
        <v>11.533989334804703</v>
      </c>
      <c r="GI557">
        <v>33.459973683876129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53.766925021922873</v>
      </c>
      <c r="AO558">
        <v>57.027000071483052</v>
      </c>
      <c r="AP558">
        <v>476.53118857176844</v>
      </c>
      <c r="AQ558">
        <v>207.9075056243519</v>
      </c>
      <c r="AR558">
        <v>54.106628600946635</v>
      </c>
      <c r="AS558">
        <v>319.71115757771457</v>
      </c>
      <c r="AT558">
        <v>22.151007342347317</v>
      </c>
      <c r="AU558">
        <v>100.61305462245582</v>
      </c>
      <c r="AV558"/>
      <c r="AW558"/>
      <c r="FY558" s="210">
        <v>553</v>
      </c>
      <c r="FZ558">
        <v>26.519842387318285</v>
      </c>
      <c r="GA558">
        <v>57.934353609732177</v>
      </c>
      <c r="GB558">
        <v>37.085337984287357</v>
      </c>
      <c r="GC558">
        <v>7.989629012328928</v>
      </c>
      <c r="GD558">
        <v>6.0387332684332975</v>
      </c>
      <c r="GE558">
        <v>9.1948787700923535</v>
      </c>
      <c r="GF558">
        <v>12.384432878800418</v>
      </c>
      <c r="GG558">
        <v>20.052263978238614</v>
      </c>
      <c r="GH558">
        <v>14.156666518752669</v>
      </c>
      <c r="GI558">
        <v>35.895221586241441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-1.1667374220400211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56.003038897570875</v>
      </c>
      <c r="AO559">
        <v>88.900968953985924</v>
      </c>
      <c r="AP559">
        <v>685.26922681567112</v>
      </c>
      <c r="AQ559">
        <v>273.72849831308798</v>
      </c>
      <c r="AR559">
        <v>83.650442630278107</v>
      </c>
      <c r="AS559">
        <v>657.46844115790168</v>
      </c>
      <c r="AT559">
        <v>37.447981694577251</v>
      </c>
      <c r="AU559">
        <v>11.700407527255983</v>
      </c>
      <c r="AV559"/>
      <c r="AW559"/>
      <c r="FY559" s="210">
        <v>554</v>
      </c>
      <c r="FZ559">
        <v>29.514968245592431</v>
      </c>
      <c r="GA559">
        <v>53.16756186077599</v>
      </c>
      <c r="GB559">
        <v>44.830157194835365</v>
      </c>
      <c r="GC559">
        <v>11.576256913683093</v>
      </c>
      <c r="GD559">
        <v>9.7274106568137348</v>
      </c>
      <c r="GE559">
        <v>14.649010246654839</v>
      </c>
      <c r="GF559">
        <v>6.8488295508822183</v>
      </c>
      <c r="GG559">
        <v>14.359548894980511</v>
      </c>
      <c r="GH559">
        <v>16.276523086799607</v>
      </c>
      <c r="GI559">
        <v>38.28765996408687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62.650406096713517</v>
      </c>
      <c r="AO560">
        <v>101.29731455773657</v>
      </c>
      <c r="AP560">
        <v>707.25506737873343</v>
      </c>
      <c r="AQ560">
        <v>255.47290393184798</v>
      </c>
      <c r="AR560">
        <v>93.154819534441884</v>
      </c>
      <c r="AS560">
        <v>419.21511221684767</v>
      </c>
      <c r="AT560">
        <v>35.948419977956377</v>
      </c>
      <c r="AU560">
        <v>76.009736884562443</v>
      </c>
      <c r="AV560"/>
      <c r="AW560"/>
      <c r="FY560" s="210">
        <v>555</v>
      </c>
      <c r="FZ560">
        <v>19.874704306452827</v>
      </c>
      <c r="GA560">
        <v>50.262448866004263</v>
      </c>
      <c r="GB560">
        <v>29.69879313047614</v>
      </c>
      <c r="GC560">
        <v>10.949056682218616</v>
      </c>
      <c r="GD560">
        <v>6.693355818169314</v>
      </c>
      <c r="GE560">
        <v>8.0001253031216013</v>
      </c>
      <c r="GF560">
        <v>10.772303675228365</v>
      </c>
      <c r="GG560">
        <v>19.238701546780241</v>
      </c>
      <c r="GH560">
        <v>20.831560160720787</v>
      </c>
      <c r="GI560">
        <v>30.631172372299137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58.882964352629202</v>
      </c>
      <c r="AO561">
        <v>60.49197039640876</v>
      </c>
      <c r="AP561">
        <v>433.59867727456049</v>
      </c>
      <c r="AQ561">
        <v>206.82122799394645</v>
      </c>
      <c r="AR561">
        <v>56.676192230881909</v>
      </c>
      <c r="AS561">
        <v>348.68782768546481</v>
      </c>
      <c r="AT561">
        <v>25.182446515321544</v>
      </c>
      <c r="AU561">
        <v>-4.8999220872649847</v>
      </c>
      <c r="AV561"/>
      <c r="AW561"/>
      <c r="FY561" s="210">
        <v>556</v>
      </c>
      <c r="FZ561">
        <v>27.084380824682363</v>
      </c>
      <c r="GA561">
        <v>53.729932626397371</v>
      </c>
      <c r="GB561">
        <v>31.748736137146828</v>
      </c>
      <c r="GC561">
        <v>14.980900081363831</v>
      </c>
      <c r="GD561">
        <v>7.0476477102637958</v>
      </c>
      <c r="GE561">
        <v>4.3221159875335635</v>
      </c>
      <c r="GF561">
        <v>8.5935262721049597</v>
      </c>
      <c r="GG561">
        <v>16.69894667389902</v>
      </c>
      <c r="GH561">
        <v>26.924236710720052</v>
      </c>
      <c r="GI561">
        <v>35.199319961759777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59.733769308057717</v>
      </c>
      <c r="AO562">
        <v>66.365868236027595</v>
      </c>
      <c r="AP562">
        <v>516.96431859807171</v>
      </c>
      <c r="AQ562">
        <v>238.07335314993765</v>
      </c>
      <c r="AR562">
        <v>64.396452735007429</v>
      </c>
      <c r="AS562">
        <v>324.17055807710722</v>
      </c>
      <c r="AT562">
        <v>24.746249947019738</v>
      </c>
      <c r="AU562">
        <v>33.486581517873532</v>
      </c>
      <c r="AV562"/>
      <c r="AW562"/>
      <c r="FY562" s="210">
        <v>557</v>
      </c>
      <c r="FZ562">
        <v>18.72656662927708</v>
      </c>
      <c r="GA562">
        <v>38.612646227552368</v>
      </c>
      <c r="GB562">
        <v>31.650783790722937</v>
      </c>
      <c r="GC562">
        <v>11.723377625615338</v>
      </c>
      <c r="GD562">
        <v>7.8228817409480369</v>
      </c>
      <c r="GE562">
        <v>7.1808384534234131</v>
      </c>
      <c r="GF562">
        <v>10.324720059003335</v>
      </c>
      <c r="GG562">
        <v>19.020263336698672</v>
      </c>
      <c r="GH562">
        <v>17.501550272448174</v>
      </c>
      <c r="GI562">
        <v>31.682105982766672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62.372179153615619</v>
      </c>
      <c r="AO563">
        <v>92.582135296359439</v>
      </c>
      <c r="AP563">
        <v>661.90134831741625</v>
      </c>
      <c r="AQ563">
        <v>250.49889477248976</v>
      </c>
      <c r="AR563">
        <v>86.181808964241952</v>
      </c>
      <c r="AS563">
        <v>531.69402811200075</v>
      </c>
      <c r="AT563">
        <v>33.619271454092498</v>
      </c>
      <c r="AU563">
        <v>-2.7958403727681169</v>
      </c>
      <c r="AV563"/>
      <c r="AW563"/>
      <c r="FY563" s="210">
        <v>558</v>
      </c>
      <c r="FZ563">
        <v>24.245229071116036</v>
      </c>
      <c r="GA563">
        <v>45.588693681099357</v>
      </c>
      <c r="GB563">
        <v>22.16439984513659</v>
      </c>
      <c r="GC563">
        <v>6.968430154126696</v>
      </c>
      <c r="GD563">
        <v>3.5036916357132366</v>
      </c>
      <c r="GE563">
        <v>2.6536468411752088</v>
      </c>
      <c r="GF563">
        <v>8.2059279380878074</v>
      </c>
      <c r="GG563">
        <v>14.794908892608134</v>
      </c>
      <c r="GH563">
        <v>16.442303239516139</v>
      </c>
      <c r="GI563">
        <v>22.598427841537443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41.135971890862635</v>
      </c>
      <c r="AO564">
        <v>46.324528503436724</v>
      </c>
      <c r="AP564">
        <v>332.90524695838735</v>
      </c>
      <c r="AQ564">
        <v>142.32685044744309</v>
      </c>
      <c r="AR564">
        <v>43.109153745858421</v>
      </c>
      <c r="AS564">
        <v>231.76309460210956</v>
      </c>
      <c r="AT564">
        <v>16.768596962755826</v>
      </c>
      <c r="AU564">
        <v>-14.608322863064636</v>
      </c>
      <c r="AV564"/>
      <c r="AW564"/>
      <c r="FY564" s="210">
        <v>559</v>
      </c>
      <c r="FZ564">
        <v>15.960667558929551</v>
      </c>
      <c r="GA564">
        <v>51.609704559578304</v>
      </c>
      <c r="GB564">
        <v>32.683080913969484</v>
      </c>
      <c r="GC564">
        <v>9.9356121856336639</v>
      </c>
      <c r="GD564">
        <v>6.1008959155620905</v>
      </c>
      <c r="GE564">
        <v>7.9797734542861809</v>
      </c>
      <c r="GF564">
        <v>9.3420863894607606</v>
      </c>
      <c r="GG564">
        <v>12.822528515994803</v>
      </c>
      <c r="GH564">
        <v>5.7081652196765242</v>
      </c>
      <c r="GI564">
        <v>27.549535244201689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50.949880320555721</v>
      </c>
      <c r="AO565">
        <v>69.666461801363965</v>
      </c>
      <c r="AP565">
        <v>518.23795864822512</v>
      </c>
      <c r="AQ565">
        <v>213.98121265073604</v>
      </c>
      <c r="AR565">
        <v>64.215055862984428</v>
      </c>
      <c r="AS565">
        <v>301.36420565939517</v>
      </c>
      <c r="AT565">
        <v>26.279573926807853</v>
      </c>
      <c r="AU565">
        <v>-46.976501522442724</v>
      </c>
      <c r="AV565"/>
      <c r="AW565"/>
      <c r="FY565" s="210">
        <v>560</v>
      </c>
      <c r="FZ565">
        <v>33.957668046963583</v>
      </c>
      <c r="GA565">
        <v>52.67004658370049</v>
      </c>
      <c r="GB565">
        <v>29.274532676727077</v>
      </c>
      <c r="GC565">
        <v>8.007331443034996</v>
      </c>
      <c r="GD565">
        <v>5.4045846387950833</v>
      </c>
      <c r="GE565">
        <v>7.6296123403270952</v>
      </c>
      <c r="GF565">
        <v>15.108626406105945</v>
      </c>
      <c r="GG565">
        <v>29.286942845468165</v>
      </c>
      <c r="GH565">
        <v>23.293405698317571</v>
      </c>
      <c r="GI565">
        <v>34.392861851566593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53.235824281345387</v>
      </c>
      <c r="AO566">
        <v>85.373546929860609</v>
      </c>
      <c r="AP566">
        <v>598.87066011341244</v>
      </c>
      <c r="AQ566">
        <v>235.32657156964791</v>
      </c>
      <c r="AR566">
        <v>78.553293116902267</v>
      </c>
      <c r="AS566">
        <v>491.96026407675561</v>
      </c>
      <c r="AT566">
        <v>32.250154073572077</v>
      </c>
      <c r="AU566">
        <v>23.62068146876123</v>
      </c>
      <c r="AV566"/>
      <c r="AW566"/>
      <c r="FY566" s="210">
        <v>561</v>
      </c>
      <c r="FZ566">
        <v>22.803759867799045</v>
      </c>
      <c r="GA566">
        <v>55.561730537502761</v>
      </c>
      <c r="GB566">
        <v>30.582061243554811</v>
      </c>
      <c r="GC566">
        <v>12.188638838881573</v>
      </c>
      <c r="GD566">
        <v>7.2007391630460527</v>
      </c>
      <c r="GE566">
        <v>5.5631477225401937</v>
      </c>
      <c r="GF566">
        <v>5.2578935263546054</v>
      </c>
      <c r="GG566">
        <v>9.9986770843199064</v>
      </c>
      <c r="GH566">
        <v>12.007267271422522</v>
      </c>
      <c r="GI566">
        <v>30.650743391671366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52.458989870525066</v>
      </c>
      <c r="AO567">
        <v>83.622289629734567</v>
      </c>
      <c r="AP567">
        <v>632.24681904074919</v>
      </c>
      <c r="AQ567">
        <v>234.84586705349946</v>
      </c>
      <c r="AR567">
        <v>78.277921245472726</v>
      </c>
      <c r="AS567">
        <v>407.94288162476869</v>
      </c>
      <c r="AT567">
        <v>32.369075398092157</v>
      </c>
      <c r="AU567">
        <v>-45.083698564808124</v>
      </c>
      <c r="AV567"/>
      <c r="AW567"/>
      <c r="FY567" s="210">
        <v>562</v>
      </c>
      <c r="FZ567">
        <v>20.692091182367424</v>
      </c>
      <c r="GA567">
        <v>34.278357934471487</v>
      </c>
      <c r="GB567">
        <v>16.291793246781314</v>
      </c>
      <c r="GC567">
        <v>9.8991632189984529</v>
      </c>
      <c r="GD567">
        <v>6.7589107601080496</v>
      </c>
      <c r="GE567">
        <v>5.7213715858187051</v>
      </c>
      <c r="GF567">
        <v>9.539416572375119</v>
      </c>
      <c r="GG567">
        <v>15.724716898912826</v>
      </c>
      <c r="GH567">
        <v>15.228735906234837</v>
      </c>
      <c r="GI567">
        <v>26.074682323991539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59.843212655847239</v>
      </c>
      <c r="AO568">
        <v>68.57175326861848</v>
      </c>
      <c r="AP568">
        <v>477.48594876492211</v>
      </c>
      <c r="AQ568">
        <v>207.03487878488619</v>
      </c>
      <c r="AR568">
        <v>65.461587290392998</v>
      </c>
      <c r="AS568">
        <v>348.81021577264875</v>
      </c>
      <c r="AT568">
        <v>26.807288173014189</v>
      </c>
      <c r="AU568">
        <v>44.253738817227998</v>
      </c>
      <c r="AV568"/>
      <c r="AW568"/>
      <c r="FY568" s="210">
        <v>563</v>
      </c>
      <c r="FZ568">
        <v>24.269256845444254</v>
      </c>
      <c r="GA568">
        <v>72.048050788488894</v>
      </c>
      <c r="GB568">
        <v>30.52804150226352</v>
      </c>
      <c r="GC568">
        <v>10.260347089955257</v>
      </c>
      <c r="GD568">
        <v>7.9579296277785474</v>
      </c>
      <c r="GE568">
        <v>10.834860805609519</v>
      </c>
      <c r="GF568">
        <v>12.215208991472606</v>
      </c>
      <c r="GG568">
        <v>31.124968119360236</v>
      </c>
      <c r="GH568">
        <v>44.464792957577252</v>
      </c>
      <c r="GI568">
        <v>37.021124597360753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55.974470229071173</v>
      </c>
      <c r="AO569">
        <v>75.026204001924725</v>
      </c>
      <c r="AP569">
        <v>544.77959678158822</v>
      </c>
      <c r="AQ569">
        <v>227.25135999422554</v>
      </c>
      <c r="AR569">
        <v>70.090004302783726</v>
      </c>
      <c r="AS569">
        <v>463.50582326070338</v>
      </c>
      <c r="AT569">
        <v>30.06021148491088</v>
      </c>
      <c r="AU569">
        <v>29.087925833674596</v>
      </c>
      <c r="AV569"/>
      <c r="AW569"/>
      <c r="FY569" s="210">
        <v>564</v>
      </c>
      <c r="FZ569">
        <v>29.614509368574254</v>
      </c>
      <c r="GA569">
        <v>58.564648648606315</v>
      </c>
      <c r="GB569">
        <v>39.219264795446172</v>
      </c>
      <c r="GC569">
        <v>8.1444052942414711</v>
      </c>
      <c r="GD569">
        <v>5.7429111302993299</v>
      </c>
      <c r="GE569">
        <v>9.9464089426984259</v>
      </c>
      <c r="GF569">
        <v>8.5288798800191916</v>
      </c>
      <c r="GG569">
        <v>12.765571747318871</v>
      </c>
      <c r="GH569">
        <v>21.736575093042763</v>
      </c>
      <c r="GI569">
        <v>35.499763833476322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62.67045756427683</v>
      </c>
      <c r="AO570">
        <v>81.771439971568455</v>
      </c>
      <c r="AP570">
        <v>591.78773823664892</v>
      </c>
      <c r="AQ570">
        <v>239.2379266151047</v>
      </c>
      <c r="AR570">
        <v>77.571846186324308</v>
      </c>
      <c r="AS570">
        <v>493.56760306370415</v>
      </c>
      <c r="AT570">
        <v>29.177704501473936</v>
      </c>
      <c r="AU570">
        <v>-19.333529167735332</v>
      </c>
      <c r="AV570"/>
      <c r="AW570"/>
      <c r="FY570" s="210">
        <v>565</v>
      </c>
      <c r="FZ570">
        <v>23.656040671186883</v>
      </c>
      <c r="GA570">
        <v>52.809833126687835</v>
      </c>
      <c r="GB570">
        <v>46.158378878464156</v>
      </c>
      <c r="GC570">
        <v>12.799812463258075</v>
      </c>
      <c r="GD570">
        <v>7.8388797478697327</v>
      </c>
      <c r="GE570">
        <v>9.0992582785918152</v>
      </c>
      <c r="GF570">
        <v>7.2916397906620993</v>
      </c>
      <c r="GG570">
        <v>11.012414988349589</v>
      </c>
      <c r="GH570">
        <v>16.040184883323352</v>
      </c>
      <c r="GI570">
        <v>35.493562636520238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59.561553915054958</v>
      </c>
      <c r="AO571">
        <v>65.093009277665615</v>
      </c>
      <c r="AP571">
        <v>498.61516088178206</v>
      </c>
      <c r="AQ571">
        <v>206.95222186147129</v>
      </c>
      <c r="AR571">
        <v>60.783832880391671</v>
      </c>
      <c r="AS571">
        <v>335.98811658592513</v>
      </c>
      <c r="AT571">
        <v>25.258389938603937</v>
      </c>
      <c r="AU571">
        <v>67.998301118309485</v>
      </c>
      <c r="AV571"/>
      <c r="AW571"/>
      <c r="FY571" s="210">
        <v>566</v>
      </c>
      <c r="FZ571">
        <v>29.659338455554341</v>
      </c>
      <c r="GA571">
        <v>43.307928445634822</v>
      </c>
      <c r="GB571">
        <v>29.913691114345379</v>
      </c>
      <c r="GC571">
        <v>11.049047548829193</v>
      </c>
      <c r="GD571">
        <v>6.2788677451052894</v>
      </c>
      <c r="GE571">
        <v>7.3193938081849401</v>
      </c>
      <c r="GF571">
        <v>11.048372082150671</v>
      </c>
      <c r="GG571">
        <v>15.596951060012527</v>
      </c>
      <c r="GH571">
        <v>15.664843885588388</v>
      </c>
      <c r="GI571">
        <v>33.890608986329845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51.310420020771538</v>
      </c>
      <c r="AO572">
        <v>73.837320278815525</v>
      </c>
      <c r="AP572">
        <v>523.31071361217141</v>
      </c>
      <c r="AQ572">
        <v>226.32974298587158</v>
      </c>
      <c r="AR572">
        <v>69.175024471462521</v>
      </c>
      <c r="AS572">
        <v>322.29358521282046</v>
      </c>
      <c r="AT572">
        <v>29.124327271479043</v>
      </c>
      <c r="AU572">
        <v>-42.48066924690449</v>
      </c>
      <c r="AV572"/>
      <c r="AW572"/>
      <c r="FY572" s="210">
        <v>567</v>
      </c>
      <c r="FZ572">
        <v>23.967435042093747</v>
      </c>
      <c r="GA572">
        <v>38.911435838697557</v>
      </c>
      <c r="GB572">
        <v>17.74154143882885</v>
      </c>
      <c r="GC572">
        <v>7.8559716704295166</v>
      </c>
      <c r="GD572">
        <v>3.4692195929982224</v>
      </c>
      <c r="GE572">
        <v>2.5193953236979816</v>
      </c>
      <c r="GF572">
        <v>4.5858023302283204</v>
      </c>
      <c r="GG572">
        <v>7.5275451096796173</v>
      </c>
      <c r="GH572">
        <v>8.1076144825192724</v>
      </c>
      <c r="GI572">
        <v>19.475237228367607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62.183683986005761</v>
      </c>
      <c r="AO573">
        <v>65.630737465434407</v>
      </c>
      <c r="AP573">
        <v>462.561284167895</v>
      </c>
      <c r="AQ573">
        <v>194.24573411845606</v>
      </c>
      <c r="AR573">
        <v>60.862710781618965</v>
      </c>
      <c r="AS573">
        <v>335.42468616610984</v>
      </c>
      <c r="AT573">
        <v>23.963601675905789</v>
      </c>
      <c r="AU573">
        <v>-7.2463199489278303</v>
      </c>
      <c r="AV573"/>
      <c r="AW573"/>
      <c r="FY573" s="210">
        <v>568</v>
      </c>
      <c r="FZ573">
        <v>16.05036181198108</v>
      </c>
      <c r="GA573">
        <v>43.731424162945103</v>
      </c>
      <c r="GB573">
        <v>42.918091999288393</v>
      </c>
      <c r="GC573">
        <v>14.21619114627994</v>
      </c>
      <c r="GD573">
        <v>5.15313456301946</v>
      </c>
      <c r="GE573">
        <v>2.8981745215956964</v>
      </c>
      <c r="GF573">
        <v>10.067515497161555</v>
      </c>
      <c r="GG573">
        <v>24.8568144467534</v>
      </c>
      <c r="GH573">
        <v>29.425804406725117</v>
      </c>
      <c r="GI573">
        <v>36.342292604660074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34.684747853177967</v>
      </c>
      <c r="AO574">
        <v>46.337182268125218</v>
      </c>
      <c r="AP574">
        <v>379.87801811534013</v>
      </c>
      <c r="AQ574">
        <v>167.16565914011665</v>
      </c>
      <c r="AR574">
        <v>44.749867542969739</v>
      </c>
      <c r="AS574">
        <v>257.35062383996882</v>
      </c>
      <c r="AT574">
        <v>19.165762540974335</v>
      </c>
      <c r="AU574">
        <v>-4.2063211078701492</v>
      </c>
      <c r="AV574"/>
      <c r="AW574"/>
      <c r="FY574" s="210">
        <v>569</v>
      </c>
      <c r="FZ574">
        <v>35.243363346857294</v>
      </c>
      <c r="GA574">
        <v>63.422037234161891</v>
      </c>
      <c r="GB574">
        <v>42.184164823178349</v>
      </c>
      <c r="GC574">
        <v>12.919501968605697</v>
      </c>
      <c r="GD574">
        <v>6.6160384295526438</v>
      </c>
      <c r="GE574">
        <v>6.9246506685455813</v>
      </c>
      <c r="GF574">
        <v>10.277925475063228</v>
      </c>
      <c r="GG574">
        <v>15.645851520092265</v>
      </c>
      <c r="GH574">
        <v>9.1144951716745304</v>
      </c>
      <c r="GI574">
        <v>38.691246532183825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55.636754960233155</v>
      </c>
      <c r="AO575">
        <v>57.339113581173784</v>
      </c>
      <c r="AP575">
        <v>426.27700438214629</v>
      </c>
      <c r="AQ575">
        <v>179.69204995729305</v>
      </c>
      <c r="AR575">
        <v>53.954463276582224</v>
      </c>
      <c r="AS575">
        <v>388.85326354181262</v>
      </c>
      <c r="AT575">
        <v>21.34620604500229</v>
      </c>
      <c r="AU575">
        <v>17.92591767486843</v>
      </c>
      <c r="AV575"/>
      <c r="AW575"/>
      <c r="FY575" s="210">
        <v>570</v>
      </c>
      <c r="FZ575">
        <v>25.623351194965686</v>
      </c>
      <c r="GA575">
        <v>60.611592740760692</v>
      </c>
      <c r="GB575">
        <v>26.259277593161297</v>
      </c>
      <c r="GC575">
        <v>7.5096856296285086</v>
      </c>
      <c r="GD575">
        <v>5.8012472905928147</v>
      </c>
      <c r="GE575">
        <v>8.0342951173304158</v>
      </c>
      <c r="GF575">
        <v>11.913348818281365</v>
      </c>
      <c r="GG575">
        <v>20.296936491125322</v>
      </c>
      <c r="GH575">
        <v>16.677846264365304</v>
      </c>
      <c r="GI575">
        <v>29.781832718882868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62.664315415104589</v>
      </c>
      <c r="AO576">
        <v>72.016187530014236</v>
      </c>
      <c r="AP576">
        <v>585.05775653884086</v>
      </c>
      <c r="AQ576">
        <v>239.02561253100657</v>
      </c>
      <c r="AR576">
        <v>68.974358081558904</v>
      </c>
      <c r="AS576">
        <v>470.05370803999068</v>
      </c>
      <c r="AT576">
        <v>29.135553642525977</v>
      </c>
      <c r="AU576">
        <v>36.59438110593252</v>
      </c>
      <c r="AV576"/>
      <c r="AW576"/>
      <c r="FY576" s="210">
        <v>571</v>
      </c>
      <c r="FZ576">
        <v>22.081952188844067</v>
      </c>
      <c r="GA576">
        <v>39.756372617464038</v>
      </c>
      <c r="GB576">
        <v>34.233613432830523</v>
      </c>
      <c r="GC576">
        <v>10.757758484395822</v>
      </c>
      <c r="GD576">
        <v>6.6064854854020787</v>
      </c>
      <c r="GE576">
        <v>10.486829737409597</v>
      </c>
      <c r="GF576">
        <v>13.633561557161727</v>
      </c>
      <c r="GG576">
        <v>15.601896081906064</v>
      </c>
      <c r="GH576">
        <v>9.593755781322491</v>
      </c>
      <c r="GI576">
        <v>31.020299041495811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57.490208861438319</v>
      </c>
      <c r="AO577">
        <v>63.971176389718792</v>
      </c>
      <c r="AP577">
        <v>431.13127957983113</v>
      </c>
      <c r="AQ577">
        <v>191.81465864709284</v>
      </c>
      <c r="AR577">
        <v>60.127572388085667</v>
      </c>
      <c r="AS577">
        <v>336.0994798946486</v>
      </c>
      <c r="AT577">
        <v>21.851177575889068</v>
      </c>
      <c r="AU577">
        <v>14.855805882523349</v>
      </c>
      <c r="AV577"/>
      <c r="AW577"/>
      <c r="FY577" s="210">
        <v>572</v>
      </c>
      <c r="FZ577">
        <v>23.971060648699797</v>
      </c>
      <c r="GA577">
        <v>31.793819680281864</v>
      </c>
      <c r="GB577">
        <v>17.252314336558833</v>
      </c>
      <c r="GC577">
        <v>9.7626029859341319</v>
      </c>
      <c r="GD577">
        <v>8.6333363616101053</v>
      </c>
      <c r="GE577">
        <v>10.559301037194704</v>
      </c>
      <c r="GF577">
        <v>7.2348981454617913</v>
      </c>
      <c r="GG577">
        <v>8.5047787059881035</v>
      </c>
      <c r="GH577">
        <v>6.2170834881156232</v>
      </c>
      <c r="GI577">
        <v>22.570211842548837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46.251126518843847</v>
      </c>
      <c r="AO578">
        <v>52.03377332983581</v>
      </c>
      <c r="AP578">
        <v>326.06597572331196</v>
      </c>
      <c r="AQ578">
        <v>160.20923963005976</v>
      </c>
      <c r="AR578">
        <v>48.660347298972667</v>
      </c>
      <c r="AS578">
        <v>403.52045110958267</v>
      </c>
      <c r="AT578">
        <v>20.048289968239626</v>
      </c>
      <c r="AU578">
        <v>4.0643977774551043</v>
      </c>
      <c r="AV578"/>
      <c r="AW578"/>
      <c r="FY578" s="210">
        <v>573</v>
      </c>
      <c r="FZ578">
        <v>25.346495777181417</v>
      </c>
      <c r="GA578">
        <v>45.806902714101263</v>
      </c>
      <c r="GB578">
        <v>47.333926249256514</v>
      </c>
      <c r="GC578">
        <v>14.685246082917597</v>
      </c>
      <c r="GD578">
        <v>6.7545320359321988</v>
      </c>
      <c r="GE578">
        <v>7.4726108911108797</v>
      </c>
      <c r="GF578">
        <v>8.5582378360416698</v>
      </c>
      <c r="GG578">
        <v>11.941193948356322</v>
      </c>
      <c r="GH578">
        <v>7.8146174835648097</v>
      </c>
      <c r="GI578">
        <v>37.439295350583883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70.218842661089667</v>
      </c>
      <c r="AO579">
        <v>75.788100113986303</v>
      </c>
      <c r="AP579">
        <v>627.98927485526849</v>
      </c>
      <c r="AQ579">
        <v>280.72458132531085</v>
      </c>
      <c r="AR579">
        <v>70.291608850174796</v>
      </c>
      <c r="AS579">
        <v>435.15330661785748</v>
      </c>
      <c r="AT579">
        <v>33.677411898193093</v>
      </c>
      <c r="AU579">
        <v>-44.578325302523311</v>
      </c>
      <c r="AV579"/>
      <c r="AW579"/>
      <c r="FY579" s="210">
        <v>574</v>
      </c>
      <c r="FZ579">
        <v>22.860319493783265</v>
      </c>
      <c r="GA579">
        <v>58.781463527749871</v>
      </c>
      <c r="GB579">
        <v>25.190626654477036</v>
      </c>
      <c r="GC579">
        <v>11.333749789195718</v>
      </c>
      <c r="GD579">
        <v>7.8784584199770809</v>
      </c>
      <c r="GE579">
        <v>8.18976388379863</v>
      </c>
      <c r="GF579">
        <v>8.0600157795933178</v>
      </c>
      <c r="GG579">
        <v>12.077069653816661</v>
      </c>
      <c r="GH579">
        <v>14.128014236224166</v>
      </c>
      <c r="GI579">
        <v>30.03608413516168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58.321680407340999</v>
      </c>
      <c r="AO580">
        <v>74.870031772266003</v>
      </c>
      <c r="AP580">
        <v>554.36317114585927</v>
      </c>
      <c r="AQ580">
        <v>229.76293873372308</v>
      </c>
      <c r="AR580">
        <v>70.919126996164039</v>
      </c>
      <c r="AS580">
        <v>327.75336725976803</v>
      </c>
      <c r="AT580">
        <v>28.925597448756609</v>
      </c>
      <c r="AU580">
        <v>114.18584141511938</v>
      </c>
      <c r="AV580"/>
      <c r="AW580"/>
      <c r="FY580" s="210">
        <v>575</v>
      </c>
      <c r="FZ580">
        <v>17.585472882869968</v>
      </c>
      <c r="GA580">
        <v>36.543167585807979</v>
      </c>
      <c r="GB580">
        <v>28.733799498249805</v>
      </c>
      <c r="GC580">
        <v>8.1163702742432058</v>
      </c>
      <c r="GD580">
        <v>3.0218311410507317</v>
      </c>
      <c r="GE580">
        <v>5.5486241567087227</v>
      </c>
      <c r="GF580">
        <v>8.6654350417134154</v>
      </c>
      <c r="GG580">
        <v>12.198609368036603</v>
      </c>
      <c r="GH580">
        <v>15.813020670484848</v>
      </c>
      <c r="GI580">
        <v>23.918839250307446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64.874238368816577</v>
      </c>
      <c r="AO581">
        <v>74.163571118987605</v>
      </c>
      <c r="AP581">
        <v>542.28603054738392</v>
      </c>
      <c r="AQ581">
        <v>222.20000546491372</v>
      </c>
      <c r="AR581">
        <v>69.867192182555485</v>
      </c>
      <c r="AS581">
        <v>526.74726156271686</v>
      </c>
      <c r="AT581">
        <v>26.318921571683845</v>
      </c>
      <c r="AU581">
        <v>4.842637237160841</v>
      </c>
      <c r="AV581"/>
      <c r="AW581"/>
      <c r="FY581" s="210">
        <v>576</v>
      </c>
      <c r="FZ581">
        <v>27.814725232784568</v>
      </c>
      <c r="GA581">
        <v>55.503073226899055</v>
      </c>
      <c r="GB581">
        <v>37.00809264947344</v>
      </c>
      <c r="GC581">
        <v>10.848834167250041</v>
      </c>
      <c r="GD581">
        <v>5.0251213600080709</v>
      </c>
      <c r="GE581">
        <v>4.8445100464179163</v>
      </c>
      <c r="GF581">
        <v>14.111082350958325</v>
      </c>
      <c r="GG581">
        <v>22.230294063134195</v>
      </c>
      <c r="GH581">
        <v>10.792654784052534</v>
      </c>
      <c r="GI581">
        <v>33.205863017907468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53.681946897596958</v>
      </c>
      <c r="AO582">
        <v>69.81566621678563</v>
      </c>
      <c r="AP582">
        <v>459.25297878490437</v>
      </c>
      <c r="AQ582">
        <v>203.72904313173541</v>
      </c>
      <c r="AR582">
        <v>65.686425550801673</v>
      </c>
      <c r="AS582">
        <v>378.9201484507031</v>
      </c>
      <c r="AT582">
        <v>25.295638298884811</v>
      </c>
      <c r="AU582">
        <v>0.45536308611374032</v>
      </c>
      <c r="AV582"/>
      <c r="AW582"/>
      <c r="FY582" s="210">
        <v>577</v>
      </c>
      <c r="FZ582">
        <v>21.459826059278029</v>
      </c>
      <c r="GA582">
        <v>39.787887947130805</v>
      </c>
      <c r="GB582">
        <v>40.538603265624587</v>
      </c>
      <c r="GC582">
        <v>12.418664720757572</v>
      </c>
      <c r="GD582">
        <v>5.386667640748608</v>
      </c>
      <c r="GE582">
        <v>3.9070878290375823</v>
      </c>
      <c r="GF582">
        <v>9.9325788642963264</v>
      </c>
      <c r="GG582">
        <v>14.141433614177419</v>
      </c>
      <c r="GH582">
        <v>6.4958048737826095</v>
      </c>
      <c r="GI582">
        <v>32.559524639140925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40.196955969872121</v>
      </c>
      <c r="AO583">
        <v>41.578937072108253</v>
      </c>
      <c r="AP583">
        <v>302.52065055898072</v>
      </c>
      <c r="AQ583">
        <v>134.1611980575407</v>
      </c>
      <c r="AR583">
        <v>38.927883784413268</v>
      </c>
      <c r="AS583">
        <v>257.9053283006549</v>
      </c>
      <c r="AT583">
        <v>15.772583353979904</v>
      </c>
      <c r="AU583">
        <v>20.478614225812084</v>
      </c>
      <c r="AV583"/>
      <c r="AW583"/>
      <c r="FY583" s="210">
        <v>578</v>
      </c>
      <c r="FZ583">
        <v>18.931350251922908</v>
      </c>
      <c r="GA583">
        <v>65.382628499269103</v>
      </c>
      <c r="GB583">
        <v>50.538691716860626</v>
      </c>
      <c r="GC583">
        <v>13.063442225792205</v>
      </c>
      <c r="GD583">
        <v>5.007564966338844</v>
      </c>
      <c r="GE583">
        <v>4.3030181366216036</v>
      </c>
      <c r="GF583">
        <v>9.620409917634051</v>
      </c>
      <c r="GG583">
        <v>16.163755097742225</v>
      </c>
      <c r="GH583">
        <v>17.494429426340382</v>
      </c>
      <c r="GI583">
        <v>35.40306461671662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59.204022359347263</v>
      </c>
      <c r="AO584">
        <v>77.701522711237004</v>
      </c>
      <c r="AP584">
        <v>577.9850383987847</v>
      </c>
      <c r="AQ584">
        <v>225.6598051604098</v>
      </c>
      <c r="AR584">
        <v>71.625406348144068</v>
      </c>
      <c r="AS584">
        <v>406.06694214544325</v>
      </c>
      <c r="AT584">
        <v>28.724052408099254</v>
      </c>
      <c r="AU584">
        <v>-49.152331890990645</v>
      </c>
      <c r="AV584"/>
      <c r="AW584"/>
      <c r="FY584" s="210">
        <v>579</v>
      </c>
      <c r="FZ584">
        <v>28.164445859474075</v>
      </c>
      <c r="GA584">
        <v>57.278988949307745</v>
      </c>
      <c r="GB584">
        <v>32.512870723623692</v>
      </c>
      <c r="GC584">
        <v>11.742161899279338</v>
      </c>
      <c r="GD584">
        <v>6.4694119977363673</v>
      </c>
      <c r="GE584">
        <v>5.438261785652343</v>
      </c>
      <c r="GF584">
        <v>11.931660298258326</v>
      </c>
      <c r="GG584">
        <v>22.356901281433483</v>
      </c>
      <c r="GH584">
        <v>23.105517720245075</v>
      </c>
      <c r="GI584">
        <v>36.439073199886693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74.745207299986461</v>
      </c>
      <c r="AO585">
        <v>81.959389787432002</v>
      </c>
      <c r="AP585">
        <v>579.00068435178764</v>
      </c>
      <c r="AQ585">
        <v>241.0392751699153</v>
      </c>
      <c r="AR585">
        <v>76.565871459743192</v>
      </c>
      <c r="AS585">
        <v>507.39222671609201</v>
      </c>
      <c r="AT585">
        <v>28.881548422142924</v>
      </c>
      <c r="AU585">
        <v>-3.6951644896971727</v>
      </c>
      <c r="AV585"/>
      <c r="AW585"/>
      <c r="FY585" s="210">
        <v>580</v>
      </c>
      <c r="FZ585">
        <v>26.458209285352702</v>
      </c>
      <c r="GA585">
        <v>97.658615884668279</v>
      </c>
      <c r="GB585">
        <v>59.667272428106088</v>
      </c>
      <c r="GC585">
        <v>11.79821428009646</v>
      </c>
      <c r="GD585">
        <v>4.9833430664576017</v>
      </c>
      <c r="GE585">
        <v>6.3977869868287804</v>
      </c>
      <c r="GF585">
        <v>7.3842092248315154</v>
      </c>
      <c r="GG585">
        <v>17.466386641998113</v>
      </c>
      <c r="GH585">
        <v>24.957765004406195</v>
      </c>
      <c r="GI585">
        <v>39.925109372073649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49.686641523366553</v>
      </c>
      <c r="AO586">
        <v>63.444517908918627</v>
      </c>
      <c r="AP586">
        <v>497.45439178054363</v>
      </c>
      <c r="AQ586">
        <v>212.50941385909431</v>
      </c>
      <c r="AR586">
        <v>59.289766225853612</v>
      </c>
      <c r="AS586">
        <v>341.46856644368296</v>
      </c>
      <c r="AT586">
        <v>24.617635649680921</v>
      </c>
      <c r="AU586">
        <v>10.601792761154776</v>
      </c>
      <c r="AV586"/>
      <c r="AW586"/>
      <c r="FY586" s="210">
        <v>581</v>
      </c>
      <c r="FZ586">
        <v>15.274622476708899</v>
      </c>
      <c r="GA586">
        <v>37.598377784861725</v>
      </c>
      <c r="GB586">
        <v>59.314768107402166</v>
      </c>
      <c r="GC586">
        <v>19.038560772846125</v>
      </c>
      <c r="GD586">
        <v>7.7970010015491962</v>
      </c>
      <c r="GE586">
        <v>8.5682583654046276</v>
      </c>
      <c r="GF586">
        <v>10.463537645637507</v>
      </c>
      <c r="GG586">
        <v>15.927682629909464</v>
      </c>
      <c r="GH586">
        <v>17.158556741408308</v>
      </c>
      <c r="GI586">
        <v>48.529713137606549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62.830370436246916</v>
      </c>
      <c r="AO587">
        <v>63.849417857037359</v>
      </c>
      <c r="AP587">
        <v>472.12162749816565</v>
      </c>
      <c r="AQ587">
        <v>193.77252440823221</v>
      </c>
      <c r="AR587">
        <v>60.456924778566432</v>
      </c>
      <c r="AS587">
        <v>319.5337617528071</v>
      </c>
      <c r="AT587">
        <v>24.696501087681529</v>
      </c>
      <c r="AU587">
        <v>-1.8951834711686004</v>
      </c>
      <c r="AV587"/>
      <c r="AW587"/>
      <c r="FY587" s="210">
        <v>582</v>
      </c>
      <c r="FZ587">
        <v>28.786760966781301</v>
      </c>
      <c r="GA587">
        <v>74.761399128966232</v>
      </c>
      <c r="GB587">
        <v>53.811232378384929</v>
      </c>
      <c r="GC587">
        <v>15.193574159672918</v>
      </c>
      <c r="GD587">
        <v>6.7283215774319443</v>
      </c>
      <c r="GE587">
        <v>5.3723461544093434</v>
      </c>
      <c r="GF587">
        <v>8.6160154167195095</v>
      </c>
      <c r="GG587">
        <v>15.341314329787478</v>
      </c>
      <c r="GH587">
        <v>14.608342711947484</v>
      </c>
      <c r="GI587">
        <v>40.760776696237272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46.789719002953838</v>
      </c>
      <c r="AO588">
        <v>43.706053280154002</v>
      </c>
      <c r="AP588">
        <v>289.48167364705847</v>
      </c>
      <c r="AQ588">
        <v>146.49940723239379</v>
      </c>
      <c r="AR588">
        <v>42.096972572058796</v>
      </c>
      <c r="AS588">
        <v>242.4155656700091</v>
      </c>
      <c r="AT588">
        <v>17.864787489175356</v>
      </c>
      <c r="AU588">
        <v>11.034097895525221</v>
      </c>
      <c r="AV588"/>
      <c r="AW588"/>
      <c r="FY588" s="210">
        <v>583</v>
      </c>
      <c r="FZ588">
        <v>26.959420177757092</v>
      </c>
      <c r="GA588">
        <v>86.911401139952957</v>
      </c>
      <c r="GB588">
        <v>71.251787219794508</v>
      </c>
      <c r="GC588">
        <v>16.939844525419705</v>
      </c>
      <c r="GD588">
        <v>7.5929054019048268</v>
      </c>
      <c r="GE588">
        <v>8.0625672380535445</v>
      </c>
      <c r="GF588">
        <v>5.4358328855436575</v>
      </c>
      <c r="GG588">
        <v>12.816047744527467</v>
      </c>
      <c r="GH588">
        <v>28.712521389310179</v>
      </c>
      <c r="GI588">
        <v>50.639129441561771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61.560721535252284</v>
      </c>
      <c r="AO589">
        <v>78.588685346938306</v>
      </c>
      <c r="AP589">
        <v>521.56409709957359</v>
      </c>
      <c r="AQ589">
        <v>213.15305836904653</v>
      </c>
      <c r="AR589">
        <v>72.93792145370324</v>
      </c>
      <c r="AS589">
        <v>472.63173991574899</v>
      </c>
      <c r="AT589">
        <v>27.674224777847702</v>
      </c>
      <c r="AU589">
        <v>-2.2447990940451596</v>
      </c>
      <c r="AV589"/>
      <c r="AW589"/>
      <c r="FY589" s="210">
        <v>584</v>
      </c>
      <c r="FZ589">
        <v>26.017833951917151</v>
      </c>
      <c r="GA589">
        <v>42.353231444175407</v>
      </c>
      <c r="GB589">
        <v>34.284606369982917</v>
      </c>
      <c r="GC589">
        <v>11.757039876321546</v>
      </c>
      <c r="GD589">
        <v>9.2077638999418632</v>
      </c>
      <c r="GE589">
        <v>12.77652051524171</v>
      </c>
      <c r="GF589">
        <v>6.3835754347216405</v>
      </c>
      <c r="GG589">
        <v>17.53860760832525</v>
      </c>
      <c r="GH589">
        <v>29.71985599784632</v>
      </c>
      <c r="GI589">
        <v>37.1722202310794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60.645773281947172</v>
      </c>
      <c r="AO590">
        <v>62.10965698483276</v>
      </c>
      <c r="AP590">
        <v>427.9371171341952</v>
      </c>
      <c r="AQ590">
        <v>198.53556557377743</v>
      </c>
      <c r="AR590">
        <v>57.970992656601794</v>
      </c>
      <c r="AS590">
        <v>332.28724354917387</v>
      </c>
      <c r="AT590">
        <v>22.49299968634347</v>
      </c>
      <c r="AU590">
        <v>28.303934742177763</v>
      </c>
      <c r="AV590"/>
      <c r="AW590"/>
      <c r="FY590" s="210">
        <v>585</v>
      </c>
      <c r="FZ590">
        <v>27.219651094076205</v>
      </c>
      <c r="GA590">
        <v>76.447934584920574</v>
      </c>
      <c r="GB590">
        <v>56.480291347657385</v>
      </c>
      <c r="GC590">
        <v>14.185793724384906</v>
      </c>
      <c r="GD590">
        <v>7.098611417520952</v>
      </c>
      <c r="GE590">
        <v>7.9334725073858019</v>
      </c>
      <c r="GF590">
        <v>10.082927412744068</v>
      </c>
      <c r="GG590">
        <v>18.273847194574181</v>
      </c>
      <c r="GH590">
        <v>16.503484827890475</v>
      </c>
      <c r="GI590">
        <v>44.498694488902451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49.261336307507065</v>
      </c>
      <c r="AO591">
        <v>50.116121773109548</v>
      </c>
      <c r="AP591">
        <v>377.54645030672719</v>
      </c>
      <c r="AQ591">
        <v>160.14516986947274</v>
      </c>
      <c r="AR591">
        <v>47.042556150882739</v>
      </c>
      <c r="AS591">
        <v>244.02427804190157</v>
      </c>
      <c r="AT591">
        <v>18.250863014237286</v>
      </c>
      <c r="AU591">
        <v>56.832025009011417</v>
      </c>
      <c r="AV591"/>
      <c r="AW591"/>
      <c r="FY591" s="210">
        <v>586</v>
      </c>
      <c r="FZ591">
        <v>20.369515830587183</v>
      </c>
      <c r="GA591">
        <v>46.146265939462246</v>
      </c>
      <c r="GB591">
        <v>31.225441500671131</v>
      </c>
      <c r="GC591">
        <v>9.7390096175198781</v>
      </c>
      <c r="GD591">
        <v>6.8423652390688439</v>
      </c>
      <c r="GE591">
        <v>7.9543933279469865</v>
      </c>
      <c r="GF591">
        <v>9.8095606225823939</v>
      </c>
      <c r="GG591">
        <v>18.441999890555188</v>
      </c>
      <c r="GH591">
        <v>24.814823145991966</v>
      </c>
      <c r="GI591">
        <v>32.628955766877155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49.258918094651449</v>
      </c>
      <c r="AO592">
        <v>70.051434893749189</v>
      </c>
      <c r="AP592">
        <v>563.40456565941622</v>
      </c>
      <c r="AQ592">
        <v>221.3842508988856</v>
      </c>
      <c r="AR592">
        <v>66.593531989367037</v>
      </c>
      <c r="AS592">
        <v>345.38384620075772</v>
      </c>
      <c r="AT592">
        <v>28.48688965654593</v>
      </c>
      <c r="AU592">
        <v>14.622258384718448</v>
      </c>
      <c r="AV592"/>
      <c r="AW592"/>
      <c r="FY592" s="210">
        <v>587</v>
      </c>
      <c r="FZ592">
        <v>13.494983008886763</v>
      </c>
      <c r="GA592">
        <v>60.639613199238497</v>
      </c>
      <c r="GB592">
        <v>61.748478956378776</v>
      </c>
      <c r="GC592">
        <v>15.725200922148328</v>
      </c>
      <c r="GD592">
        <v>7.7869603831679894</v>
      </c>
      <c r="GE592">
        <v>9.1391860952552655</v>
      </c>
      <c r="GF592">
        <v>6.9438690179922897</v>
      </c>
      <c r="GG592">
        <v>17.767253962626111</v>
      </c>
      <c r="GH592">
        <v>31.830538113347064</v>
      </c>
      <c r="GI592">
        <v>47.529653723551988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55.85484799709733</v>
      </c>
      <c r="AO593">
        <v>71.525328087139073</v>
      </c>
      <c r="AP593">
        <v>514.81086490906807</v>
      </c>
      <c r="AQ593">
        <v>186.62807945397449</v>
      </c>
      <c r="AR593">
        <v>67.358828827303213</v>
      </c>
      <c r="AS593">
        <v>392.7006239151973</v>
      </c>
      <c r="AT593">
        <v>25.394755577129672</v>
      </c>
      <c r="AU593">
        <v>11.896268357676815</v>
      </c>
      <c r="AV593"/>
      <c r="AW593"/>
      <c r="FY593" s="210">
        <v>588</v>
      </c>
      <c r="FZ593">
        <v>22.29643162914644</v>
      </c>
      <c r="GA593">
        <v>44.382230404984881</v>
      </c>
      <c r="GB593">
        <v>26.842779466086846</v>
      </c>
      <c r="GC593">
        <v>11.852345661630892</v>
      </c>
      <c r="GD593">
        <v>6.2318189590800062</v>
      </c>
      <c r="GE593">
        <v>5.5952940159284879</v>
      </c>
      <c r="GF593">
        <v>10.865827356661228</v>
      </c>
      <c r="GG593">
        <v>20.835369104802815</v>
      </c>
      <c r="GH593">
        <v>24.098431248269016</v>
      </c>
      <c r="GI593">
        <v>31.190386490745276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53.450712642230954</v>
      </c>
      <c r="AO594">
        <v>76.247703501350657</v>
      </c>
      <c r="AP594">
        <v>613.01142282168917</v>
      </c>
      <c r="AQ594">
        <v>235.90835485523854</v>
      </c>
      <c r="AR594">
        <v>71.816286571855059</v>
      </c>
      <c r="AS594">
        <v>342.65222125071961</v>
      </c>
      <c r="AT594">
        <v>28.990363718922939</v>
      </c>
      <c r="AU594">
        <v>19.370010930295066</v>
      </c>
      <c r="AV594"/>
      <c r="AW594"/>
      <c r="FY594" s="210">
        <v>589</v>
      </c>
      <c r="FZ594">
        <v>26.114486120403441</v>
      </c>
      <c r="GA594">
        <v>40.43299204339241</v>
      </c>
      <c r="GB594">
        <v>32.076038276841885</v>
      </c>
      <c r="GC594">
        <v>11.739525340119004</v>
      </c>
      <c r="GD594">
        <v>8.1709677481274667</v>
      </c>
      <c r="GE594">
        <v>9.8303287301333206</v>
      </c>
      <c r="GF594">
        <v>6.6930887865224786</v>
      </c>
      <c r="GG594">
        <v>8.5054719597052024</v>
      </c>
      <c r="GH594">
        <v>6.1495192192478401</v>
      </c>
      <c r="GI594">
        <v>32.089567515088248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58.928061395289468</v>
      </c>
      <c r="AO595">
        <v>77.875572433499954</v>
      </c>
      <c r="AP595">
        <v>586.36929102812564</v>
      </c>
      <c r="AQ595">
        <v>235.43929371489713</v>
      </c>
      <c r="AR595">
        <v>73.502279108972303</v>
      </c>
      <c r="AS595">
        <v>332.32246883414763</v>
      </c>
      <c r="AT595">
        <v>29.838829229828107</v>
      </c>
      <c r="AU595">
        <v>-19.85330970482137</v>
      </c>
      <c r="AV595"/>
      <c r="AW595"/>
      <c r="FY595" s="210">
        <v>590</v>
      </c>
      <c r="FZ595">
        <v>26.886539413608212</v>
      </c>
      <c r="GA595">
        <v>58.195098386062426</v>
      </c>
      <c r="GB595">
        <v>31.54532473625439</v>
      </c>
      <c r="GC595">
        <v>8.759393101700848</v>
      </c>
      <c r="GD595">
        <v>6.8056554497227895</v>
      </c>
      <c r="GE595">
        <v>8.6639243236746868</v>
      </c>
      <c r="GF595">
        <v>7.2419598563705065</v>
      </c>
      <c r="GG595">
        <v>17.758172844907367</v>
      </c>
      <c r="GH595">
        <v>30.006785552867477</v>
      </c>
      <c r="GI595">
        <v>32.650012609748885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70.057229905078771</v>
      </c>
      <c r="AO596">
        <v>85.925337082844436</v>
      </c>
      <c r="AP596">
        <v>732.63523453032951</v>
      </c>
      <c r="AQ596">
        <v>296.69691217481943</v>
      </c>
      <c r="AR596">
        <v>80.015156414251038</v>
      </c>
      <c r="AS596">
        <v>398.04231987976669</v>
      </c>
      <c r="AT596">
        <v>33.35224988112823</v>
      </c>
      <c r="AU596">
        <v>-23.583297411319684</v>
      </c>
      <c r="AV596"/>
      <c r="AW596"/>
      <c r="FY596" s="210">
        <v>591</v>
      </c>
      <c r="FZ596">
        <v>21.371124618441478</v>
      </c>
      <c r="GA596">
        <v>42.990619439555147</v>
      </c>
      <c r="GB596">
        <v>43.213331418250014</v>
      </c>
      <c r="GC596">
        <v>12.783939132849152</v>
      </c>
      <c r="GD596">
        <v>5.8602254633668656</v>
      </c>
      <c r="GE596">
        <v>6.3378469053594539</v>
      </c>
      <c r="GF596">
        <v>9.4969998075360387</v>
      </c>
      <c r="GG596">
        <v>22.517648086330198</v>
      </c>
      <c r="GH596">
        <v>30.851067419025149</v>
      </c>
      <c r="GI596">
        <v>37.837652624603102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66.671023128626004</v>
      </c>
      <c r="AO597">
        <v>108.04591335204059</v>
      </c>
      <c r="AP597">
        <v>680.86257912708993</v>
      </c>
      <c r="AQ597">
        <v>239.67107866333458</v>
      </c>
      <c r="AR597">
        <v>100.05431739035245</v>
      </c>
      <c r="AS597">
        <v>623.13287270104672</v>
      </c>
      <c r="AT597">
        <v>36.97076288788994</v>
      </c>
      <c r="AU597">
        <v>1.6167134931565439</v>
      </c>
      <c r="AV597"/>
      <c r="AW597"/>
      <c r="FY597" s="210">
        <v>592</v>
      </c>
      <c r="FZ597">
        <v>21.009323900203327</v>
      </c>
      <c r="GA597">
        <v>38.265621281711034</v>
      </c>
      <c r="GB597">
        <v>16.230901191728723</v>
      </c>
      <c r="GC597">
        <v>11.211539181466915</v>
      </c>
      <c r="GD597">
        <v>7.6278022971247905</v>
      </c>
      <c r="GE597">
        <v>5.7237509305879479</v>
      </c>
      <c r="GF597">
        <v>12.362164752784748</v>
      </c>
      <c r="GG597">
        <v>24.488256273971292</v>
      </c>
      <c r="GH597">
        <v>21.022041430358463</v>
      </c>
      <c r="GI597">
        <v>28.538231128667991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59.944469289381992</v>
      </c>
      <c r="AO598">
        <v>85.748290410959697</v>
      </c>
      <c r="AP598">
        <v>652.940866819235</v>
      </c>
      <c r="AQ598">
        <v>263.98008352033838</v>
      </c>
      <c r="AR598">
        <v>81.008734319339723</v>
      </c>
      <c r="AS598">
        <v>532.10972549595226</v>
      </c>
      <c r="AT598">
        <v>33.602923390579335</v>
      </c>
      <c r="AU598">
        <v>-52.36380569549118</v>
      </c>
      <c r="AV598"/>
      <c r="AW598"/>
      <c r="FY598" s="210">
        <v>593</v>
      </c>
      <c r="FZ598">
        <v>19.079010325052316</v>
      </c>
      <c r="GA598">
        <v>59.540074175775601</v>
      </c>
      <c r="GB598">
        <v>37.558260933423554</v>
      </c>
      <c r="GC598">
        <v>10.588868354606062</v>
      </c>
      <c r="GD598">
        <v>5.9212277952856462</v>
      </c>
      <c r="GE598">
        <v>7.264295446043139</v>
      </c>
      <c r="GF598">
        <v>9.8576644665638717</v>
      </c>
      <c r="GG598">
        <v>14.912025123398063</v>
      </c>
      <c r="GH598">
        <v>19.046470606609457</v>
      </c>
      <c r="GI598">
        <v>33.180318862246381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83.81241730981904</v>
      </c>
      <c r="AO599">
        <v>109.1809937441692</v>
      </c>
      <c r="AP599">
        <v>801.05142260635512</v>
      </c>
      <c r="AQ599">
        <v>315.32145716382564</v>
      </c>
      <c r="AR599">
        <v>101.26570487374352</v>
      </c>
      <c r="AS599">
        <v>673.97583102122712</v>
      </c>
      <c r="AT599">
        <v>40.159401037367772</v>
      </c>
      <c r="AU599">
        <v>-40.305967979742249</v>
      </c>
      <c r="AV599"/>
      <c r="AW599"/>
      <c r="FY599" s="210">
        <v>594</v>
      </c>
      <c r="FZ599">
        <v>22.763188554447289</v>
      </c>
      <c r="GA599">
        <v>54.197136180689498</v>
      </c>
      <c r="GB599">
        <v>23.315798454379177</v>
      </c>
      <c r="GC599">
        <v>8.9942166361550822</v>
      </c>
      <c r="GD599">
        <v>9.4799517096519281</v>
      </c>
      <c r="GE599">
        <v>12.003670147665137</v>
      </c>
      <c r="GF599">
        <v>7.7876129167958901</v>
      </c>
      <c r="GG599">
        <v>25.388203934144574</v>
      </c>
      <c r="GH599">
        <v>35.407698712908726</v>
      </c>
      <c r="GI599">
        <v>34.712946665487792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63.319626005494705</v>
      </c>
      <c r="AO600">
        <v>79.521496686028826</v>
      </c>
      <c r="AP600">
        <v>549.69544111372011</v>
      </c>
      <c r="AQ600">
        <v>227.21125532955318</v>
      </c>
      <c r="AR600">
        <v>74.640938151272294</v>
      </c>
      <c r="AS600">
        <v>374.12933139822422</v>
      </c>
      <c r="AT600">
        <v>29.411147428573813</v>
      </c>
      <c r="AU600">
        <v>-84.67775788260829</v>
      </c>
      <c r="AV600"/>
      <c r="AW600"/>
      <c r="FY600" s="210">
        <v>595</v>
      </c>
      <c r="FZ600">
        <v>21.463872890426739</v>
      </c>
      <c r="GA600">
        <v>51.750848540534534</v>
      </c>
      <c r="GB600">
        <v>37.690710850467902</v>
      </c>
      <c r="GC600">
        <v>14.320291413694646</v>
      </c>
      <c r="GD600">
        <v>7.5711786770436911</v>
      </c>
      <c r="GE600">
        <v>5.2604333977034061</v>
      </c>
      <c r="GF600">
        <v>7.683254840198968</v>
      </c>
      <c r="GG600">
        <v>14.0874599549932</v>
      </c>
      <c r="GH600">
        <v>11.194361226884798</v>
      </c>
      <c r="GI600">
        <v>33.839750483556209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76.072692914386607</v>
      </c>
      <c r="AO601">
        <v>95.79153569197895</v>
      </c>
      <c r="AP601">
        <v>708.3765070083947</v>
      </c>
      <c r="AQ601">
        <v>278.72470860005694</v>
      </c>
      <c r="AR601">
        <v>90.185266871785743</v>
      </c>
      <c r="AS601">
        <v>427.43762008427404</v>
      </c>
      <c r="AT601">
        <v>33.820702196518049</v>
      </c>
      <c r="AU601">
        <v>-39.566693234564752</v>
      </c>
      <c r="AV601"/>
      <c r="AW601"/>
      <c r="FY601" s="210">
        <v>596</v>
      </c>
      <c r="FZ601">
        <v>26.577189793540231</v>
      </c>
      <c r="GA601">
        <v>43.970201861377248</v>
      </c>
      <c r="GB601">
        <v>42.892754471902826</v>
      </c>
      <c r="GC601">
        <v>13.681964706967372</v>
      </c>
      <c r="GD601">
        <v>6.3381527448944039</v>
      </c>
      <c r="GE601">
        <v>6.6887892893085539</v>
      </c>
      <c r="GF601">
        <v>13.274710158754266</v>
      </c>
      <c r="GG601">
        <v>18.462448933239649</v>
      </c>
      <c r="GH601">
        <v>9.9248814842504363</v>
      </c>
      <c r="GI601">
        <v>36.928747882448846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51.077254877619239</v>
      </c>
      <c r="AO602">
        <v>67.769295966794246</v>
      </c>
      <c r="AP602">
        <v>481.72227212398616</v>
      </c>
      <c r="AQ602">
        <v>207.97233088126296</v>
      </c>
      <c r="AR602">
        <v>62.815026594507664</v>
      </c>
      <c r="AS602">
        <v>288.90858468684576</v>
      </c>
      <c r="AT602">
        <v>25.507237181590863</v>
      </c>
      <c r="AU602">
        <v>-15.95668498572207</v>
      </c>
      <c r="AV602"/>
      <c r="AW602"/>
      <c r="FY602" s="210">
        <v>597</v>
      </c>
      <c r="FZ602">
        <v>20.523942316326508</v>
      </c>
      <c r="GA602">
        <v>53.463632510288235</v>
      </c>
      <c r="GB602">
        <v>34.248728549618058</v>
      </c>
      <c r="GC602">
        <v>13.217464223205811</v>
      </c>
      <c r="GD602">
        <v>9.1238939906005179</v>
      </c>
      <c r="GE602">
        <v>10.146330094592805</v>
      </c>
      <c r="GF602">
        <v>6.5251239367744986</v>
      </c>
      <c r="GG602">
        <v>12.674396187256995</v>
      </c>
      <c r="GH602">
        <v>18.388250868557598</v>
      </c>
      <c r="GI602">
        <v>34.069317245375878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64.171012080423338</v>
      </c>
      <c r="AO603">
        <v>105.90342679076375</v>
      </c>
      <c r="AP603">
        <v>748.85495291495238</v>
      </c>
      <c r="AQ603">
        <v>272.60573738259308</v>
      </c>
      <c r="AR603">
        <v>97.224182940609708</v>
      </c>
      <c r="AS603">
        <v>392.96849288638379</v>
      </c>
      <c r="AT603">
        <v>38.808832708940152</v>
      </c>
      <c r="AU603">
        <v>-21.142304191776041</v>
      </c>
      <c r="AV603"/>
      <c r="AW603"/>
      <c r="FY603" s="210">
        <v>598</v>
      </c>
      <c r="FZ603">
        <v>21.331278710356692</v>
      </c>
      <c r="GA603">
        <v>41.755911565235103</v>
      </c>
      <c r="GB603">
        <v>53.181677477454542</v>
      </c>
      <c r="GC603">
        <v>14.450559799911456</v>
      </c>
      <c r="GD603">
        <v>7.4609468667657026</v>
      </c>
      <c r="GE603">
        <v>9.1880555297307911</v>
      </c>
      <c r="GF603">
        <v>8.3151199161511276</v>
      </c>
      <c r="GG603">
        <v>15.012996627170603</v>
      </c>
      <c r="GH603">
        <v>21.482915853204744</v>
      </c>
      <c r="GI603">
        <v>42.799367980191008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61.803002677871078</v>
      </c>
      <c r="AO604">
        <v>65.26434501478397</v>
      </c>
      <c r="AP604">
        <v>473.83409226348584</v>
      </c>
      <c r="AQ604">
        <v>204.1909143373359</v>
      </c>
      <c r="AR604">
        <v>61.729485164452484</v>
      </c>
      <c r="AS604">
        <v>400.65926243776863</v>
      </c>
      <c r="AT604">
        <v>23.818475448163593</v>
      </c>
      <c r="AU604">
        <v>-30.519527626496338</v>
      </c>
      <c r="AV604"/>
      <c r="AW604"/>
      <c r="FY604" s="210">
        <v>599</v>
      </c>
      <c r="FZ604">
        <v>25.13444505894979</v>
      </c>
      <c r="GA604">
        <v>52.836678146667225</v>
      </c>
      <c r="GB604">
        <v>25.773919249143152</v>
      </c>
      <c r="GC604">
        <v>10.304421669389747</v>
      </c>
      <c r="GD604">
        <v>10.305631365829854</v>
      </c>
      <c r="GE604">
        <v>12.672074126260995</v>
      </c>
      <c r="GF604">
        <v>9.1360628388757092</v>
      </c>
      <c r="GG604">
        <v>14.016189826904643</v>
      </c>
      <c r="GH604">
        <v>18.123950563402811</v>
      </c>
      <c r="GI604">
        <v>31.914696119168301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48.550717513393558</v>
      </c>
      <c r="AO605">
        <v>67.695770343233917</v>
      </c>
      <c r="AP605">
        <v>423.618855561842</v>
      </c>
      <c r="AQ605">
        <v>181.80198573958131</v>
      </c>
      <c r="AR605">
        <v>63.827769849847201</v>
      </c>
      <c r="AS605">
        <v>459.46655318639569</v>
      </c>
      <c r="AT605">
        <v>26.308735915566526</v>
      </c>
      <c r="AU605">
        <v>51.47396603530963</v>
      </c>
      <c r="AV605"/>
      <c r="AW605"/>
      <c r="FY605" s="210">
        <v>600</v>
      </c>
      <c r="FZ605">
        <v>22.245183052036012</v>
      </c>
      <c r="GA605">
        <v>51.694286806427364</v>
      </c>
      <c r="GB605">
        <v>38.443559628307327</v>
      </c>
      <c r="GC605">
        <v>11.131601105818474</v>
      </c>
      <c r="GD605">
        <v>7.7887304315339358</v>
      </c>
      <c r="GE605">
        <v>9.7688329067686688</v>
      </c>
      <c r="GF605">
        <v>11.832573672462852</v>
      </c>
      <c r="GG605">
        <v>22.267431550897495</v>
      </c>
      <c r="GH605">
        <v>24.531448892743594</v>
      </c>
      <c r="GI605">
        <v>36.425519445080489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51.261500043393426</v>
      </c>
      <c r="AO606">
        <v>69.487741685469345</v>
      </c>
      <c r="AP606">
        <v>548.04542444938249</v>
      </c>
      <c r="AQ606">
        <v>228.51286627491754</v>
      </c>
      <c r="AR606">
        <v>65.234352541583689</v>
      </c>
      <c r="AS606">
        <v>328.28529283723492</v>
      </c>
      <c r="AT606">
        <v>29.680658761891323</v>
      </c>
      <c r="AU606">
        <v>-33.477544939668306</v>
      </c>
      <c r="AV606"/>
      <c r="AW606"/>
      <c r="FY606" s="210">
        <v>601</v>
      </c>
      <c r="FZ606">
        <v>22.905476209972765</v>
      </c>
      <c r="GA606">
        <v>54.26894746684507</v>
      </c>
      <c r="GB606">
        <v>34.792900880562414</v>
      </c>
      <c r="GC606">
        <v>11.323681399352148</v>
      </c>
      <c r="GD606">
        <v>7.4568573569351191</v>
      </c>
      <c r="GE606">
        <v>8.2305133357386406</v>
      </c>
      <c r="GF606">
        <v>8.9768970716219059</v>
      </c>
      <c r="GG606">
        <v>14.81133911812289</v>
      </c>
      <c r="GH606">
        <v>11.85863435204336</v>
      </c>
      <c r="GI606">
        <v>31.814107418659738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63.540650895748719</v>
      </c>
      <c r="AO607">
        <v>80.507329526783039</v>
      </c>
      <c r="AP607">
        <v>583.58022960112874</v>
      </c>
      <c r="AQ607">
        <v>233.26045491531661</v>
      </c>
      <c r="AR607">
        <v>74.779578047434114</v>
      </c>
      <c r="AS607">
        <v>345.41850060165666</v>
      </c>
      <c r="AT607">
        <v>29.54959358463552</v>
      </c>
      <c r="AU607">
        <v>-12.645734526781043</v>
      </c>
      <c r="AV607"/>
      <c r="AW607"/>
      <c r="FY607" s="210">
        <v>602</v>
      </c>
      <c r="FZ607">
        <v>18.472397874126877</v>
      </c>
      <c r="GA607">
        <v>60.602950305956369</v>
      </c>
      <c r="GB607">
        <v>53.169249516019939</v>
      </c>
      <c r="GC607">
        <v>16.530499561744435</v>
      </c>
      <c r="GD607">
        <v>9.0593876366040842</v>
      </c>
      <c r="GE607">
        <v>8.2383277210437775</v>
      </c>
      <c r="GF607">
        <v>7.4477837266136477</v>
      </c>
      <c r="GG607">
        <v>16.744857124576669</v>
      </c>
      <c r="GH607">
        <v>21.507577982918409</v>
      </c>
      <c r="GI607">
        <v>43.566947850462377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51.51242466885369</v>
      </c>
      <c r="AO608">
        <v>58.484889971056262</v>
      </c>
      <c r="AP608">
        <v>430.44686138766019</v>
      </c>
      <c r="AQ608">
        <v>186.47963236860525</v>
      </c>
      <c r="AR608">
        <v>55.287564096515787</v>
      </c>
      <c r="AS608">
        <v>397.08317877104497</v>
      </c>
      <c r="AT608">
        <v>25.583997716903397</v>
      </c>
      <c r="AU608">
        <v>52.227545962585701</v>
      </c>
      <c r="AV608"/>
      <c r="AW608"/>
      <c r="FY608" s="210">
        <v>603</v>
      </c>
      <c r="FZ608">
        <v>23.78233459482151</v>
      </c>
      <c r="GA608">
        <v>54.230041314313553</v>
      </c>
      <c r="GB608">
        <v>30.012806771193617</v>
      </c>
      <c r="GC608">
        <v>8.8287361884033029</v>
      </c>
      <c r="GD608">
        <v>7.5579725107291349</v>
      </c>
      <c r="GE608">
        <v>10.813738004609878</v>
      </c>
      <c r="GF608">
        <v>5.9808780183296966</v>
      </c>
      <c r="GG608">
        <v>11.406941303626679</v>
      </c>
      <c r="GH608">
        <v>18.91930264543651</v>
      </c>
      <c r="GI608">
        <v>29.732889952997326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48.282067165750796</v>
      </c>
      <c r="AO609">
        <v>70.136516087716785</v>
      </c>
      <c r="AP609">
        <v>539.72250740795948</v>
      </c>
      <c r="AQ609">
        <v>216.94821608900412</v>
      </c>
      <c r="AR609">
        <v>68.338779862477395</v>
      </c>
      <c r="AS609">
        <v>311.76897752422281</v>
      </c>
      <c r="AT609">
        <v>27.397559413521929</v>
      </c>
      <c r="AU609">
        <v>-10.848118173543295</v>
      </c>
      <c r="AV609"/>
      <c r="AW609"/>
      <c r="FY609" s="210">
        <v>604</v>
      </c>
      <c r="FZ609">
        <v>17.185784986939456</v>
      </c>
      <c r="GA609">
        <v>53.762715755796563</v>
      </c>
      <c r="GB609">
        <v>32.426438448595832</v>
      </c>
      <c r="GC609">
        <v>7.3130180798893445</v>
      </c>
      <c r="GD609">
        <v>5.3488875271141154</v>
      </c>
      <c r="GE609">
        <v>6.9835807221471011</v>
      </c>
      <c r="GF609">
        <v>9.6478557246960541</v>
      </c>
      <c r="GG609">
        <v>14.146228502607181</v>
      </c>
      <c r="GH609">
        <v>11.446787402523016</v>
      </c>
      <c r="GI609">
        <v>28.631315248997915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58.510369138881018</v>
      </c>
      <c r="AO610">
        <v>72.092982585205306</v>
      </c>
      <c r="AP610">
        <v>511.6034619814904</v>
      </c>
      <c r="AQ610">
        <v>234.05042391232507</v>
      </c>
      <c r="AR610">
        <v>66.262263056277959</v>
      </c>
      <c r="AS610">
        <v>329.60161959372772</v>
      </c>
      <c r="AT610">
        <v>29.307536961329344</v>
      </c>
      <c r="AU610">
        <v>-11.734432214875742</v>
      </c>
      <c r="AV610"/>
      <c r="AW610"/>
      <c r="FY610" s="210">
        <v>605</v>
      </c>
      <c r="FZ610">
        <v>31.07166855526987</v>
      </c>
      <c r="GA610">
        <v>40.692163868915117</v>
      </c>
      <c r="GB610">
        <v>29.376899258830122</v>
      </c>
      <c r="GC610">
        <v>9.3857867631288379</v>
      </c>
      <c r="GD610">
        <v>5.249703396424044</v>
      </c>
      <c r="GE610">
        <v>5.5746612152730339</v>
      </c>
      <c r="GF610">
        <v>9.4474675198063132</v>
      </c>
      <c r="GG610">
        <v>14.362293653032049</v>
      </c>
      <c r="GH610">
        <v>13.576061805831968</v>
      </c>
      <c r="GI610">
        <v>26.349018394636996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58.091150576537338</v>
      </c>
      <c r="AO611">
        <v>71.77344088896929</v>
      </c>
      <c r="AP611">
        <v>489.93822714797977</v>
      </c>
      <c r="AQ611">
        <v>204.86216227550409</v>
      </c>
      <c r="AR611">
        <v>66.533846701191948</v>
      </c>
      <c r="AS611">
        <v>365.45507261450825</v>
      </c>
      <c r="AT611">
        <v>24.207180664196965</v>
      </c>
      <c r="AU611">
        <v>3.158692152033999</v>
      </c>
      <c r="AV611"/>
      <c r="AW611"/>
      <c r="FY611" s="210">
        <v>606</v>
      </c>
      <c r="FZ611">
        <v>35.075335783176115</v>
      </c>
      <c r="GA611">
        <v>57.137354187340875</v>
      </c>
      <c r="GB611">
        <v>25.518186595858491</v>
      </c>
      <c r="GC611">
        <v>11.416443484434453</v>
      </c>
      <c r="GD611">
        <v>7.0565021788719955</v>
      </c>
      <c r="GE611">
        <v>6.80538612123188</v>
      </c>
      <c r="GF611">
        <v>10.957908233804931</v>
      </c>
      <c r="GG611">
        <v>19.557950168452589</v>
      </c>
      <c r="GH611">
        <v>13.186266301050606</v>
      </c>
      <c r="GI611">
        <v>32.835767390635489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59.655499010671711</v>
      </c>
      <c r="AO612">
        <v>80.758448540915168</v>
      </c>
      <c r="AP612">
        <v>583.95716498143349</v>
      </c>
      <c r="AQ612">
        <v>218.73984132668383</v>
      </c>
      <c r="AR612">
        <v>74.591775380110661</v>
      </c>
      <c r="AS612">
        <v>383.4849102069735</v>
      </c>
      <c r="AT612">
        <v>29.377252366838206</v>
      </c>
      <c r="AU612">
        <v>19.410513817962261</v>
      </c>
      <c r="AV612"/>
      <c r="AW612"/>
      <c r="FY612" s="210">
        <v>607</v>
      </c>
      <c r="FZ612">
        <v>18.034702991013031</v>
      </c>
      <c r="GA612">
        <v>68.488322579084681</v>
      </c>
      <c r="GB612">
        <v>57.576947190949973</v>
      </c>
      <c r="GC612">
        <v>11.600537801104393</v>
      </c>
      <c r="GD612">
        <v>6.8167411789784005</v>
      </c>
      <c r="GE612">
        <v>9.8883910211094399</v>
      </c>
      <c r="GF612">
        <v>10.984047153506657</v>
      </c>
      <c r="GG612">
        <v>23.46702738139388</v>
      </c>
      <c r="GH612">
        <v>25.058458126813754</v>
      </c>
      <c r="GI612">
        <v>45.292002110514737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62.9471481085561</v>
      </c>
      <c r="AO613">
        <v>69.740199912178795</v>
      </c>
      <c r="AP613">
        <v>450.71470078816037</v>
      </c>
      <c r="AQ613">
        <v>212.38107992259691</v>
      </c>
      <c r="AR613">
        <v>64.709494855338903</v>
      </c>
      <c r="AS613">
        <v>437.40053723215942</v>
      </c>
      <c r="AT613">
        <v>24.269963616497503</v>
      </c>
      <c r="AU613">
        <v>-10.881305343294725</v>
      </c>
      <c r="AV613"/>
      <c r="AW613"/>
      <c r="FY613" s="210">
        <v>608</v>
      </c>
      <c r="FZ613">
        <v>26.370316545146558</v>
      </c>
      <c r="GA613">
        <v>57.477025812579697</v>
      </c>
      <c r="GB613">
        <v>52.563578327477707</v>
      </c>
      <c r="GC613">
        <v>13.576673436685081</v>
      </c>
      <c r="GD613">
        <v>7.8018405173326464</v>
      </c>
      <c r="GE613">
        <v>11.041196534951972</v>
      </c>
      <c r="GF613">
        <v>9.4284236933725278</v>
      </c>
      <c r="GG613">
        <v>16.637013420051726</v>
      </c>
      <c r="GH613">
        <v>18.638708555765756</v>
      </c>
      <c r="GI613">
        <v>40.064059554197236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56.536885177518116</v>
      </c>
      <c r="AO614">
        <v>96.664148449268197</v>
      </c>
      <c r="AP614">
        <v>673.43168076771803</v>
      </c>
      <c r="AQ614">
        <v>234.97883032617176</v>
      </c>
      <c r="AR614">
        <v>90.342977690994061</v>
      </c>
      <c r="AS614">
        <v>538.76611310528904</v>
      </c>
      <c r="AT614">
        <v>36.258995427205463</v>
      </c>
      <c r="AU614">
        <v>-55.254076036490574</v>
      </c>
      <c r="AV614"/>
      <c r="AW614"/>
      <c r="FY614" s="210">
        <v>609</v>
      </c>
      <c r="FZ614">
        <v>26.353823947362038</v>
      </c>
      <c r="GA614">
        <v>61.010454276102045</v>
      </c>
      <c r="GB614">
        <v>48.828520477727018</v>
      </c>
      <c r="GC614">
        <v>9.7505488035105383</v>
      </c>
      <c r="GD614">
        <v>4.7517472336914253</v>
      </c>
      <c r="GE614">
        <v>9.1035424551363082</v>
      </c>
      <c r="GF614">
        <v>13.29686635668801</v>
      </c>
      <c r="GG614">
        <v>24.382338539624364</v>
      </c>
      <c r="GH614">
        <v>24.590053386297445</v>
      </c>
      <c r="GI614">
        <v>36.39512800241247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54.900094213571052</v>
      </c>
      <c r="AO615">
        <v>66.594289572213114</v>
      </c>
      <c r="AP615">
        <v>465.89116819766264</v>
      </c>
      <c r="AQ615">
        <v>210.21806896459225</v>
      </c>
      <c r="AR615">
        <v>61.967477046565833</v>
      </c>
      <c r="AS615">
        <v>352.45519927068864</v>
      </c>
      <c r="AT615">
        <v>25.712002964974484</v>
      </c>
      <c r="AU615">
        <v>-12.235940659838317</v>
      </c>
      <c r="AV615"/>
      <c r="AW615"/>
      <c r="FY615" s="210">
        <v>610</v>
      </c>
      <c r="FZ615">
        <v>25.663190650942678</v>
      </c>
      <c r="GA615">
        <v>35.97858517255532</v>
      </c>
      <c r="GB615">
        <v>25.083521740072445</v>
      </c>
      <c r="GC615">
        <v>10.496459462741614</v>
      </c>
      <c r="GD615">
        <v>5.8702611334044477</v>
      </c>
      <c r="GE615">
        <v>6.3140867396283902</v>
      </c>
      <c r="GF615">
        <v>10.759416218593779</v>
      </c>
      <c r="GG615">
        <v>12.76983242794425</v>
      </c>
      <c r="GH615">
        <v>7.2785327343210557</v>
      </c>
      <c r="GI615">
        <v>28.973257347168726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60.9126038587194</v>
      </c>
      <c r="AO616">
        <v>74.751493633507721</v>
      </c>
      <c r="AP616">
        <v>548.28180176433284</v>
      </c>
      <c r="AQ616">
        <v>236.12916749207619</v>
      </c>
      <c r="AR616">
        <v>71.03147979196342</v>
      </c>
      <c r="AS616">
        <v>338.48362042158288</v>
      </c>
      <c r="AT616">
        <v>27.807966242629675</v>
      </c>
      <c r="AU616">
        <v>5.1676738157300797</v>
      </c>
      <c r="AV616"/>
      <c r="AW616"/>
      <c r="FY616" s="210">
        <v>611</v>
      </c>
      <c r="FZ616">
        <v>19.777869942235128</v>
      </c>
      <c r="GA616">
        <v>78.299841319956499</v>
      </c>
      <c r="GB616">
        <v>41.766925942644008</v>
      </c>
      <c r="GC616">
        <v>10.872505546036747</v>
      </c>
      <c r="GD616">
        <v>3.7690537891946509</v>
      </c>
      <c r="GE616">
        <v>2.290701918885333</v>
      </c>
      <c r="GF616">
        <v>10.69275035326714</v>
      </c>
      <c r="GG616">
        <v>20.538981738723763</v>
      </c>
      <c r="GH616">
        <v>14.272569233708582</v>
      </c>
      <c r="GI616">
        <v>32.687156283541597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69.174545886776059</v>
      </c>
      <c r="AO617">
        <v>67.732234989529687</v>
      </c>
      <c r="AP617">
        <v>486.68297756307101</v>
      </c>
      <c r="AQ617">
        <v>206.43935460985406</v>
      </c>
      <c r="AR617">
        <v>63.806434702389303</v>
      </c>
      <c r="AS617">
        <v>387.15927545501876</v>
      </c>
      <c r="AT617">
        <v>23.734438610581787</v>
      </c>
      <c r="AU617">
        <v>3.1306564191452946</v>
      </c>
      <c r="AV617"/>
      <c r="AW617"/>
      <c r="FY617" s="210">
        <v>612</v>
      </c>
      <c r="FZ617">
        <v>16.349980851754964</v>
      </c>
      <c r="GA617">
        <v>32.969264094355005</v>
      </c>
      <c r="GB617">
        <v>13.448898686343885</v>
      </c>
      <c r="GC617">
        <v>5.6569165224804747</v>
      </c>
      <c r="GD617">
        <v>8.2278238008623319</v>
      </c>
      <c r="GE617">
        <v>12.26574634623765</v>
      </c>
      <c r="GF617">
        <v>10.663909336469152</v>
      </c>
      <c r="GG617">
        <v>26.691713169549846</v>
      </c>
      <c r="GH617">
        <v>34.639402608968716</v>
      </c>
      <c r="GI617">
        <v>27.870581325607464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66.96358051374601</v>
      </c>
      <c r="AO618">
        <v>96.056550003032086</v>
      </c>
      <c r="AP618">
        <v>676.84573357075669</v>
      </c>
      <c r="AQ618">
        <v>255.33997930006657</v>
      </c>
      <c r="AR618">
        <v>89.339763353295638</v>
      </c>
      <c r="AS618">
        <v>404.01304257110286</v>
      </c>
      <c r="AT618">
        <v>34.218237912735241</v>
      </c>
      <c r="AU618">
        <v>-25.758816464495307</v>
      </c>
      <c r="AV618"/>
      <c r="AW618"/>
      <c r="FY618" s="210">
        <v>613</v>
      </c>
      <c r="FZ618">
        <v>24.848541661881313</v>
      </c>
      <c r="GA618">
        <v>66.510325789858996</v>
      </c>
      <c r="GB618">
        <v>46.225602318733387</v>
      </c>
      <c r="GC618">
        <v>14.14089142129732</v>
      </c>
      <c r="GD618">
        <v>9.6981598475327058</v>
      </c>
      <c r="GE618">
        <v>10.867578435309053</v>
      </c>
      <c r="GF618">
        <v>10.356080972687359</v>
      </c>
      <c r="GG618">
        <v>22.097180168536021</v>
      </c>
      <c r="GH618">
        <v>25.83319229970056</v>
      </c>
      <c r="GI618">
        <v>41.44210195920985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50.175085868625374</v>
      </c>
      <c r="AO619">
        <v>62.597405524287794</v>
      </c>
      <c r="AP619">
        <v>461.37025412818997</v>
      </c>
      <c r="AQ619">
        <v>201.26564130446116</v>
      </c>
      <c r="AR619">
        <v>58.947677442859792</v>
      </c>
      <c r="AS619">
        <v>320.88251862538903</v>
      </c>
      <c r="AT619">
        <v>24.20962291876296</v>
      </c>
      <c r="AU619">
        <v>5.2922679245167279</v>
      </c>
      <c r="AV619"/>
      <c r="AW619"/>
      <c r="FY619" s="210">
        <v>614</v>
      </c>
      <c r="FZ619">
        <v>27.687196308625801</v>
      </c>
      <c r="GA619">
        <v>49.973063821648182</v>
      </c>
      <c r="GB619">
        <v>26.427441996706456</v>
      </c>
      <c r="GC619">
        <v>11.74695904347964</v>
      </c>
      <c r="GD619">
        <v>6.8181577602406787</v>
      </c>
      <c r="GE619">
        <v>4.6650572184023842</v>
      </c>
      <c r="GF619">
        <v>13.228098648203458</v>
      </c>
      <c r="GG619">
        <v>23.941209625806319</v>
      </c>
      <c r="GH619">
        <v>17.651149174035471</v>
      </c>
      <c r="GI619">
        <v>33.667531273255491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40.297799845040458</v>
      </c>
      <c r="AO620">
        <v>61.08210173776898</v>
      </c>
      <c r="AP620">
        <v>467.65551849025195</v>
      </c>
      <c r="AQ620">
        <v>186.89261239930659</v>
      </c>
      <c r="AR620">
        <v>56.795566058585301</v>
      </c>
      <c r="AS620">
        <v>299.3447947680304</v>
      </c>
      <c r="AT620">
        <v>24.202382886088301</v>
      </c>
      <c r="AU620">
        <v>35.286464080208226</v>
      </c>
      <c r="AV620"/>
      <c r="AW620"/>
      <c r="FY620" s="210">
        <v>615</v>
      </c>
      <c r="FZ620">
        <v>10.305647577944338</v>
      </c>
      <c r="GA620">
        <v>38.659898954159935</v>
      </c>
      <c r="GB620">
        <v>20.357501700231001</v>
      </c>
      <c r="GC620">
        <v>10.807541718903474</v>
      </c>
      <c r="GD620">
        <v>7.2375714429867353</v>
      </c>
      <c r="GE620">
        <v>5.7822237818452198</v>
      </c>
      <c r="GF620">
        <v>11.67040567193226</v>
      </c>
      <c r="GG620">
        <v>16.245416113094382</v>
      </c>
      <c r="GH620">
        <v>13.960824108535382</v>
      </c>
      <c r="GI620">
        <v>27.132886708861729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48.927493056377656</v>
      </c>
      <c r="AO621">
        <v>53.561460232445498</v>
      </c>
      <c r="AP621">
        <v>414.49942267736913</v>
      </c>
      <c r="AQ621">
        <v>185.08572443114835</v>
      </c>
      <c r="AR621">
        <v>50.233423998844941</v>
      </c>
      <c r="AS621">
        <v>292.38100087961715</v>
      </c>
      <c r="AT621">
        <v>21.148641278635548</v>
      </c>
      <c r="AU621">
        <v>34.905190538575667</v>
      </c>
      <c r="AV621"/>
      <c r="AW621"/>
      <c r="FY621" s="210">
        <v>616</v>
      </c>
      <c r="FZ621">
        <v>18.568675489363553</v>
      </c>
      <c r="GA621">
        <v>28.586893887382434</v>
      </c>
      <c r="GB621">
        <v>18.818604292685389</v>
      </c>
      <c r="GC621">
        <v>13.616035822932984</v>
      </c>
      <c r="GD621">
        <v>8.9547117792967015</v>
      </c>
      <c r="GE621">
        <v>8.0164300787825926</v>
      </c>
      <c r="GF621">
        <v>10.780323543747681</v>
      </c>
      <c r="GG621">
        <v>15.370779470613243</v>
      </c>
      <c r="GH621">
        <v>9.2549263217361197</v>
      </c>
      <c r="GI621">
        <v>31.708186660568639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60.649240051943082</v>
      </c>
      <c r="AO622">
        <v>68.853006867828483</v>
      </c>
      <c r="AP622">
        <v>499.16144146066245</v>
      </c>
      <c r="AQ622">
        <v>219.54710044485742</v>
      </c>
      <c r="AR622">
        <v>64.861723023843908</v>
      </c>
      <c r="AS622">
        <v>416.04348052529514</v>
      </c>
      <c r="AT622">
        <v>26.79525812380551</v>
      </c>
      <c r="AU622">
        <v>10.755030362287572</v>
      </c>
      <c r="AV622"/>
      <c r="AW622"/>
      <c r="FY622" s="210">
        <v>617</v>
      </c>
      <c r="FZ622">
        <v>30.798686187097488</v>
      </c>
      <c r="GA622">
        <v>50.03346229030393</v>
      </c>
      <c r="GB622">
        <v>17.894446994811759</v>
      </c>
      <c r="GC622">
        <v>10.707563404325033</v>
      </c>
      <c r="GD622">
        <v>6.6864381153648358</v>
      </c>
      <c r="GE622">
        <v>3.6901595028153302</v>
      </c>
      <c r="GF622">
        <v>7.1951658268305838</v>
      </c>
      <c r="GG622">
        <v>14.961840393900955</v>
      </c>
      <c r="GH622">
        <v>18.78932223335125</v>
      </c>
      <c r="GI622">
        <v>25.44684572101194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55.203094138803387</v>
      </c>
      <c r="AO623">
        <v>102.73906669861188</v>
      </c>
      <c r="AP623">
        <v>794.39586035618765</v>
      </c>
      <c r="AQ623">
        <v>277.20717753446894</v>
      </c>
      <c r="AR623">
        <v>94.643634394742364</v>
      </c>
      <c r="AS623">
        <v>595.82503584904737</v>
      </c>
      <c r="AT623">
        <v>40.77836464310441</v>
      </c>
      <c r="AU623">
        <v>-30.044759432918664</v>
      </c>
      <c r="AV623"/>
      <c r="AW623"/>
      <c r="FY623" s="210">
        <v>618</v>
      </c>
      <c r="FZ623">
        <v>23.433142823005106</v>
      </c>
      <c r="GA623">
        <v>41.842149966611913</v>
      </c>
      <c r="GB623">
        <v>27.851711565047847</v>
      </c>
      <c r="GC623">
        <v>12.383086612249768</v>
      </c>
      <c r="GD623">
        <v>7.3108397618090093</v>
      </c>
      <c r="GE623">
        <v>7.1997919139252158</v>
      </c>
      <c r="GF623">
        <v>13.315196349983419</v>
      </c>
      <c r="GG623">
        <v>16.712610628660919</v>
      </c>
      <c r="GH623">
        <v>6.8743765340146465</v>
      </c>
      <c r="GI623">
        <v>33.330504189986087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65.397412971401252</v>
      </c>
      <c r="AO624">
        <v>85.081154759706195</v>
      </c>
      <c r="AP624">
        <v>618.13524081383218</v>
      </c>
      <c r="AQ624">
        <v>253.59883639756089</v>
      </c>
      <c r="AR624">
        <v>79.093831571066588</v>
      </c>
      <c r="AS624">
        <v>411.35846991115062</v>
      </c>
      <c r="AT624">
        <v>30.201230054656403</v>
      </c>
      <c r="AU624">
        <v>-2.6482491809025834</v>
      </c>
      <c r="AV624"/>
      <c r="AW624"/>
      <c r="FY624" s="210">
        <v>619</v>
      </c>
      <c r="FZ624">
        <v>32.155302419451253</v>
      </c>
      <c r="GA624">
        <v>49.884266485804439</v>
      </c>
      <c r="GB624">
        <v>36.463188815928255</v>
      </c>
      <c r="GC624">
        <v>11.440179652884986</v>
      </c>
      <c r="GD624">
        <v>5.9272693591013494</v>
      </c>
      <c r="GE624">
        <v>5.1460263176051813</v>
      </c>
      <c r="GF624">
        <v>10.980946495129134</v>
      </c>
      <c r="GG624">
        <v>23.774998938632162</v>
      </c>
      <c r="GH624">
        <v>25.780676331784189</v>
      </c>
      <c r="GI624">
        <v>36.849774421509345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61.35821014195966</v>
      </c>
      <c r="AO625">
        <v>76.911649241853539</v>
      </c>
      <c r="AP625">
        <v>638.67869024037975</v>
      </c>
      <c r="AQ625">
        <v>258.46302347855163</v>
      </c>
      <c r="AR625">
        <v>71.766073438088853</v>
      </c>
      <c r="AS625">
        <v>511.67763902259378</v>
      </c>
      <c r="AT625">
        <v>29.183785408942367</v>
      </c>
      <c r="AU625">
        <v>-5.4152695756702318</v>
      </c>
      <c r="AV625"/>
      <c r="AW625"/>
      <c r="FY625" s="210">
        <v>620</v>
      </c>
      <c r="FZ625">
        <v>22.723977927240114</v>
      </c>
      <c r="GA625">
        <v>45.956502330504314</v>
      </c>
      <c r="GB625">
        <v>20.562753126406879</v>
      </c>
      <c r="GC625">
        <v>11.654530368570054</v>
      </c>
      <c r="GD625">
        <v>10.9530322760492</v>
      </c>
      <c r="GE625">
        <v>13.695130525273465</v>
      </c>
      <c r="GF625">
        <v>7.9845007426488799</v>
      </c>
      <c r="GG625">
        <v>15.887734613779974</v>
      </c>
      <c r="GH625">
        <v>20.441508857782235</v>
      </c>
      <c r="GI625">
        <v>32.240597463790493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47.779571695958673</v>
      </c>
      <c r="AO626">
        <v>63.220755457307405</v>
      </c>
      <c r="AP626">
        <v>425.85835692660129</v>
      </c>
      <c r="AQ626">
        <v>169.18714362737271</v>
      </c>
      <c r="AR626">
        <v>60.16392392875067</v>
      </c>
      <c r="AS626">
        <v>404.42557319681089</v>
      </c>
      <c r="AT626">
        <v>23.738761857219554</v>
      </c>
      <c r="AU626">
        <v>-9.0863495930293094</v>
      </c>
      <c r="AV626"/>
      <c r="AW626"/>
      <c r="FY626" s="210">
        <v>621</v>
      </c>
      <c r="FZ626">
        <v>22.944353918663772</v>
      </c>
      <c r="GA626">
        <v>28.664901640892381</v>
      </c>
      <c r="GB626">
        <v>14.606564842343333</v>
      </c>
      <c r="GC626">
        <v>7.8493946268242381</v>
      </c>
      <c r="GD626">
        <v>5.4142133181190211</v>
      </c>
      <c r="GE626">
        <v>6.101072942640025</v>
      </c>
      <c r="GF626">
        <v>8.2349756466019297</v>
      </c>
      <c r="GG626">
        <v>14.772203450804762</v>
      </c>
      <c r="GH626">
        <v>14.739567726779798</v>
      </c>
      <c r="GI626">
        <v>21.722193331710116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50.13529123848749</v>
      </c>
      <c r="AO627">
        <v>69.551750755087028</v>
      </c>
      <c r="AP627">
        <v>568.33930958988549</v>
      </c>
      <c r="AQ627">
        <v>234.96835606819349</v>
      </c>
      <c r="AR627">
        <v>63.748292665604282</v>
      </c>
      <c r="AS627">
        <v>347.44982610603512</v>
      </c>
      <c r="AT627">
        <v>28.068946583215816</v>
      </c>
      <c r="AU627">
        <v>-47.781874115235176</v>
      </c>
      <c r="AV627"/>
      <c r="AW627"/>
      <c r="FY627" s="210">
        <v>622</v>
      </c>
      <c r="FZ627">
        <v>25.303519229727023</v>
      </c>
      <c r="GA627">
        <v>64.587098470765028</v>
      </c>
      <c r="GB627">
        <v>39.833550414100877</v>
      </c>
      <c r="GC627">
        <v>11.63562920611805</v>
      </c>
      <c r="GD627">
        <v>5.8969335414139064</v>
      </c>
      <c r="GE627">
        <v>5.9893867884501306</v>
      </c>
      <c r="GF627">
        <v>7.2137497833093125</v>
      </c>
      <c r="GG627">
        <v>16.053793431082191</v>
      </c>
      <c r="GH627">
        <v>25.37785747401189</v>
      </c>
      <c r="GI627">
        <v>31.024092943440259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49.235103014263224</v>
      </c>
      <c r="AO628">
        <v>59.758838958266665</v>
      </c>
      <c r="AP628">
        <v>453.72692943166771</v>
      </c>
      <c r="AQ628">
        <v>188.78423674262947</v>
      </c>
      <c r="AR628">
        <v>56.109281861141</v>
      </c>
      <c r="AS628">
        <v>314.64009564723443</v>
      </c>
      <c r="AT628">
        <v>25.867345723494598</v>
      </c>
      <c r="AU628">
        <v>-15.343235398500434</v>
      </c>
      <c r="AV628"/>
      <c r="AW628"/>
      <c r="FY628" s="210">
        <v>623</v>
      </c>
      <c r="FZ628">
        <v>26.104611875353655</v>
      </c>
      <c r="GA628">
        <v>40.929206465057788</v>
      </c>
      <c r="GB628">
        <v>20.3585600221652</v>
      </c>
      <c r="GC628">
        <v>8.0065700258170782</v>
      </c>
      <c r="GD628">
        <v>4.9703704466548269</v>
      </c>
      <c r="GE628">
        <v>4.546154280701086</v>
      </c>
      <c r="GF628">
        <v>9.8847430467539947</v>
      </c>
      <c r="GG628">
        <v>19.197551720804313</v>
      </c>
      <c r="GH628">
        <v>17.846120843014308</v>
      </c>
      <c r="GI628">
        <v>26.484253668007202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61.931086060613453</v>
      </c>
      <c r="AO629">
        <v>88.202715858130162</v>
      </c>
      <c r="AP629">
        <v>664.35802499964018</v>
      </c>
      <c r="AQ629">
        <v>272.01965487474655</v>
      </c>
      <c r="AR629">
        <v>81.944351535641331</v>
      </c>
      <c r="AS629">
        <v>508.35551567509293</v>
      </c>
      <c r="AT629">
        <v>33.850969686748634</v>
      </c>
      <c r="AU629">
        <v>-90.139816721718219</v>
      </c>
      <c r="AV629"/>
      <c r="AW629"/>
      <c r="FY629" s="210">
        <v>624</v>
      </c>
      <c r="FZ629">
        <v>18.374045645968046</v>
      </c>
      <c r="GA629">
        <v>77.17043769132718</v>
      </c>
      <c r="GB629">
        <v>33.813263015174577</v>
      </c>
      <c r="GC629">
        <v>9.6791087424023878</v>
      </c>
      <c r="GD629">
        <v>7.0037545338445444</v>
      </c>
      <c r="GE629">
        <v>8.263315878703418</v>
      </c>
      <c r="GF629">
        <v>9.8890478272931741</v>
      </c>
      <c r="GG629">
        <v>12.778859557187802</v>
      </c>
      <c r="GH629">
        <v>5.8106948626706361</v>
      </c>
      <c r="GI629">
        <v>31.391154502123321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51.080374752477283</v>
      </c>
      <c r="AO630">
        <v>70.479249830616183</v>
      </c>
      <c r="AP630">
        <v>511.48218699891544</v>
      </c>
      <c r="AQ630">
        <v>215.80586487040389</v>
      </c>
      <c r="AR630">
        <v>66.130555061896985</v>
      </c>
      <c r="AS630">
        <v>387.72208478550687</v>
      </c>
      <c r="AT630">
        <v>27.134411796279732</v>
      </c>
      <c r="AU630">
        <v>15.62850172817693</v>
      </c>
      <c r="AV630"/>
      <c r="AW630"/>
      <c r="FY630" s="210">
        <v>625</v>
      </c>
      <c r="FZ630">
        <v>15.549756719831045</v>
      </c>
      <c r="GA630">
        <v>54.292518602180436</v>
      </c>
      <c r="GB630">
        <v>28.594782032999063</v>
      </c>
      <c r="GC630">
        <v>7.2763311781438604</v>
      </c>
      <c r="GD630">
        <v>3.6625883242667716</v>
      </c>
      <c r="GE630">
        <v>3.7585490176230434</v>
      </c>
      <c r="GF630">
        <v>8.5159237789851687</v>
      </c>
      <c r="GG630">
        <v>13.296401058744888</v>
      </c>
      <c r="GH630">
        <v>13.013865294855266</v>
      </c>
      <c r="GI630">
        <v>23.132778502809206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43.605601388337433</v>
      </c>
      <c r="AO631">
        <v>55.392637542028879</v>
      </c>
      <c r="AP631">
        <v>364.76513485980291</v>
      </c>
      <c r="AQ631">
        <v>162.15991777849445</v>
      </c>
      <c r="AR631">
        <v>51.307952284692036</v>
      </c>
      <c r="AS631">
        <v>309.3575285171172</v>
      </c>
      <c r="AT631">
        <v>20.772158219385805</v>
      </c>
      <c r="AU631">
        <v>-18.666757600848445</v>
      </c>
      <c r="AV631"/>
      <c r="AW631"/>
      <c r="FY631" s="210">
        <v>626</v>
      </c>
      <c r="FZ631">
        <v>25.432170185053749</v>
      </c>
      <c r="GA631">
        <v>47.389161599382462</v>
      </c>
      <c r="GB631">
        <v>39.572450094651209</v>
      </c>
      <c r="GC631">
        <v>13.662698061411266</v>
      </c>
      <c r="GD631">
        <v>6.0478689346964085</v>
      </c>
      <c r="GE631">
        <v>5.5689724670722418</v>
      </c>
      <c r="GF631">
        <v>11.188932670540741</v>
      </c>
      <c r="GG631">
        <v>19.255186793325024</v>
      </c>
      <c r="GH631">
        <v>14.083027427636345</v>
      </c>
      <c r="GI631">
        <v>38.058145339752421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52.572686644850741</v>
      </c>
      <c r="AO632">
        <v>63.250524155956349</v>
      </c>
      <c r="AP632">
        <v>338.33400339145237</v>
      </c>
      <c r="AQ632">
        <v>163.67556734710934</v>
      </c>
      <c r="AR632">
        <v>59.099348529668724</v>
      </c>
      <c r="AS632">
        <v>589.76073221560739</v>
      </c>
      <c r="AT632">
        <v>24.665082148844871</v>
      </c>
      <c r="AU632">
        <v>-6.0987162123685739</v>
      </c>
      <c r="AV632"/>
      <c r="AW632"/>
      <c r="FY632" s="210">
        <v>627</v>
      </c>
      <c r="FZ632">
        <v>32.611997254068079</v>
      </c>
      <c r="GA632">
        <v>69.717098231655569</v>
      </c>
      <c r="GB632">
        <v>46.94517029409063</v>
      </c>
      <c r="GC632">
        <v>15.853329481958896</v>
      </c>
      <c r="GD632">
        <v>5.9354808575068052</v>
      </c>
      <c r="GE632">
        <v>2.4133507935647347</v>
      </c>
      <c r="GF632">
        <v>8.3603624237692227</v>
      </c>
      <c r="GG632">
        <v>17.124460729799587</v>
      </c>
      <c r="GH632">
        <v>24.251988829261339</v>
      </c>
      <c r="GI632">
        <v>41.365296484516939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48.331052149125497</v>
      </c>
      <c r="AO633">
        <v>50.470398134317648</v>
      </c>
      <c r="AP633">
        <v>387.75522240266332</v>
      </c>
      <c r="AQ633">
        <v>186.20393066981308</v>
      </c>
      <c r="AR633">
        <v>49.947155271464986</v>
      </c>
      <c r="AS633">
        <v>257.31583404771374</v>
      </c>
      <c r="AT633">
        <v>20.313029864905893</v>
      </c>
      <c r="AU633">
        <v>3.0671891509220455</v>
      </c>
      <c r="AV633"/>
      <c r="AW633"/>
      <c r="FY633" s="210">
        <v>628</v>
      </c>
      <c r="FZ633">
        <v>15.377784050837821</v>
      </c>
      <c r="GA633">
        <v>68.609719774176696</v>
      </c>
      <c r="GB633">
        <v>36.953739972156065</v>
      </c>
      <c r="GC633">
        <v>10.649392409368645</v>
      </c>
      <c r="GD633">
        <v>5.0616967875789918</v>
      </c>
      <c r="GE633">
        <v>4.4805926851630984</v>
      </c>
      <c r="GF633">
        <v>9.8073041616602321</v>
      </c>
      <c r="GG633">
        <v>11.354970617020015</v>
      </c>
      <c r="GH633">
        <v>7.6523391494436659</v>
      </c>
      <c r="GI633">
        <v>30.438068971114685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53.74190185205422</v>
      </c>
      <c r="AO634">
        <v>68.950470933606567</v>
      </c>
      <c r="AP634">
        <v>457.62952083937381</v>
      </c>
      <c r="AQ634">
        <v>190.25341034529396</v>
      </c>
      <c r="AR634">
        <v>64.780195639389433</v>
      </c>
      <c r="AS634">
        <v>527.02490130293506</v>
      </c>
      <c r="AT634">
        <v>27.657976459555229</v>
      </c>
      <c r="AU634">
        <v>21.968874941528412</v>
      </c>
      <c r="AV634"/>
      <c r="AW634"/>
      <c r="FY634" s="210">
        <v>629</v>
      </c>
      <c r="FZ634">
        <v>22.449986359314835</v>
      </c>
      <c r="GA634">
        <v>35.148804851406751</v>
      </c>
      <c r="GB634">
        <v>19.035323285020148</v>
      </c>
      <c r="GC634">
        <v>9.6026836538209874</v>
      </c>
      <c r="GD634">
        <v>5.6359965070834868</v>
      </c>
      <c r="GE634">
        <v>6.3477784166017273</v>
      </c>
      <c r="GF634">
        <v>6.8964642208558784</v>
      </c>
      <c r="GG634">
        <v>10.261834017564233</v>
      </c>
      <c r="GH634">
        <v>12.745960186348496</v>
      </c>
      <c r="GI634">
        <v>24.241553288191231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56.993976990246075</v>
      </c>
      <c r="AO635">
        <v>78.493236578036317</v>
      </c>
      <c r="AP635">
        <v>598.46337720671124</v>
      </c>
      <c r="AQ635">
        <v>238.4026292378303</v>
      </c>
      <c r="AR635">
        <v>74.241084912452934</v>
      </c>
      <c r="AS635">
        <v>411.08116407099004</v>
      </c>
      <c r="AT635">
        <v>30.357395527130219</v>
      </c>
      <c r="AU635">
        <v>-27.85755211665429</v>
      </c>
      <c r="AV635"/>
      <c r="AW635"/>
      <c r="FY635" s="210">
        <v>630</v>
      </c>
      <c r="FZ635">
        <v>33.651218550471036</v>
      </c>
      <c r="GA635">
        <v>53.081935710377159</v>
      </c>
      <c r="GB635">
        <v>63.596249766365183</v>
      </c>
      <c r="GC635">
        <v>16.783946191372653</v>
      </c>
      <c r="GD635">
        <v>8.4721352787625417</v>
      </c>
      <c r="GE635">
        <v>9.9708349233634053</v>
      </c>
      <c r="GF635">
        <v>8.2931120673633032</v>
      </c>
      <c r="GG635">
        <v>19.401110637483743</v>
      </c>
      <c r="GH635">
        <v>19.77167273391369</v>
      </c>
      <c r="GI635">
        <v>50.041933031784588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61.14146850202286</v>
      </c>
      <c r="AO636">
        <v>64.236330638332475</v>
      </c>
      <c r="AP636">
        <v>401.86805139626551</v>
      </c>
      <c r="AQ636">
        <v>202.10026823204558</v>
      </c>
      <c r="AR636">
        <v>60.976595874554427</v>
      </c>
      <c r="AS636">
        <v>447.79693336627923</v>
      </c>
      <c r="AT636">
        <v>24.777579053463686</v>
      </c>
      <c r="AU636">
        <v>-31.304699976381563</v>
      </c>
      <c r="AV636"/>
      <c r="AW636"/>
      <c r="FY636" s="210">
        <v>631</v>
      </c>
      <c r="FZ636">
        <v>31.304977999592239</v>
      </c>
      <c r="GA636">
        <v>58.405594640709523</v>
      </c>
      <c r="GB636">
        <v>49.49949545919393</v>
      </c>
      <c r="GC636">
        <v>14.460174137978628</v>
      </c>
      <c r="GD636">
        <v>7.0405778466946085</v>
      </c>
      <c r="GE636">
        <v>6.6590645421500234</v>
      </c>
      <c r="GF636">
        <v>9.6932537269183801</v>
      </c>
      <c r="GG636">
        <v>21.257140226143139</v>
      </c>
      <c r="GH636">
        <v>26.484833554053818</v>
      </c>
      <c r="GI636">
        <v>43.822045845991745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43.053561695595299</v>
      </c>
      <c r="AO637">
        <v>44.300096527440992</v>
      </c>
      <c r="AP637">
        <v>313.0154816668869</v>
      </c>
      <c r="AQ637">
        <v>145.04944144537939</v>
      </c>
      <c r="AR637">
        <v>42.897758866116604</v>
      </c>
      <c r="AS637">
        <v>336.19309104090075</v>
      </c>
      <c r="AT637">
        <v>17.290973524159217</v>
      </c>
      <c r="AU637">
        <v>-22.346722190507119</v>
      </c>
      <c r="AV637"/>
      <c r="AW637"/>
      <c r="FY637" s="210">
        <v>632</v>
      </c>
      <c r="FZ637">
        <v>23.055992074701127</v>
      </c>
      <c r="GA637">
        <v>79.129988430448137</v>
      </c>
      <c r="GB637">
        <v>35.549407198655217</v>
      </c>
      <c r="GC637">
        <v>10.187651396157149</v>
      </c>
      <c r="GD637">
        <v>7.0055716803468364</v>
      </c>
      <c r="GE637">
        <v>6.8838885207756642</v>
      </c>
      <c r="GF637">
        <v>9.9073607799578376</v>
      </c>
      <c r="GG637">
        <v>15.399487411144515</v>
      </c>
      <c r="GH637">
        <v>13.177256043916445</v>
      </c>
      <c r="GI637">
        <v>34.524125155165017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58.400091259481144</v>
      </c>
      <c r="AO638">
        <v>63.112329163565036</v>
      </c>
      <c r="AP638">
        <v>515.44338959104653</v>
      </c>
      <c r="AQ638">
        <v>232.91561128241867</v>
      </c>
      <c r="AR638">
        <v>60.846698158081217</v>
      </c>
      <c r="AS638">
        <v>347.09895383180839</v>
      </c>
      <c r="AT638">
        <v>25.023795347131649</v>
      </c>
      <c r="AU638">
        <v>68.296042502585891</v>
      </c>
      <c r="AV638"/>
      <c r="AW638"/>
      <c r="FY638" s="210">
        <v>633</v>
      </c>
      <c r="FZ638">
        <v>23.62092663529674</v>
      </c>
      <c r="GA638">
        <v>38.984313052240594</v>
      </c>
      <c r="GB638">
        <v>37.40075352679284</v>
      </c>
      <c r="GC638">
        <v>13.676228760468327</v>
      </c>
      <c r="GD638">
        <v>7.1024447501146568</v>
      </c>
      <c r="GE638">
        <v>8.1111558719831969</v>
      </c>
      <c r="GF638">
        <v>10.417890344675751</v>
      </c>
      <c r="GG638">
        <v>13.130919265083321</v>
      </c>
      <c r="GH638">
        <v>12.459869059292378</v>
      </c>
      <c r="GI638">
        <v>33.356133855874262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41.953730498214895</v>
      </c>
      <c r="AO639">
        <v>55.680455165000105</v>
      </c>
      <c r="AP639">
        <v>412.12956159078323</v>
      </c>
      <c r="AQ639">
        <v>178.32814239432946</v>
      </c>
      <c r="AR639">
        <v>52.58799277767524</v>
      </c>
      <c r="AS639">
        <v>306.19005578487048</v>
      </c>
      <c r="AT639">
        <v>21.687610341106449</v>
      </c>
      <c r="AU639">
        <v>-10.242092085974569</v>
      </c>
      <c r="AV639"/>
      <c r="AW639"/>
      <c r="FY639" s="210">
        <v>634</v>
      </c>
      <c r="FZ639">
        <v>27.475153851889189</v>
      </c>
      <c r="GA639">
        <v>45.157137591699595</v>
      </c>
      <c r="GB639">
        <v>44.958838374055112</v>
      </c>
      <c r="GC639">
        <v>13.321491770570097</v>
      </c>
      <c r="GD639">
        <v>6.8318904139030021</v>
      </c>
      <c r="GE639">
        <v>7.1807883083449724</v>
      </c>
      <c r="GF639">
        <v>13.6704597894747</v>
      </c>
      <c r="GG639">
        <v>33.64999237692399</v>
      </c>
      <c r="GH639">
        <v>41.2115920661385</v>
      </c>
      <c r="GI639">
        <v>45.348421486986076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48.417751442473744</v>
      </c>
      <c r="AO640">
        <v>65.628239994759696</v>
      </c>
      <c r="AP640">
        <v>488.35474591232241</v>
      </c>
      <c r="AQ640">
        <v>214.17368225669512</v>
      </c>
      <c r="AR640">
        <v>61.084918964489283</v>
      </c>
      <c r="AS640">
        <v>274.79822811196124</v>
      </c>
      <c r="AT640">
        <v>26.79270776162031</v>
      </c>
      <c r="AU640">
        <v>-62.015992076728601</v>
      </c>
      <c r="AV640"/>
      <c r="AW640"/>
      <c r="FY640" s="210">
        <v>635</v>
      </c>
      <c r="FZ640">
        <v>29.309290700656774</v>
      </c>
      <c r="GA640">
        <v>48.635998850085826</v>
      </c>
      <c r="GB640">
        <v>17.140402334001703</v>
      </c>
      <c r="GC640">
        <v>8.5785428124137812</v>
      </c>
      <c r="GD640">
        <v>5.3796153011797294</v>
      </c>
      <c r="GE640">
        <v>5.4899677338641499</v>
      </c>
      <c r="GF640">
        <v>12.320583473277434</v>
      </c>
      <c r="GG640">
        <v>18.20244849002281</v>
      </c>
      <c r="GH640">
        <v>16.246444489741428</v>
      </c>
      <c r="GI640">
        <v>24.941765792816316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44.259232304441937</v>
      </c>
      <c r="AO641">
        <v>47.998106543913366</v>
      </c>
      <c r="AP641">
        <v>387.68059115503286</v>
      </c>
      <c r="AQ641">
        <v>171.09349451043875</v>
      </c>
      <c r="AR641">
        <v>44.620810923060702</v>
      </c>
      <c r="AS641">
        <v>257.58984503465632</v>
      </c>
      <c r="AT641">
        <v>16.71633311661148</v>
      </c>
      <c r="AU641">
        <v>3.0355617531353385</v>
      </c>
      <c r="AV641"/>
      <c r="AW641"/>
      <c r="FY641" s="210">
        <v>636</v>
      </c>
      <c r="FZ641">
        <v>25.362394684845015</v>
      </c>
      <c r="GA641">
        <v>49.887480802290014</v>
      </c>
      <c r="GB641">
        <v>28.159053676019596</v>
      </c>
      <c r="GC641">
        <v>9.9225377686892813</v>
      </c>
      <c r="GD641">
        <v>6.263374662575373</v>
      </c>
      <c r="GE641">
        <v>7.7225837573236875</v>
      </c>
      <c r="GF641">
        <v>6.5076213624531514</v>
      </c>
      <c r="GG641">
        <v>13.064937581801605</v>
      </c>
      <c r="GH641">
        <v>15.48022470719315</v>
      </c>
      <c r="GI641">
        <v>26.012037506655979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60.796698623129529</v>
      </c>
      <c r="AO642">
        <v>84.424626067677352</v>
      </c>
      <c r="AP642">
        <v>603.16459406818751</v>
      </c>
      <c r="AQ642">
        <v>220.25861357352184</v>
      </c>
      <c r="AR642">
        <v>80.327809006379937</v>
      </c>
      <c r="AS642">
        <v>538.32212822617896</v>
      </c>
      <c r="AT642">
        <v>30.486618956026774</v>
      </c>
      <c r="AU642">
        <v>3.126981573196197</v>
      </c>
      <c r="AV642"/>
      <c r="AW642"/>
      <c r="FY642" s="210">
        <v>637</v>
      </c>
      <c r="FZ642">
        <v>17.923312382356869</v>
      </c>
      <c r="GA642">
        <v>85.022260293230488</v>
      </c>
      <c r="GB642">
        <v>27.143261168015446</v>
      </c>
      <c r="GC642">
        <v>6.4903460044981474</v>
      </c>
      <c r="GD642">
        <v>4.6638634842209816</v>
      </c>
      <c r="GE642">
        <v>4.2505833559416857</v>
      </c>
      <c r="GF642">
        <v>10.989682975931142</v>
      </c>
      <c r="GG642">
        <v>21.850449777638843</v>
      </c>
      <c r="GH642">
        <v>26.549043496797584</v>
      </c>
      <c r="GI642">
        <v>28.915442981402851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71.646702821959963</v>
      </c>
      <c r="AO643">
        <v>88.269443424696334</v>
      </c>
      <c r="AP643">
        <v>626.21746987708195</v>
      </c>
      <c r="AQ643">
        <v>264.57853538019185</v>
      </c>
      <c r="AR643">
        <v>81.122066416966945</v>
      </c>
      <c r="AS643">
        <v>600.01795225844455</v>
      </c>
      <c r="AT643">
        <v>33.515941357915942</v>
      </c>
      <c r="AU643">
        <v>5.6563137499583922</v>
      </c>
      <c r="AV643"/>
      <c r="AW643"/>
      <c r="FY643" s="210">
        <v>638</v>
      </c>
      <c r="FZ643">
        <v>18.970849143621106</v>
      </c>
      <c r="GA643">
        <v>55.858689534686832</v>
      </c>
      <c r="GB643">
        <v>36.731349604453882</v>
      </c>
      <c r="GC643">
        <v>11.403863961646083</v>
      </c>
      <c r="GD643">
        <v>8.6858011274725655</v>
      </c>
      <c r="GE643">
        <v>12.247827137080252</v>
      </c>
      <c r="GF643">
        <v>9.0896272269180525</v>
      </c>
      <c r="GG643">
        <v>19.565465356891121</v>
      </c>
      <c r="GH643">
        <v>23.692059127882906</v>
      </c>
      <c r="GI643">
        <v>35.972235527315554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54.809485325126261</v>
      </c>
      <c r="AO644">
        <v>64.466250424599309</v>
      </c>
      <c r="AP644">
        <v>484.53145649801644</v>
      </c>
      <c r="AQ644">
        <v>200.38560857851988</v>
      </c>
      <c r="AR644">
        <v>59.438473469154246</v>
      </c>
      <c r="AS644">
        <v>393.54665530384193</v>
      </c>
      <c r="AT644">
        <v>22.993915313200421</v>
      </c>
      <c r="AU644">
        <v>-11.789910225139652</v>
      </c>
      <c r="AV644"/>
      <c r="AW644"/>
      <c r="FY644" s="210">
        <v>639</v>
      </c>
      <c r="FZ644">
        <v>20.553002550940128</v>
      </c>
      <c r="GA644">
        <v>59.02645302958544</v>
      </c>
      <c r="GB644">
        <v>27.159870632227523</v>
      </c>
      <c r="GC644">
        <v>12.361992132437392</v>
      </c>
      <c r="GD644">
        <v>5.0416742303039932</v>
      </c>
      <c r="GE644">
        <v>1.2594614598399847</v>
      </c>
      <c r="GF644">
        <v>8.0798424561846094</v>
      </c>
      <c r="GG644">
        <v>17.47912131309743</v>
      </c>
      <c r="GH644">
        <v>21.251253564382193</v>
      </c>
      <c r="GI644">
        <v>28.790078749655386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43.079554331493725</v>
      </c>
      <c r="AO645">
        <v>48.359588925113542</v>
      </c>
      <c r="AP645">
        <v>318.75509241774336</v>
      </c>
      <c r="AQ645">
        <v>152.36638478620776</v>
      </c>
      <c r="AR645">
        <v>46.913703762887202</v>
      </c>
      <c r="AS645">
        <v>358.94017934692971</v>
      </c>
      <c r="AT645">
        <v>20.214796946059042</v>
      </c>
      <c r="AU645">
        <v>8.8584967429417514</v>
      </c>
      <c r="AV645"/>
      <c r="AW645"/>
      <c r="FY645" s="210">
        <v>640</v>
      </c>
      <c r="FZ645">
        <v>21.779631498680953</v>
      </c>
      <c r="GA645">
        <v>55.453387181716323</v>
      </c>
      <c r="GB645">
        <v>48.826296608772289</v>
      </c>
      <c r="GC645">
        <v>11.641150602427917</v>
      </c>
      <c r="GD645">
        <v>3.5414982082179334</v>
      </c>
      <c r="GE645">
        <v>2.2894669532615799</v>
      </c>
      <c r="GF645">
        <v>6.2936817800700924</v>
      </c>
      <c r="GG645">
        <v>11.704572670134706</v>
      </c>
      <c r="GH645">
        <v>19.354189753258549</v>
      </c>
      <c r="GI645">
        <v>34.758754802963388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77.747651000548018</v>
      </c>
      <c r="AO646">
        <v>109.64312827654071</v>
      </c>
      <c r="AP646">
        <v>775.73665650541489</v>
      </c>
      <c r="AQ646">
        <v>283.06414889125733</v>
      </c>
      <c r="AR646">
        <v>102.8406365897235</v>
      </c>
      <c r="AS646">
        <v>497.68229843472483</v>
      </c>
      <c r="AT646">
        <v>38.982365200977029</v>
      </c>
      <c r="AU646">
        <v>-24.830716564305813</v>
      </c>
      <c r="AV646"/>
      <c r="AW646"/>
      <c r="FY646" s="210">
        <v>641</v>
      </c>
      <c r="FZ646">
        <v>26.388957695774462</v>
      </c>
      <c r="GA646">
        <v>42.151468270331776</v>
      </c>
      <c r="GB646">
        <v>17.580500460484174</v>
      </c>
      <c r="GC646">
        <v>14.289564506794726</v>
      </c>
      <c r="GD646">
        <v>10.796510722565113</v>
      </c>
      <c r="GE646">
        <v>10.268852453275976</v>
      </c>
      <c r="GF646">
        <v>5.6025288909099533</v>
      </c>
      <c r="GG646">
        <v>9.3942368263480045</v>
      </c>
      <c r="GH646">
        <v>13.2513127399721</v>
      </c>
      <c r="GI646">
        <v>31.731186897846836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63.28850098263554</v>
      </c>
      <c r="AO647">
        <v>94.504252413794589</v>
      </c>
      <c r="AP647">
        <v>692.2119235897336</v>
      </c>
      <c r="AQ647">
        <v>268.62715797942604</v>
      </c>
      <c r="AR647">
        <v>88.8202229169258</v>
      </c>
      <c r="AS647">
        <v>391.2935744143968</v>
      </c>
      <c r="AT647">
        <v>35.245274102438323</v>
      </c>
      <c r="AU647">
        <v>-12.245846996660717</v>
      </c>
      <c r="AV647"/>
      <c r="AW647"/>
      <c r="FY647" s="210">
        <v>642</v>
      </c>
      <c r="FZ647">
        <v>11.574434626382107</v>
      </c>
      <c r="GA647">
        <v>39.3747006237476</v>
      </c>
      <c r="GB647">
        <v>22.301257154581958</v>
      </c>
      <c r="GC647">
        <v>10.268609347174698</v>
      </c>
      <c r="GD647">
        <v>7.0088501038492543</v>
      </c>
      <c r="GE647">
        <v>5.0519096005633006</v>
      </c>
      <c r="GF647">
        <v>7.9412228770291335</v>
      </c>
      <c r="GG647">
        <v>12.150353982592181</v>
      </c>
      <c r="GH647">
        <v>6.7822753884246767</v>
      </c>
      <c r="GI647">
        <v>26.725277641196502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56.667821981900133</v>
      </c>
      <c r="AO648">
        <v>75.067808098886459</v>
      </c>
      <c r="AP648">
        <v>569.93956756215755</v>
      </c>
      <c r="AQ648">
        <v>234.82072869126793</v>
      </c>
      <c r="AR648">
        <v>69.515831351242298</v>
      </c>
      <c r="AS648">
        <v>320.52454458152783</v>
      </c>
      <c r="AT648">
        <v>28.206517289062688</v>
      </c>
      <c r="AU648">
        <v>34.274792770133303</v>
      </c>
      <c r="AV648"/>
      <c r="AW648"/>
      <c r="FY648" s="210">
        <v>643</v>
      </c>
      <c r="FZ648">
        <v>11.883434597639223</v>
      </c>
      <c r="GA648">
        <v>72.481231696249736</v>
      </c>
      <c r="GB648">
        <v>38.27138293860876</v>
      </c>
      <c r="GC648">
        <v>9.6387536384310177</v>
      </c>
      <c r="GD648">
        <v>7.0441870065445009</v>
      </c>
      <c r="GE648">
        <v>7.7850309649238838</v>
      </c>
      <c r="GF648">
        <v>6.8764596091413432</v>
      </c>
      <c r="GG648">
        <v>15.021970072216648</v>
      </c>
      <c r="GH648">
        <v>23.772866767935607</v>
      </c>
      <c r="GI648">
        <v>32.278280871072532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61.31698627161429</v>
      </c>
      <c r="AO649">
        <v>70.754430488018599</v>
      </c>
      <c r="AP649">
        <v>504.71447481684834</v>
      </c>
      <c r="AQ649">
        <v>198.26063512182208</v>
      </c>
      <c r="AR649">
        <v>66.982222497977375</v>
      </c>
      <c r="AS649">
        <v>310.1393971377903</v>
      </c>
      <c r="AT649">
        <v>25.516485624051636</v>
      </c>
      <c r="AU649">
        <v>43.196615062347931</v>
      </c>
      <c r="AV649"/>
      <c r="AW649"/>
      <c r="FY649" s="210">
        <v>644</v>
      </c>
      <c r="FZ649">
        <v>12.059835493292816</v>
      </c>
      <c r="GA649">
        <v>30.424220586025829</v>
      </c>
      <c r="GB649">
        <v>30.942404805970412</v>
      </c>
      <c r="GC649">
        <v>16.88927531635488</v>
      </c>
      <c r="GD649">
        <v>10.8140053927188</v>
      </c>
      <c r="GE649">
        <v>8.6185559340560847</v>
      </c>
      <c r="GF649">
        <v>10.391973186592145</v>
      </c>
      <c r="GG649">
        <v>19.793864460516442</v>
      </c>
      <c r="GH649">
        <v>21.314538125755938</v>
      </c>
      <c r="GI649">
        <v>39.672619124088293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57.149073975354881</v>
      </c>
      <c r="AO650">
        <v>98.263396320896121</v>
      </c>
      <c r="AP650">
        <v>740.93733753958736</v>
      </c>
      <c r="AQ650">
        <v>278.80576602998525</v>
      </c>
      <c r="AR650">
        <v>92.357131418092081</v>
      </c>
      <c r="AS650">
        <v>576.37746095349132</v>
      </c>
      <c r="AT650">
        <v>40.094117501181181</v>
      </c>
      <c r="AU650">
        <v>-49.653315540075901</v>
      </c>
      <c r="AV650"/>
      <c r="AW650"/>
      <c r="FY650" s="210">
        <v>645</v>
      </c>
      <c r="FZ650">
        <v>17.452632529770167</v>
      </c>
      <c r="GA650">
        <v>29.816888877549804</v>
      </c>
      <c r="GB650">
        <v>37.192336209605386</v>
      </c>
      <c r="GC650">
        <v>12.677690841760132</v>
      </c>
      <c r="GD650">
        <v>7.3212771836986033</v>
      </c>
      <c r="GE650">
        <v>7.9064576130380733</v>
      </c>
      <c r="GF650">
        <v>9.9773664679313807</v>
      </c>
      <c r="GG650">
        <v>15.696288090855337</v>
      </c>
      <c r="GH650">
        <v>15.071699297001539</v>
      </c>
      <c r="GI650">
        <v>36.141646510887746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54.07550873344546</v>
      </c>
      <c r="AO651">
        <v>49.02063905046208</v>
      </c>
      <c r="AP651">
        <v>379.47017598652604</v>
      </c>
      <c r="AQ651">
        <v>186.24505997805997</v>
      </c>
      <c r="AR651">
        <v>47.722057051150848</v>
      </c>
      <c r="AS651">
        <v>319.20978391528962</v>
      </c>
      <c r="AT651">
        <v>20.175361939581119</v>
      </c>
      <c r="AU651">
        <v>27.18116901117379</v>
      </c>
      <c r="AV651"/>
      <c r="AW651"/>
      <c r="FY651" s="210">
        <v>646</v>
      </c>
      <c r="FZ651">
        <v>20.481966777064596</v>
      </c>
      <c r="GA651">
        <v>40.968157593284694</v>
      </c>
      <c r="GB651">
        <v>20.628067993369207</v>
      </c>
      <c r="GC651">
        <v>8.0338659902230614</v>
      </c>
      <c r="GD651">
        <v>5.3005469134764072</v>
      </c>
      <c r="GE651">
        <v>7.8290316712191768</v>
      </c>
      <c r="GF651">
        <v>13.207136903412261</v>
      </c>
      <c r="GG651">
        <v>24.787527987963049</v>
      </c>
      <c r="GH651">
        <v>20.059391053606177</v>
      </c>
      <c r="GI651">
        <v>28.969228231105586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46.453119568654238</v>
      </c>
      <c r="AO652">
        <v>51.398316798454495</v>
      </c>
      <c r="AP652">
        <v>377.8282179034104</v>
      </c>
      <c r="AQ652">
        <v>188.38224650984688</v>
      </c>
      <c r="AR652">
        <v>48.564809625590513</v>
      </c>
      <c r="AS652">
        <v>274.02539739924725</v>
      </c>
      <c r="AT652">
        <v>20.498466121783498</v>
      </c>
      <c r="AU652">
        <v>-19.989481241945697</v>
      </c>
      <c r="AV652"/>
      <c r="AW652"/>
      <c r="FY652" s="210">
        <v>647</v>
      </c>
      <c r="FZ652">
        <v>19.467098273383751</v>
      </c>
      <c r="GA652">
        <v>32.810573443764639</v>
      </c>
      <c r="GB652">
        <v>18.175209144638085</v>
      </c>
      <c r="GC652">
        <v>7.3828157263402456</v>
      </c>
      <c r="GD652">
        <v>6.4373392760544386</v>
      </c>
      <c r="GE652">
        <v>7.9775092462034909</v>
      </c>
      <c r="GF652">
        <v>8.2957734310556663</v>
      </c>
      <c r="GG652">
        <v>13.235969353818938</v>
      </c>
      <c r="GH652">
        <v>20.859005969462153</v>
      </c>
      <c r="GI652">
        <v>25.548159437566646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40.410642213495933</v>
      </c>
      <c r="AO653">
        <v>62.647078035768878</v>
      </c>
      <c r="AP653">
        <v>565.43512178260619</v>
      </c>
      <c r="AQ653">
        <v>233.79824592003405</v>
      </c>
      <c r="AR653">
        <v>58.333313704044578</v>
      </c>
      <c r="AS653">
        <v>307.01271975548866</v>
      </c>
      <c r="AT653">
        <v>27.641545613806347</v>
      </c>
      <c r="AU653">
        <v>38.314735285925728</v>
      </c>
      <c r="AV653"/>
      <c r="AW653"/>
      <c r="FY653" s="210">
        <v>648</v>
      </c>
      <c r="FZ653">
        <v>26.511258860921515</v>
      </c>
      <c r="GA653">
        <v>46.29798287490943</v>
      </c>
      <c r="GB653">
        <v>28.215881632840183</v>
      </c>
      <c r="GC653">
        <v>11.575689041201448</v>
      </c>
      <c r="GD653">
        <v>7.9630047212898152</v>
      </c>
      <c r="GE653">
        <v>9.8173871002049786</v>
      </c>
      <c r="GF653">
        <v>5.4986762361955606</v>
      </c>
      <c r="GG653">
        <v>7.7079561601099096</v>
      </c>
      <c r="GH653">
        <v>12.356516922191339</v>
      </c>
      <c r="GI653">
        <v>30.535238416025646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61.295640162903524</v>
      </c>
      <c r="AO654">
        <v>73.863810127479653</v>
      </c>
      <c r="AP654">
        <v>532.72765185867559</v>
      </c>
      <c r="AQ654">
        <v>232.21776774796837</v>
      </c>
      <c r="AR654">
        <v>68.963395325705733</v>
      </c>
      <c r="AS654">
        <v>460.11457328297928</v>
      </c>
      <c r="AT654">
        <v>28.892891272191889</v>
      </c>
      <c r="AU654">
        <v>-38.387341258639353</v>
      </c>
      <c r="AV654"/>
      <c r="AW654"/>
      <c r="FY654" s="210">
        <v>649</v>
      </c>
      <c r="FZ654">
        <v>32.375003333464115</v>
      </c>
      <c r="GA654">
        <v>61.48030503406666</v>
      </c>
      <c r="GB654">
        <v>45.347747795425953</v>
      </c>
      <c r="GC654">
        <v>14.648509938712031</v>
      </c>
      <c r="GD654">
        <v>6.4754470231550787</v>
      </c>
      <c r="GE654">
        <v>6.5685800941209687</v>
      </c>
      <c r="GF654">
        <v>12.556842264422208</v>
      </c>
      <c r="GG654">
        <v>19.52269961488448</v>
      </c>
      <c r="GH654">
        <v>12.711842774008725</v>
      </c>
      <c r="GI654">
        <v>39.669412103093634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53.889964455134916</v>
      </c>
      <c r="AO655">
        <v>61.091255905724424</v>
      </c>
      <c r="AP655">
        <v>472.18117777866848</v>
      </c>
      <c r="AQ655">
        <v>201.00275011865409</v>
      </c>
      <c r="AR655">
        <v>58.052587971368617</v>
      </c>
      <c r="AS655">
        <v>415.60700106553332</v>
      </c>
      <c r="AT655">
        <v>24.497166652878985</v>
      </c>
      <c r="AU655">
        <v>-10.841471367802594</v>
      </c>
      <c r="AV655"/>
      <c r="AW655"/>
      <c r="FY655" s="210">
        <v>650</v>
      </c>
      <c r="FZ655">
        <v>20.1423836203113</v>
      </c>
      <c r="GA655">
        <v>46.409154486466775</v>
      </c>
      <c r="GB655">
        <v>31.863824698226352</v>
      </c>
      <c r="GC655">
        <v>14.100369409613089</v>
      </c>
      <c r="GD655">
        <v>9.5859221719665992</v>
      </c>
      <c r="GE655">
        <v>8.9448215327548795</v>
      </c>
      <c r="GF655">
        <v>8.616973822541194</v>
      </c>
      <c r="GG655">
        <v>16.80110869897349</v>
      </c>
      <c r="GH655">
        <v>18.217681886585076</v>
      </c>
      <c r="GI655">
        <v>33.64658222619375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56.161238192167332</v>
      </c>
      <c r="AO656">
        <v>79.924958486741019</v>
      </c>
      <c r="AP656">
        <v>619.32328484086793</v>
      </c>
      <c r="AQ656">
        <v>215.64263005950374</v>
      </c>
      <c r="AR656">
        <v>75.050010937206423</v>
      </c>
      <c r="AS656">
        <v>475.98814335989175</v>
      </c>
      <c r="AT656">
        <v>28.232136112097304</v>
      </c>
      <c r="AU656">
        <v>-8.7628345330612802</v>
      </c>
      <c r="AV656"/>
      <c r="AW656"/>
      <c r="FY656" s="210">
        <v>651</v>
      </c>
      <c r="FZ656">
        <v>10.145792839254863</v>
      </c>
      <c r="GA656">
        <v>42.56369019585054</v>
      </c>
      <c r="GB656">
        <v>52.387767518185115</v>
      </c>
      <c r="GC656">
        <v>13.513985587765037</v>
      </c>
      <c r="GD656">
        <v>3.947786997481689</v>
      </c>
      <c r="GE656">
        <v>3.5925314900521266</v>
      </c>
      <c r="GF656">
        <v>11.028006870927333</v>
      </c>
      <c r="GG656">
        <v>18.706594406026824</v>
      </c>
      <c r="GH656">
        <v>28.722863118479296</v>
      </c>
      <c r="GI656">
        <v>38.517572729535104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47.891668342864783</v>
      </c>
      <c r="AO657">
        <v>63.844206539531079</v>
      </c>
      <c r="AP657">
        <v>351.96341446053754</v>
      </c>
      <c r="AQ657">
        <v>181.45511946430312</v>
      </c>
      <c r="AR657">
        <v>59.987529626126808</v>
      </c>
      <c r="AS657">
        <v>508.58115031756364</v>
      </c>
      <c r="AT657">
        <v>26.205395843791383</v>
      </c>
      <c r="AU657">
        <v>-39.925124324663088</v>
      </c>
      <c r="AV657"/>
      <c r="AW657"/>
      <c r="FY657" s="210">
        <v>652</v>
      </c>
      <c r="FZ657">
        <v>19.00799419030055</v>
      </c>
      <c r="GA657">
        <v>51.211222873840789</v>
      </c>
      <c r="GB657">
        <v>31.833347585725082</v>
      </c>
      <c r="GC657">
        <v>6.2837493950806484</v>
      </c>
      <c r="GD657">
        <v>3.0233928048201459</v>
      </c>
      <c r="GE657">
        <v>3.5518342525174265</v>
      </c>
      <c r="GF657">
        <v>11.326278221447385</v>
      </c>
      <c r="GG657">
        <v>19.642922634797383</v>
      </c>
      <c r="GH657">
        <v>21.089235968942589</v>
      </c>
      <c r="GI657">
        <v>28.195662540223886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48.044391534088454</v>
      </c>
      <c r="AO658">
        <v>55.940704894604814</v>
      </c>
      <c r="AP658">
        <v>349.30450039723962</v>
      </c>
      <c r="AQ658">
        <v>149.17889134554142</v>
      </c>
      <c r="AR658">
        <v>52.201994826840497</v>
      </c>
      <c r="AS658">
        <v>241.89779662512842</v>
      </c>
      <c r="AT658">
        <v>19.718487775080128</v>
      </c>
      <c r="AU658">
        <v>4.2902926250725155</v>
      </c>
      <c r="AV658"/>
      <c r="AW658"/>
      <c r="FY658" s="210">
        <v>653</v>
      </c>
      <c r="FZ658">
        <v>20.952911870909357</v>
      </c>
      <c r="GA658">
        <v>40.913290816658929</v>
      </c>
      <c r="GB658">
        <v>15.520982040032942</v>
      </c>
      <c r="GC658">
        <v>8.0201445732626588</v>
      </c>
      <c r="GD658">
        <v>5.0532432787487505</v>
      </c>
      <c r="GE658">
        <v>5.3363736797937937</v>
      </c>
      <c r="GF658">
        <v>6.395767200482771</v>
      </c>
      <c r="GG658">
        <v>13.837917626707622</v>
      </c>
      <c r="GH658">
        <v>25.742402329104078</v>
      </c>
      <c r="GI658">
        <v>22.281068730490354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55.376448727099842</v>
      </c>
      <c r="AO659">
        <v>69.864522586520508</v>
      </c>
      <c r="AP659">
        <v>554.08128107679079</v>
      </c>
      <c r="AQ659">
        <v>225.05359816276322</v>
      </c>
      <c r="AR659">
        <v>64.338989653618597</v>
      </c>
      <c r="AS659">
        <v>431.25115577673517</v>
      </c>
      <c r="AT659">
        <v>28.564761238796589</v>
      </c>
      <c r="AU659">
        <v>16.863323055827905</v>
      </c>
      <c r="AV659"/>
      <c r="AW659"/>
      <c r="FY659" s="210">
        <v>654</v>
      </c>
      <c r="FZ659">
        <v>21.409192834689712</v>
      </c>
      <c r="GA659">
        <v>59.821914874000711</v>
      </c>
      <c r="GB659">
        <v>37.280067864777003</v>
      </c>
      <c r="GC659">
        <v>13.563578148477855</v>
      </c>
      <c r="GD659">
        <v>8.6227605089777093</v>
      </c>
      <c r="GE659">
        <v>9.4387364526839619</v>
      </c>
      <c r="GF659">
        <v>10.574358129287649</v>
      </c>
      <c r="GG659">
        <v>15.977082531347731</v>
      </c>
      <c r="GH659">
        <v>19.154350083506628</v>
      </c>
      <c r="GI659">
        <v>37.46268858556698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64.142632598843051</v>
      </c>
      <c r="AO660">
        <v>85.620293871854443</v>
      </c>
      <c r="AP660">
        <v>511.61507563186751</v>
      </c>
      <c r="AQ660">
        <v>200.92129242537166</v>
      </c>
      <c r="AR660">
        <v>79.142424158524292</v>
      </c>
      <c r="AS660">
        <v>396.41909408940785</v>
      </c>
      <c r="AT660">
        <v>32.748593689016673</v>
      </c>
      <c r="AU660">
        <v>8.9045521810356831</v>
      </c>
      <c r="AV660"/>
      <c r="AW660"/>
      <c r="FY660" s="210">
        <v>655</v>
      </c>
      <c r="FZ660">
        <v>21.544372154224366</v>
      </c>
      <c r="GA660">
        <v>52.422164572930924</v>
      </c>
      <c r="GB660">
        <v>28.487453594753788</v>
      </c>
      <c r="GC660">
        <v>10.409499791627519</v>
      </c>
      <c r="GD660">
        <v>7.813365197563324</v>
      </c>
      <c r="GE660">
        <v>6.7516569781868698</v>
      </c>
      <c r="GF660">
        <v>9.4590078864152929</v>
      </c>
      <c r="GG660">
        <v>21.57931764142446</v>
      </c>
      <c r="GH660">
        <v>24.989774116046796</v>
      </c>
      <c r="GI660">
        <v>35.332959432816651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50.485200145980123</v>
      </c>
      <c r="AO661">
        <v>79.259760486992974</v>
      </c>
      <c r="AP661">
        <v>507.90319455875368</v>
      </c>
      <c r="AQ661">
        <v>189.25428362209814</v>
      </c>
      <c r="AR661">
        <v>74.078111550654199</v>
      </c>
      <c r="AS661">
        <v>390.47016291120849</v>
      </c>
      <c r="AT661">
        <v>28.513755750455548</v>
      </c>
      <c r="AU661">
        <v>26.063558808004874</v>
      </c>
      <c r="AV661"/>
      <c r="AW661"/>
      <c r="FY661" s="210">
        <v>656</v>
      </c>
      <c r="FZ661">
        <v>25.757065969492285</v>
      </c>
      <c r="GA661">
        <v>59.4469822779282</v>
      </c>
      <c r="GB661">
        <v>40.668207817811648</v>
      </c>
      <c r="GC661">
        <v>14.127077369751378</v>
      </c>
      <c r="GD661">
        <v>5.3544220390058177</v>
      </c>
      <c r="GE661">
        <v>2.7575207251932237</v>
      </c>
      <c r="GF661">
        <v>10.352533617055395</v>
      </c>
      <c r="GG661">
        <v>20.348480622483379</v>
      </c>
      <c r="GH661">
        <v>17.604528229475015</v>
      </c>
      <c r="GI661">
        <v>38.052111694283596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49.648428284514246</v>
      </c>
      <c r="AO662">
        <v>61.843870117952591</v>
      </c>
      <c r="AP662">
        <v>465.22894351171624</v>
      </c>
      <c r="AQ662">
        <v>190.26492111472422</v>
      </c>
      <c r="AR662">
        <v>58.704186096871226</v>
      </c>
      <c r="AS662">
        <v>339.71418003031084</v>
      </c>
      <c r="AT662">
        <v>25.376363551867744</v>
      </c>
      <c r="AU662">
        <v>33.298045164228114</v>
      </c>
      <c r="AV662"/>
      <c r="AW662"/>
      <c r="FY662" s="210">
        <v>657</v>
      </c>
      <c r="FZ662">
        <v>19.061336639588269</v>
      </c>
      <c r="GA662">
        <v>55.960968018108986</v>
      </c>
      <c r="GB662">
        <v>28.337038865228568</v>
      </c>
      <c r="GC662">
        <v>11.993420774320469</v>
      </c>
      <c r="GD662">
        <v>8.4277238615853847</v>
      </c>
      <c r="GE662">
        <v>8.2793346838711432</v>
      </c>
      <c r="GF662">
        <v>8.527913425080488</v>
      </c>
      <c r="GG662">
        <v>11.305019361646439</v>
      </c>
      <c r="GH662">
        <v>4.4534411856543006</v>
      </c>
      <c r="GI662">
        <v>29.114014039112828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39.676482506637292</v>
      </c>
      <c r="AO663">
        <v>54.12205792600971</v>
      </c>
      <c r="AP663">
        <v>395.11680268620876</v>
      </c>
      <c r="AQ663">
        <v>160.18945330228806</v>
      </c>
      <c r="AR663">
        <v>52.285123290366379</v>
      </c>
      <c r="AS663">
        <v>324.127305795665</v>
      </c>
      <c r="AT663">
        <v>22.987281695529052</v>
      </c>
      <c r="AU663">
        <v>84.611372397787378</v>
      </c>
      <c r="AV663"/>
      <c r="AW663"/>
      <c r="FY663" s="210">
        <v>658</v>
      </c>
      <c r="FZ663">
        <v>25.058551920122866</v>
      </c>
      <c r="GA663">
        <v>51.31064592871715</v>
      </c>
      <c r="GB663">
        <v>30.9293125046344</v>
      </c>
      <c r="GC663">
        <v>8.4267675703145901</v>
      </c>
      <c r="GD663">
        <v>8.0893632730315819</v>
      </c>
      <c r="GE663">
        <v>11.023320197082359</v>
      </c>
      <c r="GF663">
        <v>7.5443494323377198</v>
      </c>
      <c r="GG663">
        <v>17.372452389957907</v>
      </c>
      <c r="GH663">
        <v>19.620998326966721</v>
      </c>
      <c r="GI663">
        <v>32.345242828692292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62.471202492919303</v>
      </c>
      <c r="AO664">
        <v>64.206194764237836</v>
      </c>
      <c r="AP664">
        <v>409.0771494929856</v>
      </c>
      <c r="AQ664">
        <v>186.4795919658898</v>
      </c>
      <c r="AR664">
        <v>60.694890649004101</v>
      </c>
      <c r="AS664">
        <v>343.47937084349337</v>
      </c>
      <c r="AT664">
        <v>22.586291930820277</v>
      </c>
      <c r="AU664">
        <v>5.6861201390871283</v>
      </c>
      <c r="AV664"/>
      <c r="AW664"/>
      <c r="FY664" s="210">
        <v>659</v>
      </c>
      <c r="FZ664">
        <v>28.289800654662418</v>
      </c>
      <c r="GA664">
        <v>55.823787073396005</v>
      </c>
      <c r="GB664">
        <v>23.303929218387744</v>
      </c>
      <c r="GC664">
        <v>14.014321643054336</v>
      </c>
      <c r="GD664">
        <v>7.5858580779786413</v>
      </c>
      <c r="GE664">
        <v>5.560824336084667</v>
      </c>
      <c r="GF664">
        <v>9.5387264774133893</v>
      </c>
      <c r="GG664">
        <v>12.61580211464047</v>
      </c>
      <c r="GH664">
        <v>6.4711275609715386</v>
      </c>
      <c r="GI664">
        <v>28.30068838824609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79.315544633983421</v>
      </c>
      <c r="AO665">
        <v>83.841043267515076</v>
      </c>
      <c r="AP665">
        <v>616.88603551452468</v>
      </c>
      <c r="AQ665">
        <v>251.35638997535386</v>
      </c>
      <c r="AR665">
        <v>78.772402912242242</v>
      </c>
      <c r="AS665">
        <v>416.84976699401068</v>
      </c>
      <c r="AT665">
        <v>31.802530722734929</v>
      </c>
      <c r="AU665">
        <v>92.639013744608292</v>
      </c>
      <c r="AV665"/>
      <c r="AW665"/>
      <c r="FY665" s="210">
        <v>660</v>
      </c>
      <c r="FZ665">
        <v>28.100798893600871</v>
      </c>
      <c r="GA665">
        <v>60.551712583222773</v>
      </c>
      <c r="GB665">
        <v>30.812209351781245</v>
      </c>
      <c r="GC665">
        <v>9.8397579761193317</v>
      </c>
      <c r="GD665">
        <v>7.5338464052054643</v>
      </c>
      <c r="GE665">
        <v>10.932298268273016</v>
      </c>
      <c r="GF665">
        <v>5.212766747016798</v>
      </c>
      <c r="GG665">
        <v>19.058977151040118</v>
      </c>
      <c r="GH665">
        <v>40.266212041997619</v>
      </c>
      <c r="GI665">
        <v>35.441355104950695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57.559428504180765</v>
      </c>
      <c r="AO666">
        <v>68.83097085851098</v>
      </c>
      <c r="AP666">
        <v>452.02092848812271</v>
      </c>
      <c r="AQ666">
        <v>208.32882255363248</v>
      </c>
      <c r="AR666">
        <v>63.656817092157205</v>
      </c>
      <c r="AS666">
        <v>363.05977115020914</v>
      </c>
      <c r="AT666">
        <v>24.490743350049751</v>
      </c>
      <c r="AU666">
        <v>-20.779161951698914</v>
      </c>
      <c r="AV666"/>
      <c r="AW666"/>
      <c r="FY666" s="210">
        <v>661</v>
      </c>
      <c r="FZ666">
        <v>30.591315439807129</v>
      </c>
      <c r="GA666">
        <v>41.370580661856167</v>
      </c>
      <c r="GB666">
        <v>25.645819318833126</v>
      </c>
      <c r="GC666">
        <v>11.099950427501069</v>
      </c>
      <c r="GD666">
        <v>6.2501066965096657</v>
      </c>
      <c r="GE666">
        <v>4.6396162459700117</v>
      </c>
      <c r="GF666">
        <v>11.633659179316989</v>
      </c>
      <c r="GG666">
        <v>18.847763916723231</v>
      </c>
      <c r="GH666">
        <v>17.018695573423159</v>
      </c>
      <c r="GI666">
        <v>30.173381502122748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56.460740988445068</v>
      </c>
      <c r="AO667">
        <v>85.401092898448766</v>
      </c>
      <c r="AP667">
        <v>625.22033667980145</v>
      </c>
      <c r="AQ667">
        <v>223.12659175355793</v>
      </c>
      <c r="AR667">
        <v>79.060731363214074</v>
      </c>
      <c r="AS667">
        <v>393.21913312990063</v>
      </c>
      <c r="AT667">
        <v>29.866315735241841</v>
      </c>
      <c r="AU667">
        <v>-17.754368343786073</v>
      </c>
      <c r="AV667"/>
      <c r="AW667"/>
      <c r="FY667" s="210">
        <v>662</v>
      </c>
      <c r="FZ667">
        <v>21.582773921373516</v>
      </c>
      <c r="GA667">
        <v>67.076548434042863</v>
      </c>
      <c r="GB667">
        <v>29.260142431766802</v>
      </c>
      <c r="GC667">
        <v>12.080464581709331</v>
      </c>
      <c r="GD667">
        <v>8.6645146017791248</v>
      </c>
      <c r="GE667">
        <v>7.123707273967538</v>
      </c>
      <c r="GF667">
        <v>8.2173329663493231</v>
      </c>
      <c r="GG667">
        <v>11.598478176879821</v>
      </c>
      <c r="GH667">
        <v>7.6667600644544063</v>
      </c>
      <c r="GI667">
        <v>34.294426361578047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46.043315176766257</v>
      </c>
      <c r="AO668">
        <v>62.640358454012713</v>
      </c>
      <c r="AP668">
        <v>526.36291420324187</v>
      </c>
      <c r="AQ668">
        <v>195.16564046769585</v>
      </c>
      <c r="AR668">
        <v>58.651226271133034</v>
      </c>
      <c r="AS668">
        <v>280.5020298595191</v>
      </c>
      <c r="AT668">
        <v>24.052602437336933</v>
      </c>
      <c r="AU668">
        <v>26.873772846777801</v>
      </c>
      <c r="AV668"/>
      <c r="AW668"/>
      <c r="FY668" s="210">
        <v>663</v>
      </c>
      <c r="FZ668">
        <v>27.8091587794178</v>
      </c>
      <c r="GA668">
        <v>34.213299177706233</v>
      </c>
      <c r="GB668">
        <v>58.535415819855885</v>
      </c>
      <c r="GC668">
        <v>15.540867841137487</v>
      </c>
      <c r="GD668">
        <v>5.4751677017650522</v>
      </c>
      <c r="GE668">
        <v>6.6625795520988103</v>
      </c>
      <c r="GF668">
        <v>9.6538496549040236</v>
      </c>
      <c r="GG668">
        <v>14.252461819327172</v>
      </c>
      <c r="GH668">
        <v>14.111076088276636</v>
      </c>
      <c r="GI668">
        <v>41.092685908555403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56.757571333452105</v>
      </c>
      <c r="AO669">
        <v>45.114457494955495</v>
      </c>
      <c r="AP669">
        <v>327.00820556874464</v>
      </c>
      <c r="AQ669">
        <v>164.05410214619124</v>
      </c>
      <c r="AR669">
        <v>42.018267546716409</v>
      </c>
      <c r="AS669">
        <v>267.84332329649772</v>
      </c>
      <c r="AT669">
        <v>18.688940915655969</v>
      </c>
      <c r="AU669">
        <v>8.9007999913060587</v>
      </c>
      <c r="AV669"/>
      <c r="AW669"/>
      <c r="FY669" s="210">
        <v>664</v>
      </c>
      <c r="FZ669">
        <v>20.395922456553876</v>
      </c>
      <c r="GA669">
        <v>76.141770215258902</v>
      </c>
      <c r="GB669">
        <v>34.580399909491263</v>
      </c>
      <c r="GC669">
        <v>11.247484867932329</v>
      </c>
      <c r="GD669">
        <v>5.2148667710011249</v>
      </c>
      <c r="GE669">
        <v>3.4663592512126513</v>
      </c>
      <c r="GF669">
        <v>8.3764497272946397</v>
      </c>
      <c r="GG669">
        <v>19.049156513799836</v>
      </c>
      <c r="GH669">
        <v>20.712795292392478</v>
      </c>
      <c r="GI669">
        <v>33.051993411067336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66.545719494243116</v>
      </c>
      <c r="AO670">
        <v>79.835500529626444</v>
      </c>
      <c r="AP670">
        <v>558.40764715866771</v>
      </c>
      <c r="AQ670">
        <v>233.30473001331592</v>
      </c>
      <c r="AR670">
        <v>74.196257228114376</v>
      </c>
      <c r="AS670">
        <v>428.51658777677403</v>
      </c>
      <c r="AT670">
        <v>29.687622457564228</v>
      </c>
      <c r="AU670">
        <v>23.821056146964718</v>
      </c>
      <c r="AV670"/>
      <c r="AW670"/>
      <c r="FY670" s="210">
        <v>665</v>
      </c>
      <c r="FZ670">
        <v>30.353688012282792</v>
      </c>
      <c r="GA670">
        <v>20.499114958891013</v>
      </c>
      <c r="GB670">
        <v>37.875658539105942</v>
      </c>
      <c r="GC670">
        <v>14.56782181073666</v>
      </c>
      <c r="GD670">
        <v>5.7074462970465341</v>
      </c>
      <c r="GE670">
        <v>2.7161652470395166</v>
      </c>
      <c r="GF670">
        <v>8.9468794881649742</v>
      </c>
      <c r="GG670">
        <v>17.466994532370951</v>
      </c>
      <c r="GH670">
        <v>17.830779789531572</v>
      </c>
      <c r="GI670">
        <v>38.11400788276886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55.249592552859141</v>
      </c>
      <c r="AO671">
        <v>75.039168434174101</v>
      </c>
      <c r="AP671">
        <v>528.67048030376702</v>
      </c>
      <c r="AQ671">
        <v>218.78957136599001</v>
      </c>
      <c r="AR671">
        <v>70.659571787793197</v>
      </c>
      <c r="AS671">
        <v>417.52193394461437</v>
      </c>
      <c r="AT671">
        <v>28.073598925198819</v>
      </c>
      <c r="AU671">
        <v>-10.263646977455355</v>
      </c>
      <c r="AV671"/>
      <c r="AW671"/>
      <c r="FY671" s="210">
        <v>666</v>
      </c>
      <c r="FZ671">
        <v>18.736856001738861</v>
      </c>
      <c r="GA671">
        <v>34.208348504396419</v>
      </c>
      <c r="GB671">
        <v>33.401556422830588</v>
      </c>
      <c r="GC671">
        <v>11.343223768888722</v>
      </c>
      <c r="GD671">
        <v>5.8791544885584592</v>
      </c>
      <c r="GE671">
        <v>6.2341277907846875</v>
      </c>
      <c r="GF671">
        <v>9.7445929543792378</v>
      </c>
      <c r="GG671">
        <v>23.0936679286608</v>
      </c>
      <c r="GH671">
        <v>34.883858639827281</v>
      </c>
      <c r="GI671">
        <v>34.098609813484458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64.063328608164184</v>
      </c>
      <c r="AO672">
        <v>81.226764294062292</v>
      </c>
      <c r="AP672">
        <v>566.60354568617345</v>
      </c>
      <c r="AQ672">
        <v>234.46893036247997</v>
      </c>
      <c r="AR672">
        <v>75.188917627559064</v>
      </c>
      <c r="AS672">
        <v>417.17072092255376</v>
      </c>
      <c r="AT672">
        <v>27.118852924760102</v>
      </c>
      <c r="AU672">
        <v>-7.6554186888433264</v>
      </c>
      <c r="AV672"/>
      <c r="AW672"/>
      <c r="FY672" s="210">
        <v>667</v>
      </c>
      <c r="FZ672">
        <v>25.694725436689076</v>
      </c>
      <c r="GA672">
        <v>38.686654811110088</v>
      </c>
      <c r="GB672">
        <v>17.55052375960614</v>
      </c>
      <c r="GC672">
        <v>8.2216787424227409</v>
      </c>
      <c r="GD672">
        <v>5.2999814585288627</v>
      </c>
      <c r="GE672">
        <v>6.490671904635219</v>
      </c>
      <c r="GF672">
        <v>11.020965730008692</v>
      </c>
      <c r="GG672">
        <v>15.388769670984329</v>
      </c>
      <c r="GH672">
        <v>17.436989560581569</v>
      </c>
      <c r="GI672">
        <v>23.908213800020128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48.366146393742255</v>
      </c>
      <c r="AO673">
        <v>59.125448597543823</v>
      </c>
      <c r="AP673">
        <v>380.67313300407835</v>
      </c>
      <c r="AQ673">
        <v>185.46021085419687</v>
      </c>
      <c r="AR673">
        <v>54.106617334168121</v>
      </c>
      <c r="AS673">
        <v>433.6972289126864</v>
      </c>
      <c r="AT673">
        <v>22.105674904680452</v>
      </c>
      <c r="AU673">
        <v>-25.954472660852172</v>
      </c>
      <c r="AV673"/>
      <c r="AW673"/>
      <c r="FY673" s="210">
        <v>668</v>
      </c>
      <c r="FZ673">
        <v>18.731570420524953</v>
      </c>
      <c r="GA673">
        <v>49.862651373078421</v>
      </c>
      <c r="GB673">
        <v>32.406319135808907</v>
      </c>
      <c r="GC673">
        <v>13.609065326402662</v>
      </c>
      <c r="GD673">
        <v>7.8431422513409954</v>
      </c>
      <c r="GE673">
        <v>7.3181970230300957</v>
      </c>
      <c r="GF673">
        <v>9.0648306803056666</v>
      </c>
      <c r="GG673">
        <v>18.644857558717085</v>
      </c>
      <c r="GH673">
        <v>23.412545604967647</v>
      </c>
      <c r="GI673">
        <v>33.303128759670138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46.856097977291356</v>
      </c>
      <c r="AO674">
        <v>66.341840799638263</v>
      </c>
      <c r="AP674">
        <v>474.86179701210801</v>
      </c>
      <c r="AQ674">
        <v>211.72100437185759</v>
      </c>
      <c r="AR674">
        <v>63.361751108259149</v>
      </c>
      <c r="AS674">
        <v>301.37657434705602</v>
      </c>
      <c r="AT674">
        <v>25.544313093961652</v>
      </c>
      <c r="AU674">
        <v>23.917409412331153</v>
      </c>
      <c r="AV674"/>
      <c r="AW674"/>
      <c r="FY674" s="210">
        <v>669</v>
      </c>
      <c r="FZ674">
        <v>17.692853148917564</v>
      </c>
      <c r="GA674">
        <v>46.981603633927797</v>
      </c>
      <c r="GB674">
        <v>39.134568934039258</v>
      </c>
      <c r="GC674">
        <v>13.083615652817464</v>
      </c>
      <c r="GD674">
        <v>7.0686146348392089</v>
      </c>
      <c r="GE674">
        <v>8.2363794836500492</v>
      </c>
      <c r="GF674">
        <v>9.1071872475812778</v>
      </c>
      <c r="GG674">
        <v>18.9326914028725</v>
      </c>
      <c r="GH674">
        <v>22.898407050946886</v>
      </c>
      <c r="GI674">
        <v>37.564810302649477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71.902246405334182</v>
      </c>
      <c r="AO675">
        <v>58.310763648904505</v>
      </c>
      <c r="AP675">
        <v>401.65863775366512</v>
      </c>
      <c r="AQ675">
        <v>191.5048655448353</v>
      </c>
      <c r="AR675">
        <v>53.503249595557591</v>
      </c>
      <c r="AS675">
        <v>347.17044006046945</v>
      </c>
      <c r="AT675">
        <v>22.457486497031251</v>
      </c>
      <c r="AU675">
        <v>29.166035671612811</v>
      </c>
      <c r="AV675"/>
      <c r="AW675"/>
      <c r="FY675" s="210">
        <v>670</v>
      </c>
      <c r="FZ675">
        <v>30.608010811048068</v>
      </c>
      <c r="GA675">
        <v>54.955340150130326</v>
      </c>
      <c r="GB675">
        <v>24.360574759221841</v>
      </c>
      <c r="GC675">
        <v>10.931887553989442</v>
      </c>
      <c r="GD675">
        <v>6.504816281800256</v>
      </c>
      <c r="GE675">
        <v>5.8154527859975511</v>
      </c>
      <c r="GF675">
        <v>11.012396395787247</v>
      </c>
      <c r="GG675">
        <v>13.891326216254521</v>
      </c>
      <c r="GH675">
        <v>10.840381875594005</v>
      </c>
      <c r="GI675">
        <v>27.022942180890929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73.485872791715991</v>
      </c>
      <c r="AO676">
        <v>73.922212660316646</v>
      </c>
      <c r="AP676">
        <v>541.05956285762818</v>
      </c>
      <c r="AQ676">
        <v>247.74993452320794</v>
      </c>
      <c r="AR676">
        <v>68.466984327721235</v>
      </c>
      <c r="AS676">
        <v>325.53013211290522</v>
      </c>
      <c r="AT676">
        <v>29.480527693202902</v>
      </c>
      <c r="AU676">
        <v>53.055289165685828</v>
      </c>
      <c r="AV676"/>
      <c r="AW676"/>
      <c r="FY676" s="210">
        <v>671</v>
      </c>
      <c r="FZ676">
        <v>25.506685352922865</v>
      </c>
      <c r="GA676">
        <v>74.154885195769594</v>
      </c>
      <c r="GB676">
        <v>36.821884730525802</v>
      </c>
      <c r="GC676">
        <v>12.295067055449968</v>
      </c>
      <c r="GD676">
        <v>10.112257932755087</v>
      </c>
      <c r="GE676">
        <v>11.323942263057564</v>
      </c>
      <c r="GF676">
        <v>10.314595921941077</v>
      </c>
      <c r="GG676">
        <v>20.334903536400908</v>
      </c>
      <c r="GH676">
        <v>24.703659578039314</v>
      </c>
      <c r="GI676">
        <v>39.374025194727174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49.704401929304936</v>
      </c>
      <c r="AO677">
        <v>65.476190266482959</v>
      </c>
      <c r="AP677">
        <v>494.61748634390227</v>
      </c>
      <c r="AQ677">
        <v>197.27088896206331</v>
      </c>
      <c r="AR677">
        <v>62.415707972549754</v>
      </c>
      <c r="AS677">
        <v>359.07281195324714</v>
      </c>
      <c r="AT677">
        <v>27.528761725105994</v>
      </c>
      <c r="AU677">
        <v>34.086496502459781</v>
      </c>
      <c r="AV677"/>
      <c r="AW677"/>
      <c r="FY677" s="210">
        <v>672</v>
      </c>
      <c r="FZ677">
        <v>29.029429118928487</v>
      </c>
      <c r="GA677">
        <v>64.737606560030841</v>
      </c>
      <c r="GB677">
        <v>22.298141382362999</v>
      </c>
      <c r="GC677">
        <v>7.7313088470776847</v>
      </c>
      <c r="GD677">
        <v>8.1716197549315073</v>
      </c>
      <c r="GE677">
        <v>11.572606141567974</v>
      </c>
      <c r="GF677">
        <v>13.671589682070023</v>
      </c>
      <c r="GG677">
        <v>21.152554241402125</v>
      </c>
      <c r="GH677">
        <v>19.14482522132106</v>
      </c>
      <c r="GI677">
        <v>34.391539554559316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48.985809150726006</v>
      </c>
      <c r="AO678">
        <v>73.292347295176995</v>
      </c>
      <c r="AP678">
        <v>497.08408316727861</v>
      </c>
      <c r="AQ678">
        <v>207.56514881390075</v>
      </c>
      <c r="AR678">
        <v>68.015393075102068</v>
      </c>
      <c r="AS678">
        <v>407.3992992177121</v>
      </c>
      <c r="AT678">
        <v>30.334336797913547</v>
      </c>
      <c r="AU678">
        <v>12.564361289162704</v>
      </c>
      <c r="AV678"/>
      <c r="AW678"/>
      <c r="FY678" s="210">
        <v>673</v>
      </c>
      <c r="FZ678">
        <v>29.763388377726315</v>
      </c>
      <c r="GA678">
        <v>61.455694202889205</v>
      </c>
      <c r="GB678">
        <v>40.472213122777418</v>
      </c>
      <c r="GC678">
        <v>11.690723348258434</v>
      </c>
      <c r="GD678">
        <v>9.7103965261528877</v>
      </c>
      <c r="GE678">
        <v>14.074678056826698</v>
      </c>
      <c r="GF678">
        <v>5.918186046958489</v>
      </c>
      <c r="GG678">
        <v>12.868459281152514</v>
      </c>
      <c r="GH678">
        <v>20.852527745097621</v>
      </c>
      <c r="GI678">
        <v>38.353063538121638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65.499194129047837</v>
      </c>
      <c r="AO679">
        <v>91.926307411045769</v>
      </c>
      <c r="AP679">
        <v>671.29484680693099</v>
      </c>
      <c r="AQ679">
        <v>227.34656234304452</v>
      </c>
      <c r="AR679">
        <v>86.734656100555966</v>
      </c>
      <c r="AS679">
        <v>925.14269884761768</v>
      </c>
      <c r="AT679">
        <v>31.904982838367037</v>
      </c>
      <c r="AU679">
        <v>8.3993356019827417</v>
      </c>
      <c r="AV679"/>
      <c r="AW679"/>
      <c r="FY679" s="210">
        <v>674</v>
      </c>
      <c r="FZ679">
        <v>19.835955778950687</v>
      </c>
      <c r="GA679">
        <v>63.571938255164284</v>
      </c>
      <c r="GB679">
        <v>26.528137523217641</v>
      </c>
      <c r="GC679">
        <v>8.8070468917114528</v>
      </c>
      <c r="GD679">
        <v>5.6567049954863418</v>
      </c>
      <c r="GE679">
        <v>5.6638761549292376</v>
      </c>
      <c r="GF679">
        <v>6.0680176149921721</v>
      </c>
      <c r="GG679">
        <v>9.2506016785513534</v>
      </c>
      <c r="GH679">
        <v>15.826230740285656</v>
      </c>
      <c r="GI679">
        <v>25.481933430638538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54.26077155164576</v>
      </c>
      <c r="AO680">
        <v>73.356513513993846</v>
      </c>
      <c r="AP680">
        <v>577.08846435030091</v>
      </c>
      <c r="AQ680">
        <v>232.23719841600442</v>
      </c>
      <c r="AR680">
        <v>67.194196795267501</v>
      </c>
      <c r="AS680">
        <v>392.21931438298759</v>
      </c>
      <c r="AT680">
        <v>29.193992821986953</v>
      </c>
      <c r="AU680">
        <v>-15.13329129747161</v>
      </c>
      <c r="AV680"/>
      <c r="AW680"/>
      <c r="FY680" s="210">
        <v>675</v>
      </c>
      <c r="FZ680">
        <v>15.223720020024487</v>
      </c>
      <c r="GA680">
        <v>68.532569356068649</v>
      </c>
      <c r="GB680">
        <v>55.604058319191317</v>
      </c>
      <c r="GC680">
        <v>12.967531519571057</v>
      </c>
      <c r="GD680">
        <v>4.0328592294835151</v>
      </c>
      <c r="GE680">
        <v>3.2092243855343803</v>
      </c>
      <c r="GF680">
        <v>10.707868949785103</v>
      </c>
      <c r="GG680">
        <v>15.503557939465447</v>
      </c>
      <c r="GH680">
        <v>17.915316445085669</v>
      </c>
      <c r="GI680">
        <v>39.128373726359428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52.388357139729557</v>
      </c>
      <c r="AO681">
        <v>84.886553254371449</v>
      </c>
      <c r="AP681">
        <v>571.47475658060864</v>
      </c>
      <c r="AQ681">
        <v>194.07855655793878</v>
      </c>
      <c r="AR681">
        <v>81.738948600615558</v>
      </c>
      <c r="AS681">
        <v>430.53391955888071</v>
      </c>
      <c r="AT681">
        <v>31.445377191452618</v>
      </c>
      <c r="AU681">
        <v>-0.94858508883764614</v>
      </c>
      <c r="AV681"/>
      <c r="AW681"/>
      <c r="FY681" s="210">
        <v>676</v>
      </c>
      <c r="FZ681">
        <v>27.106409189876647</v>
      </c>
      <c r="GA681">
        <v>88.226140587055312</v>
      </c>
      <c r="GB681">
        <v>47.135750321016253</v>
      </c>
      <c r="GC681">
        <v>12.1393894422045</v>
      </c>
      <c r="GD681">
        <v>7.1440988975016566</v>
      </c>
      <c r="GE681">
        <v>7.3678543783884605</v>
      </c>
      <c r="GF681">
        <v>11.649782005039194</v>
      </c>
      <c r="GG681">
        <v>18.420354253261166</v>
      </c>
      <c r="GH681">
        <v>11.195144328084938</v>
      </c>
      <c r="GI681">
        <v>39.230014146011484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49.85458349753317</v>
      </c>
      <c r="AO682">
        <v>74.098380298554588</v>
      </c>
      <c r="AP682">
        <v>546.51750915622608</v>
      </c>
      <c r="AQ682">
        <v>211.62399631354953</v>
      </c>
      <c r="AR682">
        <v>69.044736556525166</v>
      </c>
      <c r="AS682">
        <v>409.89226481915955</v>
      </c>
      <c r="AT682">
        <v>30.094022906783881</v>
      </c>
      <c r="AU682">
        <v>-21.365722382495495</v>
      </c>
      <c r="AV682"/>
      <c r="AW682"/>
      <c r="FY682" s="210">
        <v>677</v>
      </c>
      <c r="FZ682">
        <v>26.898689175567803</v>
      </c>
      <c r="GA682">
        <v>72.842570144951537</v>
      </c>
      <c r="GB682">
        <v>37.319206985767558</v>
      </c>
      <c r="GC682">
        <v>10.974923342720119</v>
      </c>
      <c r="GD682">
        <v>9.4385134531524368</v>
      </c>
      <c r="GE682">
        <v>12.634857475970282</v>
      </c>
      <c r="GF682">
        <v>12.574803729260088</v>
      </c>
      <c r="GG682">
        <v>15.2593696890162</v>
      </c>
      <c r="GH682">
        <v>7.1279001827084514</v>
      </c>
      <c r="GI682">
        <v>37.018724384752872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43.953188434829052</v>
      </c>
      <c r="AO683">
        <v>49.092092243566569</v>
      </c>
      <c r="AP683">
        <v>361.66381505902876</v>
      </c>
      <c r="AQ683">
        <v>169.69917487458684</v>
      </c>
      <c r="AR683">
        <v>47.073313414376258</v>
      </c>
      <c r="AS683">
        <v>245.96759462542832</v>
      </c>
      <c r="AT683">
        <v>21.565183714963737</v>
      </c>
      <c r="AU683">
        <v>36.6476773273764</v>
      </c>
      <c r="AV683"/>
      <c r="AW683"/>
      <c r="FY683" s="210">
        <v>678</v>
      </c>
      <c r="FZ683">
        <v>29.463328174564154</v>
      </c>
      <c r="GA683">
        <v>37.307613201394084</v>
      </c>
      <c r="GB683">
        <v>27.420593410805232</v>
      </c>
      <c r="GC683">
        <v>12.091393168532678</v>
      </c>
      <c r="GD683">
        <v>5.2457931165004075</v>
      </c>
      <c r="GE683">
        <v>3.268516113918178</v>
      </c>
      <c r="GF683">
        <v>10.499285038286185</v>
      </c>
      <c r="GG683">
        <v>15.662669739907635</v>
      </c>
      <c r="GH683">
        <v>14.846603373115345</v>
      </c>
      <c r="GI683">
        <v>29.434465765508122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59.908666258533096</v>
      </c>
      <c r="AO684">
        <v>69.78131758792469</v>
      </c>
      <c r="AP684">
        <v>486.52071518305814</v>
      </c>
      <c r="AQ684">
        <v>214.19630813384657</v>
      </c>
      <c r="AR684">
        <v>65.459324068900344</v>
      </c>
      <c r="AS684">
        <v>430.34511924534689</v>
      </c>
      <c r="AT684">
        <v>25.246214396869135</v>
      </c>
      <c r="AU684">
        <v>-3.7753076122063902</v>
      </c>
      <c r="AV684"/>
      <c r="AW684"/>
      <c r="FY684" s="210">
        <v>679</v>
      </c>
      <c r="FZ684">
        <v>18.319754958555389</v>
      </c>
      <c r="GA684">
        <v>60.315050114169267</v>
      </c>
      <c r="GB684">
        <v>27.49609591795419</v>
      </c>
      <c r="GC684">
        <v>10.954655314402412</v>
      </c>
      <c r="GD684">
        <v>10.093994519724699</v>
      </c>
      <c r="GE684">
        <v>11.120252500155383</v>
      </c>
      <c r="GF684">
        <v>8.4331842446036784</v>
      </c>
      <c r="GG684">
        <v>9.7389019321859749</v>
      </c>
      <c r="GH684">
        <v>11.977437482511975</v>
      </c>
      <c r="GI684">
        <v>31.175457984912203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58.709456409675042</v>
      </c>
      <c r="AO685">
        <v>81.536555246768074</v>
      </c>
      <c r="AP685">
        <v>555.1849358449216</v>
      </c>
      <c r="AQ685">
        <v>220.70073149224149</v>
      </c>
      <c r="AR685">
        <v>75.27471052705711</v>
      </c>
      <c r="AS685">
        <v>519.23255245186374</v>
      </c>
      <c r="AT685">
        <v>30.784160734702411</v>
      </c>
      <c r="AU685">
        <v>-17.614798422601424</v>
      </c>
      <c r="AV685"/>
      <c r="AW685"/>
      <c r="FY685" s="210">
        <v>680</v>
      </c>
      <c r="FZ685">
        <v>17.518493199071152</v>
      </c>
      <c r="GA685">
        <v>56.499370405595762</v>
      </c>
      <c r="GB685">
        <v>20.186336594686395</v>
      </c>
      <c r="GC685">
        <v>7.5689585117889386</v>
      </c>
      <c r="GD685">
        <v>4.4874420680148113</v>
      </c>
      <c r="GE685">
        <v>2.8885436554621116</v>
      </c>
      <c r="GF685">
        <v>7.3445346802849585</v>
      </c>
      <c r="GG685">
        <v>11.490117200256757</v>
      </c>
      <c r="GH685">
        <v>14.571018875021537</v>
      </c>
      <c r="GI685">
        <v>23.669240629903285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54.440269047448076</v>
      </c>
      <c r="AO686">
        <v>52.006348752923529</v>
      </c>
      <c r="AP686">
        <v>395.28163526242713</v>
      </c>
      <c r="AQ686">
        <v>195.94312901071422</v>
      </c>
      <c r="AR686">
        <v>49.664464659464841</v>
      </c>
      <c r="AS686">
        <v>308.30407579271093</v>
      </c>
      <c r="AT686">
        <v>20.595239232621353</v>
      </c>
      <c r="AU686">
        <v>22.701835361810851</v>
      </c>
      <c r="AV686"/>
      <c r="AW686"/>
      <c r="FY686" s="210">
        <v>681</v>
      </c>
      <c r="FZ686">
        <v>19.148119423069161</v>
      </c>
      <c r="GA686">
        <v>58.765415425104791</v>
      </c>
      <c r="GB686">
        <v>20.876739544419483</v>
      </c>
      <c r="GC686">
        <v>7.0490603331384376</v>
      </c>
      <c r="GD686">
        <v>6.4902649228156397</v>
      </c>
      <c r="GE686">
        <v>9.3575370187291682</v>
      </c>
      <c r="GF686">
        <v>11.695570742259019</v>
      </c>
      <c r="GG686">
        <v>22.606604525328866</v>
      </c>
      <c r="GH686">
        <v>29.601362737695183</v>
      </c>
      <c r="GI686">
        <v>28.570514916952462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64.448711824104819</v>
      </c>
      <c r="AO687">
        <v>83.075612246201061</v>
      </c>
      <c r="AP687">
        <v>620.80277770554801</v>
      </c>
      <c r="AQ687">
        <v>264.94190676158934</v>
      </c>
      <c r="AR687">
        <v>77.634793737508105</v>
      </c>
      <c r="AS687">
        <v>500.70855773734115</v>
      </c>
      <c r="AT687">
        <v>32.692714111949478</v>
      </c>
      <c r="AU687">
        <v>-2.4548463890230181</v>
      </c>
      <c r="AV687"/>
      <c r="AW687"/>
      <c r="FY687" s="210">
        <v>682</v>
      </c>
      <c r="FZ687">
        <v>20.077998374317147</v>
      </c>
      <c r="GA687">
        <v>32.13868289518178</v>
      </c>
      <c r="GB687">
        <v>20.744453939919424</v>
      </c>
      <c r="GC687">
        <v>13.411438669140919</v>
      </c>
      <c r="GD687">
        <v>7.1360545623024816</v>
      </c>
      <c r="GE687">
        <v>6.2685329298366419</v>
      </c>
      <c r="GF687">
        <v>10.637835930303611</v>
      </c>
      <c r="GG687">
        <v>18.301312094811394</v>
      </c>
      <c r="GH687">
        <v>19.701995656426405</v>
      </c>
      <c r="GI687">
        <v>28.726668176786493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54.516118948224552</v>
      </c>
      <c r="AO688">
        <v>74.272602678132372</v>
      </c>
      <c r="AP688">
        <v>553.64814718006596</v>
      </c>
      <c r="AQ688">
        <v>231.90122050425202</v>
      </c>
      <c r="AR688">
        <v>70.028635829436695</v>
      </c>
      <c r="AS688">
        <v>310.9466763483594</v>
      </c>
      <c r="AT688">
        <v>29.090885854976023</v>
      </c>
      <c r="AU688">
        <v>36.048010120409984</v>
      </c>
      <c r="AV688"/>
      <c r="AW688"/>
      <c r="FY688" s="210">
        <v>683</v>
      </c>
      <c r="FZ688">
        <v>25.021316110656493</v>
      </c>
      <c r="GA688">
        <v>68.202713672659129</v>
      </c>
      <c r="GB688">
        <v>29.603777375956597</v>
      </c>
      <c r="GC688">
        <v>10.055428183600483</v>
      </c>
      <c r="GD688">
        <v>8.1885260655475935</v>
      </c>
      <c r="GE688">
        <v>11.297690860530754</v>
      </c>
      <c r="GF688">
        <v>12.25922861391485</v>
      </c>
      <c r="GG688">
        <v>24.03455707009914</v>
      </c>
      <c r="GH688">
        <v>27.952575580246716</v>
      </c>
      <c r="GI688">
        <v>34.381759094830159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62.452208940212202</v>
      </c>
      <c r="AO689">
        <v>79.562209462791131</v>
      </c>
      <c r="AP689">
        <v>556.03623163125121</v>
      </c>
      <c r="AQ689">
        <v>245.15933024596126</v>
      </c>
      <c r="AR689">
        <v>74.317906470048555</v>
      </c>
      <c r="AS689">
        <v>359.42815092455265</v>
      </c>
      <c r="AT689">
        <v>30.112422689894306</v>
      </c>
      <c r="AU689">
        <v>39.074889098009663</v>
      </c>
      <c r="AV689"/>
      <c r="AW689"/>
      <c r="FY689" s="210">
        <v>684</v>
      </c>
      <c r="FZ689">
        <v>22.134202043449481</v>
      </c>
      <c r="GA689">
        <v>25.921138424791511</v>
      </c>
      <c r="GB689">
        <v>34.581663950867622</v>
      </c>
      <c r="GC689">
        <v>12.623913956230046</v>
      </c>
      <c r="GD689">
        <v>6.7125381303620353</v>
      </c>
      <c r="GE689">
        <v>8.1739056577058307</v>
      </c>
      <c r="GF689">
        <v>11.284744885132699</v>
      </c>
      <c r="GG689">
        <v>18.369390644817543</v>
      </c>
      <c r="GH689">
        <v>16.823888164311775</v>
      </c>
      <c r="GI689">
        <v>34.620394671763215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52.630788957612864</v>
      </c>
      <c r="AO690">
        <v>52.234362904490844</v>
      </c>
      <c r="AP690">
        <v>400.63386735564916</v>
      </c>
      <c r="AQ690">
        <v>186.6904430639274</v>
      </c>
      <c r="AR690">
        <v>49.286228317324998</v>
      </c>
      <c r="AS690">
        <v>324.5838066992726</v>
      </c>
      <c r="AT690">
        <v>22.073308512855643</v>
      </c>
      <c r="AU690">
        <v>9.5559696358765862</v>
      </c>
      <c r="AV690"/>
      <c r="AW690"/>
      <c r="FY690" s="210">
        <v>685</v>
      </c>
      <c r="FZ690">
        <v>16.52639966899331</v>
      </c>
      <c r="GA690">
        <v>48.035439654608133</v>
      </c>
      <c r="GB690">
        <v>27.855505103637821</v>
      </c>
      <c r="GC690">
        <v>12.005078364563921</v>
      </c>
      <c r="GD690">
        <v>6.0648263800861812</v>
      </c>
      <c r="GE690">
        <v>4.2277187564311944</v>
      </c>
      <c r="GF690">
        <v>13.490692790390625</v>
      </c>
      <c r="GG690">
        <v>22.96765172874256</v>
      </c>
      <c r="GH690">
        <v>22.14741174445696</v>
      </c>
      <c r="GI690">
        <v>32.90836604360485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50.608375898331843</v>
      </c>
      <c r="AO691">
        <v>86.744699524865695</v>
      </c>
      <c r="AP691">
        <v>668.30399689891181</v>
      </c>
      <c r="AQ691">
        <v>242.82507989056904</v>
      </c>
      <c r="AR691">
        <v>80.478193525459005</v>
      </c>
      <c r="AS691">
        <v>340.43308280035376</v>
      </c>
      <c r="AT691">
        <v>32.167287783541461</v>
      </c>
      <c r="AU691">
        <v>-57.8106536617789</v>
      </c>
      <c r="AV691"/>
      <c r="AW691"/>
      <c r="FY691" s="210">
        <v>686</v>
      </c>
      <c r="FZ691">
        <v>29.714536251384306</v>
      </c>
      <c r="GA691">
        <v>43.204412281635939</v>
      </c>
      <c r="GB691">
        <v>38.733356444888223</v>
      </c>
      <c r="GC691">
        <v>16.109139104832863</v>
      </c>
      <c r="GD691">
        <v>7.7131640698989026</v>
      </c>
      <c r="GE691">
        <v>5.5085567728997376</v>
      </c>
      <c r="GF691">
        <v>8.952702948015558</v>
      </c>
      <c r="GG691">
        <v>19.782423644617779</v>
      </c>
      <c r="GH691">
        <v>24.113043776227766</v>
      </c>
      <c r="GI691">
        <v>41.851281331814924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62.477754751055286</v>
      </c>
      <c r="AO692">
        <v>85.308566961198579</v>
      </c>
      <c r="AP692">
        <v>675.95287467355899</v>
      </c>
      <c r="AQ692">
        <v>269.61493754843963</v>
      </c>
      <c r="AR692">
        <v>79.388642314166418</v>
      </c>
      <c r="AS692">
        <v>498.27676463556952</v>
      </c>
      <c r="AT692">
        <v>32.030624786758715</v>
      </c>
      <c r="AU692">
        <v>6.1912535980059733</v>
      </c>
      <c r="AV692"/>
      <c r="AW692"/>
      <c r="FY692" s="210">
        <v>687</v>
      </c>
      <c r="FZ692">
        <v>27.411679718925953</v>
      </c>
      <c r="GA692">
        <v>55.127141419590437</v>
      </c>
      <c r="GB692">
        <v>34.845783478937115</v>
      </c>
      <c r="GC692">
        <v>12.284372754124915</v>
      </c>
      <c r="GD692">
        <v>6.7382119857077889</v>
      </c>
      <c r="GE692">
        <v>6.28529301957116</v>
      </c>
      <c r="GF692">
        <v>8.441556273213445</v>
      </c>
      <c r="GG692">
        <v>15.826303045893235</v>
      </c>
      <c r="GH692">
        <v>22.31215434172341</v>
      </c>
      <c r="GI692">
        <v>34.436100076540612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62.867874809049894</v>
      </c>
      <c r="AO693">
        <v>77.248557628997133</v>
      </c>
      <c r="AP693">
        <v>572.09132041194232</v>
      </c>
      <c r="AQ693">
        <v>242.08955856386734</v>
      </c>
      <c r="AR693">
        <v>72.026756037487687</v>
      </c>
      <c r="AS693">
        <v>327.98237632399702</v>
      </c>
      <c r="AT693">
        <v>30.648629438580116</v>
      </c>
      <c r="AU693">
        <v>41.409325047465408</v>
      </c>
      <c r="AV693"/>
      <c r="AW693"/>
      <c r="FY693" s="210">
        <v>688</v>
      </c>
      <c r="FZ693">
        <v>18.046561311083323</v>
      </c>
      <c r="GA693">
        <v>38.649169039049738</v>
      </c>
      <c r="GB693">
        <v>33.721800281139622</v>
      </c>
      <c r="GC693">
        <v>11.11801843049256</v>
      </c>
      <c r="GD693">
        <v>4.9181022987055787</v>
      </c>
      <c r="GE693">
        <v>4.3603740560646731</v>
      </c>
      <c r="GF693">
        <v>9.9373310740518974</v>
      </c>
      <c r="GG693">
        <v>19.324275911566914</v>
      </c>
      <c r="GH693">
        <v>20.182700303237013</v>
      </c>
      <c r="GI693">
        <v>30.344722025132935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43.21518947459144</v>
      </c>
      <c r="AO694">
        <v>60.246035772030574</v>
      </c>
      <c r="AP694">
        <v>418.80063470846778</v>
      </c>
      <c r="AQ694">
        <v>185.24026110253203</v>
      </c>
      <c r="AR694">
        <v>56.568570009435867</v>
      </c>
      <c r="AS694">
        <v>391.52139457126412</v>
      </c>
      <c r="AT694">
        <v>24.578417660181699</v>
      </c>
      <c r="AU694">
        <v>3.5228260705196099</v>
      </c>
      <c r="AV694"/>
      <c r="AW694"/>
      <c r="FY694" s="210">
        <v>689</v>
      </c>
      <c r="FZ694">
        <v>24.168224486650985</v>
      </c>
      <c r="GA694">
        <v>54.893762821068705</v>
      </c>
      <c r="GB694">
        <v>25.641723466951792</v>
      </c>
      <c r="GC694">
        <v>9.1643848941074051</v>
      </c>
      <c r="GD694">
        <v>5.738087128974005</v>
      </c>
      <c r="GE694">
        <v>6.3104566167226421</v>
      </c>
      <c r="GF694">
        <v>11.016209481230392</v>
      </c>
      <c r="GG694">
        <v>16.268652845027582</v>
      </c>
      <c r="GH694">
        <v>11.562621148356303</v>
      </c>
      <c r="GI694">
        <v>27.583115548302885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61.273828209870317</v>
      </c>
      <c r="AO695">
        <v>64.100248070095574</v>
      </c>
      <c r="AP695">
        <v>443.79539014704505</v>
      </c>
      <c r="AQ695">
        <v>199.62478496917518</v>
      </c>
      <c r="AR695">
        <v>60.129284493612857</v>
      </c>
      <c r="AS695">
        <v>351.89705797542052</v>
      </c>
      <c r="AT695">
        <v>24.293233550931969</v>
      </c>
      <c r="AU695">
        <v>29.611542280656909</v>
      </c>
      <c r="AV695"/>
      <c r="AW695"/>
      <c r="FY695" s="210">
        <v>690</v>
      </c>
      <c r="FZ695">
        <v>25.534459496561091</v>
      </c>
      <c r="GA695">
        <v>67.256385879888072</v>
      </c>
      <c r="GB695">
        <v>27.310988726819531</v>
      </c>
      <c r="GC695">
        <v>9.8295505082744672</v>
      </c>
      <c r="GD695">
        <v>4.8785714733974066</v>
      </c>
      <c r="GE695">
        <v>4.883174882710847</v>
      </c>
      <c r="GF695">
        <v>8.8007349799436518</v>
      </c>
      <c r="GG695">
        <v>8.9879207825580387</v>
      </c>
      <c r="GH695">
        <v>7.608531830381307</v>
      </c>
      <c r="GI695">
        <v>26.553786041394169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39.149568614678131</v>
      </c>
      <c r="AO696">
        <v>52.844118254961771</v>
      </c>
      <c r="AP696">
        <v>417.55499705606229</v>
      </c>
      <c r="AQ696">
        <v>166.22405582008571</v>
      </c>
      <c r="AR696">
        <v>50.419923613214216</v>
      </c>
      <c r="AS696">
        <v>233.19996899170178</v>
      </c>
      <c r="AT696">
        <v>19.740975908590173</v>
      </c>
      <c r="AU696">
        <v>21.100224185324979</v>
      </c>
      <c r="AV696"/>
      <c r="AW696"/>
      <c r="FY696" s="210">
        <v>691</v>
      </c>
      <c r="FZ696">
        <v>24.762369317509833</v>
      </c>
      <c r="GA696">
        <v>56.20255095749971</v>
      </c>
      <c r="GB696">
        <v>21.902893979773381</v>
      </c>
      <c r="GC696">
        <v>8.5202937288469176</v>
      </c>
      <c r="GD696">
        <v>8.1488939811110139</v>
      </c>
      <c r="GE696">
        <v>11.720336550620599</v>
      </c>
      <c r="GF696">
        <v>11.859739932271639</v>
      </c>
      <c r="GG696">
        <v>19.838705948727487</v>
      </c>
      <c r="GH696">
        <v>20.059391053606177</v>
      </c>
      <c r="GI696">
        <v>30.219439164724658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51.090736238705063</v>
      </c>
      <c r="AO697">
        <v>57.832435336556941</v>
      </c>
      <c r="AP697">
        <v>463.90502982605187</v>
      </c>
      <c r="AQ697">
        <v>214.16118958951222</v>
      </c>
      <c r="AR697">
        <v>53.679225211856291</v>
      </c>
      <c r="AS697">
        <v>310.86720285711016</v>
      </c>
      <c r="AT697">
        <v>24.326472118702743</v>
      </c>
      <c r="AU697">
        <v>11.9256591232967</v>
      </c>
      <c r="AV697"/>
      <c r="AW697"/>
      <c r="FY697" s="210">
        <v>692</v>
      </c>
      <c r="FZ697">
        <v>20.817159304403329</v>
      </c>
      <c r="GA697">
        <v>34.939524366078473</v>
      </c>
      <c r="GB697">
        <v>31.229366658122615</v>
      </c>
      <c r="GC697">
        <v>10.722432481443988</v>
      </c>
      <c r="GD697">
        <v>7.8799977049567795</v>
      </c>
      <c r="GE697">
        <v>10.874502307635309</v>
      </c>
      <c r="GF697">
        <v>10.290673526861921</v>
      </c>
      <c r="GG697">
        <v>19.719095646487727</v>
      </c>
      <c r="GH697">
        <v>21.94694820873093</v>
      </c>
      <c r="GI697">
        <v>34.717718984724698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58.531252057386908</v>
      </c>
      <c r="AO698">
        <v>59.61060998437199</v>
      </c>
      <c r="AP698">
        <v>395.56012996281675</v>
      </c>
      <c r="AQ698">
        <v>177.14497322902631</v>
      </c>
      <c r="AR698">
        <v>55.254362007357066</v>
      </c>
      <c r="AS698">
        <v>273.91328886375402</v>
      </c>
      <c r="AT698">
        <v>23.476844985063163</v>
      </c>
      <c r="AU698">
        <v>9.8947569205258308</v>
      </c>
      <c r="AV698"/>
      <c r="AW698"/>
      <c r="FY698" s="210">
        <v>693</v>
      </c>
      <c r="FZ698">
        <v>18.055326455966792</v>
      </c>
      <c r="GA698">
        <v>56.870124539663465</v>
      </c>
      <c r="GB698">
        <v>30.494931908766119</v>
      </c>
      <c r="GC698">
        <v>9.7981712179482479</v>
      </c>
      <c r="GD698">
        <v>7.1899659781811804</v>
      </c>
      <c r="GE698">
        <v>8.607786436267574</v>
      </c>
      <c r="GF698">
        <v>4.355793459364226</v>
      </c>
      <c r="GG698">
        <v>6.2027664161001264</v>
      </c>
      <c r="GH698">
        <v>9.8526621131125562</v>
      </c>
      <c r="GI698">
        <v>26.348580018831544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66.714830662084083</v>
      </c>
      <c r="AO699">
        <v>70.597409859085161</v>
      </c>
      <c r="AP699">
        <v>560.25315696439702</v>
      </c>
      <c r="AQ699">
        <v>250.99757262804189</v>
      </c>
      <c r="AR699">
        <v>66.642371620385504</v>
      </c>
      <c r="AS699">
        <v>369.88766757234862</v>
      </c>
      <c r="AT699">
        <v>28.577168758557331</v>
      </c>
      <c r="AU699">
        <v>14.999895994717411</v>
      </c>
      <c r="AV699"/>
      <c r="AW699"/>
      <c r="FY699" s="210">
        <v>694</v>
      </c>
      <c r="FZ699">
        <v>16.342207481648114</v>
      </c>
      <c r="GA699">
        <v>70.345425218945024</v>
      </c>
      <c r="GB699">
        <v>30.396734411596015</v>
      </c>
      <c r="GC699">
        <v>8.7336431865425403</v>
      </c>
      <c r="GD699">
        <v>6.3056659706519831</v>
      </c>
      <c r="GE699">
        <v>7.4529815429039585</v>
      </c>
      <c r="GF699">
        <v>9.1276833367934085</v>
      </c>
      <c r="GG699">
        <v>11.959031626529205</v>
      </c>
      <c r="GH699">
        <v>10.940894938892065</v>
      </c>
      <c r="GI699">
        <v>28.518695558272835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56.174191299296282</v>
      </c>
      <c r="AO700">
        <v>73.979746917691003</v>
      </c>
      <c r="AP700">
        <v>496.948241532265</v>
      </c>
      <c r="AQ700">
        <v>191.24578052943176</v>
      </c>
      <c r="AR700">
        <v>69.90529886086685</v>
      </c>
      <c r="AS700">
        <v>335.72588476824302</v>
      </c>
      <c r="AT700">
        <v>25.921589547391999</v>
      </c>
      <c r="AU700">
        <v>17.702572930737716</v>
      </c>
      <c r="AV700"/>
      <c r="AW700"/>
      <c r="FY700" s="210">
        <v>695</v>
      </c>
      <c r="FZ700">
        <v>26.160009595754897</v>
      </c>
      <c r="GA700">
        <v>70.892955986115368</v>
      </c>
      <c r="GB700">
        <v>22.939872849788411</v>
      </c>
      <c r="GC700">
        <v>8.4030166101907113</v>
      </c>
      <c r="GD700">
        <v>6.4154286507809122</v>
      </c>
      <c r="GE700">
        <v>6.9266574392786371</v>
      </c>
      <c r="GF700">
        <v>8.1509238795086016</v>
      </c>
      <c r="GG700">
        <v>17.873366648212354</v>
      </c>
      <c r="GH700">
        <v>22.274131641939565</v>
      </c>
      <c r="GI700">
        <v>28.982531848291561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49.197708688314613</v>
      </c>
      <c r="AO701">
        <v>69.273994511844464</v>
      </c>
      <c r="AP701">
        <v>502.37586377462139</v>
      </c>
      <c r="AQ701">
        <v>206.22909023551554</v>
      </c>
      <c r="AR701">
        <v>65.701138170465612</v>
      </c>
      <c r="AS701">
        <v>495.96255512585185</v>
      </c>
      <c r="AT701">
        <v>26.871473969078512</v>
      </c>
      <c r="AU701">
        <v>-27.740390090105528</v>
      </c>
      <c r="AV701"/>
      <c r="AW701"/>
      <c r="FY701" s="210">
        <v>696</v>
      </c>
      <c r="FZ701">
        <v>25.507870426715421</v>
      </c>
      <c r="GA701">
        <v>66.954090696423521</v>
      </c>
      <c r="GB701">
        <v>40.842270349726299</v>
      </c>
      <c r="GC701">
        <v>10.594658566193145</v>
      </c>
      <c r="GD701">
        <v>5.2816499774212664</v>
      </c>
      <c r="GE701">
        <v>6.4327891727950179</v>
      </c>
      <c r="GF701">
        <v>8.6775750939935214</v>
      </c>
      <c r="GG701">
        <v>12.855474334592559</v>
      </c>
      <c r="GH701">
        <v>11.64822706398934</v>
      </c>
      <c r="GI701">
        <v>31.670494673668593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78.553185095126395</v>
      </c>
      <c r="AO702">
        <v>93.017791818057631</v>
      </c>
      <c r="AP702">
        <v>611.89977503863872</v>
      </c>
      <c r="AQ702">
        <v>235.682616626216</v>
      </c>
      <c r="AR702">
        <v>86.698458992377567</v>
      </c>
      <c r="AS702">
        <v>547.19321984968303</v>
      </c>
      <c r="AT702">
        <v>32.447128384288256</v>
      </c>
      <c r="AU702">
        <v>63.985816979643836</v>
      </c>
      <c r="AV702"/>
      <c r="AW702"/>
      <c r="FY702" s="210">
        <v>697</v>
      </c>
      <c r="FZ702">
        <v>19.687152255168058</v>
      </c>
      <c r="GA702">
        <v>44.685891963182463</v>
      </c>
      <c r="GB702">
        <v>34.243906615407909</v>
      </c>
      <c r="GC702">
        <v>12.181960973247685</v>
      </c>
      <c r="GD702">
        <v>6.9529146776652588</v>
      </c>
      <c r="GE702">
        <v>6.309183376405775</v>
      </c>
      <c r="GF702">
        <v>11.902249761339332</v>
      </c>
      <c r="GG702">
        <v>15.942538903580271</v>
      </c>
      <c r="GH702">
        <v>2.6442910395212285</v>
      </c>
      <c r="GI702">
        <v>35.429194790999809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58.875898320203682</v>
      </c>
      <c r="AO703">
        <v>73.114962839646623</v>
      </c>
      <c r="AP703">
        <v>514.59477879813608</v>
      </c>
      <c r="AQ703">
        <v>223.70859611422807</v>
      </c>
      <c r="AR703">
        <v>68.184022592001909</v>
      </c>
      <c r="AS703">
        <v>398.53313237757595</v>
      </c>
      <c r="AT703">
        <v>25.687140788951865</v>
      </c>
      <c r="AU703">
        <v>-4.9950278859113642</v>
      </c>
      <c r="AV703"/>
      <c r="AW703"/>
      <c r="FY703" s="210">
        <v>698</v>
      </c>
      <c r="FZ703">
        <v>32.597215944611769</v>
      </c>
      <c r="GA703">
        <v>75.505938666683434</v>
      </c>
      <c r="GB703">
        <v>28.305398261035066</v>
      </c>
      <c r="GC703">
        <v>9.278582992113714</v>
      </c>
      <c r="GD703">
        <v>9.0740630651313872</v>
      </c>
      <c r="GE703">
        <v>12.320882809309486</v>
      </c>
      <c r="GF703">
        <v>3.9734867061939347</v>
      </c>
      <c r="GG703">
        <v>12.67931175184194</v>
      </c>
      <c r="GH703">
        <v>27.644071225766449</v>
      </c>
      <c r="GI703">
        <v>32.082251358216482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51.377818789852405</v>
      </c>
      <c r="AO704">
        <v>62.736038490085136</v>
      </c>
      <c r="AP704">
        <v>446.8433426254316</v>
      </c>
      <c r="AQ704">
        <v>190.60305473052424</v>
      </c>
      <c r="AR704">
        <v>58.427596876583529</v>
      </c>
      <c r="AS704">
        <v>284.65088798966383</v>
      </c>
      <c r="AT704">
        <v>23.250559948227359</v>
      </c>
      <c r="AU704">
        <v>15.869409431563875</v>
      </c>
      <c r="AV704"/>
      <c r="AW704"/>
      <c r="FY704" s="210">
        <v>699</v>
      </c>
      <c r="FZ704">
        <v>13.612035056994186</v>
      </c>
      <c r="GA704">
        <v>29.250238744310838</v>
      </c>
      <c r="GB704">
        <v>36.256025058812881</v>
      </c>
      <c r="GC704">
        <v>15.390824000547697</v>
      </c>
      <c r="GD704">
        <v>5.3244128572302118</v>
      </c>
      <c r="GE704">
        <v>2.9528346562251007</v>
      </c>
      <c r="GF704">
        <v>9.2400437796104651</v>
      </c>
      <c r="GG704">
        <v>20.227162178336634</v>
      </c>
      <c r="GH704">
        <v>21.29449397019734</v>
      </c>
      <c r="GI704">
        <v>32.53871382810064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50.109683700187801</v>
      </c>
      <c r="AO705">
        <v>55.863481484534205</v>
      </c>
      <c r="AP705">
        <v>427.59903313880903</v>
      </c>
      <c r="AQ705">
        <v>192.34723843739269</v>
      </c>
      <c r="AR705">
        <v>53.180747533042712</v>
      </c>
      <c r="AS705">
        <v>452.46431296948668</v>
      </c>
      <c r="AT705">
        <v>22.444338053346385</v>
      </c>
      <c r="AU705">
        <v>19.090070106254174</v>
      </c>
      <c r="AV705"/>
      <c r="AW705"/>
      <c r="FY705" s="210">
        <v>700</v>
      </c>
      <c r="FZ705">
        <v>23.003823775254936</v>
      </c>
      <c r="GA705">
        <v>48.800559606984805</v>
      </c>
      <c r="GB705">
        <v>38.719407238154844</v>
      </c>
      <c r="GC705">
        <v>12.646703129471797</v>
      </c>
      <c r="GD705">
        <v>6.1375393981232014</v>
      </c>
      <c r="GE705">
        <v>6.4148839995150961</v>
      </c>
      <c r="GF705">
        <v>6.9360964674743446</v>
      </c>
      <c r="GG705">
        <v>14.932356697490027</v>
      </c>
      <c r="GH705">
        <v>17.580556356704196</v>
      </c>
      <c r="GI705">
        <v>36.289758608227253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49.80961781019797</v>
      </c>
      <c r="AO706">
        <v>53.933957283363938</v>
      </c>
      <c r="AP706">
        <v>396.23789041668238</v>
      </c>
      <c r="AQ706">
        <v>191.6441046019286</v>
      </c>
      <c r="AR706">
        <v>50.452379751225727</v>
      </c>
      <c r="AS706">
        <v>476.11023570886721</v>
      </c>
      <c r="AT706">
        <v>22.279314981320301</v>
      </c>
      <c r="AU706">
        <v>38.001072593433065</v>
      </c>
      <c r="AV706"/>
      <c r="AW706"/>
      <c r="FY706" s="210">
        <v>701</v>
      </c>
      <c r="FZ706">
        <v>21.434919769881336</v>
      </c>
      <c r="GA706">
        <v>44.215103671453619</v>
      </c>
      <c r="GB706">
        <v>34.821398722889903</v>
      </c>
      <c r="GC706">
        <v>8.9620320169054786</v>
      </c>
      <c r="GD706">
        <v>8.9900983851278351</v>
      </c>
      <c r="GE706">
        <v>14.30252637287523</v>
      </c>
      <c r="GF706">
        <v>11.543856389195577</v>
      </c>
      <c r="GG706">
        <v>21.203508321192391</v>
      </c>
      <c r="GH706">
        <v>23.427984630200591</v>
      </c>
      <c r="GI706">
        <v>37.092152843698976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54.480070801136961</v>
      </c>
      <c r="AO707">
        <v>61.892865614095783</v>
      </c>
      <c r="AP707">
        <v>459.50706215257287</v>
      </c>
      <c r="AQ707">
        <v>213.23461461469142</v>
      </c>
      <c r="AR707">
        <v>58.268421755036044</v>
      </c>
      <c r="AS707">
        <v>306.82576154553044</v>
      </c>
      <c r="AT707">
        <v>25.668488699818457</v>
      </c>
      <c r="AU707">
        <v>73.25221316636366</v>
      </c>
      <c r="AV707"/>
      <c r="AW707"/>
      <c r="FY707" s="210">
        <v>702</v>
      </c>
      <c r="FZ707">
        <v>33.176344690530108</v>
      </c>
      <c r="GA707">
        <v>57.446595833142212</v>
      </c>
      <c r="GB707">
        <v>46.479446116370092</v>
      </c>
      <c r="GC707">
        <v>13.811453254693607</v>
      </c>
      <c r="GD707">
        <v>6.5146970795976316</v>
      </c>
      <c r="GE707">
        <v>5.4863385186665781</v>
      </c>
      <c r="GF707">
        <v>9.0806382802561192</v>
      </c>
      <c r="GG707">
        <v>10.383104409810537</v>
      </c>
      <c r="GH707">
        <v>10.269900017460884</v>
      </c>
      <c r="GI707">
        <v>38.237997309578645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55.809449878513966</v>
      </c>
      <c r="AO708">
        <v>74.598439594429806</v>
      </c>
      <c r="AP708">
        <v>518.28459441045447</v>
      </c>
      <c r="AQ708">
        <v>203.13741918944578</v>
      </c>
      <c r="AR708">
        <v>69.183960916393573</v>
      </c>
      <c r="AS708">
        <v>462.37455529529524</v>
      </c>
      <c r="AT708">
        <v>28.929249001948165</v>
      </c>
      <c r="AU708">
        <v>48.692219275508485</v>
      </c>
      <c r="AV708"/>
      <c r="AW708"/>
      <c r="FY708" s="210">
        <v>703</v>
      </c>
      <c r="FZ708">
        <v>21.361009316475492</v>
      </c>
      <c r="GA708">
        <v>54.113026781785543</v>
      </c>
      <c r="GB708">
        <v>28.68600795354989</v>
      </c>
      <c r="GC708">
        <v>9.4584716823634416</v>
      </c>
      <c r="GD708">
        <v>6.7266120946976722</v>
      </c>
      <c r="GE708">
        <v>6.3818116396210778</v>
      </c>
      <c r="GF708">
        <v>12.104030732201212</v>
      </c>
      <c r="GG708">
        <v>17.462001223931583</v>
      </c>
      <c r="GH708">
        <v>12.02443434314648</v>
      </c>
      <c r="GI708">
        <v>31.339249214984399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44.973370305654313</v>
      </c>
      <c r="AO709">
        <v>55.803954208181722</v>
      </c>
      <c r="AP709">
        <v>414.2859370610297</v>
      </c>
      <c r="AQ709">
        <v>177.77610854420183</v>
      </c>
      <c r="AR709">
        <v>52.989120623998716</v>
      </c>
      <c r="AS709">
        <v>312.09065571084813</v>
      </c>
      <c r="AT709">
        <v>21.486688571375101</v>
      </c>
      <c r="AU709">
        <v>76.797173820196875</v>
      </c>
      <c r="AV709"/>
      <c r="AW709"/>
      <c r="FY709" s="210">
        <v>704</v>
      </c>
      <c r="FZ709">
        <v>24.648517541932129</v>
      </c>
      <c r="GA709">
        <v>46.247391209989075</v>
      </c>
      <c r="GB709">
        <v>30.386007211509934</v>
      </c>
      <c r="GC709">
        <v>9.4615618228398439</v>
      </c>
      <c r="GD709">
        <v>3.6445254972195591</v>
      </c>
      <c r="GE709">
        <v>2.5968830841674895</v>
      </c>
      <c r="GF709">
        <v>9.7260602729262633</v>
      </c>
      <c r="GG709">
        <v>22.109868695780388</v>
      </c>
      <c r="GH709">
        <v>21.772737689353249</v>
      </c>
      <c r="GI709">
        <v>27.095136946517986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48.87196974049921</v>
      </c>
      <c r="AO710">
        <v>58.786654439927361</v>
      </c>
      <c r="AP710">
        <v>435.15973088733699</v>
      </c>
      <c r="AQ710">
        <v>200.12296327277514</v>
      </c>
      <c r="AR710">
        <v>55.16160437345642</v>
      </c>
      <c r="AS710">
        <v>344.29943485155331</v>
      </c>
      <c r="AT710">
        <v>23.724752958198096</v>
      </c>
      <c r="AU710">
        <v>5.6933162422587591</v>
      </c>
      <c r="AV710"/>
      <c r="AW710"/>
      <c r="FY710" s="210">
        <v>705</v>
      </c>
      <c r="FZ710">
        <v>16.688743685585294</v>
      </c>
      <c r="GA710">
        <v>51.764561393628824</v>
      </c>
      <c r="GB710">
        <v>41.722230589577997</v>
      </c>
      <c r="GC710">
        <v>12.673297511275027</v>
      </c>
      <c r="GD710">
        <v>9.0315826926975866</v>
      </c>
      <c r="GE710">
        <v>12.201834108788672</v>
      </c>
      <c r="GF710">
        <v>11.12158665686141</v>
      </c>
      <c r="GG710">
        <v>18.351430313611374</v>
      </c>
      <c r="GH710">
        <v>12.585821761818764</v>
      </c>
      <c r="GI710">
        <v>39.692337476673451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53.75090225593442</v>
      </c>
      <c r="AO711">
        <v>59.969996433353572</v>
      </c>
      <c r="AP711">
        <v>462.86230858901558</v>
      </c>
      <c r="AQ711">
        <v>219.01889514986101</v>
      </c>
      <c r="AR711">
        <v>55.787596739352274</v>
      </c>
      <c r="AS711">
        <v>330.71867704514835</v>
      </c>
      <c r="AT711">
        <v>24.995617059366865</v>
      </c>
      <c r="AU711">
        <v>55.618907731929234</v>
      </c>
      <c r="AV711"/>
      <c r="AW711"/>
      <c r="FY711" s="210">
        <v>706</v>
      </c>
      <c r="FZ711">
        <v>20.186993565389603</v>
      </c>
      <c r="GA711">
        <v>63.879503171411287</v>
      </c>
      <c r="GB711">
        <v>26.84232920579614</v>
      </c>
      <c r="GC711">
        <v>11.523892818731944</v>
      </c>
      <c r="GD711">
        <v>7.5831903155103237</v>
      </c>
      <c r="GE711">
        <v>6.065389919536182</v>
      </c>
      <c r="GF711">
        <v>9.0246048393249421</v>
      </c>
      <c r="GG711">
        <v>16.459479426736586</v>
      </c>
      <c r="GH711">
        <v>13.9412469581663</v>
      </c>
      <c r="GI711">
        <v>31.980174566250412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62.334494709190196</v>
      </c>
      <c r="AO712">
        <v>66.886720216877421</v>
      </c>
      <c r="AP712">
        <v>528.5941999600924</v>
      </c>
      <c r="AQ712">
        <v>220.4651003555187</v>
      </c>
      <c r="AR712">
        <v>63.292264312401414</v>
      </c>
      <c r="AS712">
        <v>333.40129650279732</v>
      </c>
      <c r="AT712">
        <v>24.683473232704173</v>
      </c>
      <c r="AU712">
        <v>-54.881700613046661</v>
      </c>
      <c r="AV712"/>
      <c r="AW712"/>
      <c r="FY712" s="210">
        <v>707</v>
      </c>
      <c r="FZ712">
        <v>13.264703648111276</v>
      </c>
      <c r="GA712">
        <v>28.067994921498887</v>
      </c>
      <c r="GB712">
        <v>24.00734441882344</v>
      </c>
      <c r="GC712">
        <v>9.5560301822640046</v>
      </c>
      <c r="GD712">
        <v>7.1898578393359545</v>
      </c>
      <c r="GE712">
        <v>8.4730728756189162</v>
      </c>
      <c r="GF712">
        <v>7.6615965804234163</v>
      </c>
      <c r="GG712">
        <v>16.745880280949574</v>
      </c>
      <c r="GH712">
        <v>23.258156974325512</v>
      </c>
      <c r="GI712">
        <v>27.250575882617699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52.309149793512802</v>
      </c>
      <c r="AO713">
        <v>79.870485773816995</v>
      </c>
      <c r="AP713">
        <v>535.54970509398061</v>
      </c>
      <c r="AQ713">
        <v>189.97928435651778</v>
      </c>
      <c r="AR713">
        <v>74.847358915841767</v>
      </c>
      <c r="AS713">
        <v>474.61384881931815</v>
      </c>
      <c r="AT713">
        <v>28.999522049830574</v>
      </c>
      <c r="AU713">
        <v>29.738878489667751</v>
      </c>
      <c r="AV713"/>
      <c r="AW713"/>
      <c r="FY713" s="210">
        <v>708</v>
      </c>
      <c r="FZ713">
        <v>19.680267600573927</v>
      </c>
      <c r="GA713">
        <v>57.869394661786686</v>
      </c>
      <c r="GB713">
        <v>29.597054759823685</v>
      </c>
      <c r="GC713">
        <v>8.7334608644545639</v>
      </c>
      <c r="GD713">
        <v>6.4182575357481451</v>
      </c>
      <c r="GE713">
        <v>6.7379058749193437</v>
      </c>
      <c r="GF713">
        <v>5.3046406905737626</v>
      </c>
      <c r="GG713">
        <v>10.447798518026698</v>
      </c>
      <c r="GH713">
        <v>14.83835642358166</v>
      </c>
      <c r="GI713">
        <v>28.541241718395863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65.477902619059151</v>
      </c>
      <c r="AO714">
        <v>65.71859381316051</v>
      </c>
      <c r="AP714">
        <v>503.67391917316388</v>
      </c>
      <c r="AQ714">
        <v>243.46120278090365</v>
      </c>
      <c r="AR714">
        <v>62.685352289936361</v>
      </c>
      <c r="AS714">
        <v>310.79081899555007</v>
      </c>
      <c r="AT714">
        <v>25.182661178187711</v>
      </c>
      <c r="AU714">
        <v>-6.1079235182139922</v>
      </c>
      <c r="AV714"/>
      <c r="AW714"/>
      <c r="FY714" s="210">
        <v>709</v>
      </c>
      <c r="FZ714">
        <v>24.931132882950717</v>
      </c>
      <c r="GA714">
        <v>48.130892896463976</v>
      </c>
      <c r="GB714">
        <v>29.701815788382479</v>
      </c>
      <c r="GC714">
        <v>10.719082790534788</v>
      </c>
      <c r="GD714">
        <v>7.493121098821474</v>
      </c>
      <c r="GE714">
        <v>9.8573174550334794</v>
      </c>
      <c r="GF714">
        <v>11.768968887012175</v>
      </c>
      <c r="GG714">
        <v>17.581680318376993</v>
      </c>
      <c r="GH714">
        <v>12.534482256651669</v>
      </c>
      <c r="GI714">
        <v>33.942864110309742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57.302998052324099</v>
      </c>
      <c r="AO715">
        <v>70.46971806306064</v>
      </c>
      <c r="AP715">
        <v>486.6013746754449</v>
      </c>
      <c r="AQ715">
        <v>186.086784130366</v>
      </c>
      <c r="AR715">
        <v>66.365110563928752</v>
      </c>
      <c r="AS715">
        <v>448.90454692592101</v>
      </c>
      <c r="AT715">
        <v>26.647287192063271</v>
      </c>
      <c r="AU715">
        <v>43.233030919630366</v>
      </c>
      <c r="AV715"/>
      <c r="AW715"/>
      <c r="FY715" s="210">
        <v>710</v>
      </c>
      <c r="FZ715">
        <v>21.141547461336483</v>
      </c>
      <c r="GA715">
        <v>51.989896499447482</v>
      </c>
      <c r="GB715">
        <v>29.41825082158093</v>
      </c>
      <c r="GC715">
        <v>9.727391015843633</v>
      </c>
      <c r="GD715">
        <v>6.8273284628259212</v>
      </c>
      <c r="GE715">
        <v>7.6668401425552899</v>
      </c>
      <c r="GF715">
        <v>10.765147265662359</v>
      </c>
      <c r="GG715">
        <v>11.045132093529022</v>
      </c>
      <c r="GH715">
        <v>9.3893055280585074</v>
      </c>
      <c r="GI715">
        <v>32.426918010495328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55.875828014071033</v>
      </c>
      <c r="AO716">
        <v>78.144951814334235</v>
      </c>
      <c r="AP716">
        <v>526.95417216816872</v>
      </c>
      <c r="AQ716">
        <v>211.46168527740053</v>
      </c>
      <c r="AR716">
        <v>73.878345007734438</v>
      </c>
      <c r="AS716">
        <v>413.28101398412065</v>
      </c>
      <c r="AT716">
        <v>28.083324039955716</v>
      </c>
      <c r="AU716">
        <v>26.526176962671414</v>
      </c>
      <c r="AV716"/>
      <c r="AW716"/>
      <c r="FY716" s="210">
        <v>711</v>
      </c>
      <c r="FZ716">
        <v>27.076472307965208</v>
      </c>
      <c r="GA716">
        <v>52.506577817678853</v>
      </c>
      <c r="GB716">
        <v>26.566400003288429</v>
      </c>
      <c r="GC716">
        <v>8.1752592759182345</v>
      </c>
      <c r="GD716">
        <v>5.0095787021224361</v>
      </c>
      <c r="GE716">
        <v>5.6152294489578045</v>
      </c>
      <c r="GF716">
        <v>7.3931905991573101</v>
      </c>
      <c r="GG716">
        <v>15.624091498872827</v>
      </c>
      <c r="GH716">
        <v>19.262765228694537</v>
      </c>
      <c r="GI716">
        <v>28.343183202862345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60.037310642749091</v>
      </c>
      <c r="AO717">
        <v>78.565342040143889</v>
      </c>
      <c r="AP717">
        <v>571.63396332125899</v>
      </c>
      <c r="AQ717">
        <v>225.99358112342097</v>
      </c>
      <c r="AR717">
        <v>74.874876783576397</v>
      </c>
      <c r="AS717">
        <v>537.69371022390294</v>
      </c>
      <c r="AT717">
        <v>30.392024765475767</v>
      </c>
      <c r="AU717">
        <v>-16.408719524115085</v>
      </c>
      <c r="AV717"/>
      <c r="AW717"/>
      <c r="FY717" s="210">
        <v>712</v>
      </c>
      <c r="FZ717">
        <v>19.122209309775915</v>
      </c>
      <c r="GA717">
        <v>49.183443737287469</v>
      </c>
      <c r="GB717">
        <v>28.116601531310689</v>
      </c>
      <c r="GC717">
        <v>8.6697994878189508</v>
      </c>
      <c r="GD717">
        <v>6.1053907271085697</v>
      </c>
      <c r="GE717">
        <v>6.3111249074949756</v>
      </c>
      <c r="GF717">
        <v>10.403553511076034</v>
      </c>
      <c r="GG717">
        <v>18.489785486998684</v>
      </c>
      <c r="GH717">
        <v>15.930448636280529</v>
      </c>
      <c r="GI717">
        <v>32.542884855497782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67.826464260797735</v>
      </c>
      <c r="AO718">
        <v>81.580246234707516</v>
      </c>
      <c r="AP718">
        <v>560.92610181095586</v>
      </c>
      <c r="AQ718">
        <v>230.88651551010642</v>
      </c>
      <c r="AR718">
        <v>77.534339311192397</v>
      </c>
      <c r="AS718">
        <v>465.44763435511317</v>
      </c>
      <c r="AT718">
        <v>28.439141336835949</v>
      </c>
      <c r="AU718">
        <v>-21.621573762229481</v>
      </c>
      <c r="AV718"/>
      <c r="AW718"/>
      <c r="FY718" s="210">
        <v>713</v>
      </c>
      <c r="FZ718">
        <v>29.665042070815812</v>
      </c>
      <c r="GA718">
        <v>54.102108864215687</v>
      </c>
      <c r="GB718">
        <v>24.166673463998144</v>
      </c>
      <c r="GC718">
        <v>12.291150495336595</v>
      </c>
      <c r="GD718">
        <v>6.02349440919145</v>
      </c>
      <c r="GE718">
        <v>6.7681958967821068</v>
      </c>
      <c r="GF718">
        <v>8.5592890857750685</v>
      </c>
      <c r="GG718">
        <v>14.874466665796589</v>
      </c>
      <c r="GH718">
        <v>22.961518532442749</v>
      </c>
      <c r="GI718">
        <v>29.198341690850953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46.131692423639194</v>
      </c>
      <c r="AO719">
        <v>65.991955469834764</v>
      </c>
      <c r="AP719">
        <v>473.85900645122626</v>
      </c>
      <c r="AQ719">
        <v>199.65665498275681</v>
      </c>
      <c r="AR719">
        <v>61.01631754118484</v>
      </c>
      <c r="AS719">
        <v>272.84126031032076</v>
      </c>
      <c r="AT719">
        <v>24.561138622996353</v>
      </c>
      <c r="AU719">
        <v>11.148948645649138</v>
      </c>
      <c r="AV719"/>
      <c r="AW719"/>
      <c r="FY719" s="210">
        <v>714</v>
      </c>
      <c r="FZ719">
        <v>27.839902634528041</v>
      </c>
      <c r="GA719">
        <v>51.877955616366606</v>
      </c>
      <c r="GB719">
        <v>35.384551939883075</v>
      </c>
      <c r="GC719">
        <v>11.008679843967299</v>
      </c>
      <c r="GD719">
        <v>9.2949205004315392</v>
      </c>
      <c r="GE719">
        <v>13.940805364849286</v>
      </c>
      <c r="GF719">
        <v>8.0142324402262446</v>
      </c>
      <c r="GG719">
        <v>16.598163259291024</v>
      </c>
      <c r="GH719">
        <v>23.092020068551122</v>
      </c>
      <c r="GI719">
        <v>36.100561706429495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47.5951506643055</v>
      </c>
      <c r="AO720">
        <v>56.848839785442408</v>
      </c>
      <c r="AP720">
        <v>479.03339256455774</v>
      </c>
      <c r="AQ720">
        <v>197.68868997223592</v>
      </c>
      <c r="AR720">
        <v>53.576865375154327</v>
      </c>
      <c r="AS720">
        <v>339.46348248844851</v>
      </c>
      <c r="AT720">
        <v>21.494254448486391</v>
      </c>
      <c r="AU720">
        <v>-7.7647990856843645</v>
      </c>
      <c r="AV720"/>
      <c r="AW720"/>
      <c r="FY720" s="210">
        <v>715</v>
      </c>
      <c r="FZ720">
        <v>33.806648494795382</v>
      </c>
      <c r="GA720">
        <v>48.49624636629386</v>
      </c>
      <c r="GB720">
        <v>20.729879814766178</v>
      </c>
      <c r="GC720">
        <v>10.566820705781177</v>
      </c>
      <c r="GD720">
        <v>8.1761921947857275</v>
      </c>
      <c r="GE720">
        <v>8.9283912724987413</v>
      </c>
      <c r="GF720">
        <v>10.32867257213495</v>
      </c>
      <c r="GG720">
        <v>18.182825317314283</v>
      </c>
      <c r="GH720">
        <v>20.132985058074091</v>
      </c>
      <c r="GI720">
        <v>29.398224870593442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66.951571123524587</v>
      </c>
      <c r="AO721">
        <v>86.115151890692161</v>
      </c>
      <c r="AP721">
        <v>585.81441245093947</v>
      </c>
      <c r="AQ721">
        <v>225.83342619051837</v>
      </c>
      <c r="AR721">
        <v>79.674892342644227</v>
      </c>
      <c r="AS721">
        <v>373.66004890564028</v>
      </c>
      <c r="AT721">
        <v>31.492112779091048</v>
      </c>
      <c r="AU721">
        <v>-32.069099436548889</v>
      </c>
      <c r="AV721"/>
      <c r="AW721"/>
      <c r="FY721" s="210">
        <v>716</v>
      </c>
      <c r="FZ721">
        <v>27.317318191253555</v>
      </c>
      <c r="GA721">
        <v>61.837885536421297</v>
      </c>
      <c r="GB721">
        <v>37.886961923122776</v>
      </c>
      <c r="GC721">
        <v>10.163726422120346</v>
      </c>
      <c r="GD721">
        <v>9.3159924060181698</v>
      </c>
      <c r="GE721">
        <v>13.84114095855206</v>
      </c>
      <c r="GF721">
        <v>8.5687739789026249</v>
      </c>
      <c r="GG721">
        <v>17.759369182074657</v>
      </c>
      <c r="GH721">
        <v>15.185205935383122</v>
      </c>
      <c r="GI721">
        <v>36.985316122511584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49.42323962303805</v>
      </c>
      <c r="AO722">
        <v>67.895907787691812</v>
      </c>
      <c r="AP722">
        <v>499.3212779808095</v>
      </c>
      <c r="AQ722">
        <v>207.48680478685372</v>
      </c>
      <c r="AR722">
        <v>65.091907113735488</v>
      </c>
      <c r="AS722">
        <v>451.28184124227033</v>
      </c>
      <c r="AT722">
        <v>28.375171092234584</v>
      </c>
      <c r="AU722">
        <v>74.17870182962929</v>
      </c>
      <c r="AV722"/>
      <c r="AW722"/>
      <c r="FY722" s="210">
        <v>717</v>
      </c>
      <c r="FZ722">
        <v>21.412041893391986</v>
      </c>
      <c r="GA722">
        <v>39.220344483800716</v>
      </c>
      <c r="GB722">
        <v>28.402655850485878</v>
      </c>
      <c r="GC722">
        <v>11.76362914309669</v>
      </c>
      <c r="GD722">
        <v>6.6899231453387973</v>
      </c>
      <c r="GE722">
        <v>7.2663463036042604</v>
      </c>
      <c r="GF722">
        <v>8.986861275276425</v>
      </c>
      <c r="GG722">
        <v>15.652349585096028</v>
      </c>
      <c r="GH722">
        <v>19.362738111228996</v>
      </c>
      <c r="GI722">
        <v>30.746457153367661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47.20224759185642</v>
      </c>
      <c r="AO723">
        <v>54.885464426619741</v>
      </c>
      <c r="AP723">
        <v>358.27051292583627</v>
      </c>
      <c r="AQ723">
        <v>165.47521360396868</v>
      </c>
      <c r="AR723">
        <v>51.53401777333562</v>
      </c>
      <c r="AS723">
        <v>263.50369059702143</v>
      </c>
      <c r="AT723">
        <v>21.210657625137582</v>
      </c>
      <c r="AU723">
        <v>-16.742170733709507</v>
      </c>
      <c r="AV723"/>
      <c r="AW723"/>
      <c r="FY723" s="210">
        <v>718</v>
      </c>
      <c r="FZ723">
        <v>28.189078523681562</v>
      </c>
      <c r="GA723">
        <v>59.920067166074013</v>
      </c>
      <c r="GB723">
        <v>27.181745032598293</v>
      </c>
      <c r="GC723">
        <v>7.3124185617126312</v>
      </c>
      <c r="GD723">
        <v>5.7741081176202673</v>
      </c>
      <c r="GE723">
        <v>7.7489893746811456</v>
      </c>
      <c r="GF723">
        <v>6.7390909402999686</v>
      </c>
      <c r="GG723">
        <v>19.2903721390499</v>
      </c>
      <c r="GH723">
        <v>25.952890982803396</v>
      </c>
      <c r="GI723">
        <v>31.822560649860492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48.004828754556925</v>
      </c>
      <c r="AO724">
        <v>59.081042129190109</v>
      </c>
      <c r="AP724">
        <v>420.26533287161709</v>
      </c>
      <c r="AQ724">
        <v>188.16837864788437</v>
      </c>
      <c r="AR724">
        <v>55.645892837805327</v>
      </c>
      <c r="AS724">
        <v>306.66271310783992</v>
      </c>
      <c r="AT724">
        <v>21.10084052465897</v>
      </c>
      <c r="AU724">
        <v>-3.1521099282705194</v>
      </c>
      <c r="AV724"/>
      <c r="AW724"/>
      <c r="FY724" s="210">
        <v>719</v>
      </c>
      <c r="FZ724">
        <v>19.695664241104534</v>
      </c>
      <c r="GA724">
        <v>57.795148177833354</v>
      </c>
      <c r="GB724">
        <v>21.449115577738453</v>
      </c>
      <c r="GC724">
        <v>9.5184539313223677</v>
      </c>
      <c r="GD724">
        <v>8.5056572100839158</v>
      </c>
      <c r="GE724">
        <v>11.073108866739139</v>
      </c>
      <c r="GF724">
        <v>11.558245249492501</v>
      </c>
      <c r="GG724">
        <v>18.524960485459296</v>
      </c>
      <c r="GH724">
        <v>15.915454636539531</v>
      </c>
      <c r="GI724">
        <v>30.315888320146104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60.110590752736471</v>
      </c>
      <c r="AO725">
        <v>72.929032188688538</v>
      </c>
      <c r="AP725">
        <v>500.14023010990348</v>
      </c>
      <c r="AQ725">
        <v>206.66135848453746</v>
      </c>
      <c r="AR725">
        <v>69.336660342806908</v>
      </c>
      <c r="AS725">
        <v>396.08290287012534</v>
      </c>
      <c r="AT725">
        <v>28.093504250432957</v>
      </c>
      <c r="AU725">
        <v>67.663985534032875</v>
      </c>
      <c r="AV725"/>
      <c r="AW725"/>
      <c r="FY725" s="210">
        <v>720</v>
      </c>
      <c r="FZ725">
        <v>23.204872303094362</v>
      </c>
      <c r="GA725">
        <v>30.617640870932185</v>
      </c>
      <c r="GB725">
        <v>33.56341247215213</v>
      </c>
      <c r="GC725">
        <v>9.8096949457938951</v>
      </c>
      <c r="GD725">
        <v>6.1560718840870576</v>
      </c>
      <c r="GE725">
        <v>9.2413756334236972</v>
      </c>
      <c r="GF725">
        <v>10.902095264185219</v>
      </c>
      <c r="GG725">
        <v>16.69887397275161</v>
      </c>
      <c r="GH725">
        <v>14.096092930123328</v>
      </c>
      <c r="GI725">
        <v>28.934093055957611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48.714512982918656</v>
      </c>
      <c r="AO726">
        <v>71.414931713188935</v>
      </c>
      <c r="AP726">
        <v>509.59582447515879</v>
      </c>
      <c r="AQ726">
        <v>190.39775730133493</v>
      </c>
      <c r="AR726">
        <v>67.730144758808933</v>
      </c>
      <c r="AS726">
        <v>337.08576246402697</v>
      </c>
      <c r="AT726">
        <v>27.390546588415276</v>
      </c>
      <c r="AU726">
        <v>11.547776938848175</v>
      </c>
      <c r="AV726"/>
      <c r="AW726"/>
      <c r="FY726" s="210">
        <v>721</v>
      </c>
      <c r="FZ726">
        <v>23.414689621385079</v>
      </c>
      <c r="GA726">
        <v>44.215636585283846</v>
      </c>
      <c r="GB726">
        <v>35.067326023500506</v>
      </c>
      <c r="GC726">
        <v>10.259060401441364</v>
      </c>
      <c r="GD726">
        <v>5.558534919839575</v>
      </c>
      <c r="GE726">
        <v>7.1887373349525436</v>
      </c>
      <c r="GF726">
        <v>6.8325566485890379</v>
      </c>
      <c r="GG726">
        <v>14.645918254772321</v>
      </c>
      <c r="GH726">
        <v>24.449716577294648</v>
      </c>
      <c r="GI726">
        <v>32.293781211452441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55.433796207113687</v>
      </c>
      <c r="AO727">
        <v>59.293879775285575</v>
      </c>
      <c r="AP727">
        <v>449.50232492837472</v>
      </c>
      <c r="AQ727">
        <v>195.57274808551801</v>
      </c>
      <c r="AR727">
        <v>56.381783020967838</v>
      </c>
      <c r="AS727">
        <v>303.88667315954962</v>
      </c>
      <c r="AT727">
        <v>21.612418573015276</v>
      </c>
      <c r="AU727">
        <v>11.009188880783206</v>
      </c>
      <c r="AV727"/>
      <c r="AW727"/>
      <c r="FY727" s="210">
        <v>722</v>
      </c>
      <c r="FZ727">
        <v>18.102605449703997</v>
      </c>
      <c r="GA727">
        <v>60.39775245584255</v>
      </c>
      <c r="GB727">
        <v>32.230838050862744</v>
      </c>
      <c r="GC727">
        <v>9.2210084812321451</v>
      </c>
      <c r="GD727">
        <v>7.0572471023018277</v>
      </c>
      <c r="GE727">
        <v>9.0508135735934463</v>
      </c>
      <c r="GF727">
        <v>8.043958800863642</v>
      </c>
      <c r="GG727">
        <v>12.091837245166751</v>
      </c>
      <c r="GH727">
        <v>13.155217941947773</v>
      </c>
      <c r="GI727">
        <v>30.13400819016778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44.429153869823722</v>
      </c>
      <c r="AO728">
        <v>72.30422507244603</v>
      </c>
      <c r="AP728">
        <v>508.28397715207495</v>
      </c>
      <c r="AQ728">
        <v>194.8752421906496</v>
      </c>
      <c r="AR728">
        <v>67.299420149279015</v>
      </c>
      <c r="AS728">
        <v>317.77415394430579</v>
      </c>
      <c r="AT728">
        <v>27.378958409172526</v>
      </c>
      <c r="AU728">
        <v>22.859905104225064</v>
      </c>
      <c r="AV728"/>
      <c r="AW728"/>
      <c r="FY728" s="210">
        <v>723</v>
      </c>
      <c r="FZ728">
        <v>22.128219877048661</v>
      </c>
      <c r="GA728">
        <v>55.233031401439078</v>
      </c>
      <c r="GB728">
        <v>39.485147452311232</v>
      </c>
      <c r="GC728">
        <v>8.9075600655669831</v>
      </c>
      <c r="GD728">
        <v>4.2756533000087638</v>
      </c>
      <c r="GE728">
        <v>4.8621914780240356</v>
      </c>
      <c r="GF728">
        <v>9.2585958077110053</v>
      </c>
      <c r="GG728">
        <v>13.177936339065964</v>
      </c>
      <c r="GH728">
        <v>10.572641893284763</v>
      </c>
      <c r="GI728">
        <v>29.269565321847796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59.298409745586447</v>
      </c>
      <c r="AO729">
        <v>59.039276845362828</v>
      </c>
      <c r="AP729">
        <v>418.99647050022088</v>
      </c>
      <c r="AQ729">
        <v>208.61028117520519</v>
      </c>
      <c r="AR729">
        <v>54.90368428276664</v>
      </c>
      <c r="AS729">
        <v>433.56002637594742</v>
      </c>
      <c r="AT729">
        <v>24.455379331678071</v>
      </c>
      <c r="AU729">
        <v>49.688908839733401</v>
      </c>
      <c r="AV729"/>
      <c r="AW729"/>
      <c r="FY729" s="210">
        <v>724</v>
      </c>
      <c r="FZ729">
        <v>21.049541824498725</v>
      </c>
      <c r="GA729">
        <v>36.243027690293587</v>
      </c>
      <c r="GB729">
        <v>27.490537828612272</v>
      </c>
      <c r="GC729">
        <v>12.830587041656958</v>
      </c>
      <c r="GD729">
        <v>7.9998049208507851</v>
      </c>
      <c r="GE729">
        <v>8.2342950392438485</v>
      </c>
      <c r="GF729">
        <v>10.096213232302487</v>
      </c>
      <c r="GG729">
        <v>20.312625084841304</v>
      </c>
      <c r="GH729">
        <v>23.72556214361466</v>
      </c>
      <c r="GI729">
        <v>35.876485741294324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64.91034280162809</v>
      </c>
      <c r="AO730">
        <v>77.187713355150308</v>
      </c>
      <c r="AP730">
        <v>567.24287894986719</v>
      </c>
      <c r="AQ730">
        <v>233.15179337452375</v>
      </c>
      <c r="AR730">
        <v>72.966427883250233</v>
      </c>
      <c r="AS730">
        <v>357.00853824692484</v>
      </c>
      <c r="AT730">
        <v>27.99430199339324</v>
      </c>
      <c r="AU730">
        <v>-14.280786824841419</v>
      </c>
      <c r="AV730"/>
      <c r="AW730"/>
      <c r="FY730" s="210">
        <v>725</v>
      </c>
      <c r="FZ730">
        <v>25.695157789982492</v>
      </c>
      <c r="GA730">
        <v>56.744679159976513</v>
      </c>
      <c r="GB730">
        <v>33.425503587486112</v>
      </c>
      <c r="GC730">
        <v>13.373110394631054</v>
      </c>
      <c r="GD730">
        <v>7.2757334685886468</v>
      </c>
      <c r="GE730">
        <v>4.6771866622042433</v>
      </c>
      <c r="GF730">
        <v>8.7649343478034876</v>
      </c>
      <c r="GG730">
        <v>18.904851041609462</v>
      </c>
      <c r="GH730">
        <v>24.494803597940692</v>
      </c>
      <c r="GI730">
        <v>33.414371745189705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46.343577744678456</v>
      </c>
      <c r="AO731">
        <v>57.517733674855741</v>
      </c>
      <c r="AP731">
        <v>415.51614521921118</v>
      </c>
      <c r="AQ731">
        <v>208.74688666703784</v>
      </c>
      <c r="AR731">
        <v>55.768591098962659</v>
      </c>
      <c r="AS731">
        <v>338.19945192746292</v>
      </c>
      <c r="AT731">
        <v>24.816707183399519</v>
      </c>
      <c r="AU731">
        <v>-0.61293960771232037</v>
      </c>
      <c r="AV731"/>
      <c r="AW731"/>
      <c r="FY731" s="210">
        <v>726</v>
      </c>
      <c r="FZ731">
        <v>31.459893716085908</v>
      </c>
      <c r="GA731">
        <v>71.818052069044157</v>
      </c>
      <c r="GB731">
        <v>43.737462833229237</v>
      </c>
      <c r="GC731">
        <v>10.732500206904776</v>
      </c>
      <c r="GD731">
        <v>5.2539677502676723</v>
      </c>
      <c r="GE731">
        <v>7.2567493122493882</v>
      </c>
      <c r="GF731">
        <v>8.2029841035576947</v>
      </c>
      <c r="GG731">
        <v>7.2942279157429128</v>
      </c>
      <c r="GH731">
        <v>7.2389418598891968</v>
      </c>
      <c r="GI731">
        <v>32.579565012601897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54.533085009095316</v>
      </c>
      <c r="AO732">
        <v>78.81947381315652</v>
      </c>
      <c r="AP732">
        <v>580.20148408488217</v>
      </c>
      <c r="AQ732">
        <v>238.8616906563602</v>
      </c>
      <c r="AR732">
        <v>73.979261053226935</v>
      </c>
      <c r="AS732">
        <v>357.84031611028513</v>
      </c>
      <c r="AT732">
        <v>31.369598291533602</v>
      </c>
      <c r="AU732">
        <v>-56.531362110386233</v>
      </c>
      <c r="AV732"/>
      <c r="AW732"/>
      <c r="FY732" s="210">
        <v>727</v>
      </c>
      <c r="FZ732">
        <v>29.070128770723663</v>
      </c>
      <c r="GA732">
        <v>76.176049665033702</v>
      </c>
      <c r="GB732">
        <v>37.791472909041914</v>
      </c>
      <c r="GC732">
        <v>11.054727543965782</v>
      </c>
      <c r="GD732">
        <v>7.5405277552180658</v>
      </c>
      <c r="GE732">
        <v>9.5581005977991538</v>
      </c>
      <c r="GF732">
        <v>10.917456100963406</v>
      </c>
      <c r="GG732">
        <v>17.933387207920916</v>
      </c>
      <c r="GH732">
        <v>9.2156440818976755</v>
      </c>
      <c r="GI732">
        <v>36.502843273255785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57.091484549867161</v>
      </c>
      <c r="AO733">
        <v>63.593580963675493</v>
      </c>
      <c r="AP733">
        <v>431.74811680138652</v>
      </c>
      <c r="AQ733">
        <v>189.50334694468745</v>
      </c>
      <c r="AR733">
        <v>58.968655101424538</v>
      </c>
      <c r="AS733">
        <v>299.42961335922308</v>
      </c>
      <c r="AT733">
        <v>23.122701325808517</v>
      </c>
      <c r="AU733">
        <v>4.4995363609236092</v>
      </c>
      <c r="AV733"/>
      <c r="AW733"/>
      <c r="FY733" s="210">
        <v>728</v>
      </c>
      <c r="FZ733">
        <v>22.293337284269906</v>
      </c>
      <c r="GA733">
        <v>46.392089275686871</v>
      </c>
      <c r="GB733">
        <v>35.619390551392293</v>
      </c>
      <c r="GC733">
        <v>9.5816904701783567</v>
      </c>
      <c r="GD733">
        <v>5.0449739431457088</v>
      </c>
      <c r="GE733">
        <v>6.1653671248642317</v>
      </c>
      <c r="GF733">
        <v>10.195634085963206</v>
      </c>
      <c r="GG733">
        <v>17.776740224850041</v>
      </c>
      <c r="GH733">
        <v>10.493955960913194</v>
      </c>
      <c r="GI733">
        <v>31.916187915647374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52.617484264532933</v>
      </c>
      <c r="AO734">
        <v>68.565033538632534</v>
      </c>
      <c r="AP734">
        <v>510.09145192602301</v>
      </c>
      <c r="AQ734">
        <v>219.93132148838171</v>
      </c>
      <c r="AR734">
        <v>62.827767687491018</v>
      </c>
      <c r="AS734">
        <v>292.58117123888053</v>
      </c>
      <c r="AT734">
        <v>26.766129280385709</v>
      </c>
      <c r="AU734">
        <v>107.19946621459948</v>
      </c>
      <c r="AV734"/>
      <c r="AW734"/>
      <c r="FY734" s="210">
        <v>729</v>
      </c>
      <c r="FZ734">
        <v>29.198540345948381</v>
      </c>
      <c r="GA734">
        <v>80.643466384029509</v>
      </c>
      <c r="GB734">
        <v>36.266162811452205</v>
      </c>
      <c r="GC734">
        <v>8.7808455278180446</v>
      </c>
      <c r="GD734">
        <v>8.2723589604190568</v>
      </c>
      <c r="GE734">
        <v>13.256698022095202</v>
      </c>
      <c r="GF734">
        <v>7.4762434526233355</v>
      </c>
      <c r="GG734">
        <v>12.223237549402189</v>
      </c>
      <c r="GH734">
        <v>13.397813252661832</v>
      </c>
      <c r="GI734">
        <v>33.496556534522661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57.383488841558993</v>
      </c>
      <c r="AO735">
        <v>62.464750392284714</v>
      </c>
      <c r="AP735">
        <v>440.44908559303258</v>
      </c>
      <c r="AQ735">
        <v>204.35169669645921</v>
      </c>
      <c r="AR735">
        <v>57.477396810076407</v>
      </c>
      <c r="AS735">
        <v>309.96777428867961</v>
      </c>
      <c r="AT735">
        <v>24.449614903369064</v>
      </c>
      <c r="AU735">
        <v>29.676580216506395</v>
      </c>
      <c r="AV735"/>
      <c r="AW735"/>
      <c r="FY735" s="210">
        <v>730</v>
      </c>
      <c r="FZ735">
        <v>25.504715072575436</v>
      </c>
      <c r="GA735">
        <v>76.704982664049083</v>
      </c>
      <c r="GB735">
        <v>30.133669145979436</v>
      </c>
      <c r="GC735">
        <v>8.2358700858729161</v>
      </c>
      <c r="GD735">
        <v>6.2812091143409194</v>
      </c>
      <c r="GE735">
        <v>7.5952753378635069</v>
      </c>
      <c r="GF735">
        <v>9.9925490227648091</v>
      </c>
      <c r="GG735">
        <v>14.171687749893582</v>
      </c>
      <c r="GH735">
        <v>4.8290690112113195</v>
      </c>
      <c r="GI735">
        <v>28.401456236092805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49.699869483049625</v>
      </c>
      <c r="AO736">
        <v>60.696904076597242</v>
      </c>
      <c r="AP736">
        <v>461.0386337822776</v>
      </c>
      <c r="AQ736">
        <v>183.22422333250108</v>
      </c>
      <c r="AR736">
        <v>57.638414772561084</v>
      </c>
      <c r="AS736">
        <v>266.12568719442237</v>
      </c>
      <c r="AT736">
        <v>23.586944036778757</v>
      </c>
      <c r="AU736">
        <v>12.249780350877966</v>
      </c>
      <c r="AV736"/>
      <c r="AW736"/>
      <c r="FY736" s="210">
        <v>731</v>
      </c>
      <c r="FZ736">
        <v>27.25541220097</v>
      </c>
      <c r="GA736">
        <v>54.372100294380843</v>
      </c>
      <c r="GB736">
        <v>31.513504186403971</v>
      </c>
      <c r="GC736">
        <v>9.8461748501731972</v>
      </c>
      <c r="GD736">
        <v>8.4709422350747907</v>
      </c>
      <c r="GE736">
        <v>13.102079946715987</v>
      </c>
      <c r="GF736">
        <v>6.287277600921187</v>
      </c>
      <c r="GG736">
        <v>8.1482563169280464</v>
      </c>
      <c r="GH736">
        <v>9.9607566139090995</v>
      </c>
      <c r="GI736">
        <v>29.609462144772035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50.382218977737104</v>
      </c>
      <c r="AO737">
        <v>69.083796379876588</v>
      </c>
      <c r="AP737">
        <v>506.25182814826098</v>
      </c>
      <c r="AQ737">
        <v>203.92595757851137</v>
      </c>
      <c r="AR737">
        <v>64.433869212311208</v>
      </c>
      <c r="AS737">
        <v>313.20827262631786</v>
      </c>
      <c r="AT737">
        <v>27.020987049371779</v>
      </c>
      <c r="AU737">
        <v>38.878569968985325</v>
      </c>
      <c r="AV737"/>
      <c r="AW737"/>
      <c r="FY737" s="210">
        <v>732</v>
      </c>
      <c r="FZ737">
        <v>24.9125707529784</v>
      </c>
      <c r="GA737">
        <v>63.565006470008228</v>
      </c>
      <c r="GB737">
        <v>25.894850830254459</v>
      </c>
      <c r="GC737">
        <v>6.8681612744559661</v>
      </c>
      <c r="GD737">
        <v>4.5576088189922874</v>
      </c>
      <c r="GE737">
        <v>4.2607489285266134</v>
      </c>
      <c r="GF737">
        <v>11.284375136603606</v>
      </c>
      <c r="GG737">
        <v>22.414138520880815</v>
      </c>
      <c r="GH737">
        <v>19.450040981238629</v>
      </c>
      <c r="GI737">
        <v>29.947757150494596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51.123450117096986</v>
      </c>
      <c r="AO738">
        <v>63.191530666775655</v>
      </c>
      <c r="AP738">
        <v>460.60388752839441</v>
      </c>
      <c r="AQ738">
        <v>199.48528729168265</v>
      </c>
      <c r="AR738">
        <v>59.334186585504021</v>
      </c>
      <c r="AS738">
        <v>278.78610565978397</v>
      </c>
      <c r="AT738">
        <v>23.827685826282501</v>
      </c>
      <c r="AU738">
        <v>49.373285578098859</v>
      </c>
      <c r="AV738"/>
      <c r="AW738"/>
      <c r="FY738" s="210">
        <v>733</v>
      </c>
      <c r="FZ738">
        <v>27.215447151114315</v>
      </c>
      <c r="GA738">
        <v>72.207237003902293</v>
      </c>
      <c r="GB738">
        <v>32.213128909833003</v>
      </c>
      <c r="GC738">
        <v>10.562212293300808</v>
      </c>
      <c r="GD738">
        <v>7.6538555169754474</v>
      </c>
      <c r="GE738">
        <v>7.7516445262618081</v>
      </c>
      <c r="GF738">
        <v>7.2314766763838358</v>
      </c>
      <c r="GG738">
        <v>15.823984770273087</v>
      </c>
      <c r="GH738">
        <v>18.771070279464563</v>
      </c>
      <c r="GI738">
        <v>31.325089969952035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46.147383064858516</v>
      </c>
      <c r="AO739">
        <v>62.014715770663983</v>
      </c>
      <c r="AP739">
        <v>491.96196716236392</v>
      </c>
      <c r="AQ739">
        <v>197.17054293630827</v>
      </c>
      <c r="AR739">
        <v>57.437035241471612</v>
      </c>
      <c r="AS739">
        <v>369.04988131134098</v>
      </c>
      <c r="AT739">
        <v>23.438588903464304</v>
      </c>
      <c r="AU739">
        <v>-3.207918812418324</v>
      </c>
      <c r="AV739"/>
      <c r="AW739"/>
      <c r="FY739" s="210">
        <v>734</v>
      </c>
      <c r="FZ739">
        <v>30.581355027076611</v>
      </c>
      <c r="GA739">
        <v>35.715383064629357</v>
      </c>
      <c r="GB739">
        <v>18.173924985026073</v>
      </c>
      <c r="GC739">
        <v>8.7641997129673292</v>
      </c>
      <c r="GD739">
        <v>5.0041322340235794</v>
      </c>
      <c r="GE739">
        <v>4.6535020217385439</v>
      </c>
      <c r="GF739">
        <v>7.7951737335092304</v>
      </c>
      <c r="GG739">
        <v>15.084034988771108</v>
      </c>
      <c r="GH739">
        <v>14.422750210391044</v>
      </c>
      <c r="GI739">
        <v>25.077239883432799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54.474289219743625</v>
      </c>
      <c r="AO740">
        <v>76.755130865607299</v>
      </c>
      <c r="AP740">
        <v>501.27582364920983</v>
      </c>
      <c r="AQ740">
        <v>203.85868054720893</v>
      </c>
      <c r="AR740">
        <v>72.415976715749039</v>
      </c>
      <c r="AS740">
        <v>361.27335661338242</v>
      </c>
      <c r="AT740">
        <v>28.895328353713499</v>
      </c>
      <c r="AU740">
        <v>-7.3747426317645424</v>
      </c>
      <c r="AV740"/>
      <c r="AW740"/>
      <c r="FY740" s="210">
        <v>735</v>
      </c>
      <c r="FZ740">
        <v>26.401776608740292</v>
      </c>
      <c r="GA740">
        <v>60.089943322121542</v>
      </c>
      <c r="GB740">
        <v>27.624246637868822</v>
      </c>
      <c r="GC740">
        <v>11.76628236779912</v>
      </c>
      <c r="GD740">
        <v>8.4617407308610488</v>
      </c>
      <c r="GE740">
        <v>8.0546430807997833</v>
      </c>
      <c r="GF740">
        <v>9.6203175048520464</v>
      </c>
      <c r="GG740">
        <v>16.920031642776895</v>
      </c>
      <c r="GH740">
        <v>21.763167225170282</v>
      </c>
      <c r="GI740">
        <v>32.735785450685789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62.168183957250584</v>
      </c>
      <c r="AO741">
        <v>67.456409184296533</v>
      </c>
      <c r="AP741">
        <v>485.33062657988773</v>
      </c>
      <c r="AQ741">
        <v>226.77033179541237</v>
      </c>
      <c r="AR741">
        <v>63.065200512014833</v>
      </c>
      <c r="AS741">
        <v>338.01917587732294</v>
      </c>
      <c r="AT741">
        <v>24.249303291178975</v>
      </c>
      <c r="AU741">
        <v>-36.034955488175399</v>
      </c>
      <c r="AV741"/>
      <c r="AW741"/>
      <c r="FY741" s="210">
        <v>736</v>
      </c>
      <c r="FZ741">
        <v>28.517581358260358</v>
      </c>
      <c r="GA741">
        <v>40.635179983809721</v>
      </c>
      <c r="GB741">
        <v>15.991584791447155</v>
      </c>
      <c r="GC741">
        <v>10.533371195086215</v>
      </c>
      <c r="GD741">
        <v>7.2225023843424054</v>
      </c>
      <c r="GE741">
        <v>6.6264409721612809</v>
      </c>
      <c r="GF741">
        <v>2.7431744624041228</v>
      </c>
      <c r="GG741">
        <v>5.9241847549698727</v>
      </c>
      <c r="GH741">
        <v>11.489792578992734</v>
      </c>
      <c r="GI741">
        <v>22.899328137593479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61.506883319756732</v>
      </c>
      <c r="AO742">
        <v>68.150782906085652</v>
      </c>
      <c r="AP742">
        <v>536.54346520181855</v>
      </c>
      <c r="AQ742">
        <v>225.57434477957284</v>
      </c>
      <c r="AR742">
        <v>64.837917619134473</v>
      </c>
      <c r="AS742">
        <v>318.25166593149589</v>
      </c>
      <c r="AT742">
        <v>23.672203513362135</v>
      </c>
      <c r="AU742">
        <v>0.16568272709017506</v>
      </c>
      <c r="AV742"/>
      <c r="AW742"/>
      <c r="FY742" s="210">
        <v>737</v>
      </c>
      <c r="FZ742">
        <v>20.076284788869273</v>
      </c>
      <c r="GA742">
        <v>34.85462082654017</v>
      </c>
      <c r="GB742">
        <v>41.102149884097308</v>
      </c>
      <c r="GC742">
        <v>14.220753353930306</v>
      </c>
      <c r="GD742">
        <v>4.7502202646676785</v>
      </c>
      <c r="GE742">
        <v>2.8114093902602439</v>
      </c>
      <c r="GF742">
        <v>4.6638617869184404</v>
      </c>
      <c r="GG742">
        <v>6.6919327478158017</v>
      </c>
      <c r="GH742">
        <v>5.9366107566626916</v>
      </c>
      <c r="GI742">
        <v>27.903010270509196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66.934240433861632</v>
      </c>
      <c r="AO743">
        <v>79.091089667796922</v>
      </c>
      <c r="AP743">
        <v>603.0397787487276</v>
      </c>
      <c r="AQ743">
        <v>245.76033790582011</v>
      </c>
      <c r="AR743">
        <v>72.689005177441103</v>
      </c>
      <c r="AS743">
        <v>551.16861355434696</v>
      </c>
      <c r="AT743">
        <v>31.256319000882261</v>
      </c>
      <c r="AU743">
        <v>106.21090308479666</v>
      </c>
      <c r="AV743"/>
      <c r="AW743"/>
      <c r="FY743" s="210">
        <v>738</v>
      </c>
      <c r="FZ743">
        <v>27.115053520185207</v>
      </c>
      <c r="GA743">
        <v>46.340656948702332</v>
      </c>
      <c r="GB743">
        <v>28.363904681745019</v>
      </c>
      <c r="GC743">
        <v>10.527708949863241</v>
      </c>
      <c r="GD743">
        <v>6.8661297864587034</v>
      </c>
      <c r="GE743">
        <v>8.0739762971024263</v>
      </c>
      <c r="GF743">
        <v>6.782844115504715</v>
      </c>
      <c r="GG743">
        <v>10.285616601796731</v>
      </c>
      <c r="GH743">
        <v>9.0346415620466001</v>
      </c>
      <c r="GI743">
        <v>31.586914867171902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48.23642035125394</v>
      </c>
      <c r="AO744">
        <v>69.408053034276207</v>
      </c>
      <c r="AP744">
        <v>518.81472552228229</v>
      </c>
      <c r="AQ744">
        <v>195.4793668369112</v>
      </c>
      <c r="AR744">
        <v>64.480492093894796</v>
      </c>
      <c r="AS744">
        <v>384.35319250702321</v>
      </c>
      <c r="AT744">
        <v>25.962018511141892</v>
      </c>
      <c r="AU744">
        <v>23.68680230888106</v>
      </c>
      <c r="AV744"/>
      <c r="AW744"/>
      <c r="FY744" s="210">
        <v>739</v>
      </c>
      <c r="FZ744">
        <v>29.744830432002857</v>
      </c>
      <c r="GA744">
        <v>46.893855054790514</v>
      </c>
      <c r="GB744">
        <v>36.762953584848162</v>
      </c>
      <c r="GC744">
        <v>8.8481700923637518</v>
      </c>
      <c r="GD744">
        <v>4.7899047698866122</v>
      </c>
      <c r="GE744">
        <v>6.6033901286116077</v>
      </c>
      <c r="GF744">
        <v>11.98512305661253</v>
      </c>
      <c r="GG744">
        <v>26.054945670465713</v>
      </c>
      <c r="GH744">
        <v>33.979363409616887</v>
      </c>
      <c r="GI744">
        <v>40.019072578416946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71.928928710572904</v>
      </c>
      <c r="AO745">
        <v>67.586662090494286</v>
      </c>
      <c r="AP745">
        <v>493.32422580239552</v>
      </c>
      <c r="AQ745">
        <v>243.01192284097243</v>
      </c>
      <c r="AR745">
        <v>63.467369237326672</v>
      </c>
      <c r="AS745">
        <v>346.12132867109642</v>
      </c>
      <c r="AT745">
        <v>25.154969493990574</v>
      </c>
      <c r="AU745">
        <v>17.958260738152781</v>
      </c>
      <c r="AV745"/>
      <c r="AW745"/>
      <c r="FY745" s="210">
        <v>740</v>
      </c>
      <c r="FZ745">
        <v>18.11056011969454</v>
      </c>
      <c r="GA745">
        <v>48.612090133260537</v>
      </c>
      <c r="GB745">
        <v>47.709879110202799</v>
      </c>
      <c r="GC745">
        <v>14.422805272449265</v>
      </c>
      <c r="GD745">
        <v>9.3330263063019174</v>
      </c>
      <c r="GE745">
        <v>10.80901358513611</v>
      </c>
      <c r="GF745">
        <v>5.3927328689464264</v>
      </c>
      <c r="GG745">
        <v>10.121243726983984</v>
      </c>
      <c r="GH745">
        <v>13.021114791787639</v>
      </c>
      <c r="GI745">
        <v>37.139781706114682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57.964724173448943</v>
      </c>
      <c r="AO746">
        <v>57.052747577429976</v>
      </c>
      <c r="AP746">
        <v>444.2866889949899</v>
      </c>
      <c r="AQ746">
        <v>211.85048344064381</v>
      </c>
      <c r="AR746">
        <v>53.525819812373371</v>
      </c>
      <c r="AS746">
        <v>386.78413073515333</v>
      </c>
      <c r="AT746">
        <v>23.539375827157016</v>
      </c>
      <c r="AU746">
        <v>1.523682390799598</v>
      </c>
      <c r="AV746"/>
      <c r="AW746"/>
      <c r="FY746" s="210">
        <v>741</v>
      </c>
      <c r="FZ746">
        <v>31.527074106976485</v>
      </c>
      <c r="GA746">
        <v>64.900964098810348</v>
      </c>
      <c r="GB746">
        <v>27.87934758767328</v>
      </c>
      <c r="GC746">
        <v>9.3666284550604342</v>
      </c>
      <c r="GD746">
        <v>5.2785275112116814</v>
      </c>
      <c r="GE746">
        <v>6.7013625683030487</v>
      </c>
      <c r="GF746">
        <v>8.9425779962961993</v>
      </c>
      <c r="GG746">
        <v>19.214923396203318</v>
      </c>
      <c r="GH746">
        <v>28.922305603814124</v>
      </c>
      <c r="GI746">
        <v>32.559899470461005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66.44683078648201</v>
      </c>
      <c r="AO747">
        <v>60.819371170517869</v>
      </c>
      <c r="AP747">
        <v>419.96534806696434</v>
      </c>
      <c r="AQ747">
        <v>198.56596639024914</v>
      </c>
      <c r="AR747">
        <v>56.621132152064376</v>
      </c>
      <c r="AS747">
        <v>291.30225460898407</v>
      </c>
      <c r="AT747">
        <v>21.600173658519882</v>
      </c>
      <c r="AU747">
        <v>51.239522827533065</v>
      </c>
      <c r="AV747"/>
      <c r="AW747"/>
      <c r="FY747" s="210">
        <v>742</v>
      </c>
      <c r="FZ747">
        <v>28.637340911798823</v>
      </c>
      <c r="GA747">
        <v>46.472914278365963</v>
      </c>
      <c r="GB747">
        <v>43.467407172683075</v>
      </c>
      <c r="GC747">
        <v>13.481909943809404</v>
      </c>
      <c r="GD747">
        <v>5.6655732706606114</v>
      </c>
      <c r="GE747">
        <v>5.6505069174896461</v>
      </c>
      <c r="GF747">
        <v>11.007742218029605</v>
      </c>
      <c r="GG747">
        <v>21.104174159583522</v>
      </c>
      <c r="GH747">
        <v>25.191067103568258</v>
      </c>
      <c r="GI747">
        <v>36.830235439749352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45.957865794953804</v>
      </c>
      <c r="AO748">
        <v>63.468284642695856</v>
      </c>
      <c r="AP748">
        <v>492.7057637865633</v>
      </c>
      <c r="AQ748">
        <v>213.15525886443362</v>
      </c>
      <c r="AR748">
        <v>59.018457535615617</v>
      </c>
      <c r="AS748">
        <v>413.94739087589397</v>
      </c>
      <c r="AT748">
        <v>25.402217730152657</v>
      </c>
      <c r="AU748">
        <v>56.587438094026318</v>
      </c>
      <c r="AV748"/>
      <c r="AW748"/>
      <c r="FY748" s="210">
        <v>743</v>
      </c>
      <c r="FZ748">
        <v>22.153926055013592</v>
      </c>
      <c r="GA748">
        <v>65.876580943357041</v>
      </c>
      <c r="GB748">
        <v>32.956856425206702</v>
      </c>
      <c r="GC748">
        <v>10.797848539587095</v>
      </c>
      <c r="GD748">
        <v>6.4483074510871425</v>
      </c>
      <c r="GE748">
        <v>4.9927008440927745</v>
      </c>
      <c r="GF748">
        <v>5.9054458091657995</v>
      </c>
      <c r="GG748">
        <v>12.543648675267663</v>
      </c>
      <c r="GH748">
        <v>16.672263062073199</v>
      </c>
      <c r="GI748">
        <v>29.277732797507099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53.233962065422041</v>
      </c>
      <c r="AO749">
        <v>63.720585141738241</v>
      </c>
      <c r="AP749">
        <v>496.91664480751348</v>
      </c>
      <c r="AQ749">
        <v>230.75514709746122</v>
      </c>
      <c r="AR749">
        <v>60.855014064117803</v>
      </c>
      <c r="AS749">
        <v>313.32590750958587</v>
      </c>
      <c r="AT749">
        <v>26.034106870356563</v>
      </c>
      <c r="AU749">
        <v>86.504474868351537</v>
      </c>
      <c r="AV749"/>
      <c r="AW749"/>
      <c r="FY749" s="210">
        <v>744</v>
      </c>
      <c r="FZ749">
        <v>23.719813139679314</v>
      </c>
      <c r="GA749">
        <v>42.581398516843393</v>
      </c>
      <c r="GB749">
        <v>43.98316079565906</v>
      </c>
      <c r="GC749">
        <v>14.505430915458863</v>
      </c>
      <c r="GD749">
        <v>10.834467048494195</v>
      </c>
      <c r="GE749">
        <v>16.302522828349815</v>
      </c>
      <c r="GF749">
        <v>10.69533285160243</v>
      </c>
      <c r="GG749">
        <v>12.389929101751708</v>
      </c>
      <c r="GH749">
        <v>9.5457473148156673</v>
      </c>
      <c r="GI749">
        <v>38.803575338684453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44.281790767872032</v>
      </c>
      <c r="AO750">
        <v>49.905322777809502</v>
      </c>
      <c r="AP750">
        <v>340.191349895781</v>
      </c>
      <c r="AQ750">
        <v>165.27169586156572</v>
      </c>
      <c r="AR750">
        <v>48.027258607424528</v>
      </c>
      <c r="AS750">
        <v>400.08557210172125</v>
      </c>
      <c r="AT750">
        <v>19.417463579584602</v>
      </c>
      <c r="AU750">
        <v>36.867394166468983</v>
      </c>
      <c r="AV750"/>
      <c r="AW750"/>
      <c r="FY750" s="210">
        <v>745</v>
      </c>
      <c r="FZ750">
        <v>21.696971064732153</v>
      </c>
      <c r="GA750">
        <v>60.105453294938201</v>
      </c>
      <c r="GB750">
        <v>32.107434595859345</v>
      </c>
      <c r="GC750">
        <v>13.531375912264338</v>
      </c>
      <c r="GD750">
        <v>10.08460646817953</v>
      </c>
      <c r="GE750">
        <v>12.245475728937215</v>
      </c>
      <c r="GF750">
        <v>5.2937983730395448</v>
      </c>
      <c r="GG750">
        <v>12.265661475189999</v>
      </c>
      <c r="GH750">
        <v>21.526542930444222</v>
      </c>
      <c r="GI750">
        <v>38.608982668316848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48.831352991687858</v>
      </c>
      <c r="AO751">
        <v>66.541144408750739</v>
      </c>
      <c r="AP751">
        <v>498.8576300026358</v>
      </c>
      <c r="AQ751">
        <v>223.43793457167564</v>
      </c>
      <c r="AR751">
        <v>63.382611101038101</v>
      </c>
      <c r="AS751">
        <v>378.38809241586006</v>
      </c>
      <c r="AT751">
        <v>28.532623373800845</v>
      </c>
      <c r="AU751">
        <v>49.971935949524344</v>
      </c>
      <c r="AV751"/>
      <c r="AW751"/>
      <c r="FY751" s="210">
        <v>746</v>
      </c>
      <c r="FZ751">
        <v>29.944377122774178</v>
      </c>
      <c r="GA751">
        <v>58.546521987548218</v>
      </c>
      <c r="GB751">
        <v>29.849224584708232</v>
      </c>
      <c r="GC751">
        <v>8.2487441375277868</v>
      </c>
      <c r="GD751">
        <v>6.1833945815483533</v>
      </c>
      <c r="GE751">
        <v>8.4948015970380855</v>
      </c>
      <c r="GF751">
        <v>8.1445813625682799</v>
      </c>
      <c r="GG751">
        <v>14.573639628544349</v>
      </c>
      <c r="GH751">
        <v>15.916002939902286</v>
      </c>
      <c r="GI751">
        <v>28.873537982026168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68.260697991274043</v>
      </c>
      <c r="AO752">
        <v>48.116100145555357</v>
      </c>
      <c r="AP752">
        <v>326.30644807263656</v>
      </c>
      <c r="AQ752">
        <v>152.58314061906734</v>
      </c>
      <c r="AR752">
        <v>46.442147177530714</v>
      </c>
      <c r="AS752">
        <v>320.08737461707869</v>
      </c>
      <c r="AT752">
        <v>18.22452871824289</v>
      </c>
      <c r="AU752">
        <v>20.622252724702147</v>
      </c>
      <c r="AV752"/>
      <c r="AW752"/>
      <c r="FY752" s="210">
        <v>747</v>
      </c>
      <c r="FZ752">
        <v>27.339331850626159</v>
      </c>
      <c r="GA752">
        <v>73.810442825835707</v>
      </c>
      <c r="GB752">
        <v>38.393962050574387</v>
      </c>
      <c r="GC752">
        <v>8.7919474317559949</v>
      </c>
      <c r="GD752">
        <v>6.6106569539850195</v>
      </c>
      <c r="GE752">
        <v>9.1659420750130263</v>
      </c>
      <c r="GF752">
        <v>11.203447886548282</v>
      </c>
      <c r="GG752">
        <v>12.739716419783056</v>
      </c>
      <c r="GH752">
        <v>9.9486132920697266</v>
      </c>
      <c r="GI752">
        <v>31.462623605471354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50.361194329106453</v>
      </c>
      <c r="AO753">
        <v>58.959167648456322</v>
      </c>
      <c r="AP753">
        <v>404.48004079341706</v>
      </c>
      <c r="AQ753">
        <v>163.01085407027111</v>
      </c>
      <c r="AR753">
        <v>54.842648425579078</v>
      </c>
      <c r="AS753">
        <v>310.20984954851843</v>
      </c>
      <c r="AT753">
        <v>20.437273409049279</v>
      </c>
      <c r="AU753">
        <v>-0.14749705259922763</v>
      </c>
      <c r="AV753"/>
      <c r="AW753"/>
      <c r="FY753" s="210">
        <v>748</v>
      </c>
      <c r="FZ753">
        <v>17.346542331018384</v>
      </c>
      <c r="GA753">
        <v>49.349508763312016</v>
      </c>
      <c r="GB753">
        <v>44.81068958441255</v>
      </c>
      <c r="GC753">
        <v>10.323995044480986</v>
      </c>
      <c r="GD753">
        <v>7.0153563515246917</v>
      </c>
      <c r="GE753">
        <v>11.03270094225301</v>
      </c>
      <c r="GF753">
        <v>9.6657754527782007</v>
      </c>
      <c r="GG753">
        <v>26.363392625029189</v>
      </c>
      <c r="GH753">
        <v>32.079216463912203</v>
      </c>
      <c r="GI753">
        <v>39.163035482566883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57.613743655427172</v>
      </c>
      <c r="AO754">
        <v>68.662032498611566</v>
      </c>
      <c r="AP754">
        <v>456.63874921013894</v>
      </c>
      <c r="AQ754">
        <v>184.97744733057687</v>
      </c>
      <c r="AR754">
        <v>64.712107717368767</v>
      </c>
      <c r="AS754">
        <v>355.44160666768505</v>
      </c>
      <c r="AT754">
        <v>25.105477238143692</v>
      </c>
      <c r="AU754">
        <v>2.3420056812418792</v>
      </c>
      <c r="AV754"/>
      <c r="AW754"/>
      <c r="FY754" s="210">
        <v>749</v>
      </c>
      <c r="FZ754">
        <v>18.892396565754666</v>
      </c>
      <c r="GA754">
        <v>68.113079764161569</v>
      </c>
      <c r="GB754">
        <v>56.045366957870066</v>
      </c>
      <c r="GC754">
        <v>12.351100453233606</v>
      </c>
      <c r="GD754">
        <v>4.3343499298285186</v>
      </c>
      <c r="GE754">
        <v>3.7961915116619922</v>
      </c>
      <c r="GF754">
        <v>6.9728948800179689</v>
      </c>
      <c r="GG754">
        <v>16.626791829989251</v>
      </c>
      <c r="GH754">
        <v>23.04299575570829</v>
      </c>
      <c r="GI754">
        <v>39.434469189333711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50.471485923970263</v>
      </c>
      <c r="AO755">
        <v>88.549503515735069</v>
      </c>
      <c r="AP755">
        <v>662.90440221045651</v>
      </c>
      <c r="AQ755">
        <v>245.68160877761559</v>
      </c>
      <c r="AR755">
        <v>84.335585521807545</v>
      </c>
      <c r="AS755">
        <v>374.53769055123075</v>
      </c>
      <c r="AT755">
        <v>34.808361449772498</v>
      </c>
      <c r="AU755">
        <v>-6.1293092669954845</v>
      </c>
      <c r="AV755"/>
      <c r="AW755"/>
      <c r="FY755" s="210">
        <v>750</v>
      </c>
      <c r="FZ755">
        <v>26.166213021204339</v>
      </c>
      <c r="GA755">
        <v>41.238825410239585</v>
      </c>
      <c r="GB755">
        <v>17.336041946304306</v>
      </c>
      <c r="GC755">
        <v>8.6097156768529963</v>
      </c>
      <c r="GD755">
        <v>5.3076145847318932</v>
      </c>
      <c r="GE755">
        <v>4.625421714465598</v>
      </c>
      <c r="GF755">
        <v>10.413889132898287</v>
      </c>
      <c r="GG755">
        <v>19.396399355865327</v>
      </c>
      <c r="GH755">
        <v>14.280807245669132</v>
      </c>
      <c r="GI755">
        <v>25.387593771972881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60.00517025510662</v>
      </c>
      <c r="AO756">
        <v>80.06021746782416</v>
      </c>
      <c r="AP756">
        <v>547.23374529463763</v>
      </c>
      <c r="AQ756">
        <v>214.67224762087793</v>
      </c>
      <c r="AR756">
        <v>73.959440640004587</v>
      </c>
      <c r="AS756">
        <v>343.9644304560789</v>
      </c>
      <c r="AT756">
        <v>27.739393128840657</v>
      </c>
      <c r="AU756">
        <v>-56.084542666123788</v>
      </c>
      <c r="AV756"/>
      <c r="AW756"/>
      <c r="FY756" s="210">
        <v>751</v>
      </c>
      <c r="FZ756">
        <v>27.780790280526912</v>
      </c>
      <c r="GA756">
        <v>63.980273485082222</v>
      </c>
      <c r="GB756">
        <v>26.819860505378529</v>
      </c>
      <c r="GC756">
        <v>6.9233725862596698</v>
      </c>
      <c r="GD756">
        <v>4.2989868573751631</v>
      </c>
      <c r="GE756">
        <v>4.848016461258096</v>
      </c>
      <c r="GF756">
        <v>6.840744899230093</v>
      </c>
      <c r="GG756">
        <v>12.73966958811249</v>
      </c>
      <c r="GH756">
        <v>16.712643143580117</v>
      </c>
      <c r="GI756">
        <v>25.646626246759087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51.749178712731087</v>
      </c>
      <c r="AO757">
        <v>68.154525755333438</v>
      </c>
      <c r="AP757">
        <v>516.75613954910341</v>
      </c>
      <c r="AQ757">
        <v>235.29361079480989</v>
      </c>
      <c r="AR757">
        <v>65.030403839465905</v>
      </c>
      <c r="AS757">
        <v>407.81500244637903</v>
      </c>
      <c r="AT757">
        <v>27.311534229420477</v>
      </c>
      <c r="AU757">
        <v>4.2003659744414925</v>
      </c>
      <c r="AV757"/>
      <c r="AW757"/>
      <c r="FY757" s="210">
        <v>752</v>
      </c>
      <c r="FZ757">
        <v>28.161008753369657</v>
      </c>
      <c r="GA757">
        <v>47.740134311098366</v>
      </c>
      <c r="GB757">
        <v>24.487144875136451</v>
      </c>
      <c r="GC757">
        <v>9.6080680784777037</v>
      </c>
      <c r="GD757">
        <v>6.312683109170619</v>
      </c>
      <c r="GE757">
        <v>6.2323666249751488</v>
      </c>
      <c r="GF757">
        <v>16.94091618150636</v>
      </c>
      <c r="GG757">
        <v>28.560284753772009</v>
      </c>
      <c r="GH757">
        <v>21.335520493286307</v>
      </c>
      <c r="GI757">
        <v>31.123920861641743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62.126117881298697</v>
      </c>
      <c r="AO758">
        <v>78.122858224179339</v>
      </c>
      <c r="AP758">
        <v>606.02010130296662</v>
      </c>
      <c r="AQ758">
        <v>237.50887141573824</v>
      </c>
      <c r="AR758">
        <v>73.519647853649232</v>
      </c>
      <c r="AS758">
        <v>345.2927121095226</v>
      </c>
      <c r="AT758">
        <v>30.846617510176003</v>
      </c>
      <c r="AU758">
        <v>78.057420329088146</v>
      </c>
      <c r="AV758"/>
      <c r="AW758"/>
      <c r="FY758" s="210">
        <v>753</v>
      </c>
      <c r="FZ758">
        <v>22.661507931214807</v>
      </c>
      <c r="GA758">
        <v>66.273227297961441</v>
      </c>
      <c r="GB758">
        <v>37.312352420907771</v>
      </c>
      <c r="GC758">
        <v>6.3510176864478494</v>
      </c>
      <c r="GD758">
        <v>4.6870316205680789</v>
      </c>
      <c r="GE758">
        <v>8.6622222839715413</v>
      </c>
      <c r="GF758">
        <v>10.336325135774549</v>
      </c>
      <c r="GG758">
        <v>18.752603129785992</v>
      </c>
      <c r="GH758">
        <v>21.316066440409266</v>
      </c>
      <c r="GI758">
        <v>32.770211988797918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44.24776069098484</v>
      </c>
      <c r="AO759">
        <v>61.451776903369534</v>
      </c>
      <c r="AP759">
        <v>482.85608668243117</v>
      </c>
      <c r="AQ759">
        <v>207.62531060235813</v>
      </c>
      <c r="AR759">
        <v>58.033207819229233</v>
      </c>
      <c r="AS759">
        <v>297.25958501807759</v>
      </c>
      <c r="AT759">
        <v>24.877180400853675</v>
      </c>
      <c r="AU759">
        <v>-36.415168773835354</v>
      </c>
      <c r="AV759"/>
      <c r="AW759"/>
      <c r="FY759" s="210">
        <v>754</v>
      </c>
      <c r="FZ759">
        <v>29.05615207610478</v>
      </c>
      <c r="GA759">
        <v>56.232457994709385</v>
      </c>
      <c r="GB759">
        <v>62.189364680754174</v>
      </c>
      <c r="GC759">
        <v>14.537777091607076</v>
      </c>
      <c r="GD759">
        <v>4.1898716754913607</v>
      </c>
      <c r="GE759">
        <v>2.7696267921669437</v>
      </c>
      <c r="GF759">
        <v>9.0312107938048367</v>
      </c>
      <c r="GG759">
        <v>14.298742975015875</v>
      </c>
      <c r="GH759">
        <v>10.462965865727632</v>
      </c>
      <c r="GI759">
        <v>42.640450660282902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79.52625803057353</v>
      </c>
      <c r="AO760">
        <v>79.374680080201529</v>
      </c>
      <c r="AP760">
        <v>514.47945762443351</v>
      </c>
      <c r="AQ760">
        <v>223.36137785133889</v>
      </c>
      <c r="AR760">
        <v>73.744173779367628</v>
      </c>
      <c r="AS760">
        <v>366.97403359576549</v>
      </c>
      <c r="AT760">
        <v>29.086498707343726</v>
      </c>
      <c r="AU760">
        <v>24.944591035867273</v>
      </c>
      <c r="AV760"/>
      <c r="AW760"/>
      <c r="FY760" s="210">
        <v>755</v>
      </c>
      <c r="FZ760">
        <v>24.561870776263333</v>
      </c>
      <c r="GA760">
        <v>41.696615828996201</v>
      </c>
      <c r="GB760">
        <v>41.182924085763368</v>
      </c>
      <c r="GC760">
        <v>12.314375216326841</v>
      </c>
      <c r="GD760">
        <v>4.8856112483518928</v>
      </c>
      <c r="GE760">
        <v>3.830379913542501</v>
      </c>
      <c r="GF760">
        <v>9.0206904182437508</v>
      </c>
      <c r="GG760">
        <v>18.20809649200708</v>
      </c>
      <c r="GH760">
        <v>23.98033581731374</v>
      </c>
      <c r="GI760">
        <v>34.381799565219659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76.55988767311888</v>
      </c>
      <c r="AO761">
        <v>82.483384533199853</v>
      </c>
      <c r="AP761">
        <v>522.05369402780366</v>
      </c>
      <c r="AQ761">
        <v>227.4663025119014</v>
      </c>
      <c r="AR761">
        <v>75.894090817914233</v>
      </c>
      <c r="AS761">
        <v>403.81708655934074</v>
      </c>
      <c r="AT761">
        <v>29.546332258399421</v>
      </c>
      <c r="AU761">
        <v>-16.708159081598065</v>
      </c>
      <c r="AV761"/>
      <c r="AW761"/>
      <c r="FY761" s="210">
        <v>756</v>
      </c>
      <c r="FZ761">
        <v>21.600148404204361</v>
      </c>
      <c r="GA761">
        <v>40.499513564142021</v>
      </c>
      <c r="GB761">
        <v>47.985413492652</v>
      </c>
      <c r="GC761">
        <v>12.637806968615125</v>
      </c>
      <c r="GD761">
        <v>6.9192755305847102</v>
      </c>
      <c r="GE761">
        <v>9.9583361793301961</v>
      </c>
      <c r="GF761">
        <v>6.2688033235034961</v>
      </c>
      <c r="GG761">
        <v>13.857510122883507</v>
      </c>
      <c r="GH761">
        <v>26.540851435042427</v>
      </c>
      <c r="GI761">
        <v>40.842051818818277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58.491535490371824</v>
      </c>
      <c r="AO762">
        <v>59.828623256647766</v>
      </c>
      <c r="AP762">
        <v>459.28349485839402</v>
      </c>
      <c r="AQ762">
        <v>208.77482592418593</v>
      </c>
      <c r="AR762">
        <v>56.433966957412132</v>
      </c>
      <c r="AS762">
        <v>285.40653055694906</v>
      </c>
      <c r="AT762">
        <v>21.192453905404392</v>
      </c>
      <c r="AU762">
        <v>11.153696185313821</v>
      </c>
      <c r="AV762"/>
      <c r="AW762"/>
      <c r="FY762" s="210">
        <v>757</v>
      </c>
      <c r="FZ762">
        <v>21.088473659789774</v>
      </c>
      <c r="GA762">
        <v>51.090777451208027</v>
      </c>
      <c r="GB762">
        <v>28.855040722116819</v>
      </c>
      <c r="GC762">
        <v>10.071936227389294</v>
      </c>
      <c r="GD762">
        <v>5.5373252465972431</v>
      </c>
      <c r="GE762">
        <v>5.2572947832778514</v>
      </c>
      <c r="GF762">
        <v>9.0553956052951978</v>
      </c>
      <c r="GG762">
        <v>13.779711427218013</v>
      </c>
      <c r="GH762">
        <v>14.308240268189271</v>
      </c>
      <c r="GI762">
        <v>30.197867609587508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55.867079222661097</v>
      </c>
      <c r="AO763">
        <v>66.66617958716509</v>
      </c>
      <c r="AP763">
        <v>547.9518834284961</v>
      </c>
      <c r="AQ763">
        <v>229.46668439166274</v>
      </c>
      <c r="AR763">
        <v>62.457927679458777</v>
      </c>
      <c r="AS763">
        <v>345.8166785020419</v>
      </c>
      <c r="AT763">
        <v>25.764686075310934</v>
      </c>
      <c r="AU763">
        <v>34.479845650088478</v>
      </c>
      <c r="AV763"/>
      <c r="AW763"/>
      <c r="FY763" s="210">
        <v>758</v>
      </c>
      <c r="FZ763">
        <v>28.873489806280944</v>
      </c>
      <c r="GA763">
        <v>76.506599305724237</v>
      </c>
      <c r="GB763">
        <v>37.928512132684489</v>
      </c>
      <c r="GC763">
        <v>13.080711678276103</v>
      </c>
      <c r="GD763">
        <v>7.168432960064214</v>
      </c>
      <c r="GE763">
        <v>6.9185447115025243</v>
      </c>
      <c r="GF763">
        <v>12.494924801067876</v>
      </c>
      <c r="GG763">
        <v>19.173335314912844</v>
      </c>
      <c r="GH763">
        <v>19.978811221381299</v>
      </c>
      <c r="GI763">
        <v>40.390915379325719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56.912040697834485</v>
      </c>
      <c r="AO764">
        <v>85.503886790170213</v>
      </c>
      <c r="AP764">
        <v>646.59856292205313</v>
      </c>
      <c r="AQ764">
        <v>247.15021304128811</v>
      </c>
      <c r="AR764">
        <v>78.885164328217286</v>
      </c>
      <c r="AS764">
        <v>360.80827766435885</v>
      </c>
      <c r="AT764">
        <v>32.937881710880198</v>
      </c>
      <c r="AU764">
        <v>-48.686038185993915</v>
      </c>
      <c r="AV764"/>
      <c r="AW764"/>
      <c r="FY764" s="210">
        <v>759</v>
      </c>
      <c r="FZ764">
        <v>23.666777944963691</v>
      </c>
      <c r="GA764">
        <v>48.80858516342402</v>
      </c>
      <c r="GB764">
        <v>54.511967558892891</v>
      </c>
      <c r="GC764">
        <v>19.703273886453594</v>
      </c>
      <c r="GD764">
        <v>7.9051575698593846</v>
      </c>
      <c r="GE764">
        <v>4.5883240779064689</v>
      </c>
      <c r="GF764">
        <v>10.355439112103676</v>
      </c>
      <c r="GG764">
        <v>16.977173425854602</v>
      </c>
      <c r="GH764">
        <v>22.822079281787531</v>
      </c>
      <c r="GI764">
        <v>46.896737419566911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69.417860381341143</v>
      </c>
      <c r="AO765">
        <v>90.924355142679275</v>
      </c>
      <c r="AP765">
        <v>701.92872181226744</v>
      </c>
      <c r="AQ765">
        <v>249.60963683755966</v>
      </c>
      <c r="AR765">
        <v>84.235525006777138</v>
      </c>
      <c r="AS765">
        <v>508.55482233592028</v>
      </c>
      <c r="AT765">
        <v>31.172653142917536</v>
      </c>
      <c r="AU765">
        <v>34.886219656447686</v>
      </c>
      <c r="AV765"/>
      <c r="AW765"/>
      <c r="FY765" s="210">
        <v>760</v>
      </c>
      <c r="FZ765">
        <v>16.888668540259136</v>
      </c>
      <c r="GA765">
        <v>28.303193204192791</v>
      </c>
      <c r="GB765">
        <v>15.231118334824256</v>
      </c>
      <c r="GC765">
        <v>6.3082811364338065</v>
      </c>
      <c r="GD765">
        <v>5.5278633318131138</v>
      </c>
      <c r="GE765">
        <v>7.9244724090039274</v>
      </c>
      <c r="GF765">
        <v>7.6182503416782925</v>
      </c>
      <c r="GG765">
        <v>13.543145619383457</v>
      </c>
      <c r="GH765">
        <v>18.431614027490461</v>
      </c>
      <c r="GI765">
        <v>22.472942910646776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57.72454242276924</v>
      </c>
      <c r="AO766">
        <v>51.94476832156063</v>
      </c>
      <c r="AP766">
        <v>390.23109034947242</v>
      </c>
      <c r="AQ766">
        <v>172.76252186020437</v>
      </c>
      <c r="AR766">
        <v>50.190032445669964</v>
      </c>
      <c r="AS766">
        <v>378.49395864661972</v>
      </c>
      <c r="AT766">
        <v>21.79032441169419</v>
      </c>
      <c r="AU766">
        <v>29.251500479851984</v>
      </c>
      <c r="AV766"/>
      <c r="AW766"/>
      <c r="FY766" s="210">
        <v>761</v>
      </c>
      <c r="FZ766">
        <v>26.177216813945783</v>
      </c>
      <c r="GA766">
        <v>61.846810898771622</v>
      </c>
      <c r="GB766">
        <v>48.500295686515756</v>
      </c>
      <c r="GC766">
        <v>14.162479428359097</v>
      </c>
      <c r="GD766">
        <v>4.8004038111746361</v>
      </c>
      <c r="GE766">
        <v>2.9348158734441703</v>
      </c>
      <c r="GF766">
        <v>7.349408783606096</v>
      </c>
      <c r="GG766">
        <v>7.8258656231173829</v>
      </c>
      <c r="GH766">
        <v>10.375800144970775</v>
      </c>
      <c r="GI766">
        <v>34.250484546853819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39.926065448663749</v>
      </c>
      <c r="AO767">
        <v>53.711652075848825</v>
      </c>
      <c r="AP767">
        <v>438.93565954288806</v>
      </c>
      <c r="AQ767">
        <v>196.59098405356238</v>
      </c>
      <c r="AR767">
        <v>50.44281089854389</v>
      </c>
      <c r="AS767">
        <v>325.36077952488915</v>
      </c>
      <c r="AT767">
        <v>20.776303497936979</v>
      </c>
      <c r="AU767">
        <v>-11.799468009081011</v>
      </c>
      <c r="AV767"/>
      <c r="AW767"/>
      <c r="FY767" s="210">
        <v>762</v>
      </c>
      <c r="FZ767">
        <v>22.15919524402733</v>
      </c>
      <c r="GA767">
        <v>49.989077763399408</v>
      </c>
      <c r="GB767">
        <v>32.054815239172349</v>
      </c>
      <c r="GC767">
        <v>10.291576715270615</v>
      </c>
      <c r="GD767">
        <v>6.096812765628318</v>
      </c>
      <c r="GE767">
        <v>6.4497312765805246</v>
      </c>
      <c r="GF767">
        <v>10.537244271160858</v>
      </c>
      <c r="GG767">
        <v>16.782434073444961</v>
      </c>
      <c r="GH767">
        <v>14.141115913888916</v>
      </c>
      <c r="GI767">
        <v>32.129578056322629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48.972860427702912</v>
      </c>
      <c r="AO768">
        <v>64.402009603208441</v>
      </c>
      <c r="AP768">
        <v>513.78069537396948</v>
      </c>
      <c r="AQ768">
        <v>220.50204804243435</v>
      </c>
      <c r="AR768">
        <v>60.325311202582306</v>
      </c>
      <c r="AS768">
        <v>294.14697308284542</v>
      </c>
      <c r="AT768">
        <v>28.034507718131227</v>
      </c>
      <c r="AU768">
        <v>24.068330293911206</v>
      </c>
      <c r="AV768"/>
      <c r="AW768"/>
      <c r="FY768" s="210">
        <v>763</v>
      </c>
      <c r="FZ768">
        <v>18.688339602910254</v>
      </c>
      <c r="GA768">
        <v>33.177955527942935</v>
      </c>
      <c r="GB768">
        <v>28.042259239689088</v>
      </c>
      <c r="GC768">
        <v>11.424402885617889</v>
      </c>
      <c r="GD768">
        <v>6.3448735002516088</v>
      </c>
      <c r="GE768">
        <v>6.3668516033340294</v>
      </c>
      <c r="GF768">
        <v>7.9650379893432106</v>
      </c>
      <c r="GG768">
        <v>19.559629839322678</v>
      </c>
      <c r="GH768">
        <v>26.322145929981009</v>
      </c>
      <c r="GI768">
        <v>32.614621949673612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43.39589856668853</v>
      </c>
      <c r="AO769">
        <v>72.779013505824793</v>
      </c>
      <c r="AP769">
        <v>591.43472475821977</v>
      </c>
      <c r="AQ769">
        <v>229.12256593583925</v>
      </c>
      <c r="AR769">
        <v>67.03272448300163</v>
      </c>
      <c r="AS769">
        <v>291.89254308012011</v>
      </c>
      <c r="AT769">
        <v>29.49826774803773</v>
      </c>
      <c r="AU769">
        <v>48.022973643318238</v>
      </c>
      <c r="AV769"/>
      <c r="AW769"/>
      <c r="FY769" s="210">
        <v>764</v>
      </c>
      <c r="FZ769">
        <v>26.090267230213506</v>
      </c>
      <c r="GA769">
        <v>33.809982087730816</v>
      </c>
      <c r="GB769">
        <v>37.340510994455926</v>
      </c>
      <c r="GC769">
        <v>11.960267869442941</v>
      </c>
      <c r="GD769">
        <v>4.8702215685478025</v>
      </c>
      <c r="GE769">
        <v>6.0905812392381504</v>
      </c>
      <c r="GF769">
        <v>12.107059738030994</v>
      </c>
      <c r="GG769">
        <v>25.54661949038514</v>
      </c>
      <c r="GH769">
        <v>30.942021904614361</v>
      </c>
      <c r="GI769">
        <v>37.501884881934608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64.788752615193204</v>
      </c>
      <c r="AO770">
        <v>95.308946840549766</v>
      </c>
      <c r="AP770">
        <v>701.56143556172026</v>
      </c>
      <c r="AQ770">
        <v>245.40862060566496</v>
      </c>
      <c r="AR770">
        <v>88.506974335766515</v>
      </c>
      <c r="AS770">
        <v>940.77932743517874</v>
      </c>
      <c r="AT770">
        <v>32.002464595240419</v>
      </c>
      <c r="AU770">
        <v>0.27198533024474436</v>
      </c>
      <c r="AV770"/>
      <c r="AW770"/>
      <c r="FY770" s="210">
        <v>765</v>
      </c>
      <c r="FZ770">
        <v>28.154061214784079</v>
      </c>
      <c r="GA770">
        <v>53.922773617213565</v>
      </c>
      <c r="GB770">
        <v>22.574360758298411</v>
      </c>
      <c r="GC770">
        <v>8.1833941594754602</v>
      </c>
      <c r="GD770">
        <v>5.7037627808363931</v>
      </c>
      <c r="GE770">
        <v>4.1160120020860926</v>
      </c>
      <c r="GF770">
        <v>8.7490321847253689</v>
      </c>
      <c r="GG770">
        <v>12.342680060695795</v>
      </c>
      <c r="GH770">
        <v>10.079677696437773</v>
      </c>
      <c r="GI770">
        <v>23.837645950185468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47.513322790501078</v>
      </c>
      <c r="AO771">
        <v>72.808170917028406</v>
      </c>
      <c r="AP771">
        <v>539.44538323651295</v>
      </c>
      <c r="AQ771">
        <v>214.06269936202838</v>
      </c>
      <c r="AR771">
        <v>69.946570414300396</v>
      </c>
      <c r="AS771">
        <v>394.2375072084518</v>
      </c>
      <c r="AT771">
        <v>28.394605738003971</v>
      </c>
      <c r="AU771">
        <v>49.545207035652538</v>
      </c>
      <c r="AV771"/>
      <c r="AW771"/>
      <c r="FY771" s="210">
        <v>766</v>
      </c>
      <c r="FZ771">
        <v>17.226487402160302</v>
      </c>
      <c r="GA771">
        <v>59.346546565633844</v>
      </c>
      <c r="GB771">
        <v>28.517925797996938</v>
      </c>
      <c r="GC771">
        <v>8.7216250331591958</v>
      </c>
      <c r="GD771">
        <v>3.4200269954733313</v>
      </c>
      <c r="GE771">
        <v>2.765123844025565</v>
      </c>
      <c r="GF771">
        <v>12.631694832138029</v>
      </c>
      <c r="GG771">
        <v>23.508884027701288</v>
      </c>
      <c r="GH771">
        <v>21.820673780579686</v>
      </c>
      <c r="GI771">
        <v>26.226072696904797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66.087646458704938</v>
      </c>
      <c r="AO772">
        <v>90.723250128560323</v>
      </c>
      <c r="AP772">
        <v>608.11721472053546</v>
      </c>
      <c r="AQ772">
        <v>227.10971083977608</v>
      </c>
      <c r="AR772">
        <v>83.064464870016906</v>
      </c>
      <c r="AS772">
        <v>351.37383582951549</v>
      </c>
      <c r="AT772">
        <v>32.312718478877834</v>
      </c>
      <c r="AU772">
        <v>147.75205821768006</v>
      </c>
      <c r="AV772"/>
      <c r="AW772"/>
      <c r="FY772" s="210">
        <v>767</v>
      </c>
      <c r="FZ772">
        <v>30.927999881274673</v>
      </c>
      <c r="GA772">
        <v>59.265407154365391</v>
      </c>
      <c r="GB772">
        <v>35.619263778063811</v>
      </c>
      <c r="GC772">
        <v>13.244789429556675</v>
      </c>
      <c r="GD772">
        <v>5.6850245881088322</v>
      </c>
      <c r="GE772">
        <v>5.227497121000261</v>
      </c>
      <c r="GF772">
        <v>8.6500795769959637</v>
      </c>
      <c r="GG772">
        <v>10.592079613911832</v>
      </c>
      <c r="GH772">
        <v>5.3990212865872991</v>
      </c>
      <c r="GI772">
        <v>30.619075283277308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47.673346638343915</v>
      </c>
      <c r="AO773">
        <v>64.845564514084387</v>
      </c>
      <c r="AP773">
        <v>458.11321089069395</v>
      </c>
      <c r="AQ773">
        <v>189.24206300066905</v>
      </c>
      <c r="AR773">
        <v>60.530222391237551</v>
      </c>
      <c r="AS773">
        <v>275.83054680130095</v>
      </c>
      <c r="AT773">
        <v>23.129005363429233</v>
      </c>
      <c r="AU773">
        <v>17.82426998474579</v>
      </c>
      <c r="AV773"/>
      <c r="AW773"/>
      <c r="FY773" s="210">
        <v>768</v>
      </c>
      <c r="FZ773">
        <v>21.483477766199197</v>
      </c>
      <c r="GA773">
        <v>73.832956407676775</v>
      </c>
      <c r="GB773">
        <v>31.704379373439831</v>
      </c>
      <c r="GC773">
        <v>9.0452534473548205</v>
      </c>
      <c r="GD773">
        <v>7.7112032813919509</v>
      </c>
      <c r="GE773">
        <v>8.7778006575471288</v>
      </c>
      <c r="GF773">
        <v>9.4861137556066772</v>
      </c>
      <c r="GG773">
        <v>12.043584880316242</v>
      </c>
      <c r="GH773">
        <v>9.7730542660607682</v>
      </c>
      <c r="GI773">
        <v>28.017015533539308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68.070442842439505</v>
      </c>
      <c r="AO774">
        <v>85.345600918161793</v>
      </c>
      <c r="AP774">
        <v>622.8254106418583</v>
      </c>
      <c r="AQ774">
        <v>262.51427731122021</v>
      </c>
      <c r="AR774">
        <v>79.281207124986196</v>
      </c>
      <c r="AS774">
        <v>369.67041671346323</v>
      </c>
      <c r="AT774">
        <v>32.46465539456117</v>
      </c>
      <c r="AU774">
        <v>56.05746270367019</v>
      </c>
      <c r="AV774"/>
      <c r="AW774"/>
      <c r="FY774" s="210">
        <v>769</v>
      </c>
      <c r="FZ774">
        <v>30.022137311316783</v>
      </c>
      <c r="GA774">
        <v>61.074753116130253</v>
      </c>
      <c r="GB774">
        <v>35.109124314964703</v>
      </c>
      <c r="GC774">
        <v>8.1058222297925955</v>
      </c>
      <c r="GD774">
        <v>7.3432072702488114</v>
      </c>
      <c r="GE774">
        <v>10.782252772509546</v>
      </c>
      <c r="GF774">
        <v>11.135460397763806</v>
      </c>
      <c r="GG774">
        <v>15.689236241703115</v>
      </c>
      <c r="GH774">
        <v>12.241427609931415</v>
      </c>
      <c r="GI774">
        <v>36.093102884988944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76.883997642791456</v>
      </c>
      <c r="AO775">
        <v>102.95674895900929</v>
      </c>
      <c r="AP775">
        <v>701.03649414053507</v>
      </c>
      <c r="AQ775">
        <v>256.23551544081278</v>
      </c>
      <c r="AR775">
        <v>96.273288380949964</v>
      </c>
      <c r="AS775">
        <v>575.83662610774195</v>
      </c>
      <c r="AT775">
        <v>36.479626006888445</v>
      </c>
      <c r="AU775">
        <v>-69.608420244979342</v>
      </c>
      <c r="AV775"/>
      <c r="AW775"/>
      <c r="FY775" s="210">
        <v>770</v>
      </c>
      <c r="FZ775">
        <v>20.307448627630841</v>
      </c>
      <c r="GA775">
        <v>68.91433990646793</v>
      </c>
      <c r="GB775">
        <v>30.557688563097219</v>
      </c>
      <c r="GC775">
        <v>6.3398121462770289</v>
      </c>
      <c r="GD775">
        <v>4.0574949441476083</v>
      </c>
      <c r="GE775">
        <v>5.4929990208565131</v>
      </c>
      <c r="GF775">
        <v>8.7418924574086141</v>
      </c>
      <c r="GG775">
        <v>16.815127856910884</v>
      </c>
      <c r="GH775">
        <v>21.077102102556985</v>
      </c>
      <c r="GI775">
        <v>28.489429407773006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43.226536567251053</v>
      </c>
      <c r="AO776">
        <v>46.875454192975994</v>
      </c>
      <c r="AP776">
        <v>324.78744255639066</v>
      </c>
      <c r="AQ776">
        <v>142.249549855726</v>
      </c>
      <c r="AR776">
        <v>45.841777308433478</v>
      </c>
      <c r="AS776">
        <v>227.96537107617186</v>
      </c>
      <c r="AT776">
        <v>17.940164821053486</v>
      </c>
      <c r="AU776">
        <v>-23.995500389960167</v>
      </c>
      <c r="AV776"/>
      <c r="AW776"/>
      <c r="FY776" s="210">
        <v>771</v>
      </c>
      <c r="FZ776">
        <v>17.505399583831956</v>
      </c>
      <c r="GA776">
        <v>44.313444066967776</v>
      </c>
      <c r="GB776">
        <v>30.394819639191621</v>
      </c>
      <c r="GC776">
        <v>13.214058510950665</v>
      </c>
      <c r="GD776">
        <v>8.8534138612730722</v>
      </c>
      <c r="GE776">
        <v>7.9881074633893894</v>
      </c>
      <c r="GF776">
        <v>11.093083470549763</v>
      </c>
      <c r="GG776">
        <v>13.082414312219159</v>
      </c>
      <c r="GH776">
        <v>4.5745905064176045</v>
      </c>
      <c r="GI776">
        <v>31.056509426408574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56.271234459431732</v>
      </c>
      <c r="AO777">
        <v>74.62803370189377</v>
      </c>
      <c r="AP777">
        <v>551.76607736189101</v>
      </c>
      <c r="AQ777">
        <v>218.22358161075914</v>
      </c>
      <c r="AR777">
        <v>68.652059033230287</v>
      </c>
      <c r="AS777">
        <v>298.31979188884935</v>
      </c>
      <c r="AT777">
        <v>25.62723890469762</v>
      </c>
      <c r="AU777">
        <v>-2.2028756167179155</v>
      </c>
      <c r="AV777"/>
      <c r="AW777"/>
      <c r="FY777" s="210">
        <v>772</v>
      </c>
      <c r="FZ777">
        <v>29.321483160227537</v>
      </c>
      <c r="GA777">
        <v>52.568124130716456</v>
      </c>
      <c r="GB777">
        <v>30.983185847645892</v>
      </c>
      <c r="GC777">
        <v>9.454297984286324</v>
      </c>
      <c r="GD777">
        <v>7.2570296529942384</v>
      </c>
      <c r="GE777">
        <v>8.9939754855799734</v>
      </c>
      <c r="GF777">
        <v>12.578870760686755</v>
      </c>
      <c r="GG777">
        <v>22.664907309050516</v>
      </c>
      <c r="GH777">
        <v>23.133200788148585</v>
      </c>
      <c r="GI777">
        <v>34.715009183438184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46.617464248962058</v>
      </c>
      <c r="AO778">
        <v>68.472890327071127</v>
      </c>
      <c r="AP778">
        <v>507.23825439387878</v>
      </c>
      <c r="AQ778">
        <v>200.63158131889591</v>
      </c>
      <c r="AR778">
        <v>64.595692153383283</v>
      </c>
      <c r="AS778">
        <v>416.22962307892459</v>
      </c>
      <c r="AT778">
        <v>27.144490541223728</v>
      </c>
      <c r="AU778">
        <v>8.2728532361491709</v>
      </c>
      <c r="AV778"/>
      <c r="AW778"/>
      <c r="FY778" s="210">
        <v>773</v>
      </c>
      <c r="FZ778">
        <v>22.062821719677764</v>
      </c>
      <c r="GA778">
        <v>46.877304580615323</v>
      </c>
      <c r="GB778">
        <v>28.907337470673617</v>
      </c>
      <c r="GC778">
        <v>8.79778228026208</v>
      </c>
      <c r="GD778">
        <v>4.6009209350956839</v>
      </c>
      <c r="GE778">
        <v>5.1222920328170094</v>
      </c>
      <c r="GF778">
        <v>10.263512832440616</v>
      </c>
      <c r="GG778">
        <v>19.336493654498597</v>
      </c>
      <c r="GH778">
        <v>17.373285127201871</v>
      </c>
      <c r="GI778">
        <v>27.514663713434512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49.854249652361972</v>
      </c>
      <c r="AO779">
        <v>68.250653881489185</v>
      </c>
      <c r="AP779">
        <v>446.80616853369173</v>
      </c>
      <c r="AQ779">
        <v>190.50611806806634</v>
      </c>
      <c r="AR779">
        <v>63.900821583302523</v>
      </c>
      <c r="AS779">
        <v>372.98296920306399</v>
      </c>
      <c r="AT779">
        <v>25.185054052833404</v>
      </c>
      <c r="AU779">
        <v>8.515376354402008</v>
      </c>
      <c r="AV779"/>
      <c r="AW779"/>
      <c r="FY779" s="210">
        <v>774</v>
      </c>
      <c r="FZ779">
        <v>19.075009460270238</v>
      </c>
      <c r="GA779">
        <v>55.555241711272942</v>
      </c>
      <c r="GB779">
        <v>35.890615832133989</v>
      </c>
      <c r="GC779">
        <v>12.57125471284666</v>
      </c>
      <c r="GD779">
        <v>5.8523976069900883</v>
      </c>
      <c r="GE779">
        <v>5.165486921327946</v>
      </c>
      <c r="GF779">
        <v>9.9281157033397029</v>
      </c>
      <c r="GG779">
        <v>20.58815424697244</v>
      </c>
      <c r="GH779">
        <v>23.177125937588844</v>
      </c>
      <c r="GI779">
        <v>34.841349401354066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61.706628611966927</v>
      </c>
      <c r="AO780">
        <v>81.012331711578184</v>
      </c>
      <c r="AP780">
        <v>579.20313611833501</v>
      </c>
      <c r="AQ780">
        <v>226.25941700459427</v>
      </c>
      <c r="AR780">
        <v>75.821888946626586</v>
      </c>
      <c r="AS780">
        <v>717.19986335972158</v>
      </c>
      <c r="AT780">
        <v>30.386764220474603</v>
      </c>
      <c r="AU780">
        <v>-27.186203966309407</v>
      </c>
      <c r="AV780"/>
      <c r="AW780"/>
      <c r="FY780" s="210">
        <v>775</v>
      </c>
      <c r="FZ780">
        <v>21.062288457942742</v>
      </c>
      <c r="GA780">
        <v>30.035038566514388</v>
      </c>
      <c r="GB780">
        <v>23.949366570894593</v>
      </c>
      <c r="GC780">
        <v>9.7517501060355176</v>
      </c>
      <c r="GD780">
        <v>6.8766872160017032</v>
      </c>
      <c r="GE780">
        <v>9.6543751894795964</v>
      </c>
      <c r="GF780">
        <v>8.0302485099852881</v>
      </c>
      <c r="GG780">
        <v>14.463730896949112</v>
      </c>
      <c r="GH780">
        <v>18.084352160081686</v>
      </c>
      <c r="GI780">
        <v>24.886742963289404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39.910732760620682</v>
      </c>
      <c r="AO781">
        <v>48.127316303451082</v>
      </c>
      <c r="AP781">
        <v>371.91333191057589</v>
      </c>
      <c r="AQ781">
        <v>177.66340042473843</v>
      </c>
      <c r="AR781">
        <v>45.020039987108056</v>
      </c>
      <c r="AS781">
        <v>214.6613543203826</v>
      </c>
      <c r="AT781">
        <v>17.100163609020189</v>
      </c>
      <c r="AU781">
        <v>11.328010227129923</v>
      </c>
      <c r="AV781"/>
      <c r="AW781"/>
      <c r="FY781" s="210">
        <v>776</v>
      </c>
      <c r="FZ781">
        <v>30.74268300319784</v>
      </c>
      <c r="GA781">
        <v>59.376158705675572</v>
      </c>
      <c r="GB781">
        <v>28.972374015912852</v>
      </c>
      <c r="GC781">
        <v>10.862813215689483</v>
      </c>
      <c r="GD781">
        <v>9.4817404812066304</v>
      </c>
      <c r="GE781">
        <v>10.51933120942196</v>
      </c>
      <c r="GF781">
        <v>9.2366692706822988</v>
      </c>
      <c r="GG781">
        <v>22.319799393333852</v>
      </c>
      <c r="GH781">
        <v>22.207644106024429</v>
      </c>
      <c r="GI781">
        <v>39.05423795354266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47.346405330096026</v>
      </c>
      <c r="AO782">
        <v>53.271817084151721</v>
      </c>
      <c r="AP782">
        <v>476.37723536762894</v>
      </c>
      <c r="AQ782">
        <v>204.18506097577298</v>
      </c>
      <c r="AR782">
        <v>50.609793984582055</v>
      </c>
      <c r="AS782">
        <v>344.82138525877696</v>
      </c>
      <c r="AT782">
        <v>23.070211717967709</v>
      </c>
      <c r="AU782">
        <v>13.497470164764474</v>
      </c>
      <c r="AV782"/>
      <c r="AW782"/>
      <c r="FY782" s="210">
        <v>777</v>
      </c>
      <c r="FZ782">
        <v>26.37330621240929</v>
      </c>
      <c r="GA782">
        <v>48.677912837585723</v>
      </c>
      <c r="GB782">
        <v>26.452447997038831</v>
      </c>
      <c r="GC782">
        <v>7.5556053108097343</v>
      </c>
      <c r="GD782">
        <v>4.785595983849384</v>
      </c>
      <c r="GE782">
        <v>7.6784121314235083</v>
      </c>
      <c r="GF782">
        <v>8.3579487672798791</v>
      </c>
      <c r="GG782">
        <v>15.818664960321746</v>
      </c>
      <c r="GH782">
        <v>17.802904445160028</v>
      </c>
      <c r="GI782">
        <v>24.186742707219548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58.370278894442571</v>
      </c>
      <c r="AO783">
        <v>63.047274230800085</v>
      </c>
      <c r="AP783">
        <v>463.13445578543792</v>
      </c>
      <c r="AQ783">
        <v>205.23023771314206</v>
      </c>
      <c r="AR783">
        <v>60.347142534966885</v>
      </c>
      <c r="AS783">
        <v>345.05398803859634</v>
      </c>
      <c r="AT783">
        <v>22.995627862180825</v>
      </c>
      <c r="AU783">
        <v>26.16503052159949</v>
      </c>
      <c r="AV783"/>
      <c r="AW783"/>
      <c r="FY783" s="210">
        <v>778</v>
      </c>
      <c r="FZ783">
        <v>14.766538683187303</v>
      </c>
      <c r="GA783">
        <v>29.357060815236075</v>
      </c>
      <c r="GB783">
        <v>26.224544610529968</v>
      </c>
      <c r="GC783">
        <v>12.746541822037294</v>
      </c>
      <c r="GD783">
        <v>8.0290467741393101</v>
      </c>
      <c r="GE783">
        <v>6.9592425771752158</v>
      </c>
      <c r="GF783">
        <v>8.3342323827698159</v>
      </c>
      <c r="GG783">
        <v>13.828761921117616</v>
      </c>
      <c r="GH783">
        <v>8.357586102574599</v>
      </c>
      <c r="GI783">
        <v>30.788393508929062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58.362265414899767</v>
      </c>
      <c r="AO784">
        <v>56.617034338161218</v>
      </c>
      <c r="AP784">
        <v>450.26124002177295</v>
      </c>
      <c r="AQ784">
        <v>211.8748393691327</v>
      </c>
      <c r="AR784">
        <v>52.532221013487202</v>
      </c>
      <c r="AS784">
        <v>298.76969884659923</v>
      </c>
      <c r="AT784">
        <v>20.743628895851739</v>
      </c>
      <c r="AU784">
        <v>13.493832368328267</v>
      </c>
      <c r="AV784"/>
      <c r="AW784"/>
      <c r="FY784" s="210">
        <v>779</v>
      </c>
      <c r="FZ784">
        <v>19.650685264103128</v>
      </c>
      <c r="GA784">
        <v>47.489263916749636</v>
      </c>
      <c r="GB784">
        <v>32.582995806343376</v>
      </c>
      <c r="GC784">
        <v>8.0382254653495497</v>
      </c>
      <c r="GD784">
        <v>5.8278442857756421</v>
      </c>
      <c r="GE784">
        <v>8.6571313692167298</v>
      </c>
      <c r="GF784">
        <v>9.1979665310699712</v>
      </c>
      <c r="GG784">
        <v>13.691111393008466</v>
      </c>
      <c r="GH784">
        <v>14.261152668123048</v>
      </c>
      <c r="GI784">
        <v>28.442235477778944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57.675728327361277</v>
      </c>
      <c r="AO785">
        <v>77.607155814962056</v>
      </c>
      <c r="AP785">
        <v>559.34392487989521</v>
      </c>
      <c r="AQ785">
        <v>227.59652414934996</v>
      </c>
      <c r="AR785">
        <v>72.748923805575231</v>
      </c>
      <c r="AS785">
        <v>410.65840252467302</v>
      </c>
      <c r="AT785">
        <v>29.854395137239575</v>
      </c>
      <c r="AU785">
        <v>101.38368987615596</v>
      </c>
      <c r="AV785"/>
      <c r="AW785"/>
      <c r="FY785" s="210">
        <v>780</v>
      </c>
      <c r="FZ785">
        <v>24.959409780671162</v>
      </c>
      <c r="GA785">
        <v>44.969291257112268</v>
      </c>
      <c r="GB785">
        <v>23.641850491975038</v>
      </c>
      <c r="GC785">
        <v>9.4886399205683674</v>
      </c>
      <c r="GD785">
        <v>5.5659458897757697</v>
      </c>
      <c r="GE785">
        <v>4.350714521576089</v>
      </c>
      <c r="GF785">
        <v>13.610087383909233</v>
      </c>
      <c r="GG785">
        <v>23.808129667193739</v>
      </c>
      <c r="GH785">
        <v>18.742360408396031</v>
      </c>
      <c r="GI785">
        <v>28.110007069952577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38.401392091933396</v>
      </c>
      <c r="AO786">
        <v>60.751251167347775</v>
      </c>
      <c r="AP786">
        <v>511.48351597911142</v>
      </c>
      <c r="AQ786">
        <v>210.79333503312662</v>
      </c>
      <c r="AR786">
        <v>57.339806187471666</v>
      </c>
      <c r="AS786">
        <v>308.84950211131525</v>
      </c>
      <c r="AT786">
        <v>24.365742304475717</v>
      </c>
      <c r="AU786">
        <v>-6.655939627245707</v>
      </c>
      <c r="AV786"/>
      <c r="AW786"/>
      <c r="FY786" s="210">
        <v>781</v>
      </c>
      <c r="FZ786">
        <v>19.350301922816794</v>
      </c>
      <c r="GA786">
        <v>73.977116856414099</v>
      </c>
      <c r="GB786">
        <v>38.674074475456386</v>
      </c>
      <c r="GC786">
        <v>10.41467941013488</v>
      </c>
      <c r="GD786">
        <v>8.5615713503123008</v>
      </c>
      <c r="GE786">
        <v>13.031016439612452</v>
      </c>
      <c r="GF786">
        <v>6.234804091918333</v>
      </c>
      <c r="GG786">
        <v>16.346709322485438</v>
      </c>
      <c r="GH786">
        <v>25.892237227009456</v>
      </c>
      <c r="GI786">
        <v>32.557458340941146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63.188188423904876</v>
      </c>
      <c r="AO787">
        <v>64.101763045548083</v>
      </c>
      <c r="AP787">
        <v>408.10792372381775</v>
      </c>
      <c r="AQ787">
        <v>182.07584084119958</v>
      </c>
      <c r="AR787">
        <v>59.56899442219423</v>
      </c>
      <c r="AS787">
        <v>318.51062346715952</v>
      </c>
      <c r="AT787">
        <v>21.802017467073757</v>
      </c>
      <c r="AU787">
        <v>-5.0250245479475764</v>
      </c>
      <c r="AV787"/>
      <c r="AW787"/>
      <c r="FY787" s="210">
        <v>782</v>
      </c>
      <c r="FZ787">
        <v>26.862308600659919</v>
      </c>
      <c r="GA787">
        <v>39.08148937317948</v>
      </c>
      <c r="GB787">
        <v>22.780291362516316</v>
      </c>
      <c r="GC787">
        <v>8.3472653384364488</v>
      </c>
      <c r="GD787">
        <v>8.0195183782897654</v>
      </c>
      <c r="GE787">
        <v>11.143151005169969</v>
      </c>
      <c r="GF787">
        <v>12.14340233713739</v>
      </c>
      <c r="GG787">
        <v>22.556005137708851</v>
      </c>
      <c r="GH787">
        <v>17.598763055424385</v>
      </c>
      <c r="GI787">
        <v>32.851935899239464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52.842100623542173</v>
      </c>
      <c r="AO788">
        <v>77.130387303332853</v>
      </c>
      <c r="AP788">
        <v>612.25708347308853</v>
      </c>
      <c r="AQ788">
        <v>231.67008430277443</v>
      </c>
      <c r="AR788">
        <v>72.292477778513287</v>
      </c>
      <c r="AS788">
        <v>400.91645440431137</v>
      </c>
      <c r="AT788">
        <v>31.337937151653776</v>
      </c>
      <c r="AU788">
        <v>53.660219597648634</v>
      </c>
      <c r="AV788"/>
      <c r="AW788"/>
      <c r="FY788" s="210">
        <v>783</v>
      </c>
      <c r="FZ788">
        <v>30.379522048866143</v>
      </c>
      <c r="GA788">
        <v>72.236875265353618</v>
      </c>
      <c r="GB788">
        <v>30.126257202544213</v>
      </c>
      <c r="GC788">
        <v>13.118373482844108</v>
      </c>
      <c r="GD788">
        <v>7.3762541066691751</v>
      </c>
      <c r="GE788">
        <v>5.6853938213321573</v>
      </c>
      <c r="GF788">
        <v>6.2833378013273098</v>
      </c>
      <c r="GG788">
        <v>19.080471211592165</v>
      </c>
      <c r="GH788">
        <v>32.701967523989673</v>
      </c>
      <c r="GI788">
        <v>31.721136522076836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50.546527094819083</v>
      </c>
      <c r="AO789">
        <v>57.313831544498882</v>
      </c>
      <c r="AP789">
        <v>447.90509540650862</v>
      </c>
      <c r="AQ789">
        <v>190.85641434671709</v>
      </c>
      <c r="AR789">
        <v>54.113091552606413</v>
      </c>
      <c r="AS789">
        <v>288.93782657164081</v>
      </c>
      <c r="AT789">
        <v>22.307156690227469</v>
      </c>
      <c r="AU789">
        <v>-63.149167153654275</v>
      </c>
      <c r="AV789"/>
      <c r="AW789"/>
      <c r="FY789" s="210">
        <v>784</v>
      </c>
      <c r="FZ789">
        <v>28.503319738305755</v>
      </c>
      <c r="GA789">
        <v>42.471501937603925</v>
      </c>
      <c r="GB789">
        <v>28.383675267867027</v>
      </c>
      <c r="GC789">
        <v>11.233180267436396</v>
      </c>
      <c r="GD789">
        <v>5.6316196600744215</v>
      </c>
      <c r="GE789">
        <v>4.4045880284737651</v>
      </c>
      <c r="GF789">
        <v>9.1166917135627621</v>
      </c>
      <c r="GG789">
        <v>13.938349182581192</v>
      </c>
      <c r="GH789">
        <v>11.979829370376892</v>
      </c>
      <c r="GI789">
        <v>27.135045038676164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59.427038749408908</v>
      </c>
      <c r="AO790">
        <v>73.796837701607373</v>
      </c>
      <c r="AP790">
        <v>525.99523197621193</v>
      </c>
      <c r="AQ790">
        <v>222.64475153409688</v>
      </c>
      <c r="AR790">
        <v>68.125263884392368</v>
      </c>
      <c r="AS790">
        <v>434.72368101340902</v>
      </c>
      <c r="AT790">
        <v>27.509318733430259</v>
      </c>
      <c r="AU790">
        <v>-5.4623331888888185</v>
      </c>
      <c r="AV790"/>
      <c r="AW790"/>
      <c r="FY790" s="210">
        <v>785</v>
      </c>
      <c r="FZ790">
        <v>27.790373441746269</v>
      </c>
      <c r="GA790">
        <v>47.062272704028224</v>
      </c>
      <c r="GB790">
        <v>28.408811457148712</v>
      </c>
      <c r="GC790">
        <v>9.4427380974397579</v>
      </c>
      <c r="GD790">
        <v>4.3796738896282941</v>
      </c>
      <c r="GE790">
        <v>4.8698882884687009</v>
      </c>
      <c r="GF790">
        <v>6.3971407910203455</v>
      </c>
      <c r="GG790">
        <v>12.492673219682743</v>
      </c>
      <c r="GH790">
        <v>23.088363957710609</v>
      </c>
      <c r="GI790">
        <v>26.872315490226253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51.638099831105102</v>
      </c>
      <c r="AO791">
        <v>48.524854236907899</v>
      </c>
      <c r="AP791">
        <v>355.0892985779808</v>
      </c>
      <c r="AQ791">
        <v>166.79458063717402</v>
      </c>
      <c r="AR791">
        <v>46.679423013977605</v>
      </c>
      <c r="AS791">
        <v>289.64504486050322</v>
      </c>
      <c r="AT791">
        <v>21.17336983734074</v>
      </c>
      <c r="AU791">
        <v>174.05446909992773</v>
      </c>
      <c r="AV791"/>
      <c r="AW791"/>
      <c r="FY791" s="210">
        <v>786</v>
      </c>
      <c r="FZ791">
        <v>17.701879896198069</v>
      </c>
      <c r="GA791">
        <v>38.823736982056957</v>
      </c>
      <c r="GB791">
        <v>40.533511507926832</v>
      </c>
      <c r="GC791">
        <v>10.507513851414181</v>
      </c>
      <c r="GD791">
        <v>4.9401544837140721</v>
      </c>
      <c r="GE791">
        <v>6.7535265423150257</v>
      </c>
      <c r="GF791">
        <v>9.8809582288919717</v>
      </c>
      <c r="GG791">
        <v>17.318312246266544</v>
      </c>
      <c r="GH791">
        <v>14.106877409635262</v>
      </c>
      <c r="GI791">
        <v>32.909918661467302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60.084130164785108</v>
      </c>
      <c r="AO792">
        <v>85.131864184116097</v>
      </c>
      <c r="AP792">
        <v>599.56454546916837</v>
      </c>
      <c r="AQ792">
        <v>242.77345135468758</v>
      </c>
      <c r="AR792">
        <v>79.637918850049729</v>
      </c>
      <c r="AS792">
        <v>351.5884861045044</v>
      </c>
      <c r="AT792">
        <v>33.784099866016327</v>
      </c>
      <c r="AU792">
        <v>-5.0564838155227125</v>
      </c>
      <c r="AV792"/>
      <c r="AW792"/>
      <c r="FY792" s="210">
        <v>787</v>
      </c>
      <c r="FZ792">
        <v>16.548865174759573</v>
      </c>
      <c r="GA792">
        <v>42.084568815452776</v>
      </c>
      <c r="GB792">
        <v>30.748234439915407</v>
      </c>
      <c r="GC792">
        <v>12.320970453172295</v>
      </c>
      <c r="GD792">
        <v>9.1593151537548128</v>
      </c>
      <c r="GE792">
        <v>11.264700141673954</v>
      </c>
      <c r="GF792">
        <v>6.0921893694791516</v>
      </c>
      <c r="GG792">
        <v>7.2357464472288626</v>
      </c>
      <c r="GH792">
        <v>12.66058146762146</v>
      </c>
      <c r="GI792">
        <v>28.523778383878462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52.446082149010451</v>
      </c>
      <c r="AO793">
        <v>46.135076980025829</v>
      </c>
      <c r="AP793">
        <v>383.70357607627</v>
      </c>
      <c r="AQ793">
        <v>187.68954135309767</v>
      </c>
      <c r="AR793">
        <v>44.250654424794398</v>
      </c>
      <c r="AS793">
        <v>271.32612527066198</v>
      </c>
      <c r="AT793">
        <v>19.390061612828653</v>
      </c>
      <c r="AU793">
        <v>9.948868135955852</v>
      </c>
      <c r="AV793"/>
      <c r="AW793"/>
      <c r="FY793" s="210">
        <v>788</v>
      </c>
      <c r="FZ793">
        <v>28.875654225030498</v>
      </c>
      <c r="GA793">
        <v>63.215460044706099</v>
      </c>
      <c r="GB793">
        <v>44.504647441816743</v>
      </c>
      <c r="GC793">
        <v>14.716085541179041</v>
      </c>
      <c r="GD793">
        <v>5.8638799630058198</v>
      </c>
      <c r="GE793">
        <v>4.2721484958494154</v>
      </c>
      <c r="GF793">
        <v>6.2943898914326812</v>
      </c>
      <c r="GG793">
        <v>9.5603846490861439</v>
      </c>
      <c r="GH793">
        <v>12.893305581093029</v>
      </c>
      <c r="GI793">
        <v>36.195091165524367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55.041904346539638</v>
      </c>
      <c r="AO794">
        <v>67.495381834039549</v>
      </c>
      <c r="AP794">
        <v>420.26214864562525</v>
      </c>
      <c r="AQ794">
        <v>159.39194919769625</v>
      </c>
      <c r="AR794">
        <v>63.184539038685607</v>
      </c>
      <c r="AS794">
        <v>419.98492105483939</v>
      </c>
      <c r="AT794">
        <v>23.982212277356961</v>
      </c>
      <c r="AU794">
        <v>-5.2608413937806073</v>
      </c>
      <c r="AV794"/>
      <c r="AW794"/>
      <c r="FY794" s="210">
        <v>789</v>
      </c>
      <c r="FZ794">
        <v>26.591640758212375</v>
      </c>
      <c r="GA794">
        <v>38.356338880800507</v>
      </c>
      <c r="GB794">
        <v>39.705745895666929</v>
      </c>
      <c r="GC794">
        <v>15.727019628248787</v>
      </c>
      <c r="GD794">
        <v>8.7846193295815969</v>
      </c>
      <c r="GE794">
        <v>9.2380202139874541</v>
      </c>
      <c r="GF794">
        <v>7.9032631091561125</v>
      </c>
      <c r="GG794">
        <v>21.949711531310406</v>
      </c>
      <c r="GH794">
        <v>29.865718381037087</v>
      </c>
      <c r="GI794">
        <v>41.037588971563061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47.906781129664921</v>
      </c>
      <c r="AO795">
        <v>62.191294632415762</v>
      </c>
      <c r="AP795">
        <v>482.64112364828952</v>
      </c>
      <c r="AQ795">
        <v>187.83861217751851</v>
      </c>
      <c r="AR795">
        <v>57.260809442608988</v>
      </c>
      <c r="AS795">
        <v>265.43494058340491</v>
      </c>
      <c r="AT795">
        <v>22.98871543759169</v>
      </c>
      <c r="AU795">
        <v>-23.17608663086332</v>
      </c>
      <c r="AV795"/>
      <c r="AW795"/>
      <c r="FY795" s="210">
        <v>790</v>
      </c>
      <c r="FZ795">
        <v>31.723506808577401</v>
      </c>
      <c r="GA795">
        <v>75.532185709172978</v>
      </c>
      <c r="GB795">
        <v>35.998780136023193</v>
      </c>
      <c r="GC795">
        <v>8.7169899045917134</v>
      </c>
      <c r="GD795">
        <v>4.8552677043011112</v>
      </c>
      <c r="GE795">
        <v>5.3287810154756237</v>
      </c>
      <c r="GF795">
        <v>13.182271502492567</v>
      </c>
      <c r="GG795">
        <v>20.738479474892173</v>
      </c>
      <c r="GH795">
        <v>12.769592508279556</v>
      </c>
      <c r="GI795">
        <v>30.581730674214235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50.74608092216485</v>
      </c>
      <c r="AO796">
        <v>58.28436316852607</v>
      </c>
      <c r="AP796">
        <v>456.97005063082298</v>
      </c>
      <c r="AQ796">
        <v>197.24643639113029</v>
      </c>
      <c r="AR796">
        <v>55.630263983465248</v>
      </c>
      <c r="AS796">
        <v>257.13515196682044</v>
      </c>
      <c r="AT796">
        <v>22.859688491339387</v>
      </c>
      <c r="AU796">
        <v>4.8985600060892525</v>
      </c>
      <c r="AV796"/>
      <c r="AW796"/>
      <c r="FY796" s="210">
        <v>791</v>
      </c>
      <c r="FZ796">
        <v>24.146248272649427</v>
      </c>
      <c r="GA796">
        <v>67.396927080143428</v>
      </c>
      <c r="GB796">
        <v>28.788815307041411</v>
      </c>
      <c r="GC796">
        <v>11.473996153891923</v>
      </c>
      <c r="GD796">
        <v>5.2088217569883692</v>
      </c>
      <c r="GE796">
        <v>2.3039282324452151</v>
      </c>
      <c r="GF796">
        <v>10.986969348827046</v>
      </c>
      <c r="GG796">
        <v>20.621951363453775</v>
      </c>
      <c r="GH796">
        <v>17.42655002696916</v>
      </c>
      <c r="GI796">
        <v>30.067084223286379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62.04338752037269</v>
      </c>
      <c r="AO797">
        <v>65.338984081588606</v>
      </c>
      <c r="AP797">
        <v>513.05816999905198</v>
      </c>
      <c r="AQ797">
        <v>245.03996943710126</v>
      </c>
      <c r="AR797">
        <v>60.250425143334624</v>
      </c>
      <c r="AS797">
        <v>360.54704281716818</v>
      </c>
      <c r="AT797">
        <v>26.113887133284056</v>
      </c>
      <c r="AU797">
        <v>-42.486792515747887</v>
      </c>
      <c r="AV797"/>
      <c r="AW797"/>
      <c r="FY797" s="210">
        <v>792</v>
      </c>
      <c r="FZ797">
        <v>18.820880412582902</v>
      </c>
      <c r="GA797">
        <v>52.035920360877938</v>
      </c>
      <c r="GB797">
        <v>39.92389694107743</v>
      </c>
      <c r="GC797">
        <v>10.005424053819112</v>
      </c>
      <c r="GD797">
        <v>6.8629758001481527</v>
      </c>
      <c r="GE797">
        <v>9.6851591677432101</v>
      </c>
      <c r="GF797">
        <v>9.9879329277493536</v>
      </c>
      <c r="GG797">
        <v>14.069211579869844</v>
      </c>
      <c r="GH797">
        <v>13.216351331569257</v>
      </c>
      <c r="GI797">
        <v>33.706007989095177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58.957535180792242</v>
      </c>
      <c r="AO798">
        <v>68.707875309744765</v>
      </c>
      <c r="AP798">
        <v>478.59755394224862</v>
      </c>
      <c r="AQ798">
        <v>201.38413048776201</v>
      </c>
      <c r="AR798">
        <v>65.242255593444781</v>
      </c>
      <c r="AS798">
        <v>390.28838335974984</v>
      </c>
      <c r="AT798">
        <v>26.817092946449623</v>
      </c>
      <c r="AU798">
        <v>78.845058522737517</v>
      </c>
      <c r="AV798"/>
      <c r="AW798"/>
      <c r="FY798" s="210">
        <v>793</v>
      </c>
      <c r="FZ798">
        <v>24.755422641071586</v>
      </c>
      <c r="GA798">
        <v>52.724241134413433</v>
      </c>
      <c r="GB798">
        <v>22.269104397111072</v>
      </c>
      <c r="GC798">
        <v>6.0491189196328206</v>
      </c>
      <c r="GD798">
        <v>6.9747490372686425</v>
      </c>
      <c r="GE798">
        <v>12.435662701007411</v>
      </c>
      <c r="GF798">
        <v>8.0715797025922988</v>
      </c>
      <c r="GG798">
        <v>13.691164977562066</v>
      </c>
      <c r="GH798">
        <v>21.368730820942165</v>
      </c>
      <c r="GI798">
        <v>24.978332433052934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73.960933459862446</v>
      </c>
      <c r="AO799">
        <v>64.217253853642291</v>
      </c>
      <c r="AP799">
        <v>528.12500773544423</v>
      </c>
      <c r="AQ799">
        <v>248.70958898659543</v>
      </c>
      <c r="AR799">
        <v>60.086420208632539</v>
      </c>
      <c r="AS799">
        <v>325.46909398750813</v>
      </c>
      <c r="AT799">
        <v>26.055496750667729</v>
      </c>
      <c r="AU799">
        <v>5.6697645422102463</v>
      </c>
      <c r="AV799"/>
      <c r="AW799"/>
      <c r="FY799" s="210">
        <v>794</v>
      </c>
      <c r="FZ799">
        <v>19.596410456330421</v>
      </c>
      <c r="GA799">
        <v>46.044911869803563</v>
      </c>
      <c r="GB799">
        <v>32.106150844753614</v>
      </c>
      <c r="GC799">
        <v>7.8818553599803041</v>
      </c>
      <c r="GD799">
        <v>6.6525957400023019</v>
      </c>
      <c r="GE799">
        <v>9.0604985081349945</v>
      </c>
      <c r="GF799">
        <v>10.202097626464774</v>
      </c>
      <c r="GG799">
        <v>26.805669113658062</v>
      </c>
      <c r="GH799">
        <v>28.477323807588764</v>
      </c>
      <c r="GI799">
        <v>33.300218925553054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53.145299468388814</v>
      </c>
      <c r="AO800">
        <v>54.421096790626635</v>
      </c>
      <c r="AP800">
        <v>390.2275157375642</v>
      </c>
      <c r="AQ800">
        <v>182.79780020495832</v>
      </c>
      <c r="AR800">
        <v>51.264932728494699</v>
      </c>
      <c r="AS800">
        <v>351.30392719445422</v>
      </c>
      <c r="AT800">
        <v>19.963029414421477</v>
      </c>
      <c r="AU800">
        <v>4.2926049350157314</v>
      </c>
      <c r="AV800"/>
      <c r="AW800"/>
      <c r="FY800" s="210">
        <v>795</v>
      </c>
      <c r="FZ800">
        <v>14.793056367201888</v>
      </c>
      <c r="GA800">
        <v>45.730566080273974</v>
      </c>
      <c r="GB800">
        <v>25.737354949634678</v>
      </c>
      <c r="GC800">
        <v>7.4173794271764093</v>
      </c>
      <c r="GD800">
        <v>5.0606209509622557</v>
      </c>
      <c r="GE800">
        <v>5.9426904996136081</v>
      </c>
      <c r="GF800">
        <v>13.557426511649551</v>
      </c>
      <c r="GG800">
        <v>19.406192552256158</v>
      </c>
      <c r="GH800">
        <v>18.449564034913102</v>
      </c>
      <c r="GI800">
        <v>28.782119848308021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50.695586587838285</v>
      </c>
      <c r="AO801">
        <v>54.772977915476702</v>
      </c>
      <c r="AP801">
        <v>411.3757659798232</v>
      </c>
      <c r="AQ801">
        <v>190.80425133709991</v>
      </c>
      <c r="AR801">
        <v>52.213985032464826</v>
      </c>
      <c r="AS801">
        <v>290.44666221632838</v>
      </c>
      <c r="AT801">
        <v>21.20778887538069</v>
      </c>
      <c r="AU801">
        <v>34.704197937370068</v>
      </c>
      <c r="AV801"/>
      <c r="AW801"/>
      <c r="FY801" s="210">
        <v>796</v>
      </c>
      <c r="FZ801">
        <v>32.483737865866082</v>
      </c>
      <c r="GA801">
        <v>81.982609478748401</v>
      </c>
      <c r="GB801">
        <v>38.354990291950934</v>
      </c>
      <c r="GC801">
        <v>10.8838681558221</v>
      </c>
      <c r="GD801">
        <v>5.1585743351199866</v>
      </c>
      <c r="GE801">
        <v>5.1720532924845379</v>
      </c>
      <c r="GF801">
        <v>10.840501762801066</v>
      </c>
      <c r="GG801">
        <v>12.113562892219633</v>
      </c>
      <c r="GH801">
        <v>11.65444637518396</v>
      </c>
      <c r="GI801">
        <v>33.906008965843661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47.905721373472566</v>
      </c>
      <c r="AO802">
        <v>73.610564170244317</v>
      </c>
      <c r="AP802">
        <v>540.07935810625816</v>
      </c>
      <c r="AQ802">
        <v>193.4763898098862</v>
      </c>
      <c r="AR802">
        <v>68.045211778572906</v>
      </c>
      <c r="AS802">
        <v>426.64130188026866</v>
      </c>
      <c r="AT802">
        <v>26.666313982228335</v>
      </c>
      <c r="AU802">
        <v>31.835741635230661</v>
      </c>
      <c r="AV802"/>
      <c r="AW802"/>
      <c r="FY802" s="210">
        <v>797</v>
      </c>
      <c r="FZ802">
        <v>21.770532331939865</v>
      </c>
      <c r="GA802">
        <v>66.726285985506337</v>
      </c>
      <c r="GB802">
        <v>40.604186727429877</v>
      </c>
      <c r="GC802">
        <v>11.743780181083681</v>
      </c>
      <c r="GD802">
        <v>6.0758632021337728</v>
      </c>
      <c r="GE802">
        <v>5.6883324620334434</v>
      </c>
      <c r="GF802">
        <v>7.6716773079659131</v>
      </c>
      <c r="GG802">
        <v>10.928436154428377</v>
      </c>
      <c r="GH802">
        <v>18.593128966877412</v>
      </c>
      <c r="GI802">
        <v>35.380775698040516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59.245487299263687</v>
      </c>
      <c r="AO803">
        <v>55.944793596444448</v>
      </c>
      <c r="AP803">
        <v>346.17312697277328</v>
      </c>
      <c r="AQ803">
        <v>176.63894984693675</v>
      </c>
      <c r="AR803">
        <v>51.825429284792207</v>
      </c>
      <c r="AS803">
        <v>295.31251340028797</v>
      </c>
      <c r="AT803">
        <v>19.678567032818432</v>
      </c>
      <c r="AU803">
        <v>27.885020338226578</v>
      </c>
      <c r="AV803"/>
      <c r="AW803"/>
      <c r="FY803" s="210">
        <v>798</v>
      </c>
      <c r="FZ803">
        <v>16.232455454888086</v>
      </c>
      <c r="GA803">
        <v>47.950694160711663</v>
      </c>
      <c r="GB803">
        <v>30.593697623858212</v>
      </c>
      <c r="GC803">
        <v>11.751584845713612</v>
      </c>
      <c r="GD803">
        <v>11.290022085072364</v>
      </c>
      <c r="GE803">
        <v>15.857599991342845</v>
      </c>
      <c r="GF803">
        <v>10.948277126178693</v>
      </c>
      <c r="GG803">
        <v>15.223382762522027</v>
      </c>
      <c r="GH803">
        <v>10.143255743784646</v>
      </c>
      <c r="GI803">
        <v>39.400196706734363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59.107148879089053</v>
      </c>
      <c r="AO804">
        <v>74.496949407591785</v>
      </c>
      <c r="AP804">
        <v>503.52705682118352</v>
      </c>
      <c r="AQ804">
        <v>226.39104699872379</v>
      </c>
      <c r="AR804">
        <v>69.101061998192549</v>
      </c>
      <c r="AS804">
        <v>470.92643806612926</v>
      </c>
      <c r="AT804">
        <v>25.67255679049762</v>
      </c>
      <c r="AU804">
        <v>-20.393805941324771</v>
      </c>
      <c r="AV804"/>
      <c r="AW804"/>
      <c r="FY804" s="210">
        <v>799</v>
      </c>
      <c r="FZ804">
        <v>21.176975489347541</v>
      </c>
      <c r="GA804">
        <v>28.772172275882092</v>
      </c>
      <c r="GB804">
        <v>17.066773224411122</v>
      </c>
      <c r="GC804">
        <v>10.337447598832263</v>
      </c>
      <c r="GD804">
        <v>6.8127358491765513</v>
      </c>
      <c r="GE804">
        <v>6.1127170195673033</v>
      </c>
      <c r="GF804">
        <v>10.635818485797135</v>
      </c>
      <c r="GG804">
        <v>16.547856537773569</v>
      </c>
      <c r="GH804">
        <v>19.220001899667309</v>
      </c>
      <c r="GI804">
        <v>24.406930913393058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67.250019602799014</v>
      </c>
      <c r="AO805">
        <v>88.406382522272708</v>
      </c>
      <c r="AP805">
        <v>594.83626807448786</v>
      </c>
      <c r="AQ805">
        <v>239.1596666995643</v>
      </c>
      <c r="AR805">
        <v>83.273633485436662</v>
      </c>
      <c r="AS805">
        <v>384.14723291160442</v>
      </c>
      <c r="AT805">
        <v>33.188705426795266</v>
      </c>
      <c r="AU805">
        <v>22.307059724352129</v>
      </c>
      <c r="AV805"/>
      <c r="AW805"/>
      <c r="FY805" s="210">
        <v>800</v>
      </c>
      <c r="FZ805">
        <v>29.20257101708409</v>
      </c>
      <c r="GA805">
        <v>54.156681342444429</v>
      </c>
      <c r="GB805">
        <v>26.866601695327258</v>
      </c>
      <c r="GC805">
        <v>9.5695932050595296</v>
      </c>
      <c r="GD805">
        <v>6.590650061227759</v>
      </c>
      <c r="GE805">
        <v>8.4264649496901765</v>
      </c>
      <c r="GF805">
        <v>13.123408681720957</v>
      </c>
      <c r="GG805">
        <v>20.038439105447942</v>
      </c>
      <c r="GH805">
        <v>10.320135842644595</v>
      </c>
      <c r="GI805">
        <v>29.95884603401641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52.807255116922576</v>
      </c>
      <c r="AO806">
        <v>61.935639445929482</v>
      </c>
      <c r="AP806">
        <v>542.19371094785834</v>
      </c>
      <c r="AQ806">
        <v>239.42758543802051</v>
      </c>
      <c r="AR806">
        <v>57.793791382783994</v>
      </c>
      <c r="AS806">
        <v>307.96176145067869</v>
      </c>
      <c r="AT806">
        <v>26.29579276502011</v>
      </c>
      <c r="AU806">
        <v>36.465381471416357</v>
      </c>
      <c r="AV806"/>
      <c r="AW806"/>
      <c r="FY806" s="210">
        <v>801</v>
      </c>
      <c r="FZ806">
        <v>12.467194174099937</v>
      </c>
      <c r="GA806">
        <v>52.837288420083034</v>
      </c>
      <c r="GB806">
        <v>60.128290800464775</v>
      </c>
      <c r="GC806">
        <v>16.109310853684505</v>
      </c>
      <c r="GD806">
        <v>9.5902239633478796</v>
      </c>
      <c r="GE806">
        <v>12.211217528958139</v>
      </c>
      <c r="GF806">
        <v>11.381039821559972</v>
      </c>
      <c r="GG806">
        <v>14.077998843006124</v>
      </c>
      <c r="GH806">
        <v>5.8087376809171261</v>
      </c>
      <c r="GI806">
        <v>46.457583088064048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65.279534139370469</v>
      </c>
      <c r="AO807">
        <v>62.882472662609061</v>
      </c>
      <c r="AP807">
        <v>498.0349768150582</v>
      </c>
      <c r="AQ807">
        <v>218.42129176569611</v>
      </c>
      <c r="AR807">
        <v>58.452805616788403</v>
      </c>
      <c r="AS807">
        <v>452.93573657714234</v>
      </c>
      <c r="AT807">
        <v>23.859652314980384</v>
      </c>
      <c r="AU807">
        <v>2.6321057883066885</v>
      </c>
      <c r="AV807"/>
      <c r="AW807"/>
      <c r="FY807" s="210">
        <v>802</v>
      </c>
      <c r="FZ807">
        <v>23.238254978740802</v>
      </c>
      <c r="GA807">
        <v>60.635308045540384</v>
      </c>
      <c r="GB807">
        <v>38.256039182012287</v>
      </c>
      <c r="GC807">
        <v>10.305884902467671</v>
      </c>
      <c r="GD807">
        <v>3.9221488170592811</v>
      </c>
      <c r="GE807">
        <v>4.2098947309725006</v>
      </c>
      <c r="GF807">
        <v>10.623781580455192</v>
      </c>
      <c r="GG807">
        <v>25.540828087863922</v>
      </c>
      <c r="GH807">
        <v>35.340673039841278</v>
      </c>
      <c r="GI807">
        <v>35.162104921680296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58.212333678797378</v>
      </c>
      <c r="AO808">
        <v>72.410735918357275</v>
      </c>
      <c r="AP808">
        <v>524.67282793020547</v>
      </c>
      <c r="AQ808">
        <v>208.31376056453234</v>
      </c>
      <c r="AR808">
        <v>68.540949836084494</v>
      </c>
      <c r="AS808">
        <v>345.66992941320808</v>
      </c>
      <c r="AT808">
        <v>25.450637834133037</v>
      </c>
      <c r="AU808">
        <v>18.551596387935049</v>
      </c>
      <c r="AV808"/>
      <c r="AW808"/>
      <c r="FY808" s="210">
        <v>803</v>
      </c>
      <c r="FZ808">
        <v>22.194238755503715</v>
      </c>
      <c r="GA808">
        <v>92.452092777373394</v>
      </c>
      <c r="GB808">
        <v>45.35655571025282</v>
      </c>
      <c r="GC808">
        <v>10.6256102277189</v>
      </c>
      <c r="GD808">
        <v>6.0550429329480071</v>
      </c>
      <c r="GE808">
        <v>6.806099691405767</v>
      </c>
      <c r="GF808">
        <v>8.4941880202551108</v>
      </c>
      <c r="GG808">
        <v>10.376386749587725</v>
      </c>
      <c r="GH808">
        <v>10.985908484415809</v>
      </c>
      <c r="GI808">
        <v>32.171905493843468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50.391640625425211</v>
      </c>
      <c r="AO809">
        <v>49.352606361300111</v>
      </c>
      <c r="AP809">
        <v>385.27274669460655</v>
      </c>
      <c r="AQ809">
        <v>193.31810676465446</v>
      </c>
      <c r="AR809">
        <v>46.696436049768593</v>
      </c>
      <c r="AS809">
        <v>253.19809582490853</v>
      </c>
      <c r="AT809">
        <v>19.474946694350063</v>
      </c>
      <c r="AU809">
        <v>-13.167123712264887</v>
      </c>
      <c r="AV809"/>
      <c r="AW809"/>
      <c r="FY809" s="210">
        <v>804</v>
      </c>
      <c r="FZ809">
        <v>15.760563674985654</v>
      </c>
      <c r="GA809">
        <v>25.492106569231794</v>
      </c>
      <c r="GB809">
        <v>32.618758482745704</v>
      </c>
      <c r="GC809">
        <v>11.771564472517543</v>
      </c>
      <c r="GD809">
        <v>7.4774994836427711</v>
      </c>
      <c r="GE809">
        <v>11.025041432260043</v>
      </c>
      <c r="GF809">
        <v>14.16819267708112</v>
      </c>
      <c r="GG809">
        <v>18.194004387616456</v>
      </c>
      <c r="GH809">
        <v>8.2606611044391869</v>
      </c>
      <c r="GI809">
        <v>30.129455323865059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46.809737431561395</v>
      </c>
      <c r="AO810">
        <v>71.945775077315758</v>
      </c>
      <c r="AP810">
        <v>559.9282864740876</v>
      </c>
      <c r="AQ810">
        <v>220.12773225226985</v>
      </c>
      <c r="AR810">
        <v>66.620017723605812</v>
      </c>
      <c r="AS810">
        <v>288.54410750427377</v>
      </c>
      <c r="AT810">
        <v>31.297822123463394</v>
      </c>
      <c r="AU810">
        <v>-35.6830550379957</v>
      </c>
      <c r="AV810"/>
      <c r="AW810"/>
      <c r="FY810" s="210">
        <v>805</v>
      </c>
      <c r="FZ810">
        <v>19.713954217173924</v>
      </c>
      <c r="GA810">
        <v>35.99127036232958</v>
      </c>
      <c r="GB810">
        <v>32.232779056344242</v>
      </c>
      <c r="GC810">
        <v>10.275652727397603</v>
      </c>
      <c r="GD810">
        <v>8.9886327476443579</v>
      </c>
      <c r="GE810">
        <v>13.502329429654118</v>
      </c>
      <c r="GF810">
        <v>8.5358424866189164</v>
      </c>
      <c r="GG810">
        <v>10.532999700842282</v>
      </c>
      <c r="GH810">
        <v>13.289978984088391</v>
      </c>
      <c r="GI810">
        <v>32.798590945844879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45.219415039394903</v>
      </c>
      <c r="AO811">
        <v>61.833116888023866</v>
      </c>
      <c r="AP811">
        <v>467.0766492457484</v>
      </c>
      <c r="AQ811">
        <v>184.87697122198963</v>
      </c>
      <c r="AR811">
        <v>57.819917061427397</v>
      </c>
      <c r="AS811">
        <v>313.37001413689836</v>
      </c>
      <c r="AT811">
        <v>23.70227676478596</v>
      </c>
      <c r="AU811">
        <v>22.515855424225844</v>
      </c>
      <c r="AV811"/>
      <c r="AW811"/>
      <c r="FY811" s="210">
        <v>806</v>
      </c>
      <c r="FZ811">
        <v>16.922201050810614</v>
      </c>
      <c r="GA811">
        <v>40.494269450911119</v>
      </c>
      <c r="GB811">
        <v>23.672005500845273</v>
      </c>
      <c r="GC811">
        <v>9.8763165241683559</v>
      </c>
      <c r="GD811">
        <v>7.3305858699923441</v>
      </c>
      <c r="GE811">
        <v>7.8212169289437767</v>
      </c>
      <c r="GF811">
        <v>7.6378232867718525</v>
      </c>
      <c r="GG811">
        <v>19.403792257309846</v>
      </c>
      <c r="GH811">
        <v>22.371784380929398</v>
      </c>
      <c r="GI811">
        <v>28.701465089735958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54.064079757434058</v>
      </c>
      <c r="AO812">
        <v>74.056033477316333</v>
      </c>
      <c r="AP812">
        <v>606.62753717974874</v>
      </c>
      <c r="AQ812">
        <v>242.55035341604039</v>
      </c>
      <c r="AR812">
        <v>70.240515619593623</v>
      </c>
      <c r="AS812">
        <v>358.67353513760497</v>
      </c>
      <c r="AT812">
        <v>30.938038942745948</v>
      </c>
      <c r="AU812">
        <v>41.378104411295972</v>
      </c>
      <c r="AV812"/>
      <c r="AW812"/>
      <c r="FY812" s="210">
        <v>807</v>
      </c>
      <c r="FZ812">
        <v>31.185207859592005</v>
      </c>
      <c r="GA812">
        <v>56.338642961096312</v>
      </c>
      <c r="GB812">
        <v>28.83769515398069</v>
      </c>
      <c r="GC812">
        <v>11.223619486682669</v>
      </c>
      <c r="GD812">
        <v>6.4063934035379919</v>
      </c>
      <c r="GE812">
        <v>4.0080823876561791</v>
      </c>
      <c r="GF812">
        <v>10.807510575350703</v>
      </c>
      <c r="GG812">
        <v>16.699892572141398</v>
      </c>
      <c r="GH812">
        <v>15.182240489459636</v>
      </c>
      <c r="GI812">
        <v>32.887868260399038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54.391678424840826</v>
      </c>
      <c r="AO813">
        <v>78.886145115704295</v>
      </c>
      <c r="AP813">
        <v>588.69547959281817</v>
      </c>
      <c r="AQ813">
        <v>225.18299901743919</v>
      </c>
      <c r="AR813">
        <v>73.608091118111489</v>
      </c>
      <c r="AS813">
        <v>370.74378572519595</v>
      </c>
      <c r="AT813">
        <v>30.200448244984528</v>
      </c>
      <c r="AU813">
        <v>4.787408756351538</v>
      </c>
      <c r="AV813"/>
      <c r="AW813"/>
      <c r="FY813" s="210">
        <v>808</v>
      </c>
      <c r="FZ813">
        <v>34.030509718105996</v>
      </c>
      <c r="GA813">
        <v>58.417985005596165</v>
      </c>
      <c r="GB813">
        <v>27.642956821600347</v>
      </c>
      <c r="GC813">
        <v>6.9320698868525987</v>
      </c>
      <c r="GD813">
        <v>2.7286244322955078</v>
      </c>
      <c r="GE813">
        <v>3.2834793164916114</v>
      </c>
      <c r="GF813">
        <v>11.331108911164021</v>
      </c>
      <c r="GG813">
        <v>21.415963323351033</v>
      </c>
      <c r="GH813">
        <v>23.38412734596433</v>
      </c>
      <c r="GI813">
        <v>28.350351352766967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61.880372466366033</v>
      </c>
      <c r="AO814">
        <v>85.703482375578886</v>
      </c>
      <c r="AP814">
        <v>522.70516300878035</v>
      </c>
      <c r="AQ814">
        <v>209.39116650080649</v>
      </c>
      <c r="AR814">
        <v>80.157379025296962</v>
      </c>
      <c r="AS814">
        <v>392.02880950726205</v>
      </c>
      <c r="AT814">
        <v>30.921740633165594</v>
      </c>
      <c r="AU814">
        <v>-10.915422995924965</v>
      </c>
      <c r="AV814"/>
      <c r="AW814"/>
      <c r="FY814" s="210">
        <v>809</v>
      </c>
      <c r="FZ814">
        <v>17.184427302142581</v>
      </c>
      <c r="GA814">
        <v>46.995887962971565</v>
      </c>
      <c r="GB814">
        <v>56.621638822937115</v>
      </c>
      <c r="GC814">
        <v>13.707587830319495</v>
      </c>
      <c r="GD814">
        <v>6.6015280402720364</v>
      </c>
      <c r="GE814">
        <v>7.388626141424302</v>
      </c>
      <c r="GF814">
        <v>8.8240010283064638</v>
      </c>
      <c r="GG814">
        <v>21.450317523808064</v>
      </c>
      <c r="GH814">
        <v>26.437965540619953</v>
      </c>
      <c r="GI814">
        <v>43.780672503409392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39.386801604296032</v>
      </c>
      <c r="AO815">
        <v>48.045154653192242</v>
      </c>
      <c r="AP815">
        <v>334.45427086307666</v>
      </c>
      <c r="AQ815">
        <v>161.08942929384796</v>
      </c>
      <c r="AR815">
        <v>45.720820444942611</v>
      </c>
      <c r="AS815">
        <v>275.27101831148804</v>
      </c>
      <c r="AT815">
        <v>20.256325410318343</v>
      </c>
      <c r="AU815">
        <v>17.151088317185007</v>
      </c>
      <c r="AV815"/>
      <c r="AW815"/>
      <c r="FY815" s="210">
        <v>810</v>
      </c>
      <c r="FZ815">
        <v>18.950744562979676</v>
      </c>
      <c r="GA815">
        <v>49.221030608462321</v>
      </c>
      <c r="GB815">
        <v>38.946011463153447</v>
      </c>
      <c r="GC815">
        <v>10.454684834288678</v>
      </c>
      <c r="GD815">
        <v>7.4676076927963555</v>
      </c>
      <c r="GE815">
        <v>9.9035756869159997</v>
      </c>
      <c r="GF815">
        <v>10.786914988530063</v>
      </c>
      <c r="GG815">
        <v>20.902639831934508</v>
      </c>
      <c r="GH815">
        <v>21.199438756249847</v>
      </c>
      <c r="GI815">
        <v>38.494373869288516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58.035520618383529</v>
      </c>
      <c r="AO816">
        <v>62.088625407192659</v>
      </c>
      <c r="AP816">
        <v>470.52321258713744</v>
      </c>
      <c r="AQ816">
        <v>208.25339193466311</v>
      </c>
      <c r="AR816">
        <v>58.472674962878123</v>
      </c>
      <c r="AS816">
        <v>412.62326493698157</v>
      </c>
      <c r="AT816">
        <v>24.750282676985197</v>
      </c>
      <c r="AU816">
        <v>82.704219080605029</v>
      </c>
      <c r="AV816"/>
      <c r="AW816"/>
      <c r="FY816" s="210">
        <v>811</v>
      </c>
      <c r="FZ816">
        <v>17.058015938923141</v>
      </c>
      <c r="GA816">
        <v>37.935831540406284</v>
      </c>
      <c r="GB816">
        <v>25.25630495792732</v>
      </c>
      <c r="GC816">
        <v>6.2108151661830799</v>
      </c>
      <c r="GD816">
        <v>4.8750880182372329</v>
      </c>
      <c r="GE816">
        <v>8.3236261120941819</v>
      </c>
      <c r="GF816">
        <v>9.5516880463129219</v>
      </c>
      <c r="GG816">
        <v>14.737278535809866</v>
      </c>
      <c r="GH816">
        <v>13.718073107415911</v>
      </c>
      <c r="GI816">
        <v>23.645470952572204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64.56444245899236</v>
      </c>
      <c r="AO817">
        <v>104.28029010131772</v>
      </c>
      <c r="AP817">
        <v>692.10392199765909</v>
      </c>
      <c r="AQ817">
        <v>241.06888517418551</v>
      </c>
      <c r="AR817">
        <v>95.674717973808143</v>
      </c>
      <c r="AS817">
        <v>569.88860155245766</v>
      </c>
      <c r="AT817">
        <v>37.73324076804856</v>
      </c>
      <c r="AU817">
        <v>-20.436180890929123</v>
      </c>
      <c r="AV817"/>
      <c r="AW817"/>
      <c r="FY817" s="210">
        <v>812</v>
      </c>
      <c r="FZ817">
        <v>22.715739127370465</v>
      </c>
      <c r="GA817">
        <v>60.694827098146504</v>
      </c>
      <c r="GB817">
        <v>44.366022081912398</v>
      </c>
      <c r="GC817">
        <v>10.482974336944803</v>
      </c>
      <c r="GD817">
        <v>5.4007583816766589</v>
      </c>
      <c r="GE817">
        <v>8.1276066889442564</v>
      </c>
      <c r="GF817">
        <v>6.8352228677798372</v>
      </c>
      <c r="GG817">
        <v>8.4036091792713385</v>
      </c>
      <c r="GH817">
        <v>8.0631700590189332</v>
      </c>
      <c r="GI817">
        <v>36.942067239631122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50.159301829706244</v>
      </c>
      <c r="AO818">
        <v>77.049302200497351</v>
      </c>
      <c r="AP818">
        <v>635.87691649405372</v>
      </c>
      <c r="AQ818">
        <v>247.23491828663362</v>
      </c>
      <c r="AR818">
        <v>72.42482901705641</v>
      </c>
      <c r="AS818">
        <v>397.44208641378384</v>
      </c>
      <c r="AT818">
        <v>33.666449469121822</v>
      </c>
      <c r="AU818">
        <v>53.480797581885355</v>
      </c>
      <c r="AV818"/>
      <c r="AW818"/>
      <c r="FY818" s="210">
        <v>813</v>
      </c>
      <c r="FZ818">
        <v>24.118551274947276</v>
      </c>
      <c r="GA818">
        <v>69.852244456664081</v>
      </c>
      <c r="GB818">
        <v>36.369811118948206</v>
      </c>
      <c r="GC818">
        <v>10.174430143529332</v>
      </c>
      <c r="GD818">
        <v>5.9475389623671262</v>
      </c>
      <c r="GE818">
        <v>6.7729875385808498</v>
      </c>
      <c r="GF818">
        <v>13.431940618613295</v>
      </c>
      <c r="GG818">
        <v>19.943969808847655</v>
      </c>
      <c r="GH818">
        <v>15.761176016816092</v>
      </c>
      <c r="GI818">
        <v>37.094165764272688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58.973182418607237</v>
      </c>
      <c r="AO819">
        <v>65.782667447590995</v>
      </c>
      <c r="AP819">
        <v>551.82543520770764</v>
      </c>
      <c r="AQ819">
        <v>245.51802884330471</v>
      </c>
      <c r="AR819">
        <v>61.462204611224124</v>
      </c>
      <c r="AS819">
        <v>370.87129861144552</v>
      </c>
      <c r="AT819">
        <v>25.564801679881342</v>
      </c>
      <c r="AU819">
        <v>30.548977499545742</v>
      </c>
      <c r="AV819"/>
      <c r="AW819"/>
      <c r="FY819" s="210">
        <v>814</v>
      </c>
      <c r="FZ819">
        <v>20.2703233383608</v>
      </c>
      <c r="GA819">
        <v>49.552985678043036</v>
      </c>
      <c r="GB819">
        <v>46.558569796361866</v>
      </c>
      <c r="GC819">
        <v>14.244086052040984</v>
      </c>
      <c r="GD819">
        <v>7.9284963266224766</v>
      </c>
      <c r="GE819">
        <v>9.3912345847479006</v>
      </c>
      <c r="GF819">
        <v>8.6774247080677238</v>
      </c>
      <c r="GG819">
        <v>10.313224488639454</v>
      </c>
      <c r="GH819">
        <v>10.728091883487052</v>
      </c>
      <c r="GI819">
        <v>37.409052070207387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62.085992419754895</v>
      </c>
      <c r="AO820">
        <v>62.148416081645486</v>
      </c>
      <c r="AP820">
        <v>438.83283457881004</v>
      </c>
      <c r="AQ820">
        <v>174.89784760838535</v>
      </c>
      <c r="AR820">
        <v>59.040226357586718</v>
      </c>
      <c r="AS820">
        <v>353.77393749367417</v>
      </c>
      <c r="AT820">
        <v>24.217013582928939</v>
      </c>
      <c r="AU820">
        <v>-34.405943041571334</v>
      </c>
      <c r="AV820"/>
      <c r="AW820"/>
      <c r="FY820" s="210">
        <v>815</v>
      </c>
      <c r="FZ820">
        <v>23.334334871853507</v>
      </c>
      <c r="GA820">
        <v>31.804975675385734</v>
      </c>
      <c r="GB820">
        <v>28.815960210026532</v>
      </c>
      <c r="GC820">
        <v>7.8728665207046875</v>
      </c>
      <c r="GD820">
        <v>4.7512948583226606</v>
      </c>
      <c r="GE820">
        <v>6.9379422356887943</v>
      </c>
      <c r="GF820">
        <v>7.8381477674287146</v>
      </c>
      <c r="GG820">
        <v>20.591817119398769</v>
      </c>
      <c r="GH820">
        <v>29.580753743686671</v>
      </c>
      <c r="GI820">
        <v>29.942290581841192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56.906262034069513</v>
      </c>
      <c r="AO821">
        <v>68.683371473520765</v>
      </c>
      <c r="AP821">
        <v>429.68488389565346</v>
      </c>
      <c r="AQ821">
        <v>185.86203065793831</v>
      </c>
      <c r="AR821">
        <v>64.373751583032302</v>
      </c>
      <c r="AS821">
        <v>335.80318535739514</v>
      </c>
      <c r="AT821">
        <v>24.698026185222457</v>
      </c>
      <c r="AU821">
        <v>60.675375071210674</v>
      </c>
      <c r="AV821"/>
      <c r="AW821"/>
      <c r="FY821" s="210">
        <v>816</v>
      </c>
      <c r="FZ821">
        <v>29.576877232093508</v>
      </c>
      <c r="GA821">
        <v>48.705434997887735</v>
      </c>
      <c r="GB821">
        <v>50.151784143632192</v>
      </c>
      <c r="GC821">
        <v>15.61821739863978</v>
      </c>
      <c r="GD821">
        <v>6.6378342749615271</v>
      </c>
      <c r="GE821">
        <v>6.3450079210318195</v>
      </c>
      <c r="GF821">
        <v>13.498817564355479</v>
      </c>
      <c r="GG821">
        <v>23.195201703629653</v>
      </c>
      <c r="GH821">
        <v>22.058826979098903</v>
      </c>
      <c r="GI821">
        <v>47.730053823789632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51.873967127178972</v>
      </c>
      <c r="AO822">
        <v>61.644629470703364</v>
      </c>
      <c r="AP822">
        <v>429.54593387196962</v>
      </c>
      <c r="AQ822">
        <v>184.23146034041855</v>
      </c>
      <c r="AR822">
        <v>56.558486999360092</v>
      </c>
      <c r="AS822">
        <v>337.0700517723136</v>
      </c>
      <c r="AT822">
        <v>24.302604694936559</v>
      </c>
      <c r="AU822">
        <v>-0.57252116095861805</v>
      </c>
      <c r="AV822"/>
      <c r="AW822"/>
      <c r="FY822" s="210">
        <v>817</v>
      </c>
      <c r="FZ822">
        <v>20.861847621218594</v>
      </c>
      <c r="GA822">
        <v>55.889893883658317</v>
      </c>
      <c r="GB822">
        <v>32.410788563829051</v>
      </c>
      <c r="GC822">
        <v>11.930042666561308</v>
      </c>
      <c r="GD822">
        <v>9.1719586356492666</v>
      </c>
      <c r="GE822">
        <v>9.7511614571673864</v>
      </c>
      <c r="GF822">
        <v>10.931596202723028</v>
      </c>
      <c r="GG822">
        <v>17.524817410935793</v>
      </c>
      <c r="GH822">
        <v>12.793098463839449</v>
      </c>
      <c r="GI822">
        <v>35.124903827613444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52.838717347512826</v>
      </c>
      <c r="AO823">
        <v>69.929229562261781</v>
      </c>
      <c r="AP823">
        <v>513.99799405575527</v>
      </c>
      <c r="AQ823">
        <v>213.57715314989665</v>
      </c>
      <c r="AR823">
        <v>67.393693641218263</v>
      </c>
      <c r="AS823">
        <v>442.01721155156287</v>
      </c>
      <c r="AT823">
        <v>26.087878709517458</v>
      </c>
      <c r="AU823">
        <v>6.8172814446986436</v>
      </c>
      <c r="AV823"/>
      <c r="AW823"/>
      <c r="FY823" s="210">
        <v>818</v>
      </c>
      <c r="FZ823">
        <v>20.342629666730122</v>
      </c>
      <c r="GA823">
        <v>30.84029318409041</v>
      </c>
      <c r="GB823">
        <v>19.206188413815294</v>
      </c>
      <c r="GC823">
        <v>10.975577970673001</v>
      </c>
      <c r="GD823">
        <v>7.1263771995472887</v>
      </c>
      <c r="GE823">
        <v>6.9613644796339162</v>
      </c>
      <c r="GF823">
        <v>8.3387488498281446</v>
      </c>
      <c r="GG823">
        <v>15.765601913567091</v>
      </c>
      <c r="GH823">
        <v>18.070202156403759</v>
      </c>
      <c r="GI823">
        <v>26.85343278871013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50.884730483207463</v>
      </c>
      <c r="AO824">
        <v>59.691917489841913</v>
      </c>
      <c r="AP824">
        <v>510.51161554549287</v>
      </c>
      <c r="AQ824">
        <v>217.51717611418863</v>
      </c>
      <c r="AR824">
        <v>56.396346435652895</v>
      </c>
      <c r="AS824">
        <v>275.79040192844047</v>
      </c>
      <c r="AT824">
        <v>25.416336899685579</v>
      </c>
      <c r="AU824">
        <v>49.619741069453163</v>
      </c>
      <c r="AV824"/>
      <c r="AW824"/>
      <c r="FY824" s="210">
        <v>819</v>
      </c>
      <c r="FZ824">
        <v>20.901565705726501</v>
      </c>
      <c r="GA824">
        <v>48.368344448206557</v>
      </c>
      <c r="GB824">
        <v>30.845678627205821</v>
      </c>
      <c r="GC824">
        <v>9.4970893155242297</v>
      </c>
      <c r="GD824">
        <v>4.5989419218779322</v>
      </c>
      <c r="GE824">
        <v>5.3702423506406021</v>
      </c>
      <c r="GF824">
        <v>8.6541800541242164</v>
      </c>
      <c r="GG824">
        <v>8.8537914948427812</v>
      </c>
      <c r="GH824">
        <v>6.8090915893530006</v>
      </c>
      <c r="GI824">
        <v>25.455235759839184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57.522674173675242</v>
      </c>
      <c r="AO825">
        <v>96.976174257979068</v>
      </c>
      <c r="AP825">
        <v>702.90299293163719</v>
      </c>
      <c r="AQ825">
        <v>248.99265269621097</v>
      </c>
      <c r="AR825">
        <v>90.194866961305777</v>
      </c>
      <c r="AS825">
        <v>532.95962570312804</v>
      </c>
      <c r="AT825">
        <v>37.169584343413298</v>
      </c>
      <c r="AU825">
        <v>74.7271220677505</v>
      </c>
      <c r="AV825"/>
      <c r="AW825"/>
      <c r="FY825" s="210">
        <v>820</v>
      </c>
      <c r="FZ825">
        <v>27.498398575837967</v>
      </c>
      <c r="GA825">
        <v>40.240356940143407</v>
      </c>
      <c r="GB825">
        <v>17.125196263315175</v>
      </c>
      <c r="GC825">
        <v>9.9612089296909438</v>
      </c>
      <c r="GD825">
        <v>6.8495944433041407</v>
      </c>
      <c r="GE825">
        <v>8.4985066872956327</v>
      </c>
      <c r="GF825">
        <v>9.7840123180819045</v>
      </c>
      <c r="GG825">
        <v>16.887039371632188</v>
      </c>
      <c r="GH825">
        <v>18.30223638017041</v>
      </c>
      <c r="GI825">
        <v>28.097924631842677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56.344764217655758</v>
      </c>
      <c r="AO826">
        <v>84.865026743750803</v>
      </c>
      <c r="AP826">
        <v>597.21964464087739</v>
      </c>
      <c r="AQ826">
        <v>226.3270222945994</v>
      </c>
      <c r="AR826">
        <v>77.793795071590779</v>
      </c>
      <c r="AS826">
        <v>377.56247439018193</v>
      </c>
      <c r="AT826">
        <v>31.580905920890388</v>
      </c>
      <c r="AU826">
        <v>21.626206181581729</v>
      </c>
      <c r="AV826"/>
      <c r="AW826"/>
      <c r="FY826" s="210">
        <v>821</v>
      </c>
      <c r="FZ826">
        <v>29.323504055654698</v>
      </c>
      <c r="GA826">
        <v>67.923894227165846</v>
      </c>
      <c r="GB826">
        <v>40.180579662461241</v>
      </c>
      <c r="GC826">
        <v>11.41299859221229</v>
      </c>
      <c r="GD826">
        <v>5.4761102883905526</v>
      </c>
      <c r="GE826">
        <v>6.3256148342438916</v>
      </c>
      <c r="GF826">
        <v>9.4203133532933432</v>
      </c>
      <c r="GG826">
        <v>12.472077866823948</v>
      </c>
      <c r="GH826">
        <v>9.5229369157907655</v>
      </c>
      <c r="GI826">
        <v>33.70704625159533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38.751064058618013</v>
      </c>
      <c r="AO827">
        <v>46.928282425648042</v>
      </c>
      <c r="AP827">
        <v>353.3933782541622</v>
      </c>
      <c r="AQ827">
        <v>161.31219237588212</v>
      </c>
      <c r="AR827">
        <v>43.480627196354483</v>
      </c>
      <c r="AS827">
        <v>201.62716416594773</v>
      </c>
      <c r="AT827">
        <v>18.099882779956477</v>
      </c>
      <c r="AU827">
        <v>10.95332596804049</v>
      </c>
      <c r="AV827"/>
      <c r="AW827"/>
      <c r="FY827" s="210">
        <v>822</v>
      </c>
      <c r="FZ827">
        <v>11.232953438207208</v>
      </c>
      <c r="GA827">
        <v>60.140726259618773</v>
      </c>
      <c r="GB827">
        <v>28.065814963134535</v>
      </c>
      <c r="GC827">
        <v>7.8203785596849311</v>
      </c>
      <c r="GD827">
        <v>8.1799377470430024</v>
      </c>
      <c r="GE827">
        <v>12.164911464640317</v>
      </c>
      <c r="GF827">
        <v>9.6281471311656972</v>
      </c>
      <c r="GG827">
        <v>18.562948307649403</v>
      </c>
      <c r="GH827">
        <v>21.614630677769444</v>
      </c>
      <c r="GI827">
        <v>31.461206199451617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62.221887224579532</v>
      </c>
      <c r="AO828">
        <v>83.311313549006826</v>
      </c>
      <c r="AP828">
        <v>569.45280015236062</v>
      </c>
      <c r="AQ828">
        <v>212.03199706069634</v>
      </c>
      <c r="AR828">
        <v>77.064653081148947</v>
      </c>
      <c r="AS828">
        <v>345.29053120247573</v>
      </c>
      <c r="AT828">
        <v>28.950289022457284</v>
      </c>
      <c r="AU828">
        <v>12.905707807034211</v>
      </c>
      <c r="AV828"/>
      <c r="AW828"/>
      <c r="FY828" s="210">
        <v>823</v>
      </c>
      <c r="FZ828">
        <v>17.768404352622145</v>
      </c>
      <c r="GA828">
        <v>71.757076190975909</v>
      </c>
      <c r="GB828">
        <v>35.402065445291271</v>
      </c>
      <c r="GC828">
        <v>11.941728904128178</v>
      </c>
      <c r="GD828">
        <v>5.6268635764967323</v>
      </c>
      <c r="GE828">
        <v>3.1617847676820139</v>
      </c>
      <c r="GF828">
        <v>7.3969447081548365</v>
      </c>
      <c r="GG828">
        <v>18.105822554722508</v>
      </c>
      <c r="GH828">
        <v>27.7952781260562</v>
      </c>
      <c r="GI828">
        <v>32.873593031281807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55.217917997466728</v>
      </c>
      <c r="AO829">
        <v>80.157069218756689</v>
      </c>
      <c r="AP829">
        <v>595.46858870705739</v>
      </c>
      <c r="AQ829">
        <v>239.46681570358658</v>
      </c>
      <c r="AR829">
        <v>75.552054898838321</v>
      </c>
      <c r="AS829">
        <v>536.38052259039387</v>
      </c>
      <c r="AT829">
        <v>29.682416069967442</v>
      </c>
      <c r="AU829">
        <v>5.944799150076725</v>
      </c>
      <c r="AV829"/>
      <c r="AW829"/>
      <c r="FY829" s="210">
        <v>824</v>
      </c>
      <c r="FZ829">
        <v>20.221688015949173</v>
      </c>
      <c r="GA829">
        <v>46.78293814876924</v>
      </c>
      <c r="GB829">
        <v>47.688818552270632</v>
      </c>
      <c r="GC829">
        <v>12.595186508149473</v>
      </c>
      <c r="GD829">
        <v>7.6672530307199454</v>
      </c>
      <c r="GE829">
        <v>10.970729193065427</v>
      </c>
      <c r="GF829">
        <v>11.283111954071247</v>
      </c>
      <c r="GG829">
        <v>22.707854360748918</v>
      </c>
      <c r="GH829">
        <v>22.863101134771849</v>
      </c>
      <c r="GI829">
        <v>38.785562904147753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66.660037488537299</v>
      </c>
      <c r="AO830">
        <v>79.175622015164777</v>
      </c>
      <c r="AP830">
        <v>543.55822723461802</v>
      </c>
      <c r="AQ830">
        <v>215.0734889265787</v>
      </c>
      <c r="AR830">
        <v>74.442116674034196</v>
      </c>
      <c r="AS830">
        <v>417.52402342633138</v>
      </c>
      <c r="AT830">
        <v>28.256714404706653</v>
      </c>
      <c r="AU830">
        <v>76.785526866039874</v>
      </c>
      <c r="AV830"/>
      <c r="AW830"/>
      <c r="FY830" s="210">
        <v>825</v>
      </c>
      <c r="FZ830">
        <v>27.539961394206237</v>
      </c>
      <c r="GA830">
        <v>46.997239630283175</v>
      </c>
      <c r="GB830">
        <v>30.205881037932066</v>
      </c>
      <c r="GC830">
        <v>8.1136653514816999</v>
      </c>
      <c r="GD830">
        <v>2.8713644035912971</v>
      </c>
      <c r="GE830">
        <v>4.3988234022701773</v>
      </c>
      <c r="GF830">
        <v>17.187476584127339</v>
      </c>
      <c r="GG830">
        <v>28.21661413163752</v>
      </c>
      <c r="GH830">
        <v>18.714936927936858</v>
      </c>
      <c r="GI830">
        <v>32.276166213864407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47.325052890085765</v>
      </c>
      <c r="AO831">
        <v>64.89460916859683</v>
      </c>
      <c r="AP831">
        <v>484.2045853286412</v>
      </c>
      <c r="AQ831">
        <v>191.47038358433724</v>
      </c>
      <c r="AR831">
        <v>60.453693922592876</v>
      </c>
      <c r="AS831">
        <v>336.89399027318666</v>
      </c>
      <c r="AT831">
        <v>25.888090624528107</v>
      </c>
      <c r="AU831">
        <v>70.308406228475278</v>
      </c>
      <c r="AV831"/>
      <c r="AW831"/>
      <c r="FY831" s="210">
        <v>826</v>
      </c>
      <c r="FZ831">
        <v>23.024688680868174</v>
      </c>
      <c r="GA831">
        <v>50.274386238572724</v>
      </c>
      <c r="GB831">
        <v>31.711235621313399</v>
      </c>
      <c r="GC831">
        <v>14.331615744589671</v>
      </c>
      <c r="GD831">
        <v>6.551411563923474</v>
      </c>
      <c r="GE831">
        <v>3.1512859784034961</v>
      </c>
      <c r="GF831">
        <v>8.5122483561715327</v>
      </c>
      <c r="GG831">
        <v>19.364590957488943</v>
      </c>
      <c r="GH831">
        <v>25.118946829831231</v>
      </c>
      <c r="GI831">
        <v>33.197229124132612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72.881889122237197</v>
      </c>
      <c r="AO832">
        <v>106.71668025601284</v>
      </c>
      <c r="AP832">
        <v>747.31984912397911</v>
      </c>
      <c r="AQ832">
        <v>263.51805603912027</v>
      </c>
      <c r="AR832">
        <v>99.037514526408316</v>
      </c>
      <c r="AS832">
        <v>442.46095695066128</v>
      </c>
      <c r="AT832">
        <v>39.688514395307656</v>
      </c>
      <c r="AU832">
        <v>-17.762463198083204</v>
      </c>
      <c r="AV832"/>
      <c r="AW832"/>
      <c r="FY832" s="210">
        <v>827</v>
      </c>
      <c r="FZ832">
        <v>20.14433211262293</v>
      </c>
      <c r="GA832">
        <v>85.542772895375492</v>
      </c>
      <c r="GB832">
        <v>33.308800451921741</v>
      </c>
      <c r="GC832">
        <v>11.472324192351401</v>
      </c>
      <c r="GD832">
        <v>6.1503423761454608</v>
      </c>
      <c r="GE832">
        <v>4.5527036960907159</v>
      </c>
      <c r="GF832">
        <v>10.569513268247704</v>
      </c>
      <c r="GG832">
        <v>20.50086368110847</v>
      </c>
      <c r="GH832">
        <v>23.689933104550768</v>
      </c>
      <c r="GI832">
        <v>33.892662967238003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54.832409384139602</v>
      </c>
      <c r="AO833">
        <v>76.484999699450114</v>
      </c>
      <c r="AP833">
        <v>581.88811348058618</v>
      </c>
      <c r="AQ833">
        <v>216.39010873319563</v>
      </c>
      <c r="AR833">
        <v>74.196184947474563</v>
      </c>
      <c r="AS833">
        <v>474.19950367167729</v>
      </c>
      <c r="AT833">
        <v>31.276169349700353</v>
      </c>
      <c r="AU833">
        <v>4.6460407518697622E-2</v>
      </c>
      <c r="AV833"/>
      <c r="AW833"/>
      <c r="FY833" s="210">
        <v>828</v>
      </c>
      <c r="FZ833">
        <v>32.23278793321019</v>
      </c>
      <c r="GA833">
        <v>59.392674542984707</v>
      </c>
      <c r="GB833">
        <v>31.258587141432354</v>
      </c>
      <c r="GC833">
        <v>8.2577897765107213</v>
      </c>
      <c r="GD833">
        <v>5.6559370960061033</v>
      </c>
      <c r="GE833">
        <v>8.1294720530879125</v>
      </c>
      <c r="GF833">
        <v>13.813191922843686</v>
      </c>
      <c r="GG833">
        <v>22.33181215732457</v>
      </c>
      <c r="GH833">
        <v>17.433749099111971</v>
      </c>
      <c r="GI833">
        <v>33.936532059689412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41.145921071397538</v>
      </c>
      <c r="AO834">
        <v>54.87441049723278</v>
      </c>
      <c r="AP834">
        <v>335.57093931383213</v>
      </c>
      <c r="AQ834">
        <v>164.48041662299917</v>
      </c>
      <c r="AR834">
        <v>50.269619178517047</v>
      </c>
      <c r="AS834">
        <v>245.6001343236957</v>
      </c>
      <c r="AT834">
        <v>21.874055466774156</v>
      </c>
      <c r="AU834">
        <v>-22.549797405749835</v>
      </c>
      <c r="AV834"/>
      <c r="AW834"/>
      <c r="FY834" s="210">
        <v>829</v>
      </c>
      <c r="FZ834">
        <v>17.235425483279748</v>
      </c>
      <c r="GA834">
        <v>47.830357056380748</v>
      </c>
      <c r="GB834">
        <v>24.705186169791816</v>
      </c>
      <c r="GC834">
        <v>7.5411641895737862</v>
      </c>
      <c r="GD834">
        <v>5.508893211867429</v>
      </c>
      <c r="GE834">
        <v>6.4299293119778236</v>
      </c>
      <c r="GF834">
        <v>9.4997355663645333</v>
      </c>
      <c r="GG834">
        <v>18.439761439400211</v>
      </c>
      <c r="GH834">
        <v>23.426922805551573</v>
      </c>
      <c r="GI834">
        <v>27.781674704868024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41.067644271652746</v>
      </c>
      <c r="AO835">
        <v>53.405792719502017</v>
      </c>
      <c r="AP835">
        <v>388.98666257821498</v>
      </c>
      <c r="AQ835">
        <v>169.35416126734083</v>
      </c>
      <c r="AR835">
        <v>50.116080265013387</v>
      </c>
      <c r="AS835">
        <v>297.56656976484624</v>
      </c>
      <c r="AT835">
        <v>19.855762643881352</v>
      </c>
      <c r="AU835">
        <v>-35.874754600951775</v>
      </c>
      <c r="AV835"/>
      <c r="AW835"/>
      <c r="FY835" s="210">
        <v>830</v>
      </c>
      <c r="FZ835">
        <v>29.292586094358732</v>
      </c>
      <c r="GA835">
        <v>54.22230436043148</v>
      </c>
      <c r="GB835">
        <v>25.590862436359131</v>
      </c>
      <c r="GC835">
        <v>10.338474013747236</v>
      </c>
      <c r="GD835">
        <v>6.6284072151740938</v>
      </c>
      <c r="GE835">
        <v>6.6570115501111857</v>
      </c>
      <c r="GF835">
        <v>11.724749573253902</v>
      </c>
      <c r="GG835">
        <v>17.242426195177277</v>
      </c>
      <c r="GH835">
        <v>10.972995415081494</v>
      </c>
      <c r="GI835">
        <v>32.643350803564438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52.763810625904021</v>
      </c>
      <c r="AO836">
        <v>56.719232326688442</v>
      </c>
      <c r="AP836">
        <v>377.38619484619255</v>
      </c>
      <c r="AQ836">
        <v>183.24447454131445</v>
      </c>
      <c r="AR836">
        <v>53.798657778917985</v>
      </c>
      <c r="AS836">
        <v>399.88864859001762</v>
      </c>
      <c r="AT836">
        <v>23.704682881505349</v>
      </c>
      <c r="AU836">
        <v>13.837162206149408</v>
      </c>
      <c r="AV836"/>
      <c r="AW836"/>
      <c r="FY836" s="210">
        <v>831</v>
      </c>
      <c r="FZ836">
        <v>24.838161667576397</v>
      </c>
      <c r="GA836">
        <v>59.120300192161295</v>
      </c>
      <c r="GB836">
        <v>31.66998312176084</v>
      </c>
      <c r="GC836">
        <v>9.5083821567988043</v>
      </c>
      <c r="GD836">
        <v>4.8636572141580023</v>
      </c>
      <c r="GE836">
        <v>5.2402551413098424</v>
      </c>
      <c r="GF836">
        <v>7.1812641697226827</v>
      </c>
      <c r="GG836">
        <v>20.160428512969407</v>
      </c>
      <c r="GH836">
        <v>30.891249147193026</v>
      </c>
      <c r="GI836">
        <v>28.129155021390496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51.739194218155546</v>
      </c>
      <c r="AO837">
        <v>70.095808214711184</v>
      </c>
      <c r="AP837">
        <v>521.54452584140631</v>
      </c>
      <c r="AQ837">
        <v>225.76507604763191</v>
      </c>
      <c r="AR837">
        <v>65.638628992130478</v>
      </c>
      <c r="AS837">
        <v>408.798601687744</v>
      </c>
      <c r="AT837">
        <v>26.473487497554029</v>
      </c>
      <c r="AU837">
        <v>34.588688948116783</v>
      </c>
      <c r="AV837"/>
      <c r="AW837"/>
      <c r="FY837" s="210">
        <v>832</v>
      </c>
      <c r="FZ837">
        <v>17.287409370383376</v>
      </c>
      <c r="GA837">
        <v>54.595577512041316</v>
      </c>
      <c r="GB837">
        <v>39.085719661373389</v>
      </c>
      <c r="GC837">
        <v>10.326812421241558</v>
      </c>
      <c r="GD837">
        <v>8.7946625663426481</v>
      </c>
      <c r="GE837">
        <v>13.450810355306855</v>
      </c>
      <c r="GF837">
        <v>13.008309151890842</v>
      </c>
      <c r="GG837">
        <v>20.800183759077939</v>
      </c>
      <c r="GH837">
        <v>6.4626425729441621</v>
      </c>
      <c r="GI837">
        <v>33.823258568460702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52.073730089584217</v>
      </c>
      <c r="AO838">
        <v>65.164728437055004</v>
      </c>
      <c r="AP838">
        <v>488.34749276018499</v>
      </c>
      <c r="AQ838">
        <v>208.87165474836493</v>
      </c>
      <c r="AR838">
        <v>61.437494647283472</v>
      </c>
      <c r="AS838">
        <v>341.79197382371638</v>
      </c>
      <c r="AT838">
        <v>25.414172062720024</v>
      </c>
      <c r="AU838">
        <v>-15.232366840275693</v>
      </c>
      <c r="AV838"/>
      <c r="AW838"/>
      <c r="FY838" s="210">
        <v>833</v>
      </c>
      <c r="FZ838">
        <v>22.373724428732025</v>
      </c>
      <c r="GA838">
        <v>71.988813376497916</v>
      </c>
      <c r="GB838">
        <v>54.078189107153761</v>
      </c>
      <c r="GC838">
        <v>12.505852049826428</v>
      </c>
      <c r="GD838">
        <v>7.1789519437101665</v>
      </c>
      <c r="GE838">
        <v>8.7392394224508081</v>
      </c>
      <c r="GF838">
        <v>13.9336602335627</v>
      </c>
      <c r="GG838">
        <v>26.941475363371651</v>
      </c>
      <c r="GH838">
        <v>26.655279404953486</v>
      </c>
      <c r="GI838">
        <v>44.929018615902635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55.726328379297378</v>
      </c>
      <c r="AO839">
        <v>69.466907308925414</v>
      </c>
      <c r="AP839">
        <v>547.2156391881548</v>
      </c>
      <c r="AQ839">
        <v>231.8295616574116</v>
      </c>
      <c r="AR839">
        <v>65.516873387503409</v>
      </c>
      <c r="AS839">
        <v>483.62086019488555</v>
      </c>
      <c r="AT839">
        <v>26.4178109374418</v>
      </c>
      <c r="AU839">
        <v>3.4937317359233742</v>
      </c>
      <c r="AV839"/>
      <c r="AW839"/>
      <c r="FY839" s="210">
        <v>834</v>
      </c>
      <c r="FZ839">
        <v>20.932830745208655</v>
      </c>
      <c r="GA839">
        <v>56.163774332051709</v>
      </c>
      <c r="GB839">
        <v>44.665430466174676</v>
      </c>
      <c r="GC839">
        <v>13.93818162699298</v>
      </c>
      <c r="GD839">
        <v>5.4195742551879968</v>
      </c>
      <c r="GE839">
        <v>3.7525243473581527</v>
      </c>
      <c r="GF839">
        <v>7.5305409674816275</v>
      </c>
      <c r="GG839">
        <v>11.338478573728038</v>
      </c>
      <c r="GH839">
        <v>11.368941035402173</v>
      </c>
      <c r="GI839">
        <v>31.436275728842961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59.573949951145821</v>
      </c>
      <c r="AO840">
        <v>82.080897106716947</v>
      </c>
      <c r="AP840">
        <v>615.17635107609374</v>
      </c>
      <c r="AQ840">
        <v>241.56624380266365</v>
      </c>
      <c r="AR840">
        <v>76.550200205831004</v>
      </c>
      <c r="AS840">
        <v>376.50931826322625</v>
      </c>
      <c r="AT840">
        <v>31.953842798877005</v>
      </c>
      <c r="AU840">
        <v>-8.3995414229368386</v>
      </c>
      <c r="AV840"/>
      <c r="AW840"/>
      <c r="FY840" s="210">
        <v>835</v>
      </c>
      <c r="FZ840">
        <v>20.336058498317591</v>
      </c>
      <c r="GA840">
        <v>62.12899734532084</v>
      </c>
      <c r="GB840">
        <v>45.434140558108737</v>
      </c>
      <c r="GC840">
        <v>12.659072503799829</v>
      </c>
      <c r="GD840">
        <v>7.9158322424519856</v>
      </c>
      <c r="GE840">
        <v>10.662679769682361</v>
      </c>
      <c r="GF840">
        <v>9.2606874385469826</v>
      </c>
      <c r="GG840">
        <v>10.671439842923585</v>
      </c>
      <c r="GH840">
        <v>12.048644650768038</v>
      </c>
      <c r="GI840">
        <v>39.213186192174319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59.031568287978246</v>
      </c>
      <c r="AO841">
        <v>70.788581145225038</v>
      </c>
      <c r="AP841">
        <v>595.76898781216369</v>
      </c>
      <c r="AQ841">
        <v>216.52212907733079</v>
      </c>
      <c r="AR841">
        <v>67.851543279619108</v>
      </c>
      <c r="AS841">
        <v>309.77331078056494</v>
      </c>
      <c r="AT841">
        <v>30.425127276007331</v>
      </c>
      <c r="AU841">
        <v>7.704730477360572</v>
      </c>
      <c r="AV841"/>
      <c r="AW841"/>
      <c r="FY841" s="210">
        <v>836</v>
      </c>
      <c r="FZ841">
        <v>27.779514312350269</v>
      </c>
      <c r="GA841">
        <v>65.430032267784398</v>
      </c>
      <c r="GB841">
        <v>33.399714743024823</v>
      </c>
      <c r="GC841">
        <v>10.814579045051993</v>
      </c>
      <c r="GD841">
        <v>5.6141379385781658</v>
      </c>
      <c r="GE841">
        <v>5.0634765281042684</v>
      </c>
      <c r="GF841">
        <v>9.2599700977111254</v>
      </c>
      <c r="GG841">
        <v>18.530816323306901</v>
      </c>
      <c r="GH841">
        <v>24.152903800929398</v>
      </c>
      <c r="GI841">
        <v>34.592420011608034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54.623761390305461</v>
      </c>
      <c r="AO842">
        <v>69.746344622774259</v>
      </c>
      <c r="AP842">
        <v>503.39930633858648</v>
      </c>
      <c r="AQ842">
        <v>215.23763909529524</v>
      </c>
      <c r="AR842">
        <v>65.217193672455949</v>
      </c>
      <c r="AS842">
        <v>420.97278376429711</v>
      </c>
      <c r="AT842">
        <v>26.921958083561091</v>
      </c>
      <c r="AU842">
        <v>-9.7364155663824707</v>
      </c>
      <c r="AV842"/>
      <c r="AW842"/>
      <c r="FY842" s="210">
        <v>837</v>
      </c>
      <c r="FZ842">
        <v>26.629395820667185</v>
      </c>
      <c r="GA842">
        <v>68.668546890010589</v>
      </c>
      <c r="GB842">
        <v>43.044736062994943</v>
      </c>
      <c r="GC842">
        <v>13.744299256408022</v>
      </c>
      <c r="GD842">
        <v>6.749389799840003</v>
      </c>
      <c r="GE842">
        <v>5.6667076502728042</v>
      </c>
      <c r="GF842">
        <v>12.604013675429865</v>
      </c>
      <c r="GG842">
        <v>22.161498718733519</v>
      </c>
      <c r="GH842">
        <v>17.696592401029196</v>
      </c>
      <c r="GI842">
        <v>43.280509560513089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44.503579315282877</v>
      </c>
      <c r="AO843">
        <v>71.12034424969454</v>
      </c>
      <c r="AP843">
        <v>585.52059711304287</v>
      </c>
      <c r="AQ843">
        <v>249.82424874565265</v>
      </c>
      <c r="AR843">
        <v>67.300641132825803</v>
      </c>
      <c r="AS843">
        <v>487.93488102402972</v>
      </c>
      <c r="AT843">
        <v>33.714726824007201</v>
      </c>
      <c r="AU843">
        <v>-52.098606721128512</v>
      </c>
      <c r="AV843"/>
      <c r="AW843"/>
      <c r="FY843" s="210">
        <v>838</v>
      </c>
      <c r="FZ843">
        <v>22.921495221294045</v>
      </c>
      <c r="GA843">
        <v>38.176037928639829</v>
      </c>
      <c r="GB843">
        <v>27.170239293403206</v>
      </c>
      <c r="GC843">
        <v>14.283694453652584</v>
      </c>
      <c r="GD843">
        <v>7.1145529247692316</v>
      </c>
      <c r="GE843">
        <v>3.2757755789927852</v>
      </c>
      <c r="GF843">
        <v>9.417733454581553</v>
      </c>
      <c r="GG843">
        <v>16.140273553761322</v>
      </c>
      <c r="GH843">
        <v>18.812840804321496</v>
      </c>
      <c r="GI843">
        <v>30.575896355524225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63.169532939765745</v>
      </c>
      <c r="AO844">
        <v>73.653688160553443</v>
      </c>
      <c r="AP844">
        <v>585.7074763006068</v>
      </c>
      <c r="AQ844">
        <v>232.44253378220162</v>
      </c>
      <c r="AR844">
        <v>69.607306090438485</v>
      </c>
      <c r="AS844">
        <v>327.54618706491294</v>
      </c>
      <c r="AT844">
        <v>26.625717341362563</v>
      </c>
      <c r="AU844">
        <v>33.728146635884499</v>
      </c>
      <c r="AV844"/>
      <c r="AW844"/>
      <c r="FY844" s="210">
        <v>839</v>
      </c>
      <c r="FZ844">
        <v>29.033103410648401</v>
      </c>
      <c r="GA844">
        <v>66.083485510349306</v>
      </c>
      <c r="GB844">
        <v>23.070889462776982</v>
      </c>
      <c r="GC844">
        <v>9.2967594243528886</v>
      </c>
      <c r="GD844">
        <v>6.8789977196656729</v>
      </c>
      <c r="GE844">
        <v>6.4243658265021581</v>
      </c>
      <c r="GF844">
        <v>13.695360649537573</v>
      </c>
      <c r="GG844">
        <v>22.982984238964896</v>
      </c>
      <c r="GH844">
        <v>11.36439088166418</v>
      </c>
      <c r="GI844">
        <v>30.926025198244041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47.724746455588551</v>
      </c>
      <c r="AO845">
        <v>59.329322870302882</v>
      </c>
      <c r="AP845">
        <v>470.8445077623702</v>
      </c>
      <c r="AQ845">
        <v>188.39904993905571</v>
      </c>
      <c r="AR845">
        <v>55.823645362982163</v>
      </c>
      <c r="AS845">
        <v>311.79036364945478</v>
      </c>
      <c r="AT845">
        <v>22.447028162433401</v>
      </c>
      <c r="AU845">
        <v>-1.0652083949811706</v>
      </c>
      <c r="AV845"/>
      <c r="AW845"/>
      <c r="FY845" s="210">
        <v>840</v>
      </c>
      <c r="FZ845">
        <v>41.093509925945902</v>
      </c>
      <c r="GA845">
        <v>66.951523129918812</v>
      </c>
      <c r="GB845">
        <v>27.980708463361811</v>
      </c>
      <c r="GC845">
        <v>9.0865613826493981</v>
      </c>
      <c r="GD845">
        <v>7.2451306333882171</v>
      </c>
      <c r="GE845">
        <v>10.614675769466563</v>
      </c>
      <c r="GF845">
        <v>7.6841667312531277</v>
      </c>
      <c r="GG845">
        <v>12.374050862441266</v>
      </c>
      <c r="GH845">
        <v>13.579219693724948</v>
      </c>
      <c r="GI845">
        <v>33.790386772265116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62.360942408328604</v>
      </c>
      <c r="AO846">
        <v>68.356674354304943</v>
      </c>
      <c r="AP846">
        <v>458.28842689098076</v>
      </c>
      <c r="AQ846">
        <v>205.31316765725899</v>
      </c>
      <c r="AR846">
        <v>63.372813846228894</v>
      </c>
      <c r="AS846">
        <v>321.12763665390628</v>
      </c>
      <c r="AT846">
        <v>25.489297248607986</v>
      </c>
      <c r="AU846">
        <v>12.855870049388891</v>
      </c>
      <c r="AV846"/>
      <c r="AW846"/>
      <c r="FY846" s="210">
        <v>841</v>
      </c>
      <c r="FZ846">
        <v>25.879773140037031</v>
      </c>
      <c r="GA846">
        <v>69.917285016527529</v>
      </c>
      <c r="GB846">
        <v>43.73806924934555</v>
      </c>
      <c r="GC846">
        <v>11.487466009303899</v>
      </c>
      <c r="GD846">
        <v>5.6149199894430399</v>
      </c>
      <c r="GE846">
        <v>6.2885160510719205</v>
      </c>
      <c r="GF846">
        <v>12.024489776475146</v>
      </c>
      <c r="GG846">
        <v>18.469047603794756</v>
      </c>
      <c r="GH846">
        <v>18.481639895236487</v>
      </c>
      <c r="GI846">
        <v>36.765994057624042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48.954242824172425</v>
      </c>
      <c r="AO847">
        <v>56.041531623647757</v>
      </c>
      <c r="AP847">
        <v>475.67413398827506</v>
      </c>
      <c r="AQ847">
        <v>221.6028363450408</v>
      </c>
      <c r="AR847">
        <v>52.066743907582762</v>
      </c>
      <c r="AS847">
        <v>316.25360632050115</v>
      </c>
      <c r="AT847">
        <v>23.538203523766398</v>
      </c>
      <c r="AU847">
        <v>-18.060481501636065</v>
      </c>
      <c r="AV847"/>
      <c r="AW847"/>
      <c r="FY847" s="210">
        <v>842</v>
      </c>
      <c r="FZ847">
        <v>24.771424383893315</v>
      </c>
      <c r="GA847">
        <v>52.890057593598229</v>
      </c>
      <c r="GB847">
        <v>44.656523294150247</v>
      </c>
      <c r="GC847">
        <v>9.2495391424645099</v>
      </c>
      <c r="GD847">
        <v>6.7619032691770693</v>
      </c>
      <c r="GE847">
        <v>10.66333099603521</v>
      </c>
      <c r="GF847">
        <v>7.6635475302441014</v>
      </c>
      <c r="GG847">
        <v>10.282218014436127</v>
      </c>
      <c r="GH847">
        <v>11.333636906277473</v>
      </c>
      <c r="GI847">
        <v>34.235135138754373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69.387848439000393</v>
      </c>
      <c r="AO848">
        <v>70.6091658124991</v>
      </c>
      <c r="AP848">
        <v>526.78740767617569</v>
      </c>
      <c r="AQ848">
        <v>217.63538593906276</v>
      </c>
      <c r="AR848">
        <v>65.464345405981675</v>
      </c>
      <c r="AS848">
        <v>358.1166830449892</v>
      </c>
      <c r="AT848">
        <v>26.812098710382156</v>
      </c>
      <c r="AU848">
        <v>24.474552098133628</v>
      </c>
      <c r="AV848"/>
      <c r="AW848"/>
      <c r="FY848" s="210">
        <v>843</v>
      </c>
      <c r="FZ848">
        <v>23.011915385959067</v>
      </c>
      <c r="GA848">
        <v>49.622359123018661</v>
      </c>
      <c r="GB848">
        <v>35.921105953838328</v>
      </c>
      <c r="GC848">
        <v>10.704932773957955</v>
      </c>
      <c r="GD848">
        <v>7.7377819293908336</v>
      </c>
      <c r="GE848">
        <v>9.8527886777922333</v>
      </c>
      <c r="GF848">
        <v>7.7535730788090289</v>
      </c>
      <c r="GG848">
        <v>11.621605985888664</v>
      </c>
      <c r="GH848">
        <v>12.115197745325123</v>
      </c>
      <c r="GI848">
        <v>33.78534210173946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61.37519583201852</v>
      </c>
      <c r="AO849">
        <v>96.865713632541087</v>
      </c>
      <c r="AP849">
        <v>740.65498039935551</v>
      </c>
      <c r="AQ849">
        <v>289.32420394616156</v>
      </c>
      <c r="AR849">
        <v>89.299915813299876</v>
      </c>
      <c r="AS849">
        <v>533.80845313706402</v>
      </c>
      <c r="AT849">
        <v>36.253713246255714</v>
      </c>
      <c r="AU849">
        <v>-7.3299296276338923</v>
      </c>
      <c r="AV849"/>
      <c r="AW849"/>
      <c r="FY849" s="210">
        <v>844</v>
      </c>
      <c r="FZ849">
        <v>14.903209272224384</v>
      </c>
      <c r="GA849">
        <v>45.647441277626541</v>
      </c>
      <c r="GB849">
        <v>30.294194440982388</v>
      </c>
      <c r="GC849">
        <v>9.8281959682729614</v>
      </c>
      <c r="GD849">
        <v>6.6016271427848672</v>
      </c>
      <c r="GE849">
        <v>8.4980713058765414</v>
      </c>
      <c r="GF849">
        <v>11.550472215719111</v>
      </c>
      <c r="GG849">
        <v>22.302667603950322</v>
      </c>
      <c r="GH849">
        <v>20.323929484388373</v>
      </c>
      <c r="GI849">
        <v>30.5013524133755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54.98040134543902</v>
      </c>
      <c r="AO850">
        <v>67.872749884073784</v>
      </c>
      <c r="AP850">
        <v>505.7814191405738</v>
      </c>
      <c r="AQ850">
        <v>206.54655207842899</v>
      </c>
      <c r="AR850">
        <v>62.148836956099053</v>
      </c>
      <c r="AS850">
        <v>339.85125996886381</v>
      </c>
      <c r="AT850">
        <v>23.758601211577496</v>
      </c>
      <c r="AU850">
        <v>4.9086806819194111</v>
      </c>
      <c r="AV850"/>
      <c r="AW850"/>
      <c r="FY850" s="210">
        <v>845</v>
      </c>
      <c r="FZ850">
        <v>24.621731320835686</v>
      </c>
      <c r="GA850">
        <v>51.222982612891556</v>
      </c>
      <c r="GB850">
        <v>60.317135342150252</v>
      </c>
      <c r="GC850">
        <v>13.81696444854235</v>
      </c>
      <c r="GD850">
        <v>4.9631620787080646</v>
      </c>
      <c r="GE850">
        <v>5.7915413157665698</v>
      </c>
      <c r="GF850">
        <v>14.192205425028845</v>
      </c>
      <c r="GG850">
        <v>18.927324768850436</v>
      </c>
      <c r="GH850">
        <v>5.4801105872412412</v>
      </c>
      <c r="GI850">
        <v>41.595065614768906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68.179555695907041</v>
      </c>
      <c r="AO851">
        <v>84.291874485899626</v>
      </c>
      <c r="AP851">
        <v>556.53275187215729</v>
      </c>
      <c r="AQ851">
        <v>230.33073904209425</v>
      </c>
      <c r="AR851">
        <v>78.389411451062713</v>
      </c>
      <c r="AS851">
        <v>405.7940998023326</v>
      </c>
      <c r="AT851">
        <v>28.540393122594022</v>
      </c>
      <c r="AU851">
        <v>-12.496407990881947</v>
      </c>
      <c r="AV851"/>
      <c r="AW851"/>
      <c r="FY851" s="210">
        <v>846</v>
      </c>
      <c r="FZ851">
        <v>30.890492064265619</v>
      </c>
      <c r="GA851">
        <v>59.399468967399471</v>
      </c>
      <c r="GB851">
        <v>50.346014171236028</v>
      </c>
      <c r="GC851">
        <v>14.38186222001538</v>
      </c>
      <c r="GD851">
        <v>6.1960628676304905</v>
      </c>
      <c r="GE851">
        <v>6.9174517475756607</v>
      </c>
      <c r="GF851">
        <v>5.8056713539798865</v>
      </c>
      <c r="GG851">
        <v>12.963509508527222</v>
      </c>
      <c r="GH851">
        <v>14.487168817614945</v>
      </c>
      <c r="GI851">
        <v>40.959000149537921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57.496696534157124</v>
      </c>
      <c r="AO852">
        <v>74.872861318474733</v>
      </c>
      <c r="AP852">
        <v>578.25728355033584</v>
      </c>
      <c r="AQ852">
        <v>234.63756506844939</v>
      </c>
      <c r="AR852">
        <v>70.057725646377534</v>
      </c>
      <c r="AS852">
        <v>373.12351439620448</v>
      </c>
      <c r="AT852">
        <v>27.65790720396447</v>
      </c>
      <c r="AU852">
        <v>7.7759971453134851</v>
      </c>
      <c r="AV852"/>
      <c r="AW852"/>
      <c r="FY852" s="210">
        <v>847</v>
      </c>
      <c r="FZ852">
        <v>22.37359797012752</v>
      </c>
      <c r="GA852">
        <v>63.527782899692994</v>
      </c>
      <c r="GB852">
        <v>35.768869947492234</v>
      </c>
      <c r="GC852">
        <v>11.119942256374159</v>
      </c>
      <c r="GD852">
        <v>6.1769742560136178</v>
      </c>
      <c r="GE852">
        <v>5.8810447115464131</v>
      </c>
      <c r="GF852">
        <v>9.8524711126635793</v>
      </c>
      <c r="GG852">
        <v>17.58846799984045</v>
      </c>
      <c r="GH852">
        <v>15.928777613405821</v>
      </c>
      <c r="GI852">
        <v>33.515164593397827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65.919731549342998</v>
      </c>
      <c r="AO853">
        <v>93.48211331105621</v>
      </c>
      <c r="AP853">
        <v>650.85961884978963</v>
      </c>
      <c r="AQ853">
        <v>260.24568983589921</v>
      </c>
      <c r="AR853">
        <v>85.991211261134453</v>
      </c>
      <c r="AS853">
        <v>434.41031789157626</v>
      </c>
      <c r="AT853">
        <v>33.782818111653278</v>
      </c>
      <c r="AU853">
        <v>0.93144294860251087</v>
      </c>
      <c r="AV853"/>
      <c r="AW853"/>
      <c r="FY853" s="210">
        <v>848</v>
      </c>
      <c r="FZ853">
        <v>25.174914317933563</v>
      </c>
      <c r="GA853">
        <v>49.112076174975485</v>
      </c>
      <c r="GB853">
        <v>41.080776619284272</v>
      </c>
      <c r="GC853">
        <v>8.8945315715730224</v>
      </c>
      <c r="GD853">
        <v>6.2884254106725699</v>
      </c>
      <c r="GE853">
        <v>9.7731758475667085</v>
      </c>
      <c r="GF853">
        <v>6.9303212037279005</v>
      </c>
      <c r="GG853">
        <v>12.886757189773849</v>
      </c>
      <c r="GH853">
        <v>21.805445526457909</v>
      </c>
      <c r="GI853">
        <v>34.998686705561056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48.040130598430146</v>
      </c>
      <c r="AO854">
        <v>62.44928160482457</v>
      </c>
      <c r="AP854">
        <v>420.95923536248898</v>
      </c>
      <c r="AQ854">
        <v>187.88853956894027</v>
      </c>
      <c r="AR854">
        <v>58.908613938806319</v>
      </c>
      <c r="AS854">
        <v>370.88912195231029</v>
      </c>
      <c r="AT854">
        <v>23.901658969454445</v>
      </c>
      <c r="AU854">
        <v>-13.357348074903818</v>
      </c>
      <c r="AV854"/>
      <c r="AW854"/>
      <c r="FY854" s="210">
        <v>849</v>
      </c>
      <c r="FZ854">
        <v>24.131506032454531</v>
      </c>
      <c r="GA854">
        <v>48.29453936692844</v>
      </c>
      <c r="GB854">
        <v>32.30258179096451</v>
      </c>
      <c r="GC854">
        <v>8.1030934336320932</v>
      </c>
      <c r="GD854">
        <v>6.2667970170547109</v>
      </c>
      <c r="GE854">
        <v>10.214720837045547</v>
      </c>
      <c r="GF854">
        <v>19.160765583581505</v>
      </c>
      <c r="GG854">
        <v>25.935593546216687</v>
      </c>
      <c r="GH854">
        <v>8.20107377784751</v>
      </c>
      <c r="GI854">
        <v>35.148094727454399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49.279962195478717</v>
      </c>
      <c r="AO855">
        <v>64.519714718903899</v>
      </c>
      <c r="AP855">
        <v>506.53342734964633</v>
      </c>
      <c r="AQ855">
        <v>219.75636232270611</v>
      </c>
      <c r="AR855">
        <v>60.405095879534514</v>
      </c>
      <c r="AS855">
        <v>440.90244096604846</v>
      </c>
      <c r="AT855">
        <v>28.915725904688358</v>
      </c>
      <c r="AU855">
        <v>17.976886188510086</v>
      </c>
      <c r="AV855"/>
      <c r="AW855"/>
      <c r="FY855" s="210">
        <v>850</v>
      </c>
      <c r="FZ855">
        <v>19.664879412183737</v>
      </c>
      <c r="GA855">
        <v>39.556511753217087</v>
      </c>
      <c r="GB855">
        <v>17.300370828259833</v>
      </c>
      <c r="GC855">
        <v>6.7319105959003478</v>
      </c>
      <c r="GD855">
        <v>5.0874684528096061</v>
      </c>
      <c r="GE855">
        <v>6.5714060249482271</v>
      </c>
      <c r="GF855">
        <v>9.1941692591120123</v>
      </c>
      <c r="GG855">
        <v>20.873141392228231</v>
      </c>
      <c r="GH855">
        <v>28.188899934337282</v>
      </c>
      <c r="GI855">
        <v>22.937173689661787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67.918119552980983</v>
      </c>
      <c r="AO856">
        <v>73.20243798196465</v>
      </c>
      <c r="AP856">
        <v>558.82895680131139</v>
      </c>
      <c r="AQ856">
        <v>230.39993336441518</v>
      </c>
      <c r="AR856">
        <v>70.745155784924819</v>
      </c>
      <c r="AS856">
        <v>339.86006934725322</v>
      </c>
      <c r="AT856">
        <v>29.391750716399144</v>
      </c>
      <c r="AU856">
        <v>135.22810589316671</v>
      </c>
      <c r="AV856"/>
      <c r="AW856"/>
      <c r="FY856" s="210">
        <v>851</v>
      </c>
      <c r="FZ856">
        <v>12.31244806958977</v>
      </c>
      <c r="GA856">
        <v>37.592814052380184</v>
      </c>
      <c r="GB856">
        <v>32.131264075013981</v>
      </c>
      <c r="GC856">
        <v>10.921727232758451</v>
      </c>
      <c r="GD856">
        <v>5.8925207143538252</v>
      </c>
      <c r="GE856">
        <v>6.7862820536327213</v>
      </c>
      <c r="GF856">
        <v>9.119403055109899</v>
      </c>
      <c r="GG856">
        <v>9.679095548197564</v>
      </c>
      <c r="GH856">
        <v>5.9072669029843361</v>
      </c>
      <c r="GI856">
        <v>25.535787698585779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54.224596739099809</v>
      </c>
      <c r="AO857">
        <v>78.84545982166982</v>
      </c>
      <c r="AP857">
        <v>631.44820542071636</v>
      </c>
      <c r="AQ857">
        <v>248.66720078885942</v>
      </c>
      <c r="AR857">
        <v>75.25393176520771</v>
      </c>
      <c r="AS857">
        <v>430.66015788388523</v>
      </c>
      <c r="AT857">
        <v>30.977520563491016</v>
      </c>
      <c r="AU857">
        <v>-27.500013450463005</v>
      </c>
      <c r="AV857"/>
      <c r="AW857"/>
      <c r="FY857" s="210">
        <v>852</v>
      </c>
      <c r="FZ857">
        <v>25.320738892015143</v>
      </c>
      <c r="GA857">
        <v>46.621831241288042</v>
      </c>
      <c r="GB857">
        <v>25.282514214705223</v>
      </c>
      <c r="GC857">
        <v>11.071617434612923</v>
      </c>
      <c r="GD857">
        <v>5.6549650524071993</v>
      </c>
      <c r="GE857">
        <v>4.1966339195310143</v>
      </c>
      <c r="GF857">
        <v>11.379528527978158</v>
      </c>
      <c r="GG857">
        <v>20.27621796485953</v>
      </c>
      <c r="GH857">
        <v>21.054328329196082</v>
      </c>
      <c r="GI857">
        <v>31.002353578382017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56.487057278234559</v>
      </c>
      <c r="AO858">
        <v>73.749790259228121</v>
      </c>
      <c r="AP858">
        <v>546.24967583206717</v>
      </c>
      <c r="AQ858">
        <v>212.50731626903064</v>
      </c>
      <c r="AR858">
        <v>69.171865538154293</v>
      </c>
      <c r="AS858">
        <v>336.26983199192665</v>
      </c>
      <c r="AT858">
        <v>25.817246131648915</v>
      </c>
      <c r="AU858">
        <v>87.748397924888565</v>
      </c>
      <c r="AV858"/>
      <c r="AW858"/>
      <c r="FY858" s="210">
        <v>853</v>
      </c>
      <c r="FZ858">
        <v>29.906441549960331</v>
      </c>
      <c r="GA858">
        <v>60.999939287876479</v>
      </c>
      <c r="GB858">
        <v>25.514741496532064</v>
      </c>
      <c r="GC858">
        <v>11.459889713268831</v>
      </c>
      <c r="GD858">
        <v>8.0328852932138197</v>
      </c>
      <c r="GE858">
        <v>5.9854586658095128</v>
      </c>
      <c r="GF858">
        <v>4.265941944385613</v>
      </c>
      <c r="GG858">
        <v>12.996542582027178</v>
      </c>
      <c r="GH858">
        <v>19.889553160631241</v>
      </c>
      <c r="GI858">
        <v>30.131449514137632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55.662254679675662</v>
      </c>
      <c r="AO859">
        <v>70.864669690842078</v>
      </c>
      <c r="AP859">
        <v>472.87496467008208</v>
      </c>
      <c r="AQ859">
        <v>202.12660275571938</v>
      </c>
      <c r="AR859">
        <v>65.829939542302483</v>
      </c>
      <c r="AS859">
        <v>302.80709817136295</v>
      </c>
      <c r="AT859">
        <v>24.285490632300636</v>
      </c>
      <c r="AU859">
        <v>0.26043357475472639</v>
      </c>
      <c r="AV859"/>
      <c r="AW859"/>
      <c r="FY859" s="210">
        <v>854</v>
      </c>
      <c r="FZ859">
        <v>16.225059766365543</v>
      </c>
      <c r="GA859">
        <v>55.836481212688042</v>
      </c>
      <c r="GB859">
        <v>20.35928857330498</v>
      </c>
      <c r="GC859">
        <v>4.2031183933281069</v>
      </c>
      <c r="GD859">
        <v>5.0182007522485126</v>
      </c>
      <c r="GE859">
        <v>6.5591202684951453</v>
      </c>
      <c r="GF859">
        <v>9.0039963934900094</v>
      </c>
      <c r="GG859">
        <v>25.491612145055036</v>
      </c>
      <c r="GH859">
        <v>33.260343051531137</v>
      </c>
      <c r="GI859">
        <v>25.87978638357027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49.031365439480815</v>
      </c>
      <c r="AO860">
        <v>67.603976476154713</v>
      </c>
      <c r="AP860">
        <v>531.73571281584304</v>
      </c>
      <c r="AQ860">
        <v>200.451161125201</v>
      </c>
      <c r="AR860">
        <v>63.577008822818563</v>
      </c>
      <c r="AS860">
        <v>394.04830619026154</v>
      </c>
      <c r="AT860">
        <v>26.431090436328656</v>
      </c>
      <c r="AU860">
        <v>-14.124119823448384</v>
      </c>
      <c r="AV860"/>
      <c r="AW860"/>
      <c r="FY860" s="210">
        <v>855</v>
      </c>
      <c r="FZ860">
        <v>30.200596886678778</v>
      </c>
      <c r="GA860">
        <v>57.627209591212157</v>
      </c>
      <c r="GB860">
        <v>23.779967596023152</v>
      </c>
      <c r="GC860">
        <v>7.7056826879459468</v>
      </c>
      <c r="GD860">
        <v>5.3798661656621611</v>
      </c>
      <c r="GE860">
        <v>8.202141865857886</v>
      </c>
      <c r="GF860">
        <v>11.24922734414362</v>
      </c>
      <c r="GG860">
        <v>16.791444286784554</v>
      </c>
      <c r="GH860">
        <v>18.549037515394087</v>
      </c>
      <c r="GI860">
        <v>24.720262892990618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54.826028473098155</v>
      </c>
      <c r="AO861">
        <v>93.242408460820471</v>
      </c>
      <c r="AP861">
        <v>710.87359173377592</v>
      </c>
      <c r="AQ861">
        <v>240.92822351478392</v>
      </c>
      <c r="AR861">
        <v>86.897591022906923</v>
      </c>
      <c r="AS861">
        <v>557.1349956988347</v>
      </c>
      <c r="AT861">
        <v>35.666142682360054</v>
      </c>
      <c r="AU861">
        <v>-74.362495214179006</v>
      </c>
      <c r="AV861"/>
      <c r="AW861"/>
      <c r="FY861" s="210">
        <v>856</v>
      </c>
      <c r="FZ861">
        <v>27.105827129764542</v>
      </c>
      <c r="GA861">
        <v>53.128290214493674</v>
      </c>
      <c r="GB861">
        <v>23.416698434605848</v>
      </c>
      <c r="GC861">
        <v>8.6932925747561782</v>
      </c>
      <c r="GD861">
        <v>6.1150763208186394</v>
      </c>
      <c r="GE861">
        <v>5.5123822645105802</v>
      </c>
      <c r="GF861">
        <v>6.7347593229695404</v>
      </c>
      <c r="GG861">
        <v>25.183584459692835</v>
      </c>
      <c r="GH861">
        <v>38.902869228421984</v>
      </c>
      <c r="GI861">
        <v>30.134507481632294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75.211773972967649</v>
      </c>
      <c r="AO862">
        <v>89.50422356562467</v>
      </c>
      <c r="AP862">
        <v>612.42881741235885</v>
      </c>
      <c r="AQ862">
        <v>242.34670186778263</v>
      </c>
      <c r="AR862">
        <v>83.861375971927785</v>
      </c>
      <c r="AS862">
        <v>570.53637288845937</v>
      </c>
      <c r="AT862">
        <v>30.966501067654264</v>
      </c>
      <c r="AU862">
        <v>-9.729082554205764</v>
      </c>
      <c r="AV862"/>
      <c r="AW862"/>
      <c r="FY862" s="210">
        <v>857</v>
      </c>
      <c r="FZ862">
        <v>25.89421388830522</v>
      </c>
      <c r="GA862">
        <v>51.897927745762736</v>
      </c>
      <c r="GB862">
        <v>40.028062852005988</v>
      </c>
      <c r="GC862">
        <v>13.618548925943147</v>
      </c>
      <c r="GD862">
        <v>5.9482829784871214</v>
      </c>
      <c r="GE862">
        <v>5.2299938083722335</v>
      </c>
      <c r="GF862">
        <v>9.4508238701972278</v>
      </c>
      <c r="GG862">
        <v>12.254630761491539</v>
      </c>
      <c r="GH862">
        <v>9.4151944259053284</v>
      </c>
      <c r="GI862">
        <v>34.626967122050623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51.881836146698255</v>
      </c>
      <c r="AO863">
        <v>73.475440871192831</v>
      </c>
      <c r="AP863">
        <v>554.92020741254953</v>
      </c>
      <c r="AQ863">
        <v>221.73309336055462</v>
      </c>
      <c r="AR863">
        <v>68.166073148796031</v>
      </c>
      <c r="AS863">
        <v>333.34009096982737</v>
      </c>
      <c r="AT863">
        <v>27.413798614475922</v>
      </c>
      <c r="AU863">
        <v>13.495331427927884</v>
      </c>
      <c r="AV863"/>
      <c r="AW863"/>
      <c r="FY863" s="210">
        <v>858</v>
      </c>
      <c r="FZ863">
        <v>16.133552554894106</v>
      </c>
      <c r="GA863">
        <v>45.265409702180591</v>
      </c>
      <c r="GB863">
        <v>31.087785456643175</v>
      </c>
      <c r="GC863">
        <v>10.388297098185967</v>
      </c>
      <c r="GD863">
        <v>8.2568855090197335</v>
      </c>
      <c r="GE863">
        <v>10.078050770938058</v>
      </c>
      <c r="GF863">
        <v>4.0735604668858549</v>
      </c>
      <c r="GG863">
        <v>15.315914828768525</v>
      </c>
      <c r="GH863">
        <v>29.235687560354201</v>
      </c>
      <c r="GI863">
        <v>33.058419074410502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47.903705669151407</v>
      </c>
      <c r="AO864">
        <v>75.69570687730257</v>
      </c>
      <c r="AP864">
        <v>543.50395989675212</v>
      </c>
      <c r="AQ864">
        <v>216.94511056752634</v>
      </c>
      <c r="AR864">
        <v>70.848543644873843</v>
      </c>
      <c r="AS864">
        <v>328.4644628411699</v>
      </c>
      <c r="AT864">
        <v>29.1392076201831</v>
      </c>
      <c r="AU864">
        <v>-35.530726800517868</v>
      </c>
      <c r="AV864"/>
      <c r="AW864"/>
      <c r="FY864" s="210">
        <v>859</v>
      </c>
      <c r="FZ864">
        <v>16.405523856551071</v>
      </c>
      <c r="GA864">
        <v>63.396645960423527</v>
      </c>
      <c r="GB864">
        <v>34.866352908763723</v>
      </c>
      <c r="GC864">
        <v>11.293077788763293</v>
      </c>
      <c r="GD864">
        <v>6.9634808688869896</v>
      </c>
      <c r="GE864">
        <v>7.5376179539432027</v>
      </c>
      <c r="GF864">
        <v>10.763127956968853</v>
      </c>
      <c r="GG864">
        <v>18.654283873232188</v>
      </c>
      <c r="GH864">
        <v>17.515756183221193</v>
      </c>
      <c r="GI864">
        <v>34.251322525650686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50.339789885742213</v>
      </c>
      <c r="AO865">
        <v>78.417820005162966</v>
      </c>
      <c r="AP865">
        <v>616.06121646349254</v>
      </c>
      <c r="AQ865">
        <v>217.75876611317995</v>
      </c>
      <c r="AR865">
        <v>74.858760370291208</v>
      </c>
      <c r="AS865">
        <v>367.52397649202283</v>
      </c>
      <c r="AT865">
        <v>33.565607789432399</v>
      </c>
      <c r="AU865">
        <v>76.857245550781613</v>
      </c>
      <c r="AV865"/>
      <c r="AW865"/>
      <c r="FY865" s="210">
        <v>860</v>
      </c>
      <c r="FZ865">
        <v>15.275593993897644</v>
      </c>
      <c r="GA865">
        <v>42.815890610659288</v>
      </c>
      <c r="GB865">
        <v>30.416672252528535</v>
      </c>
      <c r="GC865">
        <v>12.235630899868388</v>
      </c>
      <c r="GD865">
        <v>8.6625365218621688</v>
      </c>
      <c r="GE865">
        <v>7.7414746080078505</v>
      </c>
      <c r="GF865">
        <v>8.1435276465914122</v>
      </c>
      <c r="GG865">
        <v>14.428591413164053</v>
      </c>
      <c r="GH865">
        <v>16.838919495115448</v>
      </c>
      <c r="GI865">
        <v>30.637464450701675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46.175940034877343</v>
      </c>
      <c r="AO866">
        <v>46.426935307548355</v>
      </c>
      <c r="AP866">
        <v>382.69128375758032</v>
      </c>
      <c r="AQ866">
        <v>176.10593134265815</v>
      </c>
      <c r="AR866">
        <v>45.148550733479119</v>
      </c>
      <c r="AS866">
        <v>244.51673055978404</v>
      </c>
      <c r="AT866">
        <v>19.547694542337805</v>
      </c>
      <c r="AU866">
        <v>22.410484014143584</v>
      </c>
      <c r="AV866"/>
      <c r="AW866"/>
      <c r="FY866" s="210">
        <v>861</v>
      </c>
      <c r="FZ866">
        <v>18.083627492749411</v>
      </c>
      <c r="GA866">
        <v>49.249583536792372</v>
      </c>
      <c r="GB866">
        <v>29.07123025842612</v>
      </c>
      <c r="GC866">
        <v>7.8282045116521557</v>
      </c>
      <c r="GD866">
        <v>8.6855109255522365</v>
      </c>
      <c r="GE866">
        <v>13.691261543275029</v>
      </c>
      <c r="GF866">
        <v>7.8682829050899743</v>
      </c>
      <c r="GG866">
        <v>8.4748679645226233</v>
      </c>
      <c r="GH866">
        <v>9.8341180820717931</v>
      </c>
      <c r="GI866">
        <v>28.582509696020228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54.621771498550594</v>
      </c>
      <c r="AO867">
        <v>53.738459735533013</v>
      </c>
      <c r="AP867">
        <v>387.05730675217688</v>
      </c>
      <c r="AQ867">
        <v>155.87860940260651</v>
      </c>
      <c r="AR867">
        <v>49.817171297212134</v>
      </c>
      <c r="AS867">
        <v>301.29632686375299</v>
      </c>
      <c r="AT867">
        <v>19.034032732773046</v>
      </c>
      <c r="AU867">
        <v>29.709201607415125</v>
      </c>
      <c r="AV867"/>
      <c r="AW867"/>
      <c r="FY867" s="210">
        <v>862</v>
      </c>
      <c r="FZ867">
        <v>19.550043675538809</v>
      </c>
      <c r="GA867">
        <v>71.825936225784076</v>
      </c>
      <c r="GB867">
        <v>43.183401017092557</v>
      </c>
      <c r="GC867">
        <v>13.435228167394932</v>
      </c>
      <c r="GD867">
        <v>10.21290508799003</v>
      </c>
      <c r="GE867">
        <v>12.979214809133675</v>
      </c>
      <c r="GF867">
        <v>13.18305305706204</v>
      </c>
      <c r="GG867">
        <v>19.05971885047245</v>
      </c>
      <c r="GH867">
        <v>13.953441719414835</v>
      </c>
      <c r="GI867">
        <v>40.452079957411875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59.541695009446087</v>
      </c>
      <c r="AO868">
        <v>63.796751501880621</v>
      </c>
      <c r="AP868">
        <v>460.21823780332966</v>
      </c>
      <c r="AQ868">
        <v>201.86072915497536</v>
      </c>
      <c r="AR868">
        <v>60.312382785476764</v>
      </c>
      <c r="AS868">
        <v>424.54401750488984</v>
      </c>
      <c r="AT868">
        <v>26.082552913997247</v>
      </c>
      <c r="AU868">
        <v>7.2582003016380909</v>
      </c>
      <c r="AV868"/>
      <c r="AW868"/>
      <c r="FY868" s="210">
        <v>863</v>
      </c>
      <c r="FZ868">
        <v>23.128325212837879</v>
      </c>
      <c r="GA868">
        <v>101.48376308759805</v>
      </c>
      <c r="GB868">
        <v>48.040477175190389</v>
      </c>
      <c r="GC868">
        <v>9.2758511799100649</v>
      </c>
      <c r="GD868">
        <v>6.8422142565955291</v>
      </c>
      <c r="GE868">
        <v>9.5573965507799823</v>
      </c>
      <c r="GF868">
        <v>8.9915538526775567</v>
      </c>
      <c r="GG868">
        <v>15.725350543647641</v>
      </c>
      <c r="GH868">
        <v>19.732234191832013</v>
      </c>
      <c r="GI868">
        <v>38.752227534731588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64.176356921905622</v>
      </c>
      <c r="AO869">
        <v>61.235142242966425</v>
      </c>
      <c r="AP869">
        <v>419.75337283380657</v>
      </c>
      <c r="AQ869">
        <v>209.18284320784272</v>
      </c>
      <c r="AR869">
        <v>57.035921802428177</v>
      </c>
      <c r="AS869">
        <v>348.4088695388885</v>
      </c>
      <c r="AT869">
        <v>21.319905044042549</v>
      </c>
      <c r="AU869">
        <v>6.996427346103645</v>
      </c>
      <c r="AV869"/>
      <c r="AW869"/>
      <c r="FY869" s="210">
        <v>864</v>
      </c>
      <c r="FZ869">
        <v>25.570781941806423</v>
      </c>
      <c r="GA869">
        <v>66.843237479521221</v>
      </c>
      <c r="GB869">
        <v>27.771448387373958</v>
      </c>
      <c r="GC869">
        <v>6.7758854178440675</v>
      </c>
      <c r="GD869">
        <v>2.8005076198111167</v>
      </c>
      <c r="GE869">
        <v>2.8746981884049374</v>
      </c>
      <c r="GF869">
        <v>11.258714572180949</v>
      </c>
      <c r="GG869">
        <v>16.045709366285298</v>
      </c>
      <c r="GH869">
        <v>14.139811818528811</v>
      </c>
      <c r="GI869">
        <v>23.534334331942915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41.858436366377049</v>
      </c>
      <c r="AO870">
        <v>53.860877428546019</v>
      </c>
      <c r="AP870">
        <v>455.80712085349302</v>
      </c>
      <c r="AQ870">
        <v>201.83700694007678</v>
      </c>
      <c r="AR870">
        <v>49.953902327909162</v>
      </c>
      <c r="AS870">
        <v>242.47145714227227</v>
      </c>
      <c r="AT870">
        <v>22.454119123527263</v>
      </c>
      <c r="AU870">
        <v>-39.825005533798183</v>
      </c>
      <c r="AV870"/>
      <c r="AW870"/>
      <c r="FY870" s="210">
        <v>865</v>
      </c>
      <c r="FZ870">
        <v>22.711477918054904</v>
      </c>
      <c r="GA870">
        <v>43.163783799301896</v>
      </c>
      <c r="GB870">
        <v>21.188073785100524</v>
      </c>
      <c r="GC870">
        <v>8.1128409720378301</v>
      </c>
      <c r="GD870">
        <v>4.4304430177831815</v>
      </c>
      <c r="GE870">
        <v>4.6933369968678376</v>
      </c>
      <c r="GF870">
        <v>10.392617590382054</v>
      </c>
      <c r="GG870">
        <v>14.417235851450753</v>
      </c>
      <c r="GH870">
        <v>11.977011687501429</v>
      </c>
      <c r="GI870">
        <v>24.073356118194738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49.713483830963312</v>
      </c>
      <c r="AO871">
        <v>48.259925998219806</v>
      </c>
      <c r="AP871">
        <v>407.69844293406953</v>
      </c>
      <c r="AQ871">
        <v>204.20543683269295</v>
      </c>
      <c r="AR871">
        <v>45.848452134680166</v>
      </c>
      <c r="AS871">
        <v>255.41877214936639</v>
      </c>
      <c r="AT871">
        <v>21.335138888989999</v>
      </c>
      <c r="AU871">
        <v>16.152791757205559</v>
      </c>
      <c r="AV871"/>
      <c r="AW871"/>
      <c r="FY871" s="210">
        <v>866</v>
      </c>
      <c r="FZ871">
        <v>17.489997133328057</v>
      </c>
      <c r="GA871">
        <v>53.497167479391344</v>
      </c>
      <c r="GB871">
        <v>44.009696786639964</v>
      </c>
      <c r="GC871">
        <v>13.206014666448645</v>
      </c>
      <c r="GD871">
        <v>8.0400689026432008</v>
      </c>
      <c r="GE871">
        <v>8.4518078988379983</v>
      </c>
      <c r="GF871">
        <v>10.399376228177996</v>
      </c>
      <c r="GG871">
        <v>20.016432090432858</v>
      </c>
      <c r="GH871">
        <v>24.225123172067274</v>
      </c>
      <c r="GI871">
        <v>41.753682737984619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58.173633984702498</v>
      </c>
      <c r="AO872">
        <v>62.883136825025971</v>
      </c>
      <c r="AP872">
        <v>509.98684440379532</v>
      </c>
      <c r="AQ872">
        <v>224.92728743166612</v>
      </c>
      <c r="AR872">
        <v>60.2784570755245</v>
      </c>
      <c r="AS872">
        <v>314.45521643983608</v>
      </c>
      <c r="AT872">
        <v>24.531991612202461</v>
      </c>
      <c r="AU872">
        <v>-14.590025372847343</v>
      </c>
      <c r="AV872"/>
      <c r="AW872"/>
      <c r="FY872" s="210">
        <v>867</v>
      </c>
      <c r="FZ872">
        <v>18.618009874316076</v>
      </c>
      <c r="GA872">
        <v>59.710933847788922</v>
      </c>
      <c r="GB872">
        <v>33.45492290614056</v>
      </c>
      <c r="GC872">
        <v>9.1991384951330364</v>
      </c>
      <c r="GD872">
        <v>4.4806317857624061</v>
      </c>
      <c r="GE872">
        <v>4.6271906255672333</v>
      </c>
      <c r="GF872">
        <v>10.618000655498113</v>
      </c>
      <c r="GG872">
        <v>12.291843673881797</v>
      </c>
      <c r="GH872">
        <v>9.4368860711417604</v>
      </c>
      <c r="GI872">
        <v>26.695943197258579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65.593297224826557</v>
      </c>
      <c r="AO873">
        <v>73.144297861776664</v>
      </c>
      <c r="AP873">
        <v>508.42369310460549</v>
      </c>
      <c r="AQ873">
        <v>208.36464637852117</v>
      </c>
      <c r="AR873">
        <v>68.073971602831179</v>
      </c>
      <c r="AS873">
        <v>372.37514519087114</v>
      </c>
      <c r="AT873">
        <v>25.270108265551269</v>
      </c>
      <c r="AU873">
        <v>0.65805186752614553</v>
      </c>
      <c r="AV873"/>
      <c r="AW873"/>
      <c r="FY873" s="210">
        <v>868</v>
      </c>
      <c r="FZ873">
        <v>19.085632579259606</v>
      </c>
      <c r="GA873">
        <v>82.084957529606967</v>
      </c>
      <c r="GB873">
        <v>42.301860226352581</v>
      </c>
      <c r="GC873">
        <v>9.9037149463085346</v>
      </c>
      <c r="GD873">
        <v>5.2015355390313118</v>
      </c>
      <c r="GE873">
        <v>5.9403336016397699</v>
      </c>
      <c r="GF873">
        <v>10.957790150743994</v>
      </c>
      <c r="GG873">
        <v>18.528798067550063</v>
      </c>
      <c r="GH873">
        <v>18.452666100551919</v>
      </c>
      <c r="GI873">
        <v>33.514917954709283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51.164423053542997</v>
      </c>
      <c r="AO874">
        <v>70.7343771414684</v>
      </c>
      <c r="AP874">
        <v>478.46785127789258</v>
      </c>
      <c r="AQ874">
        <v>202.89356302228072</v>
      </c>
      <c r="AR874">
        <v>65.331044311195058</v>
      </c>
      <c r="AS874">
        <v>371.61104508675504</v>
      </c>
      <c r="AT874">
        <v>26.553487887274795</v>
      </c>
      <c r="AU874">
        <v>-38.311805019834246</v>
      </c>
      <c r="AV874"/>
      <c r="AW874"/>
      <c r="FY874" s="210">
        <v>869</v>
      </c>
      <c r="FZ874">
        <v>18.931871756228052</v>
      </c>
      <c r="GA874">
        <v>35.039985114074746</v>
      </c>
      <c r="GB874">
        <v>40.253094013446884</v>
      </c>
      <c r="GC874">
        <v>12.38155892244454</v>
      </c>
      <c r="GD874">
        <v>7.5820477360693381</v>
      </c>
      <c r="GE874">
        <v>9.541234859265785</v>
      </c>
      <c r="GF874">
        <v>10.995021860824801</v>
      </c>
      <c r="GG874">
        <v>15.856447943450151</v>
      </c>
      <c r="GH874">
        <v>8.3404686190370221</v>
      </c>
      <c r="GI874">
        <v>33.489025148480366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56.871230960513323</v>
      </c>
      <c r="AO875">
        <v>72.054246919358121</v>
      </c>
      <c r="AP875">
        <v>534.91900845992234</v>
      </c>
      <c r="AQ875">
        <v>221.64718987640472</v>
      </c>
      <c r="AR875">
        <v>67.866732236517151</v>
      </c>
      <c r="AS875">
        <v>398.74965871995494</v>
      </c>
      <c r="AT875">
        <v>26.614128516483216</v>
      </c>
      <c r="AU875">
        <v>7.9788932516699882</v>
      </c>
      <c r="AV875"/>
      <c r="AW875"/>
      <c r="FY875" s="210">
        <v>870</v>
      </c>
      <c r="FZ875">
        <v>29.341736584995285</v>
      </c>
      <c r="GA875">
        <v>59.586718780838503</v>
      </c>
      <c r="GB875">
        <v>41.20224613955137</v>
      </c>
      <c r="GC875">
        <v>13.20601739961365</v>
      </c>
      <c r="GD875">
        <v>9.0721121257571156</v>
      </c>
      <c r="GE875">
        <v>11.724660799217091</v>
      </c>
      <c r="GF875">
        <v>7.3654102554354512</v>
      </c>
      <c r="GG875">
        <v>16.833304586659224</v>
      </c>
      <c r="GH875">
        <v>21.637865190166295</v>
      </c>
      <c r="GI875">
        <v>38.08710904137827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48.916957581514389</v>
      </c>
      <c r="AO876">
        <v>64.171206318886362</v>
      </c>
      <c r="AP876">
        <v>446.78608359246982</v>
      </c>
      <c r="AQ876">
        <v>187.19630189239646</v>
      </c>
      <c r="AR876">
        <v>59.48162038012272</v>
      </c>
      <c r="AS876">
        <v>394.10311441371056</v>
      </c>
      <c r="AT876">
        <v>24.227515487189553</v>
      </c>
      <c r="AU876">
        <v>-2.6240153059775695</v>
      </c>
      <c r="AV876"/>
      <c r="AW876"/>
      <c r="FY876" s="210">
        <v>871</v>
      </c>
      <c r="FZ876">
        <v>26.740746355524418</v>
      </c>
      <c r="GA876">
        <v>57.295749513872195</v>
      </c>
      <c r="GB876">
        <v>30.226115073574807</v>
      </c>
      <c r="GC876">
        <v>9.9666843863156078</v>
      </c>
      <c r="GD876">
        <v>4.5973746067546628</v>
      </c>
      <c r="GE876">
        <v>3.9204135376276001</v>
      </c>
      <c r="GF876">
        <v>7.4580504821325651</v>
      </c>
      <c r="GG876">
        <v>14.473704123334175</v>
      </c>
      <c r="GH876">
        <v>18.174277134295284</v>
      </c>
      <c r="GI876">
        <v>28.160559314378528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57.613189433406795</v>
      </c>
      <c r="AO877">
        <v>59.516422138718418</v>
      </c>
      <c r="AP877">
        <v>416.60118111717861</v>
      </c>
      <c r="AQ877">
        <v>181.36919691615194</v>
      </c>
      <c r="AR877">
        <v>55.794508079745547</v>
      </c>
      <c r="AS877">
        <v>289.44640142128662</v>
      </c>
      <c r="AT877">
        <v>21.217813243855137</v>
      </c>
      <c r="AU877">
        <v>-21.403752286511441</v>
      </c>
      <c r="AV877"/>
      <c r="AW877"/>
      <c r="FY877" s="210">
        <v>872</v>
      </c>
      <c r="FZ877">
        <v>25.318370044051939</v>
      </c>
      <c r="GA877">
        <v>46.006325947336514</v>
      </c>
      <c r="GB877">
        <v>30.451210971521238</v>
      </c>
      <c r="GC877">
        <v>10.207496318122455</v>
      </c>
      <c r="GD877">
        <v>5.989689473075968</v>
      </c>
      <c r="GE877">
        <v>5.8589260821496856</v>
      </c>
      <c r="GF877">
        <v>9.2956213995840145</v>
      </c>
      <c r="GG877">
        <v>20.890082161559082</v>
      </c>
      <c r="GH877">
        <v>22.603081271520537</v>
      </c>
      <c r="GI877">
        <v>32.091603832318285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56.900060952070135</v>
      </c>
      <c r="AO878">
        <v>83.364940361991643</v>
      </c>
      <c r="AP878">
        <v>592.7226521533936</v>
      </c>
      <c r="AQ878">
        <v>257.83502256729531</v>
      </c>
      <c r="AR878">
        <v>78.013249364736595</v>
      </c>
      <c r="AS878">
        <v>406.41228393758144</v>
      </c>
      <c r="AT878">
        <v>32.602271014031992</v>
      </c>
      <c r="AU878">
        <v>-34.710095838075603</v>
      </c>
      <c r="AV878"/>
      <c r="AW878"/>
      <c r="FY878" s="210">
        <v>873</v>
      </c>
      <c r="FZ878">
        <v>25.597098122911099</v>
      </c>
      <c r="GA878">
        <v>50.22442007592695</v>
      </c>
      <c r="GB878">
        <v>32.552723720657944</v>
      </c>
      <c r="GC878">
        <v>10.352731375855745</v>
      </c>
      <c r="GD878">
        <v>6.6746958817981001</v>
      </c>
      <c r="GE878">
        <v>7.2846218161151484</v>
      </c>
      <c r="GF878">
        <v>12.706483048382736</v>
      </c>
      <c r="GG878">
        <v>25.551873639856833</v>
      </c>
      <c r="GH878">
        <v>25.970736846025154</v>
      </c>
      <c r="GI878">
        <v>36.032646002851926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55.935675214908585</v>
      </c>
      <c r="AO879">
        <v>84.483541034342551</v>
      </c>
      <c r="AP879">
        <v>702.65985824790118</v>
      </c>
      <c r="AQ879">
        <v>281.52939358580068</v>
      </c>
      <c r="AR879">
        <v>78.819599719773947</v>
      </c>
      <c r="AS879">
        <v>378.28176656741067</v>
      </c>
      <c r="AT879">
        <v>34.603175075434557</v>
      </c>
      <c r="AU879">
        <v>9.8939171303703688</v>
      </c>
      <c r="AV879"/>
      <c r="AW879"/>
      <c r="FY879" s="210">
        <v>874</v>
      </c>
      <c r="FZ879">
        <v>17.776299772420639</v>
      </c>
      <c r="GA879">
        <v>51.795027827101947</v>
      </c>
      <c r="GB879">
        <v>29.595395095049504</v>
      </c>
      <c r="GC879">
        <v>8.0663941091972085</v>
      </c>
      <c r="GD879">
        <v>4.7106785314583348</v>
      </c>
      <c r="GE879">
        <v>4.7030790058801966</v>
      </c>
      <c r="GF879">
        <v>6.4210033954233783</v>
      </c>
      <c r="GG879">
        <v>11.621292238370778</v>
      </c>
      <c r="GH879">
        <v>14.828617182275488</v>
      </c>
      <c r="GI879">
        <v>26.059564889452954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43.966016259211095</v>
      </c>
      <c r="AO880">
        <v>47.75990508761695</v>
      </c>
      <c r="AP880">
        <v>448.35498274656635</v>
      </c>
      <c r="AQ880">
        <v>197.61512912369972</v>
      </c>
      <c r="AR880">
        <v>45.71455827044209</v>
      </c>
      <c r="AS880">
        <v>227.52254727331282</v>
      </c>
      <c r="AT880">
        <v>20.093114508591036</v>
      </c>
      <c r="AU880">
        <v>13.637597324460668</v>
      </c>
      <c r="AV880"/>
      <c r="AW880"/>
      <c r="FY880" s="210">
        <v>875</v>
      </c>
      <c r="FZ880">
        <v>20.905732205132324</v>
      </c>
      <c r="GA880">
        <v>34.10695351547993</v>
      </c>
      <c r="GB880">
        <v>21.897833007472016</v>
      </c>
      <c r="GC880">
        <v>6.0092513745890876</v>
      </c>
      <c r="GD880">
        <v>4.6441018692866773</v>
      </c>
      <c r="GE880">
        <v>6.0694990934842581</v>
      </c>
      <c r="GF880">
        <v>10.284893945180331</v>
      </c>
      <c r="GG880">
        <v>19.991041926072352</v>
      </c>
      <c r="GH880">
        <v>20.31250199008144</v>
      </c>
      <c r="GI880">
        <v>22.317968519374674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50.363361247471673</v>
      </c>
      <c r="AO881">
        <v>48.205168971365012</v>
      </c>
      <c r="AP881">
        <v>322.90733718062654</v>
      </c>
      <c r="AQ881">
        <v>165.16017773667517</v>
      </c>
      <c r="AR881">
        <v>44.343114071910051</v>
      </c>
      <c r="AS881">
        <v>268.48049753746443</v>
      </c>
      <c r="AT881">
        <v>17.228752586030538</v>
      </c>
      <c r="AU881">
        <v>50.319299741384945</v>
      </c>
      <c r="AV881"/>
      <c r="AW881"/>
      <c r="FY881" s="210">
        <v>876</v>
      </c>
      <c r="FZ881">
        <v>18.186137939668491</v>
      </c>
      <c r="GA881">
        <v>62.095008116484877</v>
      </c>
      <c r="GB881">
        <v>39.75780684690762</v>
      </c>
      <c r="GC881">
        <v>10.506356842383591</v>
      </c>
      <c r="GD881">
        <v>5.8111688769335554</v>
      </c>
      <c r="GE881">
        <v>6.6602253569397085</v>
      </c>
      <c r="GF881">
        <v>9.5356175808066368</v>
      </c>
      <c r="GG881">
        <v>14.300719742131358</v>
      </c>
      <c r="GH881">
        <v>13.403298851450005</v>
      </c>
      <c r="GI881">
        <v>33.42167271863616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59.514295764767553</v>
      </c>
      <c r="AO882">
        <v>93.18253664396174</v>
      </c>
      <c r="AP882">
        <v>653.82017228295081</v>
      </c>
      <c r="AQ882">
        <v>241.08936709595196</v>
      </c>
      <c r="AR882">
        <v>85.784239226696755</v>
      </c>
      <c r="AS882">
        <v>358.9928941141053</v>
      </c>
      <c r="AT882">
        <v>34.700629307608445</v>
      </c>
      <c r="AU882">
        <v>-6.0908227706805036</v>
      </c>
      <c r="AV882"/>
      <c r="AW882"/>
      <c r="FY882" s="210">
        <v>877</v>
      </c>
      <c r="FZ882">
        <v>24.219760786845278</v>
      </c>
      <c r="GA882">
        <v>46.353404171039401</v>
      </c>
      <c r="GB882">
        <v>29.52444874721472</v>
      </c>
      <c r="GC882">
        <v>13.86818427512412</v>
      </c>
      <c r="GD882">
        <v>9.4761000929606869</v>
      </c>
      <c r="GE882">
        <v>9.8551358308553869</v>
      </c>
      <c r="GF882">
        <v>8.9991264824130539</v>
      </c>
      <c r="GG882">
        <v>17.04949559249232</v>
      </c>
      <c r="GH882">
        <v>14.03042705285965</v>
      </c>
      <c r="GI882">
        <v>36.783683927809925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48.583210284159208</v>
      </c>
      <c r="AO883">
        <v>53.984649038848545</v>
      </c>
      <c r="AP883">
        <v>422.86515127218723</v>
      </c>
      <c r="AQ883">
        <v>189.1335011324885</v>
      </c>
      <c r="AR883">
        <v>51.283565959883035</v>
      </c>
      <c r="AS883">
        <v>257.78893169723597</v>
      </c>
      <c r="AT883">
        <v>21.34367268497887</v>
      </c>
      <c r="AU883">
        <v>-11.016795681078964</v>
      </c>
      <c r="AV883"/>
      <c r="AW883"/>
      <c r="FY883" s="210">
        <v>878</v>
      </c>
      <c r="FZ883">
        <v>30.226983066333162</v>
      </c>
      <c r="GA883">
        <v>49.425986827598344</v>
      </c>
      <c r="GB883">
        <v>43.853329765753401</v>
      </c>
      <c r="GC883">
        <v>11.832095547930207</v>
      </c>
      <c r="GD883">
        <v>7.0893047869904002</v>
      </c>
      <c r="GE883">
        <v>9.442116831730976</v>
      </c>
      <c r="GF883">
        <v>12.419517584524948</v>
      </c>
      <c r="GG883">
        <v>22.295092069532856</v>
      </c>
      <c r="GH883">
        <v>17.720014031113134</v>
      </c>
      <c r="GI883">
        <v>41.738369409665687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48.805224399350834</v>
      </c>
      <c r="AO884">
        <v>72.817769456438313</v>
      </c>
      <c r="AP884">
        <v>616.90958036774509</v>
      </c>
      <c r="AQ884">
        <v>245.97220669575401</v>
      </c>
      <c r="AR884">
        <v>67.216169156192436</v>
      </c>
      <c r="AS884">
        <v>419.51191209172271</v>
      </c>
      <c r="AT884">
        <v>29.721885829574195</v>
      </c>
      <c r="AU884">
        <v>28.914535837505259</v>
      </c>
      <c r="AV884"/>
      <c r="AW884"/>
      <c r="FY884" s="210">
        <v>879</v>
      </c>
      <c r="FZ884">
        <v>23.210829618857261</v>
      </c>
      <c r="GA884">
        <v>46.99368788829657</v>
      </c>
      <c r="GB884">
        <v>27.807341510902305</v>
      </c>
      <c r="GC884">
        <v>6.793360979150763</v>
      </c>
      <c r="GD884">
        <v>6.1228499240887233</v>
      </c>
      <c r="GE884">
        <v>8.2004192410920762</v>
      </c>
      <c r="GF884">
        <v>9.9935535508880218</v>
      </c>
      <c r="GG884">
        <v>30.823222312329321</v>
      </c>
      <c r="GH884">
        <v>39.724677301002693</v>
      </c>
      <c r="GI884">
        <v>33.139440583486788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62.004984265547023</v>
      </c>
      <c r="AO885">
        <v>74.006569179522472</v>
      </c>
      <c r="AP885">
        <v>536.97567954409851</v>
      </c>
      <c r="AQ885">
        <v>192.41075597332167</v>
      </c>
      <c r="AR885">
        <v>69.136864246698337</v>
      </c>
      <c r="AS885">
        <v>414.5107378150376</v>
      </c>
      <c r="AT885">
        <v>26.409889152029734</v>
      </c>
      <c r="AU885">
        <v>197.68326526035094</v>
      </c>
      <c r="AV885"/>
      <c r="AW885"/>
      <c r="FY885" s="210">
        <v>880</v>
      </c>
      <c r="FZ885">
        <v>18.618964321970687</v>
      </c>
      <c r="GA885">
        <v>45.039148390815988</v>
      </c>
      <c r="GB885">
        <v>33.726047547250019</v>
      </c>
      <c r="GC885">
        <v>10.616783421495214</v>
      </c>
      <c r="GD885">
        <v>7.9818914057924193</v>
      </c>
      <c r="GE885">
        <v>10.317466111379407</v>
      </c>
      <c r="GF885">
        <v>11.191091362112969</v>
      </c>
      <c r="GG885">
        <v>19.00978354364306</v>
      </c>
      <c r="GH885">
        <v>18.520994596592725</v>
      </c>
      <c r="GI885">
        <v>32.911508717391229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68.24937134536701</v>
      </c>
      <c r="AO886">
        <v>81.618824200421102</v>
      </c>
      <c r="AP886">
        <v>598.81754238504448</v>
      </c>
      <c r="AQ886">
        <v>248.05718090361222</v>
      </c>
      <c r="AR886">
        <v>76.598082424164886</v>
      </c>
      <c r="AS886">
        <v>501.93792902263652</v>
      </c>
      <c r="AT886">
        <v>30.923132735580825</v>
      </c>
      <c r="AU886">
        <v>-6.1799864741926367</v>
      </c>
      <c r="AV886"/>
      <c r="AW886"/>
      <c r="FY886" s="210">
        <v>881</v>
      </c>
      <c r="FZ886">
        <v>31.946691380100642</v>
      </c>
      <c r="GA886">
        <v>81.408247671558627</v>
      </c>
      <c r="GB886">
        <v>43.381591179309176</v>
      </c>
      <c r="GC886">
        <v>10.042005574061498</v>
      </c>
      <c r="GD886">
        <v>6.6753724559404208</v>
      </c>
      <c r="GE886">
        <v>9.3860597815948665</v>
      </c>
      <c r="GF886">
        <v>9.3633096739811865</v>
      </c>
      <c r="GG886">
        <v>19.434442876730529</v>
      </c>
      <c r="GH886">
        <v>23.563161282908485</v>
      </c>
      <c r="GI886">
        <v>39.037506653941932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44.658921000186687</v>
      </c>
      <c r="AO887">
        <v>58.399116799691299</v>
      </c>
      <c r="AP887">
        <v>451.79823965035609</v>
      </c>
      <c r="AQ887">
        <v>201.01367452780988</v>
      </c>
      <c r="AR887">
        <v>55.629327372060501</v>
      </c>
      <c r="AS887">
        <v>266.51304640513877</v>
      </c>
      <c r="AT887">
        <v>24.770036709741262</v>
      </c>
      <c r="AU887">
        <v>-14.035714612477181</v>
      </c>
      <c r="AV887"/>
      <c r="AW887"/>
      <c r="FY887" s="210">
        <v>882</v>
      </c>
      <c r="FZ887">
        <v>18.508538036271023</v>
      </c>
      <c r="GA887">
        <v>37.513432689863315</v>
      </c>
      <c r="GB887">
        <v>40.786335864900735</v>
      </c>
      <c r="GC887">
        <v>11.124479226721508</v>
      </c>
      <c r="GD887">
        <v>7.332486226357287</v>
      </c>
      <c r="GE887">
        <v>10.118089392495348</v>
      </c>
      <c r="GF887">
        <v>9.0664080541412613</v>
      </c>
      <c r="GG887">
        <v>17.396610327370702</v>
      </c>
      <c r="GH887">
        <v>18.205954485223469</v>
      </c>
      <c r="GI887">
        <v>34.269132131615876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43.91790452068242</v>
      </c>
      <c r="AO888">
        <v>67.476126268417175</v>
      </c>
      <c r="AP888">
        <v>511.07336423448578</v>
      </c>
      <c r="AQ888">
        <v>208.71240750123974</v>
      </c>
      <c r="AR888">
        <v>64.642313139563115</v>
      </c>
      <c r="AS888">
        <v>380.26871798854404</v>
      </c>
      <c r="AT888">
        <v>28.924612529873443</v>
      </c>
      <c r="AU888">
        <v>1.4478739866873465</v>
      </c>
      <c r="AV888"/>
      <c r="AW888"/>
      <c r="FY888" s="210">
        <v>883</v>
      </c>
      <c r="FZ888">
        <v>23.489646759667856</v>
      </c>
      <c r="GA888">
        <v>46.727703959715868</v>
      </c>
      <c r="GB888">
        <v>37.296503044550114</v>
      </c>
      <c r="GC888">
        <v>11.393186630966722</v>
      </c>
      <c r="GD888">
        <v>7.0011796016573999</v>
      </c>
      <c r="GE888">
        <v>7.6057064987069198</v>
      </c>
      <c r="GF888">
        <v>10.402874168418593</v>
      </c>
      <c r="GG888">
        <v>20.521853479949094</v>
      </c>
      <c r="GH888">
        <v>20.709827812532822</v>
      </c>
      <c r="GI888">
        <v>34.387861236900719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46.149379629251115</v>
      </c>
      <c r="AO889">
        <v>78.050228372364032</v>
      </c>
      <c r="AP889">
        <v>590.25011413113077</v>
      </c>
      <c r="AQ889">
        <v>232.94803053038163</v>
      </c>
      <c r="AR889">
        <v>73.265054441958327</v>
      </c>
      <c r="AS889">
        <v>463.79430493274043</v>
      </c>
      <c r="AT889">
        <v>32.484143043248942</v>
      </c>
      <c r="AU889">
        <v>-16.379836522318953</v>
      </c>
      <c r="AV889"/>
      <c r="AW889"/>
      <c r="FY889" s="210">
        <v>884</v>
      </c>
      <c r="FZ889">
        <v>22.486853675825262</v>
      </c>
      <c r="GA889">
        <v>60.556962285910487</v>
      </c>
      <c r="GB889">
        <v>29.428132285385693</v>
      </c>
      <c r="GC889">
        <v>9.5972492511410969</v>
      </c>
      <c r="GD889">
        <v>7.6460589309953324</v>
      </c>
      <c r="GE889">
        <v>9.1993983339111285</v>
      </c>
      <c r="GF889">
        <v>9.7463236417618386</v>
      </c>
      <c r="GG889">
        <v>13.739221674050528</v>
      </c>
      <c r="GH889">
        <v>10.814979210401461</v>
      </c>
      <c r="GI889">
        <v>30.500835304725623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42.912875048429655</v>
      </c>
      <c r="AO890">
        <v>54.071219195615377</v>
      </c>
      <c r="AP890">
        <v>389.86334611087199</v>
      </c>
      <c r="AQ890">
        <v>175.57735204663044</v>
      </c>
      <c r="AR890">
        <v>50.411612442407147</v>
      </c>
      <c r="AS890">
        <v>239.57034026585907</v>
      </c>
      <c r="AT890">
        <v>18.868001591188545</v>
      </c>
      <c r="AU890">
        <v>2.0028810964081156</v>
      </c>
      <c r="AV890"/>
      <c r="AW890"/>
      <c r="FY890" s="210">
        <v>885</v>
      </c>
      <c r="FZ890">
        <v>27.188295923788811</v>
      </c>
      <c r="GA890">
        <v>42.479564305842615</v>
      </c>
      <c r="GB890">
        <v>27.022745148558759</v>
      </c>
      <c r="GC890">
        <v>6.8954263246153689</v>
      </c>
      <c r="GD890">
        <v>4.399659646650024</v>
      </c>
      <c r="GE890">
        <v>5.0966609832125336</v>
      </c>
      <c r="GF890">
        <v>5.7261564933205475</v>
      </c>
      <c r="GG890">
        <v>12.792416917318398</v>
      </c>
      <c r="GH890">
        <v>15.584480567906237</v>
      </c>
      <c r="GI890">
        <v>25.062591541968921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44.540786718008263</v>
      </c>
      <c r="AO891">
        <v>43.450403663697166</v>
      </c>
      <c r="AP891">
        <v>360.29978107911296</v>
      </c>
      <c r="AQ891">
        <v>166.5397774461531</v>
      </c>
      <c r="AR891">
        <v>41.617957821718242</v>
      </c>
      <c r="AS891">
        <v>224.02242630299753</v>
      </c>
      <c r="AT891">
        <v>18.693200659272033</v>
      </c>
      <c r="AU891">
        <v>-3.756215982895025</v>
      </c>
      <c r="AV891"/>
      <c r="AW891"/>
      <c r="FY891" s="210">
        <v>886</v>
      </c>
      <c r="FZ891">
        <v>16.548962527546379</v>
      </c>
      <c r="GA891">
        <v>46.514407190275207</v>
      </c>
      <c r="GB891">
        <v>35.051979540146583</v>
      </c>
      <c r="GC891">
        <v>10.996410165385164</v>
      </c>
      <c r="GD891">
        <v>6.1298868197321044</v>
      </c>
      <c r="GE891">
        <v>6.4458544314655484</v>
      </c>
      <c r="GF891">
        <v>8.8236144446904117</v>
      </c>
      <c r="GG891">
        <v>20.531208122167079</v>
      </c>
      <c r="GH891">
        <v>23.629860205709644</v>
      </c>
      <c r="GI891">
        <v>29.21326804520103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51.325353442771338</v>
      </c>
      <c r="AO892">
        <v>69.914448452270889</v>
      </c>
      <c r="AP892">
        <v>519.04654626157605</v>
      </c>
      <c r="AQ892">
        <v>213.67801287234201</v>
      </c>
      <c r="AR892">
        <v>65.018821300700679</v>
      </c>
      <c r="AS892">
        <v>455.98830055263636</v>
      </c>
      <c r="AT892">
        <v>26.112877604216266</v>
      </c>
      <c r="AU892">
        <v>-0.30033101770625592</v>
      </c>
      <c r="AV892"/>
      <c r="AW892"/>
      <c r="FY892" s="210">
        <v>887</v>
      </c>
      <c r="FZ892">
        <v>24.348296953046894</v>
      </c>
      <c r="GA892">
        <v>49.059075550871562</v>
      </c>
      <c r="GB892">
        <v>22.012948885916739</v>
      </c>
      <c r="GC892">
        <v>10.173433598189938</v>
      </c>
      <c r="GD892">
        <v>7.7309204659236102</v>
      </c>
      <c r="GE892">
        <v>10.009929573995713</v>
      </c>
      <c r="GF892">
        <v>12.141583004993736</v>
      </c>
      <c r="GG892">
        <v>21.109446771751774</v>
      </c>
      <c r="GH892">
        <v>21.354773275913047</v>
      </c>
      <c r="GI892">
        <v>30.793425587596083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62.741964302433857</v>
      </c>
      <c r="AO893">
        <v>78.22300755492742</v>
      </c>
      <c r="AP893">
        <v>492.08465031068391</v>
      </c>
      <c r="AQ893">
        <v>210.15976695961456</v>
      </c>
      <c r="AR893">
        <v>72.212179850064956</v>
      </c>
      <c r="AS893">
        <v>521.69410713268474</v>
      </c>
      <c r="AT893">
        <v>27.336093153215774</v>
      </c>
      <c r="AU893">
        <v>3.5414706764789172</v>
      </c>
      <c r="AV893"/>
      <c r="AW893"/>
      <c r="FY893" s="210">
        <v>888</v>
      </c>
      <c r="FZ893">
        <v>27.567937837373311</v>
      </c>
      <c r="GA893">
        <v>62.587020965095043</v>
      </c>
      <c r="GB893">
        <v>26.704127384682657</v>
      </c>
      <c r="GC893">
        <v>6.1831616199905657</v>
      </c>
      <c r="GD893">
        <v>5.1559411106604625</v>
      </c>
      <c r="GE893">
        <v>7.6535897183495125</v>
      </c>
      <c r="GF893">
        <v>10.556820129573699</v>
      </c>
      <c r="GG893">
        <v>21.132788429037831</v>
      </c>
      <c r="GH893">
        <v>18.620124711573087</v>
      </c>
      <c r="GI893">
        <v>28.802552256129438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57.564530770747822</v>
      </c>
      <c r="AO894">
        <v>90.417545606478498</v>
      </c>
      <c r="AP894">
        <v>628.88681706033117</v>
      </c>
      <c r="AQ894">
        <v>246.04280992117307</v>
      </c>
      <c r="AR894">
        <v>84.257955227639172</v>
      </c>
      <c r="AS894">
        <v>372.94778994479168</v>
      </c>
      <c r="AT894">
        <v>34.917143205725445</v>
      </c>
      <c r="AU894">
        <v>-36.339662821825051</v>
      </c>
      <c r="AV894"/>
      <c r="AW894"/>
      <c r="FY894" s="210">
        <v>889</v>
      </c>
      <c r="FZ894">
        <v>19.264848373747611</v>
      </c>
      <c r="GA894">
        <v>42.948615130938421</v>
      </c>
      <c r="GB894">
        <v>25.812845889258611</v>
      </c>
      <c r="GC894">
        <v>8.9754583924923708</v>
      </c>
      <c r="GD894">
        <v>6.7867619679309632</v>
      </c>
      <c r="GE894">
        <v>8.7936151853361597</v>
      </c>
      <c r="GF894">
        <v>10.1994266174289</v>
      </c>
      <c r="GG894">
        <v>13.654903015693153</v>
      </c>
      <c r="GH894">
        <v>14.031897284761369</v>
      </c>
      <c r="GI894">
        <v>28.61262629644644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46.836795846417459</v>
      </c>
      <c r="AO895">
        <v>72.966933653490685</v>
      </c>
      <c r="AP895">
        <v>600.67812825986994</v>
      </c>
      <c r="AQ895">
        <v>232.80938291009454</v>
      </c>
      <c r="AR895">
        <v>68.41241774815424</v>
      </c>
      <c r="AS895">
        <v>320.61057234781407</v>
      </c>
      <c r="AT895">
        <v>31.874442041912811</v>
      </c>
      <c r="AU895">
        <v>147.34086770582422</v>
      </c>
      <c r="AV895"/>
      <c r="AW895"/>
      <c r="FY895" s="210">
        <v>890</v>
      </c>
      <c r="FZ895">
        <v>23.636801051221838</v>
      </c>
      <c r="GA895">
        <v>45.121113456075449</v>
      </c>
      <c r="GB895">
        <v>37.767606291603187</v>
      </c>
      <c r="GC895">
        <v>13.321161268353507</v>
      </c>
      <c r="GD895">
        <v>5.2962266793714274</v>
      </c>
      <c r="GE895">
        <v>3.7561714624978491</v>
      </c>
      <c r="GF895">
        <v>7.7870259607091015</v>
      </c>
      <c r="GG895">
        <v>24.528986298738921</v>
      </c>
      <c r="GH895">
        <v>37.532538267517317</v>
      </c>
      <c r="GI895">
        <v>36.477392573227952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54.540351619422893</v>
      </c>
      <c r="AO896">
        <v>67.813693323951824</v>
      </c>
      <c r="AP896">
        <v>496.04466536546505</v>
      </c>
      <c r="AQ896">
        <v>207.93367941844372</v>
      </c>
      <c r="AR896">
        <v>64.841071221916039</v>
      </c>
      <c r="AS896">
        <v>308.63378990985723</v>
      </c>
      <c r="AT896">
        <v>25.785030382575304</v>
      </c>
      <c r="AU896">
        <v>13.820751139839391</v>
      </c>
      <c r="AV896"/>
      <c r="AW896"/>
      <c r="FY896" s="210">
        <v>891</v>
      </c>
      <c r="FZ896">
        <v>22.873112287431653</v>
      </c>
      <c r="GA896">
        <v>54.175132956473206</v>
      </c>
      <c r="GB896">
        <v>34.061369937031998</v>
      </c>
      <c r="GC896">
        <v>14.157019666270504</v>
      </c>
      <c r="GD896">
        <v>7.9860194672220741</v>
      </c>
      <c r="GE896">
        <v>6.8553958583745853</v>
      </c>
      <c r="GF896">
        <v>9.9578811418246804</v>
      </c>
      <c r="GG896">
        <v>15.102239587577634</v>
      </c>
      <c r="GH896">
        <v>12.855648377569988</v>
      </c>
      <c r="GI896">
        <v>33.452893712642904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70.26812987244061</v>
      </c>
      <c r="AO897">
        <v>81.59242365844139</v>
      </c>
      <c r="AP897">
        <v>631.4063072855779</v>
      </c>
      <c r="AQ897">
        <v>274.23838853012734</v>
      </c>
      <c r="AR897">
        <v>76.537686763415209</v>
      </c>
      <c r="AS897">
        <v>351.66124501405295</v>
      </c>
      <c r="AT897">
        <v>29.637317995451536</v>
      </c>
      <c r="AU897">
        <v>-11.69812594059618</v>
      </c>
      <c r="AV897"/>
      <c r="AW897"/>
      <c r="FY897" s="210">
        <v>892</v>
      </c>
      <c r="FZ897">
        <v>28.676356043515568</v>
      </c>
      <c r="GA897">
        <v>49.228675835828888</v>
      </c>
      <c r="GB897">
        <v>27.631454394002628</v>
      </c>
      <c r="GC897">
        <v>9.7387547905661815</v>
      </c>
      <c r="GD897">
        <v>7.5931835622919621</v>
      </c>
      <c r="GE897">
        <v>9.7763017190633619</v>
      </c>
      <c r="GF897">
        <v>14.05492563138767</v>
      </c>
      <c r="GG897">
        <v>17.439688732495593</v>
      </c>
      <c r="GH897">
        <v>12.682739591927321</v>
      </c>
      <c r="GI897">
        <v>31.088659868000743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56.152062359418402</v>
      </c>
      <c r="AO898">
        <v>73.978923071772428</v>
      </c>
      <c r="AP898">
        <v>534.56846926420701</v>
      </c>
      <c r="AQ898">
        <v>204.32146643496048</v>
      </c>
      <c r="AR898">
        <v>69.750676349636493</v>
      </c>
      <c r="AS898">
        <v>328.11189185492736</v>
      </c>
      <c r="AT898">
        <v>27.539458974474513</v>
      </c>
      <c r="AU898">
        <v>3.118829575247358</v>
      </c>
      <c r="AV898"/>
      <c r="AW898"/>
      <c r="FY898" s="210">
        <v>893</v>
      </c>
      <c r="FZ898">
        <v>21.554095648945278</v>
      </c>
      <c r="GA898">
        <v>41.240690116396863</v>
      </c>
      <c r="GB898">
        <v>29.555763655207794</v>
      </c>
      <c r="GC898">
        <v>12.379486311527481</v>
      </c>
      <c r="GD898">
        <v>8.7549496719852034</v>
      </c>
      <c r="GE898">
        <v>9.6751055099922123</v>
      </c>
      <c r="GF898">
        <v>8.4686024543073959</v>
      </c>
      <c r="GG898">
        <v>19.800812538610213</v>
      </c>
      <c r="GH898">
        <v>25.077715519942743</v>
      </c>
      <c r="GI898">
        <v>33.166735133332324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51.410081993130689</v>
      </c>
      <c r="AO899">
        <v>71.382490101981745</v>
      </c>
      <c r="AP899">
        <v>522.60098741014906</v>
      </c>
      <c r="AQ899">
        <v>219.53634319306616</v>
      </c>
      <c r="AR899">
        <v>66.951718348804789</v>
      </c>
      <c r="AS899">
        <v>430.97375484478545</v>
      </c>
      <c r="AT899">
        <v>27.162743167032474</v>
      </c>
      <c r="AU899">
        <v>-3.2414515959163488</v>
      </c>
      <c r="AV899"/>
      <c r="AW899"/>
      <c r="FY899" s="210">
        <v>894</v>
      </c>
      <c r="FZ899">
        <v>30.895675501992077</v>
      </c>
      <c r="GA899">
        <v>39.755833010060357</v>
      </c>
      <c r="GB899">
        <v>13.377887987756882</v>
      </c>
      <c r="GC899">
        <v>8.7696917986047307</v>
      </c>
      <c r="GD899">
        <v>4.9486830249829543</v>
      </c>
      <c r="GE899">
        <v>3.4120353298695671</v>
      </c>
      <c r="GF899">
        <v>9.7297137072900277</v>
      </c>
      <c r="GG899">
        <v>17.115496996975203</v>
      </c>
      <c r="GH899">
        <v>21.751915471148255</v>
      </c>
      <c r="GI899">
        <v>25.710618146366169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60.329346316688131</v>
      </c>
      <c r="AO900">
        <v>63.495886598164667</v>
      </c>
      <c r="AP900">
        <v>471.2595124173796</v>
      </c>
      <c r="AQ900">
        <v>203.71601459410846</v>
      </c>
      <c r="AR900">
        <v>60.383699476931412</v>
      </c>
      <c r="AS900">
        <v>435.2952310695407</v>
      </c>
      <c r="AT900">
        <v>23.35285791289019</v>
      </c>
      <c r="AU900">
        <v>44.57686820757467</v>
      </c>
      <c r="AV900"/>
      <c r="AW900"/>
      <c r="FY900" s="210">
        <v>895</v>
      </c>
      <c r="FZ900">
        <v>27.967483380329831</v>
      </c>
      <c r="GA900">
        <v>49.380704157915979</v>
      </c>
      <c r="GB900">
        <v>43.380330342967689</v>
      </c>
      <c r="GC900">
        <v>14.755582024130492</v>
      </c>
      <c r="GD900">
        <v>8.8809844905740167</v>
      </c>
      <c r="GE900">
        <v>8.904833816819103</v>
      </c>
      <c r="GF900">
        <v>11.573700322593586</v>
      </c>
      <c r="GG900">
        <v>20.963975777625347</v>
      </c>
      <c r="GH900">
        <v>24.213261690282113</v>
      </c>
      <c r="GI900">
        <v>42.385953278441292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42.461501107035936</v>
      </c>
      <c r="AO901">
        <v>52.664373531246646</v>
      </c>
      <c r="AP901">
        <v>402.22845516211095</v>
      </c>
      <c r="AQ901">
        <v>172.2479978531822</v>
      </c>
      <c r="AR901">
        <v>50.523038942414047</v>
      </c>
      <c r="AS901">
        <v>249.91721932493923</v>
      </c>
      <c r="AT901">
        <v>19.420916225172377</v>
      </c>
      <c r="AU901">
        <v>-20.565571022171067</v>
      </c>
      <c r="AV901"/>
      <c r="AW901"/>
      <c r="FY901" s="210">
        <v>896</v>
      </c>
      <c r="FZ901">
        <v>30.623598376834181</v>
      </c>
      <c r="GA901">
        <v>48.529055216642604</v>
      </c>
      <c r="GB901">
        <v>29.000359687503636</v>
      </c>
      <c r="GC901">
        <v>13.533775835870889</v>
      </c>
      <c r="GD901">
        <v>7.6030320525662134</v>
      </c>
      <c r="GE901">
        <v>7.3968812690658341</v>
      </c>
      <c r="GF901">
        <v>9.1823885737173576</v>
      </c>
      <c r="GG901">
        <v>21.740932210431339</v>
      </c>
      <c r="GH901">
        <v>27.78481853931072</v>
      </c>
      <c r="GI901">
        <v>32.729402708319128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49.976241270987046</v>
      </c>
      <c r="AO902">
        <v>59.174569424545453</v>
      </c>
      <c r="AP902">
        <v>454.89617393275984</v>
      </c>
      <c r="AQ902">
        <v>203.88545149231913</v>
      </c>
      <c r="AR902">
        <v>55.194161068371997</v>
      </c>
      <c r="AS902">
        <v>278.22767685251341</v>
      </c>
      <c r="AT902">
        <v>22.639820822937924</v>
      </c>
      <c r="AU902">
        <v>-39.612414422584621</v>
      </c>
      <c r="AV902"/>
      <c r="AW902"/>
      <c r="FY902" s="210">
        <v>897</v>
      </c>
      <c r="FZ902">
        <v>25.997939231779334</v>
      </c>
      <c r="GA902">
        <v>50.209493776157053</v>
      </c>
      <c r="GB902">
        <v>25.453282560869848</v>
      </c>
      <c r="GC902">
        <v>15.087786530026365</v>
      </c>
      <c r="GD902">
        <v>7.4649862236478608</v>
      </c>
      <c r="GE902">
        <v>4.7453066904692554</v>
      </c>
      <c r="GF902">
        <v>7.9767949451705702</v>
      </c>
      <c r="GG902">
        <v>11.361150408110632</v>
      </c>
      <c r="GH902">
        <v>17.006621990971826</v>
      </c>
      <c r="GI902">
        <v>30.238169302717658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57.466265098050009</v>
      </c>
      <c r="AO903">
        <v>63.536675668707552</v>
      </c>
      <c r="AP903">
        <v>464.31802334046245</v>
      </c>
      <c r="AQ903">
        <v>208.73383366819914</v>
      </c>
      <c r="AR903">
        <v>59.24764840502052</v>
      </c>
      <c r="AS903">
        <v>358.39057701236595</v>
      </c>
      <c r="AT903">
        <v>26.597772822870485</v>
      </c>
      <c r="AU903">
        <v>8.4531789715713703</v>
      </c>
      <c r="AV903"/>
      <c r="AW903"/>
      <c r="FY903" s="210">
        <v>898</v>
      </c>
      <c r="FZ903">
        <v>23.655683997834387</v>
      </c>
      <c r="GA903">
        <v>41.041807332429613</v>
      </c>
      <c r="GB903">
        <v>32.672890801953123</v>
      </c>
      <c r="GC903">
        <v>9.8993463633328957</v>
      </c>
      <c r="GD903">
        <v>5.4040752642311904</v>
      </c>
      <c r="GE903">
        <v>6.2203029729836432</v>
      </c>
      <c r="GF903">
        <v>7.2068533435634166</v>
      </c>
      <c r="GG903">
        <v>11.051954305728348</v>
      </c>
      <c r="GH903">
        <v>14.315431739400703</v>
      </c>
      <c r="GI903">
        <v>30.185800912283632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48.53769174444502</v>
      </c>
      <c r="AO904">
        <v>59.890826184726862</v>
      </c>
      <c r="AP904">
        <v>474.24638980101741</v>
      </c>
      <c r="AQ904">
        <v>214.96406416246563</v>
      </c>
      <c r="AR904">
        <v>55.868880120831669</v>
      </c>
      <c r="AS904">
        <v>278.61970975184835</v>
      </c>
      <c r="AT904">
        <v>24.37931963131399</v>
      </c>
      <c r="AU904">
        <v>-2.6722188705831433</v>
      </c>
      <c r="AV904"/>
      <c r="AW904"/>
      <c r="FY904" s="210">
        <v>899</v>
      </c>
      <c r="FZ904">
        <v>16.796750323396591</v>
      </c>
      <c r="GA904">
        <v>48.968498688629815</v>
      </c>
      <c r="GB904">
        <v>40.278971099728963</v>
      </c>
      <c r="GC904">
        <v>11.660378031668474</v>
      </c>
      <c r="GD904">
        <v>6.778938366914999</v>
      </c>
      <c r="GE904">
        <v>7.8501373978255318</v>
      </c>
      <c r="GF904">
        <v>12.885806517118414</v>
      </c>
      <c r="GG904">
        <v>25.208156246408894</v>
      </c>
      <c r="GH904">
        <v>23.530115766816138</v>
      </c>
      <c r="GI904">
        <v>38.404288665863504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58.24739416989123</v>
      </c>
      <c r="AO905">
        <v>59.376932117156379</v>
      </c>
      <c r="AP905">
        <v>395.33212551868428</v>
      </c>
      <c r="AQ905">
        <v>179.08099815403401</v>
      </c>
      <c r="AR905">
        <v>54.704464560800837</v>
      </c>
      <c r="AS905">
        <v>275.87966779879446</v>
      </c>
      <c r="AT905">
        <v>20.630606661563956</v>
      </c>
      <c r="AU905">
        <v>8.1664606961727984</v>
      </c>
      <c r="AV905"/>
      <c r="AW905"/>
      <c r="FY905" s="210">
        <v>900</v>
      </c>
      <c r="FZ905">
        <v>28.615189411571947</v>
      </c>
      <c r="GA905">
        <v>66.285866124168592</v>
      </c>
      <c r="GB905">
        <v>22.267633995634647</v>
      </c>
      <c r="GC905">
        <v>8.6284121805813463</v>
      </c>
      <c r="GD905">
        <v>5.4446933745279225</v>
      </c>
      <c r="GE905">
        <v>5.1238957657274247</v>
      </c>
      <c r="GF905">
        <v>12.723072973476622</v>
      </c>
      <c r="GG905">
        <v>22.968605739335498</v>
      </c>
      <c r="GH905">
        <v>22.728603501062068</v>
      </c>
      <c r="GI905">
        <v>29.718764088645479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61.700548498345469</v>
      </c>
      <c r="AO906">
        <v>77.809301583639083</v>
      </c>
      <c r="AP906">
        <v>558.29494555637086</v>
      </c>
      <c r="AQ906">
        <v>235.22502330931655</v>
      </c>
      <c r="AR906">
        <v>71.306974952021093</v>
      </c>
      <c r="AS906">
        <v>506.81134113720464</v>
      </c>
      <c r="AT906">
        <v>29.399301570031515</v>
      </c>
      <c r="AU906">
        <v>36.577409988236667</v>
      </c>
      <c r="AV906"/>
      <c r="AW906"/>
      <c r="FY906" s="210">
        <v>901</v>
      </c>
      <c r="FZ906">
        <v>12.778788536760537</v>
      </c>
      <c r="GA906">
        <v>36.252053017892081</v>
      </c>
      <c r="GB906">
        <v>30.515325314524041</v>
      </c>
      <c r="GC906">
        <v>12.982166665035276</v>
      </c>
      <c r="GD906">
        <v>8.4510405543007998</v>
      </c>
      <c r="GE906">
        <v>9.427571641528731</v>
      </c>
      <c r="GF906">
        <v>9.8170357390586478</v>
      </c>
      <c r="GG906">
        <v>11.613440593706546</v>
      </c>
      <c r="GH906">
        <v>13.30911119609924</v>
      </c>
      <c r="GI906">
        <v>33.376448647147072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61.025455904353329</v>
      </c>
      <c r="AO907">
        <v>71.017809056584525</v>
      </c>
      <c r="AP907">
        <v>500.44102473421424</v>
      </c>
      <c r="AQ907">
        <v>211.47671299241921</v>
      </c>
      <c r="AR907">
        <v>65.276691695363368</v>
      </c>
      <c r="AS907">
        <v>470.92290942691426</v>
      </c>
      <c r="AT907">
        <v>26.492473665554844</v>
      </c>
      <c r="AU907">
        <v>31.018488080059228</v>
      </c>
      <c r="AV907"/>
      <c r="AW907"/>
      <c r="FY907" s="210">
        <v>902</v>
      </c>
      <c r="FZ907">
        <v>29.957510466084912</v>
      </c>
      <c r="GA907">
        <v>87.12579359996711</v>
      </c>
      <c r="GB907">
        <v>50.603430282745656</v>
      </c>
      <c r="GC907">
        <v>10.878326360582228</v>
      </c>
      <c r="GD907">
        <v>5.4481370998113263</v>
      </c>
      <c r="GE907">
        <v>5.8062232247940164</v>
      </c>
      <c r="GF907">
        <v>8.4951301704877764</v>
      </c>
      <c r="GG907">
        <v>14.148546556633931</v>
      </c>
      <c r="GH907">
        <v>15.282647287486933</v>
      </c>
      <c r="GI907">
        <v>37.801583184054508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53.992619151076909</v>
      </c>
      <c r="AO908">
        <v>63.114773663930535</v>
      </c>
      <c r="AP908">
        <v>454.52136235071964</v>
      </c>
      <c r="AQ908">
        <v>207.9107401690799</v>
      </c>
      <c r="AR908">
        <v>59.315626076070885</v>
      </c>
      <c r="AS908">
        <v>292.00218891789581</v>
      </c>
      <c r="AT908">
        <v>23.556349828153689</v>
      </c>
      <c r="AU908">
        <v>22.93686494302537</v>
      </c>
      <c r="AV908"/>
      <c r="AW908"/>
      <c r="FY908" s="210">
        <v>903</v>
      </c>
      <c r="FZ908">
        <v>25.784793380839687</v>
      </c>
      <c r="GA908">
        <v>46.874268285736555</v>
      </c>
      <c r="GB908">
        <v>48.719952164560908</v>
      </c>
      <c r="GC908">
        <v>13.670433250327912</v>
      </c>
      <c r="GD908">
        <v>5.7355138932552352</v>
      </c>
      <c r="GE908">
        <v>6.2778131131882073</v>
      </c>
      <c r="GF908">
        <v>5.1612344614816754</v>
      </c>
      <c r="GG908">
        <v>14.118504220275742</v>
      </c>
      <c r="GH908">
        <v>27.052883180103347</v>
      </c>
      <c r="GI908">
        <v>37.488948618808735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63.049661747538359</v>
      </c>
      <c r="AO909">
        <v>69.860948451111994</v>
      </c>
      <c r="AP909">
        <v>481.95890671700107</v>
      </c>
      <c r="AQ909">
        <v>209.67395656024752</v>
      </c>
      <c r="AR909">
        <v>65.002359497669289</v>
      </c>
      <c r="AS909">
        <v>413.31904561452853</v>
      </c>
      <c r="AT909">
        <v>28.134919013573427</v>
      </c>
      <c r="AU909">
        <v>64.193300562844215</v>
      </c>
      <c r="AV909"/>
      <c r="AW909"/>
      <c r="FY909" s="210">
        <v>904</v>
      </c>
      <c r="FZ909">
        <v>19.253159061825873</v>
      </c>
      <c r="GA909">
        <v>39.412620504224016</v>
      </c>
      <c r="GB909">
        <v>34.523234647306474</v>
      </c>
      <c r="GC909">
        <v>9.8751067133470993</v>
      </c>
      <c r="GD909">
        <v>4.8211205575434644</v>
      </c>
      <c r="GE909">
        <v>6.6723621961755697</v>
      </c>
      <c r="GF909">
        <v>10.937502087399606</v>
      </c>
      <c r="GG909">
        <v>24.379811211792738</v>
      </c>
      <c r="GH909">
        <v>31.547692455190042</v>
      </c>
      <c r="GI909">
        <v>32.685934744788391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53.692146241047681</v>
      </c>
      <c r="AO910">
        <v>52.81436992931873</v>
      </c>
      <c r="AP910">
        <v>379.77327122722949</v>
      </c>
      <c r="AQ910">
        <v>175.46755097504621</v>
      </c>
      <c r="AR910">
        <v>51.76499907446037</v>
      </c>
      <c r="AS910">
        <v>398.39254582853539</v>
      </c>
      <c r="AT910">
        <v>20.528411028440313</v>
      </c>
      <c r="AU910">
        <v>-16.970372480104583</v>
      </c>
      <c r="AV910"/>
      <c r="AW910"/>
      <c r="FY910" s="210">
        <v>905</v>
      </c>
      <c r="FZ910">
        <v>30.721251835892328</v>
      </c>
      <c r="GA910">
        <v>46.814986663312013</v>
      </c>
      <c r="GB910">
        <v>27.195271049852693</v>
      </c>
      <c r="GC910">
        <v>14.633434762117799</v>
      </c>
      <c r="GD910">
        <v>8.9480518318827489</v>
      </c>
      <c r="GE910">
        <v>7.9836660981105965</v>
      </c>
      <c r="GF910">
        <v>7.3369745711932532</v>
      </c>
      <c r="GG910">
        <v>16.74816673270962</v>
      </c>
      <c r="GH910">
        <v>21.572197215613844</v>
      </c>
      <c r="GI910">
        <v>38.869387507970607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68.385624097394029</v>
      </c>
      <c r="AO911">
        <v>90.89171716359229</v>
      </c>
      <c r="AP911">
        <v>638.04840251300288</v>
      </c>
      <c r="AQ911">
        <v>252.40680928167941</v>
      </c>
      <c r="AR911">
        <v>86.051953625285634</v>
      </c>
      <c r="AS911">
        <v>516.5504277048816</v>
      </c>
      <c r="AT911">
        <v>32.876871608292184</v>
      </c>
      <c r="AU911">
        <v>-18.63896130475112</v>
      </c>
      <c r="AV911"/>
      <c r="AW911"/>
      <c r="FY911" s="210">
        <v>906</v>
      </c>
      <c r="FZ911">
        <v>13.397151826334266</v>
      </c>
      <c r="GA911">
        <v>45.707280435697882</v>
      </c>
      <c r="GB911">
        <v>39.519329722983606</v>
      </c>
      <c r="GC911">
        <v>11.520375190125614</v>
      </c>
      <c r="GD911">
        <v>6.1294279707088171</v>
      </c>
      <c r="GE911">
        <v>6.2513340669441675</v>
      </c>
      <c r="GF911">
        <v>11.575744654077651</v>
      </c>
      <c r="GG911">
        <v>21.127615134247897</v>
      </c>
      <c r="GH911">
        <v>15.064670327611147</v>
      </c>
      <c r="GI911">
        <v>35.010962435712244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62.782393997101408</v>
      </c>
      <c r="AO912">
        <v>66.302233153004778</v>
      </c>
      <c r="AP912">
        <v>498.8974876360835</v>
      </c>
      <c r="AQ912">
        <v>228.12424447026189</v>
      </c>
      <c r="AR912">
        <v>62.810879267192718</v>
      </c>
      <c r="AS912">
        <v>325.32557238711968</v>
      </c>
      <c r="AT912">
        <v>26.071714274057616</v>
      </c>
      <c r="AU912">
        <v>4.3215773556548509</v>
      </c>
      <c r="AV912"/>
      <c r="AW912"/>
      <c r="FY912" s="210">
        <v>907</v>
      </c>
      <c r="FZ912">
        <v>28.981800040788062</v>
      </c>
      <c r="GA912">
        <v>57.611372747759404</v>
      </c>
      <c r="GB912">
        <v>32.955135328585769</v>
      </c>
      <c r="GC912">
        <v>9.8134474611303855</v>
      </c>
      <c r="GD912">
        <v>8.3085866785428788</v>
      </c>
      <c r="GE912">
        <v>10.191908053247808</v>
      </c>
      <c r="GF912">
        <v>10.056429041194296</v>
      </c>
      <c r="GG912">
        <v>24.855136821213968</v>
      </c>
      <c r="GH912">
        <v>23.93673228420603</v>
      </c>
      <c r="GI912">
        <v>37.154254292481397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66.07077754500699</v>
      </c>
      <c r="AO913">
        <v>62.067561473810756</v>
      </c>
      <c r="AP913">
        <v>417.24088692013214</v>
      </c>
      <c r="AQ913">
        <v>195.54153165992042</v>
      </c>
      <c r="AR913">
        <v>57.616171497772982</v>
      </c>
      <c r="AS913">
        <v>307.12469676253374</v>
      </c>
      <c r="AT913">
        <v>22.791673362332883</v>
      </c>
      <c r="AU913">
        <v>1.0877364277649244</v>
      </c>
      <c r="AV913"/>
      <c r="AW913"/>
      <c r="FY913" s="210">
        <v>908</v>
      </c>
      <c r="FZ913">
        <v>16.749564686551722</v>
      </c>
      <c r="GA913">
        <v>46.405118322876348</v>
      </c>
      <c r="GB913">
        <v>24.614978992457218</v>
      </c>
      <c r="GC913">
        <v>12.103573310808224</v>
      </c>
      <c r="GD913">
        <v>5.5653072406373747</v>
      </c>
      <c r="GE913">
        <v>3.3000411054235013</v>
      </c>
      <c r="GF913">
        <v>4.5312695598443149</v>
      </c>
      <c r="GG913">
        <v>9.1806890141953268</v>
      </c>
      <c r="GH913">
        <v>13.162130689710327</v>
      </c>
      <c r="GI913">
        <v>23.56356357327147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45.519440121543155</v>
      </c>
      <c r="AO914">
        <v>66.292234785986608</v>
      </c>
      <c r="AP914">
        <v>479.88502780091494</v>
      </c>
      <c r="AQ914">
        <v>181.65414703374097</v>
      </c>
      <c r="AR914">
        <v>63.471769306537716</v>
      </c>
      <c r="AS914">
        <v>295.64800585427395</v>
      </c>
      <c r="AT914">
        <v>24.322133770666699</v>
      </c>
      <c r="AU914">
        <v>-17.807021084716929</v>
      </c>
      <c r="AV914"/>
      <c r="AW914"/>
      <c r="FY914" s="210">
        <v>909</v>
      </c>
      <c r="FZ914">
        <v>24.358463903296155</v>
      </c>
      <c r="GA914">
        <v>74.971502332899334</v>
      </c>
      <c r="GB914">
        <v>42.777395226596326</v>
      </c>
      <c r="GC914">
        <v>14.478230319566958</v>
      </c>
      <c r="GD914">
        <v>9.1351177548053943</v>
      </c>
      <c r="GE914">
        <v>10.157198309748045</v>
      </c>
      <c r="GF914">
        <v>13.116687687111794</v>
      </c>
      <c r="GG914">
        <v>20.540611878647365</v>
      </c>
      <c r="GH914">
        <v>12.543673194595085</v>
      </c>
      <c r="GI914">
        <v>39.078178319133457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53.951136347841739</v>
      </c>
      <c r="AO915">
        <v>85.342912615732502</v>
      </c>
      <c r="AP915">
        <v>640.12748130786463</v>
      </c>
      <c r="AQ915">
        <v>232.36204110437134</v>
      </c>
      <c r="AR915">
        <v>78.506039384772038</v>
      </c>
      <c r="AS915">
        <v>393.11010390156571</v>
      </c>
      <c r="AT915">
        <v>32.976631042189091</v>
      </c>
      <c r="AU915">
        <v>21.481115602834265</v>
      </c>
      <c r="AV915"/>
      <c r="AW915"/>
      <c r="FY915" s="210">
        <v>910</v>
      </c>
      <c r="FZ915">
        <v>22.117438121256345</v>
      </c>
      <c r="GA915">
        <v>43.208398859973357</v>
      </c>
      <c r="GB915">
        <v>42.27415623601334</v>
      </c>
      <c r="GC915">
        <v>12.964933101101821</v>
      </c>
      <c r="GD915">
        <v>6.2452889983201842</v>
      </c>
      <c r="GE915">
        <v>6.8996625984299476</v>
      </c>
      <c r="GF915">
        <v>11.087759035934599</v>
      </c>
      <c r="GG915">
        <v>13.704377295099587</v>
      </c>
      <c r="GH915">
        <v>9.1148011625059304</v>
      </c>
      <c r="GI915">
        <v>34.369638724704679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50.281760173164137</v>
      </c>
      <c r="AO916">
        <v>61.453306070845358</v>
      </c>
      <c r="AP916">
        <v>505.94692115473759</v>
      </c>
      <c r="AQ916">
        <v>224.50473715473154</v>
      </c>
      <c r="AR916">
        <v>58.476736462752605</v>
      </c>
      <c r="AS916">
        <v>415.1670645320844</v>
      </c>
      <c r="AT916">
        <v>27.858784571152594</v>
      </c>
      <c r="AU916">
        <v>7.6260551999773636</v>
      </c>
      <c r="AV916"/>
      <c r="AW916"/>
      <c r="FY916" s="210">
        <v>911</v>
      </c>
      <c r="FZ916">
        <v>25.435616935325179</v>
      </c>
      <c r="GA916">
        <v>81.224405808913886</v>
      </c>
      <c r="GB916">
        <v>39.883876411996454</v>
      </c>
      <c r="GC916">
        <v>8.8294528366904022</v>
      </c>
      <c r="GD916">
        <v>4.5568215305497635</v>
      </c>
      <c r="GE916">
        <v>5.2450001209462416</v>
      </c>
      <c r="GF916">
        <v>8.1651321676461563</v>
      </c>
      <c r="GG916">
        <v>12.656239122528699</v>
      </c>
      <c r="GH916">
        <v>17.344968755082412</v>
      </c>
      <c r="GI916">
        <v>30.399374117543587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50.260846965417997</v>
      </c>
      <c r="AO917">
        <v>70.679790959995017</v>
      </c>
      <c r="AP917">
        <v>437.01175514931464</v>
      </c>
      <c r="AQ917">
        <v>178.52298190605299</v>
      </c>
      <c r="AR917">
        <v>65.149745222128772</v>
      </c>
      <c r="AS917">
        <v>447.74933712827578</v>
      </c>
      <c r="AT917">
        <v>24.952295986478195</v>
      </c>
      <c r="AU917">
        <v>-10.350678488102236</v>
      </c>
      <c r="AV917"/>
      <c r="AW917"/>
      <c r="FY917" s="210">
        <v>912</v>
      </c>
      <c r="FZ917">
        <v>25.512664630864325</v>
      </c>
      <c r="GA917">
        <v>58.818542200099316</v>
      </c>
      <c r="GB917">
        <v>24.053758347624424</v>
      </c>
      <c r="GC917">
        <v>7.9574835241353385</v>
      </c>
      <c r="GD917">
        <v>6.7990528893245115</v>
      </c>
      <c r="GE917">
        <v>9.8249648969025127</v>
      </c>
      <c r="GF917">
        <v>6.8578270792811358</v>
      </c>
      <c r="GG917">
        <v>11.186442539360208</v>
      </c>
      <c r="GH917">
        <v>19.164854824372565</v>
      </c>
      <c r="GI917">
        <v>29.144182009677923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56.723138398897014</v>
      </c>
      <c r="AO918">
        <v>81.199244376271366</v>
      </c>
      <c r="AP918">
        <v>659.57985465115621</v>
      </c>
      <c r="AQ918">
        <v>265.5473282326484</v>
      </c>
      <c r="AR918">
        <v>76.477545124764603</v>
      </c>
      <c r="AS918">
        <v>432.01783296357507</v>
      </c>
      <c r="AT918">
        <v>29.868165562666402</v>
      </c>
      <c r="AU918">
        <v>10.198412046560328</v>
      </c>
      <c r="AV918"/>
      <c r="AW918"/>
      <c r="FY918" s="210">
        <v>913</v>
      </c>
      <c r="FZ918">
        <v>23.439383000281865</v>
      </c>
      <c r="GA918">
        <v>58.867604712772746</v>
      </c>
      <c r="GB918">
        <v>59.873359824952544</v>
      </c>
      <c r="GC918">
        <v>11.68978409957653</v>
      </c>
      <c r="GD918">
        <v>4.6266792171647566</v>
      </c>
      <c r="GE918">
        <v>6.2321280273792556</v>
      </c>
      <c r="GF918">
        <v>9.5749214856177502</v>
      </c>
      <c r="GG918">
        <v>14.80638031624861</v>
      </c>
      <c r="GH918">
        <v>8.8164170994965794</v>
      </c>
      <c r="GI918">
        <v>41.379851682437994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62.466764507364282</v>
      </c>
      <c r="AO919">
        <v>81.01951827549685</v>
      </c>
      <c r="AP919">
        <v>589.13369380162544</v>
      </c>
      <c r="AQ919">
        <v>230.88434456857803</v>
      </c>
      <c r="AR919">
        <v>76.234274149637045</v>
      </c>
      <c r="AS919">
        <v>463.81140525902697</v>
      </c>
      <c r="AT919">
        <v>28.114875238049446</v>
      </c>
      <c r="AU919">
        <v>-15.694512310871161</v>
      </c>
      <c r="AV919"/>
      <c r="AW919"/>
      <c r="FY919" s="210">
        <v>914</v>
      </c>
      <c r="FZ919">
        <v>22.029746615899526</v>
      </c>
      <c r="GA919">
        <v>45.305946778572064</v>
      </c>
      <c r="GB919">
        <v>46.224802346834529</v>
      </c>
      <c r="GC919">
        <v>16.825760416128176</v>
      </c>
      <c r="GD919">
        <v>5.6613636303414099</v>
      </c>
      <c r="GE919">
        <v>1.9497158362354168</v>
      </c>
      <c r="GF919">
        <v>11.464325135960747</v>
      </c>
      <c r="GG919">
        <v>18.274805004618809</v>
      </c>
      <c r="GH919">
        <v>9.5422717088415716</v>
      </c>
      <c r="GI919">
        <v>40.497181901026984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46.726192085402765</v>
      </c>
      <c r="AO920">
        <v>69.539356576821717</v>
      </c>
      <c r="AP920">
        <v>534.64461383585603</v>
      </c>
      <c r="AQ920">
        <v>214.10854417959325</v>
      </c>
      <c r="AR920">
        <v>64.946208769751749</v>
      </c>
      <c r="AS920">
        <v>447.21608856433556</v>
      </c>
      <c r="AT920">
        <v>27.213940642175327</v>
      </c>
      <c r="AU920">
        <v>-19.270371737596161</v>
      </c>
      <c r="AV920"/>
      <c r="AW920"/>
      <c r="FY920" s="210">
        <v>915</v>
      </c>
      <c r="FZ920">
        <v>23.413441890653942</v>
      </c>
      <c r="GA920">
        <v>46.814731965021053</v>
      </c>
      <c r="GB920">
        <v>25.709704594402258</v>
      </c>
      <c r="GC920">
        <v>15.395117903256105</v>
      </c>
      <c r="GD920">
        <v>9.5303292369263115</v>
      </c>
      <c r="GE920">
        <v>8.3607540854730651</v>
      </c>
      <c r="GF920">
        <v>10.485794916216891</v>
      </c>
      <c r="GG920">
        <v>11.809876281647474</v>
      </c>
      <c r="GH920">
        <v>7.3151993462039044</v>
      </c>
      <c r="GI920">
        <v>33.475779442513591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62.076078407086563</v>
      </c>
      <c r="AO921">
        <v>82.045762765565357</v>
      </c>
      <c r="AP921">
        <v>509.74782487531354</v>
      </c>
      <c r="AQ921">
        <v>220.82338826865549</v>
      </c>
      <c r="AR921">
        <v>78.348933181254765</v>
      </c>
      <c r="AS921">
        <v>640.68113840767694</v>
      </c>
      <c r="AT921">
        <v>31.968845977007017</v>
      </c>
      <c r="AU921">
        <v>6.4220664777529706</v>
      </c>
      <c r="AV921"/>
      <c r="AW921"/>
      <c r="FY921" s="210">
        <v>916</v>
      </c>
      <c r="FZ921">
        <v>23.50051353584437</v>
      </c>
      <c r="GA921">
        <v>34.494613177970706</v>
      </c>
      <c r="GB921">
        <v>28.668889329619109</v>
      </c>
      <c r="GC921">
        <v>8.800125728201408</v>
      </c>
      <c r="GD921">
        <v>5.546759583375521</v>
      </c>
      <c r="GE921">
        <v>7.7072990615855206</v>
      </c>
      <c r="GF921">
        <v>7.7650045325550163</v>
      </c>
      <c r="GG921">
        <v>13.633216768877524</v>
      </c>
      <c r="GH921">
        <v>19.214492214550535</v>
      </c>
      <c r="GI921">
        <v>29.467856982127049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49.886219321434972</v>
      </c>
      <c r="AO922">
        <v>77.355866809418515</v>
      </c>
      <c r="AP922">
        <v>587.00339559819918</v>
      </c>
      <c r="AQ922">
        <v>205.30389176444328</v>
      </c>
      <c r="AR922">
        <v>73.734625886564004</v>
      </c>
      <c r="AS922">
        <v>445.42790452339023</v>
      </c>
      <c r="AT922">
        <v>31.938545002589734</v>
      </c>
      <c r="AU922">
        <v>-43.7033310328355</v>
      </c>
      <c r="AV922"/>
      <c r="AW922"/>
      <c r="FY922" s="210">
        <v>917</v>
      </c>
      <c r="FZ922">
        <v>20.774585956664279</v>
      </c>
      <c r="GA922">
        <v>35.987893924618049</v>
      </c>
      <c r="GB922">
        <v>28.549185678373284</v>
      </c>
      <c r="GC922">
        <v>8.5985185073366086</v>
      </c>
      <c r="GD922">
        <v>4.1713497101648169</v>
      </c>
      <c r="GE922">
        <v>5.2689126634336949</v>
      </c>
      <c r="GF922">
        <v>9.0073860038622993</v>
      </c>
      <c r="GG922">
        <v>19.320164042630626</v>
      </c>
      <c r="GH922">
        <v>21.459267026214803</v>
      </c>
      <c r="GI922">
        <v>27.699957196676049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60.03601764587129</v>
      </c>
      <c r="AO923">
        <v>80.707011234051961</v>
      </c>
      <c r="AP923">
        <v>610.22350670245248</v>
      </c>
      <c r="AQ923">
        <v>243.86480274914996</v>
      </c>
      <c r="AR923">
        <v>76.363102876143088</v>
      </c>
      <c r="AS923">
        <v>363.96345688868587</v>
      </c>
      <c r="AT923">
        <v>32.790875983505266</v>
      </c>
      <c r="AU923">
        <v>-12.184803455882783</v>
      </c>
      <c r="AV923"/>
      <c r="AW923"/>
      <c r="FY923" s="210">
        <v>918</v>
      </c>
      <c r="FZ923">
        <v>33.364917459398661</v>
      </c>
      <c r="GA923">
        <v>75.348875377900043</v>
      </c>
      <c r="GB923">
        <v>28.187916361085353</v>
      </c>
      <c r="GC923">
        <v>8.2795576058196723</v>
      </c>
      <c r="GD923">
        <v>5.1190079569506732</v>
      </c>
      <c r="GE923">
        <v>6.7077771116578244</v>
      </c>
      <c r="GF923">
        <v>10.96618266516559</v>
      </c>
      <c r="GG923">
        <v>23.079214911191073</v>
      </c>
      <c r="GH923">
        <v>24.711865842617815</v>
      </c>
      <c r="GI923">
        <v>29.257161204237555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50.694501772347408</v>
      </c>
      <c r="AO924">
        <v>48.158783295838703</v>
      </c>
      <c r="AP924">
        <v>349.58579480204088</v>
      </c>
      <c r="AQ924">
        <v>159.17623649577584</v>
      </c>
      <c r="AR924">
        <v>45.69096022654162</v>
      </c>
      <c r="AS924">
        <v>240.90000667726085</v>
      </c>
      <c r="AT924">
        <v>18.340355439631008</v>
      </c>
      <c r="AU924">
        <v>-6.2632853263780026</v>
      </c>
      <c r="AV924"/>
      <c r="AW924"/>
      <c r="FY924" s="210">
        <v>919</v>
      </c>
      <c r="FZ924">
        <v>24.587058424884962</v>
      </c>
      <c r="GA924">
        <v>55.443152730338738</v>
      </c>
      <c r="GB924">
        <v>62.031760705125535</v>
      </c>
      <c r="GC924">
        <v>13.990671623313338</v>
      </c>
      <c r="GD924">
        <v>9.9469777188192801</v>
      </c>
      <c r="GE924">
        <v>15.856977415493237</v>
      </c>
      <c r="GF924">
        <v>9.4796939348488696</v>
      </c>
      <c r="GG924">
        <v>16.493106898936027</v>
      </c>
      <c r="GH924">
        <v>18.936728455486659</v>
      </c>
      <c r="GI924">
        <v>48.563987818513091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64.881883495528712</v>
      </c>
      <c r="AO925">
        <v>80.973781759029364</v>
      </c>
      <c r="AP925">
        <v>604.58043067896153</v>
      </c>
      <c r="AQ925">
        <v>261.15705892639994</v>
      </c>
      <c r="AR925">
        <v>76.511278473014556</v>
      </c>
      <c r="AS925">
        <v>539.46562621438773</v>
      </c>
      <c r="AT925">
        <v>33.88640105914515</v>
      </c>
      <c r="AU925">
        <v>-77.800157568079356</v>
      </c>
      <c r="AV925"/>
      <c r="AW925"/>
      <c r="FY925" s="210">
        <v>920</v>
      </c>
      <c r="FZ925">
        <v>29.474921214220089</v>
      </c>
      <c r="GA925">
        <v>73.569764277261115</v>
      </c>
      <c r="GB925">
        <v>43.10234571418912</v>
      </c>
      <c r="GC925">
        <v>13.777619522248212</v>
      </c>
      <c r="GD925">
        <v>7.5680945848198027</v>
      </c>
      <c r="GE925">
        <v>7.4683647621324569</v>
      </c>
      <c r="GF925">
        <v>8.3064026394399484</v>
      </c>
      <c r="GG925">
        <v>15.082056878675656</v>
      </c>
      <c r="GH925">
        <v>20.240490041911556</v>
      </c>
      <c r="GI925">
        <v>38.356541475543729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60.812433669193148</v>
      </c>
      <c r="AO926">
        <v>71.575851200563818</v>
      </c>
      <c r="AP926">
        <v>494.38242191042139</v>
      </c>
      <c r="AQ926">
        <v>201.98645413333981</v>
      </c>
      <c r="AR926">
        <v>66.726904748969758</v>
      </c>
      <c r="AS926">
        <v>436.81855201029106</v>
      </c>
      <c r="AT926">
        <v>25.855766014525226</v>
      </c>
      <c r="AU926">
        <v>-23.546070585538544</v>
      </c>
      <c r="AV926"/>
      <c r="AW926"/>
      <c r="FY926" s="210">
        <v>921</v>
      </c>
      <c r="FZ926">
        <v>34.783188730661955</v>
      </c>
      <c r="GA926">
        <v>55.225220942548496</v>
      </c>
      <c r="GB926">
        <v>22.388692351643286</v>
      </c>
      <c r="GC926">
        <v>7.8115737581211935</v>
      </c>
      <c r="GD926">
        <v>6.9252894587169331</v>
      </c>
      <c r="GE926">
        <v>9.2736682551833294</v>
      </c>
      <c r="GF926">
        <v>13.131087199755683</v>
      </c>
      <c r="GG926">
        <v>21.77313460583391</v>
      </c>
      <c r="GH926">
        <v>14.734968232017387</v>
      </c>
      <c r="GI926">
        <v>29.963165847271174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53.782000464560838</v>
      </c>
      <c r="AO927">
        <v>63.627092682282715</v>
      </c>
      <c r="AP927">
        <v>546.12618178304604</v>
      </c>
      <c r="AQ927">
        <v>233.74088780722275</v>
      </c>
      <c r="AR927">
        <v>59.511894782267518</v>
      </c>
      <c r="AS927">
        <v>366.14984692009062</v>
      </c>
      <c r="AT927">
        <v>25.452205859530451</v>
      </c>
      <c r="AU927">
        <v>-34.871869298975732</v>
      </c>
      <c r="AV927"/>
      <c r="AW927"/>
      <c r="FY927" s="210">
        <v>922</v>
      </c>
      <c r="FZ927">
        <v>13.146985775353279</v>
      </c>
      <c r="GA927">
        <v>50.098444706352026</v>
      </c>
      <c r="GB927">
        <v>32.958040573508896</v>
      </c>
      <c r="GC927">
        <v>9.9158553838113672</v>
      </c>
      <c r="GD927">
        <v>3.4861652898869688</v>
      </c>
      <c r="GE927">
        <v>1.9991150720066888</v>
      </c>
      <c r="GF927">
        <v>10.509087890099243</v>
      </c>
      <c r="GG927">
        <v>15.327790990630595</v>
      </c>
      <c r="GH927">
        <v>6.6717820146066869</v>
      </c>
      <c r="GI927">
        <v>25.747294287568504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60.885646787377993</v>
      </c>
      <c r="AO928">
        <v>59.616139904528424</v>
      </c>
      <c r="AP928">
        <v>396.017918751183</v>
      </c>
      <c r="AQ928">
        <v>199.31977294164224</v>
      </c>
      <c r="AR928">
        <v>55.235287791132038</v>
      </c>
      <c r="AS928">
        <v>314.89138150801091</v>
      </c>
      <c r="AT928">
        <v>21.391124570829238</v>
      </c>
      <c r="AU928">
        <v>16.756136767930521</v>
      </c>
      <c r="AV928"/>
      <c r="AW928"/>
      <c r="FY928" s="210">
        <v>923</v>
      </c>
      <c r="FZ928">
        <v>24.43057433987401</v>
      </c>
      <c r="GA928">
        <v>43.907940784338422</v>
      </c>
      <c r="GB928">
        <v>13.92906771822758</v>
      </c>
      <c r="GC928">
        <v>7.6971147347440958</v>
      </c>
      <c r="GD928">
        <v>7.337767255847254</v>
      </c>
      <c r="GE928">
        <v>10.396291165293782</v>
      </c>
      <c r="GF928">
        <v>8.5652640408375422</v>
      </c>
      <c r="GG928">
        <v>16.216138627651695</v>
      </c>
      <c r="GH928">
        <v>20.375720186530462</v>
      </c>
      <c r="GI928">
        <v>26.433378317532885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58.740869348654257</v>
      </c>
      <c r="AO929">
        <v>96.81126828120766</v>
      </c>
      <c r="AP929">
        <v>736.38322364011458</v>
      </c>
      <c r="AQ929">
        <v>239.30650946592863</v>
      </c>
      <c r="AR929">
        <v>88.916085172130025</v>
      </c>
      <c r="AS929">
        <v>569.94342298252855</v>
      </c>
      <c r="AT929">
        <v>34.1323326609131</v>
      </c>
      <c r="AU929">
        <v>66.963605855499964</v>
      </c>
      <c r="AV929"/>
      <c r="AW929"/>
      <c r="FY929" s="210">
        <v>924</v>
      </c>
      <c r="FZ929">
        <v>16.100113033889251</v>
      </c>
      <c r="GA929">
        <v>51.69254243145329</v>
      </c>
      <c r="GB929">
        <v>28.75406332342023</v>
      </c>
      <c r="GC929">
        <v>13.012596449418602</v>
      </c>
      <c r="GD929">
        <v>8.6002038050445755</v>
      </c>
      <c r="GE929">
        <v>8.2629682886942373</v>
      </c>
      <c r="GF929">
        <v>14.462294985852186</v>
      </c>
      <c r="GG929">
        <v>21.217236172450278</v>
      </c>
      <c r="GH929">
        <v>11.337282780018121</v>
      </c>
      <c r="GI929">
        <v>36.043226569561881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56.913349670873842</v>
      </c>
      <c r="AO930">
        <v>89.76691992310981</v>
      </c>
      <c r="AP930">
        <v>614.65792090235618</v>
      </c>
      <c r="AQ930">
        <v>217.77591937445919</v>
      </c>
      <c r="AR930">
        <v>83.452465580264402</v>
      </c>
      <c r="AS930">
        <v>471.98900403815298</v>
      </c>
      <c r="AT930">
        <v>32.43982196338041</v>
      </c>
      <c r="AU930">
        <v>-45.268454939931345</v>
      </c>
      <c r="AV930"/>
      <c r="AW930"/>
      <c r="FY930" s="210">
        <v>925</v>
      </c>
      <c r="FZ930">
        <v>39.933760778065519</v>
      </c>
      <c r="GA930">
        <v>52.833567040116606</v>
      </c>
      <c r="GB930">
        <v>28.270316712740609</v>
      </c>
      <c r="GC930">
        <v>10.136922122797881</v>
      </c>
      <c r="GD930">
        <v>5.8079812689453734</v>
      </c>
      <c r="GE930">
        <v>5.8611718565081237</v>
      </c>
      <c r="GF930">
        <v>8.7642270493101559</v>
      </c>
      <c r="GG930">
        <v>15.104620956344801</v>
      </c>
      <c r="GH930">
        <v>18.436450340107253</v>
      </c>
      <c r="GI930">
        <v>32.931187239857152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66.012940600021778</v>
      </c>
      <c r="AO931">
        <v>66.972520918557734</v>
      </c>
      <c r="AP931">
        <v>374.63303437211999</v>
      </c>
      <c r="AQ931">
        <v>192.31072966231457</v>
      </c>
      <c r="AR931">
        <v>62.351951037809108</v>
      </c>
      <c r="AS931">
        <v>483.60232196964751</v>
      </c>
      <c r="AT931">
        <v>25.407309038793077</v>
      </c>
      <c r="AU931">
        <v>47.99371035570811</v>
      </c>
      <c r="AV931"/>
      <c r="AW931"/>
      <c r="FY931" s="210">
        <v>926</v>
      </c>
      <c r="FZ931">
        <v>19.047431136314174</v>
      </c>
      <c r="GA931">
        <v>42.270405363711347</v>
      </c>
      <c r="GB931">
        <v>18.388006786769608</v>
      </c>
      <c r="GC931">
        <v>8.1178760164666706</v>
      </c>
      <c r="GD931">
        <v>7.3022953616062072</v>
      </c>
      <c r="GE931">
        <v>9.700370476743009</v>
      </c>
      <c r="GF931">
        <v>10.363783491052937</v>
      </c>
      <c r="GG931">
        <v>15.593510984010564</v>
      </c>
      <c r="GH931">
        <v>17.865223778396732</v>
      </c>
      <c r="GI931">
        <v>22.905701967461336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49.593555134657592</v>
      </c>
      <c r="AO932">
        <v>62.149388694743223</v>
      </c>
      <c r="AP932">
        <v>426.34928744521983</v>
      </c>
      <c r="AQ932">
        <v>178.79877091470675</v>
      </c>
      <c r="AR932">
        <v>58.556489993019753</v>
      </c>
      <c r="AS932">
        <v>470.04341621238729</v>
      </c>
      <c r="AT932">
        <v>23.352422872683217</v>
      </c>
      <c r="AU932">
        <v>12.825859227454728</v>
      </c>
      <c r="AV932"/>
      <c r="AW932"/>
      <c r="FY932" s="210">
        <v>927</v>
      </c>
      <c r="FZ932">
        <v>27.375267126608211</v>
      </c>
      <c r="GA932">
        <v>43.552865047003209</v>
      </c>
      <c r="GB932">
        <v>24.229204754778745</v>
      </c>
      <c r="GC932">
        <v>9.6976679484505208</v>
      </c>
      <c r="GD932">
        <v>5.506798255644255</v>
      </c>
      <c r="GE932">
        <v>4.6003067935801099</v>
      </c>
      <c r="GF932">
        <v>11.852009679681785</v>
      </c>
      <c r="GG932">
        <v>26.941513304920452</v>
      </c>
      <c r="GH932">
        <v>29.191636632786302</v>
      </c>
      <c r="GI932">
        <v>33.486907142043286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44.203585251115463</v>
      </c>
      <c r="AO933">
        <v>58.823388740991071</v>
      </c>
      <c r="AP933">
        <v>448.36439668027083</v>
      </c>
      <c r="AQ933">
        <v>180.8372207099745</v>
      </c>
      <c r="AR933">
        <v>55.897152065535359</v>
      </c>
      <c r="AS933">
        <v>335.5259754154053</v>
      </c>
      <c r="AT933">
        <v>22.914625660629273</v>
      </c>
      <c r="AU933">
        <v>41.599715166859916</v>
      </c>
      <c r="AV933"/>
      <c r="AW933"/>
      <c r="FY933" s="210">
        <v>928</v>
      </c>
      <c r="FZ933">
        <v>26.699299023264217</v>
      </c>
      <c r="GA933">
        <v>47.612471644188595</v>
      </c>
      <c r="GB933">
        <v>28.868918619401651</v>
      </c>
      <c r="GC933">
        <v>11.085174033202591</v>
      </c>
      <c r="GD933">
        <v>6.5961826725287303</v>
      </c>
      <c r="GE933">
        <v>8.1796783520154399</v>
      </c>
      <c r="GF933">
        <v>7.98441974208649</v>
      </c>
      <c r="GG933">
        <v>14.121899516375525</v>
      </c>
      <c r="GH933">
        <v>19.253841219148523</v>
      </c>
      <c r="GI933">
        <v>31.366028933949959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63.88551541323185</v>
      </c>
      <c r="AO934">
        <v>60.427329671294885</v>
      </c>
      <c r="AP934">
        <v>535.67013040180996</v>
      </c>
      <c r="AQ934">
        <v>245.02247649602421</v>
      </c>
      <c r="AR934">
        <v>56.524690383987107</v>
      </c>
      <c r="AS934">
        <v>406.97833906451814</v>
      </c>
      <c r="AT934">
        <v>25.080370882910106</v>
      </c>
      <c r="AU934">
        <v>21.839779916719799</v>
      </c>
      <c r="AV934"/>
      <c r="AW934"/>
      <c r="FY934" s="210">
        <v>929</v>
      </c>
      <c r="FZ934">
        <v>14.380456797995453</v>
      </c>
      <c r="GA934">
        <v>30.624818931650204</v>
      </c>
      <c r="GB934">
        <v>22.823976669268436</v>
      </c>
      <c r="GC934">
        <v>7.2242838142112342</v>
      </c>
      <c r="GD934">
        <v>7.6873331982851925</v>
      </c>
      <c r="GE934">
        <v>11.590297899660852</v>
      </c>
      <c r="GF934">
        <v>9.2943547946644021</v>
      </c>
      <c r="GG934">
        <v>9.2794651914063255</v>
      </c>
      <c r="GH934">
        <v>9.8362559446345639</v>
      </c>
      <c r="GI934">
        <v>25.575914414399655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82.90805390447801</v>
      </c>
      <c r="AO935">
        <v>106.48897283856977</v>
      </c>
      <c r="AP935">
        <v>749.3050881244933</v>
      </c>
      <c r="AQ935">
        <v>275.33011572575975</v>
      </c>
      <c r="AR935">
        <v>98.703335480894012</v>
      </c>
      <c r="AS935">
        <v>456.3828762286314</v>
      </c>
      <c r="AT935">
        <v>36.710102327311411</v>
      </c>
      <c r="AU935">
        <v>69.453220480067131</v>
      </c>
      <c r="AV935"/>
      <c r="AW935"/>
      <c r="FY935" s="210">
        <v>930</v>
      </c>
      <c r="FZ935">
        <v>25.005976144843132</v>
      </c>
      <c r="GA935">
        <v>62.925594453299446</v>
      </c>
      <c r="GB935">
        <v>24.513628541504225</v>
      </c>
      <c r="GC935">
        <v>10.56727904705436</v>
      </c>
      <c r="GD935">
        <v>8.6897704994823304</v>
      </c>
      <c r="GE935">
        <v>9.4256208680234774</v>
      </c>
      <c r="GF935">
        <v>6.1484829158683354</v>
      </c>
      <c r="GG935">
        <v>10.079751662021936</v>
      </c>
      <c r="GH935">
        <v>16.305883445536843</v>
      </c>
      <c r="GI935">
        <v>29.777371110454862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61.225979322061718</v>
      </c>
      <c r="AO936">
        <v>82.026318085228823</v>
      </c>
      <c r="AP936">
        <v>625.83566268695995</v>
      </c>
      <c r="AQ936">
        <v>256.94660111044163</v>
      </c>
      <c r="AR936">
        <v>77.039820104752309</v>
      </c>
      <c r="AS936">
        <v>368.06566969999528</v>
      </c>
      <c r="AT936">
        <v>30.168825930231407</v>
      </c>
      <c r="AU936">
        <v>-23.52183723363456</v>
      </c>
      <c r="AV936"/>
      <c r="AW936"/>
      <c r="FY936" s="210">
        <v>931</v>
      </c>
      <c r="FZ936">
        <v>29.163325141762407</v>
      </c>
      <c r="GA936">
        <v>52.303923470312903</v>
      </c>
      <c r="GB936">
        <v>33.139536667532482</v>
      </c>
      <c r="GC936">
        <v>10.002484832359432</v>
      </c>
      <c r="GD936">
        <v>5.1468438367399987</v>
      </c>
      <c r="GE936">
        <v>5.8594786431196386</v>
      </c>
      <c r="GF936">
        <v>10.284413906905954</v>
      </c>
      <c r="GG936">
        <v>16.28031460001565</v>
      </c>
      <c r="GH936">
        <v>18.325326599225676</v>
      </c>
      <c r="GI936">
        <v>30.369283297408138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57.163437827353356</v>
      </c>
      <c r="AO937">
        <v>61.159873512554121</v>
      </c>
      <c r="AP937">
        <v>490.69809378174506</v>
      </c>
      <c r="AQ937">
        <v>216.00998938175337</v>
      </c>
      <c r="AR937">
        <v>59.554548272858845</v>
      </c>
      <c r="AS937">
        <v>391.65320433275008</v>
      </c>
      <c r="AT937">
        <v>24.709122489767285</v>
      </c>
      <c r="AU937">
        <v>20.035075748441962</v>
      </c>
      <c r="AV937"/>
      <c r="AW937"/>
      <c r="FY937" s="210">
        <v>932</v>
      </c>
      <c r="FZ937">
        <v>26.837402100366411</v>
      </c>
      <c r="GA937">
        <v>59.995565326670445</v>
      </c>
      <c r="GB937">
        <v>43.970640973987209</v>
      </c>
      <c r="GC937">
        <v>12.109555425890692</v>
      </c>
      <c r="GD937">
        <v>3.9502972232950504</v>
      </c>
      <c r="GE937">
        <v>3.1663553314665149</v>
      </c>
      <c r="GF937">
        <v>11.003963440734617</v>
      </c>
      <c r="GG937">
        <v>18.924243227537882</v>
      </c>
      <c r="GH937">
        <v>20.009955344557273</v>
      </c>
      <c r="GI937">
        <v>35.774851831276656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46.359708926509654</v>
      </c>
      <c r="AO938">
        <v>53.187794469635548</v>
      </c>
      <c r="AP938">
        <v>409.24002123935009</v>
      </c>
      <c r="AQ938">
        <v>169.86056198382425</v>
      </c>
      <c r="AR938">
        <v>49.736073658137762</v>
      </c>
      <c r="AS938">
        <v>402.83833780141174</v>
      </c>
      <c r="AT938">
        <v>20.293981526202472</v>
      </c>
      <c r="AU938">
        <v>12.88878057916591</v>
      </c>
      <c r="AV938"/>
      <c r="AW938"/>
      <c r="FY938" s="210">
        <v>933</v>
      </c>
      <c r="FZ938">
        <v>28.546884818893844</v>
      </c>
      <c r="GA938">
        <v>122.62155421772678</v>
      </c>
      <c r="GB938">
        <v>48.701617966266156</v>
      </c>
      <c r="GC938">
        <v>10.339404728327834</v>
      </c>
      <c r="GD938">
        <v>6.721682781297261</v>
      </c>
      <c r="GE938">
        <v>6.5515909777831789</v>
      </c>
      <c r="GF938">
        <v>10.198896859661289</v>
      </c>
      <c r="GG938">
        <v>17.031227260710089</v>
      </c>
      <c r="GH938">
        <v>12.836999507289446</v>
      </c>
      <c r="GI938">
        <v>41.239248018960801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54.712541768335925</v>
      </c>
      <c r="AO939">
        <v>53.093678081700759</v>
      </c>
      <c r="AP939">
        <v>362.26828902584913</v>
      </c>
      <c r="AQ939">
        <v>179.28925717087773</v>
      </c>
      <c r="AR939">
        <v>50.932194162228612</v>
      </c>
      <c r="AS939">
        <v>302.61261582556875</v>
      </c>
      <c r="AT939">
        <v>22.804644731321009</v>
      </c>
      <c r="AU939">
        <v>1.3142559758889814</v>
      </c>
      <c r="AV939"/>
      <c r="AW939"/>
      <c r="FY939" s="210">
        <v>934</v>
      </c>
      <c r="FZ939">
        <v>31.599149806140041</v>
      </c>
      <c r="GA939">
        <v>40.716913279718227</v>
      </c>
      <c r="GB939">
        <v>29.534407323618865</v>
      </c>
      <c r="GC939">
        <v>11.779176384570951</v>
      </c>
      <c r="GD939">
        <v>3.6009861839295976</v>
      </c>
      <c r="GE939">
        <v>2.6261815876942407</v>
      </c>
      <c r="GF939">
        <v>12.897762009324541</v>
      </c>
      <c r="GG939">
        <v>28.636861368069958</v>
      </c>
      <c r="GH939">
        <v>29.864405253491807</v>
      </c>
      <c r="GI939">
        <v>30.040638642612606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64.35798997784822</v>
      </c>
      <c r="AO940">
        <v>79.878018347741133</v>
      </c>
      <c r="AP940">
        <v>547.44091834176095</v>
      </c>
      <c r="AQ940">
        <v>209.48252783980263</v>
      </c>
      <c r="AR940">
        <v>73.415261801140531</v>
      </c>
      <c r="AS940">
        <v>483.65282320908756</v>
      </c>
      <c r="AT940">
        <v>28.061578492431806</v>
      </c>
      <c r="AU940">
        <v>29.649992076543349</v>
      </c>
      <c r="AV940"/>
      <c r="AW940"/>
      <c r="FY940" s="210">
        <v>935</v>
      </c>
      <c r="FZ940">
        <v>28.407214535442343</v>
      </c>
      <c r="GA940">
        <v>50.018982827038471</v>
      </c>
      <c r="GB940">
        <v>39.805657452644603</v>
      </c>
      <c r="GC940">
        <v>10.793718040416959</v>
      </c>
      <c r="GD940">
        <v>6.3852807298126306</v>
      </c>
      <c r="GE940">
        <v>8.9287439976519476</v>
      </c>
      <c r="GF940">
        <v>9.1593109230798877</v>
      </c>
      <c r="GG940">
        <v>19.248697178600967</v>
      </c>
      <c r="GH940">
        <v>27.285093772288651</v>
      </c>
      <c r="GI940">
        <v>34.655583930626619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60.972145767370513</v>
      </c>
      <c r="AO941">
        <v>68.699230995905538</v>
      </c>
      <c r="AP941">
        <v>485.2137339058105</v>
      </c>
      <c r="AQ941">
        <v>218.08020536479347</v>
      </c>
      <c r="AR941">
        <v>66.299048670776983</v>
      </c>
      <c r="AS941">
        <v>486.70046113769007</v>
      </c>
      <c r="AT941">
        <v>25.259584885500104</v>
      </c>
      <c r="AU941">
        <v>17.882046476805854</v>
      </c>
      <c r="AV941"/>
      <c r="AW941"/>
      <c r="FY941" s="210">
        <v>936</v>
      </c>
      <c r="FZ941">
        <v>21.522965151085121</v>
      </c>
      <c r="GA941">
        <v>45.438608156039507</v>
      </c>
      <c r="GB941">
        <v>35.534641530330191</v>
      </c>
      <c r="GC941">
        <v>11.481546912323008</v>
      </c>
      <c r="GD941">
        <v>4.4892259175674942</v>
      </c>
      <c r="GE941">
        <v>2.7643154688002878</v>
      </c>
      <c r="GF941">
        <v>6.6476004300703408</v>
      </c>
      <c r="GG941">
        <v>12.243864408315485</v>
      </c>
      <c r="GH941">
        <v>14.889528951328446</v>
      </c>
      <c r="GI941">
        <v>29.664871408046903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51.835356067422197</v>
      </c>
      <c r="AO942">
        <v>42.611395925072159</v>
      </c>
      <c r="AP942">
        <v>318.95420637659976</v>
      </c>
      <c r="AQ942">
        <v>171.55460536253261</v>
      </c>
      <c r="AR942">
        <v>40.85736646924687</v>
      </c>
      <c r="AS942">
        <v>273.57592396332063</v>
      </c>
      <c r="AT942">
        <v>17.825480573800771</v>
      </c>
      <c r="AU942">
        <v>-12.715948466180118</v>
      </c>
      <c r="AV942"/>
      <c r="AW942"/>
      <c r="FY942" s="210">
        <v>937</v>
      </c>
      <c r="FZ942">
        <v>19.004013162174559</v>
      </c>
      <c r="GA942">
        <v>42.853786155799625</v>
      </c>
      <c r="GB942">
        <v>37.895585497918837</v>
      </c>
      <c r="GC942">
        <v>14.534300267794583</v>
      </c>
      <c r="GD942">
        <v>7.2297475220352156</v>
      </c>
      <c r="GE942">
        <v>4.8479191923054739</v>
      </c>
      <c r="GF942">
        <v>7.8365017807203587</v>
      </c>
      <c r="GG942">
        <v>16.900192398359025</v>
      </c>
      <c r="GH942">
        <v>19.586688667162829</v>
      </c>
      <c r="GI942">
        <v>35.836450417578199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48.156109658217758</v>
      </c>
      <c r="AO943">
        <v>70.988308556171063</v>
      </c>
      <c r="AP943">
        <v>505.48143711773542</v>
      </c>
      <c r="AQ943">
        <v>216.43417668549688</v>
      </c>
      <c r="AR943">
        <v>66.599741245197222</v>
      </c>
      <c r="AS943">
        <v>528.94015045174376</v>
      </c>
      <c r="AT943">
        <v>27.586081914860213</v>
      </c>
      <c r="AU943">
        <v>-22.379376890361918</v>
      </c>
      <c r="AV943"/>
      <c r="AW943"/>
      <c r="FY943" s="210">
        <v>938</v>
      </c>
      <c r="FZ943">
        <v>20.010700080947633</v>
      </c>
      <c r="GA943">
        <v>40.130587726203984</v>
      </c>
      <c r="GB943">
        <v>18.786811013074093</v>
      </c>
      <c r="GC943">
        <v>7.8487976743508003</v>
      </c>
      <c r="GD943">
        <v>6.8211221191342251</v>
      </c>
      <c r="GE943">
        <v>7.7907091251029934</v>
      </c>
      <c r="GF943">
        <v>9.0471686891649519</v>
      </c>
      <c r="GG943">
        <v>26.934239836110962</v>
      </c>
      <c r="GH943">
        <v>42.055700130367761</v>
      </c>
      <c r="GI943">
        <v>30.878731724274818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57.45911485183192</v>
      </c>
      <c r="AO944">
        <v>65.260518988124176</v>
      </c>
      <c r="AP944">
        <v>449.66832627306843</v>
      </c>
      <c r="AQ944">
        <v>201.7679137561617</v>
      </c>
      <c r="AR944">
        <v>62.46568443125004</v>
      </c>
      <c r="AS944">
        <v>361.54144117774752</v>
      </c>
      <c r="AT944">
        <v>24.278149298840912</v>
      </c>
      <c r="AU944">
        <v>30.779883403655045</v>
      </c>
      <c r="AV944"/>
      <c r="AW944"/>
      <c r="FY944" s="210">
        <v>939</v>
      </c>
      <c r="FZ944">
        <v>21.314280724992013</v>
      </c>
      <c r="GA944">
        <v>36.150230244525872</v>
      </c>
      <c r="GB944">
        <v>13.543989188965137</v>
      </c>
      <c r="GC944">
        <v>10.622943927504545</v>
      </c>
      <c r="GD944">
        <v>6.6826394139711489</v>
      </c>
      <c r="GE944">
        <v>4.5730928794864969</v>
      </c>
      <c r="GF944">
        <v>5.7231209481025651</v>
      </c>
      <c r="GG944">
        <v>12.88516262730189</v>
      </c>
      <c r="GH944">
        <v>20.050029152857309</v>
      </c>
      <c r="GI944">
        <v>25.284561561556256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49.936701363351162</v>
      </c>
      <c r="AO945">
        <v>50.879673218682662</v>
      </c>
      <c r="AP945">
        <v>315.09424317979312</v>
      </c>
      <c r="AQ945">
        <v>148.31715765617631</v>
      </c>
      <c r="AR945">
        <v>47.546919367948902</v>
      </c>
      <c r="AS945">
        <v>284.25318032339385</v>
      </c>
      <c r="AT945">
        <v>18.384102998071143</v>
      </c>
      <c r="AU945">
        <v>15.077897173590056</v>
      </c>
      <c r="AV945"/>
      <c r="AW945"/>
      <c r="FY945" s="210">
        <v>940</v>
      </c>
      <c r="FZ945">
        <v>18.37335620755228</v>
      </c>
      <c r="GA945">
        <v>40.129693013659711</v>
      </c>
      <c r="GB945">
        <v>27.770209883139707</v>
      </c>
      <c r="GC945">
        <v>14.486672061063004</v>
      </c>
      <c r="GD945">
        <v>9.0021931462522407</v>
      </c>
      <c r="GE945">
        <v>10.012187733090174</v>
      </c>
      <c r="GF945">
        <v>12.998492584775178</v>
      </c>
      <c r="GG945">
        <v>23.615644018472572</v>
      </c>
      <c r="GH945">
        <v>17.519841081897834</v>
      </c>
      <c r="GI945">
        <v>33.38976098103246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54.791988924847658</v>
      </c>
      <c r="AO946">
        <v>61.878862986249125</v>
      </c>
      <c r="AP946">
        <v>436.81597299224148</v>
      </c>
      <c r="AQ946">
        <v>203.43935868808893</v>
      </c>
      <c r="AR946">
        <v>59.119794496090897</v>
      </c>
      <c r="AS946">
        <v>329.15992605571705</v>
      </c>
      <c r="AT946">
        <v>22.886495136440555</v>
      </c>
      <c r="AU946">
        <v>14.668411505014985</v>
      </c>
      <c r="AV946"/>
      <c r="AW946"/>
      <c r="FY946" s="210">
        <v>941</v>
      </c>
      <c r="FZ946">
        <v>21.703162892648933</v>
      </c>
      <c r="GA946">
        <v>41.104279738345767</v>
      </c>
      <c r="GB946">
        <v>21.714625173261346</v>
      </c>
      <c r="GC946">
        <v>12.081834878561127</v>
      </c>
      <c r="GD946">
        <v>6.5242378677132553</v>
      </c>
      <c r="GE946">
        <v>3.0340740613804189</v>
      </c>
      <c r="GF946">
        <v>6.1285144530610367</v>
      </c>
      <c r="GG946">
        <v>8.4560920125068311</v>
      </c>
      <c r="GH946">
        <v>13.701670394785614</v>
      </c>
      <c r="GI946">
        <v>23.815947464658496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55.527037215516962</v>
      </c>
      <c r="AO947">
        <v>62.336261727474209</v>
      </c>
      <c r="AP947">
        <v>473.09659633568032</v>
      </c>
      <c r="AQ947">
        <v>210.8749309953823</v>
      </c>
      <c r="AR947">
        <v>58.781590438851261</v>
      </c>
      <c r="AS947">
        <v>288.09541249800156</v>
      </c>
      <c r="AT947">
        <v>21.932112597532097</v>
      </c>
      <c r="AU947">
        <v>-8.4235895893710886</v>
      </c>
      <c r="AV947"/>
      <c r="AW947"/>
      <c r="FY947" s="210">
        <v>942</v>
      </c>
      <c r="FZ947">
        <v>18.004228892839155</v>
      </c>
      <c r="GA947">
        <v>39.053931365338158</v>
      </c>
      <c r="GB947">
        <v>17.598447526961088</v>
      </c>
      <c r="GC947">
        <v>8.8896287582934548</v>
      </c>
      <c r="GD947">
        <v>6.7677882311016706</v>
      </c>
      <c r="GE947">
        <v>7.9051060328649347</v>
      </c>
      <c r="GF947">
        <v>11.602380302412918</v>
      </c>
      <c r="GG947">
        <v>15.734685143064349</v>
      </c>
      <c r="GH947">
        <v>19.863043494887229</v>
      </c>
      <c r="GI947">
        <v>28.036987604917424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56.054501229860648</v>
      </c>
      <c r="AO948">
        <v>77.038859530367233</v>
      </c>
      <c r="AP948">
        <v>597.3586503759177</v>
      </c>
      <c r="AQ948">
        <v>235.7428302257828</v>
      </c>
      <c r="AR948">
        <v>72.621687467533434</v>
      </c>
      <c r="AS948">
        <v>453.67535589986738</v>
      </c>
      <c r="AT948">
        <v>27.004002098614333</v>
      </c>
      <c r="AU948">
        <v>2.6396250988308907</v>
      </c>
      <c r="AV948"/>
      <c r="AW948"/>
      <c r="FY948" s="210">
        <v>943</v>
      </c>
      <c r="FZ948">
        <v>25.487226130613557</v>
      </c>
      <c r="GA948">
        <v>90.580178048402672</v>
      </c>
      <c r="GB948">
        <v>45.208488429115803</v>
      </c>
      <c r="GC948">
        <v>7.9012121534779318</v>
      </c>
      <c r="GD948">
        <v>5.0580095886055485</v>
      </c>
      <c r="GE948">
        <v>7.6100251344829255</v>
      </c>
      <c r="GF948">
        <v>9.1169264220275732</v>
      </c>
      <c r="GG948">
        <v>12.209890080212672</v>
      </c>
      <c r="GH948">
        <v>9.8521379157400606</v>
      </c>
      <c r="GI948">
        <v>33.369902318738212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67.907719560960075</v>
      </c>
      <c r="AO949">
        <v>89.319072683924318</v>
      </c>
      <c r="AP949">
        <v>745.58097206220498</v>
      </c>
      <c r="AQ949">
        <v>304.78910713691664</v>
      </c>
      <c r="AR949">
        <v>82.735714260095165</v>
      </c>
      <c r="AS949">
        <v>374.9181893107733</v>
      </c>
      <c r="AT949">
        <v>37.003006397271903</v>
      </c>
      <c r="AU949">
        <v>49.063560932540099</v>
      </c>
      <c r="AV949"/>
      <c r="AW949"/>
      <c r="FY949" s="210">
        <v>944</v>
      </c>
      <c r="FZ949">
        <v>26.403581761267127</v>
      </c>
      <c r="GA949">
        <v>55.724161464978536</v>
      </c>
      <c r="GB949">
        <v>30.605325601395073</v>
      </c>
      <c r="GC949">
        <v>11.416479965169243</v>
      </c>
      <c r="GD949">
        <v>9.4010728738187321</v>
      </c>
      <c r="GE949">
        <v>11.033761623681908</v>
      </c>
      <c r="GF949">
        <v>8.011714227283834</v>
      </c>
      <c r="GG949">
        <v>22.659217855060614</v>
      </c>
      <c r="GH949">
        <v>25.959749174551447</v>
      </c>
      <c r="GI949">
        <v>32.912034063336797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57.172929078250164</v>
      </c>
      <c r="AO950">
        <v>61.354004688270166</v>
      </c>
      <c r="AP950">
        <v>494.46554337986112</v>
      </c>
      <c r="AQ950">
        <v>221.29648183917084</v>
      </c>
      <c r="AR950">
        <v>57.376827868328924</v>
      </c>
      <c r="AS950">
        <v>420.46308990687186</v>
      </c>
      <c r="AT950">
        <v>25.130230243963826</v>
      </c>
      <c r="AU950">
        <v>0.97830414239825103</v>
      </c>
      <c r="AV950"/>
      <c r="AW950"/>
      <c r="FY950" s="210">
        <v>945</v>
      </c>
      <c r="FZ950">
        <v>27.870208639221786</v>
      </c>
      <c r="GA950">
        <v>45.484694596536656</v>
      </c>
      <c r="GB950">
        <v>32.768878842842319</v>
      </c>
      <c r="GC950">
        <v>9.4195409511999078</v>
      </c>
      <c r="GD950">
        <v>5.8123283094093052</v>
      </c>
      <c r="GE950">
        <v>6.9126441638869167</v>
      </c>
      <c r="GF950">
        <v>13.450554902314297</v>
      </c>
      <c r="GG950">
        <v>27.444713621650394</v>
      </c>
      <c r="GH950">
        <v>32.571190069118998</v>
      </c>
      <c r="GI950">
        <v>36.57175811981228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59.061144964738979</v>
      </c>
      <c r="AO951">
        <v>74.772297689837245</v>
      </c>
      <c r="AP951">
        <v>580.23843374877401</v>
      </c>
      <c r="AQ951">
        <v>234.68828338760306</v>
      </c>
      <c r="AR951">
        <v>70.080834564864702</v>
      </c>
      <c r="AS951">
        <v>334.30100046772571</v>
      </c>
      <c r="AT951">
        <v>28.617050640885584</v>
      </c>
      <c r="AU951">
        <v>-9.7955206119812033</v>
      </c>
      <c r="AV951"/>
      <c r="AW951"/>
      <c r="FY951" s="210">
        <v>946</v>
      </c>
      <c r="FZ951">
        <v>20.357535015830795</v>
      </c>
      <c r="GA951">
        <v>50.044602788084333</v>
      </c>
      <c r="GB951">
        <v>22.21019384895617</v>
      </c>
      <c r="GC951">
        <v>9.1406657868166903</v>
      </c>
      <c r="GD951">
        <v>8.2745395003414064</v>
      </c>
      <c r="GE951">
        <v>9.1280801773962956</v>
      </c>
      <c r="GF951">
        <v>8.4103604462661004</v>
      </c>
      <c r="GG951">
        <v>8.6931784636508453</v>
      </c>
      <c r="GH951">
        <v>15.376887259999142</v>
      </c>
      <c r="GI951">
        <v>29.705664435746392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47.526166935639537</v>
      </c>
      <c r="AO952">
        <v>65.25390265840754</v>
      </c>
      <c r="AP952">
        <v>491.4446445420142</v>
      </c>
      <c r="AQ952">
        <v>184.67716833390679</v>
      </c>
      <c r="AR952">
        <v>60.842251723417291</v>
      </c>
      <c r="AS952">
        <v>351.68140263391649</v>
      </c>
      <c r="AT952">
        <v>24.205266287652353</v>
      </c>
      <c r="AU952">
        <v>-19.763528149411705</v>
      </c>
      <c r="AV952"/>
      <c r="AW952"/>
      <c r="FY952" s="210">
        <v>947</v>
      </c>
      <c r="FZ952">
        <v>19.633091110249598</v>
      </c>
      <c r="GA952">
        <v>68.719057785741271</v>
      </c>
      <c r="GB952">
        <v>52.13575323900389</v>
      </c>
      <c r="GC952">
        <v>13.52807442116155</v>
      </c>
      <c r="GD952">
        <v>8.2495171621554277</v>
      </c>
      <c r="GE952">
        <v>9.3101610121416059</v>
      </c>
      <c r="GF952">
        <v>10.015357925423016</v>
      </c>
      <c r="GG952">
        <v>19.320598728525439</v>
      </c>
      <c r="GH952">
        <v>20.176079632628532</v>
      </c>
      <c r="GI952">
        <v>38.703372020688384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54.849049602231538</v>
      </c>
      <c r="AO953">
        <v>74.843890204488133</v>
      </c>
      <c r="AP953">
        <v>484.59008155681238</v>
      </c>
      <c r="AQ953">
        <v>206.52518506184867</v>
      </c>
      <c r="AR953">
        <v>68.861271575931681</v>
      </c>
      <c r="AS953">
        <v>324.77143130217559</v>
      </c>
      <c r="AT953">
        <v>26.788571158029331</v>
      </c>
      <c r="AU953">
        <v>-16.24000770313387</v>
      </c>
      <c r="AV953"/>
      <c r="AW953"/>
      <c r="FY953" s="210">
        <v>948</v>
      </c>
      <c r="FZ953">
        <v>19.12014254602537</v>
      </c>
      <c r="GA953">
        <v>35.582755194375459</v>
      </c>
      <c r="GB953">
        <v>44.368670876438536</v>
      </c>
      <c r="GC953">
        <v>12.45140800603644</v>
      </c>
      <c r="GD953">
        <v>5.5683201210848994</v>
      </c>
      <c r="GE953">
        <v>6.3679982394513734</v>
      </c>
      <c r="GF953">
        <v>8.3817316672452282</v>
      </c>
      <c r="GG953">
        <v>21.440801295008253</v>
      </c>
      <c r="GH953">
        <v>27.670123421038767</v>
      </c>
      <c r="GI953">
        <v>38.958648187117696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48.085942164934188</v>
      </c>
      <c r="AO954">
        <v>62.920155927388677</v>
      </c>
      <c r="AP954">
        <v>466.9320521173849</v>
      </c>
      <c r="AQ954">
        <v>210.30456811873222</v>
      </c>
      <c r="AR954">
        <v>59.229272307097666</v>
      </c>
      <c r="AS954">
        <v>398.66335077518306</v>
      </c>
      <c r="AT954">
        <v>27.544799960521711</v>
      </c>
      <c r="AU954">
        <v>-63.044498690839262</v>
      </c>
      <c r="AV954"/>
      <c r="AW954"/>
      <c r="FY954" s="210">
        <v>949</v>
      </c>
      <c r="FZ954">
        <v>24.324401175025223</v>
      </c>
      <c r="GA954">
        <v>48.138784579631221</v>
      </c>
      <c r="GB954">
        <v>37.102071706446587</v>
      </c>
      <c r="GC954">
        <v>12.003384819554176</v>
      </c>
      <c r="GD954">
        <v>9.290067789436506</v>
      </c>
      <c r="GE954">
        <v>12.201947026884531</v>
      </c>
      <c r="GF954">
        <v>9.3594546429706487</v>
      </c>
      <c r="GG954">
        <v>16.007702062643446</v>
      </c>
      <c r="GH954">
        <v>16.013957813292361</v>
      </c>
      <c r="GI954">
        <v>37.423206884811286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43.011067667707856</v>
      </c>
      <c r="AO955">
        <v>50.339367911616677</v>
      </c>
      <c r="AP955">
        <v>301.77317580618023</v>
      </c>
      <c r="AQ955">
        <v>156.83005066926324</v>
      </c>
      <c r="AR955">
        <v>47.411478442777423</v>
      </c>
      <c r="AS955">
        <v>386.56770396168446</v>
      </c>
      <c r="AT955">
        <v>19.1806609272594</v>
      </c>
      <c r="AU955">
        <v>-31.602183497539698</v>
      </c>
      <c r="AV955"/>
      <c r="AW955"/>
      <c r="FY955" s="210">
        <v>950</v>
      </c>
      <c r="FZ955">
        <v>26.999689190253619</v>
      </c>
      <c r="GA955">
        <v>40.82244996596765</v>
      </c>
      <c r="GB955">
        <v>28.201123380693666</v>
      </c>
      <c r="GC955">
        <v>10.970027650263445</v>
      </c>
      <c r="GD955">
        <v>6.5099057269562239</v>
      </c>
      <c r="GE955">
        <v>6.2918258498161137</v>
      </c>
      <c r="GF955">
        <v>5.1104552247555812</v>
      </c>
      <c r="GG955">
        <v>13.84231340669421</v>
      </c>
      <c r="GH955">
        <v>25.890296027211367</v>
      </c>
      <c r="GI955">
        <v>27.047840254236615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63.090607981994367</v>
      </c>
      <c r="AO956">
        <v>68.374695779039797</v>
      </c>
      <c r="AP956">
        <v>462.395057804283</v>
      </c>
      <c r="AQ956">
        <v>207.29805071093514</v>
      </c>
      <c r="AR956">
        <v>63.210314021907081</v>
      </c>
      <c r="AS956">
        <v>493.92664989552463</v>
      </c>
      <c r="AT956">
        <v>27.708813918073599</v>
      </c>
      <c r="AU956">
        <v>-16.649517708930546</v>
      </c>
      <c r="AV956"/>
      <c r="AW956"/>
      <c r="FY956" s="210">
        <v>951</v>
      </c>
      <c r="FZ956">
        <v>15.530101258228491</v>
      </c>
      <c r="GA956">
        <v>75.453132733587083</v>
      </c>
      <c r="GB956">
        <v>36.578105967318876</v>
      </c>
      <c r="GC956">
        <v>9.6614941461631751</v>
      </c>
      <c r="GD956">
        <v>6.1184606614213735</v>
      </c>
      <c r="GE956">
        <v>6.0436463258658639</v>
      </c>
      <c r="GF956">
        <v>8.1537441521830871</v>
      </c>
      <c r="GG956">
        <v>13.512349178308817</v>
      </c>
      <c r="GH956">
        <v>15.833364504128902</v>
      </c>
      <c r="GI956">
        <v>30.360955902224532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45.58563257208484</v>
      </c>
      <c r="AO957">
        <v>46.303440402745196</v>
      </c>
      <c r="AP957">
        <v>309.11769035526265</v>
      </c>
      <c r="AQ957">
        <v>158.26443893692283</v>
      </c>
      <c r="AR957">
        <v>45.465142689702091</v>
      </c>
      <c r="AS957">
        <v>270.45068056743025</v>
      </c>
      <c r="AT957">
        <v>17.738542823403993</v>
      </c>
      <c r="AU957">
        <v>27.041008004670509</v>
      </c>
      <c r="AV957"/>
      <c r="AW957"/>
      <c r="FY957" s="210">
        <v>952</v>
      </c>
      <c r="FZ957">
        <v>23.639063100027968</v>
      </c>
      <c r="GA957">
        <v>57.14201171946371</v>
      </c>
      <c r="GB957">
        <v>28.831539703770609</v>
      </c>
      <c r="GC957">
        <v>8.217494374134775</v>
      </c>
      <c r="GD957">
        <v>6.9141852563187616</v>
      </c>
      <c r="GE957">
        <v>8.1928069375008974</v>
      </c>
      <c r="GF957">
        <v>6.682036436975304</v>
      </c>
      <c r="GG957">
        <v>16.507199512639417</v>
      </c>
      <c r="GH957">
        <v>24.0484580971067</v>
      </c>
      <c r="GI957">
        <v>27.897041273063415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47.217387444179209</v>
      </c>
      <c r="AO958">
        <v>59.59260441094866</v>
      </c>
      <c r="AP958">
        <v>423.4647408865734</v>
      </c>
      <c r="AQ958">
        <v>173.45622735268037</v>
      </c>
      <c r="AR958">
        <v>56.75965001393584</v>
      </c>
      <c r="AS958">
        <v>365.48984903480533</v>
      </c>
      <c r="AT958">
        <v>22.503961985691163</v>
      </c>
      <c r="AU958">
        <v>6.7235092217661023</v>
      </c>
      <c r="AV958"/>
      <c r="AW958"/>
      <c r="FY958" s="210">
        <v>953</v>
      </c>
      <c r="FZ958">
        <v>13.982793401072652</v>
      </c>
      <c r="GA958">
        <v>33.081047349535332</v>
      </c>
      <c r="GB958">
        <v>37.203239647233659</v>
      </c>
      <c r="GC958">
        <v>11.935835521319005</v>
      </c>
      <c r="GD958">
        <v>7.4013244310743582</v>
      </c>
      <c r="GE958">
        <v>8.4412061506955656</v>
      </c>
      <c r="GF958">
        <v>8.5489106277636893</v>
      </c>
      <c r="GG958">
        <v>12.959419592360192</v>
      </c>
      <c r="GH958">
        <v>8.7384238755605477</v>
      </c>
      <c r="GI958">
        <v>32.32613388506779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55.391285857830248</v>
      </c>
      <c r="AO959">
        <v>72.583040614038666</v>
      </c>
      <c r="AP959">
        <v>612.65602515882767</v>
      </c>
      <c r="AQ959">
        <v>246.39399622141696</v>
      </c>
      <c r="AR959">
        <v>69.532977343526369</v>
      </c>
      <c r="AS959">
        <v>308.26680267104314</v>
      </c>
      <c r="AT959">
        <v>27.631647944009543</v>
      </c>
      <c r="AU959">
        <v>38.515675681794391</v>
      </c>
      <c r="AV959"/>
      <c r="AW959"/>
      <c r="FY959" s="210">
        <v>954</v>
      </c>
      <c r="FZ959">
        <v>31.007792200616684</v>
      </c>
      <c r="GA959">
        <v>46.13130682137745</v>
      </c>
      <c r="GB959">
        <v>35.704817661973259</v>
      </c>
      <c r="GC959">
        <v>14.86612235621533</v>
      </c>
      <c r="GD959">
        <v>8.1052762139099119</v>
      </c>
      <c r="GE959">
        <v>7.6918844743850885</v>
      </c>
      <c r="GF959">
        <v>11.208126282917393</v>
      </c>
      <c r="GG959">
        <v>19.967535994079618</v>
      </c>
      <c r="GH959">
        <v>17.173812284162064</v>
      </c>
      <c r="GI959">
        <v>37.689209949629131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60.148098132961287</v>
      </c>
      <c r="AO960">
        <v>67.120599946665138</v>
      </c>
      <c r="AP960">
        <v>520.06849172921875</v>
      </c>
      <c r="AQ960">
        <v>234.1270986105433</v>
      </c>
      <c r="AR960">
        <v>62.316954320080811</v>
      </c>
      <c r="AS960">
        <v>399.31293555182134</v>
      </c>
      <c r="AT960">
        <v>26.211009084899967</v>
      </c>
      <c r="AU960">
        <v>22.354085769249565</v>
      </c>
      <c r="AV960"/>
      <c r="AW960"/>
      <c r="FY960" s="210">
        <v>955</v>
      </c>
      <c r="FZ960">
        <v>34.208833159302685</v>
      </c>
      <c r="GA960">
        <v>59.32334801973532</v>
      </c>
      <c r="GB960">
        <v>33.967376871689275</v>
      </c>
      <c r="GC960">
        <v>9.3224104699131853</v>
      </c>
      <c r="GD960">
        <v>5.2580877239770549</v>
      </c>
      <c r="GE960">
        <v>8.0796745358279622</v>
      </c>
      <c r="GF960">
        <v>13.404383087881184</v>
      </c>
      <c r="GG960">
        <v>21.510854044871003</v>
      </c>
      <c r="GH960">
        <v>15.603506103366843</v>
      </c>
      <c r="GI960">
        <v>30.086652474976834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58.745446932939146</v>
      </c>
      <c r="AO961">
        <v>78.514980640198445</v>
      </c>
      <c r="AP961">
        <v>598.43315235823331</v>
      </c>
      <c r="AQ961">
        <v>238.30651221599283</v>
      </c>
      <c r="AR961">
        <v>73.215615234952722</v>
      </c>
      <c r="AS961">
        <v>364.32822187093871</v>
      </c>
      <c r="AT961">
        <v>30.718877865724608</v>
      </c>
      <c r="AU961">
        <v>20.345546763784149</v>
      </c>
      <c r="AV961"/>
      <c r="AW961"/>
      <c r="FY961" s="210">
        <v>956</v>
      </c>
      <c r="FZ961">
        <v>27.291191941844978</v>
      </c>
      <c r="GA961">
        <v>41.350265204178918</v>
      </c>
      <c r="GB961">
        <v>19.610503130025421</v>
      </c>
      <c r="GC961">
        <v>10.283036251177725</v>
      </c>
      <c r="GD961">
        <v>5.0328707640527082</v>
      </c>
      <c r="GE961">
        <v>4.6490263367524474</v>
      </c>
      <c r="GF961">
        <v>9.9963953283745841</v>
      </c>
      <c r="GG961">
        <v>12.866261490849906</v>
      </c>
      <c r="GH961">
        <v>11.426486983718364</v>
      </c>
      <c r="GI961">
        <v>23.59724922588158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50.01111730215591</v>
      </c>
      <c r="AO962">
        <v>62.239648609095148</v>
      </c>
      <c r="AP962">
        <v>397.00493457775627</v>
      </c>
      <c r="AQ962">
        <v>181.34170772308818</v>
      </c>
      <c r="AR962">
        <v>58.293285767903498</v>
      </c>
      <c r="AS962">
        <v>398.98170190755718</v>
      </c>
      <c r="AT962">
        <v>24.537598944046866</v>
      </c>
      <c r="AU962">
        <v>-44.240726838778826</v>
      </c>
      <c r="AV962"/>
      <c r="AW962"/>
      <c r="FY962" s="210">
        <v>957</v>
      </c>
      <c r="FZ962">
        <v>30.931892725781299</v>
      </c>
      <c r="GA962">
        <v>46.069917170711641</v>
      </c>
      <c r="GB962">
        <v>25.602579907988687</v>
      </c>
      <c r="GC962">
        <v>11.447455460487824</v>
      </c>
      <c r="GD962">
        <v>7.5856268405984792</v>
      </c>
      <c r="GE962">
        <v>8.6321735905642196</v>
      </c>
      <c r="GF962">
        <v>12.842580344720703</v>
      </c>
      <c r="GG962">
        <v>18.114762662672064</v>
      </c>
      <c r="GH962">
        <v>15.851507435289212</v>
      </c>
      <c r="GI962">
        <v>34.093942596011253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63.782668377050541</v>
      </c>
      <c r="AO963">
        <v>81.498873797153763</v>
      </c>
      <c r="AP963">
        <v>619.12007096002333</v>
      </c>
      <c r="AQ963">
        <v>259.79106303771869</v>
      </c>
      <c r="AR963">
        <v>74.946778839136911</v>
      </c>
      <c r="AS963">
        <v>376.49609706827937</v>
      </c>
      <c r="AT963">
        <v>30.598253816617383</v>
      </c>
      <c r="AU963">
        <v>10.778893808906405</v>
      </c>
      <c r="AV963"/>
      <c r="AW963"/>
      <c r="FY963" s="210">
        <v>958</v>
      </c>
      <c r="FZ963">
        <v>27.286524873203291</v>
      </c>
      <c r="GA963">
        <v>73.260190939917308</v>
      </c>
      <c r="GB963">
        <v>52.262112950473757</v>
      </c>
      <c r="GC963">
        <v>11.812326031634969</v>
      </c>
      <c r="GD963">
        <v>3.9698762091241706</v>
      </c>
      <c r="GE963">
        <v>5.5366460118971963</v>
      </c>
      <c r="GF963">
        <v>6.0914650025275439</v>
      </c>
      <c r="GG963">
        <v>12.153423193582068</v>
      </c>
      <c r="GH963">
        <v>16.857287572566282</v>
      </c>
      <c r="GI963">
        <v>37.462300298078304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66.763947411667388</v>
      </c>
      <c r="AO964">
        <v>88.10178980626138</v>
      </c>
      <c r="AP964">
        <v>637.99830594797049</v>
      </c>
      <c r="AQ964">
        <v>219.91059955382198</v>
      </c>
      <c r="AR964">
        <v>82.298552919009552</v>
      </c>
      <c r="AS964">
        <v>547.73224061284861</v>
      </c>
      <c r="AT964">
        <v>32.162770926392945</v>
      </c>
      <c r="AU964">
        <v>11.284067864451945</v>
      </c>
      <c r="AV964"/>
      <c r="AW964"/>
      <c r="FY964" s="210">
        <v>959</v>
      </c>
      <c r="FZ964">
        <v>24.648681464116386</v>
      </c>
      <c r="GA964">
        <v>70.039119382779191</v>
      </c>
      <c r="GB964">
        <v>48.429563712538815</v>
      </c>
      <c r="GC964">
        <v>12.857847736547724</v>
      </c>
      <c r="GD964">
        <v>6.1493578069624562</v>
      </c>
      <c r="GE964">
        <v>5.5445929506340095</v>
      </c>
      <c r="GF964">
        <v>10.405331092600941</v>
      </c>
      <c r="GG964">
        <v>18.970185704546605</v>
      </c>
      <c r="GH964">
        <v>9.6557654791776315</v>
      </c>
      <c r="GI964">
        <v>38.708329671771118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52.890931146360344</v>
      </c>
      <c r="AO965">
        <v>80.136641810870884</v>
      </c>
      <c r="AP965">
        <v>557.05125864741888</v>
      </c>
      <c r="AQ965">
        <v>221.86497850069603</v>
      </c>
      <c r="AR965">
        <v>75.461474453487213</v>
      </c>
      <c r="AS965">
        <v>351.44267365597938</v>
      </c>
      <c r="AT965">
        <v>31.51350419910646</v>
      </c>
      <c r="AU965">
        <v>-32.056996336749776</v>
      </c>
      <c r="AV965"/>
      <c r="AW965"/>
      <c r="FY965" s="210">
        <v>960</v>
      </c>
      <c r="FZ965">
        <v>24.725729947619026</v>
      </c>
      <c r="GA965">
        <v>54.415531358761207</v>
      </c>
      <c r="GB965">
        <v>40.079128826037312</v>
      </c>
      <c r="GC965">
        <v>12.292798547702573</v>
      </c>
      <c r="GD965">
        <v>6.9896671746980932</v>
      </c>
      <c r="GE965">
        <v>9.0241897447283801</v>
      </c>
      <c r="GF965">
        <v>10.593925698585513</v>
      </c>
      <c r="GG965">
        <v>16.711623402878502</v>
      </c>
      <c r="GH965">
        <v>20.810467476610189</v>
      </c>
      <c r="GI965">
        <v>37.329397394062333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47.35960417914184</v>
      </c>
      <c r="AO966">
        <v>54.759396615839101</v>
      </c>
      <c r="AP966">
        <v>412.12170425395988</v>
      </c>
      <c r="AQ966">
        <v>191.68592667684848</v>
      </c>
      <c r="AR966">
        <v>51.848557930220821</v>
      </c>
      <c r="AS966">
        <v>289.10068345664274</v>
      </c>
      <c r="AT966">
        <v>21.960953761900729</v>
      </c>
      <c r="AU966">
        <v>-0.63170871254142469</v>
      </c>
      <c r="AV966"/>
      <c r="AW966"/>
      <c r="FY966" s="210">
        <v>961</v>
      </c>
      <c r="FZ966">
        <v>26.144727412691967</v>
      </c>
      <c r="GA966">
        <v>43.6353853058352</v>
      </c>
      <c r="GB966">
        <v>24.293610336123731</v>
      </c>
      <c r="GC966">
        <v>9.9027756726996543</v>
      </c>
      <c r="GD966">
        <v>5.1940971742029944</v>
      </c>
      <c r="GE966">
        <v>3.9264450568839449</v>
      </c>
      <c r="GF966">
        <v>11.100615234441754</v>
      </c>
      <c r="GG966">
        <v>19.812120330338196</v>
      </c>
      <c r="GH966">
        <v>20.538406567285673</v>
      </c>
      <c r="GI966">
        <v>28.675855105283894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40.340104470591861</v>
      </c>
      <c r="AO967">
        <v>64.123039431135368</v>
      </c>
      <c r="AP967">
        <v>506.85402694588078</v>
      </c>
      <c r="AQ967">
        <v>217.24535482943023</v>
      </c>
      <c r="AR967">
        <v>59.4490548246524</v>
      </c>
      <c r="AS967">
        <v>387.38650165489759</v>
      </c>
      <c r="AT967">
        <v>25.771280345999504</v>
      </c>
      <c r="AU967">
        <v>-9.9104697544006086</v>
      </c>
      <c r="AV967"/>
      <c r="AW967"/>
      <c r="FY967" s="210">
        <v>962</v>
      </c>
      <c r="FZ967">
        <v>15.73487309814773</v>
      </c>
      <c r="GA967">
        <v>46.15335289205062</v>
      </c>
      <c r="GB967">
        <v>32.88564191874169</v>
      </c>
      <c r="GC967">
        <v>14.615928374050982</v>
      </c>
      <c r="GD967">
        <v>9.2101702539855363</v>
      </c>
      <c r="GE967">
        <v>8.719553519521952</v>
      </c>
      <c r="GF967">
        <v>12.118470533573815</v>
      </c>
      <c r="GG967">
        <v>17.546341430794381</v>
      </c>
      <c r="GH967">
        <v>14.516427670440107</v>
      </c>
      <c r="GI967">
        <v>37.85492198403653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48.680795645566114</v>
      </c>
      <c r="AO968">
        <v>56.093953664045344</v>
      </c>
      <c r="AP968">
        <v>464.73303471529994</v>
      </c>
      <c r="AQ968">
        <v>208.07183641100158</v>
      </c>
      <c r="AR968">
        <v>54.199969950301274</v>
      </c>
      <c r="AS968">
        <v>310.10859575700653</v>
      </c>
      <c r="AT968">
        <v>22.677285042063673</v>
      </c>
      <c r="AU968">
        <v>36.820826597340414</v>
      </c>
      <c r="AV968"/>
      <c r="AW968"/>
      <c r="FY968" s="210">
        <v>963</v>
      </c>
      <c r="FZ968">
        <v>25.343346347662656</v>
      </c>
      <c r="GA968">
        <v>46.232391873191105</v>
      </c>
      <c r="GB968">
        <v>18.240053589484205</v>
      </c>
      <c r="GC968">
        <v>10.379156958223133</v>
      </c>
      <c r="GD968">
        <v>7.4853584414060244</v>
      </c>
      <c r="GE968">
        <v>10.350261684408208</v>
      </c>
      <c r="GF968">
        <v>11.470031025948918</v>
      </c>
      <c r="GG968">
        <v>16.506492776996538</v>
      </c>
      <c r="GH968">
        <v>10.854792114518508</v>
      </c>
      <c r="GI968">
        <v>25.043096197143676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60.990749652448812</v>
      </c>
      <c r="AO969">
        <v>70.335798429818695</v>
      </c>
      <c r="AP969">
        <v>465.72277459087059</v>
      </c>
      <c r="AQ969">
        <v>174.61833448168278</v>
      </c>
      <c r="AR969">
        <v>65.366213239882867</v>
      </c>
      <c r="AS969">
        <v>306.9305743987394</v>
      </c>
      <c r="AT969">
        <v>23.883237536096683</v>
      </c>
      <c r="AU969">
        <v>-17.399577910586796</v>
      </c>
      <c r="AV969"/>
      <c r="AW969"/>
      <c r="FY969" s="210">
        <v>964</v>
      </c>
      <c r="FZ969">
        <v>15.372838627362498</v>
      </c>
      <c r="GA969">
        <v>33.785022847438817</v>
      </c>
      <c r="GB969">
        <v>21.001568798145669</v>
      </c>
      <c r="GC969">
        <v>11.347811313930418</v>
      </c>
      <c r="GD969">
        <v>6.0518180587310439</v>
      </c>
      <c r="GE969">
        <v>5.370216120129979</v>
      </c>
      <c r="GF969">
        <v>10.79198043814954</v>
      </c>
      <c r="GG969">
        <v>24.517100015804946</v>
      </c>
      <c r="GH969">
        <v>28.173046034945525</v>
      </c>
      <c r="GI969">
        <v>28.397480536870276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61.147078232448166</v>
      </c>
      <c r="AO970">
        <v>78.031420628178125</v>
      </c>
      <c r="AP970">
        <v>546.44278880409399</v>
      </c>
      <c r="AQ970">
        <v>229.54588423926594</v>
      </c>
      <c r="AR970">
        <v>74.340638222948456</v>
      </c>
      <c r="AS970">
        <v>501.86022494919149</v>
      </c>
      <c r="AT970">
        <v>29.44076776486536</v>
      </c>
      <c r="AU970">
        <v>37.477591432903409</v>
      </c>
      <c r="AV970"/>
      <c r="AW970"/>
      <c r="FY970" s="210">
        <v>965</v>
      </c>
      <c r="FZ970">
        <v>23.545471593298334</v>
      </c>
      <c r="GA970">
        <v>54.904796706806081</v>
      </c>
      <c r="GB970">
        <v>41.220299946928201</v>
      </c>
      <c r="GC970">
        <v>13.886927489506858</v>
      </c>
      <c r="GD970">
        <v>6.4276476495811723</v>
      </c>
      <c r="GE970">
        <v>5.0501562796150914</v>
      </c>
      <c r="GF970">
        <v>8.3615764969442612</v>
      </c>
      <c r="GG970">
        <v>15.120967584314419</v>
      </c>
      <c r="GH970">
        <v>17.219725152513785</v>
      </c>
      <c r="GI970">
        <v>35.683813617819105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56.262152037747299</v>
      </c>
      <c r="AO971">
        <v>60.610174212122992</v>
      </c>
      <c r="AP971">
        <v>524.88633801763433</v>
      </c>
      <c r="AQ971">
        <v>230.76512649154131</v>
      </c>
      <c r="AR971">
        <v>58.904722670907951</v>
      </c>
      <c r="AS971">
        <v>292.4141833573895</v>
      </c>
      <c r="AT971">
        <v>24.870810942989163</v>
      </c>
      <c r="AU971">
        <v>-13.149121016617237</v>
      </c>
      <c r="AV971"/>
      <c r="AW971"/>
      <c r="FY971" s="210">
        <v>966</v>
      </c>
      <c r="FZ971">
        <v>16.183961283023844</v>
      </c>
      <c r="GA971">
        <v>53.071550349628041</v>
      </c>
      <c r="GB971">
        <v>41.04260377533523</v>
      </c>
      <c r="GC971">
        <v>12.078771986466544</v>
      </c>
      <c r="GD971">
        <v>6.2763581797210133</v>
      </c>
      <c r="GE971">
        <v>5.1351887753221872</v>
      </c>
      <c r="GF971">
        <v>6.0051952770200234</v>
      </c>
      <c r="GG971">
        <v>6.2599975566096946</v>
      </c>
      <c r="GH971">
        <v>7.0893531984183937</v>
      </c>
      <c r="GI971">
        <v>30.917505938224718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50.152503761712509</v>
      </c>
      <c r="AO972">
        <v>47.367519912519882</v>
      </c>
      <c r="AP972">
        <v>342.36152831090504</v>
      </c>
      <c r="AQ972">
        <v>166.10328665685662</v>
      </c>
      <c r="AR972">
        <v>44.995313619472526</v>
      </c>
      <c r="AS972">
        <v>282.26419549286356</v>
      </c>
      <c r="AT972">
        <v>19.784910561284541</v>
      </c>
      <c r="AU972">
        <v>39.424018672412593</v>
      </c>
      <c r="AV972"/>
      <c r="AW972"/>
      <c r="FY972" s="210">
        <v>967</v>
      </c>
      <c r="FZ972">
        <v>21.733934062709533</v>
      </c>
      <c r="GA972">
        <v>56.327283439682589</v>
      </c>
      <c r="GB972">
        <v>29.12740049866602</v>
      </c>
      <c r="GC972">
        <v>11.478162164979096</v>
      </c>
      <c r="GD972">
        <v>4.4554367077190191</v>
      </c>
      <c r="GE972">
        <v>3.5914561034440236</v>
      </c>
      <c r="GF972">
        <v>5.7401528700251712</v>
      </c>
      <c r="GG972">
        <v>13.199545651065232</v>
      </c>
      <c r="GH972">
        <v>20.94850496595182</v>
      </c>
      <c r="GI972">
        <v>26.173383305108889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63.220309817901878</v>
      </c>
      <c r="AO973">
        <v>72.485247184350825</v>
      </c>
      <c r="AP973">
        <v>493.91844460383686</v>
      </c>
      <c r="AQ973">
        <v>211.17243873482539</v>
      </c>
      <c r="AR973">
        <v>67.160117847729666</v>
      </c>
      <c r="AS973">
        <v>454.7526497491715</v>
      </c>
      <c r="AT973">
        <v>28.486966407210272</v>
      </c>
      <c r="AU973">
        <v>33.234645981809066</v>
      </c>
      <c r="AV973"/>
      <c r="AW973"/>
      <c r="FY973" s="210">
        <v>968</v>
      </c>
      <c r="FZ973">
        <v>25.600979822998568</v>
      </c>
      <c r="GA973">
        <v>38.335679418531271</v>
      </c>
      <c r="GB973">
        <v>52.769520038460747</v>
      </c>
      <c r="GC973">
        <v>16.341361694118223</v>
      </c>
      <c r="GD973">
        <v>4.8403987154632171</v>
      </c>
      <c r="GE973">
        <v>2.037224949750597</v>
      </c>
      <c r="GF973">
        <v>8.0886442298339034</v>
      </c>
      <c r="GG973">
        <v>14.577284908465943</v>
      </c>
      <c r="GH973">
        <v>16.378449273406961</v>
      </c>
      <c r="GI973">
        <v>40.444846313036521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63.94105925298561</v>
      </c>
      <c r="AO974">
        <v>80.37806705503823</v>
      </c>
      <c r="AP974">
        <v>608.90210624489362</v>
      </c>
      <c r="AQ974">
        <v>246.69215308300491</v>
      </c>
      <c r="AR974">
        <v>76.244543011847782</v>
      </c>
      <c r="AS974">
        <v>358.10599688483785</v>
      </c>
      <c r="AT974">
        <v>28.516725537837441</v>
      </c>
      <c r="AU974">
        <v>11.167193975019877</v>
      </c>
      <c r="AV974"/>
      <c r="AW974"/>
      <c r="FY974" s="210">
        <v>969</v>
      </c>
      <c r="FZ974">
        <v>20.088174131981013</v>
      </c>
      <c r="GA974">
        <v>39.033044486716683</v>
      </c>
      <c r="GB974">
        <v>37.398490374977548</v>
      </c>
      <c r="GC974">
        <v>9.7854240797531045</v>
      </c>
      <c r="GD974">
        <v>4.6295947628252581</v>
      </c>
      <c r="GE974">
        <v>6.3264807662824314</v>
      </c>
      <c r="GF974">
        <v>10.01492457249047</v>
      </c>
      <c r="GG974">
        <v>15.560088723790813</v>
      </c>
      <c r="GH974">
        <v>11.031372711729343</v>
      </c>
      <c r="GI974">
        <v>30.346447993891324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61.728590138529754</v>
      </c>
      <c r="AO975">
        <v>87.259596322505075</v>
      </c>
      <c r="AP975">
        <v>688.35328862507083</v>
      </c>
      <c r="AQ975">
        <v>245.40877500167485</v>
      </c>
      <c r="AR975">
        <v>82.756209346034481</v>
      </c>
      <c r="AS975">
        <v>512.39671410633298</v>
      </c>
      <c r="AT975">
        <v>32.616693206600424</v>
      </c>
      <c r="AU975">
        <v>20.923451651907904</v>
      </c>
      <c r="AV975"/>
      <c r="AW975"/>
      <c r="FY975" s="210">
        <v>970</v>
      </c>
      <c r="FZ975">
        <v>20.920498791832475</v>
      </c>
      <c r="GA975">
        <v>64.812662609467097</v>
      </c>
      <c r="GB975">
        <v>33.6706412950155</v>
      </c>
      <c r="GC975">
        <v>12.636000726329428</v>
      </c>
      <c r="GD975">
        <v>7.0612652377277945</v>
      </c>
      <c r="GE975">
        <v>4.794621898141604</v>
      </c>
      <c r="GF975">
        <v>11.718581607076468</v>
      </c>
      <c r="GG975">
        <v>12.095671377389893</v>
      </c>
      <c r="GH975">
        <v>7.2995256886350308</v>
      </c>
      <c r="GI975">
        <v>31.522788527729819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60.990629979737932</v>
      </c>
      <c r="AO976">
        <v>79.227043701616765</v>
      </c>
      <c r="AP976">
        <v>572.47383074305458</v>
      </c>
      <c r="AQ976">
        <v>232.97245957168315</v>
      </c>
      <c r="AR976">
        <v>74.189288758183991</v>
      </c>
      <c r="AS976">
        <v>387.5282959404251</v>
      </c>
      <c r="AT976">
        <v>29.049868853679058</v>
      </c>
      <c r="AU976">
        <v>14.988530454344875</v>
      </c>
      <c r="AV976"/>
      <c r="AW976"/>
      <c r="FY976" s="210">
        <v>971</v>
      </c>
      <c r="FZ976">
        <v>17.141888151674621</v>
      </c>
      <c r="GA976">
        <v>38.841667541180065</v>
      </c>
      <c r="GB976">
        <v>26.824561108363604</v>
      </c>
      <c r="GC976">
        <v>12.497207279894182</v>
      </c>
      <c r="GD976">
        <v>8.2485493142304804</v>
      </c>
      <c r="GE976">
        <v>8.2961932781374603</v>
      </c>
      <c r="GF976">
        <v>8.1706531205156807</v>
      </c>
      <c r="GG976">
        <v>21.626628943250168</v>
      </c>
      <c r="GH976">
        <v>28.436665532170416</v>
      </c>
      <c r="GI976">
        <v>36.071971739410998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43.144210735195003</v>
      </c>
      <c r="AO977">
        <v>59.675006715189397</v>
      </c>
      <c r="AP977">
        <v>436.58707159396624</v>
      </c>
      <c r="AQ977">
        <v>193.22403819578702</v>
      </c>
      <c r="AR977">
        <v>56.136181255197776</v>
      </c>
      <c r="AS977">
        <v>441.83954809705779</v>
      </c>
      <c r="AT977">
        <v>23.848563052981579</v>
      </c>
      <c r="AU977">
        <v>23.085147517350855</v>
      </c>
      <c r="AV977"/>
      <c r="AW977"/>
      <c r="FY977" s="210">
        <v>972</v>
      </c>
      <c r="FZ977">
        <v>20.645866957921491</v>
      </c>
      <c r="GA977">
        <v>55.772483113904357</v>
      </c>
      <c r="GB977">
        <v>35.802385064692245</v>
      </c>
      <c r="GC977">
        <v>14.983276547970698</v>
      </c>
      <c r="GD977">
        <v>7.6498792444258044</v>
      </c>
      <c r="GE977">
        <v>4.5117821576021981</v>
      </c>
      <c r="GF977">
        <v>9.2402093667084397</v>
      </c>
      <c r="GG977">
        <v>18.543658224031233</v>
      </c>
      <c r="GH977">
        <v>19.332852125670929</v>
      </c>
      <c r="GI977">
        <v>34.272397522816256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60.05651363126352</v>
      </c>
      <c r="AO978">
        <v>78.974259003807731</v>
      </c>
      <c r="AP978">
        <v>495.7635481230198</v>
      </c>
      <c r="AQ978">
        <v>209.35568167534333</v>
      </c>
      <c r="AR978">
        <v>73.853368683860822</v>
      </c>
      <c r="AS978">
        <v>596.12713472105747</v>
      </c>
      <c r="AT978">
        <v>28.498731321042005</v>
      </c>
      <c r="AU978">
        <v>44.390873571262645</v>
      </c>
      <c r="AV978"/>
      <c r="AW978"/>
      <c r="FY978" s="210">
        <v>973</v>
      </c>
      <c r="FZ978">
        <v>23.810694731614667</v>
      </c>
      <c r="GA978">
        <v>58.682159228597428</v>
      </c>
      <c r="GB978">
        <v>45.744744235457183</v>
      </c>
      <c r="GC978">
        <v>14.743366049091176</v>
      </c>
      <c r="GD978">
        <v>6.8217204039807422</v>
      </c>
      <c r="GE978">
        <v>5.6732267371652254</v>
      </c>
      <c r="GF978">
        <v>8.4075582907833226</v>
      </c>
      <c r="GG978">
        <v>10.763191694632457</v>
      </c>
      <c r="GH978">
        <v>2.2219636009650041</v>
      </c>
      <c r="GI978">
        <v>35.496596956737598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57.713865429570134</v>
      </c>
      <c r="AO979">
        <v>48.146708023426818</v>
      </c>
      <c r="AP979">
        <v>347.53558327158987</v>
      </c>
      <c r="AQ979">
        <v>181.90498100898299</v>
      </c>
      <c r="AR979">
        <v>46.144821884890362</v>
      </c>
      <c r="AS979">
        <v>277.24793596449558</v>
      </c>
      <c r="AT979">
        <v>21.527155034941561</v>
      </c>
      <c r="AU979">
        <v>42.38650892252906</v>
      </c>
      <c r="AV979"/>
      <c r="AW979"/>
      <c r="FY979" s="210">
        <v>974</v>
      </c>
      <c r="FZ979">
        <v>24.142025010450176</v>
      </c>
      <c r="GA979">
        <v>60.760845344039502</v>
      </c>
      <c r="GB979">
        <v>42.990078313502458</v>
      </c>
      <c r="GC979">
        <v>9.9306312012470492</v>
      </c>
      <c r="GD979">
        <v>6.5852236040586334</v>
      </c>
      <c r="GE979">
        <v>8.8029060348330415</v>
      </c>
      <c r="GF979">
        <v>6.2981112955668062</v>
      </c>
      <c r="GG979">
        <v>9.4574640494107083</v>
      </c>
      <c r="GH979">
        <v>9.3925065082278429</v>
      </c>
      <c r="GI979">
        <v>33.752259152794082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50.604956679964687</v>
      </c>
      <c r="AO980">
        <v>58.577949849570984</v>
      </c>
      <c r="AP980">
        <v>414.55104136236162</v>
      </c>
      <c r="AQ980">
        <v>184.80888279150872</v>
      </c>
      <c r="AR980">
        <v>55.119252804369907</v>
      </c>
      <c r="AS980">
        <v>280.93367529933693</v>
      </c>
      <c r="AT980">
        <v>23.506541864613379</v>
      </c>
      <c r="AU980">
        <v>1.7254198924739641</v>
      </c>
      <c r="AV980"/>
      <c r="AW980"/>
      <c r="FY980" s="210">
        <v>975</v>
      </c>
      <c r="FZ980">
        <v>27.046723001455454</v>
      </c>
      <c r="GA980">
        <v>60.423927685886071</v>
      </c>
      <c r="GB980">
        <v>53.227913224386903</v>
      </c>
      <c r="GC980">
        <v>12.389618944281613</v>
      </c>
      <c r="GD980">
        <v>7.0008262343675067</v>
      </c>
      <c r="GE980">
        <v>9.867681591710058</v>
      </c>
      <c r="GF980">
        <v>11.500248753861078</v>
      </c>
      <c r="GG980">
        <v>22.701866063621026</v>
      </c>
      <c r="GH980">
        <v>26.764827965401235</v>
      </c>
      <c r="GI980">
        <v>46.794991854664431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57.110803545912667</v>
      </c>
      <c r="AO981">
        <v>76.540515417523949</v>
      </c>
      <c r="AP981">
        <v>546.59626919707557</v>
      </c>
      <c r="AQ981">
        <v>221.42138251732729</v>
      </c>
      <c r="AR981">
        <v>71.45854973109148</v>
      </c>
      <c r="AS981">
        <v>400.90944460206259</v>
      </c>
      <c r="AT981">
        <v>28.361353504464812</v>
      </c>
      <c r="AU981">
        <v>14.538245966295882</v>
      </c>
      <c r="AV981"/>
      <c r="AW981"/>
      <c r="FY981" s="210">
        <v>976</v>
      </c>
      <c r="FZ981">
        <v>21.484274360277535</v>
      </c>
      <c r="GA981">
        <v>48.598727739869915</v>
      </c>
      <c r="GB981">
        <v>30.40095699502228</v>
      </c>
      <c r="GC981">
        <v>9.2170901270349592</v>
      </c>
      <c r="GD981">
        <v>6.331385859601923</v>
      </c>
      <c r="GE981">
        <v>8.3866918790527585</v>
      </c>
      <c r="GF981">
        <v>9.8118922801343285</v>
      </c>
      <c r="GG981">
        <v>20.840535637113881</v>
      </c>
      <c r="GH981">
        <v>20.67702910407581</v>
      </c>
      <c r="GI981">
        <v>30.760573141690454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50.719834717954974</v>
      </c>
      <c r="AO982">
        <v>67.368367396073523</v>
      </c>
      <c r="AP982">
        <v>490.98443938271174</v>
      </c>
      <c r="AQ982">
        <v>184.06048631976969</v>
      </c>
      <c r="AR982">
        <v>62.765705641841762</v>
      </c>
      <c r="AS982">
        <v>298.60786130926158</v>
      </c>
      <c r="AT982">
        <v>23.993680250535277</v>
      </c>
      <c r="AU982">
        <v>31.057752985210197</v>
      </c>
      <c r="AV982"/>
      <c r="AW982"/>
      <c r="FY982" s="210">
        <v>977</v>
      </c>
      <c r="FZ982">
        <v>23.76691406904537</v>
      </c>
      <c r="GA982">
        <v>55.743712723882503</v>
      </c>
      <c r="GB982">
        <v>42.855204379317925</v>
      </c>
      <c r="GC982">
        <v>15.240069475824715</v>
      </c>
      <c r="GD982">
        <v>7.7406462307553108</v>
      </c>
      <c r="GE982">
        <v>6.4981315631154404</v>
      </c>
      <c r="GF982">
        <v>9.9855991378619127</v>
      </c>
      <c r="GG982">
        <v>19.034392340568282</v>
      </c>
      <c r="GH982">
        <v>16.890764613873067</v>
      </c>
      <c r="GI982">
        <v>38.422559635166287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52.207015341468733</v>
      </c>
      <c r="AO983">
        <v>51.660126491629867</v>
      </c>
      <c r="AP983">
        <v>380.84122908174436</v>
      </c>
      <c r="AQ983">
        <v>192.77525976935141</v>
      </c>
      <c r="AR983">
        <v>48.288923151790172</v>
      </c>
      <c r="AS983">
        <v>319.78206827467534</v>
      </c>
      <c r="AT983">
        <v>19.681388027671506</v>
      </c>
      <c r="AU983">
        <v>1.2423675441007758</v>
      </c>
      <c r="AV983"/>
      <c r="AW983"/>
      <c r="FY983" s="210">
        <v>978</v>
      </c>
      <c r="FZ983">
        <v>17.934369575762727</v>
      </c>
      <c r="GA983">
        <v>58.610617875881999</v>
      </c>
      <c r="GB983">
        <v>26.516853842168583</v>
      </c>
      <c r="GC983">
        <v>7.7102183982202899</v>
      </c>
      <c r="GD983">
        <v>4.4663622619519625</v>
      </c>
      <c r="GE983">
        <v>5.5495441321977985</v>
      </c>
      <c r="GF983">
        <v>11.05559880736617</v>
      </c>
      <c r="GG983">
        <v>20.076446289537682</v>
      </c>
      <c r="GH983">
        <v>19.272839708449869</v>
      </c>
      <c r="GI983">
        <v>27.412327254203419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60.496834164846049</v>
      </c>
      <c r="AO984">
        <v>90.139740223290602</v>
      </c>
      <c r="AP984">
        <v>615.10288321767416</v>
      </c>
      <c r="AQ984">
        <v>219.41438936406595</v>
      </c>
      <c r="AR984">
        <v>83.247219519147194</v>
      </c>
      <c r="AS984">
        <v>361.20239153392555</v>
      </c>
      <c r="AT984">
        <v>30.810744489131903</v>
      </c>
      <c r="AU984">
        <v>-26.063111697479059</v>
      </c>
      <c r="AV984"/>
      <c r="AW984"/>
      <c r="FY984" s="210">
        <v>979</v>
      </c>
      <c r="FZ984">
        <v>29.027376710430023</v>
      </c>
      <c r="GA984">
        <v>61.238152246494742</v>
      </c>
      <c r="GB984">
        <v>30.554301856955572</v>
      </c>
      <c r="GC984">
        <v>12.907132922724712</v>
      </c>
      <c r="GD984">
        <v>7.8361201178504052</v>
      </c>
      <c r="GE984">
        <v>6.3602161221652906</v>
      </c>
      <c r="GF984">
        <v>11.183139089180985</v>
      </c>
      <c r="GG984">
        <v>18.267496403315231</v>
      </c>
      <c r="GH984">
        <v>13.717569380825781</v>
      </c>
      <c r="GI984">
        <v>34.827210875176981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49.991321179958724</v>
      </c>
      <c r="AO985">
        <v>64.740735103672677</v>
      </c>
      <c r="AP985">
        <v>464.37604414189536</v>
      </c>
      <c r="AQ985">
        <v>184.21404260443799</v>
      </c>
      <c r="AR985">
        <v>60.752706967432665</v>
      </c>
      <c r="AS985">
        <v>333.09120350345245</v>
      </c>
      <c r="AT985">
        <v>23.289282646434817</v>
      </c>
      <c r="AU985">
        <v>16.711943407185164</v>
      </c>
      <c r="AV985"/>
      <c r="AW985"/>
      <c r="FY985" s="210">
        <v>980</v>
      </c>
      <c r="FZ985">
        <v>25.408772568953395</v>
      </c>
      <c r="GA985">
        <v>45.49173343185187</v>
      </c>
      <c r="GB985">
        <v>24.930001220234601</v>
      </c>
      <c r="GC985">
        <v>7.5602931315819442</v>
      </c>
      <c r="GD985">
        <v>6.5996760602501707</v>
      </c>
      <c r="GE985">
        <v>8.896190730728744</v>
      </c>
      <c r="GF985">
        <v>11.303757482404725</v>
      </c>
      <c r="GG985">
        <v>22.332209663413376</v>
      </c>
      <c r="GH985">
        <v>21.952966196398489</v>
      </c>
      <c r="GI985">
        <v>29.213871486960919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51.573661683934617</v>
      </c>
      <c r="AO986">
        <v>65.888060946469992</v>
      </c>
      <c r="AP986">
        <v>481.89370827777179</v>
      </c>
      <c r="AQ986">
        <v>206.5322577593451</v>
      </c>
      <c r="AR986">
        <v>60.743601719310263</v>
      </c>
      <c r="AS986">
        <v>433.63917698237867</v>
      </c>
      <c r="AT986">
        <v>24.1431086573815</v>
      </c>
      <c r="AU986">
        <v>-3.676220938130335</v>
      </c>
      <c r="AV986"/>
      <c r="AW986"/>
      <c r="FY986" s="210">
        <v>981</v>
      </c>
      <c r="FZ986">
        <v>29.442772133451058</v>
      </c>
      <c r="GA986">
        <v>46.582591716299781</v>
      </c>
      <c r="GB986">
        <v>27.113020818049666</v>
      </c>
      <c r="GC986">
        <v>11.561075038006628</v>
      </c>
      <c r="GD986">
        <v>6.0817963508806043</v>
      </c>
      <c r="GE986">
        <v>5.6596829170821712</v>
      </c>
      <c r="GF986">
        <v>12.079194785853726</v>
      </c>
      <c r="GG986">
        <v>15.973420347626485</v>
      </c>
      <c r="GH986">
        <v>8.7351672386385015</v>
      </c>
      <c r="GI986">
        <v>29.186464274347035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51.12044343530026</v>
      </c>
      <c r="AO987">
        <v>78.177026345697072</v>
      </c>
      <c r="AP987">
        <v>510.95479685943502</v>
      </c>
      <c r="AQ987">
        <v>206.15598600882768</v>
      </c>
      <c r="AR987">
        <v>72.378003751268963</v>
      </c>
      <c r="AS987">
        <v>449.48644409411799</v>
      </c>
      <c r="AT987">
        <v>32.379221538775475</v>
      </c>
      <c r="AU987">
        <v>-12.9764821991375</v>
      </c>
      <c r="AV987"/>
      <c r="AW987"/>
      <c r="FY987" s="210">
        <v>982</v>
      </c>
      <c r="FZ987">
        <v>14.567301809152067</v>
      </c>
      <c r="GA987">
        <v>64.573901726216675</v>
      </c>
      <c r="GB987">
        <v>39.740769394607867</v>
      </c>
      <c r="GC987">
        <v>10.78807586188595</v>
      </c>
      <c r="GD987">
        <v>7.9221488085016603</v>
      </c>
      <c r="GE987">
        <v>10.801638064774979</v>
      </c>
      <c r="GF987">
        <v>11.516364388457282</v>
      </c>
      <c r="GG987">
        <v>21.148679539862457</v>
      </c>
      <c r="GH987">
        <v>18.175989240651138</v>
      </c>
      <c r="GI987">
        <v>37.822366270517684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60.591387224051175</v>
      </c>
      <c r="AO988">
        <v>70.790384159601075</v>
      </c>
      <c r="AP988">
        <v>505.95084315695578</v>
      </c>
      <c r="AQ988">
        <v>220.75479032574367</v>
      </c>
      <c r="AR988">
        <v>66.032056810686612</v>
      </c>
      <c r="AS988">
        <v>380.92917453610283</v>
      </c>
      <c r="AT988">
        <v>25.816174970135339</v>
      </c>
      <c r="AU988">
        <v>-11.604759117071783</v>
      </c>
      <c r="AV988"/>
      <c r="AW988"/>
      <c r="FY988" s="210">
        <v>983</v>
      </c>
      <c r="FZ988">
        <v>16.953631700747842</v>
      </c>
      <c r="GA988">
        <v>61.600985920267689</v>
      </c>
      <c r="GB988">
        <v>43.020804063316362</v>
      </c>
      <c r="GC988">
        <v>11.652223873164713</v>
      </c>
      <c r="GD988">
        <v>8.2828168916529528</v>
      </c>
      <c r="GE988">
        <v>10.730152115454795</v>
      </c>
      <c r="GF988">
        <v>9.3010576739669926</v>
      </c>
      <c r="GG988">
        <v>17.630734695925685</v>
      </c>
      <c r="GH988">
        <v>17.80793116581015</v>
      </c>
      <c r="GI988">
        <v>35.458860318747611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58.657240641946601</v>
      </c>
      <c r="AO989">
        <v>78.534402240586573</v>
      </c>
      <c r="AP989">
        <v>565.56271116995811</v>
      </c>
      <c r="AQ989">
        <v>212.36522192902484</v>
      </c>
      <c r="AR989">
        <v>73.242752700869033</v>
      </c>
      <c r="AS989">
        <v>354.14117469072391</v>
      </c>
      <c r="AT989">
        <v>30.544550140834797</v>
      </c>
      <c r="AU989">
        <v>58.754043765941439</v>
      </c>
      <c r="AV989"/>
      <c r="AW989"/>
      <c r="FY989" s="210">
        <v>984</v>
      </c>
      <c r="FZ989">
        <v>30.485205380591101</v>
      </c>
      <c r="GA989">
        <v>76.253708974326443</v>
      </c>
      <c r="GB989">
        <v>40.412954298030812</v>
      </c>
      <c r="GC989">
        <v>10.746463101374326</v>
      </c>
      <c r="GD989">
        <v>7.6489664445344001</v>
      </c>
      <c r="GE989">
        <v>9.5310521345544359</v>
      </c>
      <c r="GF989">
        <v>10.02993269963061</v>
      </c>
      <c r="GG989">
        <v>18.365761190228945</v>
      </c>
      <c r="GH989">
        <v>18.271857604280413</v>
      </c>
      <c r="GI989">
        <v>40.345983764898207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58.380568690483663</v>
      </c>
      <c r="AO990">
        <v>71.591640768737037</v>
      </c>
      <c r="AP990">
        <v>495.68803297733729</v>
      </c>
      <c r="AQ990">
        <v>212.11205051413026</v>
      </c>
      <c r="AR990">
        <v>66.287369427258938</v>
      </c>
      <c r="AS990">
        <v>394.77289492942816</v>
      </c>
      <c r="AT990">
        <v>25.270396566804056</v>
      </c>
      <c r="AU990">
        <v>-1.8564172902592109</v>
      </c>
      <c r="AV990"/>
      <c r="AW990"/>
      <c r="FY990" s="210">
        <v>985</v>
      </c>
      <c r="FZ990">
        <v>28.937008528985324</v>
      </c>
      <c r="GA990">
        <v>53.912761560492051</v>
      </c>
      <c r="GB990">
        <v>40.873623085297439</v>
      </c>
      <c r="GC990">
        <v>9.8216474881877769</v>
      </c>
      <c r="GD990">
        <v>6.1982988938816854</v>
      </c>
      <c r="GE990">
        <v>7.739379100485003</v>
      </c>
      <c r="GF990">
        <v>10.455393277641077</v>
      </c>
      <c r="GG990">
        <v>12.367411406396087</v>
      </c>
      <c r="GH990">
        <v>6.0861144172803012</v>
      </c>
      <c r="GI990">
        <v>34.034782582106196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66.215082567627263</v>
      </c>
      <c r="AO991">
        <v>104.34693326955048</v>
      </c>
      <c r="AP991">
        <v>772.87942479022968</v>
      </c>
      <c r="AQ991">
        <v>277.71862531963541</v>
      </c>
      <c r="AR991">
        <v>98.219679555515768</v>
      </c>
      <c r="AS991">
        <v>434.18949791524267</v>
      </c>
      <c r="AT991">
        <v>40.35148735271698</v>
      </c>
      <c r="AU991">
        <v>-49.644129335902363</v>
      </c>
      <c r="AV991"/>
      <c r="AW991"/>
      <c r="FY991" s="210">
        <v>986</v>
      </c>
      <c r="FZ991">
        <v>18.594022153748426</v>
      </c>
      <c r="GA991">
        <v>85.773859481641807</v>
      </c>
      <c r="GB991">
        <v>62.062445926779318</v>
      </c>
      <c r="GC991">
        <v>12.890946250079237</v>
      </c>
      <c r="GD991">
        <v>5.8292784826671404</v>
      </c>
      <c r="GE991">
        <v>6.5304359353196446</v>
      </c>
      <c r="GF991">
        <v>9.0440176641159837</v>
      </c>
      <c r="GG991">
        <v>18.601016148899969</v>
      </c>
      <c r="GH991">
        <v>19.676365628826407</v>
      </c>
      <c r="GI991">
        <v>44.220949950650351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54.130234076986731</v>
      </c>
      <c r="AO992">
        <v>64.302766569099475</v>
      </c>
      <c r="AP992">
        <v>487.82097397679939</v>
      </c>
      <c r="AQ992">
        <v>206.50915712387385</v>
      </c>
      <c r="AR992">
        <v>60.603972187626496</v>
      </c>
      <c r="AS992">
        <v>418.03988269930937</v>
      </c>
      <c r="AT992">
        <v>24.494996618495374</v>
      </c>
      <c r="AU992">
        <v>2.0577762895859397</v>
      </c>
      <c r="AV992"/>
      <c r="AW992"/>
      <c r="FY992" s="210">
        <v>987</v>
      </c>
      <c r="FZ992">
        <v>17.904193387796024</v>
      </c>
      <c r="GA992">
        <v>69.928316454459605</v>
      </c>
      <c r="GB992">
        <v>59.953753053680757</v>
      </c>
      <c r="GC992">
        <v>9.567598879154886</v>
      </c>
      <c r="GD992">
        <v>5.2690669611398748</v>
      </c>
      <c r="GE992">
        <v>10.035360241559271</v>
      </c>
      <c r="GF992">
        <v>9.0429914062669123</v>
      </c>
      <c r="GG992">
        <v>16.745579481042309</v>
      </c>
      <c r="GH992">
        <v>16.478440587564805</v>
      </c>
      <c r="GI992">
        <v>40.793142247989032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58.051731098710512</v>
      </c>
      <c r="AO993">
        <v>81.326775325735781</v>
      </c>
      <c r="AP993">
        <v>567.30324406385523</v>
      </c>
      <c r="AQ993">
        <v>236.17799416941082</v>
      </c>
      <c r="AR993">
        <v>74.576110740944642</v>
      </c>
      <c r="AS993">
        <v>427.83893146571307</v>
      </c>
      <c r="AT993">
        <v>30.292617704313827</v>
      </c>
      <c r="AU993">
        <v>-47.455618033168413</v>
      </c>
      <c r="AV993"/>
      <c r="AW993"/>
      <c r="FY993" s="210">
        <v>988</v>
      </c>
      <c r="FZ993">
        <v>28.29422372067901</v>
      </c>
      <c r="GA993">
        <v>58.039144177644381</v>
      </c>
      <c r="GB993">
        <v>32.110605520859927</v>
      </c>
      <c r="GC993">
        <v>10.430518966900818</v>
      </c>
      <c r="GD993">
        <v>6.4970696720396619</v>
      </c>
      <c r="GE993">
        <v>7.586898631686438</v>
      </c>
      <c r="GF993">
        <v>11.501351630980929</v>
      </c>
      <c r="GG993">
        <v>16.167756782452944</v>
      </c>
      <c r="GH993">
        <v>13.053678803460143</v>
      </c>
      <c r="GI993">
        <v>30.488169439612125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47.322908838761371</v>
      </c>
      <c r="AO994">
        <v>55.464964252358371</v>
      </c>
      <c r="AP994">
        <v>422.96540774115925</v>
      </c>
      <c r="AQ994">
        <v>198.60517814574052</v>
      </c>
      <c r="AR994">
        <v>51.391019239690891</v>
      </c>
      <c r="AS994">
        <v>366.17752961307099</v>
      </c>
      <c r="AT994">
        <v>23.094384888909072</v>
      </c>
      <c r="AU994">
        <v>17.159165871752855</v>
      </c>
      <c r="AV994"/>
      <c r="AW994"/>
      <c r="FY994" s="210">
        <v>989</v>
      </c>
      <c r="FZ994">
        <v>22.993768483413888</v>
      </c>
      <c r="GA994">
        <v>37.04611376562859</v>
      </c>
      <c r="GB994">
        <v>32.043558450630961</v>
      </c>
      <c r="GC994">
        <v>10.173452792027229</v>
      </c>
      <c r="GD994">
        <v>6.4890839659278319</v>
      </c>
      <c r="GE994">
        <v>6.1386634722167877</v>
      </c>
      <c r="GF994">
        <v>8.3331206262393795</v>
      </c>
      <c r="GG994">
        <v>12.245831964495958</v>
      </c>
      <c r="GH994">
        <v>6.6792322241443047</v>
      </c>
      <c r="GI994">
        <v>30.567907025217597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63.367154247328244</v>
      </c>
      <c r="AO995">
        <v>74.065058151561601</v>
      </c>
      <c r="AP995">
        <v>528.32472956748609</v>
      </c>
      <c r="AQ995">
        <v>225.91871572511974</v>
      </c>
      <c r="AR995">
        <v>70.406658184104927</v>
      </c>
      <c r="AS995">
        <v>433.27943356295401</v>
      </c>
      <c r="AT995">
        <v>27.749752397344746</v>
      </c>
      <c r="AU995">
        <v>34.745608650923749</v>
      </c>
      <c r="AV995"/>
      <c r="AW995"/>
      <c r="FY995" s="210">
        <v>990</v>
      </c>
      <c r="FZ995">
        <v>22.970014962909534</v>
      </c>
      <c r="GA995">
        <v>44.337569770250639</v>
      </c>
      <c r="GB995">
        <v>20.666086327907877</v>
      </c>
      <c r="GC995">
        <v>8.4707495347793351</v>
      </c>
      <c r="GD995">
        <v>6.6409674601893283</v>
      </c>
      <c r="GE995">
        <v>7.4633344277338267</v>
      </c>
      <c r="GF995">
        <v>6.4779764374239326</v>
      </c>
      <c r="GG995">
        <v>12.349797240479456</v>
      </c>
      <c r="GH995">
        <v>13.802053252324106</v>
      </c>
      <c r="GI995">
        <v>26.083970703789213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53.53546813677815</v>
      </c>
      <c r="AO996">
        <v>61.649352737321578</v>
      </c>
      <c r="AP996">
        <v>490.61049763994583</v>
      </c>
      <c r="AQ996">
        <v>203.68947197277825</v>
      </c>
      <c r="AR996">
        <v>58.198435558907796</v>
      </c>
      <c r="AS996">
        <v>372.8898502132235</v>
      </c>
      <c r="AT996">
        <v>24.243029520960206</v>
      </c>
      <c r="AU996">
        <v>19.881722626030019</v>
      </c>
      <c r="AV996"/>
      <c r="AW996"/>
      <c r="FY996" s="210">
        <v>991</v>
      </c>
      <c r="FZ996">
        <v>21.575334040690233</v>
      </c>
      <c r="GA996">
        <v>61.245580208782627</v>
      </c>
      <c r="GB996">
        <v>22.519878036370301</v>
      </c>
      <c r="GC996">
        <v>5.880917153617343</v>
      </c>
      <c r="GD996">
        <v>3.3281297070560054</v>
      </c>
      <c r="GE996">
        <v>3.5061283726576731</v>
      </c>
      <c r="GF996">
        <v>7.831125313800384</v>
      </c>
      <c r="GG996">
        <v>24.412731247530022</v>
      </c>
      <c r="GH996">
        <v>35.923634677642475</v>
      </c>
      <c r="GI996">
        <v>25.016062154297476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55.987422352267686</v>
      </c>
      <c r="AO997">
        <v>60.515822525492219</v>
      </c>
      <c r="AP997">
        <v>442.58885743994404</v>
      </c>
      <c r="AQ997">
        <v>192.41518562023563</v>
      </c>
      <c r="AR997">
        <v>56.585150820560315</v>
      </c>
      <c r="AS997">
        <v>371.28631259149864</v>
      </c>
      <c r="AT997">
        <v>24.187541275235585</v>
      </c>
      <c r="AU997">
        <v>38.808681448854884</v>
      </c>
      <c r="AV997"/>
      <c r="AW997"/>
      <c r="FY997" s="210">
        <v>992</v>
      </c>
      <c r="FZ997">
        <v>20.303752593927005</v>
      </c>
      <c r="GA997">
        <v>50.693621781386312</v>
      </c>
      <c r="GB997">
        <v>24.324318022994646</v>
      </c>
      <c r="GC997">
        <v>13.188673786896427</v>
      </c>
      <c r="GD997">
        <v>7.6940823362890018</v>
      </c>
      <c r="GE997">
        <v>4.893949659259941</v>
      </c>
      <c r="GF997">
        <v>8.7663687477207493</v>
      </c>
      <c r="GG997">
        <v>15.770384990035614</v>
      </c>
      <c r="GH997">
        <v>17.214737040100889</v>
      </c>
      <c r="GI997">
        <v>29.904424700329272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56.093234797577381</v>
      </c>
      <c r="AO998">
        <v>79.934205335853903</v>
      </c>
      <c r="AP998">
        <v>587.99260059777066</v>
      </c>
      <c r="AQ998">
        <v>237.05723510462775</v>
      </c>
      <c r="AR998">
        <v>74.601433519535902</v>
      </c>
      <c r="AS998">
        <v>493.36568796149368</v>
      </c>
      <c r="AT998">
        <v>30.910522625512943</v>
      </c>
      <c r="AU998">
        <v>-16.788472669831595</v>
      </c>
      <c r="AV998"/>
      <c r="AW998"/>
      <c r="FY998" s="210">
        <v>993</v>
      </c>
      <c r="FZ998">
        <v>21.258560680444599</v>
      </c>
      <c r="GA998">
        <v>62.578187979078422</v>
      </c>
      <c r="GB998">
        <v>31.362534267705399</v>
      </c>
      <c r="GC998">
        <v>12.513244830267601</v>
      </c>
      <c r="GD998">
        <v>8.132887638191967</v>
      </c>
      <c r="GE998">
        <v>6.4167629814699847</v>
      </c>
      <c r="GF998">
        <v>11.313163870106317</v>
      </c>
      <c r="GG998">
        <v>14.592562544712587</v>
      </c>
      <c r="GH998">
        <v>10.84628695619608</v>
      </c>
      <c r="GI998">
        <v>33.125323966439041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55.341527692517538</v>
      </c>
      <c r="AO999">
        <v>76.696137038066496</v>
      </c>
      <c r="AP999">
        <v>603.06243564499721</v>
      </c>
      <c r="AQ999">
        <v>232.43919841905478</v>
      </c>
      <c r="AR999">
        <v>72.804275685155972</v>
      </c>
      <c r="AS999">
        <v>434.13931701572142</v>
      </c>
      <c r="AT999">
        <v>30.618763563569058</v>
      </c>
      <c r="AU999">
        <v>16.311554194509327</v>
      </c>
      <c r="AV999"/>
      <c r="AW999"/>
      <c r="FY999" s="210">
        <v>994</v>
      </c>
      <c r="FZ999">
        <v>19.27989146449513</v>
      </c>
      <c r="GA999">
        <v>56.224133072052815</v>
      </c>
      <c r="GB999">
        <v>38.230181356203147</v>
      </c>
      <c r="GC999">
        <v>10.084243424805337</v>
      </c>
      <c r="GD999">
        <v>6.51572543742384</v>
      </c>
      <c r="GE999">
        <v>8.7588854175622881</v>
      </c>
      <c r="GF999">
        <v>9.5454516552551851</v>
      </c>
      <c r="GG999">
        <v>15.574416790312464</v>
      </c>
      <c r="GH999">
        <v>21.554272093377822</v>
      </c>
      <c r="GI999">
        <v>33.674383294206635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68.142946565696576</v>
      </c>
      <c r="AO1000">
        <v>87.285914657457923</v>
      </c>
      <c r="AP1000">
        <v>648.10719880781676</v>
      </c>
      <c r="AQ1000">
        <v>262.09188559244973</v>
      </c>
      <c r="AR1000">
        <v>82.835248420682518</v>
      </c>
      <c r="AS1000">
        <v>471.12777228812627</v>
      </c>
      <c r="AT1000">
        <v>31.376255981313012</v>
      </c>
      <c r="AU1000">
        <v>35.08331299784264</v>
      </c>
      <c r="AV1000"/>
      <c r="AW1000"/>
      <c r="FY1000" s="210">
        <v>995</v>
      </c>
      <c r="FZ1000">
        <v>17.156763473326254</v>
      </c>
      <c r="GA1000">
        <v>37.573012121818415</v>
      </c>
      <c r="GB1000">
        <v>30.496227467362846</v>
      </c>
      <c r="GC1000">
        <v>12.623760280091775</v>
      </c>
      <c r="GD1000">
        <v>7.3679551230162774</v>
      </c>
      <c r="GE1000">
        <v>7.2228678644225832</v>
      </c>
      <c r="GF1000">
        <v>7.7169553120505068</v>
      </c>
      <c r="GG1000">
        <v>13.377297479848361</v>
      </c>
      <c r="GH1000">
        <v>18.511174666823958</v>
      </c>
      <c r="GI1000">
        <v>33.155880457638531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59.160515547879278</v>
      </c>
      <c r="AO1001">
        <v>73.32001303374139</v>
      </c>
      <c r="AP1001">
        <v>528.67530464078652</v>
      </c>
      <c r="AQ1001">
        <v>210.42642034075291</v>
      </c>
      <c r="AR1001">
        <v>68.495371599153088</v>
      </c>
      <c r="AS1001">
        <v>605.78500085579037</v>
      </c>
      <c r="AT1001">
        <v>25.582312025355886</v>
      </c>
      <c r="AU1001">
        <v>39.115890984712038</v>
      </c>
      <c r="AV1001"/>
      <c r="AW1001"/>
      <c r="FY1001" s="210">
        <v>996</v>
      </c>
      <c r="FZ1001">
        <v>25.626943379070887</v>
      </c>
      <c r="GA1001">
        <v>47.661077723712118</v>
      </c>
      <c r="GB1001">
        <v>38.597128196661252</v>
      </c>
      <c r="GC1001">
        <v>8.9770133800932559</v>
      </c>
      <c r="GD1001">
        <v>8.0357938720433033</v>
      </c>
      <c r="GE1001">
        <v>13.035113170217741</v>
      </c>
      <c r="GF1001">
        <v>9.1539746076410466</v>
      </c>
      <c r="GG1001">
        <v>20.978509010193267</v>
      </c>
      <c r="GH1001">
        <v>25.925494070762056</v>
      </c>
      <c r="GI1001">
        <v>36.366841973940815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58.56613745217328</v>
      </c>
      <c r="AO1002">
        <v>100.75347384312258</v>
      </c>
      <c r="AP1002">
        <v>813.0581965489697</v>
      </c>
      <c r="AQ1002">
        <v>283.22333762272831</v>
      </c>
      <c r="AR1002">
        <v>93.801765568136176</v>
      </c>
      <c r="AS1002">
        <v>402.0721911131505</v>
      </c>
      <c r="AT1002">
        <v>39.979688563927724</v>
      </c>
      <c r="AU1002">
        <v>-84.030619434592367</v>
      </c>
      <c r="AV1002"/>
      <c r="AW1002"/>
      <c r="FY1002" s="210">
        <v>997</v>
      </c>
      <c r="FZ1002">
        <v>24.378019961016964</v>
      </c>
      <c r="GA1002">
        <v>42.258222774190514</v>
      </c>
      <c r="GB1002">
        <v>26.759777795664391</v>
      </c>
      <c r="GC1002">
        <v>7.5122347795738911</v>
      </c>
      <c r="GD1002">
        <v>4.864767939085322</v>
      </c>
      <c r="GE1002">
        <v>6.2101035255194796</v>
      </c>
      <c r="GF1002">
        <v>10.41050223921267</v>
      </c>
      <c r="GG1002">
        <v>18.007248882993935</v>
      </c>
      <c r="GH1002">
        <v>15.084425943687661</v>
      </c>
      <c r="GI1002">
        <v>27.223979354838995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58.632270878814495</v>
      </c>
      <c r="AO1003">
        <v>92.410304650177039</v>
      </c>
      <c r="AP1003">
        <v>732.5251113935027</v>
      </c>
      <c r="AQ1003">
        <v>255.71844270065347</v>
      </c>
      <c r="AR1003">
        <v>84.737742766072515</v>
      </c>
      <c r="AS1003">
        <v>358.67555654158815</v>
      </c>
      <c r="AT1003">
        <v>34.977404305939253</v>
      </c>
      <c r="AU1003">
        <v>-18.37731102630902</v>
      </c>
      <c r="AV1003"/>
      <c r="AW1003"/>
      <c r="FY1003" s="210">
        <v>998</v>
      </c>
      <c r="FZ1003">
        <v>23.586800535789425</v>
      </c>
      <c r="GA1003">
        <v>54.678149685196189</v>
      </c>
      <c r="GB1003">
        <v>34.392561034737895</v>
      </c>
      <c r="GC1003">
        <v>11.822895480849342</v>
      </c>
      <c r="GD1003">
        <v>8.3076558600213879</v>
      </c>
      <c r="GE1003">
        <v>9.3775253562434173</v>
      </c>
      <c r="GF1003">
        <v>7.3727493430300761</v>
      </c>
      <c r="GG1003">
        <v>10.452439918283726</v>
      </c>
      <c r="GH1003">
        <v>16.398628048325541</v>
      </c>
      <c r="GI1003">
        <v>31.882980263124178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50.650896998859899</v>
      </c>
      <c r="AO1004">
        <v>62.222696278994896</v>
      </c>
      <c r="AP1004">
        <v>483.55536178865276</v>
      </c>
      <c r="AQ1004">
        <v>214.16941734631641</v>
      </c>
      <c r="AR1004">
        <v>58.655143108443674</v>
      </c>
      <c r="AS1004">
        <v>357.92796858406342</v>
      </c>
      <c r="AT1004">
        <v>23.955882246805388</v>
      </c>
      <c r="AU1004">
        <v>-1.2404232196019596</v>
      </c>
      <c r="AV1004"/>
      <c r="AW1004"/>
      <c r="FY1004" s="210">
        <v>999</v>
      </c>
      <c r="FZ1004">
        <v>22.580746513985616</v>
      </c>
      <c r="GA1004">
        <v>64.076460137264704</v>
      </c>
      <c r="GB1004">
        <v>40.644351416654338</v>
      </c>
      <c r="GC1004">
        <v>13.04398836180629</v>
      </c>
      <c r="GD1004">
        <v>7.7574624822013858</v>
      </c>
      <c r="GE1004">
        <v>6.1637812464443078</v>
      </c>
      <c r="GF1004">
        <v>4.5713979605363715</v>
      </c>
      <c r="GG1004">
        <v>14.89416528776308</v>
      </c>
      <c r="GH1004">
        <v>33.208587372678501</v>
      </c>
      <c r="GI1004">
        <v>36.247480730642792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46.374540290802301</v>
      </c>
      <c r="AO1005">
        <v>64.415713410928419</v>
      </c>
      <c r="AP1005">
        <v>433.03874693794552</v>
      </c>
      <c r="AQ1005">
        <v>172.71073276994255</v>
      </c>
      <c r="AR1005">
        <v>62.468103682398286</v>
      </c>
      <c r="AS1005">
        <v>319.21382107396994</v>
      </c>
      <c r="AT1005">
        <v>26.026875070744079</v>
      </c>
      <c r="AU1005">
        <v>39.091845998463725</v>
      </c>
      <c r="AV1005"/>
      <c r="AW1005"/>
      <c r="FY1005" s="210">
        <v>1000</v>
      </c>
      <c r="FZ1005">
        <v>24.246459960453144</v>
      </c>
      <c r="GA1005">
        <v>66.160684272062227</v>
      </c>
      <c r="GB1005">
        <v>43.307920997285606</v>
      </c>
      <c r="GC1005">
        <v>15.601637448230775</v>
      </c>
      <c r="GD1005">
        <v>12.060281009169957</v>
      </c>
      <c r="GE1005">
        <v>13.01200781442583</v>
      </c>
      <c r="GF1005">
        <v>10.795085583588753</v>
      </c>
      <c r="GG1005">
        <v>20.305617295078317</v>
      </c>
      <c r="GH1005">
        <v>18.335770445228682</v>
      </c>
      <c r="GI1005">
        <v>41.220974567302605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55.278809264698239</v>
      </c>
      <c r="AO1006">
        <v>53.58094837827592</v>
      </c>
      <c r="AP1006">
        <v>352.53848050597594</v>
      </c>
      <c r="AQ1006">
        <v>169.26252011778723</v>
      </c>
      <c r="AR1006">
        <v>49.881603818720095</v>
      </c>
      <c r="AS1006">
        <v>357.8438513297333</v>
      </c>
      <c r="AT1006">
        <v>17.804191774805098</v>
      </c>
      <c r="AU1006">
        <v>-3.0276885217630842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45.31335611515177</v>
      </c>
      <c r="AO1007">
        <v>52.587051716376756</v>
      </c>
      <c r="AP1007">
        <v>465.54396701140342</v>
      </c>
      <c r="AQ1007">
        <v>211.23952091244456</v>
      </c>
      <c r="AR1007">
        <v>48.812017413300026</v>
      </c>
      <c r="AS1007">
        <v>256.54765223611616</v>
      </c>
      <c r="AT1007">
        <v>22.153374993509118</v>
      </c>
      <c r="AU1007">
        <v>-27.320693208381293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53.739656257272756</v>
      </c>
      <c r="AO1008">
        <v>60.223890720171788</v>
      </c>
      <c r="AP1008">
        <v>405.7516292300603</v>
      </c>
      <c r="AQ1008">
        <v>192.75431365893985</v>
      </c>
      <c r="AR1008">
        <v>56.464128554731047</v>
      </c>
      <c r="AS1008">
        <v>348.76409016633903</v>
      </c>
      <c r="AT1008">
        <v>22.701789287693241</v>
      </c>
      <c r="AU1008">
        <v>-14.958783710005847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61.185626634936057</v>
      </c>
      <c r="AO1009">
        <v>67.321568611208065</v>
      </c>
      <c r="AP1009">
        <v>460.09790110179023</v>
      </c>
      <c r="AQ1009">
        <v>212.139515714612</v>
      </c>
      <c r="AR1009">
        <v>62.125396127803995</v>
      </c>
      <c r="AS1009">
        <v>417.01153573249155</v>
      </c>
      <c r="AT1009">
        <v>25.065250261686554</v>
      </c>
      <c r="AU1009">
        <v>46.992877161820886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54.534691156461271</v>
      </c>
      <c r="AO1010">
        <v>72.100653524158247</v>
      </c>
      <c r="AP1010">
        <v>542.25541991138391</v>
      </c>
      <c r="AQ1010">
        <v>219.44158400569466</v>
      </c>
      <c r="AR1010">
        <v>66.489039129194893</v>
      </c>
      <c r="AS1010">
        <v>344.6560134402315</v>
      </c>
      <c r="AT1010">
        <v>27.254012165196471</v>
      </c>
      <c r="AU1010">
        <v>-21.039455014908032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53.46687381166047</v>
      </c>
      <c r="AO1011">
        <v>73.309541339753636</v>
      </c>
      <c r="AP1011">
        <v>485.99058454295579</v>
      </c>
      <c r="AQ1011">
        <v>185.20189424639949</v>
      </c>
      <c r="AR1011">
        <v>68.836940367324914</v>
      </c>
      <c r="AS1011">
        <v>350.98269864188654</v>
      </c>
      <c r="AT1011">
        <v>26.337160739223933</v>
      </c>
      <c r="AU1011">
        <v>-48.308825547799643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61.157581399205284</v>
      </c>
      <c r="AO1012">
        <v>77.212124960929685</v>
      </c>
      <c r="AP1012">
        <v>565.52321150741545</v>
      </c>
      <c r="AQ1012">
        <v>234.35788938433575</v>
      </c>
      <c r="AR1012">
        <v>71.859946784253637</v>
      </c>
      <c r="AS1012">
        <v>353.23536855047058</v>
      </c>
      <c r="AT1012">
        <v>28.039782595182427</v>
      </c>
      <c r="AU1012">
        <v>4.1380074375021909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46.227016140194266</v>
      </c>
      <c r="AO1013">
        <v>60.443040726730473</v>
      </c>
      <c r="AP1013">
        <v>481.67627787739741</v>
      </c>
      <c r="AQ1013">
        <v>182.70928319578383</v>
      </c>
      <c r="AR1013">
        <v>56.690851070909737</v>
      </c>
      <c r="AS1013">
        <v>282.38614740148677</v>
      </c>
      <c r="AT1013">
        <v>23.200979766256847</v>
      </c>
      <c r="AU1013">
        <v>50.824201646857865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61.04061634103298</v>
      </c>
      <c r="AO1014">
        <v>66.151741419758324</v>
      </c>
      <c r="AP1014">
        <v>468.01987171557602</v>
      </c>
      <c r="AQ1014">
        <v>208.27238552560118</v>
      </c>
      <c r="AR1014">
        <v>61.645082442216733</v>
      </c>
      <c r="AS1014">
        <v>311.65253609536978</v>
      </c>
      <c r="AT1014">
        <v>24.289571811456863</v>
      </c>
      <c r="AU1014">
        <v>-7.1308703284538684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58.56350798084452</v>
      </c>
      <c r="AO1015">
        <v>77.449501016936225</v>
      </c>
      <c r="AP1015">
        <v>585.60263606114563</v>
      </c>
      <c r="AQ1015">
        <v>243.18842150997739</v>
      </c>
      <c r="AR1015">
        <v>72.866326381787985</v>
      </c>
      <c r="AS1015">
        <v>400.29906847627785</v>
      </c>
      <c r="AT1015">
        <v>29.834316143878365</v>
      </c>
      <c r="AU1015">
        <v>-19.422432885110275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72.630744381706364</v>
      </c>
      <c r="AO1016">
        <v>84.7825707812719</v>
      </c>
      <c r="AP1016">
        <v>623.51726634304339</v>
      </c>
      <c r="AQ1016">
        <v>265.0464393928259</v>
      </c>
      <c r="AR1016">
        <v>80.264061794152056</v>
      </c>
      <c r="AS1016">
        <v>443.44733841548168</v>
      </c>
      <c r="AT1016">
        <v>31.62900090535631</v>
      </c>
      <c r="AU1016">
        <v>-36.902738978016913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M12:FN12"/>
    <mergeCell ref="FM13:FN13"/>
    <mergeCell ref="FM14:FN14"/>
    <mergeCell ref="FM15:FN15"/>
    <mergeCell ref="FM16:FN16"/>
    <mergeCell ref="FM7:FN7"/>
    <mergeCell ref="FM8:FN8"/>
    <mergeCell ref="FM9:FN9"/>
    <mergeCell ref="FM10:FN10"/>
    <mergeCell ref="FM11:FN11"/>
    <mergeCell ref="FK12:FL12"/>
    <mergeCell ref="FK13:FL13"/>
    <mergeCell ref="FK14:FL14"/>
    <mergeCell ref="FK15:FL15"/>
    <mergeCell ref="FK16:FL16"/>
    <mergeCell ref="FI11:FJ11"/>
    <mergeCell ref="FK7:FL7"/>
    <mergeCell ref="FK8:FL8"/>
    <mergeCell ref="FK9:FL9"/>
    <mergeCell ref="FK10:FL10"/>
    <mergeCell ref="FK11:FL11"/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2011-08-25T11:06:51Z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