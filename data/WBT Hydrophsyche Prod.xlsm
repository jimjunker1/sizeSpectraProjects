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7335" yWindow="-30" windowWidth="10425" windowHeight="763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G213" i="1"/>
  <c r="DJ215"/>
  <c r="DK215"/>
  <c r="DJ216"/>
  <c r="DK216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I216"/>
  <c r="DH216"/>
  <c r="DG216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I215"/>
  <c r="DH215"/>
  <c r="DG215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I422" s="1"/>
  <c r="J36"/>
  <c r="E463" s="1"/>
  <c r="K36"/>
  <c r="E465" s="1"/>
  <c r="L36"/>
  <c r="E467" s="1"/>
  <c r="M36"/>
  <c r="E469" s="1"/>
  <c r="N36"/>
  <c r="E471" s="1"/>
  <c r="O36"/>
  <c r="O372" s="1"/>
  <c r="O422" s="1"/>
  <c r="P36"/>
  <c r="EY137" s="1"/>
  <c r="Q36"/>
  <c r="EZ150" s="1"/>
  <c r="R36"/>
  <c r="E479"/>
  <c r="S36"/>
  <c r="E481" s="1"/>
  <c r="T36"/>
  <c r="U36"/>
  <c r="E485" s="1"/>
  <c r="V36"/>
  <c r="FE174" s="1"/>
  <c r="W36"/>
  <c r="E489" s="1"/>
  <c r="X36"/>
  <c r="Y36"/>
  <c r="Y372" s="1"/>
  <c r="Z36"/>
  <c r="E495" s="1"/>
  <c r="AA36"/>
  <c r="FJ92" s="1"/>
  <c r="AB36"/>
  <c r="E499" s="1"/>
  <c r="AC36"/>
  <c r="AD36"/>
  <c r="AD372" s="1"/>
  <c r="AE36"/>
  <c r="FN157" s="1"/>
  <c r="AF36"/>
  <c r="E507" s="1"/>
  <c r="AG36"/>
  <c r="FP170" s="1"/>
  <c r="AH36"/>
  <c r="FQ174" s="1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J372"/>
  <c r="J422" s="1"/>
  <c r="N372"/>
  <c r="N373" s="1"/>
  <c r="U372"/>
  <c r="U422" s="1"/>
  <c r="Z372"/>
  <c r="Z422" s="1"/>
  <c r="U378"/>
  <c r="Z37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/>
  <c r="EC188"/>
  <c r="FM188" s="1"/>
  <c r="EB188"/>
  <c r="FL188"/>
  <c r="EA188"/>
  <c r="FK188" s="1"/>
  <c r="DZ188"/>
  <c r="FJ188" s="1"/>
  <c r="DY188"/>
  <c r="FI188" s="1"/>
  <c r="DX188"/>
  <c r="FH188" s="1"/>
  <c r="DW188"/>
  <c r="FG188" s="1"/>
  <c r="DV188"/>
  <c r="FF188"/>
  <c r="DU188"/>
  <c r="FE188" s="1"/>
  <c r="DT188"/>
  <c r="FD188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DD187"/>
  <c r="BA187"/>
  <c r="CM187"/>
  <c r="CL187"/>
  <c r="CK187"/>
  <c r="AY187"/>
  <c r="B184"/>
  <c r="CX186"/>
  <c r="CZ186"/>
  <c r="DJ186"/>
  <c r="DN186"/>
  <c r="EX186" s="1"/>
  <c r="DO186"/>
  <c r="DP186"/>
  <c r="DQ186"/>
  <c r="FA186" s="1"/>
  <c r="DR186"/>
  <c r="DS186"/>
  <c r="DT186"/>
  <c r="FD186"/>
  <c r="DU186"/>
  <c r="DV186"/>
  <c r="DW186"/>
  <c r="DX186"/>
  <c r="DY186"/>
  <c r="FI186" s="1"/>
  <c r="DZ186"/>
  <c r="EA186"/>
  <c r="FK186" s="1"/>
  <c r="EB186"/>
  <c r="EC186"/>
  <c r="FM186" s="1"/>
  <c r="ED186"/>
  <c r="EE186"/>
  <c r="FO186" s="1"/>
  <c r="EF186"/>
  <c r="EG186"/>
  <c r="EH186"/>
  <c r="EI186"/>
  <c r="EJ186"/>
  <c r="DD186"/>
  <c r="BA186"/>
  <c r="CM186"/>
  <c r="CL186"/>
  <c r="CK186"/>
  <c r="AY186"/>
  <c r="B186"/>
  <c r="CX185"/>
  <c r="CZ185"/>
  <c r="DK185"/>
  <c r="DO185"/>
  <c r="DS185"/>
  <c r="DW185"/>
  <c r="EA185"/>
  <c r="EC185"/>
  <c r="EE185"/>
  <c r="FO185" s="1"/>
  <c r="DD185"/>
  <c r="DE185"/>
  <c r="DC185"/>
  <c r="BA185"/>
  <c r="CM185" s="1"/>
  <c r="CL185"/>
  <c r="CK185"/>
  <c r="AY185"/>
  <c r="B179"/>
  <c r="CX184"/>
  <c r="CZ184"/>
  <c r="DF184"/>
  <c r="DL184"/>
  <c r="DT184"/>
  <c r="FD184" s="1"/>
  <c r="EA184"/>
  <c r="EI184"/>
  <c r="FS184" s="1"/>
  <c r="DD184"/>
  <c r="BA184"/>
  <c r="CM184"/>
  <c r="CL184"/>
  <c r="CK184"/>
  <c r="AY184"/>
  <c r="B183"/>
  <c r="CX183"/>
  <c r="CZ183"/>
  <c r="DH183"/>
  <c r="DL183"/>
  <c r="DP183"/>
  <c r="EZ183" s="1"/>
  <c r="DR183"/>
  <c r="DT183"/>
  <c r="FD183" s="1"/>
  <c r="DZ183"/>
  <c r="EF183"/>
  <c r="EH183"/>
  <c r="EJ183"/>
  <c r="DD183"/>
  <c r="DC183" s="1"/>
  <c r="DE183"/>
  <c r="BA183"/>
  <c r="CM183" s="1"/>
  <c r="CL183"/>
  <c r="CK183"/>
  <c r="AY183"/>
  <c r="B181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FD182" s="1"/>
  <c r="DU182"/>
  <c r="DV182"/>
  <c r="DW182"/>
  <c r="DX182"/>
  <c r="FH182" s="1"/>
  <c r="DY182"/>
  <c r="DZ182"/>
  <c r="EA182"/>
  <c r="EB182"/>
  <c r="EC182"/>
  <c r="ED182"/>
  <c r="EE182"/>
  <c r="EF182"/>
  <c r="FP182" s="1"/>
  <c r="EG182"/>
  <c r="EH182"/>
  <c r="EI182"/>
  <c r="FS182" s="1"/>
  <c r="EJ182"/>
  <c r="DD182"/>
  <c r="BA182"/>
  <c r="CM182"/>
  <c r="CL182"/>
  <c r="CK182"/>
  <c r="AY182"/>
  <c r="B187"/>
  <c r="CX181"/>
  <c r="CZ181"/>
  <c r="DO181"/>
  <c r="DQ181"/>
  <c r="DS181"/>
  <c r="DU181"/>
  <c r="DW181"/>
  <c r="DY181"/>
  <c r="EA181"/>
  <c r="EC181"/>
  <c r="EE181"/>
  <c r="FO181" s="1"/>
  <c r="EG181"/>
  <c r="EI181"/>
  <c r="DD181"/>
  <c r="DE181"/>
  <c r="DC181"/>
  <c r="BA181"/>
  <c r="CM181" s="1"/>
  <c r="CL181"/>
  <c r="CK181"/>
  <c r="AY181"/>
  <c r="B185"/>
  <c r="CX180"/>
  <c r="CZ180"/>
  <c r="DF180"/>
  <c r="DH180"/>
  <c r="DJ180"/>
  <c r="DK180"/>
  <c r="DN180"/>
  <c r="DP180"/>
  <c r="DQ180"/>
  <c r="FA180" s="1"/>
  <c r="DR180"/>
  <c r="DS180"/>
  <c r="DU180"/>
  <c r="DV180"/>
  <c r="DX180"/>
  <c r="FH180" s="1"/>
  <c r="DY180"/>
  <c r="DZ180"/>
  <c r="EA180"/>
  <c r="EC180"/>
  <c r="ED180"/>
  <c r="EF180"/>
  <c r="EG180"/>
  <c r="EH180"/>
  <c r="FR180" s="1"/>
  <c r="EI180"/>
  <c r="DD180"/>
  <c r="DE180" s="1"/>
  <c r="DC180"/>
  <c r="BA180"/>
  <c r="CM180" s="1"/>
  <c r="CL180"/>
  <c r="CK180"/>
  <c r="AY180"/>
  <c r="B178"/>
  <c r="CX179"/>
  <c r="CZ179"/>
  <c r="DP179"/>
  <c r="DR179"/>
  <c r="EF179"/>
  <c r="EH179"/>
  <c r="DD179"/>
  <c r="DC179" s="1"/>
  <c r="BA179"/>
  <c r="CM179"/>
  <c r="CL179"/>
  <c r="CK179"/>
  <c r="AY179"/>
  <c r="B180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2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0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6"/>
  <c r="CZ175"/>
  <c r="DH175"/>
  <c r="DJ175"/>
  <c r="DL175"/>
  <c r="DP175"/>
  <c r="DR175"/>
  <c r="DT175"/>
  <c r="FD175" s="1"/>
  <c r="DX175"/>
  <c r="FH175" s="1"/>
  <c r="DZ175"/>
  <c r="EB175"/>
  <c r="EF175"/>
  <c r="EH175"/>
  <c r="EJ175"/>
  <c r="DD175"/>
  <c r="DC175" s="1"/>
  <c r="DE175"/>
  <c r="BA175"/>
  <c r="CM175" s="1"/>
  <c r="CL175"/>
  <c r="CK175"/>
  <c r="AY175"/>
  <c r="B168"/>
  <c r="CZ174"/>
  <c r="DG174"/>
  <c r="DI174"/>
  <c r="ES174" s="1"/>
  <c r="DK174"/>
  <c r="DM174"/>
  <c r="DO174"/>
  <c r="DQ174"/>
  <c r="DR174"/>
  <c r="DS174"/>
  <c r="FC174" s="1"/>
  <c r="DT174"/>
  <c r="FD174" s="1"/>
  <c r="DU174"/>
  <c r="DV174"/>
  <c r="DW174"/>
  <c r="DX174"/>
  <c r="FH174" s="1"/>
  <c r="DY174"/>
  <c r="DZ174"/>
  <c r="EA174"/>
  <c r="EB174"/>
  <c r="FL174" s="1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2"/>
  <c r="CZ173"/>
  <c r="DF173"/>
  <c r="DG173"/>
  <c r="DH173"/>
  <c r="DI173"/>
  <c r="ES173" s="1"/>
  <c r="DJ173"/>
  <c r="DK173"/>
  <c r="DL173"/>
  <c r="EV173"/>
  <c r="DM173"/>
  <c r="DN173"/>
  <c r="DO173"/>
  <c r="DP173"/>
  <c r="DQ173"/>
  <c r="DR173"/>
  <c r="DS173"/>
  <c r="DT173"/>
  <c r="FD173" s="1"/>
  <c r="DU173"/>
  <c r="DV173"/>
  <c r="DW173"/>
  <c r="DX173"/>
  <c r="DY173"/>
  <c r="DZ173"/>
  <c r="EA173"/>
  <c r="FK173" s="1"/>
  <c r="EB173"/>
  <c r="EC173"/>
  <c r="ED173"/>
  <c r="EE173"/>
  <c r="FO173" s="1"/>
  <c r="EF173"/>
  <c r="FP173" s="1"/>
  <c r="EG173"/>
  <c r="EH173"/>
  <c r="EI173"/>
  <c r="EJ173"/>
  <c r="DD173"/>
  <c r="BA173"/>
  <c r="CM173"/>
  <c r="CL173"/>
  <c r="CK173"/>
  <c r="AY173"/>
  <c r="B175"/>
  <c r="CZ172"/>
  <c r="DD172"/>
  <c r="DE172" s="1"/>
  <c r="DC172"/>
  <c r="BA172"/>
  <c r="CM172" s="1"/>
  <c r="CL172"/>
  <c r="CK172"/>
  <c r="AY172"/>
  <c r="B173"/>
  <c r="CX171"/>
  <c r="CZ171"/>
  <c r="DF171"/>
  <c r="DH171"/>
  <c r="DJ171"/>
  <c r="DL171"/>
  <c r="DN171"/>
  <c r="DP171"/>
  <c r="EZ171" s="1"/>
  <c r="DR171"/>
  <c r="DT171"/>
  <c r="FD171" s="1"/>
  <c r="DV171"/>
  <c r="DX171"/>
  <c r="FH171" s="1"/>
  <c r="DZ171"/>
  <c r="EB171"/>
  <c r="ED171"/>
  <c r="EF171"/>
  <c r="EH171"/>
  <c r="EJ171"/>
  <c r="DD171"/>
  <c r="BA171"/>
  <c r="CM171"/>
  <c r="CL171"/>
  <c r="CK171"/>
  <c r="AY171"/>
  <c r="B174"/>
  <c r="CX170"/>
  <c r="CZ170"/>
  <c r="DF170"/>
  <c r="DG170"/>
  <c r="DH170"/>
  <c r="DI170"/>
  <c r="ES170" s="1"/>
  <c r="DJ170"/>
  <c r="DK170"/>
  <c r="DL170"/>
  <c r="DM170"/>
  <c r="DN170"/>
  <c r="DO170"/>
  <c r="DP170"/>
  <c r="DQ170"/>
  <c r="FA170" s="1"/>
  <c r="DR170"/>
  <c r="DS170"/>
  <c r="DT170"/>
  <c r="FD170" s="1"/>
  <c r="DU170"/>
  <c r="DV170"/>
  <c r="DW170"/>
  <c r="DX170"/>
  <c r="DY170"/>
  <c r="DZ170"/>
  <c r="EA170"/>
  <c r="EB170"/>
  <c r="EC170"/>
  <c r="ED170"/>
  <c r="EE170"/>
  <c r="FO170" s="1"/>
  <c r="EF170"/>
  <c r="EG170"/>
  <c r="EH170"/>
  <c r="FR170" s="1"/>
  <c r="EI170"/>
  <c r="FS170" s="1"/>
  <c r="EJ170"/>
  <c r="DD170"/>
  <c r="DC170" s="1"/>
  <c r="DE170"/>
  <c r="BA170"/>
  <c r="CM170"/>
  <c r="CL170"/>
  <c r="CK170"/>
  <c r="AY170"/>
  <c r="B171"/>
  <c r="CZ169"/>
  <c r="DI169" s="1"/>
  <c r="ES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69"/>
  <c r="CX168"/>
  <c r="CZ168"/>
  <c r="DZ168" s="1"/>
  <c r="DJ168"/>
  <c r="DP168"/>
  <c r="EF168"/>
  <c r="DD168"/>
  <c r="DC168" s="1"/>
  <c r="DE168"/>
  <c r="CL168"/>
  <c r="CK168"/>
  <c r="AY168"/>
  <c r="B177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4"/>
  <c r="CW166"/>
  <c r="CX166"/>
  <c r="CZ166"/>
  <c r="DF166"/>
  <c r="DK166"/>
  <c r="DP166"/>
  <c r="DQ166"/>
  <c r="FA166" s="1"/>
  <c r="DV166"/>
  <c r="EA166"/>
  <c r="EF166"/>
  <c r="FP166" s="1"/>
  <c r="EG166"/>
  <c r="DD166"/>
  <c r="BA166"/>
  <c r="CM166"/>
  <c r="CL166"/>
  <c r="CK166"/>
  <c r="AY166"/>
  <c r="B160"/>
  <c r="CZ165"/>
  <c r="DF165"/>
  <c r="DG165"/>
  <c r="EQ165" s="1"/>
  <c r="DH165"/>
  <c r="ER165" s="1"/>
  <c r="DI165"/>
  <c r="ES165" s="1"/>
  <c r="DJ165"/>
  <c r="DK165"/>
  <c r="DL165"/>
  <c r="DM165"/>
  <c r="DN165"/>
  <c r="DO165"/>
  <c r="DP165"/>
  <c r="EZ165" s="1"/>
  <c r="DQ165"/>
  <c r="FA165" s="1"/>
  <c r="DR165"/>
  <c r="DS165"/>
  <c r="DT165"/>
  <c r="FD165" s="1"/>
  <c r="DU165"/>
  <c r="DV165"/>
  <c r="DW165"/>
  <c r="DX165"/>
  <c r="DY165"/>
  <c r="DZ165"/>
  <c r="EA165"/>
  <c r="EB165"/>
  <c r="EC165"/>
  <c r="ED165"/>
  <c r="EE165"/>
  <c r="EF165"/>
  <c r="FP165" s="1"/>
  <c r="EG165"/>
  <c r="EH165"/>
  <c r="EI165"/>
  <c r="EJ165"/>
  <c r="DD165"/>
  <c r="DE165"/>
  <c r="DC165"/>
  <c r="BA165"/>
  <c r="CM165"/>
  <c r="CL165"/>
  <c r="CK165"/>
  <c r="AY165"/>
  <c r="B159"/>
  <c r="CZ164"/>
  <c r="DJ164" s="1"/>
  <c r="DF164"/>
  <c r="DG164"/>
  <c r="DH164"/>
  <c r="DI164"/>
  <c r="ES164" s="1"/>
  <c r="DK164"/>
  <c r="DL164"/>
  <c r="EV164" s="1"/>
  <c r="DN164"/>
  <c r="DO164"/>
  <c r="DP164"/>
  <c r="DQ164"/>
  <c r="FA164"/>
  <c r="DS164"/>
  <c r="DT164"/>
  <c r="FD164" s="1"/>
  <c r="DV164"/>
  <c r="FF164" s="1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5"/>
  <c r="CZ163"/>
  <c r="DF163"/>
  <c r="DG163"/>
  <c r="DH163"/>
  <c r="DI163"/>
  <c r="ES163" s="1"/>
  <c r="DJ163"/>
  <c r="DK163"/>
  <c r="DL163"/>
  <c r="DM163"/>
  <c r="DN163"/>
  <c r="DO163"/>
  <c r="DP163"/>
  <c r="DQ163"/>
  <c r="FA163" s="1"/>
  <c r="DR163"/>
  <c r="DS163"/>
  <c r="DT163"/>
  <c r="FD163" s="1"/>
  <c r="DU163"/>
  <c r="DV163"/>
  <c r="DW163"/>
  <c r="DX163"/>
  <c r="FH163" s="1"/>
  <c r="DY163"/>
  <c r="FI163" s="1"/>
  <c r="DZ163"/>
  <c r="EA163"/>
  <c r="EB163"/>
  <c r="EC163"/>
  <c r="FM163" s="1"/>
  <c r="ED163"/>
  <c r="EE163"/>
  <c r="EF163"/>
  <c r="EG163"/>
  <c r="EH163"/>
  <c r="EI163"/>
  <c r="EJ163"/>
  <c r="DD163"/>
  <c r="BA163"/>
  <c r="CM163"/>
  <c r="CL163"/>
  <c r="CK163"/>
  <c r="AY163"/>
  <c r="B167"/>
  <c r="CZ162"/>
  <c r="DF162"/>
  <c r="DG162"/>
  <c r="DH162"/>
  <c r="DI162"/>
  <c r="ES162" s="1"/>
  <c r="DJ162"/>
  <c r="DK162"/>
  <c r="DL162"/>
  <c r="DM162"/>
  <c r="EW162" s="1"/>
  <c r="DN162"/>
  <c r="EX162" s="1"/>
  <c r="DO162"/>
  <c r="DP162"/>
  <c r="DQ162"/>
  <c r="DR162"/>
  <c r="DS162"/>
  <c r="DT162"/>
  <c r="FD162" s="1"/>
  <c r="DU162"/>
  <c r="DV162"/>
  <c r="DW162"/>
  <c r="DX162"/>
  <c r="FH162" s="1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1"/>
  <c r="CX161"/>
  <c r="CZ161"/>
  <c r="DP161"/>
  <c r="DV161"/>
  <c r="DD161"/>
  <c r="BA161"/>
  <c r="CM161"/>
  <c r="CL161"/>
  <c r="CK161"/>
  <c r="AY161"/>
  <c r="B158"/>
  <c r="CW160"/>
  <c r="CX160"/>
  <c r="CZ160"/>
  <c r="EB160"/>
  <c r="ED160"/>
  <c r="DD160"/>
  <c r="DC160" s="1"/>
  <c r="DE160"/>
  <c r="BA160"/>
  <c r="CM160"/>
  <c r="CL160"/>
  <c r="CK160"/>
  <c r="AY160"/>
  <c r="B162"/>
  <c r="CX159"/>
  <c r="DH159" s="1"/>
  <c r="CZ159"/>
  <c r="DG159"/>
  <c r="DJ159"/>
  <c r="ET159" s="1"/>
  <c r="DN159"/>
  <c r="DO159"/>
  <c r="DP159"/>
  <c r="DQ159"/>
  <c r="FA159" s="1"/>
  <c r="DR159"/>
  <c r="DS159"/>
  <c r="DT159"/>
  <c r="FD159" s="1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6"/>
  <c r="CZ158"/>
  <c r="DF158"/>
  <c r="DG158"/>
  <c r="DH158"/>
  <c r="DI158"/>
  <c r="ES158" s="1"/>
  <c r="DJ158"/>
  <c r="DK158"/>
  <c r="DL158"/>
  <c r="EV158" s="1"/>
  <c r="DM158"/>
  <c r="DN158"/>
  <c r="DO158"/>
  <c r="DP158"/>
  <c r="DQ158"/>
  <c r="DR158"/>
  <c r="DS158"/>
  <c r="DT158"/>
  <c r="FD158" s="1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3"/>
  <c r="CZ157"/>
  <c r="DF157"/>
  <c r="DH157"/>
  <c r="DJ157"/>
  <c r="DL157"/>
  <c r="EV157" s="1"/>
  <c r="DN157"/>
  <c r="DP157"/>
  <c r="DR157"/>
  <c r="DT157"/>
  <c r="FD157" s="1"/>
  <c r="DV157"/>
  <c r="DX157"/>
  <c r="DZ157"/>
  <c r="FJ157" s="1"/>
  <c r="EB157"/>
  <c r="ED157"/>
  <c r="EF157"/>
  <c r="EH157"/>
  <c r="FR157" s="1"/>
  <c r="EJ157"/>
  <c r="DD157"/>
  <c r="DC157" s="1"/>
  <c r="DE157"/>
  <c r="BA157"/>
  <c r="CM157" s="1"/>
  <c r="CL157"/>
  <c r="CK157"/>
  <c r="AY157"/>
  <c r="B155"/>
  <c r="CX156"/>
  <c r="DI156" s="1"/>
  <c r="ES156" s="1"/>
  <c r="CZ156"/>
  <c r="DF156"/>
  <c r="DG156"/>
  <c r="DH156"/>
  <c r="DJ156"/>
  <c r="DL156"/>
  <c r="DN156"/>
  <c r="EX156" s="1"/>
  <c r="DO156"/>
  <c r="DP156"/>
  <c r="DQ156"/>
  <c r="DR156"/>
  <c r="DS156"/>
  <c r="DT156"/>
  <c r="FD156" s="1"/>
  <c r="DU156"/>
  <c r="DV156"/>
  <c r="DW156"/>
  <c r="DX156"/>
  <c r="FH156" s="1"/>
  <c r="DY156"/>
  <c r="DZ156"/>
  <c r="FJ156" s="1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2"/>
  <c r="CZ155"/>
  <c r="DK155" s="1"/>
  <c r="DG155"/>
  <c r="DO155"/>
  <c r="DW155"/>
  <c r="EE155"/>
  <c r="DD155"/>
  <c r="DE155"/>
  <c r="DC155"/>
  <c r="BA155"/>
  <c r="CM155" s="1"/>
  <c r="CL155"/>
  <c r="CK155"/>
  <c r="AY155"/>
  <c r="B149"/>
  <c r="CZ154"/>
  <c r="DG154" s="1"/>
  <c r="DF154"/>
  <c r="DH154"/>
  <c r="DJ154"/>
  <c r="DL154"/>
  <c r="DN154"/>
  <c r="DP154"/>
  <c r="DR154"/>
  <c r="DT154"/>
  <c r="FD154" s="1"/>
  <c r="DV154"/>
  <c r="DX154"/>
  <c r="FH154" s="1"/>
  <c r="DZ154"/>
  <c r="EB154"/>
  <c r="ED154"/>
  <c r="EF154"/>
  <c r="EH154"/>
  <c r="EJ154"/>
  <c r="DD154"/>
  <c r="DC154" s="1"/>
  <c r="DE154"/>
  <c r="BA154"/>
  <c r="CM154"/>
  <c r="CL154"/>
  <c r="CK154"/>
  <c r="AY154"/>
  <c r="B153"/>
  <c r="CZ153"/>
  <c r="DG153"/>
  <c r="EQ153" s="1"/>
  <c r="DI153"/>
  <c r="ES153" s="1"/>
  <c r="DK153"/>
  <c r="EU153" s="1"/>
  <c r="DM153"/>
  <c r="DO153"/>
  <c r="DQ153"/>
  <c r="FA153" s="1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6"/>
  <c r="CZ152"/>
  <c r="DG152" s="1"/>
  <c r="DF152"/>
  <c r="DH152"/>
  <c r="DJ152"/>
  <c r="DL152"/>
  <c r="DN152"/>
  <c r="DP152"/>
  <c r="DR152"/>
  <c r="DT152"/>
  <c r="FD152" s="1"/>
  <c r="DV152"/>
  <c r="DX152"/>
  <c r="DZ152"/>
  <c r="EB152"/>
  <c r="ED152"/>
  <c r="EF152"/>
  <c r="EH152"/>
  <c r="EJ152"/>
  <c r="FT152" s="1"/>
  <c r="DD152"/>
  <c r="DC152" s="1"/>
  <c r="DE152"/>
  <c r="BA152"/>
  <c r="CM152"/>
  <c r="CL152"/>
  <c r="CK152"/>
  <c r="AY152"/>
  <c r="B150"/>
  <c r="CZ151"/>
  <c r="DK151" s="1"/>
  <c r="DG151"/>
  <c r="DO151"/>
  <c r="DW151"/>
  <c r="EE151"/>
  <c r="DD151"/>
  <c r="DE151"/>
  <c r="DC151"/>
  <c r="BA151"/>
  <c r="CM151" s="1"/>
  <c r="CL151"/>
  <c r="CK151"/>
  <c r="AY151"/>
  <c r="B154"/>
  <c r="CZ150"/>
  <c r="DG150" s="1"/>
  <c r="DF150"/>
  <c r="DH150"/>
  <c r="DJ150"/>
  <c r="DL150"/>
  <c r="DN150"/>
  <c r="DP150"/>
  <c r="DR150"/>
  <c r="DT150"/>
  <c r="FD150" s="1"/>
  <c r="DV150"/>
  <c r="DX150"/>
  <c r="DZ150"/>
  <c r="EB150"/>
  <c r="ED150"/>
  <c r="EF150"/>
  <c r="EH150"/>
  <c r="EJ150"/>
  <c r="FT150" s="1"/>
  <c r="DD150"/>
  <c r="DC150" s="1"/>
  <c r="DE150"/>
  <c r="BA150"/>
  <c r="CM150"/>
  <c r="CL150"/>
  <c r="CK150"/>
  <c r="AY150"/>
  <c r="B151"/>
  <c r="CW149"/>
  <c r="CX149"/>
  <c r="CZ149"/>
  <c r="DF149"/>
  <c r="DH149"/>
  <c r="DJ149"/>
  <c r="DL149"/>
  <c r="DN149"/>
  <c r="DP149"/>
  <c r="EZ149" s="1"/>
  <c r="DR149"/>
  <c r="DT149"/>
  <c r="FD149" s="1"/>
  <c r="DV149"/>
  <c r="FF149" s="1"/>
  <c r="DX149"/>
  <c r="DZ149"/>
  <c r="EB149"/>
  <c r="ED149"/>
  <c r="EF149"/>
  <c r="EH149"/>
  <c r="EJ149"/>
  <c r="DD149"/>
  <c r="CM149"/>
  <c r="CL149"/>
  <c r="CK149"/>
  <c r="AY149"/>
  <c r="B148"/>
  <c r="CZ148"/>
  <c r="DF148"/>
  <c r="DJ148"/>
  <c r="ET148" s="1"/>
  <c r="DN148"/>
  <c r="DR148"/>
  <c r="DV148"/>
  <c r="DZ148"/>
  <c r="ED148"/>
  <c r="EH148"/>
  <c r="DD148"/>
  <c r="CL148"/>
  <c r="CK148"/>
  <c r="AY148"/>
  <c r="B157"/>
  <c r="CZ147"/>
  <c r="DF147"/>
  <c r="DH147"/>
  <c r="DJ147"/>
  <c r="DL147"/>
  <c r="EV147" s="1"/>
  <c r="DN147"/>
  <c r="DP147"/>
  <c r="DR147"/>
  <c r="DT147"/>
  <c r="FD147" s="1"/>
  <c r="DV147"/>
  <c r="DX147"/>
  <c r="DZ147"/>
  <c r="EB147"/>
  <c r="FL147" s="1"/>
  <c r="ED147"/>
  <c r="EF147"/>
  <c r="EH147"/>
  <c r="EJ147"/>
  <c r="FT147" s="1"/>
  <c r="DD147"/>
  <c r="BA147"/>
  <c r="CM147"/>
  <c r="CL147"/>
  <c r="CK147"/>
  <c r="AY147"/>
  <c r="B142"/>
  <c r="CX146"/>
  <c r="CZ146"/>
  <c r="DG146" s="1"/>
  <c r="DF146"/>
  <c r="DH146"/>
  <c r="DJ146"/>
  <c r="ET146" s="1"/>
  <c r="DL146"/>
  <c r="DN146"/>
  <c r="DP146"/>
  <c r="DR146"/>
  <c r="FB146" s="1"/>
  <c r="DT146"/>
  <c r="FD146"/>
  <c r="DV146"/>
  <c r="DX146"/>
  <c r="FH146" s="1"/>
  <c r="DZ146"/>
  <c r="EB146"/>
  <c r="ED146"/>
  <c r="EF146"/>
  <c r="EH146"/>
  <c r="EJ146"/>
  <c r="DD146"/>
  <c r="DC146" s="1"/>
  <c r="DE146"/>
  <c r="BA146"/>
  <c r="CM146"/>
  <c r="CL146"/>
  <c r="CK146"/>
  <c r="AY146"/>
  <c r="B143"/>
  <c r="CX145"/>
  <c r="CZ145"/>
  <c r="DI145"/>
  <c r="ES145" s="1"/>
  <c r="DM145"/>
  <c r="DN145"/>
  <c r="DO145"/>
  <c r="EY145" s="1"/>
  <c r="DP145"/>
  <c r="DQ145"/>
  <c r="FA145" s="1"/>
  <c r="DR145"/>
  <c r="DS145"/>
  <c r="DT145"/>
  <c r="FD145" s="1"/>
  <c r="DU145"/>
  <c r="DV145"/>
  <c r="DW145"/>
  <c r="DX145"/>
  <c r="DY145"/>
  <c r="DZ145"/>
  <c r="EA145"/>
  <c r="FK145" s="1"/>
  <c r="EB145"/>
  <c r="EC145"/>
  <c r="ED145"/>
  <c r="FN145"/>
  <c r="EE145"/>
  <c r="FO145" s="1"/>
  <c r="EF145"/>
  <c r="EG145"/>
  <c r="EH145"/>
  <c r="FR145" s="1"/>
  <c r="EI145"/>
  <c r="EJ145"/>
  <c r="DD145"/>
  <c r="DE145"/>
  <c r="DC145"/>
  <c r="BA145"/>
  <c r="CM145"/>
  <c r="CL145"/>
  <c r="CK145"/>
  <c r="AY145"/>
  <c r="B147"/>
  <c r="CX144"/>
  <c r="CZ144"/>
  <c r="DG144"/>
  <c r="DK144"/>
  <c r="DO144"/>
  <c r="EY144" s="1"/>
  <c r="DS144"/>
  <c r="DW144"/>
  <c r="EA144"/>
  <c r="EE144"/>
  <c r="FO144" s="1"/>
  <c r="EI144"/>
  <c r="FS144" s="1"/>
  <c r="DD144"/>
  <c r="DE144"/>
  <c r="DC144"/>
  <c r="BA144"/>
  <c r="CM144" s="1"/>
  <c r="CL144"/>
  <c r="CK144"/>
  <c r="AY144"/>
  <c r="B140"/>
  <c r="CZ143"/>
  <c r="DG143" s="1"/>
  <c r="DF143"/>
  <c r="DH143"/>
  <c r="DJ143"/>
  <c r="DL143"/>
  <c r="DN143"/>
  <c r="DP143"/>
  <c r="EZ143" s="1"/>
  <c r="DR143"/>
  <c r="DT143"/>
  <c r="FD143"/>
  <c r="DV143"/>
  <c r="FF143" s="1"/>
  <c r="DW143"/>
  <c r="DX143"/>
  <c r="DY143"/>
  <c r="DZ143"/>
  <c r="EA143"/>
  <c r="EB143"/>
  <c r="EC143"/>
  <c r="ED143"/>
  <c r="EE143"/>
  <c r="EF143"/>
  <c r="EG143"/>
  <c r="EH143"/>
  <c r="EI143"/>
  <c r="FS143" s="1"/>
  <c r="EJ143"/>
  <c r="DD143"/>
  <c r="DC143" s="1"/>
  <c r="DE143"/>
  <c r="BA143"/>
  <c r="CM143"/>
  <c r="CL143"/>
  <c r="CK143"/>
  <c r="AY143"/>
  <c r="B139"/>
  <c r="CX142"/>
  <c r="CZ142"/>
  <c r="DI142"/>
  <c r="ES142" s="1"/>
  <c r="DM142"/>
  <c r="EW142" s="1"/>
  <c r="DN142"/>
  <c r="DO142"/>
  <c r="DP142"/>
  <c r="EZ142" s="1"/>
  <c r="DQ142"/>
  <c r="FA142" s="1"/>
  <c r="DR142"/>
  <c r="DS142"/>
  <c r="FC142" s="1"/>
  <c r="DT142"/>
  <c r="FD142" s="1"/>
  <c r="DU142"/>
  <c r="DV142"/>
  <c r="DW142"/>
  <c r="DX142"/>
  <c r="FH142" s="1"/>
  <c r="DY142"/>
  <c r="DZ142"/>
  <c r="EA142"/>
  <c r="EB142"/>
  <c r="EC142"/>
  <c r="ED142"/>
  <c r="EE142"/>
  <c r="EF142"/>
  <c r="EG142"/>
  <c r="EH142"/>
  <c r="EI142"/>
  <c r="FS142" s="1"/>
  <c r="EJ142"/>
  <c r="FT142" s="1"/>
  <c r="DD142"/>
  <c r="DE142"/>
  <c r="DC142"/>
  <c r="BA142"/>
  <c r="CM142"/>
  <c r="CL142"/>
  <c r="CK142"/>
  <c r="AY142"/>
  <c r="B145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1"/>
  <c r="CW140"/>
  <c r="CX140"/>
  <c r="CZ140"/>
  <c r="DO140"/>
  <c r="DQ140"/>
  <c r="FA140" s="1"/>
  <c r="DS140"/>
  <c r="DU140"/>
  <c r="DW140"/>
  <c r="DY140"/>
  <c r="FI140" s="1"/>
  <c r="EA140"/>
  <c r="FK140" s="1"/>
  <c r="EC140"/>
  <c r="EE140"/>
  <c r="EG140"/>
  <c r="EI140"/>
  <c r="DD140"/>
  <c r="DE140"/>
  <c r="DC140"/>
  <c r="BA140"/>
  <c r="CM140"/>
  <c r="CL140"/>
  <c r="CK140"/>
  <c r="AY140"/>
  <c r="B144"/>
  <c r="CZ139"/>
  <c r="DJ139" s="1"/>
  <c r="DF139"/>
  <c r="DG139"/>
  <c r="EQ139" s="1"/>
  <c r="DH139"/>
  <c r="DI139"/>
  <c r="ES139" s="1"/>
  <c r="DK139"/>
  <c r="EU139" s="1"/>
  <c r="DL139"/>
  <c r="DN139"/>
  <c r="DO139"/>
  <c r="DP139"/>
  <c r="DQ139"/>
  <c r="DS139"/>
  <c r="DT139"/>
  <c r="FD139" s="1"/>
  <c r="DV139"/>
  <c r="DW139"/>
  <c r="DX139"/>
  <c r="DY139"/>
  <c r="EA139"/>
  <c r="EB139"/>
  <c r="ED139"/>
  <c r="EE139"/>
  <c r="EF139"/>
  <c r="FP139" s="1"/>
  <c r="EG139"/>
  <c r="EI139"/>
  <c r="EJ139"/>
  <c r="DD139"/>
  <c r="DE139" s="1"/>
  <c r="DC139"/>
  <c r="BA139"/>
  <c r="CM139"/>
  <c r="CL139"/>
  <c r="CK139"/>
  <c r="AY139"/>
  <c r="B146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38"/>
  <c r="CZ137"/>
  <c r="DF137"/>
  <c r="DG137"/>
  <c r="DH137"/>
  <c r="DI137"/>
  <c r="ES137" s="1"/>
  <c r="DJ137"/>
  <c r="DK137"/>
  <c r="DL137"/>
  <c r="DM137"/>
  <c r="EW137" s="1"/>
  <c r="DN137"/>
  <c r="DO137"/>
  <c r="DP137"/>
  <c r="DQ137"/>
  <c r="FA137" s="1"/>
  <c r="DR137"/>
  <c r="DS137"/>
  <c r="DT137"/>
  <c r="FD137" s="1"/>
  <c r="DU137"/>
  <c r="DV137"/>
  <c r="DW137"/>
  <c r="DX137"/>
  <c r="FH137" s="1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6"/>
  <c r="CZ136"/>
  <c r="DG136" s="1"/>
  <c r="DF136"/>
  <c r="DH136"/>
  <c r="DJ136"/>
  <c r="DL136"/>
  <c r="DN136"/>
  <c r="DP136"/>
  <c r="DR136"/>
  <c r="FB136" s="1"/>
  <c r="DT136"/>
  <c r="FD136" s="1"/>
  <c r="DV136"/>
  <c r="DX136"/>
  <c r="FH136" s="1"/>
  <c r="DZ136"/>
  <c r="EB136"/>
  <c r="ED136"/>
  <c r="EF136"/>
  <c r="FP136" s="1"/>
  <c r="EH136"/>
  <c r="FR136" s="1"/>
  <c r="EJ136"/>
  <c r="DD136"/>
  <c r="DC136" s="1"/>
  <c r="DE136"/>
  <c r="BA136"/>
  <c r="CM136"/>
  <c r="CL136"/>
  <c r="CK136"/>
  <c r="AY136"/>
  <c r="B135"/>
  <c r="CW135"/>
  <c r="CX135"/>
  <c r="CZ135"/>
  <c r="DF135"/>
  <c r="DH135"/>
  <c r="DJ135"/>
  <c r="DL135"/>
  <c r="EV135" s="1"/>
  <c r="DN135"/>
  <c r="DP135"/>
  <c r="DR135"/>
  <c r="DT135"/>
  <c r="FD135" s="1"/>
  <c r="DV135"/>
  <c r="DX135"/>
  <c r="DZ135"/>
  <c r="EB135"/>
  <c r="ED135"/>
  <c r="EF135"/>
  <c r="EH135"/>
  <c r="EJ135"/>
  <c r="DD135"/>
  <c r="DC135" s="1"/>
  <c r="BA135"/>
  <c r="CM135"/>
  <c r="CL135"/>
  <c r="CK135"/>
  <c r="AY135"/>
  <c r="B134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29"/>
  <c r="CZ133"/>
  <c r="DG133" s="1"/>
  <c r="DD133"/>
  <c r="DE133"/>
  <c r="DC133"/>
  <c r="BA133"/>
  <c r="CM133" s="1"/>
  <c r="CL133"/>
  <c r="CK133"/>
  <c r="AY133"/>
  <c r="B137"/>
  <c r="CX132"/>
  <c r="CZ132"/>
  <c r="DF132"/>
  <c r="EP132" s="1"/>
  <c r="DH132"/>
  <c r="DJ132"/>
  <c r="DL132"/>
  <c r="DN132"/>
  <c r="DP132"/>
  <c r="DR132"/>
  <c r="DT132"/>
  <c r="FD132" s="1"/>
  <c r="DV132"/>
  <c r="DX132"/>
  <c r="DZ132"/>
  <c r="EB132"/>
  <c r="ED132"/>
  <c r="EF132"/>
  <c r="EH132"/>
  <c r="EJ132"/>
  <c r="DD132"/>
  <c r="BA132"/>
  <c r="CM132" s="1"/>
  <c r="CL132"/>
  <c r="CK132"/>
  <c r="AY132"/>
  <c r="B128"/>
  <c r="CZ131"/>
  <c r="DF131"/>
  <c r="EP131" s="1"/>
  <c r="DG131"/>
  <c r="DH131"/>
  <c r="DI131"/>
  <c r="ES131" s="1"/>
  <c r="DJ131"/>
  <c r="DK131"/>
  <c r="DL131"/>
  <c r="DM131"/>
  <c r="EW131" s="1"/>
  <c r="DN131"/>
  <c r="DO131"/>
  <c r="DP131"/>
  <c r="DQ131"/>
  <c r="FA131" s="1"/>
  <c r="DR131"/>
  <c r="FB131" s="1"/>
  <c r="DS131"/>
  <c r="DT131"/>
  <c r="FD131"/>
  <c r="DU131"/>
  <c r="DV131"/>
  <c r="DW131"/>
  <c r="DX131"/>
  <c r="FH131" s="1"/>
  <c r="DY131"/>
  <c r="DZ131"/>
  <c r="EA131"/>
  <c r="EB131"/>
  <c r="EC131"/>
  <c r="ED131"/>
  <c r="EE131"/>
  <c r="EF131"/>
  <c r="EG131"/>
  <c r="EH131"/>
  <c r="EI131"/>
  <c r="EJ131"/>
  <c r="FT131" s="1"/>
  <c r="DD131"/>
  <c r="DE131"/>
  <c r="DC131"/>
  <c r="BA131"/>
  <c r="CM131"/>
  <c r="CL131"/>
  <c r="CK131"/>
  <c r="AY131"/>
  <c r="B132"/>
  <c r="CX130"/>
  <c r="DG130" s="1"/>
  <c r="CZ130"/>
  <c r="DI130"/>
  <c r="ES130" s="1"/>
  <c r="DM130"/>
  <c r="EW130" s="1"/>
  <c r="DQ130"/>
  <c r="DU130"/>
  <c r="DY130"/>
  <c r="FI130" s="1"/>
  <c r="EC130"/>
  <c r="EG130"/>
  <c r="DD130"/>
  <c r="DE130"/>
  <c r="DC130"/>
  <c r="BA130"/>
  <c r="CM130" s="1"/>
  <c r="CL130"/>
  <c r="CK130"/>
  <c r="AY130"/>
  <c r="B133"/>
  <c r="CX129"/>
  <c r="CZ129"/>
  <c r="DH129" s="1"/>
  <c r="DF129"/>
  <c r="DJ129"/>
  <c r="DN129"/>
  <c r="DR129"/>
  <c r="DV129"/>
  <c r="FF129" s="1"/>
  <c r="DZ129"/>
  <c r="ED129"/>
  <c r="EH129"/>
  <c r="DD129"/>
  <c r="BA129"/>
  <c r="CM129" s="1"/>
  <c r="CL129"/>
  <c r="CK129"/>
  <c r="AY129"/>
  <c r="B130"/>
  <c r="CW128"/>
  <c r="CX128"/>
  <c r="CZ128"/>
  <c r="DH128"/>
  <c r="DL128"/>
  <c r="DP128"/>
  <c r="DT128"/>
  <c r="DX128"/>
  <c r="EB128"/>
  <c r="EF128"/>
  <c r="EJ128"/>
  <c r="DD128"/>
  <c r="CL128"/>
  <c r="CK128"/>
  <c r="AY128"/>
  <c r="B131"/>
  <c r="CX127"/>
  <c r="CZ127"/>
  <c r="DD127"/>
  <c r="DE127"/>
  <c r="DC127"/>
  <c r="BA127"/>
  <c r="CM127" s="1"/>
  <c r="CL127"/>
  <c r="CK127"/>
  <c r="AY127"/>
  <c r="B123"/>
  <c r="CX126"/>
  <c r="CZ126"/>
  <c r="DF126"/>
  <c r="DH126"/>
  <c r="DJ126"/>
  <c r="DL126"/>
  <c r="DN126"/>
  <c r="DP126"/>
  <c r="DR126"/>
  <c r="FB126" s="1"/>
  <c r="DT126"/>
  <c r="FD126" s="1"/>
  <c r="DV126"/>
  <c r="DX126"/>
  <c r="FH126" s="1"/>
  <c r="DZ126"/>
  <c r="EB126"/>
  <c r="ED126"/>
  <c r="EF126"/>
  <c r="FP126" s="1"/>
  <c r="EH126"/>
  <c r="FR126" s="1"/>
  <c r="EJ126"/>
  <c r="DD126"/>
  <c r="BA126"/>
  <c r="CM126" s="1"/>
  <c r="CL126"/>
  <c r="CK126"/>
  <c r="AY126"/>
  <c r="B124"/>
  <c r="CX125"/>
  <c r="CZ125"/>
  <c r="DG125" s="1"/>
  <c r="DF125"/>
  <c r="DH125"/>
  <c r="DJ125"/>
  <c r="DL125"/>
  <c r="DN125"/>
  <c r="DP125"/>
  <c r="DR125"/>
  <c r="FB125" s="1"/>
  <c r="DT125"/>
  <c r="FD125" s="1"/>
  <c r="DV125"/>
  <c r="DX125"/>
  <c r="FH125" s="1"/>
  <c r="DZ125"/>
  <c r="EB125"/>
  <c r="ED125"/>
  <c r="EF125"/>
  <c r="FP125" s="1"/>
  <c r="EH125"/>
  <c r="FR125" s="1"/>
  <c r="EJ125"/>
  <c r="DD125"/>
  <c r="DC125" s="1"/>
  <c r="BA125"/>
  <c r="CM125"/>
  <c r="CL125"/>
  <c r="CK125"/>
  <c r="AY125"/>
  <c r="B125"/>
  <c r="CX124"/>
  <c r="DI124" s="1"/>
  <c r="ES124" s="1"/>
  <c r="CZ124"/>
  <c r="DN124"/>
  <c r="DO124"/>
  <c r="DP124"/>
  <c r="DQ124"/>
  <c r="DR124"/>
  <c r="FB124"/>
  <c r="DS124"/>
  <c r="DT124"/>
  <c r="FD124" s="1"/>
  <c r="DU124"/>
  <c r="FE124" s="1"/>
  <c r="DV124"/>
  <c r="FF124" s="1"/>
  <c r="DW124"/>
  <c r="DX124"/>
  <c r="FH124"/>
  <c r="DY124"/>
  <c r="DZ124"/>
  <c r="EA124"/>
  <c r="EB124"/>
  <c r="EC124"/>
  <c r="ED124"/>
  <c r="EE124"/>
  <c r="EF124"/>
  <c r="FP124" s="1"/>
  <c r="EG124"/>
  <c r="EH124"/>
  <c r="EI124"/>
  <c r="EJ124"/>
  <c r="FT124" s="1"/>
  <c r="DD124"/>
  <c r="DE124"/>
  <c r="DC124"/>
  <c r="BA124"/>
  <c r="CM124"/>
  <c r="CL124"/>
  <c r="CK124"/>
  <c r="AY124"/>
  <c r="B122"/>
  <c r="CX123"/>
  <c r="CZ123"/>
  <c r="DD123"/>
  <c r="DE123"/>
  <c r="DC123"/>
  <c r="BA123"/>
  <c r="CM123" s="1"/>
  <c r="CL123"/>
  <c r="CK123"/>
  <c r="AY123"/>
  <c r="B126"/>
  <c r="CX122"/>
  <c r="CZ122"/>
  <c r="DF122"/>
  <c r="EP122" s="1"/>
  <c r="DH122"/>
  <c r="DJ122"/>
  <c r="DL122"/>
  <c r="EV122" s="1"/>
  <c r="DN122"/>
  <c r="DP122"/>
  <c r="DR122"/>
  <c r="DT122"/>
  <c r="FD122" s="1"/>
  <c r="DV122"/>
  <c r="DX122"/>
  <c r="DZ122"/>
  <c r="EB122"/>
  <c r="ED122"/>
  <c r="EF122"/>
  <c r="EH122"/>
  <c r="EJ122"/>
  <c r="DD122"/>
  <c r="BA122"/>
  <c r="CM122" s="1"/>
  <c r="CL122"/>
  <c r="CK122"/>
  <c r="AY122"/>
  <c r="B121"/>
  <c r="CW121"/>
  <c r="CX121"/>
  <c r="CZ121"/>
  <c r="DD121"/>
  <c r="BA121"/>
  <c r="CM121"/>
  <c r="CL121"/>
  <c r="CK121"/>
  <c r="AY121"/>
  <c r="B118"/>
  <c r="CZ120"/>
  <c r="DF120"/>
  <c r="DG120"/>
  <c r="EQ120" s="1"/>
  <c r="DH120"/>
  <c r="DI120"/>
  <c r="ES120" s="1"/>
  <c r="DJ120"/>
  <c r="DK120"/>
  <c r="DL120"/>
  <c r="EV120" s="1"/>
  <c r="DM120"/>
  <c r="DN120"/>
  <c r="DO120"/>
  <c r="DP120"/>
  <c r="DQ120"/>
  <c r="DR120"/>
  <c r="DS120"/>
  <c r="DT120"/>
  <c r="FD120" s="1"/>
  <c r="DU120"/>
  <c r="DV120"/>
  <c r="DW120"/>
  <c r="DX120"/>
  <c r="DY120"/>
  <c r="DZ120"/>
  <c r="EA120"/>
  <c r="EB120"/>
  <c r="EC120"/>
  <c r="ED120"/>
  <c r="EE120"/>
  <c r="FO120" s="1"/>
  <c r="EF120"/>
  <c r="EG120"/>
  <c r="EH120"/>
  <c r="EI120"/>
  <c r="EJ120"/>
  <c r="DD120"/>
  <c r="DE120"/>
  <c r="DC120"/>
  <c r="BA120"/>
  <c r="CM120"/>
  <c r="CL120"/>
  <c r="CK120"/>
  <c r="AY120"/>
  <c r="B127"/>
  <c r="CW119"/>
  <c r="CX119"/>
  <c r="DG119" s="1"/>
  <c r="CZ119"/>
  <c r="DI119"/>
  <c r="ES119" s="1"/>
  <c r="DM119"/>
  <c r="EW119" s="1"/>
  <c r="DO119"/>
  <c r="DQ119"/>
  <c r="FA119" s="1"/>
  <c r="DS119"/>
  <c r="DU119"/>
  <c r="DW119"/>
  <c r="DY119"/>
  <c r="EA119"/>
  <c r="EC119"/>
  <c r="FM119" s="1"/>
  <c r="EE119"/>
  <c r="FO119" s="1"/>
  <c r="EG119"/>
  <c r="EI119"/>
  <c r="DD119"/>
  <c r="DE119"/>
  <c r="DC119"/>
  <c r="BA119"/>
  <c r="CM119"/>
  <c r="CL119"/>
  <c r="CK119"/>
  <c r="AY119"/>
  <c r="B119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0"/>
  <c r="CZ117"/>
  <c r="DI117" s="1"/>
  <c r="ES117" s="1"/>
  <c r="DG117"/>
  <c r="DK117"/>
  <c r="DO117"/>
  <c r="DS117"/>
  <c r="DW117"/>
  <c r="EA117"/>
  <c r="EE117"/>
  <c r="FO117" s="1"/>
  <c r="EI117"/>
  <c r="FS117" s="1"/>
  <c r="DD117"/>
  <c r="DE117"/>
  <c r="DC117"/>
  <c r="BA117"/>
  <c r="CM117" s="1"/>
  <c r="CL117"/>
  <c r="CK117"/>
  <c r="AY117"/>
  <c r="B113"/>
  <c r="CZ116"/>
  <c r="DG116" s="1"/>
  <c r="DF116"/>
  <c r="DH116"/>
  <c r="DJ116"/>
  <c r="DL116"/>
  <c r="DN116"/>
  <c r="EX116" s="1"/>
  <c r="DP116"/>
  <c r="DR116"/>
  <c r="DT116"/>
  <c r="FD116" s="1"/>
  <c r="DV116"/>
  <c r="DX116"/>
  <c r="DZ116"/>
  <c r="EB116"/>
  <c r="FL116" s="1"/>
  <c r="ED116"/>
  <c r="EF116"/>
  <c r="EH116"/>
  <c r="EJ116"/>
  <c r="DD116"/>
  <c r="DC116" s="1"/>
  <c r="BA116"/>
  <c r="CM116"/>
  <c r="CL116"/>
  <c r="CK116"/>
  <c r="AY116"/>
  <c r="B111"/>
  <c r="CZ115"/>
  <c r="DI115"/>
  <c r="ES115" s="1"/>
  <c r="DM115"/>
  <c r="DQ115"/>
  <c r="FA115" s="1"/>
  <c r="DU115"/>
  <c r="DY115"/>
  <c r="FI115" s="1"/>
  <c r="EC115"/>
  <c r="EG115"/>
  <c r="DD115"/>
  <c r="DE115"/>
  <c r="DC115"/>
  <c r="BA115"/>
  <c r="CM115" s="1"/>
  <c r="CL115"/>
  <c r="CK115"/>
  <c r="AY115"/>
  <c r="B109"/>
  <c r="CZ114"/>
  <c r="DG114" s="1"/>
  <c r="EQ114" s="1"/>
  <c r="DF114"/>
  <c r="DH114"/>
  <c r="ER114" s="1"/>
  <c r="DJ114"/>
  <c r="DL114"/>
  <c r="DN114"/>
  <c r="DP114"/>
  <c r="DR114"/>
  <c r="DT114"/>
  <c r="FD114" s="1"/>
  <c r="DV114"/>
  <c r="DX114"/>
  <c r="DZ114"/>
  <c r="EB114"/>
  <c r="FL114" s="1"/>
  <c r="ED114"/>
  <c r="EF114"/>
  <c r="EH114"/>
  <c r="EJ114"/>
  <c r="DD114"/>
  <c r="DC114" s="1"/>
  <c r="DE114"/>
  <c r="BA114"/>
  <c r="CM114"/>
  <c r="CL114"/>
  <c r="CK114"/>
  <c r="AY114"/>
  <c r="B117"/>
  <c r="CZ113"/>
  <c r="DI113" s="1"/>
  <c r="ES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08"/>
  <c r="CZ112"/>
  <c r="DG112" s="1"/>
  <c r="DF112"/>
  <c r="DH112"/>
  <c r="DJ112"/>
  <c r="DL112"/>
  <c r="DN112"/>
  <c r="DP112"/>
  <c r="DR112"/>
  <c r="DT112"/>
  <c r="FD112" s="1"/>
  <c r="DV112"/>
  <c r="DX112"/>
  <c r="FH112" s="1"/>
  <c r="DZ112"/>
  <c r="EB112"/>
  <c r="ED112"/>
  <c r="EF112"/>
  <c r="EH112"/>
  <c r="EJ112"/>
  <c r="DD112"/>
  <c r="DC112" s="1"/>
  <c r="BA112"/>
  <c r="CM112"/>
  <c r="CL112"/>
  <c r="CK112"/>
  <c r="AY112"/>
  <c r="B114"/>
  <c r="CZ111"/>
  <c r="DI111"/>
  <c r="ES111" s="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6"/>
  <c r="CZ110"/>
  <c r="DG110" s="1"/>
  <c r="DF110"/>
  <c r="DH110"/>
  <c r="DJ110"/>
  <c r="DL110"/>
  <c r="DN110"/>
  <c r="DP110"/>
  <c r="DR110"/>
  <c r="DT110"/>
  <c r="FD110" s="1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2"/>
  <c r="CZ109"/>
  <c r="DI109" s="1"/>
  <c r="ES109" s="1"/>
  <c r="DG109"/>
  <c r="DK109"/>
  <c r="DO109"/>
  <c r="DS109"/>
  <c r="FC109" s="1"/>
  <c r="DW109"/>
  <c r="EA109"/>
  <c r="EE109"/>
  <c r="EI109"/>
  <c r="FS109" s="1"/>
  <c r="DD109"/>
  <c r="DE109"/>
  <c r="DC109"/>
  <c r="BA109"/>
  <c r="CM109" s="1"/>
  <c r="CL109"/>
  <c r="CK109"/>
  <c r="AY109"/>
  <c r="B115"/>
  <c r="CZ108"/>
  <c r="DG108" s="1"/>
  <c r="DF108"/>
  <c r="DH108"/>
  <c r="ER108" s="1"/>
  <c r="DJ108"/>
  <c r="ET108" s="1"/>
  <c r="DL108"/>
  <c r="DN108"/>
  <c r="DP108"/>
  <c r="DR108"/>
  <c r="DT108"/>
  <c r="FD108" s="1"/>
  <c r="DV108"/>
  <c r="DX108"/>
  <c r="DZ108"/>
  <c r="EB108"/>
  <c r="ED108"/>
  <c r="EF108"/>
  <c r="EH108"/>
  <c r="EJ108"/>
  <c r="DD108"/>
  <c r="DC108" s="1"/>
  <c r="CL108"/>
  <c r="CK108"/>
  <c r="AY108"/>
  <c r="B110"/>
  <c r="CW107"/>
  <c r="CX107"/>
  <c r="DG107" s="1"/>
  <c r="CZ107"/>
  <c r="DO107" s="1"/>
  <c r="DI107"/>
  <c r="ES107" s="1"/>
  <c r="DM107"/>
  <c r="EW107" s="1"/>
  <c r="DQ107"/>
  <c r="FA107" s="1"/>
  <c r="DU107"/>
  <c r="DY107"/>
  <c r="EC107"/>
  <c r="EG107"/>
  <c r="DD107"/>
  <c r="DE107"/>
  <c r="DC107"/>
  <c r="BA107"/>
  <c r="CM107" s="1"/>
  <c r="CL107"/>
  <c r="CK107"/>
  <c r="AY107"/>
  <c r="B102"/>
  <c r="CZ106"/>
  <c r="DG106" s="1"/>
  <c r="DF106"/>
  <c r="DH106"/>
  <c r="DJ106"/>
  <c r="DL106"/>
  <c r="DN106"/>
  <c r="DP106"/>
  <c r="DR106"/>
  <c r="DT106"/>
  <c r="FD106" s="1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6"/>
  <c r="CZ105"/>
  <c r="DI105" s="1"/>
  <c r="ES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3"/>
  <c r="CZ104"/>
  <c r="DG104" s="1"/>
  <c r="DF104"/>
  <c r="DH104"/>
  <c r="DJ104"/>
  <c r="ET104" s="1"/>
  <c r="DL104"/>
  <c r="DN104"/>
  <c r="EX104" s="1"/>
  <c r="DP104"/>
  <c r="DR104"/>
  <c r="DT104"/>
  <c r="FD104" s="1"/>
  <c r="DV104"/>
  <c r="DX104"/>
  <c r="FH104"/>
  <c r="DZ104"/>
  <c r="EB104"/>
  <c r="ED104"/>
  <c r="EF104"/>
  <c r="EH104"/>
  <c r="FR104" s="1"/>
  <c r="EJ104"/>
  <c r="DD104"/>
  <c r="DC104" s="1"/>
  <c r="BA104"/>
  <c r="CM104"/>
  <c r="CL104"/>
  <c r="CK104"/>
  <c r="AY104"/>
  <c r="B101"/>
  <c r="CZ103"/>
  <c r="DI103"/>
  <c r="ES103" s="1"/>
  <c r="DM103"/>
  <c r="EW103" s="1"/>
  <c r="DQ103"/>
  <c r="FA103" s="1"/>
  <c r="DU103"/>
  <c r="DY103"/>
  <c r="EC103"/>
  <c r="EG103"/>
  <c r="DD103"/>
  <c r="DE103"/>
  <c r="DC103"/>
  <c r="BA103"/>
  <c r="CM103" s="1"/>
  <c r="CL103"/>
  <c r="CK103"/>
  <c r="AY103"/>
  <c r="B99"/>
  <c r="CZ102"/>
  <c r="DG102" s="1"/>
  <c r="DF102"/>
  <c r="DH102"/>
  <c r="DJ102"/>
  <c r="DL102"/>
  <c r="EV102" s="1"/>
  <c r="DN102"/>
  <c r="DP102"/>
  <c r="DR102"/>
  <c r="DT102"/>
  <c r="FD102" s="1"/>
  <c r="DV102"/>
  <c r="DX102"/>
  <c r="FH102" s="1"/>
  <c r="DZ102"/>
  <c r="EB102"/>
  <c r="ED102"/>
  <c r="EF102"/>
  <c r="EH102"/>
  <c r="FR102" s="1"/>
  <c r="EJ102"/>
  <c r="DD102"/>
  <c r="DC102" s="1"/>
  <c r="DE102"/>
  <c r="BA102"/>
  <c r="CM102"/>
  <c r="CL102"/>
  <c r="CK102"/>
  <c r="AY102"/>
  <c r="B100"/>
  <c r="CX101"/>
  <c r="DG101" s="1"/>
  <c r="CZ101"/>
  <c r="DI101"/>
  <c r="ES101" s="1"/>
  <c r="DM101"/>
  <c r="DN101"/>
  <c r="DO101"/>
  <c r="DP101"/>
  <c r="EZ101" s="1"/>
  <c r="DQ101"/>
  <c r="FA101" s="1"/>
  <c r="DR101"/>
  <c r="DS101"/>
  <c r="DT101"/>
  <c r="FD101" s="1"/>
  <c r="DU101"/>
  <c r="DV101"/>
  <c r="DW101"/>
  <c r="DX101"/>
  <c r="DY101"/>
  <c r="DZ101"/>
  <c r="EA101"/>
  <c r="EB101"/>
  <c r="EC101"/>
  <c r="ED101"/>
  <c r="EE101"/>
  <c r="EF101"/>
  <c r="FP101" s="1"/>
  <c r="EG101"/>
  <c r="EH101"/>
  <c r="EI101"/>
  <c r="FS101" s="1"/>
  <c r="EJ101"/>
  <c r="DD101"/>
  <c r="DE101"/>
  <c r="DC101"/>
  <c r="BA101"/>
  <c r="CM101"/>
  <c r="CL101"/>
  <c r="CK101"/>
  <c r="AY101"/>
  <c r="B105"/>
  <c r="CX100"/>
  <c r="CZ100"/>
  <c r="DI100" s="1"/>
  <c r="ES100" s="1"/>
  <c r="DG100"/>
  <c r="EQ100" s="1"/>
  <c r="DK100"/>
  <c r="DO100"/>
  <c r="DS100"/>
  <c r="FC100" s="1"/>
  <c r="DW100"/>
  <c r="EA100"/>
  <c r="EE100"/>
  <c r="EI100"/>
  <c r="FS100" s="1"/>
  <c r="DD100"/>
  <c r="DE100"/>
  <c r="DC100"/>
  <c r="BA100"/>
  <c r="CM100" s="1"/>
  <c r="CL100"/>
  <c r="CK100"/>
  <c r="AY100"/>
  <c r="B98"/>
  <c r="CZ99"/>
  <c r="DG99" s="1"/>
  <c r="EQ99" s="1"/>
  <c r="DF99"/>
  <c r="DH99"/>
  <c r="DJ99"/>
  <c r="DL99"/>
  <c r="DN99"/>
  <c r="DP99"/>
  <c r="DR99"/>
  <c r="DT99"/>
  <c r="FD99" s="1"/>
  <c r="DV99"/>
  <c r="DX99"/>
  <c r="DZ99"/>
  <c r="EB99"/>
  <c r="FL99"/>
  <c r="ED99"/>
  <c r="EF99"/>
  <c r="EG99"/>
  <c r="EH99"/>
  <c r="EI99"/>
  <c r="EJ99"/>
  <c r="DD99"/>
  <c r="DC99" s="1"/>
  <c r="BA99"/>
  <c r="CM99"/>
  <c r="CL99"/>
  <c r="CK99"/>
  <c r="AY99"/>
  <c r="B107"/>
  <c r="CZ98"/>
  <c r="DI98"/>
  <c r="DM98"/>
  <c r="EW98" s="1"/>
  <c r="DQ98"/>
  <c r="FA98" s="1"/>
  <c r="DU98"/>
  <c r="DY98"/>
  <c r="EC98"/>
  <c r="EG98"/>
  <c r="DD98"/>
  <c r="DE98" s="1"/>
  <c r="DC98"/>
  <c r="CL98"/>
  <c r="CK98"/>
  <c r="AY98"/>
  <c r="B104"/>
  <c r="CZ97"/>
  <c r="DG97" s="1"/>
  <c r="DD97"/>
  <c r="DE97" s="1"/>
  <c r="DC97"/>
  <c r="BA97"/>
  <c r="CM97" s="1"/>
  <c r="CL97"/>
  <c r="CK97"/>
  <c r="AY97"/>
  <c r="B90"/>
  <c r="CZ96"/>
  <c r="DF96"/>
  <c r="DG96"/>
  <c r="DH96"/>
  <c r="DI96"/>
  <c r="ES96" s="1"/>
  <c r="DJ96"/>
  <c r="DK96"/>
  <c r="DL96"/>
  <c r="DM96"/>
  <c r="EW96" s="1"/>
  <c r="DN96"/>
  <c r="EX96" s="1"/>
  <c r="DO96"/>
  <c r="DP96"/>
  <c r="DQ96"/>
  <c r="FA96" s="1"/>
  <c r="DR96"/>
  <c r="DS96"/>
  <c r="DT96"/>
  <c r="FD96" s="1"/>
  <c r="DU96"/>
  <c r="DV96"/>
  <c r="DW96"/>
  <c r="DX96"/>
  <c r="FH96" s="1"/>
  <c r="DY96"/>
  <c r="DZ96"/>
  <c r="EA96"/>
  <c r="EB96"/>
  <c r="EC96"/>
  <c r="ED96"/>
  <c r="EE96"/>
  <c r="EF96"/>
  <c r="EG96"/>
  <c r="EH96"/>
  <c r="EI96"/>
  <c r="FS96" s="1"/>
  <c r="EJ96"/>
  <c r="DD96"/>
  <c r="DC96" s="1"/>
  <c r="BA96"/>
  <c r="CM96"/>
  <c r="CL96"/>
  <c r="CK96"/>
  <c r="AY96"/>
  <c r="B95"/>
  <c r="CZ95"/>
  <c r="DD95"/>
  <c r="DE95" s="1"/>
  <c r="DC95"/>
  <c r="BA95"/>
  <c r="CM95" s="1"/>
  <c r="CL95"/>
  <c r="CK95"/>
  <c r="AY95"/>
  <c r="B93"/>
  <c r="CZ94"/>
  <c r="DF94"/>
  <c r="DG94"/>
  <c r="DH94"/>
  <c r="DI94"/>
  <c r="ES94" s="1"/>
  <c r="DJ94"/>
  <c r="DK94"/>
  <c r="DL94"/>
  <c r="EV94" s="1"/>
  <c r="DM94"/>
  <c r="EW94" s="1"/>
  <c r="DN94"/>
  <c r="DO94"/>
  <c r="DP94"/>
  <c r="EZ94" s="1"/>
  <c r="DQ94"/>
  <c r="FA94" s="1"/>
  <c r="DR94"/>
  <c r="DS94"/>
  <c r="DT94"/>
  <c r="FD94" s="1"/>
  <c r="DU94"/>
  <c r="DV94"/>
  <c r="DW94"/>
  <c r="DX94"/>
  <c r="DY94"/>
  <c r="DZ94"/>
  <c r="EA94"/>
  <c r="EB94"/>
  <c r="EC94"/>
  <c r="ED94"/>
  <c r="EE94"/>
  <c r="EF94"/>
  <c r="EG94"/>
  <c r="EH94"/>
  <c r="EI94"/>
  <c r="EJ94"/>
  <c r="FT94" s="1"/>
  <c r="DD94"/>
  <c r="DC94" s="1"/>
  <c r="BA94"/>
  <c r="CM94"/>
  <c r="CL94"/>
  <c r="CK94"/>
  <c r="AY94"/>
  <c r="B88"/>
  <c r="CZ93"/>
  <c r="DD93"/>
  <c r="DE93" s="1"/>
  <c r="DC93"/>
  <c r="BA93"/>
  <c r="CM93" s="1"/>
  <c r="CL93"/>
  <c r="CK93"/>
  <c r="AY93"/>
  <c r="B91"/>
  <c r="CZ92"/>
  <c r="DF92"/>
  <c r="DG92"/>
  <c r="DH92"/>
  <c r="DI92"/>
  <c r="ES92" s="1"/>
  <c r="DJ92"/>
  <c r="DK92"/>
  <c r="DL92"/>
  <c r="DM92"/>
  <c r="EW92" s="1"/>
  <c r="DN92"/>
  <c r="DO92"/>
  <c r="DP92"/>
  <c r="DQ92"/>
  <c r="FA92" s="1"/>
  <c r="DR92"/>
  <c r="DS92"/>
  <c r="DT92"/>
  <c r="FD92" s="1"/>
  <c r="DU92"/>
  <c r="DV92"/>
  <c r="DW92"/>
  <c r="DX92"/>
  <c r="DY92"/>
  <c r="DZ92"/>
  <c r="EA92"/>
  <c r="EB92"/>
  <c r="FL92" s="1"/>
  <c r="EC92"/>
  <c r="ED92"/>
  <c r="EE92"/>
  <c r="EF92"/>
  <c r="EG92"/>
  <c r="EH92"/>
  <c r="EI92"/>
  <c r="EJ92"/>
  <c r="FT92" s="1"/>
  <c r="DD92"/>
  <c r="DC92" s="1"/>
  <c r="BA92"/>
  <c r="CM92"/>
  <c r="CL92"/>
  <c r="CK92"/>
  <c r="AY92"/>
  <c r="B89"/>
  <c r="CZ91"/>
  <c r="DG91" s="1"/>
  <c r="EQ91" s="1"/>
  <c r="DD91"/>
  <c r="DE91" s="1"/>
  <c r="DC91"/>
  <c r="BA91"/>
  <c r="CM91" s="1"/>
  <c r="CL91"/>
  <c r="CK91"/>
  <c r="AY91"/>
  <c r="B92"/>
  <c r="CZ90"/>
  <c r="DF90"/>
  <c r="DG90"/>
  <c r="DH90"/>
  <c r="DI90"/>
  <c r="ES90" s="1"/>
  <c r="DJ90"/>
  <c r="DK90"/>
  <c r="DL90"/>
  <c r="DM90"/>
  <c r="EW90" s="1"/>
  <c r="DN90"/>
  <c r="DO90"/>
  <c r="DP90"/>
  <c r="DQ90"/>
  <c r="FA90" s="1"/>
  <c r="DR90"/>
  <c r="DS90"/>
  <c r="FC90" s="1"/>
  <c r="DT90"/>
  <c r="FD90" s="1"/>
  <c r="DU90"/>
  <c r="DV90"/>
  <c r="DW90"/>
  <c r="FG90" s="1"/>
  <c r="DX90"/>
  <c r="DY90"/>
  <c r="DZ90"/>
  <c r="EA90"/>
  <c r="EB90"/>
  <c r="EC90"/>
  <c r="ED90"/>
  <c r="EE90"/>
  <c r="EF90"/>
  <c r="FP90" s="1"/>
  <c r="EG90"/>
  <c r="FQ90" s="1"/>
  <c r="EH90"/>
  <c r="EI90"/>
  <c r="FS90" s="1"/>
  <c r="EJ90"/>
  <c r="FT90" s="1"/>
  <c r="DD90"/>
  <c r="DC90" s="1"/>
  <c r="BA90"/>
  <c r="CM90"/>
  <c r="CL90"/>
  <c r="CK90"/>
  <c r="AY90"/>
  <c r="B96"/>
  <c r="CX89"/>
  <c r="CZ89"/>
  <c r="DN89" s="1"/>
  <c r="DO89"/>
  <c r="DQ89"/>
  <c r="FA89" s="1"/>
  <c r="DS89"/>
  <c r="DU89"/>
  <c r="DW89"/>
  <c r="DY89"/>
  <c r="EA89"/>
  <c r="EC89"/>
  <c r="EE89"/>
  <c r="EG89"/>
  <c r="EI89"/>
  <c r="DD89"/>
  <c r="DE89"/>
  <c r="DC89"/>
  <c r="BA89"/>
  <c r="CM89" s="1"/>
  <c r="CL89"/>
  <c r="CK89"/>
  <c r="AY89"/>
  <c r="B94"/>
  <c r="CZ88"/>
  <c r="DF88"/>
  <c r="DH88"/>
  <c r="DJ88"/>
  <c r="DL88"/>
  <c r="DN88"/>
  <c r="DP88"/>
  <c r="EZ88" s="1"/>
  <c r="DR88"/>
  <c r="DT88"/>
  <c r="DV88"/>
  <c r="DX88"/>
  <c r="DZ88"/>
  <c r="EB88"/>
  <c r="ED88"/>
  <c r="EF88"/>
  <c r="EH88"/>
  <c r="EJ88"/>
  <c r="DD88"/>
  <c r="CL88"/>
  <c r="CK88"/>
  <c r="AY88"/>
  <c r="B97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U105" l="1"/>
  <c r="FR146"/>
  <c r="FF147"/>
  <c r="FJ163"/>
  <c r="FB171"/>
  <c r="EV88"/>
  <c r="EZ92"/>
  <c r="EV92"/>
  <c r="FS94"/>
  <c r="FC94"/>
  <c r="EU94"/>
  <c r="FJ96"/>
  <c r="FS99"/>
  <c r="EZ99"/>
  <c r="FR101"/>
  <c r="FO101"/>
  <c r="FC101"/>
  <c r="EZ102"/>
  <c r="FS105"/>
  <c r="EU109"/>
  <c r="FJ110"/>
  <c r="FR112"/>
  <c r="FJ112"/>
  <c r="FB112"/>
  <c r="FF114"/>
  <c r="FF116"/>
  <c r="FK117"/>
  <c r="EU117"/>
  <c r="EU118"/>
  <c r="FR120"/>
  <c r="FJ120"/>
  <c r="FF120"/>
  <c r="EY120"/>
  <c r="EU120"/>
  <c r="FR122"/>
  <c r="FB122"/>
  <c r="EZ126"/>
  <c r="ER126"/>
  <c r="FR129"/>
  <c r="FB129"/>
  <c r="ER129"/>
  <c r="FR132"/>
  <c r="FB132"/>
  <c r="FF134"/>
  <c r="FR135"/>
  <c r="FB135"/>
  <c r="FS137"/>
  <c r="FO137"/>
  <c r="FK137"/>
  <c r="FR154"/>
  <c r="FO155"/>
  <c r="FR159"/>
  <c r="FO164"/>
  <c r="FS165"/>
  <c r="FO165"/>
  <c r="FK165"/>
  <c r="FK166"/>
  <c r="FR175"/>
  <c r="FJ183"/>
  <c r="AB372"/>
  <c r="AB422" s="1"/>
  <c r="FB143"/>
  <c r="FJ146"/>
  <c r="FF150"/>
  <c r="EU170"/>
  <c r="FR171"/>
  <c r="FJ171"/>
  <c r="FR183"/>
  <c r="FS89"/>
  <c r="FK89"/>
  <c r="FC89"/>
  <c r="EZ90"/>
  <c r="EV90"/>
  <c r="FS92"/>
  <c r="FG92"/>
  <c r="FC92"/>
  <c r="FR99"/>
  <c r="EZ104"/>
  <c r="EV106"/>
  <c r="EZ110"/>
  <c r="FO113"/>
  <c r="FS124"/>
  <c r="EZ132"/>
  <c r="EZ135"/>
  <c r="FG144"/>
  <c r="FO151"/>
  <c r="FO153"/>
  <c r="EZ156"/>
  <c r="FO162"/>
  <c r="FS163"/>
  <c r="FG163"/>
  <c r="EV170"/>
  <c r="ER170"/>
  <c r="FJ180"/>
  <c r="FS181"/>
  <c r="FC181"/>
  <c r="EV182"/>
  <c r="AD380"/>
  <c r="AD381"/>
  <c r="FM89"/>
  <c r="FI90"/>
  <c r="FP92"/>
  <c r="FI92"/>
  <c r="FP94"/>
  <c r="EU96"/>
  <c r="FP99"/>
  <c r="FM101"/>
  <c r="EX101"/>
  <c r="FM115"/>
  <c r="FI131"/>
  <c r="EX131"/>
  <c r="FI141"/>
  <c r="FP142"/>
  <c r="FM153"/>
  <c r="EX154"/>
  <c r="EU162"/>
  <c r="FM165"/>
  <c r="EU169"/>
  <c r="FM173"/>
  <c r="FI174"/>
  <c r="FM182"/>
  <c r="EU185"/>
  <c r="Z376"/>
  <c r="FI89"/>
  <c r="EU90"/>
  <c r="EU92"/>
  <c r="FF94"/>
  <c r="FB94"/>
  <c r="EX94"/>
  <c r="FM96"/>
  <c r="FI96"/>
  <c r="FF99"/>
  <c r="EX99"/>
  <c r="EU100"/>
  <c r="FJ102"/>
  <c r="FB102"/>
  <c r="FJ104"/>
  <c r="EV104"/>
  <c r="FP106"/>
  <c r="FB106"/>
  <c r="EV108"/>
  <c r="FP110"/>
  <c r="FM111"/>
  <c r="FP112"/>
  <c r="EY113"/>
  <c r="FT114"/>
  <c r="EV114"/>
  <c r="FT116"/>
  <c r="FM120"/>
  <c r="FI120"/>
  <c r="EX126"/>
  <c r="EX129"/>
  <c r="EV131"/>
  <c r="FP132"/>
  <c r="FP135"/>
  <c r="EX136"/>
  <c r="EU137"/>
  <c r="FP138"/>
  <c r="FI139"/>
  <c r="FM141"/>
  <c r="EX142"/>
  <c r="FM143"/>
  <c r="FI143"/>
  <c r="EU144"/>
  <c r="EX145"/>
  <c r="EV150"/>
  <c r="FI153"/>
  <c r="FJ154"/>
  <c r="FB154"/>
  <c r="EU155"/>
  <c r="FM156"/>
  <c r="FI156"/>
  <c r="FF159"/>
  <c r="FB159"/>
  <c r="ER159"/>
  <c r="FM162"/>
  <c r="FI162"/>
  <c r="FP163"/>
  <c r="FT164"/>
  <c r="FI164"/>
  <c r="EU164"/>
  <c r="EY165"/>
  <c r="EU165"/>
  <c r="EU166"/>
  <c r="FF170"/>
  <c r="FB170"/>
  <c r="EX170"/>
  <c r="FP171"/>
  <c r="ER171"/>
  <c r="EY173"/>
  <c r="EU176"/>
  <c r="FF177"/>
  <c r="FI180"/>
  <c r="FI181"/>
  <c r="EU182"/>
  <c r="FB183"/>
  <c r="EV184"/>
  <c r="FP186"/>
  <c r="FF187"/>
  <c r="AK372"/>
  <c r="AK422" s="1"/>
  <c r="W372"/>
  <c r="M372"/>
  <c r="M375" s="1"/>
  <c r="H466"/>
  <c r="EX89"/>
  <c r="FM90"/>
  <c r="FE92"/>
  <c r="FI101"/>
  <c r="EX102"/>
  <c r="FI103"/>
  <c r="EX106"/>
  <c r="FI107"/>
  <c r="FM124"/>
  <c r="FI124"/>
  <c r="FM130"/>
  <c r="FM131"/>
  <c r="FP149"/>
  <c r="EX163"/>
  <c r="EX164"/>
  <c r="FI165"/>
  <c r="FI173"/>
  <c r="FM174"/>
  <c r="FM176"/>
  <c r="EX177"/>
  <c r="FM181"/>
  <c r="FI182"/>
  <c r="E503"/>
  <c r="EX88"/>
  <c r="FJ90"/>
  <c r="FF90"/>
  <c r="FB90"/>
  <c r="EX90"/>
  <c r="FM92"/>
  <c r="FF92"/>
  <c r="FB92"/>
  <c r="EX92"/>
  <c r="FM94"/>
  <c r="FI94"/>
  <c r="FE94"/>
  <c r="FT96"/>
  <c r="FP96"/>
  <c r="EV96"/>
  <c r="ER96"/>
  <c r="EV99"/>
  <c r="FT101"/>
  <c r="FJ101"/>
  <c r="FF101"/>
  <c r="EY101"/>
  <c r="FP102"/>
  <c r="FM103"/>
  <c r="FP104"/>
  <c r="FB104"/>
  <c r="FF106"/>
  <c r="ER106"/>
  <c r="FM107"/>
  <c r="FP108"/>
  <c r="FF110"/>
  <c r="EX110"/>
  <c r="FI111"/>
  <c r="EU113"/>
  <c r="FI119"/>
  <c r="EX122"/>
  <c r="FJ124"/>
  <c r="EV125"/>
  <c r="EU131"/>
  <c r="EX132"/>
  <c r="EX134"/>
  <c r="FM137"/>
  <c r="FI137"/>
  <c r="EX139"/>
  <c r="FM140"/>
  <c r="FM142"/>
  <c r="FI142"/>
  <c r="FT143"/>
  <c r="EV143"/>
  <c r="FM145"/>
  <c r="FI145"/>
  <c r="EX146"/>
  <c r="FJ149"/>
  <c r="FP150"/>
  <c r="EU151"/>
  <c r="FF152"/>
  <c r="EX152"/>
  <c r="EY153"/>
  <c r="FT156"/>
  <c r="FP156"/>
  <c r="FF157"/>
  <c r="FF158"/>
  <c r="EX158"/>
  <c r="FM159"/>
  <c r="FI159"/>
  <c r="FF161"/>
  <c r="ER162"/>
  <c r="EU163"/>
  <c r="FJ165"/>
  <c r="FP167"/>
  <c r="EU167"/>
  <c r="FM170"/>
  <c r="FI170"/>
  <c r="EX173"/>
  <c r="EU173"/>
  <c r="FB174"/>
  <c r="EU174"/>
  <c r="FP177"/>
  <c r="FB179"/>
  <c r="FM180"/>
  <c r="FB180"/>
  <c r="EU180"/>
  <c r="FB182"/>
  <c r="FP183"/>
  <c r="FM185"/>
  <c r="EY185"/>
  <c r="L372"/>
  <c r="L378" s="1"/>
  <c r="Y422"/>
  <c r="Y375"/>
  <c r="Y377"/>
  <c r="H382"/>
  <c r="H422"/>
  <c r="H379"/>
  <c r="H380"/>
  <c r="H375"/>
  <c r="H378"/>
  <c r="N382"/>
  <c r="N422"/>
  <c r="L376"/>
  <c r="L422"/>
  <c r="ET92"/>
  <c r="ET94"/>
  <c r="FE96"/>
  <c r="FK101"/>
  <c r="EQ104"/>
  <c r="EQ105"/>
  <c r="FH106"/>
  <c r="EQ108"/>
  <c r="EQ109"/>
  <c r="EY117"/>
  <c r="EQ119"/>
  <c r="FT122"/>
  <c r="FH139"/>
  <c r="FK143"/>
  <c r="FH149"/>
  <c r="FH150"/>
  <c r="ET154"/>
  <c r="EQ156"/>
  <c r="FT162"/>
  <c r="FQ163"/>
  <c r="EQ164"/>
  <c r="FT165"/>
  <c r="FH165"/>
  <c r="EQ169"/>
  <c r="FK170"/>
  <c r="ET171"/>
  <c r="FT182"/>
  <c r="FT186"/>
  <c r="FH186"/>
  <c r="E493"/>
  <c r="H494" s="1"/>
  <c r="E475"/>
  <c r="FO89"/>
  <c r="EY89"/>
  <c r="FR90"/>
  <c r="FO90"/>
  <c r="FK90"/>
  <c r="EY90"/>
  <c r="EQ90"/>
  <c r="FR92"/>
  <c r="EY92"/>
  <c r="EQ92"/>
  <c r="FR94"/>
  <c r="FO94"/>
  <c r="FK94"/>
  <c r="EY94"/>
  <c r="EQ94"/>
  <c r="FR96"/>
  <c r="FN96"/>
  <c r="FF96"/>
  <c r="FB96"/>
  <c r="ET96"/>
  <c r="FH99"/>
  <c r="FO100"/>
  <c r="EY100"/>
  <c r="FH101"/>
  <c r="FE101"/>
  <c r="EW101"/>
  <c r="FT102"/>
  <c r="EQ102"/>
  <c r="FE103"/>
  <c r="FT104"/>
  <c r="FF104"/>
  <c r="FK105"/>
  <c r="FR106"/>
  <c r="EQ106"/>
  <c r="FE107"/>
  <c r="EY107"/>
  <c r="FK109"/>
  <c r="FR110"/>
  <c r="FB110"/>
  <c r="ET110"/>
  <c r="EQ112"/>
  <c r="EQ113"/>
  <c r="FH114"/>
  <c r="EW115"/>
  <c r="FH116"/>
  <c r="FB116"/>
  <c r="FT120"/>
  <c r="FH120"/>
  <c r="FE120"/>
  <c r="EW120"/>
  <c r="FN122"/>
  <c r="FF122"/>
  <c r="FR124"/>
  <c r="FT125"/>
  <c r="EQ125"/>
  <c r="FT126"/>
  <c r="EQ130"/>
  <c r="FR131"/>
  <c r="FN131"/>
  <c r="FF131"/>
  <c r="EY131"/>
  <c r="EQ131"/>
  <c r="FN132"/>
  <c r="FF132"/>
  <c r="FN134"/>
  <c r="FF135"/>
  <c r="FT136"/>
  <c r="EQ136"/>
  <c r="FF137"/>
  <c r="FB137"/>
  <c r="EQ137"/>
  <c r="FT139"/>
  <c r="FO139"/>
  <c r="EY139"/>
  <c r="ET139"/>
  <c r="FO140"/>
  <c r="EY140"/>
  <c r="EW141"/>
  <c r="FR142"/>
  <c r="FF142"/>
  <c r="FB142"/>
  <c r="EY142"/>
  <c r="FR143"/>
  <c r="FO143"/>
  <c r="FH143"/>
  <c r="EQ143"/>
  <c r="EQ144"/>
  <c r="FT145"/>
  <c r="EW145"/>
  <c r="FT146"/>
  <c r="FH147"/>
  <c r="FR149"/>
  <c r="FB149"/>
  <c r="ET149"/>
  <c r="FB150"/>
  <c r="EQ150"/>
  <c r="EQ151"/>
  <c r="FH152"/>
  <c r="ET152"/>
  <c r="FK153"/>
  <c r="FT154"/>
  <c r="EQ154"/>
  <c r="FR156"/>
  <c r="FF156"/>
  <c r="FB156"/>
  <c r="EY156"/>
  <c r="FT157"/>
  <c r="FH157"/>
  <c r="FB157"/>
  <c r="FO159"/>
  <c r="FK159"/>
  <c r="EY159"/>
  <c r="FF162"/>
  <c r="FB162"/>
  <c r="ET162"/>
  <c r="FR163"/>
  <c r="FN163"/>
  <c r="FF163"/>
  <c r="FB163"/>
  <c r="ET163"/>
  <c r="FQ165"/>
  <c r="EW165"/>
  <c r="FK167"/>
  <c r="ET167"/>
  <c r="FK169"/>
  <c r="FH170"/>
  <c r="FT171"/>
  <c r="EW173"/>
  <c r="FF174"/>
  <c r="EW174"/>
  <c r="FT175"/>
  <c r="FB175"/>
  <c r="EW176"/>
  <c r="FH177"/>
  <c r="FR179"/>
  <c r="FE180"/>
  <c r="FK181"/>
  <c r="FF182"/>
  <c r="EY182"/>
  <c r="EQ182"/>
  <c r="FB186"/>
  <c r="J377"/>
  <c r="J378"/>
  <c r="W379"/>
  <c r="O381"/>
  <c r="AF372"/>
  <c r="P372"/>
  <c r="P381" s="1"/>
  <c r="H468"/>
  <c r="AD382"/>
  <c r="AD422"/>
  <c r="ET90"/>
  <c r="EQ97"/>
  <c r="FK100"/>
  <c r="ET102"/>
  <c r="ET106"/>
  <c r="FQ107"/>
  <c r="EQ107"/>
  <c r="FH110"/>
  <c r="ET112"/>
  <c r="EY119"/>
  <c r="FK120"/>
  <c r="EY124"/>
  <c r="FT132"/>
  <c r="FT135"/>
  <c r="ET136"/>
  <c r="FT137"/>
  <c r="EQ138"/>
  <c r="FK141"/>
  <c r="FH145"/>
  <c r="EQ146"/>
  <c r="FT163"/>
  <c r="FK164"/>
  <c r="EY170"/>
  <c r="EQ170"/>
  <c r="FT173"/>
  <c r="FH173"/>
  <c r="FT174"/>
  <c r="FK176"/>
  <c r="FN180"/>
  <c r="U374"/>
  <c r="AB376"/>
  <c r="U379"/>
  <c r="AB380"/>
  <c r="N381"/>
  <c r="FQ89"/>
  <c r="FH90"/>
  <c r="FO92"/>
  <c r="FK92"/>
  <c r="FH92"/>
  <c r="FH94"/>
  <c r="FO96"/>
  <c r="FK96"/>
  <c r="EY96"/>
  <c r="EQ96"/>
  <c r="FT99"/>
  <c r="FB99"/>
  <c r="ET99"/>
  <c r="FB101"/>
  <c r="EQ101"/>
  <c r="FF102"/>
  <c r="FO105"/>
  <c r="EY105"/>
  <c r="FT106"/>
  <c r="FO109"/>
  <c r="EY109"/>
  <c r="FT110"/>
  <c r="EQ110"/>
  <c r="FE111"/>
  <c r="FT112"/>
  <c r="FF112"/>
  <c r="FK113"/>
  <c r="FR114"/>
  <c r="FB114"/>
  <c r="FQ115"/>
  <c r="FR116"/>
  <c r="EQ117"/>
  <c r="EQ118"/>
  <c r="FK119"/>
  <c r="FB120"/>
  <c r="ET120"/>
  <c r="FH122"/>
  <c r="FO124"/>
  <c r="FK124"/>
  <c r="FF125"/>
  <c r="FF126"/>
  <c r="FO131"/>
  <c r="FK131"/>
  <c r="FH132"/>
  <c r="EQ133"/>
  <c r="FR134"/>
  <c r="FB134"/>
  <c r="FH135"/>
  <c r="FF136"/>
  <c r="FR137"/>
  <c r="FK139"/>
  <c r="FF139"/>
  <c r="FO141"/>
  <c r="EY141"/>
  <c r="FO142"/>
  <c r="FK142"/>
  <c r="FK144"/>
  <c r="FF145"/>
  <c r="FB145"/>
  <c r="FF146"/>
  <c r="FR147"/>
  <c r="FB147"/>
  <c r="ET147"/>
  <c r="FT149"/>
  <c r="FR150"/>
  <c r="FL150"/>
  <c r="EY151"/>
  <c r="FR152"/>
  <c r="FB152"/>
  <c r="EQ152"/>
  <c r="EW153"/>
  <c r="FF154"/>
  <c r="EY155"/>
  <c r="FO156"/>
  <c r="FK156"/>
  <c r="ET156"/>
  <c r="EW158"/>
  <c r="FT159"/>
  <c r="FH159"/>
  <c r="EQ159"/>
  <c r="FR162"/>
  <c r="FK162"/>
  <c r="EY162"/>
  <c r="EQ162"/>
  <c r="FO163"/>
  <c r="FK163"/>
  <c r="EY163"/>
  <c r="EQ163"/>
  <c r="FH164"/>
  <c r="EY164"/>
  <c r="ET164"/>
  <c r="FR165"/>
  <c r="FF165"/>
  <c r="FB165"/>
  <c r="ET165"/>
  <c r="FF166"/>
  <c r="FO169"/>
  <c r="EY169"/>
  <c r="FT170"/>
  <c r="EW170"/>
  <c r="FF171"/>
  <c r="FR173"/>
  <c r="FF173"/>
  <c r="FB173"/>
  <c r="EQ173"/>
  <c r="FR174"/>
  <c r="FO174"/>
  <c r="FK174"/>
  <c r="EY174"/>
  <c r="EQ174"/>
  <c r="ET175"/>
  <c r="FK180"/>
  <c r="FF180"/>
  <c r="ET180"/>
  <c r="EY181"/>
  <c r="FR182"/>
  <c r="FO182"/>
  <c r="FK182"/>
  <c r="FT183"/>
  <c r="FK184"/>
  <c r="FK185"/>
  <c r="FR186"/>
  <c r="FF186"/>
  <c r="EY186"/>
  <c r="FR187"/>
  <c r="J373"/>
  <c r="N374"/>
  <c r="J376"/>
  <c r="N377"/>
  <c r="N380"/>
  <c r="W381"/>
  <c r="AI372"/>
  <c r="AI378" s="1"/>
  <c r="S372"/>
  <c r="S422" s="1"/>
  <c r="H516"/>
  <c r="EK137"/>
  <c r="FD88"/>
  <c r="EV128"/>
  <c r="FS138"/>
  <c r="FM138"/>
  <c r="FI158"/>
  <c r="FB178"/>
  <c r="EY178"/>
  <c r="EY118"/>
  <c r="EZ128"/>
  <c r="EW138"/>
  <c r="ES138"/>
  <c r="FR148"/>
  <c r="FI178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P178"/>
  <c r="FT138"/>
  <c r="FD138"/>
  <c r="FT158"/>
  <c r="FN158"/>
  <c r="EZ178"/>
  <c r="FT88"/>
  <c r="FM98"/>
  <c r="FJ108"/>
  <c r="EX108"/>
  <c r="FK118"/>
  <c r="FI138"/>
  <c r="FF138"/>
  <c r="FM158"/>
  <c r="EY158"/>
  <c r="FJ168"/>
  <c r="FS178"/>
  <c r="FF88"/>
  <c r="FR108"/>
  <c r="FF108"/>
  <c r="FO118"/>
  <c r="FP128"/>
  <c r="FB148"/>
  <c r="ET168"/>
  <c r="FT178"/>
  <c r="FM178"/>
  <c r="FC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FF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O425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U427" s="1"/>
  <c r="Y29"/>
  <c r="Y45" s="1"/>
  <c r="I28"/>
  <c r="I44" s="1"/>
  <c r="I430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K425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U431" s="1"/>
  <c r="Q29"/>
  <c r="Q45" s="1"/>
  <c r="M29"/>
  <c r="M45" s="1"/>
  <c r="I29"/>
  <c r="I45" s="1"/>
  <c r="AJ29"/>
  <c r="AJ45" s="1"/>
  <c r="P29"/>
  <c r="P45" s="1"/>
  <c r="L29"/>
  <c r="L45" s="1"/>
  <c r="U28"/>
  <c r="U44" s="1"/>
  <c r="U430" s="1"/>
  <c r="Q28"/>
  <c r="Q44" s="1"/>
  <c r="M28"/>
  <c r="M44" s="1"/>
  <c r="X29"/>
  <c r="X45" s="1"/>
  <c r="AB28"/>
  <c r="AB44" s="1"/>
  <c r="AB430" s="1"/>
  <c r="D78"/>
  <c r="D547" s="1"/>
  <c r="AK28"/>
  <c r="AK44" s="1"/>
  <c r="AK430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U429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O429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AB429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O427" s="1"/>
  <c r="T25"/>
  <c r="T41" s="1"/>
  <c r="AK25"/>
  <c r="AK41" s="1"/>
  <c r="AK427" s="1"/>
  <c r="AG25"/>
  <c r="AG41" s="1"/>
  <c r="AC25"/>
  <c r="AC41" s="1"/>
  <c r="Y25"/>
  <c r="Y41" s="1"/>
  <c r="Q25"/>
  <c r="Q41" s="1"/>
  <c r="M25"/>
  <c r="M41" s="1"/>
  <c r="I25"/>
  <c r="I41" s="1"/>
  <c r="I427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U426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AB425" s="1"/>
  <c r="P23"/>
  <c r="P39" s="1"/>
  <c r="H23"/>
  <c r="H39" s="1"/>
  <c r="AG22"/>
  <c r="AG38" s="1"/>
  <c r="AC22"/>
  <c r="AC38" s="1"/>
  <c r="U30"/>
  <c r="U46" s="1"/>
  <c r="U61" s="1"/>
  <c r="M22"/>
  <c r="M38" s="1"/>
  <c r="I22"/>
  <c r="I38" s="1"/>
  <c r="I424" s="1"/>
  <c r="Q23"/>
  <c r="Q39" s="1"/>
  <c r="D72"/>
  <c r="D535" s="1"/>
  <c r="Y22"/>
  <c r="Y38" s="1"/>
  <c r="AI30"/>
  <c r="AI46" s="1"/>
  <c r="AI61" s="1"/>
  <c r="AA30"/>
  <c r="AA46" s="1"/>
  <c r="O30"/>
  <c r="O46" s="1"/>
  <c r="O432" s="1"/>
  <c r="G21"/>
  <c r="G37" s="1"/>
  <c r="X30"/>
  <c r="X46" s="1"/>
  <c r="T30"/>
  <c r="T46" s="1"/>
  <c r="H30"/>
  <c r="H46" s="1"/>
  <c r="AK30"/>
  <c r="AK46" s="1"/>
  <c r="AK61" s="1"/>
  <c r="AG21"/>
  <c r="AG37" s="1"/>
  <c r="AC30"/>
  <c r="AC46" s="1"/>
  <c r="Y30"/>
  <c r="Y46" s="1"/>
  <c r="U21"/>
  <c r="U37" s="1"/>
  <c r="Q30"/>
  <c r="Q46" s="1"/>
  <c r="M21"/>
  <c r="M37" s="1"/>
  <c r="I21"/>
  <c r="I37" s="1"/>
  <c r="I423" s="1"/>
  <c r="L30"/>
  <c r="L46" s="1"/>
  <c r="J21"/>
  <c r="J37" s="1"/>
  <c r="J423" s="1"/>
  <c r="AD21"/>
  <c r="AD37" s="1"/>
  <c r="Z21"/>
  <c r="Z37" s="1"/>
  <c r="Z423" s="1"/>
  <c r="V21"/>
  <c r="V37" s="1"/>
  <c r="R21"/>
  <c r="R37" s="1"/>
  <c r="N21"/>
  <c r="N37" s="1"/>
  <c r="AG30"/>
  <c r="AG46" s="1"/>
  <c r="X21"/>
  <c r="X37" s="1"/>
  <c r="W30"/>
  <c r="W46" s="1"/>
  <c r="W61" s="1"/>
  <c r="S30"/>
  <c r="S46" s="1"/>
  <c r="S61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Z427" s="1"/>
  <c r="R25"/>
  <c r="R41" s="1"/>
  <c r="J25"/>
  <c r="J41" s="1"/>
  <c r="AK22"/>
  <c r="AK38" s="1"/>
  <c r="AK424" s="1"/>
  <c r="Y21"/>
  <c r="Y37" s="1"/>
  <c r="L21"/>
  <c r="L37" s="1"/>
  <c r="AE30"/>
  <c r="AE46" s="1"/>
  <c r="M30"/>
  <c r="M46" s="1"/>
  <c r="M61" s="1"/>
  <c r="W23"/>
  <c r="W39" s="1"/>
  <c r="U22"/>
  <c r="U38" s="1"/>
  <c r="U424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Z431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I61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O424" s="1"/>
  <c r="K22"/>
  <c r="K38" s="1"/>
  <c r="EW163"/>
  <c r="Y381"/>
  <c r="Y379"/>
  <c r="S379"/>
  <c r="S37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X372"/>
  <c r="X374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80"/>
  <c r="Z382"/>
  <c r="Z378"/>
  <c r="Z374"/>
  <c r="O376"/>
  <c r="O373"/>
  <c r="O380"/>
  <c r="J380"/>
  <c r="J374"/>
  <c r="J382"/>
  <c r="J381"/>
  <c r="AA372"/>
  <c r="AA379" s="1"/>
  <c r="FJ182"/>
  <c r="FJ158"/>
  <c r="FJ150"/>
  <c r="FJ143"/>
  <c r="FJ142"/>
  <c r="FJ114"/>
  <c r="FJ159"/>
  <c r="FJ145"/>
  <c r="FJ137"/>
  <c r="FJ131"/>
  <c r="E487"/>
  <c r="H488" s="1"/>
  <c r="FE156"/>
  <c r="FC164"/>
  <c r="T372"/>
  <c r="T422" s="1"/>
  <c r="FC169"/>
  <c r="FC156"/>
  <c r="FC153"/>
  <c r="EZ186"/>
  <c r="EZ177"/>
  <c r="EZ170"/>
  <c r="EZ152"/>
  <c r="EZ145"/>
  <c r="EZ131"/>
  <c r="EZ116"/>
  <c r="E477"/>
  <c r="H478" s="1"/>
  <c r="Q372"/>
  <c r="EZ182"/>
  <c r="EZ154"/>
  <c r="EZ146"/>
  <c r="EZ137"/>
  <c r="EZ120"/>
  <c r="AK377"/>
  <c r="AK374"/>
  <c r="AF382"/>
  <c r="AB378"/>
  <c r="AB374"/>
  <c r="AB375"/>
  <c r="R372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H476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422" s="1"/>
  <c r="E511"/>
  <c r="E50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O375"/>
  <c r="O377"/>
  <c r="S381"/>
  <c r="V372"/>
  <c r="V374" s="1"/>
  <c r="G372"/>
  <c r="G422" s="1"/>
  <c r="H514"/>
  <c r="E497"/>
  <c r="H498" s="1"/>
  <c r="E483"/>
  <c r="H484" s="1"/>
  <c r="W377"/>
  <c r="W376"/>
  <c r="W373"/>
  <c r="AJ372"/>
  <c r="AJ422" s="1"/>
  <c r="FS164"/>
  <c r="FS162"/>
  <c r="FS139"/>
  <c r="FS180"/>
  <c r="FS169"/>
  <c r="FS156"/>
  <c r="FS153"/>
  <c r="AG372"/>
  <c r="FP152"/>
  <c r="FP145"/>
  <c r="FP143"/>
  <c r="FP131"/>
  <c r="FP116"/>
  <c r="E509"/>
  <c r="H508" s="1"/>
  <c r="FP157"/>
  <c r="FP154"/>
  <c r="FP146"/>
  <c r="FP137"/>
  <c r="FP120"/>
  <c r="K372"/>
  <c r="K422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O379"/>
  <c r="S380"/>
  <c r="AH372"/>
  <c r="AH422" s="1"/>
  <c r="AC372"/>
  <c r="AC422" s="1"/>
  <c r="H500"/>
  <c r="H490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6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81"/>
  <c r="AJ377"/>
  <c r="AJ373"/>
  <c r="AJ382"/>
  <c r="AJ380"/>
  <c r="AJ378"/>
  <c r="AJ379"/>
  <c r="AJ374"/>
  <c r="AG382"/>
  <c r="AG380"/>
  <c r="AG377"/>
  <c r="AG375"/>
  <c r="AG373"/>
  <c r="AA382"/>
  <c r="AA376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L381"/>
  <c r="L377"/>
  <c r="L379"/>
  <c r="L375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M380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74"/>
  <c r="AD379"/>
  <c r="AD375"/>
  <c r="AD378"/>
  <c r="AD376"/>
  <c r="AD377"/>
  <c r="AD374"/>
  <c r="AD373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6"/>
  <c r="AK375"/>
  <c r="AB381"/>
  <c r="AB377"/>
  <c r="AB373"/>
  <c r="AB382"/>
  <c r="AB379"/>
  <c r="Y382"/>
  <c r="Y380"/>
  <c r="Y376"/>
  <c r="Y378"/>
  <c r="S378"/>
  <c r="S374"/>
  <c r="N379"/>
  <c r="N375"/>
  <c r="N378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432" s="1"/>
  <c r="AB21"/>
  <c r="AB37" s="1"/>
  <c r="P21"/>
  <c r="P30"/>
  <c r="P46" s="1"/>
  <c r="AC378"/>
  <c r="AH28"/>
  <c r="AH44" s="1"/>
  <c r="AD28"/>
  <c r="AD44" s="1"/>
  <c r="Z28"/>
  <c r="Z44" s="1"/>
  <c r="Z430" s="1"/>
  <c r="V28"/>
  <c r="V44" s="1"/>
  <c r="R28"/>
  <c r="R44" s="1"/>
  <c r="N28"/>
  <c r="N44" s="1"/>
  <c r="J28"/>
  <c r="CM128"/>
  <c r="AF375"/>
  <c r="AC382"/>
  <c r="AC380"/>
  <c r="AC376"/>
  <c r="AC381"/>
  <c r="AC374"/>
  <c r="T380"/>
  <c r="K378"/>
  <c r="H512"/>
  <c r="H480"/>
  <c r="H472"/>
  <c r="H470"/>
  <c r="Z379"/>
  <c r="Z375"/>
  <c r="W382"/>
  <c r="W378"/>
  <c r="W374"/>
  <c r="O382"/>
  <c r="O378"/>
  <c r="O374"/>
  <c r="J379"/>
  <c r="J375"/>
  <c r="G382"/>
  <c r="AH23"/>
  <c r="AH39" s="1"/>
  <c r="AH30"/>
  <c r="AH46" s="1"/>
  <c r="AD23"/>
  <c r="AD39" s="1"/>
  <c r="AD30"/>
  <c r="AD46" s="1"/>
  <c r="Z23"/>
  <c r="Z39" s="1"/>
  <c r="Z425" s="1"/>
  <c r="Z30"/>
  <c r="Z46" s="1"/>
  <c r="Z432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Z428" s="1"/>
  <c r="V26"/>
  <c r="V42" s="1"/>
  <c r="R26"/>
  <c r="R42" s="1"/>
  <c r="N26"/>
  <c r="N42" s="1"/>
  <c r="J26"/>
  <c r="AH24"/>
  <c r="AH40" s="1"/>
  <c r="AD24"/>
  <c r="AD40" s="1"/>
  <c r="Z24"/>
  <c r="Z40" s="1"/>
  <c r="Z426" s="1"/>
  <c r="V24"/>
  <c r="V40" s="1"/>
  <c r="R24"/>
  <c r="R40" s="1"/>
  <c r="N24"/>
  <c r="N40" s="1"/>
  <c r="J24"/>
  <c r="J40" s="1"/>
  <c r="J426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M376" l="1"/>
  <c r="AA377"/>
  <c r="M379"/>
  <c r="S376"/>
  <c r="X381"/>
  <c r="AI373"/>
  <c r="AI382"/>
  <c r="M381"/>
  <c r="P378"/>
  <c r="AA375"/>
  <c r="M377"/>
  <c r="S377"/>
  <c r="M422"/>
  <c r="I432"/>
  <c r="I450" s="1"/>
  <c r="AK432"/>
  <c r="AK450" s="1"/>
  <c r="AI376"/>
  <c r="M378"/>
  <c r="S382"/>
  <c r="M374"/>
  <c r="M382"/>
  <c r="H502"/>
  <c r="S375"/>
  <c r="AE382"/>
  <c r="AK380"/>
  <c r="P379"/>
  <c r="L380"/>
  <c r="L382"/>
  <c r="H474"/>
  <c r="AK379"/>
  <c r="AK426"/>
  <c r="AK444" s="1"/>
  <c r="AK381"/>
  <c r="W422"/>
  <c r="W380"/>
  <c r="W375"/>
  <c r="P373"/>
  <c r="H460"/>
  <c r="AK373"/>
  <c r="AK382"/>
  <c r="P375"/>
  <c r="L374"/>
  <c r="L373"/>
  <c r="AK378"/>
  <c r="V376"/>
  <c r="V422"/>
  <c r="AE423"/>
  <c r="AE441" s="1"/>
  <c r="AE425"/>
  <c r="AE443" s="1"/>
  <c r="AE427"/>
  <c r="AE445" s="1"/>
  <c r="AE429"/>
  <c r="AE447" s="1"/>
  <c r="AE431"/>
  <c r="AE449" s="1"/>
  <c r="AE424"/>
  <c r="AE442" s="1"/>
  <c r="AE430"/>
  <c r="AE448" s="1"/>
  <c r="AE426"/>
  <c r="AE444" s="1"/>
  <c r="AE428"/>
  <c r="AE446" s="1"/>
  <c r="AE432"/>
  <c r="AE450" s="1"/>
  <c r="R379"/>
  <c r="R422"/>
  <c r="Q382"/>
  <c r="Q422"/>
  <c r="AD427"/>
  <c r="AD445" s="1"/>
  <c r="AD431"/>
  <c r="AD449" s="1"/>
  <c r="AD424"/>
  <c r="AD442" s="1"/>
  <c r="AD426"/>
  <c r="AD444" s="1"/>
  <c r="AD428"/>
  <c r="AD446" s="1"/>
  <c r="AD430"/>
  <c r="AD448" s="1"/>
  <c r="AD432"/>
  <c r="AD450" s="1"/>
  <c r="AD423"/>
  <c r="AD441" s="1"/>
  <c r="AD425"/>
  <c r="AD443" s="1"/>
  <c r="AD429"/>
  <c r="AD447" s="1"/>
  <c r="AF422"/>
  <c r="AF379"/>
  <c r="AF378"/>
  <c r="AF374"/>
  <c r="N423"/>
  <c r="N441" s="1"/>
  <c r="N427"/>
  <c r="N445" s="1"/>
  <c r="N431"/>
  <c r="N449" s="1"/>
  <c r="N424"/>
  <c r="N442" s="1"/>
  <c r="N426"/>
  <c r="N444" s="1"/>
  <c r="N428"/>
  <c r="N446" s="1"/>
  <c r="N430"/>
  <c r="N448" s="1"/>
  <c r="N432"/>
  <c r="N450" s="1"/>
  <c r="N425"/>
  <c r="N443" s="1"/>
  <c r="N429"/>
  <c r="N447" s="1"/>
  <c r="H428"/>
  <c r="H446" s="1"/>
  <c r="H432"/>
  <c r="H450" s="1"/>
  <c r="H423"/>
  <c r="H441" s="1"/>
  <c r="H425"/>
  <c r="H443" s="1"/>
  <c r="H427"/>
  <c r="H445" s="1"/>
  <c r="H429"/>
  <c r="H447" s="1"/>
  <c r="H431"/>
  <c r="H449" s="1"/>
  <c r="H424"/>
  <c r="H442" s="1"/>
  <c r="H426"/>
  <c r="H444" s="1"/>
  <c r="H430"/>
  <c r="H448" s="1"/>
  <c r="AH425"/>
  <c r="AH443" s="1"/>
  <c r="AH429"/>
  <c r="AH447" s="1"/>
  <c r="AH424"/>
  <c r="AH442" s="1"/>
  <c r="AH426"/>
  <c r="AH444" s="1"/>
  <c r="AH428"/>
  <c r="AH446" s="1"/>
  <c r="AH430"/>
  <c r="AH448" s="1"/>
  <c r="AH432"/>
  <c r="AH450" s="1"/>
  <c r="AH423"/>
  <c r="AH441" s="1"/>
  <c r="AH427"/>
  <c r="AH445" s="1"/>
  <c r="AH431"/>
  <c r="AH449" s="1"/>
  <c r="AC424"/>
  <c r="AC442" s="1"/>
  <c r="AC426"/>
  <c r="AC444" s="1"/>
  <c r="AC428"/>
  <c r="AC446" s="1"/>
  <c r="AC430"/>
  <c r="AC448" s="1"/>
  <c r="AC432"/>
  <c r="AC450" s="1"/>
  <c r="AC429"/>
  <c r="AC447" s="1"/>
  <c r="AC423"/>
  <c r="AC441" s="1"/>
  <c r="AC425"/>
  <c r="AC443" s="1"/>
  <c r="AC427"/>
  <c r="AC445" s="1"/>
  <c r="AC431"/>
  <c r="AC449" s="1"/>
  <c r="AA374"/>
  <c r="AA422"/>
  <c r="AI381"/>
  <c r="AI422"/>
  <c r="AI380"/>
  <c r="AI377"/>
  <c r="AI375"/>
  <c r="AI379"/>
  <c r="L426"/>
  <c r="L444" s="1"/>
  <c r="L430"/>
  <c r="L448" s="1"/>
  <c r="L423"/>
  <c r="L441" s="1"/>
  <c r="L425"/>
  <c r="L443" s="1"/>
  <c r="L427"/>
  <c r="L445" s="1"/>
  <c r="L429"/>
  <c r="L447" s="1"/>
  <c r="L431"/>
  <c r="L449" s="1"/>
  <c r="L424"/>
  <c r="L442" s="1"/>
  <c r="L428"/>
  <c r="L446" s="1"/>
  <c r="L432"/>
  <c r="L450" s="1"/>
  <c r="Z444"/>
  <c r="AF381"/>
  <c r="Z441"/>
  <c r="J424"/>
  <c r="J442" s="1"/>
  <c r="U432"/>
  <c r="U450" s="1"/>
  <c r="AB431"/>
  <c r="AB449" s="1"/>
  <c r="AB423"/>
  <c r="AB441" s="1"/>
  <c r="G459"/>
  <c r="Z446"/>
  <c r="Z443"/>
  <c r="AE374"/>
  <c r="AH379"/>
  <c r="Q376"/>
  <c r="T381"/>
  <c r="AF377"/>
  <c r="P376"/>
  <c r="P380"/>
  <c r="H482"/>
  <c r="AF380"/>
  <c r="H492"/>
  <c r="O442"/>
  <c r="Z445"/>
  <c r="I445"/>
  <c r="O445"/>
  <c r="AB448"/>
  <c r="U448"/>
  <c r="Z429"/>
  <c r="Z447" s="1"/>
  <c r="O426"/>
  <c r="O444" s="1"/>
  <c r="I429"/>
  <c r="I447" s="1"/>
  <c r="I425"/>
  <c r="I443" s="1"/>
  <c r="I426"/>
  <c r="I444" s="1"/>
  <c r="AB424"/>
  <c r="AB442" s="1"/>
  <c r="AK431"/>
  <c r="AK449" s="1"/>
  <c r="AK429"/>
  <c r="AK447" s="1"/>
  <c r="T424"/>
  <c r="T442" s="1"/>
  <c r="T426"/>
  <c r="T444" s="1"/>
  <c r="T430"/>
  <c r="T448" s="1"/>
  <c r="T423"/>
  <c r="T441" s="1"/>
  <c r="T425"/>
  <c r="T443" s="1"/>
  <c r="T427"/>
  <c r="T445" s="1"/>
  <c r="T429"/>
  <c r="T447" s="1"/>
  <c r="T431"/>
  <c r="T449" s="1"/>
  <c r="T428"/>
  <c r="T446" s="1"/>
  <c r="T432"/>
  <c r="T450" s="1"/>
  <c r="M424"/>
  <c r="M442" s="1"/>
  <c r="M426"/>
  <c r="M444" s="1"/>
  <c r="M428"/>
  <c r="M446" s="1"/>
  <c r="M430"/>
  <c r="M448" s="1"/>
  <c r="M432"/>
  <c r="M450" s="1"/>
  <c r="M423"/>
  <c r="M441" s="1"/>
  <c r="M427"/>
  <c r="M445" s="1"/>
  <c r="M429"/>
  <c r="M447" s="1"/>
  <c r="M425"/>
  <c r="M443" s="1"/>
  <c r="M431"/>
  <c r="M449" s="1"/>
  <c r="Y424"/>
  <c r="Y442" s="1"/>
  <c r="Y426"/>
  <c r="Y444" s="1"/>
  <c r="Y428"/>
  <c r="Y446" s="1"/>
  <c r="Y430"/>
  <c r="Y448" s="1"/>
  <c r="Y432"/>
  <c r="Y450" s="1"/>
  <c r="Y425"/>
  <c r="Y443" s="1"/>
  <c r="Y427"/>
  <c r="Y445" s="1"/>
  <c r="Y431"/>
  <c r="Y449" s="1"/>
  <c r="Y423"/>
  <c r="Y441" s="1"/>
  <c r="Y429"/>
  <c r="Y447" s="1"/>
  <c r="G427"/>
  <c r="G431"/>
  <c r="G449" s="1"/>
  <c r="G429"/>
  <c r="G447" s="1"/>
  <c r="G428"/>
  <c r="G446" s="1"/>
  <c r="G432"/>
  <c r="G450" s="1"/>
  <c r="G430"/>
  <c r="G448" s="1"/>
  <c r="G425"/>
  <c r="G443" s="1"/>
  <c r="G423"/>
  <c r="G441" s="1"/>
  <c r="P422"/>
  <c r="P374"/>
  <c r="K423"/>
  <c r="K441" s="1"/>
  <c r="K425"/>
  <c r="K443" s="1"/>
  <c r="K427"/>
  <c r="K445" s="1"/>
  <c r="K429"/>
  <c r="K447" s="1"/>
  <c r="K431"/>
  <c r="K449" s="1"/>
  <c r="K424"/>
  <c r="K442" s="1"/>
  <c r="K426"/>
  <c r="K444" s="1"/>
  <c r="K428"/>
  <c r="K446" s="1"/>
  <c r="K432"/>
  <c r="K450" s="1"/>
  <c r="K430"/>
  <c r="K448" s="1"/>
  <c r="AG378"/>
  <c r="AG422"/>
  <c r="AJ426"/>
  <c r="AJ444" s="1"/>
  <c r="AJ430"/>
  <c r="AJ448" s="1"/>
  <c r="AJ423"/>
  <c r="AJ441" s="1"/>
  <c r="AJ425"/>
  <c r="AJ443" s="1"/>
  <c r="AJ427"/>
  <c r="AJ445" s="1"/>
  <c r="AJ429"/>
  <c r="AJ447" s="1"/>
  <c r="AJ431"/>
  <c r="AJ449" s="1"/>
  <c r="AJ424"/>
  <c r="AJ442" s="1"/>
  <c r="AJ428"/>
  <c r="AJ446" s="1"/>
  <c r="AJ432"/>
  <c r="AJ450" s="1"/>
  <c r="X373"/>
  <c r="X422"/>
  <c r="S423"/>
  <c r="S441" s="1"/>
  <c r="S425"/>
  <c r="S443" s="1"/>
  <c r="S427"/>
  <c r="S445" s="1"/>
  <c r="S429"/>
  <c r="S447" s="1"/>
  <c r="S431"/>
  <c r="S449" s="1"/>
  <c r="S426"/>
  <c r="S444" s="1"/>
  <c r="S428"/>
  <c r="S446" s="1"/>
  <c r="S432"/>
  <c r="S450" s="1"/>
  <c r="S424"/>
  <c r="S442" s="1"/>
  <c r="S430"/>
  <c r="S448" s="1"/>
  <c r="AB443"/>
  <c r="AK445"/>
  <c r="AK448"/>
  <c r="AK443"/>
  <c r="O430"/>
  <c r="O448" s="1"/>
  <c r="U425"/>
  <c r="U443" s="1"/>
  <c r="J444"/>
  <c r="AE378"/>
  <c r="T378"/>
  <c r="H510"/>
  <c r="Z449"/>
  <c r="AK442"/>
  <c r="I441"/>
  <c r="O450"/>
  <c r="O447"/>
  <c r="U447"/>
  <c r="U445"/>
  <c r="AH375"/>
  <c r="Q379"/>
  <c r="T377"/>
  <c r="AF373"/>
  <c r="Z448"/>
  <c r="Q374"/>
  <c r="P382"/>
  <c r="P377"/>
  <c r="V381"/>
  <c r="AF376"/>
  <c r="U442"/>
  <c r="J441"/>
  <c r="I442"/>
  <c r="U444"/>
  <c r="AB447"/>
  <c r="U449"/>
  <c r="I448"/>
  <c r="O443"/>
  <c r="Z424"/>
  <c r="Z442" s="1"/>
  <c r="J427"/>
  <c r="J445" s="1"/>
  <c r="W427"/>
  <c r="W445" s="1"/>
  <c r="O428"/>
  <c r="O446" s="1"/>
  <c r="O431"/>
  <c r="O449" s="1"/>
  <c r="O423"/>
  <c r="O441" s="1"/>
  <c r="I431"/>
  <c r="I449" s="1"/>
  <c r="I428"/>
  <c r="I446" s="1"/>
  <c r="U423"/>
  <c r="U441" s="1"/>
  <c r="U428"/>
  <c r="U446" s="1"/>
  <c r="AB428"/>
  <c r="AB446" s="1"/>
  <c r="AB427"/>
  <c r="AB445" s="1"/>
  <c r="AB426"/>
  <c r="AB444" s="1"/>
  <c r="AK423"/>
  <c r="AK441" s="1"/>
  <c r="AK428"/>
  <c r="AK446" s="1"/>
  <c r="DF219"/>
  <c r="DF212"/>
  <c r="DF217"/>
  <c r="DF214"/>
  <c r="EK171"/>
  <c r="DF221"/>
  <c r="EK156"/>
  <c r="DF216"/>
  <c r="FU131"/>
  <c r="EY108"/>
  <c r="FB168"/>
  <c r="FQ168"/>
  <c r="FF118"/>
  <c r="FJ128"/>
  <c r="FS98"/>
  <c r="FH148"/>
  <c r="FM148"/>
  <c r="FE148"/>
  <c r="FS88"/>
  <c r="FG128"/>
  <c r="EY128"/>
  <c r="FR98"/>
  <c r="FB98"/>
  <c r="FR168"/>
  <c r="FT168"/>
  <c r="FK168"/>
  <c r="FH118"/>
  <c r="FO148"/>
  <c r="EY148"/>
  <c r="FM88"/>
  <c r="FE88"/>
  <c r="FQ128"/>
  <c r="FA128"/>
  <c r="FL98"/>
  <c r="FA108"/>
  <c r="FI108"/>
  <c r="FQ108"/>
  <c r="FH168"/>
  <c r="FD168"/>
  <c r="FO168"/>
  <c r="FG168"/>
  <c r="EY168"/>
  <c r="EQ168"/>
  <c r="FT118"/>
  <c r="FL118"/>
  <c r="FD118"/>
  <c r="EX128"/>
  <c r="FN128"/>
  <c r="FA118"/>
  <c r="FQ118"/>
  <c r="EQ98"/>
  <c r="FG98"/>
  <c r="FT148"/>
  <c r="FD148"/>
  <c r="FS148"/>
  <c r="FK148"/>
  <c r="FC148"/>
  <c r="FQ88"/>
  <c r="FI88"/>
  <c r="ES88"/>
  <c r="FM128"/>
  <c r="FE128"/>
  <c r="EW128"/>
  <c r="FP98"/>
  <c r="FH98"/>
  <c r="ER98"/>
  <c r="FU92"/>
  <c r="DF215"/>
  <c r="FU162"/>
  <c r="FG108"/>
  <c r="FO108"/>
  <c r="FF168"/>
  <c r="FL168"/>
  <c r="FI168"/>
  <c r="FA168"/>
  <c r="FN118"/>
  <c r="EX118"/>
  <c r="ET128"/>
  <c r="FM118"/>
  <c r="FC98"/>
  <c r="FK88"/>
  <c r="FC88"/>
  <c r="FO128"/>
  <c r="FJ98"/>
  <c r="ET98"/>
  <c r="FE108"/>
  <c r="FM108"/>
  <c r="FN168"/>
  <c r="FS168"/>
  <c r="FC168"/>
  <c r="FP118"/>
  <c r="EZ118"/>
  <c r="FF128"/>
  <c r="FI118"/>
  <c r="FO98"/>
  <c r="FL148"/>
  <c r="FG148"/>
  <c r="FI128"/>
  <c r="ES128"/>
  <c r="FT98"/>
  <c r="FD98"/>
  <c r="EW178"/>
  <c r="FU178" s="1"/>
  <c r="FC108"/>
  <c r="FK108"/>
  <c r="FS108"/>
  <c r="ER168"/>
  <c r="FM168"/>
  <c r="FE168"/>
  <c r="FR118"/>
  <c r="FJ118"/>
  <c r="FB118"/>
  <c r="FB128"/>
  <c r="FR128"/>
  <c r="FE118"/>
  <c r="FK98"/>
  <c r="FP148"/>
  <c r="EZ148"/>
  <c r="FQ148"/>
  <c r="FI148"/>
  <c r="FA148"/>
  <c r="FO88"/>
  <c r="FG88"/>
  <c r="EQ88"/>
  <c r="FS128"/>
  <c r="FK128"/>
  <c r="FC128"/>
  <c r="EU128"/>
  <c r="FN98"/>
  <c r="FF98"/>
  <c r="FU137"/>
  <c r="FU170"/>
  <c r="FU173"/>
  <c r="FU125"/>
  <c r="FU106"/>
  <c r="FU102"/>
  <c r="DF220"/>
  <c r="DF218"/>
  <c r="DF213"/>
  <c r="FU147"/>
  <c r="FU129"/>
  <c r="FU158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I500" s="1"/>
  <c r="J500" s="1"/>
  <c r="G499"/>
  <c r="F483"/>
  <c r="I484" s="1"/>
  <c r="J484" s="1"/>
  <c r="G483"/>
  <c r="F467"/>
  <c r="I468" s="1"/>
  <c r="J468" s="1"/>
  <c r="G467"/>
  <c r="J42"/>
  <c r="J428" s="1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I496" s="1"/>
  <c r="J496" s="1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G491"/>
  <c r="F475"/>
  <c r="I476" s="1"/>
  <c r="J476" s="1"/>
  <c r="G475"/>
  <c r="F459"/>
  <c r="I542"/>
  <c r="I550"/>
  <c r="J39"/>
  <c r="J425" s="1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I470" s="1"/>
  <c r="J470" s="1"/>
  <c r="G469"/>
  <c r="R61"/>
  <c r="AH6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G473"/>
  <c r="F473"/>
  <c r="G465"/>
  <c r="F465"/>
  <c r="I466" s="1"/>
  <c r="J466" s="1"/>
  <c r="G38"/>
  <c r="G424" s="1"/>
  <c r="D22"/>
  <c r="C373"/>
  <c r="D531"/>
  <c r="N61"/>
  <c r="V61"/>
  <c r="AD61"/>
  <c r="I536"/>
  <c r="J44"/>
  <c r="J430" s="1"/>
  <c r="D28"/>
  <c r="P37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I482" l="1"/>
  <c r="J482" s="1"/>
  <c r="K484" s="1"/>
  <c r="I510"/>
  <c r="J510" s="1"/>
  <c r="K512" s="1"/>
  <c r="W431"/>
  <c r="W449" s="1"/>
  <c r="W429"/>
  <c r="W447" s="1"/>
  <c r="I474"/>
  <c r="J474" s="1"/>
  <c r="K474" s="1"/>
  <c r="I460"/>
  <c r="J460" s="1"/>
  <c r="K462" s="1"/>
  <c r="W432"/>
  <c r="W450" s="1"/>
  <c r="W430"/>
  <c r="W448" s="1"/>
  <c r="W423"/>
  <c r="W441" s="1"/>
  <c r="W426"/>
  <c r="W444" s="1"/>
  <c r="W425"/>
  <c r="W443" s="1"/>
  <c r="I492"/>
  <c r="J492" s="1"/>
  <c r="K492" s="1"/>
  <c r="W428"/>
  <c r="W446" s="1"/>
  <c r="W424"/>
  <c r="W442" s="1"/>
  <c r="J431"/>
  <c r="AI423"/>
  <c r="AI441" s="1"/>
  <c r="AI425"/>
  <c r="AI443" s="1"/>
  <c r="AI427"/>
  <c r="AI445" s="1"/>
  <c r="AI429"/>
  <c r="AI447" s="1"/>
  <c r="AI431"/>
  <c r="AI449" s="1"/>
  <c r="AI426"/>
  <c r="AI444" s="1"/>
  <c r="AI428"/>
  <c r="AI446" s="1"/>
  <c r="AI432"/>
  <c r="AI450" s="1"/>
  <c r="AI424"/>
  <c r="AI442" s="1"/>
  <c r="AI430"/>
  <c r="AI448" s="1"/>
  <c r="R425"/>
  <c r="R443" s="1"/>
  <c r="R429"/>
  <c r="R447" s="1"/>
  <c r="R424"/>
  <c r="R442" s="1"/>
  <c r="R426"/>
  <c r="R444" s="1"/>
  <c r="R428"/>
  <c r="R446" s="1"/>
  <c r="R430"/>
  <c r="R448" s="1"/>
  <c r="R432"/>
  <c r="R450" s="1"/>
  <c r="R423"/>
  <c r="R441" s="1"/>
  <c r="R427"/>
  <c r="R445" s="1"/>
  <c r="R431"/>
  <c r="R449" s="1"/>
  <c r="V427"/>
  <c r="V445" s="1"/>
  <c r="V431"/>
  <c r="V449" s="1"/>
  <c r="V424"/>
  <c r="V442" s="1"/>
  <c r="V426"/>
  <c r="V444" s="1"/>
  <c r="V428"/>
  <c r="V446" s="1"/>
  <c r="V430"/>
  <c r="V448" s="1"/>
  <c r="V432"/>
  <c r="V450" s="1"/>
  <c r="V423"/>
  <c r="V441" s="1"/>
  <c r="V425"/>
  <c r="V443" s="1"/>
  <c r="V429"/>
  <c r="V447" s="1"/>
  <c r="P428"/>
  <c r="P446" s="1"/>
  <c r="P432"/>
  <c r="P450" s="1"/>
  <c r="P423"/>
  <c r="P425"/>
  <c r="P443" s="1"/>
  <c r="P427"/>
  <c r="P445" s="1"/>
  <c r="P429"/>
  <c r="P447" s="1"/>
  <c r="P431"/>
  <c r="P449" s="1"/>
  <c r="P424"/>
  <c r="P442" s="1"/>
  <c r="P426"/>
  <c r="P444" s="1"/>
  <c r="P430"/>
  <c r="P448" s="1"/>
  <c r="AF424"/>
  <c r="AF442" s="1"/>
  <c r="AF428"/>
  <c r="AF446" s="1"/>
  <c r="AF432"/>
  <c r="AF450" s="1"/>
  <c r="AF423"/>
  <c r="AF441" s="1"/>
  <c r="AF425"/>
  <c r="AF443" s="1"/>
  <c r="AF427"/>
  <c r="AF445" s="1"/>
  <c r="AF429"/>
  <c r="AF447" s="1"/>
  <c r="AF431"/>
  <c r="AF449" s="1"/>
  <c r="AF426"/>
  <c r="AF444" s="1"/>
  <c r="AF430"/>
  <c r="AF448" s="1"/>
  <c r="I504"/>
  <c r="J504" s="1"/>
  <c r="K504" s="1"/>
  <c r="J429"/>
  <c r="J447" s="1"/>
  <c r="X428"/>
  <c r="X446" s="1"/>
  <c r="X432"/>
  <c r="X450" s="1"/>
  <c r="X423"/>
  <c r="X441" s="1"/>
  <c r="X425"/>
  <c r="X443" s="1"/>
  <c r="X427"/>
  <c r="X445" s="1"/>
  <c r="X429"/>
  <c r="X447" s="1"/>
  <c r="X431"/>
  <c r="X449" s="1"/>
  <c r="X424"/>
  <c r="X442" s="1"/>
  <c r="X426"/>
  <c r="X444" s="1"/>
  <c r="X430"/>
  <c r="X448" s="1"/>
  <c r="AG424"/>
  <c r="AG442" s="1"/>
  <c r="AG426"/>
  <c r="AG444" s="1"/>
  <c r="AG428"/>
  <c r="AG446" s="1"/>
  <c r="AG430"/>
  <c r="AG448" s="1"/>
  <c r="AG432"/>
  <c r="AG450" s="1"/>
  <c r="AG425"/>
  <c r="AG443" s="1"/>
  <c r="AG427"/>
  <c r="AG445" s="1"/>
  <c r="AG431"/>
  <c r="AG449" s="1"/>
  <c r="AG423"/>
  <c r="AG441" s="1"/>
  <c r="AG429"/>
  <c r="AG447" s="1"/>
  <c r="AA423"/>
  <c r="AA441" s="1"/>
  <c r="AA425"/>
  <c r="AA443" s="1"/>
  <c r="AA427"/>
  <c r="AA445" s="1"/>
  <c r="AA429"/>
  <c r="AA447" s="1"/>
  <c r="AA431"/>
  <c r="AA449" s="1"/>
  <c r="AA426"/>
  <c r="AA444" s="1"/>
  <c r="AA428"/>
  <c r="AA446" s="1"/>
  <c r="AA432"/>
  <c r="AA450" s="1"/>
  <c r="AA424"/>
  <c r="AA442" s="1"/>
  <c r="AA430"/>
  <c r="AA448" s="1"/>
  <c r="Q424"/>
  <c r="Q442" s="1"/>
  <c r="Q426"/>
  <c r="Q444" s="1"/>
  <c r="Q428"/>
  <c r="Q446" s="1"/>
  <c r="Q430"/>
  <c r="Q448" s="1"/>
  <c r="Q432"/>
  <c r="Q450" s="1"/>
  <c r="Q425"/>
  <c r="Q443" s="1"/>
  <c r="Q431"/>
  <c r="Q449" s="1"/>
  <c r="Q423"/>
  <c r="Q441" s="1"/>
  <c r="Q427"/>
  <c r="Q445" s="1"/>
  <c r="Q429"/>
  <c r="Q447" s="1"/>
  <c r="FU108"/>
  <c r="FU153"/>
  <c r="Y11"/>
  <c r="AD9"/>
  <c r="Z9"/>
  <c r="X11"/>
  <c r="FU88"/>
  <c r="FU154"/>
  <c r="AD13"/>
  <c r="DG229"/>
  <c r="DG234"/>
  <c r="FU98"/>
  <c r="AC5" s="1"/>
  <c r="FU168"/>
  <c r="FU148"/>
  <c r="FU116"/>
  <c r="DG232"/>
  <c r="DG230"/>
  <c r="FU128"/>
  <c r="AD8" s="1"/>
  <c r="DG226"/>
  <c r="DG233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514"/>
  <c r="K502"/>
  <c r="D375"/>
  <c r="E375" s="1"/>
  <c r="D32"/>
  <c r="AN15" s="1"/>
  <c r="D45"/>
  <c r="E45" s="1"/>
  <c r="FU175"/>
  <c r="AD11"/>
  <c r="AC11"/>
  <c r="K472"/>
  <c r="G445"/>
  <c r="K498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96"/>
  <c r="K490"/>
  <c r="K478"/>
  <c r="K480"/>
  <c r="K468"/>
  <c r="K500"/>
  <c r="K494" l="1"/>
  <c r="K482"/>
  <c r="K476"/>
  <c r="K510"/>
  <c r="C431"/>
  <c r="J449"/>
  <c r="C449" s="1"/>
  <c r="F394"/>
  <c r="F380" s="1"/>
  <c r="E58" s="1"/>
  <c r="U58" s="1"/>
  <c r="C429"/>
  <c r="AE8"/>
  <c r="AF8" s="1"/>
  <c r="C427"/>
  <c r="C447"/>
  <c r="K506"/>
  <c r="C445"/>
  <c r="F395"/>
  <c r="F381" s="1"/>
  <c r="E59" s="1"/>
  <c r="X59" s="1"/>
  <c r="F390"/>
  <c r="F376" s="1"/>
  <c r="E54" s="1"/>
  <c r="N54" s="1"/>
  <c r="AC6"/>
  <c r="AE6"/>
  <c r="AD6"/>
  <c r="AE7"/>
  <c r="DH230"/>
  <c r="AA11"/>
  <c r="DH232"/>
  <c r="AC4"/>
  <c r="DH229"/>
  <c r="AA9"/>
  <c r="AE5"/>
  <c r="AD5"/>
  <c r="AE10"/>
  <c r="AF9"/>
  <c r="DH234"/>
  <c r="AC8"/>
  <c r="AA13"/>
  <c r="AF13"/>
  <c r="AC12"/>
  <c r="DH226"/>
  <c r="DH233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K58" l="1"/>
  <c r="I58"/>
  <c r="AG58"/>
  <c r="AC58"/>
  <c r="AK58"/>
  <c r="AB58"/>
  <c r="Q58"/>
  <c r="T59"/>
  <c r="S59"/>
  <c r="AH59"/>
  <c r="X54"/>
  <c r="T54"/>
  <c r="X58"/>
  <c r="AD59"/>
  <c r="J54"/>
  <c r="AI58"/>
  <c r="S54"/>
  <c r="Y59"/>
  <c r="AI59"/>
  <c r="AJ59"/>
  <c r="AB54"/>
  <c r="J58"/>
  <c r="M54"/>
  <c r="AH58"/>
  <c r="S58"/>
  <c r="AK59"/>
  <c r="Q59"/>
  <c r="AE59"/>
  <c r="AF59"/>
  <c r="V59"/>
  <c r="Z59"/>
  <c r="O59"/>
  <c r="P59"/>
  <c r="AI54"/>
  <c r="R58"/>
  <c r="AA58"/>
  <c r="Z54"/>
  <c r="L58"/>
  <c r="N58"/>
  <c r="AG59"/>
  <c r="AC59"/>
  <c r="W59"/>
  <c r="G59"/>
  <c r="H59"/>
  <c r="U59"/>
  <c r="N59"/>
  <c r="I59"/>
  <c r="R59"/>
  <c r="AA59"/>
  <c r="K59"/>
  <c r="AB59"/>
  <c r="L59"/>
  <c r="T58"/>
  <c r="O58"/>
  <c r="P58"/>
  <c r="G58"/>
  <c r="V58"/>
  <c r="W58"/>
  <c r="H58"/>
  <c r="M59"/>
  <c r="J59"/>
  <c r="AJ58"/>
  <c r="AF58"/>
  <c r="AD58"/>
  <c r="AE58"/>
  <c r="Y58"/>
  <c r="M58"/>
  <c r="Z58"/>
  <c r="L54"/>
  <c r="H54"/>
  <c r="AK54"/>
  <c r="AG54"/>
  <c r="AC54"/>
  <c r="AH54"/>
  <c r="Y54"/>
  <c r="R54"/>
  <c r="AJ54"/>
  <c r="AA54"/>
  <c r="W54"/>
  <c r="AF54"/>
  <c r="K54"/>
  <c r="AD54"/>
  <c r="AE54"/>
  <c r="Q54"/>
  <c r="O54"/>
  <c r="I54"/>
  <c r="G54"/>
  <c r="V54"/>
  <c r="P54"/>
  <c r="U54"/>
  <c r="AF6"/>
  <c r="AF7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8" l="1"/>
  <c r="D59"/>
  <c r="D54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<sst xmlns="http://schemas.openxmlformats.org/spreadsheetml/2006/main" count="1028" uniqueCount="150">
  <si>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</si>
  <si>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</si>
  <si>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</si>
  <si>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</si>
  <si>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</si>
  <si>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</si>
  <si>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</si>
  <si>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</si>
  <si>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</si>
  <si>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</si>
  <si>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</si>
  <si>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</si>
  <si>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</si>
  <si>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</si>
  <si>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</si>
  <si>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</si>
  <si>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</si>
  <si>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</si>
  <si>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</si>
  <si>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</si>
  <si>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</si>
  <si>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</si>
  <si>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</si>
  <si>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</si>
  <si>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</si>
  <si>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</si>
  <si>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</si>
  <si>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</si>
  <si>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</si>
  <si>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</si>
  <si>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</si>
  <si>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</si>
  <si>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</si>
  <si>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</si>
  <si>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</si>
  <si>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</si>
  <si>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</si>
  <si>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</si>
  <si>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</si>
  <si>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</si>
  <si>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</si>
  <si>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</si>
  <si>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</si>
  <si>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</si>
  <si>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</si>
  <si>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</si>
  <si>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</si>
  <si>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</si>
  <si>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</si>
  <si>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</si>
  <si>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</si>
  <si>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</si>
  <si>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</si>
  <si>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</si>
  <si>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</si>
  <si>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</si>
  <si>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</si>
  <si>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</si>
  <si>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</si>
  <si>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</si>
  <si>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</si>
  <si>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</si>
  <si>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</si>
  <si>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</si>
  <si>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</si>
  <si>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</si>
  <si>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</si>
  <si>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</si>
  <si>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</si>
  <si>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</si>
  <si>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</si>
  <si>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</si>
  <si>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</si>
  <si>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</si>
  <si>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</si>
  <si>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</si>
  <si>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</si>
  <si>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</si>
  <si>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</si>
  <si>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</si>
  <si>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</si>
  <si>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</si>
  <si>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</si>
  <si>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</si>
  <si>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</si>
  <si>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</si>
  <si>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</si>
  <si>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</si>
  <si>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</si>
  <si>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</si>
  <si>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</si>
  <si>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</si>
  <si>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</si>
  <si>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</si>
  <si>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</si>
  <si>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</si>
  <si>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</si>
  <si>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</si>
  <si>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</si>
  <si>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</si>
  <si>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</si>
  <si>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</si>
  <si>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</si>
  <si>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</si>
  <si>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</si>
  <si>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</si>
  <si>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</si>
  <si>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</si>
  <si>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</si>
  <si>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</si>
  <si>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</si>
  <si>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</si>
  <si>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</si>
  <si>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</si>
  <si>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</si>
  <si>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</si>
  <si>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</si>
  <si>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</si>
  <si>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</si>
  <si>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</si>
  <si>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</si>
  <si>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</si>
  <si>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</si>
  <si>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</si>
  <si>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</si>
  <si>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</si>
  <si>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</si>
  <si>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</si>
  <si>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</si>
  <si>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</si>
  <si>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</si>
  <si>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</si>
  <si>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</si>
  <si>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</si>
  <si>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</si>
  <si>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</si>
  <si>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</si>
  <si>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</si>
  <si>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</si>
  <si>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</si>
  <si>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</si>
  <si>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</si>
  <si>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</si>
  <si>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Hydropsychidae</t>
  </si>
  <si>
    <t>Inerval Growth Boot</t>
  </si>
  <si>
    <t>Boot</t>
  </si>
  <si>
    <t>Interval Growth Variation</t>
  </si>
  <si>
    <t>Avg. Boot</t>
  </si>
  <si>
    <t>Upper 95% CI</t>
  </si>
  <si>
    <t>Lower 95% CI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</si>
</sst>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2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2" borderId="13" xfId="0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D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76" width="8.85546875" style="8"/>
    <col min="177" max="177" width="15.140625" style="8" customWidth="1"/>
    <col min="178" max="16384" width="8.85546875" style="8"/>
  </cols>
  <sheetData>
    <row r="1" spans="1:196" s="7" customFormat="1">
      <c r="A1" s="181" t="s">
        <v>143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7"/>
      <c r="FY2" s="207"/>
      <c r="FZ2" s="207"/>
      <c r="GA2" s="207"/>
      <c r="GB2" s="207"/>
      <c r="GC2" s="218" t="s">
        <v>144</v>
      </c>
      <c r="GD2" s="218"/>
      <c r="GE2" s="218"/>
      <c r="GF2" s="218"/>
      <c r="GG2" s="218"/>
      <c r="GH2" s="218"/>
      <c r="GI2" s="218"/>
      <c r="GJ2" s="207"/>
      <c r="GK2" s="207"/>
      <c r="GL2" s="207"/>
      <c r="GM2" s="207"/>
      <c r="GN2" s="207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7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07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9.9351102941176457</v>
      </c>
      <c r="N4" s="130">
        <v>31.097395367087678</v>
      </c>
      <c r="O4" s="130">
        <v>556.83899905447697</v>
      </c>
      <c r="P4" s="130">
        <v>56.966616074079667</v>
      </c>
      <c r="Q4" s="130">
        <v>28.304339696725947</v>
      </c>
      <c r="R4" s="130">
        <v>149.77414637184302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1.0416666666666665</v>
      </c>
      <c r="Y4" s="131">
        <f>COUNT(EK88:EK97)</f>
        <v>10</v>
      </c>
      <c r="Z4" s="130">
        <f>STDEV(EK88:EK97)</f>
        <v>3.2940392293420615</v>
      </c>
      <c r="AA4" s="130">
        <f>Z4/SQRT(Y4)</f>
        <v>1.0416666666666665</v>
      </c>
      <c r="AB4" s="131"/>
      <c r="AC4" s="130">
        <f>AVERAGE($FU88:$FU97)</f>
        <v>0.74756598621743597</v>
      </c>
      <c r="AD4" s="132">
        <f>COUNT($FU88:$FU97)</f>
        <v>10</v>
      </c>
      <c r="AE4" s="130">
        <f>STDEV($FU88:$FU97)</f>
        <v>2.3640112177171404</v>
      </c>
      <c r="AF4" s="130">
        <f>AE4/SQRT(AD4)</f>
        <v>0.74756598621743597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19" t="s">
        <v>146</v>
      </c>
      <c r="FK4" s="219"/>
      <c r="FL4" s="219"/>
      <c r="FM4" s="219"/>
      <c r="FN4" s="5"/>
      <c r="FO4" s="5"/>
      <c r="FX4" s="207"/>
      <c r="FY4" s="209" t="s">
        <v>145</v>
      </c>
      <c r="FZ4" s="210">
        <f>C4</f>
        <v>39646</v>
      </c>
      <c r="GA4" s="210">
        <f>C5</f>
        <v>39673</v>
      </c>
      <c r="GB4" s="210">
        <f>C6</f>
        <v>39714</v>
      </c>
      <c r="GC4" s="210">
        <f>C7</f>
        <v>39747</v>
      </c>
      <c r="GD4" s="210">
        <f>C8</f>
        <v>39775</v>
      </c>
      <c r="GE4" s="210">
        <f>C9</f>
        <v>39799</v>
      </c>
      <c r="GF4" s="210">
        <f>C10</f>
        <v>39847</v>
      </c>
      <c r="GG4" s="210">
        <f>C11</f>
        <v>39910</v>
      </c>
      <c r="GH4" s="210">
        <f>C12</f>
        <v>39949</v>
      </c>
      <c r="GI4" s="210">
        <f>C13</f>
        <v>39987</v>
      </c>
      <c r="GJ4" s="211"/>
      <c r="GK4" s="211"/>
      <c r="GL4" s="211"/>
      <c r="GM4" s="211"/>
      <c r="GN4" s="207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9.9207507965686208</v>
      </c>
      <c r="N5" s="130">
        <f t="shared" si="1"/>
        <v>31.045951383963281</v>
      </c>
      <c r="O5" s="130">
        <f t="shared" si="1"/>
        <v>603.02569791783344</v>
      </c>
      <c r="P5" s="130">
        <f t="shared" si="1"/>
        <v>56.944454306811068</v>
      </c>
      <c r="Q5" s="130">
        <f t="shared" si="1"/>
        <v>28.257810301244838</v>
      </c>
      <c r="R5" s="130">
        <f t="shared" si="1"/>
        <v>170.43746961221888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23.52941176470588</v>
      </c>
      <c r="Y5" s="131">
        <f>COUNT(EK98:EK107)</f>
        <v>10</v>
      </c>
      <c r="Z5" s="130">
        <f>STDEV(EK98:EK107)</f>
        <v>67.405179166577113</v>
      </c>
      <c r="AA5" s="130">
        <f t="shared" ref="AA5:AA13" si="2">Z5/SQRT(Y5)</f>
        <v>21.315389225811384</v>
      </c>
      <c r="AB5" s="131"/>
      <c r="AC5" s="130">
        <f>AVERAGE($FU98:$FU107)</f>
        <v>1.8250137947447542</v>
      </c>
      <c r="AD5" s="132">
        <f>COUNT($FU98:$FU107)</f>
        <v>10</v>
      </c>
      <c r="AE5" s="130">
        <f>STDEV($FU98:$FU107)</f>
        <v>4.6903081508343041</v>
      </c>
      <c r="AF5" s="130">
        <f t="shared" ref="AF5:AF13" si="3">AE5/SQRT(AD5)</f>
        <v>1.4832056684688981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7"/>
      <c r="FY5" s="207"/>
      <c r="FZ5" s="207"/>
      <c r="GA5" s="207"/>
      <c r="GB5" s="207"/>
      <c r="GC5" s="207"/>
      <c r="GD5" s="207"/>
      <c r="GE5" s="207"/>
      <c r="GF5" s="207"/>
      <c r="GG5" s="207"/>
      <c r="GH5" s="207"/>
      <c r="GI5" s="207"/>
      <c r="GJ5" s="207"/>
      <c r="GK5" s="207"/>
      <c r="GL5" s="207"/>
      <c r="GM5" s="207"/>
      <c r="GN5" s="207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15.897375919117644</v>
      </c>
      <c r="N6" s="130">
        <f t="shared" si="4"/>
        <v>49.819080474799698</v>
      </c>
      <c r="O6" s="130">
        <f t="shared" si="4"/>
        <v>1194.0371357366184</v>
      </c>
      <c r="P6" s="130">
        <f t="shared" si="4"/>
        <v>79.950148096379678</v>
      </c>
      <c r="Q6" s="130">
        <f t="shared" si="4"/>
        <v>45.357184196307877</v>
      </c>
      <c r="R6" s="130">
        <f t="shared" si="4"/>
        <v>298.46774981334636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16.666666666666664</v>
      </c>
      <c r="Y6" s="131">
        <f>COUNT(EK108:EK117)</f>
        <v>10</v>
      </c>
      <c r="Z6" s="130">
        <f>STDEV(EK108:EK117)</f>
        <v>19.144512155680861</v>
      </c>
      <c r="AA6" s="130">
        <f t="shared" si="2"/>
        <v>6.0540263104731569</v>
      </c>
      <c r="AB6" s="131"/>
      <c r="AC6" s="130">
        <f>AVERAGE($FU108:$FU117)</f>
        <v>34.382636010271817</v>
      </c>
      <c r="AD6" s="132">
        <f>COUNT($FU108:$FU117)</f>
        <v>10</v>
      </c>
      <c r="AE6" s="130">
        <f>STDEV($FU108:$FU117)</f>
        <v>40.725431412501578</v>
      </c>
      <c r="AF6" s="130">
        <f t="shared" si="3"/>
        <v>12.87851219564733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0" t="s">
        <v>147</v>
      </c>
      <c r="FJ6" s="220"/>
      <c r="FK6" s="221" t="s">
        <v>148</v>
      </c>
      <c r="FL6" s="221"/>
      <c r="FM6" s="221" t="s">
        <v>149</v>
      </c>
      <c r="FN6" s="221"/>
      <c r="FO6" s="5"/>
      <c r="FY6" s="212">
        <v>1</v>
      </c>
      <c r="FZ6">
        <v>0.70373625451912492</v>
      </c>
      <c r="GA6">
        <v>31.679846311188371</v>
      </c>
      <c r="GB6">
        <v>20.381305186507404</v>
      </c>
      <c r="GC6">
        <v>5.2448174607436293</v>
      </c>
      <c r="GD6">
        <v>1.6279399127694352</v>
      </c>
      <c r="GE6">
        <v>0</v>
      </c>
      <c r="GF6">
        <v>0.80138167652982462</v>
      </c>
      <c r="GG6">
        <v>3.5759117604405652</v>
      </c>
      <c r="GH6">
        <v>1.6229601285312325</v>
      </c>
      <c r="GI6">
        <v>10.058065171324548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5.3257812500000004</v>
      </c>
      <c r="N7" s="130">
        <f t="shared" si="5"/>
        <v>15.38126193316644</v>
      </c>
      <c r="O7" s="130">
        <f t="shared" si="5"/>
        <v>182.01952909402479</v>
      </c>
      <c r="P7" s="130">
        <f t="shared" si="5"/>
        <v>34.208996759011448</v>
      </c>
      <c r="Q7" s="130">
        <f t="shared" si="5"/>
        <v>14.083207196485011</v>
      </c>
      <c r="R7" s="130">
        <f t="shared" si="5"/>
        <v>91.87272912084002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21.022727272727273</v>
      </c>
      <c r="Y7" s="131">
        <f>COUNT(EK118:EK127)</f>
        <v>10</v>
      </c>
      <c r="Z7" s="130">
        <f>STDEV(EK118:EK127)</f>
        <v>27.823653577453165</v>
      </c>
      <c r="AA7" s="130">
        <f t="shared" si="2"/>
        <v>8.7986118132244151</v>
      </c>
      <c r="AB7" s="131"/>
      <c r="AC7" s="130">
        <f>AVERAGE($FU118:$FU127)</f>
        <v>82.315507161972704</v>
      </c>
      <c r="AD7" s="132">
        <f>COUNT($FU118:$FU127)</f>
        <v>10</v>
      </c>
      <c r="AE7" s="130">
        <f>STDEV($FU118:$FU127)</f>
        <v>151.91020443721141</v>
      </c>
      <c r="AF7" s="130">
        <f t="shared" si="3"/>
        <v>48.038224584340497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15">
        <f>AVERAGE(FZ6:FZ1005)</f>
        <v>1.2655805294972651</v>
      </c>
      <c r="FJ7" s="215"/>
      <c r="FK7" s="215">
        <f>PERCENTILE($FZ$6:$FZ$1005,0.975)</f>
        <v>2.9293961851966372</v>
      </c>
      <c r="FL7" s="215"/>
      <c r="FM7" s="215">
        <f>PERCENTILE($FZ$6:$FZ$1005,0.025)</f>
        <v>0</v>
      </c>
      <c r="FN7" s="215"/>
      <c r="FO7" s="5"/>
      <c r="FY7" s="212">
        <v>2</v>
      </c>
      <c r="FZ7">
        <v>0.36192247308739012</v>
      </c>
      <c r="GA7">
        <v>21.199405197188696</v>
      </c>
      <c r="GB7">
        <v>16.655645029365161</v>
      </c>
      <c r="GC7">
        <v>4.6703253202233963</v>
      </c>
      <c r="GD7">
        <v>1.3404795581675732</v>
      </c>
      <c r="GE7">
        <v>0.71895619221013829</v>
      </c>
      <c r="GF7">
        <v>0.80138167652982462</v>
      </c>
      <c r="GG7">
        <v>3.5759117604405652</v>
      </c>
      <c r="GH7">
        <v>1.6229601285312325</v>
      </c>
      <c r="GI7">
        <v>8.1500054172416725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18.844696969696965</v>
      </c>
      <c r="Y8" s="131">
        <f>COUNT(EK128:EK137)</f>
        <v>10</v>
      </c>
      <c r="Z8" s="130">
        <f>STDEV(EK128:EK137)</f>
        <v>32.941753438533631</v>
      </c>
      <c r="AA8" s="130">
        <f t="shared" si="2"/>
        <v>10.417097098544978</v>
      </c>
      <c r="AB8" s="131"/>
      <c r="AC8" s="130">
        <f>AVERAGE($FU128:$FU137)</f>
        <v>69.644188095619086</v>
      </c>
      <c r="AD8" s="132">
        <f>COUNT($FU128:$FU137)</f>
        <v>10</v>
      </c>
      <c r="AE8" s="130">
        <f>STDEV($FU128:$FU137)</f>
        <v>159.58384174360776</v>
      </c>
      <c r="AF8" s="130">
        <f t="shared" si="3"/>
        <v>50.464841766965684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15">
        <f>AVERAGE(GA6:GA1005)</f>
        <v>17.58542229909871</v>
      </c>
      <c r="FJ8" s="215"/>
      <c r="FK8" s="215">
        <f>PERCENTILE($GA$6:$GA$1005,0.975)</f>
        <v>28.302308958786874</v>
      </c>
      <c r="FL8" s="215"/>
      <c r="FM8" s="215">
        <f>PERCENTILE($GA$6:$GA$1005,0.025)</f>
        <v>6.9868433551140914</v>
      </c>
      <c r="FN8" s="215"/>
      <c r="FO8" s="5"/>
      <c r="FY8" s="212">
        <v>3</v>
      </c>
      <c r="FZ8">
        <v>1.10256564173008</v>
      </c>
      <c r="GA8">
        <v>20.145547746315778</v>
      </c>
      <c r="GB8">
        <v>20.598541115871559</v>
      </c>
      <c r="GC8">
        <v>6.0460952536306793</v>
      </c>
      <c r="GD8">
        <v>0.73026537316685713</v>
      </c>
      <c r="GE8">
        <v>0.71895619221013829</v>
      </c>
      <c r="GF8">
        <v>1.6027633530596492</v>
      </c>
      <c r="GG8">
        <v>6.8984058910480091</v>
      </c>
      <c r="GH8">
        <v>1.6229601285312325</v>
      </c>
      <c r="GI8">
        <v>11.329420488221375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3.125</v>
      </c>
      <c r="Y9" s="131">
        <f>COUNT(EK138:EK147)</f>
        <v>10</v>
      </c>
      <c r="Z9" s="130">
        <f>STDEV(EK138:EK147)</f>
        <v>5.031728036871332</v>
      </c>
      <c r="AA9" s="130">
        <f t="shared" si="2"/>
        <v>1.5911721163041108</v>
      </c>
      <c r="AB9" s="131"/>
      <c r="AC9" s="130">
        <f>AVERAGE($FU138:$FU147)</f>
        <v>38.031330795804678</v>
      </c>
      <c r="AD9" s="132">
        <f>COUNT($FU138:$FU147)</f>
        <v>10</v>
      </c>
      <c r="AE9" s="130">
        <f>STDEV($FU138:$FU147)</f>
        <v>81.678723242106216</v>
      </c>
      <c r="AF9" s="130">
        <f t="shared" si="3"/>
        <v>25.829080181958826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15">
        <f>AVERAGE(GB6:GB1005)</f>
        <v>15.086169681297232</v>
      </c>
      <c r="FJ9" s="215"/>
      <c r="FK9" s="215">
        <f>PERCENTILE($GB$6:$GB$1005,0.975)</f>
        <v>23.746785515548389</v>
      </c>
      <c r="FL9" s="215"/>
      <c r="FM9" s="215">
        <f>PERCENTILE($GB$6:$GB$1005,0.025)</f>
        <v>7.4973903888017084</v>
      </c>
      <c r="FN9" s="215"/>
      <c r="FO9" s="5"/>
      <c r="FY9" s="212">
        <v>4</v>
      </c>
      <c r="FZ9">
        <v>1.8063018962492046</v>
      </c>
      <c r="GA9">
        <v>23.096074704528274</v>
      </c>
      <c r="GB9">
        <v>12.69166772231296</v>
      </c>
      <c r="GC9">
        <v>2.7346781308860018</v>
      </c>
      <c r="GD9">
        <v>0.85881749004365926</v>
      </c>
      <c r="GE9">
        <v>0</v>
      </c>
      <c r="GF9">
        <v>0</v>
      </c>
      <c r="GG9">
        <v>1.6632147722979369</v>
      </c>
      <c r="GH9">
        <v>3.245920257062465</v>
      </c>
      <c r="GI9">
        <v>8.4241852021026897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0</v>
      </c>
      <c r="Y10" s="131">
        <f>COUNT(EK148:EK157)</f>
        <v>10</v>
      </c>
      <c r="Z10" s="130">
        <f>STDEV(EK148:EK157)</f>
        <v>0</v>
      </c>
      <c r="AA10" s="130">
        <f t="shared" si="2"/>
        <v>0</v>
      </c>
      <c r="AB10" s="131"/>
      <c r="AC10" s="130">
        <f>AVERAGE($FU148:$FU157)</f>
        <v>0</v>
      </c>
      <c r="AD10" s="132">
        <f>COUNT($FU148:$FU157)</f>
        <v>10</v>
      </c>
      <c r="AE10" s="130">
        <f>STDEV($FU148:$FU157)</f>
        <v>0</v>
      </c>
      <c r="AF10" s="130">
        <f t="shared" si="3"/>
        <v>0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15">
        <f>AVERAGE(GC6:GC1005)</f>
        <v>4.9214733464386438</v>
      </c>
      <c r="FJ10" s="215"/>
      <c r="FK10" s="215">
        <f>PERCENTILE($GC$6:$GC$1005,0.975)</f>
        <v>8.3817388667731407</v>
      </c>
      <c r="FL10" s="215"/>
      <c r="FM10" s="215">
        <f>PERCENTILE($GC$6:$GC$1005,0.025)</f>
        <v>1.8773105962124308</v>
      </c>
      <c r="FN10" s="215"/>
      <c r="FO10" s="5"/>
      <c r="FY10" s="212">
        <v>5</v>
      </c>
      <c r="FZ10">
        <v>0.91155005935855693</v>
      </c>
      <c r="GA10">
        <v>14.979013239158444</v>
      </c>
      <c r="GB10">
        <v>12.523471603209115</v>
      </c>
      <c r="GC10">
        <v>3.7652227358250525</v>
      </c>
      <c r="GD10">
        <v>0.7405386796555542</v>
      </c>
      <c r="GE10">
        <v>0.35947809610506914</v>
      </c>
      <c r="GF10">
        <v>1.6027633530596492</v>
      </c>
      <c r="GG10">
        <v>8.8150382931790681</v>
      </c>
      <c r="GH10">
        <v>6.49184051412493</v>
      </c>
      <c r="GI10">
        <v>7.7833729613288956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5.520833333333333</v>
      </c>
      <c r="Y11" s="131">
        <f>COUNT(EK158:EK167)</f>
        <v>10</v>
      </c>
      <c r="Z11" s="130">
        <f>STDEV(EK158:EK167)</f>
        <v>12.068657275187077</v>
      </c>
      <c r="AA11" s="130">
        <f t="shared" si="2"/>
        <v>3.8164445289552673</v>
      </c>
      <c r="AB11" s="131"/>
      <c r="AC11" s="130">
        <f>AVERAGE($FU158:$FU167)</f>
        <v>49.46084872940574</v>
      </c>
      <c r="AD11" s="132">
        <f>COUNT($FU158:$FU167)</f>
        <v>10</v>
      </c>
      <c r="AE11" s="130">
        <f>STDEV($FU158:$FU167)</f>
        <v>105.12294208574404</v>
      </c>
      <c r="AF11" s="130">
        <f t="shared" si="3"/>
        <v>33.242793132892267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15">
        <f>AVERAGE(GD5:GD1005)</f>
        <v>1.0678710280386692</v>
      </c>
      <c r="FJ11" s="215"/>
      <c r="FK11" s="215">
        <f>PERCENTILE($GD$6:$GD$1005,0.975)</f>
        <v>1.9974987914289077</v>
      </c>
      <c r="FL11" s="215"/>
      <c r="FM11" s="215">
        <f>PERCENTILE($GD$6:$GD$1005,0.025)</f>
        <v>0.34555905312403423</v>
      </c>
      <c r="FN11" s="215"/>
      <c r="FO11" s="5"/>
      <c r="FY11" s="212">
        <v>6</v>
      </c>
      <c r="FZ11">
        <v>0.87464314523499231</v>
      </c>
      <c r="GA11">
        <v>22.25133045905406</v>
      </c>
      <c r="GB11">
        <v>24.437973458380114</v>
      </c>
      <c r="GC11">
        <v>7.7959807988548597</v>
      </c>
      <c r="GD11">
        <v>0.59994087851201927</v>
      </c>
      <c r="GE11">
        <v>0.35947809610506914</v>
      </c>
      <c r="GF11">
        <v>0.80138167652982462</v>
      </c>
      <c r="GG11">
        <v>6.1420884155370761</v>
      </c>
      <c r="GH11">
        <v>3.245920257062465</v>
      </c>
      <c r="GI11">
        <v>11.754889181948021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1.0416666666666665</v>
      </c>
      <c r="Y12" s="131">
        <f>COUNT(EK168:EK177)</f>
        <v>10</v>
      </c>
      <c r="Z12" s="130">
        <f>STDEV(EK168:EK177)</f>
        <v>3.2940392293420615</v>
      </c>
      <c r="AA12" s="130">
        <f t="shared" si="2"/>
        <v>1.0416666666666665</v>
      </c>
      <c r="AB12" s="131"/>
      <c r="AC12" s="130">
        <f>AVERAGE($FU168:$FU177)</f>
        <v>6.6363063932233057</v>
      </c>
      <c r="AD12" s="132">
        <f>COUNT($FU168:$FU177)</f>
        <v>10</v>
      </c>
      <c r="AE12" s="130">
        <f>STDEV($FU168:$FU177)</f>
        <v>20.985843453322651</v>
      </c>
      <c r="AF12" s="130">
        <f t="shared" si="3"/>
        <v>6.6363063932233048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15">
        <f>AVERAGE(GE6:GE1005)</f>
        <v>0.35372644656739033</v>
      </c>
      <c r="FJ12" s="215"/>
      <c r="FK12" s="215">
        <f>PERCENTILE($GE$6:$GE$1005,0.975)</f>
        <v>1.0784342883152076</v>
      </c>
      <c r="FL12" s="215"/>
      <c r="FM12" s="215">
        <f>PERCENTILE($GE$6:$GE$1005,0.025)</f>
        <v>0</v>
      </c>
      <c r="FN12" s="215"/>
      <c r="FO12" s="5"/>
      <c r="FY12" s="212">
        <v>7</v>
      </c>
      <c r="FZ12">
        <v>0.3418137814317348</v>
      </c>
      <c r="GA12">
        <v>15.078205820045504</v>
      </c>
      <c r="GB12">
        <v>13.736426526069726</v>
      </c>
      <c r="GC12">
        <v>4.1164739517215834</v>
      </c>
      <c r="GD12">
        <v>0.89069392792790225</v>
      </c>
      <c r="GE12">
        <v>0.71895619221013829</v>
      </c>
      <c r="GF12">
        <v>0.80138167652982462</v>
      </c>
      <c r="GG12">
        <v>5.5638986592212287</v>
      </c>
      <c r="GH12">
        <v>3.245920257062465</v>
      </c>
      <c r="GI12">
        <v>10.194367503831998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0</v>
      </c>
      <c r="Y13" s="131">
        <f>COUNT(EK178:EK187)</f>
        <v>10</v>
      </c>
      <c r="Z13" s="130">
        <f>STDEV(EK178:EK187)</f>
        <v>0</v>
      </c>
      <c r="AA13" s="130">
        <f t="shared" si="2"/>
        <v>0</v>
      </c>
      <c r="AB13" s="131"/>
      <c r="AC13" s="130">
        <f>AVERAGE($FU178:$FU187)</f>
        <v>0</v>
      </c>
      <c r="AD13" s="132">
        <f>COUNT($FU178:$FU187)</f>
        <v>10</v>
      </c>
      <c r="AE13" s="130">
        <f>STDEV($FU178:$FU187)</f>
        <v>0</v>
      </c>
      <c r="AF13" s="130">
        <f t="shared" si="3"/>
        <v>0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15">
        <f>AVERAGE(GF6:GF1005)</f>
        <v>0.80378582155941036</v>
      </c>
      <c r="FJ13" s="215"/>
      <c r="FK13" s="215">
        <f>PERCENTILE($GF$6:$GF$1005,0.975)</f>
        <v>2.4041450295894737</v>
      </c>
      <c r="FL13" s="215"/>
      <c r="FM13" s="215">
        <f>PERCENTILE($GF$6:$GF$1005,0.025)</f>
        <v>0</v>
      </c>
      <c r="FN13" s="215"/>
      <c r="FO13" s="5"/>
      <c r="FY13" s="212">
        <v>8</v>
      </c>
      <c r="FZ13">
        <v>0.1709068907158674</v>
      </c>
      <c r="GA13">
        <v>23.0601851862024</v>
      </c>
      <c r="GB13">
        <v>15.64897101681081</v>
      </c>
      <c r="GC13">
        <v>3.9124898511412991</v>
      </c>
      <c r="GD13">
        <v>1.0460642513744691</v>
      </c>
      <c r="GE13">
        <v>0.35947809610506914</v>
      </c>
      <c r="GF13">
        <v>1.6027633530596492</v>
      </c>
      <c r="GG13">
        <v>6.6449882612148876</v>
      </c>
      <c r="GH13">
        <v>0</v>
      </c>
      <c r="GI13">
        <v>13.061849480193642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15">
        <f>AVERAGE(GG6:GG1005)</f>
        <v>4.176336400233633</v>
      </c>
      <c r="FJ14" s="215"/>
      <c r="FK14" s="215">
        <f>PERCENTILE($GG$6:$GG$1005,0.975)</f>
        <v>10.220900021655453</v>
      </c>
      <c r="FL14" s="215"/>
      <c r="FM14" s="215">
        <f>PERCENTILE($GG$6:$GG$1005,0.025)</f>
        <v>0</v>
      </c>
      <c r="FN14" s="215"/>
      <c r="FO14" s="5"/>
      <c r="FY14" s="212">
        <v>9</v>
      </c>
      <c r="FZ14">
        <v>2.0141157010886364</v>
      </c>
      <c r="GA14">
        <v>28.14977726029052</v>
      </c>
      <c r="GB14">
        <v>18.381479219083921</v>
      </c>
      <c r="GC14">
        <v>4.4595864478939529</v>
      </c>
      <c r="GD14">
        <v>1.0876975663073556</v>
      </c>
      <c r="GE14">
        <v>0.35947809610506914</v>
      </c>
      <c r="GF14">
        <v>1.6027633530596492</v>
      </c>
      <c r="GG14">
        <v>6.0667985048990403</v>
      </c>
      <c r="GH14">
        <v>0</v>
      </c>
      <c r="GI14">
        <v>11.324499982909526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11.502512254901958</v>
      </c>
      <c r="AO15" s="163">
        <f>D48</f>
        <v>21.456990291531174</v>
      </c>
      <c r="AP15" s="163">
        <f>D63</f>
        <v>307.00377130411857</v>
      </c>
      <c r="AQ15" s="163">
        <f>C453</f>
        <v>54.326759652249443</v>
      </c>
      <c r="AR15" s="163">
        <f>G520</f>
        <v>19.540335082583681</v>
      </c>
      <c r="AS15" s="163">
        <f>I523</f>
        <v>131.70574897453838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3">
        <f t="shared" si="6"/>
        <v>39949</v>
      </c>
      <c r="FI15" s="215">
        <f>AVERAGE(GH6:GH1005)</f>
        <v>1.6830096532868881</v>
      </c>
      <c r="FJ15" s="215"/>
      <c r="FK15" s="215">
        <f>PERCENTILE($GH$6:$GH$1005,0.975)</f>
        <v>4.8688803855936991</v>
      </c>
      <c r="FL15" s="215"/>
      <c r="FM15" s="215">
        <f>PERCENTILE($GH$6:$GH$1005,0.025)</f>
        <v>0</v>
      </c>
      <c r="FN15" s="215"/>
      <c r="FO15" s="5"/>
      <c r="FY15" s="212">
        <v>10</v>
      </c>
      <c r="FZ15">
        <v>1.0824569500744246</v>
      </c>
      <c r="GA15">
        <v>14.777874796715341</v>
      </c>
      <c r="GB15">
        <v>15.823765741197711</v>
      </c>
      <c r="GC15">
        <v>5.8343069989549008</v>
      </c>
      <c r="GD15">
        <v>0.77409227843552342</v>
      </c>
      <c r="GE15">
        <v>0</v>
      </c>
      <c r="GF15">
        <v>0</v>
      </c>
      <c r="GG15">
        <v>1.6632147722979369</v>
      </c>
      <c r="GH15">
        <v>3.245920257062465</v>
      </c>
      <c r="GI15">
        <v>9.6235857716758897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15">
        <f>AVERAGE(GI6:GI1005)</f>
        <v>10.00107910079333</v>
      </c>
      <c r="FJ16" s="215"/>
      <c r="FK16" s="215">
        <f>PERCENTILE($GI$6:$GI$1005,0.975)</f>
        <v>15.196467313991937</v>
      </c>
      <c r="FL16" s="215"/>
      <c r="FM16" s="215">
        <f>PERCENTILE($GI$6:$GI$1005,0.025)</f>
        <v>5.4543200270739085</v>
      </c>
      <c r="FN16" s="215"/>
      <c r="FO16" s="5"/>
      <c r="FY16" s="212">
        <v>11</v>
      </c>
      <c r="FZ16">
        <v>1.4812863372853795</v>
      </c>
      <c r="GA16">
        <v>20.481773705554396</v>
      </c>
      <c r="GB16">
        <v>19.751318682609444</v>
      </c>
      <c r="GC16">
        <v>6.5330461193409448</v>
      </c>
      <c r="GD16">
        <v>0.79542419985548674</v>
      </c>
      <c r="GE16">
        <v>0</v>
      </c>
      <c r="GF16">
        <v>0</v>
      </c>
      <c r="GG16">
        <v>1.6632147722979369</v>
      </c>
      <c r="GH16">
        <v>3.245920257062465</v>
      </c>
      <c r="GI16">
        <v>7.8905737794384789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8.0239583333333311</v>
      </c>
      <c r="AO17">
        <v>29.632447647924039</v>
      </c>
      <c r="AP17">
        <v>388.01061480920623</v>
      </c>
      <c r="AQ17">
        <v>75.695963862554123</v>
      </c>
      <c r="AR17">
        <v>26.972569042940822</v>
      </c>
      <c r="AS17">
        <v>140.50176862338265</v>
      </c>
      <c r="AT17" t="e">
        <v>#DIV/0!</v>
      </c>
      <c r="AU17" t="e">
        <v>#DIV/0!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2">
        <v>12</v>
      </c>
      <c r="FZ17">
        <v>0.36192247308739012</v>
      </c>
      <c r="GA17">
        <v>16.972156726102828</v>
      </c>
      <c r="GB17">
        <v>17.172214416315981</v>
      </c>
      <c r="GC17">
        <v>5.5349031724050572</v>
      </c>
      <c r="GD17">
        <v>0.88865718145186279</v>
      </c>
      <c r="GE17">
        <v>0.35947809610506914</v>
      </c>
      <c r="GF17">
        <v>0.80138167652982462</v>
      </c>
      <c r="GG17">
        <v>3.5759117604405652</v>
      </c>
      <c r="GH17">
        <v>1.6229601285312325</v>
      </c>
      <c r="GI17">
        <v>9.216383062797231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6.4302083333333329</v>
      </c>
      <c r="AO18">
        <v>25.478196160145508</v>
      </c>
      <c r="AP18">
        <v>590.36769205496739</v>
      </c>
      <c r="AQ18">
        <v>59.096992752985642</v>
      </c>
      <c r="AR18">
        <v>23.195976781323985</v>
      </c>
      <c r="AS18">
        <v>116.50681249395045</v>
      </c>
      <c r="AT18" t="e">
        <v>#DIV/0!</v>
      </c>
      <c r="AU18" t="e">
        <v>#DIV/0!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2">
        <v>13</v>
      </c>
      <c r="FZ18">
        <v>2.1850225918045041</v>
      </c>
      <c r="GA18">
        <v>26.503139760456996</v>
      </c>
      <c r="GB18">
        <v>15.473892227102818</v>
      </c>
      <c r="GC18">
        <v>3.4410830227387215</v>
      </c>
      <c r="GD18">
        <v>0.85881749004365926</v>
      </c>
      <c r="GE18">
        <v>0</v>
      </c>
      <c r="GF18">
        <v>0</v>
      </c>
      <c r="GG18">
        <v>1.6632147722979369</v>
      </c>
      <c r="GH18">
        <v>3.245920257062465</v>
      </c>
      <c r="GI18">
        <v>9.2622405703321427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11.031985294117646</v>
      </c>
      <c r="AO19">
        <v>31.260939335281012</v>
      </c>
      <c r="AP19">
        <v>751.08658400057402</v>
      </c>
      <c r="AQ19">
        <v>70.795521183785368</v>
      </c>
      <c r="AR19">
        <v>28.453016031447163</v>
      </c>
      <c r="AS19">
        <v>154.60170198659117</v>
      </c>
      <c r="AT19" t="e">
        <v>#DIV/0!</v>
      </c>
      <c r="AU19" t="e">
        <v>#DIV/0!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2">
        <v>14</v>
      </c>
      <c r="FZ19">
        <v>2.0141157010886368</v>
      </c>
      <c r="GA19">
        <v>13.942927234789865</v>
      </c>
      <c r="GB19">
        <v>11.341145149816501</v>
      </c>
      <c r="GC19">
        <v>4.4140884924456421</v>
      </c>
      <c r="GD19">
        <v>1.718527813368151</v>
      </c>
      <c r="GE19">
        <v>1.0784342883152076</v>
      </c>
      <c r="GF19">
        <v>0</v>
      </c>
      <c r="GG19">
        <v>1.4097971424648157</v>
      </c>
      <c r="GH19">
        <v>1.6229601285312325</v>
      </c>
      <c r="GI19">
        <v>9.2178264530298986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8.911151960784311</v>
      </c>
      <c r="AO20">
        <v>27.578433214412978</v>
      </c>
      <c r="AP20">
        <v>328.27305592422982</v>
      </c>
      <c r="AQ20">
        <v>54.5208601754832</v>
      </c>
      <c r="AR20">
        <v>25.139263466395207</v>
      </c>
      <c r="AS20">
        <v>140.59323045705216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2">
        <v>15</v>
      </c>
      <c r="FZ20">
        <v>2.5838519790154595</v>
      </c>
      <c r="GA20">
        <v>26.588642908919763</v>
      </c>
      <c r="GB20">
        <v>14.698641166485189</v>
      </c>
      <c r="GC20">
        <v>4.2343741780588342</v>
      </c>
      <c r="GD20">
        <v>1.7319817795280947</v>
      </c>
      <c r="GE20">
        <v>0.35947809610506914</v>
      </c>
      <c r="GF20">
        <v>1.6027633530596492</v>
      </c>
      <c r="GG20">
        <v>8.5616206633459448</v>
      </c>
      <c r="GH20">
        <v>4.8688803855936991</v>
      </c>
      <c r="GI20">
        <v>12.362238893632904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21.96691176470588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7.1486928104575158</v>
      </c>
      <c r="I21" s="18">
        <f t="shared" si="9"/>
        <v>0</v>
      </c>
      <c r="J21" s="18">
        <f t="shared" si="9"/>
        <v>14.297385620915032</v>
      </c>
      <c r="K21" s="18">
        <f t="shared" si="9"/>
        <v>0</v>
      </c>
      <c r="L21" s="18">
        <f t="shared" si="9"/>
        <v>0</v>
      </c>
      <c r="M21" s="18">
        <f t="shared" si="9"/>
        <v>0.52083333333333326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7.7194852941176446</v>
      </c>
      <c r="AO21">
        <v>18.86723354200354</v>
      </c>
      <c r="AP21">
        <v>454.55359259236127</v>
      </c>
      <c r="AQ21">
        <v>57.97228953500435</v>
      </c>
      <c r="AR21">
        <v>17.152030492730493</v>
      </c>
      <c r="AS21">
        <v>101.39311085569805</v>
      </c>
      <c r="AT21" t="e">
        <v>#DIV/0!</v>
      </c>
      <c r="AU21" t="e">
        <v>#DIV/0!</v>
      </c>
      <c r="AV21"/>
      <c r="AW21"/>
      <c r="FY21" s="212">
        <v>16</v>
      </c>
      <c r="FZ21">
        <v>1.4242707315061591</v>
      </c>
      <c r="GA21">
        <v>15.505186362420922</v>
      </c>
      <c r="GB21">
        <v>10.894130029846369</v>
      </c>
      <c r="GC21">
        <v>3.6630386781858024</v>
      </c>
      <c r="GD21">
        <v>1.4008513635173074</v>
      </c>
      <c r="GE21">
        <v>0.71895619221013829</v>
      </c>
      <c r="GF21">
        <v>0</v>
      </c>
      <c r="GG21">
        <v>1.9879868987806626</v>
      </c>
      <c r="GH21">
        <v>1.6229601285312325</v>
      </c>
      <c r="GI21">
        <v>10.955745509433047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27.696078431372548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7.1486928104575158</v>
      </c>
      <c r="I22" s="18">
        <f t="shared" si="10"/>
        <v>0</v>
      </c>
      <c r="J22" s="18">
        <f t="shared" si="10"/>
        <v>14.297385620915032</v>
      </c>
      <c r="K22" s="18">
        <f t="shared" si="10"/>
        <v>0</v>
      </c>
      <c r="L22" s="18">
        <f t="shared" si="10"/>
        <v>0</v>
      </c>
      <c r="M22" s="18">
        <f t="shared" si="10"/>
        <v>0</v>
      </c>
      <c r="N22" s="18">
        <f t="shared" si="10"/>
        <v>1.5625</v>
      </c>
      <c r="O22" s="18">
        <f t="shared" si="10"/>
        <v>0</v>
      </c>
      <c r="P22" s="18">
        <f t="shared" si="10"/>
        <v>2.6041666666666665</v>
      </c>
      <c r="Q22" s="18">
        <f t="shared" si="10"/>
        <v>1.5625</v>
      </c>
      <c r="R22" s="18">
        <f t="shared" si="10"/>
        <v>0.52083333333333326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9.9093749999999989</v>
      </c>
      <c r="AO22">
        <v>38.352154261898121</v>
      </c>
      <c r="AP22">
        <v>981.12185235217294</v>
      </c>
      <c r="AQ22">
        <v>78.263626367218492</v>
      </c>
      <c r="AR22">
        <v>34.89957505564454</v>
      </c>
      <c r="AS22">
        <v>214.27867735517731</v>
      </c>
      <c r="AT22" t="e">
        <v>#DIV/0!</v>
      </c>
      <c r="AU22" t="e">
        <v>#DIV/0!</v>
      </c>
      <c r="AV22"/>
      <c r="AW22"/>
      <c r="FY22" s="212">
        <v>17</v>
      </c>
      <c r="FZ22">
        <v>2.7346501780756718</v>
      </c>
      <c r="GA22">
        <v>27.212166582947315</v>
      </c>
      <c r="GB22">
        <v>24.425822330029025</v>
      </c>
      <c r="GC22">
        <v>7.7971811090606327</v>
      </c>
      <c r="GD22">
        <v>0.95585275461653196</v>
      </c>
      <c r="GE22">
        <v>0</v>
      </c>
      <c r="GF22">
        <v>0</v>
      </c>
      <c r="GG22">
        <v>0.83160738614896845</v>
      </c>
      <c r="GH22">
        <v>1.6229601285312325</v>
      </c>
      <c r="GI22">
        <v>9.2350068534764791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15.719696969696969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0</v>
      </c>
      <c r="K23" s="18">
        <f t="shared" si="11"/>
        <v>0</v>
      </c>
      <c r="L23" s="18">
        <f t="shared" si="11"/>
        <v>1.4204545454545454</v>
      </c>
      <c r="M23" s="18">
        <f t="shared" si="11"/>
        <v>0</v>
      </c>
      <c r="N23" s="18">
        <f t="shared" si="11"/>
        <v>5.066287878787878</v>
      </c>
      <c r="O23" s="18">
        <f t="shared" si="11"/>
        <v>1.8229166666666667</v>
      </c>
      <c r="P23" s="18">
        <f t="shared" si="11"/>
        <v>3.90625</v>
      </c>
      <c r="Q23" s="18">
        <f t="shared" si="11"/>
        <v>2.9829545454545454</v>
      </c>
      <c r="R23" s="18">
        <f t="shared" si="11"/>
        <v>0.52083333333333326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7.5031249999999998</v>
      </c>
      <c r="AO23">
        <v>36.260317211610499</v>
      </c>
      <c r="AP23">
        <v>771.04220112104611</v>
      </c>
      <c r="AQ23">
        <v>54.688138296052095</v>
      </c>
      <c r="AR23">
        <v>32.963924737827725</v>
      </c>
      <c r="AS23">
        <v>170.01570114450749</v>
      </c>
      <c r="AT23" t="e">
        <v>#DIV/0!</v>
      </c>
      <c r="AU23" t="e">
        <v>#DIV/0!</v>
      </c>
      <c r="AV23"/>
      <c r="AW23"/>
      <c r="FY23" s="212">
        <v>18</v>
      </c>
      <c r="FZ23">
        <v>0.53282936380325752</v>
      </c>
      <c r="GA23">
        <v>16.401020762993259</v>
      </c>
      <c r="GB23">
        <v>17.359693518221377</v>
      </c>
      <c r="GC23">
        <v>5.180689496391766</v>
      </c>
      <c r="GD23">
        <v>0.24667408340516686</v>
      </c>
      <c r="GE23">
        <v>0</v>
      </c>
      <c r="GF23">
        <v>0.80138167652982462</v>
      </c>
      <c r="GG23">
        <v>4.407519146589534</v>
      </c>
      <c r="GH23">
        <v>3.245920257062465</v>
      </c>
      <c r="GI23">
        <v>7.3204241395452199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20.501893939393941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0</v>
      </c>
      <c r="J24" s="18">
        <f t="shared" si="12"/>
        <v>0</v>
      </c>
      <c r="K24" s="18">
        <f t="shared" si="12"/>
        <v>2.2569444444444442</v>
      </c>
      <c r="L24" s="18">
        <f t="shared" si="12"/>
        <v>1.9412878787878787</v>
      </c>
      <c r="M24" s="18">
        <f t="shared" si="12"/>
        <v>0</v>
      </c>
      <c r="N24" s="18">
        <f t="shared" si="12"/>
        <v>4.9242424242424239</v>
      </c>
      <c r="O24" s="18">
        <f t="shared" si="12"/>
        <v>2.34375</v>
      </c>
      <c r="P24" s="18">
        <f t="shared" si="12"/>
        <v>2.7225378787878789</v>
      </c>
      <c r="Q24" s="18">
        <f t="shared" si="12"/>
        <v>1.4204545454545454</v>
      </c>
      <c r="R24" s="18">
        <f t="shared" si="12"/>
        <v>0</v>
      </c>
      <c r="S24" s="18">
        <f t="shared" si="12"/>
        <v>0</v>
      </c>
      <c r="T24" s="18">
        <f t="shared" si="12"/>
        <v>1.7361111111111112</v>
      </c>
      <c r="U24" s="18">
        <f t="shared" si="12"/>
        <v>3.1565656565656566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9.0374999999999979</v>
      </c>
      <c r="AO24">
        <v>44.192930065767897</v>
      </c>
      <c r="AP24">
        <v>1016.4353398083775</v>
      </c>
      <c r="AQ24">
        <v>65.507696386818097</v>
      </c>
      <c r="AR24">
        <v>40.17539096887991</v>
      </c>
      <c r="AS24">
        <v>199.75100592387656</v>
      </c>
      <c r="AT24" t="e">
        <v>#DIV/0!</v>
      </c>
      <c r="AU24" t="e">
        <v>#DIV/0!</v>
      </c>
      <c r="AV24"/>
      <c r="AW24"/>
      <c r="FY24" s="212">
        <v>19</v>
      </c>
      <c r="FZ24">
        <v>0</v>
      </c>
      <c r="GA24">
        <v>10.484048661735493</v>
      </c>
      <c r="GB24">
        <v>12.443785642330853</v>
      </c>
      <c r="GC24">
        <v>4.2415754907006145</v>
      </c>
      <c r="GD24">
        <v>0.70741313471090805</v>
      </c>
      <c r="GE24">
        <v>0.71895619221013829</v>
      </c>
      <c r="GF24">
        <v>0.80138167652982462</v>
      </c>
      <c r="GG24">
        <v>6.4668605420198011</v>
      </c>
      <c r="GH24">
        <v>1.6229601285312325</v>
      </c>
      <c r="GI24">
        <v>11.122992084796708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12.594696969696971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0</v>
      </c>
      <c r="J25" s="18">
        <f t="shared" si="13"/>
        <v>0</v>
      </c>
      <c r="K25" s="18">
        <f t="shared" si="13"/>
        <v>2.2569444444444442</v>
      </c>
      <c r="L25" s="18">
        <f t="shared" si="13"/>
        <v>0.52083333333333326</v>
      </c>
      <c r="M25" s="18">
        <f t="shared" si="13"/>
        <v>0</v>
      </c>
      <c r="N25" s="18">
        <f t="shared" si="13"/>
        <v>1.4204545454545454</v>
      </c>
      <c r="O25" s="18">
        <f t="shared" si="13"/>
        <v>0.52083333333333326</v>
      </c>
      <c r="P25" s="18">
        <f t="shared" si="13"/>
        <v>1.4204545454545454</v>
      </c>
      <c r="Q25" s="18">
        <f t="shared" si="13"/>
        <v>0</v>
      </c>
      <c r="R25" s="18">
        <f t="shared" si="13"/>
        <v>0.52083333333333326</v>
      </c>
      <c r="S25" s="18">
        <f t="shared" si="13"/>
        <v>0</v>
      </c>
      <c r="T25" s="18">
        <f t="shared" si="13"/>
        <v>1.7361111111111112</v>
      </c>
      <c r="U25" s="18">
        <f t="shared" si="13"/>
        <v>4.1982323232323235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13.141053921568627</v>
      </c>
      <c r="AO25">
        <v>31.649526495841883</v>
      </c>
      <c r="AP25">
        <v>792.18458121501794</v>
      </c>
      <c r="AQ25">
        <v>73.446196131637677</v>
      </c>
      <c r="AR25">
        <v>28.806277086502497</v>
      </c>
      <c r="AS25">
        <v>165.99409747642198</v>
      </c>
      <c r="AT25" t="e">
        <v>#DIV/0!</v>
      </c>
      <c r="AU25" t="e">
        <v>#DIV/0!</v>
      </c>
      <c r="AV25"/>
      <c r="AW25"/>
      <c r="FY25" s="212">
        <v>20</v>
      </c>
      <c r="FZ25">
        <v>0.91155005935855693</v>
      </c>
      <c r="GA25">
        <v>20.830564320956999</v>
      </c>
      <c r="GB25">
        <v>15.923643034041557</v>
      </c>
      <c r="GC25">
        <v>4.6112022596983575</v>
      </c>
      <c r="GD25">
        <v>0.75681236976103916</v>
      </c>
      <c r="GE25">
        <v>0</v>
      </c>
      <c r="GF25">
        <v>0</v>
      </c>
      <c r="GG25">
        <v>4.2293914273944484</v>
      </c>
      <c r="GH25">
        <v>4.8688803855936991</v>
      </c>
      <c r="GI25">
        <v>8.3041965428883202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1.5624999999999998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</v>
      </c>
      <c r="J26" s="18">
        <f t="shared" si="14"/>
        <v>0</v>
      </c>
      <c r="K26" s="18">
        <f t="shared" si="14"/>
        <v>0</v>
      </c>
      <c r="L26" s="18">
        <f t="shared" si="14"/>
        <v>0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0.52083333333333326</v>
      </c>
      <c r="S26" s="18">
        <f t="shared" si="14"/>
        <v>0</v>
      </c>
      <c r="T26" s="18">
        <f t="shared" si="14"/>
        <v>0</v>
      </c>
      <c r="U26" s="18">
        <f t="shared" si="14"/>
        <v>1.0416666666666665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9.9319852941176485</v>
      </c>
      <c r="AO26">
        <v>34.888644337195146</v>
      </c>
      <c r="AP26">
        <v>333.40422556690947</v>
      </c>
      <c r="AQ26">
        <v>52.825217566414196</v>
      </c>
      <c r="AR26">
        <v>31.716949397450119</v>
      </c>
      <c r="AS26">
        <v>251.97182655509502</v>
      </c>
      <c r="AT26" t="e">
        <v>#DIV/0!</v>
      </c>
      <c r="AU26" t="e">
        <v>#DIV/0!</v>
      </c>
      <c r="AV26"/>
      <c r="AW26"/>
      <c r="FY26" s="212">
        <v>21</v>
      </c>
      <c r="FZ26">
        <v>0</v>
      </c>
      <c r="GA26">
        <v>24.81376787898602</v>
      </c>
      <c r="GB26">
        <v>15.574744952041744</v>
      </c>
      <c r="GC26">
        <v>2.6969470749429907</v>
      </c>
      <c r="GD26">
        <v>0.56983681840581191</v>
      </c>
      <c r="GE26">
        <v>0.71895619221013829</v>
      </c>
      <c r="GF26">
        <v>2.4041450295894737</v>
      </c>
      <c r="GG26">
        <v>10.7990897779713</v>
      </c>
      <c r="GH26">
        <v>1.6229601285312325</v>
      </c>
      <c r="GI26">
        <v>11.436153387619393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1.71875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0</v>
      </c>
      <c r="K27" s="18">
        <f t="shared" si="15"/>
        <v>0</v>
      </c>
      <c r="L27" s="18">
        <f t="shared" si="15"/>
        <v>0</v>
      </c>
      <c r="M27" s="18">
        <f t="shared" si="15"/>
        <v>0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1.71875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11.530637254901961</v>
      </c>
      <c r="AO27">
        <v>22.62826837829304</v>
      </c>
      <c r="AP27">
        <v>272.82341762395822</v>
      </c>
      <c r="AQ27">
        <v>61.842557853444532</v>
      </c>
      <c r="AR27">
        <v>20.571153071175491</v>
      </c>
      <c r="AS27">
        <v>121.79061675468547</v>
      </c>
      <c r="AT27" t="e">
        <v>#DIV/0!</v>
      </c>
      <c r="AU27" t="e">
        <v>#DIV/0!</v>
      </c>
      <c r="AV27"/>
      <c r="AW27"/>
      <c r="FY27" s="212">
        <v>22</v>
      </c>
      <c r="FZ27">
        <v>1.8231001187171141</v>
      </c>
      <c r="GA27">
        <v>23.506525186137115</v>
      </c>
      <c r="GB27">
        <v>20.275975813532902</v>
      </c>
      <c r="GC27">
        <v>6.1512301618369953</v>
      </c>
      <c r="GD27">
        <v>1.3336366411191054</v>
      </c>
      <c r="GE27">
        <v>1.0784342883152076</v>
      </c>
      <c r="GF27">
        <v>0.80138167652982462</v>
      </c>
      <c r="GG27">
        <v>2.7443043742915965</v>
      </c>
      <c r="GH27">
        <v>0</v>
      </c>
      <c r="GI27">
        <v>12.263448290647613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2.239583333333333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0</v>
      </c>
      <c r="K28" s="18">
        <f t="shared" si="15"/>
        <v>0</v>
      </c>
      <c r="L28" s="18">
        <f t="shared" si="15"/>
        <v>0</v>
      </c>
      <c r="M28" s="18">
        <f t="shared" si="15"/>
        <v>0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2.239583333333333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7.2218749999999998</v>
      </c>
      <c r="AO28">
        <v>21.844031715605219</v>
      </c>
      <c r="AP28">
        <v>513.11765847691322</v>
      </c>
      <c r="AQ28">
        <v>56.505968693767045</v>
      </c>
      <c r="AR28">
        <v>19.892190922650986</v>
      </c>
      <c r="AS28">
        <v>112.58500169762279</v>
      </c>
      <c r="AT28" t="e">
        <v>#DIV/0!</v>
      </c>
      <c r="AU28" t="e">
        <v>#DIV/0!</v>
      </c>
      <c r="AV28"/>
      <c r="AW28"/>
      <c r="FY28" s="212">
        <v>23</v>
      </c>
      <c r="FZ28">
        <v>1.6185967830654278</v>
      </c>
      <c r="GA28">
        <v>22.810587151686853</v>
      </c>
      <c r="GB28">
        <v>17.167582772355743</v>
      </c>
      <c r="GC28">
        <v>4.1251511223944677</v>
      </c>
      <c r="GD28">
        <v>0.75477795425806693</v>
      </c>
      <c r="GE28">
        <v>0.35947809610506914</v>
      </c>
      <c r="GF28">
        <v>0.80138167652982462</v>
      </c>
      <c r="GG28">
        <v>4.1541015167564126</v>
      </c>
      <c r="GH28">
        <v>1.6229601285312325</v>
      </c>
      <c r="GI28">
        <v>10.137111129076303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0.52083333333333326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0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0.52083333333333326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12.124387254901963</v>
      </c>
      <c r="AO29">
        <v>31.901892147569178</v>
      </c>
      <c r="AP29">
        <v>387.43253351024259</v>
      </c>
      <c r="AQ29">
        <v>62.633330691839248</v>
      </c>
      <c r="AR29">
        <v>29.035700406254595</v>
      </c>
      <c r="AS29">
        <v>162.98149013138931</v>
      </c>
      <c r="AT29" t="e">
        <v>#DIV/0!</v>
      </c>
      <c r="AU29" t="e">
        <v>#DIV/0!</v>
      </c>
      <c r="AV29"/>
      <c r="AW29"/>
      <c r="FY29" s="212">
        <v>24</v>
      </c>
      <c r="FZ29">
        <v>1.6353950055333373</v>
      </c>
      <c r="GA29">
        <v>22.491965967558855</v>
      </c>
      <c r="GB29">
        <v>17.97331053251801</v>
      </c>
      <c r="GC29">
        <v>5.7022915935117595</v>
      </c>
      <c r="GD29">
        <v>1.2877876283034211</v>
      </c>
      <c r="GE29">
        <v>0.35947809610506914</v>
      </c>
      <c r="GF29">
        <v>0.80138167652982462</v>
      </c>
      <c r="GG29">
        <v>6.3955060453701975</v>
      </c>
      <c r="GH29">
        <v>4.8688803855936991</v>
      </c>
      <c r="GI29">
        <v>12.017680771258066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10.504177807486633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1.4297385620915031</v>
      </c>
      <c r="I30" s="18">
        <f t="shared" si="16"/>
        <v>0</v>
      </c>
      <c r="J30" s="18">
        <f t="shared" si="16"/>
        <v>2.8594771241830061</v>
      </c>
      <c r="K30" s="18">
        <f t="shared" si="16"/>
        <v>0.45138888888888884</v>
      </c>
      <c r="L30" s="18">
        <f t="shared" si="16"/>
        <v>0.38825757575757575</v>
      </c>
      <c r="M30" s="18">
        <f t="shared" si="16"/>
        <v>0.10416666666666666</v>
      </c>
      <c r="N30" s="18">
        <f t="shared" si="16"/>
        <v>1.2973484848484849</v>
      </c>
      <c r="O30" s="18">
        <f t="shared" si="16"/>
        <v>0.46875</v>
      </c>
      <c r="P30" s="18">
        <f t="shared" si="16"/>
        <v>1.0653409090909089</v>
      </c>
      <c r="Q30" s="18">
        <f t="shared" si="16"/>
        <v>0.59659090909090906</v>
      </c>
      <c r="R30" s="18">
        <f t="shared" si="16"/>
        <v>0.20833333333333331</v>
      </c>
      <c r="S30" s="18">
        <f t="shared" si="16"/>
        <v>0</v>
      </c>
      <c r="T30" s="18">
        <f t="shared" si="16"/>
        <v>0.79513888888888895</v>
      </c>
      <c r="U30" s="18">
        <f t="shared" si="16"/>
        <v>0.83964646464646475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11.46813725490196</v>
      </c>
      <c r="AO30">
        <v>29.703678948370445</v>
      </c>
      <c r="AP30">
        <v>366.12571250347173</v>
      </c>
      <c r="AQ30">
        <v>46.759822403849952</v>
      </c>
      <c r="AR30">
        <v>27.037324770619382</v>
      </c>
      <c r="AS30">
        <v>202.93814437564711</v>
      </c>
      <c r="AT30" t="e">
        <v>#DIV/0!</v>
      </c>
      <c r="AU30" t="e">
        <v>#DIV/0!</v>
      </c>
      <c r="AV30"/>
      <c r="AW30"/>
      <c r="FY30" s="212">
        <v>25</v>
      </c>
      <c r="FZ30">
        <v>1.273472532445947</v>
      </c>
      <c r="GA30">
        <v>15.985567742393686</v>
      </c>
      <c r="GB30">
        <v>11.45375620588562</v>
      </c>
      <c r="GC30">
        <v>3.0905915742361505</v>
      </c>
      <c r="GD30">
        <v>0.89628540694289982</v>
      </c>
      <c r="GE30">
        <v>0.71895619221013829</v>
      </c>
      <c r="GF30">
        <v>0.80138167652982462</v>
      </c>
      <c r="GG30">
        <v>3.9006838869232907</v>
      </c>
      <c r="GH30">
        <v>0</v>
      </c>
      <c r="GI30">
        <v>6.871952248642379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15.02095588235294</v>
      </c>
      <c r="AO31">
        <v>31.81481356491107</v>
      </c>
      <c r="AP31">
        <v>781.50599720930961</v>
      </c>
      <c r="AQ31">
        <v>77.59247340374462</v>
      </c>
      <c r="AR31">
        <v>28.95653805838359</v>
      </c>
      <c r="AS31">
        <v>179.15102808042599</v>
      </c>
      <c r="AT31" t="e">
        <v>#DIV/0!</v>
      </c>
      <c r="AU31" t="e">
        <v>#DIV/0!</v>
      </c>
      <c r="AV31"/>
      <c r="AW31"/>
      <c r="FY31" s="212">
        <v>26</v>
      </c>
      <c r="FZ31">
        <v>1.46448811481747</v>
      </c>
      <c r="GA31">
        <v>14.679918183983462</v>
      </c>
      <c r="GB31">
        <v>18.968353033758032</v>
      </c>
      <c r="GC31">
        <v>7.5759087968670142</v>
      </c>
      <c r="GD31">
        <v>1.1784231615322791</v>
      </c>
      <c r="GE31">
        <v>0.35947809610506914</v>
      </c>
      <c r="GF31">
        <v>0.80138167652982462</v>
      </c>
      <c r="GG31">
        <v>4.9857089029053814</v>
      </c>
      <c r="GH31">
        <v>3.245920257062465</v>
      </c>
      <c r="GI31">
        <v>13.744064458033895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11.502512254901958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10.515318627450977</v>
      </c>
      <c r="AO32">
        <v>36.854776765947761</v>
      </c>
      <c r="AP32">
        <v>641.87820651379218</v>
      </c>
      <c r="AQ32">
        <v>48.173125894431635</v>
      </c>
      <c r="AR32">
        <v>33.504342514497957</v>
      </c>
      <c r="AS32">
        <v>262.42505339817183</v>
      </c>
      <c r="AT32" t="e">
        <v>#DIV/0!</v>
      </c>
      <c r="AU32" t="e">
        <v>#DIV/0!</v>
      </c>
      <c r="AV32"/>
      <c r="AW32"/>
      <c r="FY32" s="212">
        <v>27</v>
      </c>
      <c r="FZ32">
        <v>1.2566743099780382</v>
      </c>
      <c r="GA32">
        <v>27.503336246499696</v>
      </c>
      <c r="GB32">
        <v>22.747286938799228</v>
      </c>
      <c r="GC32">
        <v>6.0634405782872696</v>
      </c>
      <c r="GD32">
        <v>1.11451577287712</v>
      </c>
      <c r="GE32">
        <v>0.71895619221013829</v>
      </c>
      <c r="GF32">
        <v>0</v>
      </c>
      <c r="GG32">
        <v>1.4097971424648157</v>
      </c>
      <c r="GH32">
        <v>1.6229601285312325</v>
      </c>
      <c r="GI32">
        <v>13.258363575287298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15.973039215686279</v>
      </c>
      <c r="AO33">
        <v>27.631254544039781</v>
      </c>
      <c r="AP33">
        <v>282.99358782271747</v>
      </c>
      <c r="AQ33">
        <v>74.815247322885838</v>
      </c>
      <c r="AR33">
        <v>25.11932231276343</v>
      </c>
      <c r="AS33">
        <v>141.77341787756004</v>
      </c>
      <c r="AT33" t="e">
        <v>#DIV/0!</v>
      </c>
      <c r="AU33" t="e">
        <v>#DIV/0!</v>
      </c>
      <c r="AV33"/>
      <c r="AW33"/>
      <c r="FY33" s="212">
        <v>28</v>
      </c>
      <c r="FZ33">
        <v>1.273472532445947</v>
      </c>
      <c r="GA33">
        <v>17.896567423511083</v>
      </c>
      <c r="GB33">
        <v>22.564513028193073</v>
      </c>
      <c r="GC33">
        <v>8.682167713210422</v>
      </c>
      <c r="GD33">
        <v>1.0259646187544436</v>
      </c>
      <c r="GE33">
        <v>0</v>
      </c>
      <c r="GF33">
        <v>0.80138167652982462</v>
      </c>
      <c r="GG33">
        <v>4.9857089029053814</v>
      </c>
      <c r="GH33">
        <v>3.245920257062465</v>
      </c>
      <c r="GI33">
        <v>11.446551298522937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5.6177083333333329</v>
      </c>
      <c r="AO34">
        <v>14.457896013361093</v>
      </c>
      <c r="AP34">
        <v>235.05238482970867</v>
      </c>
      <c r="AQ34">
        <v>55.496152444541863</v>
      </c>
      <c r="AR34">
        <v>13.177522102429059</v>
      </c>
      <c r="AS34">
        <v>83.975835827487643</v>
      </c>
      <c r="AT34" t="e">
        <v>#DIV/0!</v>
      </c>
      <c r="AU34" t="e">
        <v>#DIV/0!</v>
      </c>
      <c r="AV34"/>
      <c r="AW34"/>
      <c r="FY34" s="212">
        <v>29</v>
      </c>
      <c r="FZ34">
        <v>3.0965726511630618</v>
      </c>
      <c r="GA34">
        <v>11.012890324363962</v>
      </c>
      <c r="GB34">
        <v>14.435696634676068</v>
      </c>
      <c r="GC34">
        <v>6.0653377877545847</v>
      </c>
      <c r="GD34">
        <v>0.70537638823486859</v>
      </c>
      <c r="GE34">
        <v>0.35947809610506914</v>
      </c>
      <c r="GF34">
        <v>0.80138167652982462</v>
      </c>
      <c r="GG34">
        <v>4.1541015167564126</v>
      </c>
      <c r="GH34">
        <v>1.6229601285312325</v>
      </c>
      <c r="GI34">
        <v>11.619900849582608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7.5968749999999998</v>
      </c>
      <c r="AO35">
        <v>39.018855988110225</v>
      </c>
      <c r="AP35">
        <v>1567.5945672088869</v>
      </c>
      <c r="AQ35">
        <v>48.609973553565574</v>
      </c>
      <c r="AR35">
        <v>35.47168726191839</v>
      </c>
      <c r="AS35">
        <v>197.2280804820447</v>
      </c>
      <c r="AT35" t="e">
        <v>#DIV/0!</v>
      </c>
      <c r="AU35" t="e">
        <v>#DIV/0!</v>
      </c>
      <c r="AV35"/>
      <c r="AW35"/>
      <c r="FY35" s="212">
        <v>30</v>
      </c>
      <c r="FZ35">
        <v>2.7547588697313263</v>
      </c>
      <c r="GA35">
        <v>16.650817631275842</v>
      </c>
      <c r="GB35">
        <v>12.289913770511664</v>
      </c>
      <c r="GC35">
        <v>3.1956493858630086</v>
      </c>
      <c r="GD35">
        <v>0.26091335800767962</v>
      </c>
      <c r="GE35">
        <v>0</v>
      </c>
      <c r="GF35">
        <v>2.4041450295894737</v>
      </c>
      <c r="GG35">
        <v>9.6427102653396055</v>
      </c>
      <c r="GH35">
        <v>1.6229601285312325</v>
      </c>
      <c r="GI35">
        <v>9.9582019766609164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6.4315096741458951E-4</v>
      </c>
      <c r="H36" s="59">
        <f t="shared" ref="H36:AK36" si="17">(1-($A$43/100))*($A$39*(H35^$A$41))</f>
        <v>4.5543000000000007E-3</v>
      </c>
      <c r="I36" s="59">
        <f t="shared" si="17"/>
        <v>3.2250046320196971E-2</v>
      </c>
      <c r="J36" s="59">
        <f t="shared" si="17"/>
        <v>0.10134727087638197</v>
      </c>
      <c r="K36" s="59">
        <f t="shared" si="17"/>
        <v>0.22836999926549642</v>
      </c>
      <c r="L36" s="59">
        <f t="shared" si="17"/>
        <v>0.42885741869833771</v>
      </c>
      <c r="M36" s="59">
        <f t="shared" si="17"/>
        <v>0.71766334676873855</v>
      </c>
      <c r="N36" s="59">
        <f t="shared" si="17"/>
        <v>1.1091199062457131</v>
      </c>
      <c r="O36" s="59">
        <f t="shared" si="17"/>
        <v>1.6171405165350552</v>
      </c>
      <c r="P36" s="59">
        <f t="shared" si="17"/>
        <v>2.2552904538767184</v>
      </c>
      <c r="Q36" s="59">
        <f t="shared" si="17"/>
        <v>3.0368380690295989</v>
      </c>
      <c r="R36" s="59">
        <f t="shared" si="17"/>
        <v>3.9747935634129594</v>
      </c>
      <c r="S36" s="59">
        <f t="shared" si="17"/>
        <v>5.0819393047448367</v>
      </c>
      <c r="T36" s="59">
        <f t="shared" si="17"/>
        <v>6.3708541374943737</v>
      </c>
      <c r="U36" s="59">
        <f t="shared" si="17"/>
        <v>7.8539332830680344</v>
      </c>
      <c r="V36" s="59">
        <f t="shared" si="17"/>
        <v>9.5434049096823621</v>
      </c>
      <c r="W36" s="59">
        <f t="shared" si="17"/>
        <v>11.451344128520917</v>
      </c>
      <c r="X36" s="59">
        <f t="shared" si="17"/>
        <v>13.58968496155188</v>
      </c>
      <c r="Y36" s="59">
        <f t="shared" si="17"/>
        <v>15.970230683754279</v>
      </c>
      <c r="Z36" s="59">
        <f t="shared" si="17"/>
        <v>18.604662843430042</v>
      </c>
      <c r="AA36" s="59">
        <f t="shared" si="17"/>
        <v>21.504549193760191</v>
      </c>
      <c r="AB36" s="59">
        <f t="shared" si="17"/>
        <v>24.681350717491501</v>
      </c>
      <c r="AC36" s="59">
        <f t="shared" si="17"/>
        <v>28.146427888652209</v>
      </c>
      <c r="AD36" s="59">
        <f t="shared" si="17"/>
        <v>31.911046286581225</v>
      </c>
      <c r="AE36" s="59">
        <f t="shared" si="17"/>
        <v>35.986381655677192</v>
      </c>
      <c r="AF36" s="59">
        <f t="shared" si="17"/>
        <v>40.383524487319967</v>
      </c>
      <c r="AG36" s="59">
        <f t="shared" si="17"/>
        <v>45.113484187122538</v>
      </c>
      <c r="AH36" s="59">
        <f t="shared" si="17"/>
        <v>50.187192880126901</v>
      </c>
      <c r="AI36" s="59">
        <f t="shared" si="17"/>
        <v>55.615508898114115</v>
      </c>
      <c r="AJ36" s="59">
        <f t="shared" si="17"/>
        <v>61.409219986371809</v>
      </c>
      <c r="AK36" s="59">
        <f t="shared" si="17"/>
        <v>67.579046261698053</v>
      </c>
      <c r="AL36" s="42"/>
      <c r="AM36" s="43">
        <v>20</v>
      </c>
      <c r="AN36">
        <v>9.3590686274509807</v>
      </c>
      <c r="AO36">
        <v>31.378269051311015</v>
      </c>
      <c r="AP36">
        <v>855.75177001503289</v>
      </c>
      <c r="AQ36">
        <v>60.436240399692977</v>
      </c>
      <c r="AR36">
        <v>28.525699137555467</v>
      </c>
      <c r="AS36">
        <v>204.15514024219087</v>
      </c>
      <c r="AT36" t="e">
        <v>#DIV/0!</v>
      </c>
      <c r="AU36" t="e">
        <v>#DIV/0!</v>
      </c>
      <c r="AV36"/>
      <c r="AW36"/>
      <c r="FY36" s="212">
        <v>31</v>
      </c>
      <c r="FZ36">
        <v>2.5469450648918941</v>
      </c>
      <c r="GA36">
        <v>17.312342672361456</v>
      </c>
      <c r="GB36">
        <v>10.907082954227411</v>
      </c>
      <c r="GC36">
        <v>3.6990725596524738</v>
      </c>
      <c r="GD36">
        <v>1.2912180177436499</v>
      </c>
      <c r="GE36">
        <v>0.35947809610506914</v>
      </c>
      <c r="GF36">
        <v>0</v>
      </c>
      <c r="GG36">
        <v>1.9879868987806626</v>
      </c>
      <c r="GH36">
        <v>1.6229601285312325</v>
      </c>
      <c r="GI36">
        <v>10.562714369881411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1.8553412981223492</v>
      </c>
      <c r="E37" s="107">
        <f t="shared" ref="E37:E46" si="19">+D37/D21</f>
        <v>8.4460725203226616E-2</v>
      </c>
      <c r="F37" s="18"/>
      <c r="G37" s="49">
        <f t="shared" ref="G37:G43" si="20">G21*G$36</f>
        <v>0</v>
      </c>
      <c r="H37" s="49">
        <f t="shared" ref="H37:AK40" si="21">H21*H$36</f>
        <v>3.2557291666666668E-2</v>
      </c>
      <c r="I37" s="49">
        <f t="shared" si="21"/>
        <v>0</v>
      </c>
      <c r="J37" s="49">
        <f t="shared" si="21"/>
        <v>1.4490010133469644</v>
      </c>
      <c r="K37" s="49">
        <f t="shared" si="21"/>
        <v>0</v>
      </c>
      <c r="L37" s="49">
        <f t="shared" si="21"/>
        <v>0</v>
      </c>
      <c r="M37" s="49">
        <f t="shared" si="21"/>
        <v>0.37378299310871793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7.4364583333333325</v>
      </c>
      <c r="AO37">
        <v>34.599594469662307</v>
      </c>
      <c r="AP37">
        <v>1650.7601196522162</v>
      </c>
      <c r="AQ37">
        <v>70.636601240298106</v>
      </c>
      <c r="AR37">
        <v>31.454176790602087</v>
      </c>
      <c r="AS37">
        <v>165.58911102629645</v>
      </c>
      <c r="AT37" t="e">
        <v>#DIV/0!</v>
      </c>
      <c r="AU37" t="e">
        <v>#DIV/0!</v>
      </c>
      <c r="AV37"/>
      <c r="AW37"/>
      <c r="FY37" s="212">
        <v>32</v>
      </c>
      <c r="FZ37">
        <v>1.10256564173008</v>
      </c>
      <c r="GA37">
        <v>20.163837907113614</v>
      </c>
      <c r="GB37">
        <v>14.963075376163642</v>
      </c>
      <c r="GC37">
        <v>4.728256605373014</v>
      </c>
      <c r="GD37">
        <v>1.3725128399115567</v>
      </c>
      <c r="GE37">
        <v>0.35947809610506914</v>
      </c>
      <c r="GF37">
        <v>0</v>
      </c>
      <c r="GG37">
        <v>1.9879868987806626</v>
      </c>
      <c r="GH37">
        <v>1.6229601285312325</v>
      </c>
      <c r="GI37">
        <v>9.8117274278000917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15.902974845962841</v>
      </c>
      <c r="E38" s="107">
        <f t="shared" si="19"/>
        <v>0.57419590594272918</v>
      </c>
      <c r="F38" s="18"/>
      <c r="G38" s="49">
        <f t="shared" si="20"/>
        <v>0</v>
      </c>
      <c r="H38" s="49">
        <f t="shared" si="21"/>
        <v>3.2557291666666668E-2</v>
      </c>
      <c r="I38" s="49">
        <f t="shared" si="21"/>
        <v>0</v>
      </c>
      <c r="J38" s="49">
        <f t="shared" si="21"/>
        <v>1.4490010133469644</v>
      </c>
      <c r="K38" s="49">
        <f t="shared" si="21"/>
        <v>0</v>
      </c>
      <c r="L38" s="49">
        <f t="shared" si="21"/>
        <v>0</v>
      </c>
      <c r="M38" s="49">
        <f t="shared" si="21"/>
        <v>0</v>
      </c>
      <c r="N38" s="49">
        <f t="shared" si="21"/>
        <v>1.7329998535089268</v>
      </c>
      <c r="O38" s="49">
        <f t="shared" si="21"/>
        <v>0</v>
      </c>
      <c r="P38" s="49">
        <f t="shared" si="21"/>
        <v>5.8731522236372875</v>
      </c>
      <c r="Q38" s="49">
        <f t="shared" si="21"/>
        <v>4.745059482858748</v>
      </c>
      <c r="R38" s="49">
        <f t="shared" si="21"/>
        <v>2.0702049809442493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13.91917892156863</v>
      </c>
      <c r="AO38">
        <v>25.639943987908918</v>
      </c>
      <c r="AP38">
        <v>319.97888101256808</v>
      </c>
      <c r="AQ38">
        <v>69.97803655112746</v>
      </c>
      <c r="AR38">
        <v>23.309039989008106</v>
      </c>
      <c r="AS38">
        <v>166.9916789136393</v>
      </c>
      <c r="AT38" t="e">
        <v>#DIV/0!</v>
      </c>
      <c r="AU38" t="e">
        <v>#DIV/0!</v>
      </c>
      <c r="AV38"/>
      <c r="AW38"/>
      <c r="FY38" s="212">
        <v>33</v>
      </c>
      <c r="FZ38">
        <v>1.10256564173008</v>
      </c>
      <c r="GA38">
        <v>13.404956771141343</v>
      </c>
      <c r="GB38">
        <v>15.815243246737277</v>
      </c>
      <c r="GC38">
        <v>5.5696932105294161</v>
      </c>
      <c r="GD38">
        <v>0.52182671601535924</v>
      </c>
      <c r="GE38">
        <v>0</v>
      </c>
      <c r="GF38">
        <v>0.80138167652982462</v>
      </c>
      <c r="GG38">
        <v>3.9006838869232907</v>
      </c>
      <c r="GH38">
        <v>0</v>
      </c>
      <c r="GI38">
        <v>10.982947314894032</v>
      </c>
      <c r="GJ38"/>
      <c r="GK38"/>
      <c r="GL38"/>
      <c r="GM38"/>
    </row>
    <row r="39" spans="1:195" s="7" customFormat="1">
      <c r="A39" s="114">
        <v>5.1000000000000004E-3</v>
      </c>
      <c r="B39" s="57"/>
      <c r="C39" s="48" t="s">
        <v>40</v>
      </c>
      <c r="D39" s="49">
        <f t="shared" si="18"/>
        <v>29.11488884503208</v>
      </c>
      <c r="E39" s="107">
        <f t="shared" si="19"/>
        <v>1.8521278686960168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0</v>
      </c>
      <c r="K39" s="49">
        <f t="shared" si="21"/>
        <v>0</v>
      </c>
      <c r="L39" s="49">
        <f t="shared" si="21"/>
        <v>0.60917246974195693</v>
      </c>
      <c r="M39" s="49">
        <f t="shared" si="21"/>
        <v>0</v>
      </c>
      <c r="N39" s="49">
        <f t="shared" si="21"/>
        <v>5.6191207371350043</v>
      </c>
      <c r="O39" s="49">
        <f t="shared" si="21"/>
        <v>2.9479123999336947</v>
      </c>
      <c r="P39" s="49">
        <f t="shared" si="21"/>
        <v>8.8097283354559313</v>
      </c>
      <c r="Q39" s="49">
        <f t="shared" si="21"/>
        <v>9.0587499218212457</v>
      </c>
      <c r="R39" s="49">
        <f t="shared" si="21"/>
        <v>2.0702049809442493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8.576041666666665</v>
      </c>
      <c r="AO39">
        <v>45.991842336472367</v>
      </c>
      <c r="AP39">
        <v>704.17815634571002</v>
      </c>
      <c r="AQ39">
        <v>63.551728330759403</v>
      </c>
      <c r="AR39">
        <v>41.946686848832599</v>
      </c>
      <c r="AS39">
        <v>182.73130031909287</v>
      </c>
      <c r="AT39" t="e">
        <v>#DIV/0!</v>
      </c>
      <c r="AU39" t="e">
        <v>#DIV/0!</v>
      </c>
      <c r="AV39"/>
      <c r="AW39"/>
      <c r="FY39" s="212">
        <v>34</v>
      </c>
      <c r="FZ39">
        <v>2.7547588697313263</v>
      </c>
      <c r="GA39">
        <v>12.92565010551262</v>
      </c>
      <c r="GB39">
        <v>14.982731220043709</v>
      </c>
      <c r="GC39">
        <v>5.2470728469124248</v>
      </c>
      <c r="GD39">
        <v>0.32987897797731686</v>
      </c>
      <c r="GE39">
        <v>0</v>
      </c>
      <c r="GF39">
        <v>0.80138167652982462</v>
      </c>
      <c r="GG39">
        <v>4.407519146589534</v>
      </c>
      <c r="GH39">
        <v>3.245920257062465</v>
      </c>
      <c r="GI39">
        <v>6.9555376166968577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56.905473344276601</v>
      </c>
      <c r="E40" s="107">
        <f t="shared" si="19"/>
        <v>2.7756203164691033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0</v>
      </c>
      <c r="J40" s="49">
        <f t="shared" si="21"/>
        <v>0</v>
      </c>
      <c r="K40" s="49">
        <f t="shared" si="21"/>
        <v>0.515418401120044</v>
      </c>
      <c r="L40" s="49">
        <f t="shared" si="21"/>
        <v>0.83253570864734117</v>
      </c>
      <c r="M40" s="49">
        <f t="shared" si="21"/>
        <v>0</v>
      </c>
      <c r="N40" s="49">
        <f t="shared" si="21"/>
        <v>5.4615752959069201</v>
      </c>
      <c r="O40" s="49">
        <f t="shared" si="21"/>
        <v>3.7901730856290357</v>
      </c>
      <c r="P40" s="49">
        <f t="shared" si="21"/>
        <v>6.140113688348074</v>
      </c>
      <c r="Q40" s="49">
        <f t="shared" si="21"/>
        <v>4.3136904389624986</v>
      </c>
      <c r="R40" s="49">
        <f t="shared" si="21"/>
        <v>0</v>
      </c>
      <c r="S40" s="49">
        <f t="shared" si="21"/>
        <v>0</v>
      </c>
      <c r="T40" s="49">
        <f t="shared" si="21"/>
        <v>11.060510655372177</v>
      </c>
      <c r="U40" s="49">
        <f t="shared" si="21"/>
        <v>24.791456070290511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11.133026960784312</v>
      </c>
      <c r="AO40">
        <v>34.708678392384677</v>
      </c>
      <c r="AP40">
        <v>747.67563309966306</v>
      </c>
      <c r="AQ40">
        <v>73.533677702282233</v>
      </c>
      <c r="AR40">
        <v>31.621304537278561</v>
      </c>
      <c r="AS40">
        <v>186.36381307895095</v>
      </c>
      <c r="AT40" t="e">
        <v>#DIV/0!</v>
      </c>
      <c r="AU40" t="e">
        <v>#DIV/0!</v>
      </c>
      <c r="AV40"/>
      <c r="AW40"/>
      <c r="FY40" s="212">
        <v>35</v>
      </c>
      <c r="FZ40">
        <v>1.065658727606515</v>
      </c>
      <c r="GA40">
        <v>21.584604045210675</v>
      </c>
      <c r="GB40">
        <v>14.670186729031386</v>
      </c>
      <c r="GC40">
        <v>4.4565712943311988</v>
      </c>
      <c r="GD40">
        <v>1.3228423948858432</v>
      </c>
      <c r="GE40">
        <v>0</v>
      </c>
      <c r="GF40">
        <v>0.80138167652982462</v>
      </c>
      <c r="GG40">
        <v>4.1541015167564126</v>
      </c>
      <c r="GH40">
        <v>1.6229601285312325</v>
      </c>
      <c r="GI40">
        <v>9.7170049256632449</v>
      </c>
      <c r="GJ40"/>
      <c r="GK40"/>
      <c r="GL40"/>
      <c r="GM40"/>
    </row>
    <row r="41" spans="1:195" s="7" customFormat="1">
      <c r="A41" s="114">
        <v>2.8239999999999998</v>
      </c>
      <c r="B41" s="57"/>
      <c r="C41" s="48" t="s">
        <v>42</v>
      </c>
      <c r="D41" s="49">
        <f t="shared" si="18"/>
        <v>52.463386524333849</v>
      </c>
      <c r="E41" s="107">
        <f t="shared" si="19"/>
        <v>4.1655139977215443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0</v>
      </c>
      <c r="J41" s="49">
        <f t="shared" si="22"/>
        <v>0</v>
      </c>
      <c r="K41" s="49">
        <f t="shared" si="22"/>
        <v>0.515418401120044</v>
      </c>
      <c r="L41" s="49">
        <f t="shared" si="22"/>
        <v>0.2233632389053842</v>
      </c>
      <c r="M41" s="49">
        <f t="shared" si="22"/>
        <v>0</v>
      </c>
      <c r="N41" s="49">
        <f t="shared" si="22"/>
        <v>1.5754544122808425</v>
      </c>
      <c r="O41" s="49">
        <f t="shared" si="22"/>
        <v>0.84226068569534118</v>
      </c>
      <c r="P41" s="49">
        <f t="shared" si="22"/>
        <v>3.2035375765294294</v>
      </c>
      <c r="Q41" s="49">
        <f t="shared" si="22"/>
        <v>0</v>
      </c>
      <c r="R41" s="49">
        <f t="shared" si="22"/>
        <v>2.0702049809442493</v>
      </c>
      <c r="S41" s="49">
        <f t="shared" si="22"/>
        <v>0</v>
      </c>
      <c r="T41" s="49">
        <f t="shared" si="22"/>
        <v>11.060510655372177</v>
      </c>
      <c r="U41" s="49">
        <f t="shared" si="22"/>
        <v>32.972636573486383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8.0809436274509796</v>
      </c>
      <c r="AO41">
        <v>23.30230269085019</v>
      </c>
      <c r="AP41">
        <v>725.83920049443486</v>
      </c>
      <c r="AQ41">
        <v>44.992647466209931</v>
      </c>
      <c r="AR41">
        <v>21.217891809237329</v>
      </c>
      <c r="AS41">
        <v>165.2337819672494</v>
      </c>
      <c r="AT41" t="e">
        <v>#DIV/0!</v>
      </c>
      <c r="AU41" t="e">
        <v>#DIV/0!</v>
      </c>
      <c r="AV41"/>
      <c r="AW41"/>
      <c r="FY41" s="212">
        <v>36</v>
      </c>
      <c r="FZ41">
        <v>1.10256564173008</v>
      </c>
      <c r="GA41">
        <v>14.293477950223725</v>
      </c>
      <c r="GB41">
        <v>18.316971600613741</v>
      </c>
      <c r="GC41">
        <v>8.4265808463373784</v>
      </c>
      <c r="GD41">
        <v>1.95288733350407</v>
      </c>
      <c r="GE41">
        <v>0</v>
      </c>
      <c r="GF41">
        <v>0</v>
      </c>
      <c r="GG41">
        <v>2.241404528613784</v>
      </c>
      <c r="GH41">
        <v>3.245920257062465</v>
      </c>
      <c r="GI41">
        <v>9.8925922227745797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10.251385484140117</v>
      </c>
      <c r="E42" s="107">
        <f t="shared" si="19"/>
        <v>6.5608867098496759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</v>
      </c>
      <c r="J42" s="49">
        <f t="shared" si="22"/>
        <v>0</v>
      </c>
      <c r="K42" s="49">
        <f t="shared" si="22"/>
        <v>0</v>
      </c>
      <c r="L42" s="49">
        <f t="shared" si="22"/>
        <v>0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2.0702049809442493</v>
      </c>
      <c r="S42" s="49">
        <f t="shared" si="22"/>
        <v>0</v>
      </c>
      <c r="T42" s="49">
        <f t="shared" si="22"/>
        <v>0</v>
      </c>
      <c r="U42" s="49">
        <f t="shared" si="22"/>
        <v>8.1811805031958684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12.653860294117646</v>
      </c>
      <c r="AO42">
        <v>32.275276062660055</v>
      </c>
      <c r="AP42">
        <v>561.01289366542164</v>
      </c>
      <c r="AQ42">
        <v>67.003644681594892</v>
      </c>
      <c r="AR42">
        <v>29.409120601165267</v>
      </c>
      <c r="AS42">
        <v>184.62322894909337</v>
      </c>
      <c r="AT42" t="e">
        <v>#DIV/0!</v>
      </c>
      <c r="AU42" t="e">
        <v>#DIV/0!</v>
      </c>
      <c r="AV42"/>
      <c r="AW42"/>
      <c r="FY42" s="212">
        <v>37</v>
      </c>
      <c r="FZ42">
        <v>2.0141157010886364</v>
      </c>
      <c r="GA42">
        <v>23.769762591160681</v>
      </c>
      <c r="GB42">
        <v>14.407694740369413</v>
      </c>
      <c r="GC42">
        <v>3.526664219948958</v>
      </c>
      <c r="GD42">
        <v>1.130789462982605</v>
      </c>
      <c r="GE42">
        <v>0.35947809610506914</v>
      </c>
      <c r="GF42">
        <v>1.6027633530596492</v>
      </c>
      <c r="GG42">
        <v>6.3202161347321617</v>
      </c>
      <c r="GH42">
        <v>1.6229601285312325</v>
      </c>
      <c r="GI42">
        <v>13.379381859310064</v>
      </c>
      <c r="GJ42"/>
      <c r="GK42"/>
      <c r="GL42"/>
      <c r="GM42"/>
    </row>
    <row r="43" spans="1:195" s="7" customFormat="1">
      <c r="A43" s="95">
        <v>10.7</v>
      </c>
      <c r="B43" s="1"/>
      <c r="C43" s="48" t="s">
        <v>119</v>
      </c>
      <c r="D43" s="49">
        <f>IF(SUM(G43:AK43)&lt;0.0001, 0, SUM(G43:AK43))</f>
        <v>10.949905548818455</v>
      </c>
      <c r="E43" s="107">
        <f t="shared" si="19"/>
        <v>6.3708541374943737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</v>
      </c>
      <c r="K43" s="49">
        <f t="shared" si="22"/>
        <v>0</v>
      </c>
      <c r="L43" s="49">
        <f t="shared" si="22"/>
        <v>0</v>
      </c>
      <c r="M43" s="49">
        <f t="shared" si="22"/>
        <v>0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10.949905548818455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9.8541666666666679</v>
      </c>
      <c r="AO43">
        <v>30.43415970657507</v>
      </c>
      <c r="AP43">
        <v>398.77270398326766</v>
      </c>
      <c r="AQ43">
        <v>75.695330884934833</v>
      </c>
      <c r="AR43">
        <v>27.769358731370623</v>
      </c>
      <c r="AS43">
        <v>232.21552489526394</v>
      </c>
      <c r="AT43" t="e">
        <v>#DIV/0!</v>
      </c>
      <c r="AU43" t="e">
        <v>#DIV/0!</v>
      </c>
      <c r="AV43"/>
      <c r="AW43"/>
      <c r="FY43" s="212">
        <v>38</v>
      </c>
      <c r="FZ43">
        <v>1.4812863372853795</v>
      </c>
      <c r="GA43">
        <v>29.68849479244971</v>
      </c>
      <c r="GB43">
        <v>22.526093978436261</v>
      </c>
      <c r="GC43">
        <v>6.1961954631240488</v>
      </c>
      <c r="GD43">
        <v>1.0846760814689167</v>
      </c>
      <c r="GE43">
        <v>0.35947809610506914</v>
      </c>
      <c r="GF43">
        <v>0</v>
      </c>
      <c r="GG43">
        <v>1.4097971424648157</v>
      </c>
      <c r="GH43">
        <v>1.6229601285312325</v>
      </c>
      <c r="GI43">
        <v>13.201808104721033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14.268058745430105</v>
      </c>
      <c r="E44" s="107">
        <f t="shared" si="19"/>
        <v>6.3708541374943737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</v>
      </c>
      <c r="K44" s="49">
        <f t="shared" si="23"/>
        <v>0</v>
      </c>
      <c r="L44" s="49">
        <f t="shared" si="23"/>
        <v>0</v>
      </c>
      <c r="M44" s="49">
        <f t="shared" si="23"/>
        <v>0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14.268058745430105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11.299693627450981</v>
      </c>
      <c r="AO44">
        <v>25.422701338205304</v>
      </c>
      <c r="AP44">
        <v>522.63463847021092</v>
      </c>
      <c r="AQ44">
        <v>71.922247451135561</v>
      </c>
      <c r="AR44">
        <v>23.145526943196518</v>
      </c>
      <c r="AS44">
        <v>178.08594218048299</v>
      </c>
      <c r="AT44" t="e">
        <v>#DIV/0!</v>
      </c>
      <c r="AU44" t="e">
        <v>#DIV/0!</v>
      </c>
      <c r="AV44"/>
      <c r="AW44"/>
      <c r="FY44" s="212">
        <v>39</v>
      </c>
      <c r="FZ44">
        <v>2.3760381741760268</v>
      </c>
      <c r="GA44">
        <v>20.002633711319387</v>
      </c>
      <c r="GB44">
        <v>20.973203697664758</v>
      </c>
      <c r="GC44">
        <v>7.3653123175666542</v>
      </c>
      <c r="GD44">
        <v>0.93452083319656853</v>
      </c>
      <c r="GE44">
        <v>0</v>
      </c>
      <c r="GF44">
        <v>0.80138167652982462</v>
      </c>
      <c r="GG44">
        <v>3.3224941306074438</v>
      </c>
      <c r="GH44">
        <v>0</v>
      </c>
      <c r="GI44">
        <v>10.867736718379197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3.3181531966116524</v>
      </c>
      <c r="E45" s="107">
        <f t="shared" si="19"/>
        <v>6.3708541374943737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3.3181531966116524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15.924080882352943</v>
      </c>
      <c r="AO45">
        <v>37.271517019621072</v>
      </c>
      <c r="AP45">
        <v>520.70388690621473</v>
      </c>
      <c r="AQ45">
        <v>53.873696053697692</v>
      </c>
      <c r="AR45">
        <v>33.917177562665401</v>
      </c>
      <c r="AS45">
        <v>167.96650253007539</v>
      </c>
      <c r="AT45" t="e">
        <v>#DIV/0!</v>
      </c>
      <c r="AU45" t="e">
        <v>#DIV/0!</v>
      </c>
      <c r="AV45"/>
      <c r="AW45"/>
      <c r="FY45" s="212">
        <v>40</v>
      </c>
      <c r="FZ45">
        <v>2.5469450648918941</v>
      </c>
      <c r="GA45">
        <v>18.119956013772036</v>
      </c>
      <c r="GB45">
        <v>11.675053454223285</v>
      </c>
      <c r="GC45">
        <v>3.2381498828883695</v>
      </c>
      <c r="GD45">
        <v>1.1042424663884232</v>
      </c>
      <c r="GE45">
        <v>1.0784342883152076</v>
      </c>
      <c r="GF45">
        <v>0.80138167652982462</v>
      </c>
      <c r="GG45">
        <v>4.4788736432391385</v>
      </c>
      <c r="GH45">
        <v>0</v>
      </c>
      <c r="GI45">
        <v>13.130100589810379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19.540335082583681</v>
      </c>
      <c r="E46" s="107">
        <f t="shared" si="19"/>
        <v>1.8602441276895292</v>
      </c>
      <c r="F46" s="18"/>
      <c r="G46" s="49">
        <f>G30*G36</f>
        <v>0</v>
      </c>
      <c r="H46" s="49">
        <f t="shared" ref="H46:AK46" si="25">H30*H36</f>
        <v>6.5114583333333335E-3</v>
      </c>
      <c r="I46" s="49">
        <f t="shared" si="25"/>
        <v>0</v>
      </c>
      <c r="J46" s="49">
        <f t="shared" si="25"/>
        <v>0.28980020266939283</v>
      </c>
      <c r="K46" s="49">
        <f t="shared" si="25"/>
        <v>0.10308368022400879</v>
      </c>
      <c r="L46" s="49">
        <f t="shared" si="25"/>
        <v>0.16650714172946823</v>
      </c>
      <c r="M46" s="49">
        <f t="shared" si="25"/>
        <v>7.4756598621743595E-2</v>
      </c>
      <c r="N46" s="49">
        <f t="shared" si="25"/>
        <v>1.4389150298831694</v>
      </c>
      <c r="O46" s="49">
        <f t="shared" si="25"/>
        <v>0.75803461712580711</v>
      </c>
      <c r="P46" s="49">
        <f t="shared" si="25"/>
        <v>2.402653182397072</v>
      </c>
      <c r="Q46" s="49">
        <f t="shared" si="25"/>
        <v>1.8117499843642493</v>
      </c>
      <c r="R46" s="49">
        <f t="shared" si="25"/>
        <v>0.82808199237769986</v>
      </c>
      <c r="S46" s="49">
        <f t="shared" si="25"/>
        <v>0</v>
      </c>
      <c r="T46" s="49">
        <f t="shared" si="25"/>
        <v>5.0657138801604571</v>
      </c>
      <c r="U46" s="49">
        <f t="shared" si="25"/>
        <v>6.5945273146972774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13.90949754901961</v>
      </c>
      <c r="AO46">
        <v>29.591716004894757</v>
      </c>
      <c r="AP46">
        <v>909.9907786963646</v>
      </c>
      <c r="AQ46">
        <v>58.78007041551075</v>
      </c>
      <c r="AR46">
        <v>26.935540276550569</v>
      </c>
      <c r="AS46">
        <v>144.30643590042843</v>
      </c>
      <c r="AT46" t="e">
        <v>#DIV/0!</v>
      </c>
      <c r="AU46" t="e">
        <v>#DIV/0!</v>
      </c>
      <c r="AV46"/>
      <c r="AW46"/>
      <c r="FY46" s="212">
        <v>41</v>
      </c>
      <c r="FZ46">
        <v>2.5637432873598041</v>
      </c>
      <c r="GA46">
        <v>15.659027274808928</v>
      </c>
      <c r="GB46">
        <v>10.415980161459133</v>
      </c>
      <c r="GC46">
        <v>2.9127649868433605</v>
      </c>
      <c r="GD46">
        <v>0.80241165280774107</v>
      </c>
      <c r="GE46">
        <v>0.35947809610506914</v>
      </c>
      <c r="GF46">
        <v>0</v>
      </c>
      <c r="GG46">
        <v>0.83160738614896845</v>
      </c>
      <c r="GH46">
        <v>1.6229601285312325</v>
      </c>
      <c r="GI46">
        <v>6.9592113292088733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12.895220588235293</v>
      </c>
      <c r="AO47">
        <v>35.699491483659919</v>
      </c>
      <c r="AP47">
        <v>639.01953989394019</v>
      </c>
      <c r="AQ47">
        <v>50.289800762175261</v>
      </c>
      <c r="AR47">
        <v>32.522043711165146</v>
      </c>
      <c r="AS47">
        <v>229.04885559396075</v>
      </c>
      <c r="AT47" t="e">
        <v>#DIV/0!</v>
      </c>
      <c r="AU47" t="e">
        <v>#DIV/0!</v>
      </c>
      <c r="AV47"/>
      <c r="AW47"/>
      <c r="FY47" s="212">
        <v>42</v>
      </c>
      <c r="FZ47">
        <v>0</v>
      </c>
      <c r="GA47">
        <v>14.753258486899433</v>
      </c>
      <c r="GB47">
        <v>16.700656967777807</v>
      </c>
      <c r="GC47">
        <v>5.8470393843835753</v>
      </c>
      <c r="GD47">
        <v>0.61214340663849254</v>
      </c>
      <c r="GE47">
        <v>0</v>
      </c>
      <c r="GF47">
        <v>0.80138167652982462</v>
      </c>
      <c r="GG47">
        <v>3.5759117604405652</v>
      </c>
      <c r="GH47">
        <v>1.6229601285312325</v>
      </c>
      <c r="GI47">
        <v>9.5776937934365893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21.456990291531174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9.7757352941176467</v>
      </c>
      <c r="AO48">
        <v>30.080934277015693</v>
      </c>
      <c r="AP48">
        <v>588.67986074715077</v>
      </c>
      <c r="AQ48">
        <v>56.112400921508964</v>
      </c>
      <c r="AR48">
        <v>27.380284160296878</v>
      </c>
      <c r="AS48">
        <v>221.26638300322568</v>
      </c>
      <c r="AT48" t="e">
        <v>#DIV/0!</v>
      </c>
      <c r="AU48" t="e">
        <v>#DIV/0!</v>
      </c>
      <c r="AV48"/>
      <c r="AW48"/>
      <c r="FY48" s="212">
        <v>43</v>
      </c>
      <c r="FZ48">
        <v>1.4812863372853795</v>
      </c>
      <c r="GA48">
        <v>13.893948928423924</v>
      </c>
      <c r="GB48">
        <v>9.1239105300443679</v>
      </c>
      <c r="GC48">
        <v>2.3835834168439054</v>
      </c>
      <c r="GD48">
        <v>0.60489158498823414</v>
      </c>
      <c r="GE48">
        <v>0.35947809610506914</v>
      </c>
      <c r="GF48">
        <v>0.80138167652982462</v>
      </c>
      <c r="GG48">
        <v>4.407519146589534</v>
      </c>
      <c r="GH48">
        <v>3.245920257062465</v>
      </c>
      <c r="GI48">
        <v>7.7955719901751799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10.403860294117646</v>
      </c>
      <c r="AO49">
        <v>34.23663921871271</v>
      </c>
      <c r="AP49">
        <v>854.45061687850671</v>
      </c>
      <c r="AQ49">
        <v>52.09929846450062</v>
      </c>
      <c r="AR49">
        <v>31.158197743657809</v>
      </c>
      <c r="AS49">
        <v>156.50349295860158</v>
      </c>
      <c r="AT49" t="e">
        <v>#DIV/0!</v>
      </c>
      <c r="AU49" t="e">
        <v>#DIV/0!</v>
      </c>
      <c r="AV49"/>
      <c r="AW49"/>
      <c r="FY49" s="212">
        <v>44</v>
      </c>
      <c r="FZ49">
        <v>2.168224369336595</v>
      </c>
      <c r="GA49">
        <v>17.693581533363421</v>
      </c>
      <c r="GB49">
        <v>11.880970172865977</v>
      </c>
      <c r="GC49">
        <v>5.7743864346868286</v>
      </c>
      <c r="GD49">
        <v>2.6919248453571711</v>
      </c>
      <c r="GE49">
        <v>0.35947809610506914</v>
      </c>
      <c r="GF49">
        <v>0.80138167652982462</v>
      </c>
      <c r="GG49">
        <v>5.8173162890543502</v>
      </c>
      <c r="GH49">
        <v>4.8688803855936991</v>
      </c>
      <c r="GI49">
        <v>12.755689878513435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13.059497549019607</v>
      </c>
      <c r="AO50">
        <v>21.104916312906276</v>
      </c>
      <c r="AP50">
        <v>304.78181483384367</v>
      </c>
      <c r="AQ50">
        <v>51.650450717056074</v>
      </c>
      <c r="AR50">
        <v>19.220267829288318</v>
      </c>
      <c r="AS50">
        <v>105.86658820986544</v>
      </c>
      <c r="AT50" t="e">
        <v>#DIV/0!</v>
      </c>
      <c r="AU50" t="e">
        <v>#DIV/0!</v>
      </c>
      <c r="AV50"/>
      <c r="AW50"/>
      <c r="FY50" s="212">
        <v>45</v>
      </c>
      <c r="FZ50">
        <v>0.74064316864268975</v>
      </c>
      <c r="GA50">
        <v>10.95475065822024</v>
      </c>
      <c r="GB50">
        <v>9.8117032501560288</v>
      </c>
      <c r="GC50">
        <v>4.6712065911656007</v>
      </c>
      <c r="GD50">
        <v>1.9069184878941678</v>
      </c>
      <c r="GE50">
        <v>0.71895619221013829</v>
      </c>
      <c r="GF50">
        <v>0.80138167652982462</v>
      </c>
      <c r="GG50">
        <v>4.7322912730722599</v>
      </c>
      <c r="GH50">
        <v>1.6229601285312325</v>
      </c>
      <c r="GI50">
        <v>13.434997731749638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7.9718749999999998</v>
      </c>
      <c r="AO51">
        <v>28.46085298275738</v>
      </c>
      <c r="AP51">
        <v>628.96641523068854</v>
      </c>
      <c r="AQ51">
        <v>59.395311438546329</v>
      </c>
      <c r="AR51">
        <v>25.941463255799206</v>
      </c>
      <c r="AS51">
        <v>158.60821123094757</v>
      </c>
      <c r="AT51" t="e">
        <v>#DIV/0!</v>
      </c>
      <c r="AU51" t="e">
        <v>#DIV/0!</v>
      </c>
      <c r="AV51"/>
      <c r="AW51"/>
      <c r="FY51" s="212">
        <v>46</v>
      </c>
      <c r="FZ51">
        <v>1.273472532445947</v>
      </c>
      <c r="GA51">
        <v>24.340347971802288</v>
      </c>
      <c r="GB51">
        <v>19.031154152846288</v>
      </c>
      <c r="GC51">
        <v>5.3675358891323421</v>
      </c>
      <c r="GD51">
        <v>1.0019661361302201</v>
      </c>
      <c r="GE51">
        <v>0</v>
      </c>
      <c r="GF51">
        <v>0.80138167652982462</v>
      </c>
      <c r="GG51">
        <v>6.1420884155370761</v>
      </c>
      <c r="GH51">
        <v>3.245920257062465</v>
      </c>
      <c r="GI51">
        <v>9.4607292388466906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0</v>
      </c>
      <c r="E52" s="19">
        <f>F374</f>
        <v>0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</v>
      </c>
      <c r="J52" s="49">
        <f t="shared" si="26"/>
        <v>0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10.390318627450979</v>
      </c>
      <c r="AO52">
        <v>35.521539078675708</v>
      </c>
      <c r="AP52">
        <v>445.7938501916355</v>
      </c>
      <c r="AQ52">
        <v>59.472400380859831</v>
      </c>
      <c r="AR52">
        <v>32.326288525442351</v>
      </c>
      <c r="AS52">
        <v>260.22253780768267</v>
      </c>
      <c r="AT52" t="e">
        <v>#DIV/0!</v>
      </c>
      <c r="AU52" t="e">
        <v>#DIV/0!</v>
      </c>
      <c r="AV52"/>
      <c r="AW52"/>
      <c r="FY52" s="212">
        <v>47</v>
      </c>
      <c r="FZ52">
        <v>3.0998831203508068</v>
      </c>
      <c r="GA52">
        <v>29.235392153493002</v>
      </c>
      <c r="GB52">
        <v>16.831430554076434</v>
      </c>
      <c r="GC52">
        <v>3.9721346662906964</v>
      </c>
      <c r="GD52">
        <v>1.2932524332466222</v>
      </c>
      <c r="GE52">
        <v>0</v>
      </c>
      <c r="GF52">
        <v>0</v>
      </c>
      <c r="GG52">
        <v>0.83160738614896845</v>
      </c>
      <c r="GH52">
        <v>1.6229601285312325</v>
      </c>
      <c r="GI52">
        <v>10.012060405612909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55.796863620528832</v>
      </c>
      <c r="E53" s="19">
        <f>F375</f>
        <v>8.5575128293767344E-2</v>
      </c>
      <c r="F53" s="8"/>
      <c r="G53" s="49">
        <f>$E$53*$E$22*G38</f>
        <v>0</v>
      </c>
      <c r="H53" s="49">
        <f t="shared" ref="H53:AK53" si="28">$E$53*$E$22*H38</f>
        <v>0.1142298708621767</v>
      </c>
      <c r="I53" s="49">
        <f t="shared" si="28"/>
        <v>0</v>
      </c>
      <c r="J53" s="49">
        <f t="shared" si="28"/>
        <v>5.0839363522135796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6.0803690766813627</v>
      </c>
      <c r="O53" s="49">
        <f t="shared" si="28"/>
        <v>0</v>
      </c>
      <c r="P53" s="49">
        <f t="shared" si="28"/>
        <v>20.606425956090018</v>
      </c>
      <c r="Q53" s="49">
        <f t="shared" si="28"/>
        <v>16.648422034294981</v>
      </c>
      <c r="R53" s="49">
        <f t="shared" si="28"/>
        <v>7.2634803303867121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13.568137254901959</v>
      </c>
      <c r="AO53">
        <v>42.524026749280281</v>
      </c>
      <c r="AP53">
        <v>623.05996096376498</v>
      </c>
      <c r="AQ53">
        <v>68.133826287288471</v>
      </c>
      <c r="AR53">
        <v>38.692186407810134</v>
      </c>
      <c r="AS53">
        <v>200.38683790629199</v>
      </c>
      <c r="AT53" t="e">
        <v>#DIV/0!</v>
      </c>
      <c r="AU53" t="e">
        <v>#DIV/0!</v>
      </c>
      <c r="AV53"/>
      <c r="AW53"/>
      <c r="FY53" s="212">
        <v>48</v>
      </c>
      <c r="FZ53">
        <v>1.6152863138776818</v>
      </c>
      <c r="GA53">
        <v>16.467598426887239</v>
      </c>
      <c r="GB53">
        <v>17.220216642715926</v>
      </c>
      <c r="GC53">
        <v>6.0936356527890538</v>
      </c>
      <c r="GD53">
        <v>0.7637998227132935</v>
      </c>
      <c r="GE53">
        <v>0.35947809610506914</v>
      </c>
      <c r="GF53">
        <v>0</v>
      </c>
      <c r="GG53">
        <v>0</v>
      </c>
      <c r="GH53">
        <v>0</v>
      </c>
      <c r="GI53">
        <v>8.3537006541607788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13.801470588235293</v>
      </c>
      <c r="AO54">
        <v>35.157642217700335</v>
      </c>
      <c r="AP54">
        <v>422.62228054321849</v>
      </c>
      <c r="AQ54">
        <v>77.570790124586466</v>
      </c>
      <c r="AR54">
        <v>31.961492925182121</v>
      </c>
      <c r="AS54">
        <v>222.84467661358886</v>
      </c>
      <c r="AT54" t="e">
        <v>#DIV/0!</v>
      </c>
      <c r="AU54" t="e">
        <v>#DIV/0!</v>
      </c>
      <c r="AV54"/>
      <c r="AW54"/>
      <c r="FY54" s="212">
        <v>49</v>
      </c>
      <c r="FZ54">
        <v>1.10256564173008</v>
      </c>
      <c r="GA54">
        <v>20.242379582787354</v>
      </c>
      <c r="GB54">
        <v>14.555868175848953</v>
      </c>
      <c r="GC54">
        <v>4.5924004537048457</v>
      </c>
      <c r="GD54">
        <v>1.2152649448217585</v>
      </c>
      <c r="GE54">
        <v>0</v>
      </c>
      <c r="GF54">
        <v>2.4041450295894737</v>
      </c>
      <c r="GG54">
        <v>8.2329131228747894</v>
      </c>
      <c r="GH54">
        <v>0</v>
      </c>
      <c r="GI54">
        <v>13.771576217796348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51.361750337963244</v>
      </c>
      <c r="E55" s="19">
        <f t="shared" si="29"/>
        <v>3.2235005150700921E-2</v>
      </c>
      <c r="F55" s="8"/>
      <c r="G55" s="49">
        <f>$E$55*$E$24*G40</f>
        <v>0</v>
      </c>
      <c r="H55" s="49">
        <f t="shared" ref="H55:AK55" si="31">$E$55*$E$24*H40</f>
        <v>0</v>
      </c>
      <c r="I55" s="49">
        <f t="shared" si="31"/>
        <v>0</v>
      </c>
      <c r="J55" s="49">
        <f t="shared" si="31"/>
        <v>0</v>
      </c>
      <c r="K55" s="49">
        <f t="shared" si="31"/>
        <v>0.4652064148163782</v>
      </c>
      <c r="L55" s="49">
        <f t="shared" si="31"/>
        <v>0.75143019997890548</v>
      </c>
      <c r="M55" s="49">
        <f t="shared" si="31"/>
        <v>0</v>
      </c>
      <c r="N55" s="49">
        <f t="shared" si="31"/>
        <v>4.9295094182460133</v>
      </c>
      <c r="O55" s="49">
        <f t="shared" si="31"/>
        <v>3.420934970244399</v>
      </c>
      <c r="P55" s="49">
        <f t="shared" si="31"/>
        <v>5.5419446983541025</v>
      </c>
      <c r="Q55" s="49">
        <f t="shared" si="31"/>
        <v>3.8934513385175928</v>
      </c>
      <c r="R55" s="49">
        <f t="shared" si="31"/>
        <v>0</v>
      </c>
      <c r="S55" s="49">
        <f t="shared" si="31"/>
        <v>0</v>
      </c>
      <c r="T55" s="49">
        <f t="shared" si="31"/>
        <v>9.9829973024685259</v>
      </c>
      <c r="U55" s="49">
        <f t="shared" si="31"/>
        <v>22.376275995337327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13.387928921568626</v>
      </c>
      <c r="AO55">
        <v>32.763853271905916</v>
      </c>
      <c r="AP55">
        <v>635.57989735082356</v>
      </c>
      <c r="AQ55">
        <v>66.643321259439858</v>
      </c>
      <c r="AR55">
        <v>29.853281700479695</v>
      </c>
      <c r="AS55">
        <v>167.16159849792243</v>
      </c>
      <c r="AT55" t="e">
        <v>#DIV/0!</v>
      </c>
      <c r="AU55" t="e">
        <v>#DIV/0!</v>
      </c>
      <c r="AV55"/>
      <c r="AW55"/>
      <c r="FY55" s="212">
        <v>50</v>
      </c>
      <c r="FZ55">
        <v>0.53282936380325752</v>
      </c>
      <c r="GA55">
        <v>18.125040086469085</v>
      </c>
      <c r="GB55">
        <v>17.777139848331537</v>
      </c>
      <c r="GC55">
        <v>5.96335540496238</v>
      </c>
      <c r="GD55">
        <v>1.0618238430129676</v>
      </c>
      <c r="GE55">
        <v>0.35947809610506914</v>
      </c>
      <c r="GF55">
        <v>0</v>
      </c>
      <c r="GG55">
        <v>1.4097971424648157</v>
      </c>
      <c r="GH55">
        <v>1.6229601285312325</v>
      </c>
      <c r="GI55">
        <v>13.807162682151018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28.29031417378803</v>
      </c>
      <c r="E56" s="19">
        <f t="shared" si="29"/>
        <v>2.2468299678438813E-2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0</v>
      </c>
      <c r="J56" s="49">
        <f t="shared" si="32"/>
        <v>0</v>
      </c>
      <c r="K56" s="49">
        <f t="shared" si="32"/>
        <v>0.27793380230752635</v>
      </c>
      <c r="L56" s="49">
        <f t="shared" si="32"/>
        <v>0.12044621253294949</v>
      </c>
      <c r="M56" s="49">
        <f t="shared" si="32"/>
        <v>0</v>
      </c>
      <c r="N56" s="49">
        <f t="shared" si="32"/>
        <v>0.84954676475627189</v>
      </c>
      <c r="O56" s="49">
        <f t="shared" si="32"/>
        <v>0.45417997184568687</v>
      </c>
      <c r="P56" s="49">
        <f t="shared" si="32"/>
        <v>1.7274730152144679</v>
      </c>
      <c r="Q56" s="49">
        <f t="shared" si="32"/>
        <v>0</v>
      </c>
      <c r="R56" s="49">
        <f t="shared" si="32"/>
        <v>1.1163356617836504</v>
      </c>
      <c r="S56" s="49">
        <f t="shared" si="32"/>
        <v>0</v>
      </c>
      <c r="T56" s="49">
        <f t="shared" si="32"/>
        <v>5.9642608320352251</v>
      </c>
      <c r="U56" s="49">
        <f t="shared" si="32"/>
        <v>17.780137913312252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13.242095588235292</v>
      </c>
      <c r="AO56">
        <v>41.309089480377608</v>
      </c>
      <c r="AP56">
        <v>943.61516024114303</v>
      </c>
      <c r="AQ56">
        <v>56.173137080058552</v>
      </c>
      <c r="AR56">
        <v>37.621678253635778</v>
      </c>
      <c r="AS56">
        <v>204.06690496427319</v>
      </c>
      <c r="AT56" t="e">
        <v>#DIV/0!</v>
      </c>
      <c r="AU56" t="e">
        <v>#DIV/0!</v>
      </c>
      <c r="AV56"/>
      <c r="AW56"/>
      <c r="FY56" s="212">
        <v>51</v>
      </c>
      <c r="FZ56">
        <v>1.8432088103727695</v>
      </c>
      <c r="GA56">
        <v>12.253203604617964</v>
      </c>
      <c r="GB56">
        <v>7.6129417913034771</v>
      </c>
      <c r="GC56">
        <v>2.6251597666525717</v>
      </c>
      <c r="GD56">
        <v>1.3281695052028368</v>
      </c>
      <c r="GE56">
        <v>0.71895619221013829</v>
      </c>
      <c r="GF56">
        <v>1.6027633530596492</v>
      </c>
      <c r="GG56">
        <v>6.0667985048990403</v>
      </c>
      <c r="GH56">
        <v>0</v>
      </c>
      <c r="GI56">
        <v>8.2944504782904911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0</v>
      </c>
      <c r="E57" s="19">
        <f t="shared" si="29"/>
        <v>0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0</v>
      </c>
      <c r="J57" s="49">
        <f t="shared" si="33"/>
        <v>0</v>
      </c>
      <c r="K57" s="49">
        <f t="shared" si="33"/>
        <v>0</v>
      </c>
      <c r="L57" s="49">
        <f t="shared" si="33"/>
        <v>0</v>
      </c>
      <c r="M57" s="49">
        <f t="shared" si="33"/>
        <v>0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12.348039215686271</v>
      </c>
      <c r="AO57">
        <v>14.770098550541979</v>
      </c>
      <c r="AP57">
        <v>175.02262449143106</v>
      </c>
      <c r="AQ57">
        <v>42.127184303273111</v>
      </c>
      <c r="AR57">
        <v>13.427362318674524</v>
      </c>
      <c r="AS57">
        <v>103.76657912883356</v>
      </c>
      <c r="AT57" t="e">
        <v>#DIV/0!</v>
      </c>
      <c r="AU57" t="e">
        <v>#DIV/0!</v>
      </c>
      <c r="AV57"/>
      <c r="AW57"/>
      <c r="FY57" s="212">
        <v>52</v>
      </c>
      <c r="FZ57">
        <v>0</v>
      </c>
      <c r="GA57">
        <v>8.8226470151336365</v>
      </c>
      <c r="GB57">
        <v>10.989251323298769</v>
      </c>
      <c r="GC57">
        <v>4.3363956982889516</v>
      </c>
      <c r="GD57">
        <v>0.93123497966012592</v>
      </c>
      <c r="GE57">
        <v>0.71895619221013829</v>
      </c>
      <c r="GF57">
        <v>0</v>
      </c>
      <c r="GG57">
        <v>2.241404528613784</v>
      </c>
      <c r="GH57">
        <v>3.245920257062465</v>
      </c>
      <c r="GI57">
        <v>11.56609442322835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171.55484317183846</v>
      </c>
      <c r="E58" s="19">
        <f t="shared" si="29"/>
        <v>0.24868641438219299</v>
      </c>
      <c r="F58" s="8"/>
      <c r="G58" s="49">
        <f>$E$58*$E$27*G43</f>
        <v>0</v>
      </c>
      <c r="H58" s="49">
        <f t="shared" ref="H58:AK58" si="34">$E$58*$E$27*H43</f>
        <v>0</v>
      </c>
      <c r="I58" s="49">
        <f t="shared" si="34"/>
        <v>0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171.55484317183846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6.8260416666666668</v>
      </c>
      <c r="AO58">
        <v>23.440493781718722</v>
      </c>
      <c r="AP58">
        <v>520.49992866033722</v>
      </c>
      <c r="AQ58">
        <v>53.491045604637513</v>
      </c>
      <c r="AR58">
        <v>21.309539801562476</v>
      </c>
      <c r="AS58">
        <v>120.72059730290859</v>
      </c>
      <c r="AT58" t="e">
        <v>#DIV/0!</v>
      </c>
      <c r="AU58" t="e">
        <v>#DIV/0!</v>
      </c>
      <c r="AV58"/>
      <c r="AW58"/>
      <c r="FY58" s="212">
        <v>53</v>
      </c>
      <c r="FZ58">
        <v>2.92897622963494</v>
      </c>
      <c r="GA58">
        <v>27.814075432927975</v>
      </c>
      <c r="GB58">
        <v>19.653154552801759</v>
      </c>
      <c r="GC58">
        <v>5.850696636459646</v>
      </c>
      <c r="GD58">
        <v>1.714721020087143</v>
      </c>
      <c r="GE58">
        <v>0.35947809610506914</v>
      </c>
      <c r="GF58">
        <v>1.6027633530596492</v>
      </c>
      <c r="GG58">
        <v>7.1518235208811305</v>
      </c>
      <c r="GH58">
        <v>3.245920257062465</v>
      </c>
      <c r="GI58">
        <v>14.115530901216912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10.044178921568626</v>
      </c>
      <c r="AO59">
        <v>26.691309011067545</v>
      </c>
      <c r="AP59">
        <v>340.12341348925395</v>
      </c>
      <c r="AQ59">
        <v>44.097491964047876</v>
      </c>
      <c r="AR59">
        <v>24.264826373697773</v>
      </c>
      <c r="AS59">
        <v>115.52846922499013</v>
      </c>
      <c r="AT59" t="e">
        <v>#DIV/0!</v>
      </c>
      <c r="AU59" t="e">
        <v>#DIV/0!</v>
      </c>
      <c r="AV59"/>
      <c r="AW59"/>
      <c r="FY59" s="212">
        <v>54</v>
      </c>
      <c r="FZ59">
        <v>0.91155005935855693</v>
      </c>
      <c r="GA59">
        <v>17.662893387795314</v>
      </c>
      <c r="GB59">
        <v>13.901182622007843</v>
      </c>
      <c r="GC59">
        <v>4.998044706947514</v>
      </c>
      <c r="GD59">
        <v>1.3985457380387527</v>
      </c>
      <c r="GE59">
        <v>0</v>
      </c>
      <c r="GF59">
        <v>0.80138167652982462</v>
      </c>
      <c r="GG59">
        <v>4.9857089029053814</v>
      </c>
      <c r="GH59">
        <v>3.245920257062465</v>
      </c>
      <c r="GI59">
        <v>10.486246376839711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11.820526960784314</v>
      </c>
      <c r="AO60">
        <v>45.547031412323705</v>
      </c>
      <c r="AP60">
        <v>685.39087497835078</v>
      </c>
      <c r="AQ60">
        <v>64.81183368140637</v>
      </c>
      <c r="AR60">
        <v>41.50833300932392</v>
      </c>
      <c r="AS60">
        <v>244.70406916025536</v>
      </c>
      <c r="AT60" t="e">
        <v>#DIV/0!</v>
      </c>
      <c r="AU60" t="e">
        <v>#DIV/0!</v>
      </c>
      <c r="AV60"/>
      <c r="AW60"/>
      <c r="FY60" s="212">
        <v>55</v>
      </c>
      <c r="FZ60">
        <v>0</v>
      </c>
      <c r="GA60">
        <v>16.819390528058861</v>
      </c>
      <c r="GB60">
        <v>21.111026861399928</v>
      </c>
      <c r="GC60">
        <v>7.3937666844555601</v>
      </c>
      <c r="GD60">
        <v>0.80241165280774107</v>
      </c>
      <c r="GE60">
        <v>0.35947809610506914</v>
      </c>
      <c r="GF60">
        <v>0</v>
      </c>
      <c r="GG60">
        <v>0</v>
      </c>
      <c r="GH60">
        <v>0</v>
      </c>
      <c r="GI60">
        <v>8.5826230816159335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10.89344362745098</v>
      </c>
      <c r="AO61">
        <v>41.278011107759916</v>
      </c>
      <c r="AP61">
        <v>885.67456253226533</v>
      </c>
      <c r="AQ61">
        <v>49.395809158171822</v>
      </c>
      <c r="AR61">
        <v>37.525464643418097</v>
      </c>
      <c r="AS61">
        <v>216.19995889206581</v>
      </c>
      <c r="AT61" t="e">
        <v>#DIV/0!</v>
      </c>
      <c r="AU61" t="e">
        <v>#DIV/0!</v>
      </c>
      <c r="AV61"/>
      <c r="AW61"/>
      <c r="FY61" s="212">
        <v>56</v>
      </c>
      <c r="FZ61">
        <v>1.8231001187171139</v>
      </c>
      <c r="GA61">
        <v>18.506396247531772</v>
      </c>
      <c r="GB61">
        <v>12.074861135988781</v>
      </c>
      <c r="GC61">
        <v>3.7710412547896168</v>
      </c>
      <c r="GD61">
        <v>1.2293450445914633</v>
      </c>
      <c r="GE61">
        <v>0.35947809610506914</v>
      </c>
      <c r="GF61">
        <v>1.6027633530596492</v>
      </c>
      <c r="GG61">
        <v>7.4765956473638564</v>
      </c>
      <c r="GH61">
        <v>1.6229601285312325</v>
      </c>
      <c r="GI61">
        <v>10.365191056574638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10.143443627450981</v>
      </c>
      <c r="AO62">
        <v>33.127741441181996</v>
      </c>
      <c r="AP62">
        <v>1040.8776985985546</v>
      </c>
      <c r="AQ62">
        <v>70.664596270333135</v>
      </c>
      <c r="AR62">
        <v>30.150108854993515</v>
      </c>
      <c r="AS62">
        <v>180.66607700379609</v>
      </c>
      <c r="AT62" t="e">
        <v>#DIV/0!</v>
      </c>
      <c r="AU62" t="e">
        <v>#DIV/0!</v>
      </c>
      <c r="AV62"/>
      <c r="AW62"/>
      <c r="FY62" s="212">
        <v>57</v>
      </c>
      <c r="FZ62">
        <v>1.6353950055333373</v>
      </c>
      <c r="GA62">
        <v>12.817896809232</v>
      </c>
      <c r="GB62">
        <v>13.883385605685088</v>
      </c>
      <c r="GC62">
        <v>6.4084267343266132</v>
      </c>
      <c r="GD62">
        <v>1.9613951034923098</v>
      </c>
      <c r="GE62">
        <v>0.35947809610506914</v>
      </c>
      <c r="GF62">
        <v>0.80138167652982462</v>
      </c>
      <c r="GG62">
        <v>4.1541015167564126</v>
      </c>
      <c r="GH62">
        <v>1.6229601285312325</v>
      </c>
      <c r="GI62">
        <v>11.71726973650118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307.00377130411857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12.55147058823529</v>
      </c>
      <c r="AO63">
        <v>25.649031806403269</v>
      </c>
      <c r="AP63">
        <v>264.97628824865188</v>
      </c>
      <c r="AQ63">
        <v>66.898720847750667</v>
      </c>
      <c r="AR63">
        <v>23.453222730587957</v>
      </c>
      <c r="AS63">
        <v>203.48945640835998</v>
      </c>
      <c r="AT63" t="e">
        <v>#DIV/0!</v>
      </c>
      <c r="AU63" t="e">
        <v>#DIV/0!</v>
      </c>
      <c r="AV63"/>
      <c r="AW63"/>
      <c r="FY63" s="212">
        <v>58</v>
      </c>
      <c r="FZ63">
        <v>1.6353950055333373</v>
      </c>
      <c r="GA63">
        <v>5.6908656002978288</v>
      </c>
      <c r="GB63">
        <v>6.8540465881565371</v>
      </c>
      <c r="GC63">
        <v>2.7797907320197308</v>
      </c>
      <c r="GD63">
        <v>0.41612450662143852</v>
      </c>
      <c r="GE63">
        <v>0</v>
      </c>
      <c r="GF63">
        <v>0.80138167652982462</v>
      </c>
      <c r="GG63">
        <v>5.5638986592212287</v>
      </c>
      <c r="GH63">
        <v>3.245920257062465</v>
      </c>
      <c r="GI63">
        <v>5.200220219694172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10.254901960784313</v>
      </c>
      <c r="AO64">
        <v>21.671322093036583</v>
      </c>
      <c r="AP64">
        <v>101.70035476011709</v>
      </c>
      <c r="AQ64">
        <v>50.873715609249047</v>
      </c>
      <c r="AR64">
        <v>19.735182174861322</v>
      </c>
      <c r="AS64">
        <v>138.04499136470187</v>
      </c>
      <c r="AT64" t="e">
        <v>#DIV/0!</v>
      </c>
      <c r="AU64" t="e">
        <v>#DIV/0!</v>
      </c>
      <c r="AV64"/>
      <c r="AW64"/>
      <c r="FY64" s="212">
        <v>59</v>
      </c>
      <c r="FZ64">
        <v>1.273472532445947</v>
      </c>
      <c r="GA64">
        <v>27.121578671204229</v>
      </c>
      <c r="GB64">
        <v>16.86981569560573</v>
      </c>
      <c r="GC64">
        <v>3.511795271529917</v>
      </c>
      <c r="GD64">
        <v>0.75822749293182889</v>
      </c>
      <c r="GE64">
        <v>0.35947809610506914</v>
      </c>
      <c r="GF64">
        <v>2.4041450295894737</v>
      </c>
      <c r="GG64">
        <v>8.8111028791906367</v>
      </c>
      <c r="GH64">
        <v>0</v>
      </c>
      <c r="GI64">
        <v>15.085012234128012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10.680943627450981</v>
      </c>
      <c r="AO65">
        <v>35.91648697368786</v>
      </c>
      <c r="AP65">
        <v>673.56221872492654</v>
      </c>
      <c r="AQ65">
        <v>66.117113169153612</v>
      </c>
      <c r="AR65">
        <v>32.685332066362484</v>
      </c>
      <c r="AS65">
        <v>186.70958977163502</v>
      </c>
      <c r="AT65" t="e">
        <v>#DIV/0!</v>
      </c>
      <c r="AU65" t="e">
        <v>#DIV/0!</v>
      </c>
      <c r="AV65"/>
      <c r="AW65"/>
      <c r="FY65" s="212">
        <v>60</v>
      </c>
      <c r="FZ65">
        <v>0.53282936380325752</v>
      </c>
      <c r="GA65">
        <v>8.8533351607017412</v>
      </c>
      <c r="GB65">
        <v>8.6259408685268859</v>
      </c>
      <c r="GC65">
        <v>4.0355417940316709</v>
      </c>
      <c r="GD65">
        <v>1.4587583685556789</v>
      </c>
      <c r="GE65">
        <v>0.35947809610506914</v>
      </c>
      <c r="GF65">
        <v>0.80138167652982462</v>
      </c>
      <c r="GG65">
        <v>4.1541015167564126</v>
      </c>
      <c r="GH65">
        <v>1.6229601285312325</v>
      </c>
      <c r="GI65">
        <v>8.8066020221016501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10.427083333333332</v>
      </c>
      <c r="AO66">
        <v>43.723944722897095</v>
      </c>
      <c r="AP66">
        <v>491.95193865670132</v>
      </c>
      <c r="AQ66">
        <v>60.659586595831364</v>
      </c>
      <c r="AR66">
        <v>39.783020929279964</v>
      </c>
      <c r="AS66">
        <v>232.43252548242629</v>
      </c>
      <c r="AT66" t="e">
        <v>#DIV/0!</v>
      </c>
      <c r="AU66" t="e">
        <v>#DIV/0!</v>
      </c>
      <c r="AV66"/>
      <c r="AW66"/>
      <c r="FY66" s="212">
        <v>61</v>
      </c>
      <c r="FZ66">
        <v>3.3076969251902399</v>
      </c>
      <c r="GA66">
        <v>24.524877029758397</v>
      </c>
      <c r="GB66">
        <v>13.864739616226903</v>
      </c>
      <c r="GC66">
        <v>3.5898694875243069</v>
      </c>
      <c r="GD66">
        <v>1.4216477062636841</v>
      </c>
      <c r="GE66">
        <v>0.35947809610506914</v>
      </c>
      <c r="GF66">
        <v>0.80138167652982462</v>
      </c>
      <c r="GG66">
        <v>4.9857089029053814</v>
      </c>
      <c r="GH66">
        <v>3.245920257062465</v>
      </c>
      <c r="GI66">
        <v>9.0814560652820173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10.359803921568627</v>
      </c>
      <c r="AO67">
        <v>23.184150807531104</v>
      </c>
      <c r="AP67">
        <v>690.93216657743824</v>
      </c>
      <c r="AQ67">
        <v>42.345652006608944</v>
      </c>
      <c r="AR67">
        <v>21.110481006219981</v>
      </c>
      <c r="AS67">
        <v>113.98322403030859</v>
      </c>
      <c r="AT67" t="e">
        <v>#DIV/0!</v>
      </c>
      <c r="AU67" t="e">
        <v>#DIV/0!</v>
      </c>
      <c r="AV67"/>
      <c r="AW67"/>
      <c r="FY67" s="212">
        <v>62</v>
      </c>
      <c r="FZ67">
        <v>1.8063018962492046</v>
      </c>
      <c r="GA67">
        <v>24.389844992461722</v>
      </c>
      <c r="GB67">
        <v>17.512177398111252</v>
      </c>
      <c r="GC67">
        <v>4.1338648174455717</v>
      </c>
      <c r="GD67">
        <v>0.63499564509444162</v>
      </c>
      <c r="GE67">
        <v>0</v>
      </c>
      <c r="GF67">
        <v>0.80138167652982462</v>
      </c>
      <c r="GG67">
        <v>3.5759117604405652</v>
      </c>
      <c r="GH67">
        <v>1.6229601285312325</v>
      </c>
      <c r="GI67">
        <v>7.9376772155223243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7.697916666666667</v>
      </c>
      <c r="AO68">
        <v>36.563079457531778</v>
      </c>
      <c r="AP68">
        <v>480.68370427658812</v>
      </c>
      <c r="AQ68">
        <v>42.851904417496229</v>
      </c>
      <c r="AR68">
        <v>33.239163143210703</v>
      </c>
      <c r="AS68">
        <v>163.55519563117636</v>
      </c>
      <c r="AT68" t="e">
        <v>#DIV/0!</v>
      </c>
      <c r="AU68" t="e">
        <v>#DIV/0!</v>
      </c>
      <c r="AV68"/>
      <c r="AW68"/>
      <c r="FY68" s="212">
        <v>63</v>
      </c>
      <c r="FZ68">
        <v>0.91155005935855693</v>
      </c>
      <c r="GA68">
        <v>12.178973664665163</v>
      </c>
      <c r="GB68">
        <v>17.121751693774591</v>
      </c>
      <c r="GC68">
        <v>6.9571284518792318</v>
      </c>
      <c r="GD68">
        <v>1.1785306863705425</v>
      </c>
      <c r="GE68">
        <v>0.71895619221013829</v>
      </c>
      <c r="GF68">
        <v>2.4041450295894737</v>
      </c>
      <c r="GG68">
        <v>10.220900021655453</v>
      </c>
      <c r="GH68">
        <v>1.6229601285312325</v>
      </c>
      <c r="GI68">
        <v>10.306307009443367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13.776470588235295</v>
      </c>
      <c r="AO69">
        <v>42.420763309613491</v>
      </c>
      <c r="AP69">
        <v>610.77066905007837</v>
      </c>
      <c r="AQ69">
        <v>84.437140000236695</v>
      </c>
      <c r="AR69">
        <v>38.700251369869974</v>
      </c>
      <c r="AS69">
        <v>220.65107508647472</v>
      </c>
      <c r="AT69" t="e">
        <v>#DIV/0!</v>
      </c>
      <c r="AU69" t="e">
        <v>#DIV/0!</v>
      </c>
      <c r="AV69"/>
      <c r="AW69"/>
      <c r="FY69" s="212">
        <v>64</v>
      </c>
      <c r="FZ69">
        <v>1.273472532445947</v>
      </c>
      <c r="GA69">
        <v>14.728896490349401</v>
      </c>
      <c r="GB69">
        <v>14.894062618602751</v>
      </c>
      <c r="GC69">
        <v>4.759587319110044</v>
      </c>
      <c r="GD69">
        <v>0.58203934653228517</v>
      </c>
      <c r="GE69">
        <v>0.35947809610506914</v>
      </c>
      <c r="GF69">
        <v>0</v>
      </c>
      <c r="GG69">
        <v>1.9879868987806626</v>
      </c>
      <c r="GH69">
        <v>1.6229601285312325</v>
      </c>
      <c r="GI69">
        <v>10.475457309491796</v>
      </c>
      <c r="GJ69"/>
      <c r="GK69"/>
      <c r="GL69"/>
      <c r="GM69"/>
    </row>
    <row r="70" spans="1:195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1.0416666666666665</v>
      </c>
      <c r="E70" s="64"/>
      <c r="F70" s="64"/>
      <c r="G70" s="18">
        <f>AVERAGE(E228:E237)</f>
        <v>0</v>
      </c>
      <c r="H70" s="18">
        <f t="shared" ref="H70:AK70" si="40">AVERAGE(F228:F237)</f>
        <v>0</v>
      </c>
      <c r="I70" s="18">
        <f t="shared" si="40"/>
        <v>0</v>
      </c>
      <c r="J70" s="18">
        <f t="shared" si="40"/>
        <v>0</v>
      </c>
      <c r="K70" s="18">
        <f t="shared" si="40"/>
        <v>0</v>
      </c>
      <c r="L70" s="18">
        <f t="shared" si="40"/>
        <v>0</v>
      </c>
      <c r="M70" s="18">
        <f t="shared" si="40"/>
        <v>1.0416666666666665</v>
      </c>
      <c r="N70" s="18">
        <f t="shared" si="40"/>
        <v>0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9.63302696078431</v>
      </c>
      <c r="AO70">
        <v>29.827160763667273</v>
      </c>
      <c r="AP70">
        <v>543.8492265982045</v>
      </c>
      <c r="AQ70">
        <v>58.391473727485362</v>
      </c>
      <c r="AR70">
        <v>27.115600694242975</v>
      </c>
      <c r="AS70">
        <v>163.97280190657921</v>
      </c>
      <c r="AT70" t="e">
        <v>#DIV/0!</v>
      </c>
      <c r="AU70" t="e">
        <v>#DIV/0!</v>
      </c>
      <c r="AV70"/>
      <c r="AW70"/>
      <c r="FY70" s="212">
        <v>65</v>
      </c>
      <c r="FZ70">
        <v>2.1850225918045041</v>
      </c>
      <c r="GA70">
        <v>18.587304085203574</v>
      </c>
      <c r="GB70">
        <v>12.393029003553707</v>
      </c>
      <c r="GC70">
        <v>3.6686795574619451</v>
      </c>
      <c r="GD70">
        <v>0.9013952882519225</v>
      </c>
      <c r="GE70">
        <v>0.35947809610506914</v>
      </c>
      <c r="GF70">
        <v>0</v>
      </c>
      <c r="GG70">
        <v>1.4097971424648157</v>
      </c>
      <c r="GH70">
        <v>1.6229601285312325</v>
      </c>
      <c r="GI70">
        <v>12.063372043265121</v>
      </c>
      <c r="GJ70"/>
      <c r="GK70"/>
      <c r="GL70"/>
      <c r="GM70"/>
    </row>
    <row r="71" spans="1:195" s="7" customFormat="1">
      <c r="A71" s="4"/>
      <c r="B71" s="66"/>
      <c r="C71" s="71">
        <f t="shared" si="38"/>
        <v>39673</v>
      </c>
      <c r="D71" s="72">
        <f t="shared" si="39"/>
        <v>42.892156862745097</v>
      </c>
      <c r="E71" s="64"/>
      <c r="F71" s="64"/>
      <c r="G71" s="18">
        <f>AVERAGE(E238:E247)</f>
        <v>0</v>
      </c>
      <c r="H71" s="18">
        <f t="shared" ref="H71:AK71" si="41">AVERAGE(F238:F247)</f>
        <v>14.297385620915032</v>
      </c>
      <c r="I71" s="18">
        <f t="shared" si="41"/>
        <v>0</v>
      </c>
      <c r="J71" s="18">
        <f t="shared" si="41"/>
        <v>28.594771241830063</v>
      </c>
      <c r="K71" s="18">
        <f t="shared" si="41"/>
        <v>0</v>
      </c>
      <c r="L71" s="18">
        <f t="shared" si="41"/>
        <v>0</v>
      </c>
      <c r="M71" s="18">
        <f t="shared" si="41"/>
        <v>0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7.71875</v>
      </c>
      <c r="AO71">
        <v>19.575763945456089</v>
      </c>
      <c r="AP71">
        <v>353.81179224764418</v>
      </c>
      <c r="AQ71">
        <v>55.068696904443101</v>
      </c>
      <c r="AR71">
        <v>17.796149041323716</v>
      </c>
      <c r="AS71">
        <v>110.49176657177711</v>
      </c>
      <c r="AT71" t="e">
        <v>#DIV/0!</v>
      </c>
      <c r="AU71" t="e">
        <v>#DIV/0!</v>
      </c>
      <c r="AV71"/>
      <c r="AW71"/>
      <c r="FY71" s="212">
        <v>66</v>
      </c>
      <c r="FZ71">
        <v>0.36192247308739012</v>
      </c>
      <c r="GA71">
        <v>10.484048661735493</v>
      </c>
      <c r="GB71">
        <v>12.39073350030371</v>
      </c>
      <c r="GC71">
        <v>4.2051349734651016</v>
      </c>
      <c r="GD71">
        <v>1.0198721784144658</v>
      </c>
      <c r="GE71">
        <v>1.0784342883152076</v>
      </c>
      <c r="GF71">
        <v>0</v>
      </c>
      <c r="GG71">
        <v>2.8195942849296314</v>
      </c>
      <c r="GH71">
        <v>3.245920257062465</v>
      </c>
      <c r="GI71">
        <v>6.5630315589134938</v>
      </c>
      <c r="GJ71"/>
      <c r="GK71"/>
      <c r="GL71"/>
      <c r="GM71"/>
    </row>
    <row r="72" spans="1:195" s="7" customFormat="1">
      <c r="A72" s="4"/>
      <c r="B72" s="66"/>
      <c r="C72" s="71">
        <f t="shared" si="38"/>
        <v>39714</v>
      </c>
      <c r="D72" s="72">
        <f t="shared" si="39"/>
        <v>12.499999999999998</v>
      </c>
      <c r="E72" s="64"/>
      <c r="F72" s="64"/>
      <c r="G72" s="18">
        <f>AVERAGE(E248:E257)</f>
        <v>0</v>
      </c>
      <c r="H72" s="18">
        <f t="shared" ref="H72:AK72" si="42">AVERAGE(F248:F257)</f>
        <v>0</v>
      </c>
      <c r="I72" s="18">
        <f t="shared" si="42"/>
        <v>0</v>
      </c>
      <c r="J72" s="18">
        <f t="shared" si="42"/>
        <v>0</v>
      </c>
      <c r="K72" s="18">
        <f t="shared" si="42"/>
        <v>0</v>
      </c>
      <c r="L72" s="18">
        <f t="shared" si="42"/>
        <v>0</v>
      </c>
      <c r="M72" s="18">
        <f t="shared" si="42"/>
        <v>0</v>
      </c>
      <c r="N72" s="18">
        <f t="shared" si="42"/>
        <v>3.125</v>
      </c>
      <c r="O72" s="18">
        <f t="shared" si="42"/>
        <v>0</v>
      </c>
      <c r="P72" s="18">
        <f t="shared" si="42"/>
        <v>5.208333333333333</v>
      </c>
      <c r="Q72" s="18">
        <f t="shared" si="42"/>
        <v>3.125</v>
      </c>
      <c r="R72" s="18">
        <f t="shared" si="42"/>
        <v>1.0416666666666665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11.922303921568627</v>
      </c>
      <c r="AO72">
        <v>27.09381034615318</v>
      </c>
      <c r="AP72">
        <v>934.71159703311457</v>
      </c>
      <c r="AQ72">
        <v>58.831732083253193</v>
      </c>
      <c r="AR72">
        <v>24.630736678321075</v>
      </c>
      <c r="AS72">
        <v>148.19592826020187</v>
      </c>
      <c r="AT72" t="e">
        <v>#DIV/0!</v>
      </c>
      <c r="AU72" t="e">
        <v>#DIV/0!</v>
      </c>
      <c r="AV72"/>
      <c r="AW72"/>
      <c r="FY72" s="212">
        <v>67</v>
      </c>
      <c r="FZ72">
        <v>1.10256564173008</v>
      </c>
      <c r="GA72">
        <v>5.3180647370461216</v>
      </c>
      <c r="GB72">
        <v>12.111091693788248</v>
      </c>
      <c r="GC72">
        <v>5.6152288446537328</v>
      </c>
      <c r="GD72">
        <v>0.65774268968519456</v>
      </c>
      <c r="GE72">
        <v>0.35947809610506914</v>
      </c>
      <c r="GF72">
        <v>0.80138167652982462</v>
      </c>
      <c r="GG72">
        <v>3.9006838869232907</v>
      </c>
      <c r="GH72">
        <v>0</v>
      </c>
      <c r="GI72">
        <v>11.055686850798535</v>
      </c>
      <c r="GJ72"/>
      <c r="GK72"/>
      <c r="GL72"/>
      <c r="GM72"/>
    </row>
    <row r="73" spans="1:195" s="7" customFormat="1">
      <c r="A73" s="4"/>
      <c r="B73" s="66"/>
      <c r="C73" s="71">
        <f t="shared" si="38"/>
        <v>39747</v>
      </c>
      <c r="D73" s="72">
        <f t="shared" si="39"/>
        <v>18.939393939393938</v>
      </c>
      <c r="E73" s="64"/>
      <c r="F73" s="64"/>
      <c r="G73" s="18">
        <f>AVERAGE(E258:E267)</f>
        <v>0</v>
      </c>
      <c r="H73" s="18">
        <f t="shared" ref="H73:AK73" si="43">AVERAGE(F258:F267)</f>
        <v>0</v>
      </c>
      <c r="I73" s="18">
        <f t="shared" si="43"/>
        <v>0</v>
      </c>
      <c r="J73" s="18">
        <f t="shared" si="43"/>
        <v>0</v>
      </c>
      <c r="K73" s="18">
        <f t="shared" si="43"/>
        <v>0</v>
      </c>
      <c r="L73" s="18">
        <f t="shared" si="43"/>
        <v>2.8409090909090908</v>
      </c>
      <c r="M73" s="18">
        <f t="shared" si="43"/>
        <v>0</v>
      </c>
      <c r="N73" s="18">
        <f t="shared" si="43"/>
        <v>7.007575757575756</v>
      </c>
      <c r="O73" s="18">
        <f t="shared" si="43"/>
        <v>3.6458333333333335</v>
      </c>
      <c r="P73" s="18">
        <f t="shared" si="43"/>
        <v>2.604166666666667</v>
      </c>
      <c r="Q73" s="18">
        <f t="shared" si="43"/>
        <v>2.8409090909090908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11.049693627450981</v>
      </c>
      <c r="AO73">
        <v>41.98560350766769</v>
      </c>
      <c r="AP73">
        <v>612.99466950126657</v>
      </c>
      <c r="AQ73">
        <v>55.361690412693065</v>
      </c>
      <c r="AR73">
        <v>38.236691005717674</v>
      </c>
      <c r="AS73">
        <v>228.74936453303752</v>
      </c>
      <c r="AT73" t="e">
        <v>#DIV/0!</v>
      </c>
      <c r="AU73" t="e">
        <v>#DIV/0!</v>
      </c>
      <c r="AV73"/>
      <c r="AW73"/>
      <c r="FY73" s="212">
        <v>68</v>
      </c>
      <c r="FZ73">
        <v>1.4242707315061591</v>
      </c>
      <c r="GA73">
        <v>22.863525445072806</v>
      </c>
      <c r="GB73">
        <v>27.689213552249164</v>
      </c>
      <c r="GC73">
        <v>10.538351413036525</v>
      </c>
      <c r="GD73">
        <v>2.0077796949815809</v>
      </c>
      <c r="GE73">
        <v>1.4379123844202766</v>
      </c>
      <c r="GF73">
        <v>2.4041450295894737</v>
      </c>
      <c r="GG73">
        <v>8.8111028791906367</v>
      </c>
      <c r="GH73">
        <v>0</v>
      </c>
      <c r="GI73">
        <v>20.75013126110446</v>
      </c>
      <c r="GJ73"/>
      <c r="GK73"/>
      <c r="GL73"/>
      <c r="GM73"/>
    </row>
    <row r="74" spans="1:195" s="7" customFormat="1">
      <c r="A74" s="4"/>
      <c r="B74" s="66"/>
      <c r="C74" s="71">
        <f t="shared" si="38"/>
        <v>39775</v>
      </c>
      <c r="D74" s="72">
        <f t="shared" si="39"/>
        <v>22.064393939393938</v>
      </c>
      <c r="E74" s="64"/>
      <c r="F74" s="64"/>
      <c r="G74" s="18">
        <f>AVERAGE(E268:E277)</f>
        <v>0</v>
      </c>
      <c r="H74" s="18">
        <f t="shared" ref="H74:AK74" si="44">AVERAGE(F268:F277)</f>
        <v>0</v>
      </c>
      <c r="I74" s="18">
        <f t="shared" si="44"/>
        <v>0</v>
      </c>
      <c r="J74" s="18">
        <f t="shared" si="44"/>
        <v>0</v>
      </c>
      <c r="K74" s="18">
        <f t="shared" si="44"/>
        <v>4.5138888888888884</v>
      </c>
      <c r="L74" s="18">
        <f t="shared" si="44"/>
        <v>1.0416666666666665</v>
      </c>
      <c r="M74" s="18">
        <f t="shared" si="44"/>
        <v>0</v>
      </c>
      <c r="N74" s="18">
        <f t="shared" si="44"/>
        <v>2.8409090909090908</v>
      </c>
      <c r="O74" s="18">
        <f t="shared" si="44"/>
        <v>1.0416666666666665</v>
      </c>
      <c r="P74" s="18">
        <f t="shared" si="44"/>
        <v>2.8409090909090908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3.4722222222222223</v>
      </c>
      <c r="U74" s="18">
        <f t="shared" si="44"/>
        <v>6.3131313131313131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6.6434436274509796</v>
      </c>
      <c r="AO74">
        <v>22.968369233757024</v>
      </c>
      <c r="AP74">
        <v>746.05660850729339</v>
      </c>
      <c r="AQ74">
        <v>32.18764324513657</v>
      </c>
      <c r="AR74">
        <v>20.948296211253425</v>
      </c>
      <c r="AS74">
        <v>93.679323040079609</v>
      </c>
      <c r="AT74" t="e">
        <v>#DIV/0!</v>
      </c>
      <c r="AU74" t="e">
        <v>#DIV/0!</v>
      </c>
      <c r="AV74"/>
      <c r="AW74"/>
      <c r="FY74" s="212">
        <v>69</v>
      </c>
      <c r="FZ74">
        <v>1.46448811481747</v>
      </c>
      <c r="GA74">
        <v>18.331379901669958</v>
      </c>
      <c r="GB74">
        <v>21.724931681735605</v>
      </c>
      <c r="GC74">
        <v>8.0452931650957265</v>
      </c>
      <c r="GD74">
        <v>1.3281695052028368</v>
      </c>
      <c r="GE74">
        <v>0.71895619221013829</v>
      </c>
      <c r="GF74">
        <v>0.80138167652982462</v>
      </c>
      <c r="GG74">
        <v>4.1541015167564126</v>
      </c>
      <c r="GH74">
        <v>1.6229601285312325</v>
      </c>
      <c r="GI74">
        <v>12.106747880757453</v>
      </c>
      <c r="GJ74"/>
      <c r="GK74"/>
      <c r="GL74"/>
      <c r="GM74"/>
    </row>
    <row r="75" spans="1:195" s="7" customFormat="1">
      <c r="A75" s="4"/>
      <c r="B75" s="66"/>
      <c r="C75" s="71">
        <f t="shared" si="38"/>
        <v>39799</v>
      </c>
      <c r="D75" s="72">
        <f t="shared" si="39"/>
        <v>3.1249999999999996</v>
      </c>
      <c r="E75" s="64"/>
      <c r="F75" s="64"/>
      <c r="G75" s="18">
        <f>AVERAGE(E278:E287)</f>
        <v>0</v>
      </c>
      <c r="H75" s="18">
        <f t="shared" ref="H75:AK75" si="45">AVERAGE(F278:F287)</f>
        <v>0</v>
      </c>
      <c r="I75" s="18">
        <f t="shared" si="45"/>
        <v>0</v>
      </c>
      <c r="J75" s="18">
        <f t="shared" si="45"/>
        <v>0</v>
      </c>
      <c r="K75" s="18">
        <f t="shared" si="45"/>
        <v>0</v>
      </c>
      <c r="L75" s="18">
        <f t="shared" si="45"/>
        <v>0</v>
      </c>
      <c r="M75" s="18">
        <f t="shared" si="45"/>
        <v>0</v>
      </c>
      <c r="N75" s="18">
        <f t="shared" si="45"/>
        <v>0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1.0416666666666665</v>
      </c>
      <c r="S75" s="18">
        <f t="shared" si="45"/>
        <v>0</v>
      </c>
      <c r="T75" s="18">
        <f t="shared" si="45"/>
        <v>0</v>
      </c>
      <c r="U75" s="18">
        <f t="shared" si="45"/>
        <v>2.083333333333333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11.805943627450981</v>
      </c>
      <c r="AO75">
        <v>36.259088829220524</v>
      </c>
      <c r="AP75">
        <v>916.75512655083548</v>
      </c>
      <c r="AQ75">
        <v>76.194627902730844</v>
      </c>
      <c r="AR75">
        <v>32.996788298664903</v>
      </c>
      <c r="AS75">
        <v>195.98942055214061</v>
      </c>
      <c r="AT75" t="e">
        <v>#DIV/0!</v>
      </c>
      <c r="AU75" t="e">
        <v>#DIV/0!</v>
      </c>
      <c r="AV75"/>
      <c r="AW75"/>
      <c r="FY75" s="212">
        <v>70</v>
      </c>
      <c r="FZ75">
        <v>0.74064316864268975</v>
      </c>
      <c r="GA75">
        <v>18.502436260511761</v>
      </c>
      <c r="GB75">
        <v>12.037750969354919</v>
      </c>
      <c r="GC75">
        <v>3.570852058702247</v>
      </c>
      <c r="GD75">
        <v>1.7042885387656384</v>
      </c>
      <c r="GE75">
        <v>1.0784342883152076</v>
      </c>
      <c r="GF75">
        <v>0.80138167652982462</v>
      </c>
      <c r="GG75">
        <v>3.5759117604405652</v>
      </c>
      <c r="GH75">
        <v>1.6229601285312325</v>
      </c>
      <c r="GI75">
        <v>8.6191711141231568</v>
      </c>
      <c r="GJ75"/>
      <c r="GK75"/>
      <c r="GL75"/>
      <c r="GM75"/>
    </row>
    <row r="76" spans="1:195" s="7" customFormat="1">
      <c r="A76" s="4"/>
      <c r="B76" s="66"/>
      <c r="C76" s="71">
        <f t="shared" si="38"/>
        <v>39847</v>
      </c>
      <c r="D76" s="72">
        <f>SUM(G76:AK76)</f>
        <v>0</v>
      </c>
      <c r="E76" s="64"/>
      <c r="F76" s="64"/>
      <c r="G76" s="18">
        <f>AVERAGE(E288:E297)</f>
        <v>0</v>
      </c>
      <c r="H76" s="18">
        <f t="shared" ref="H76:AK76" si="46">AVERAGE(F288:F297)</f>
        <v>0</v>
      </c>
      <c r="I76" s="18">
        <f t="shared" si="46"/>
        <v>0</v>
      </c>
      <c r="J76" s="18">
        <f t="shared" si="46"/>
        <v>0</v>
      </c>
      <c r="K76" s="18">
        <f t="shared" si="46"/>
        <v>0</v>
      </c>
      <c r="L76" s="18">
        <f t="shared" si="46"/>
        <v>0</v>
      </c>
      <c r="M76" s="18">
        <f t="shared" si="46"/>
        <v>0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6.5552083333333329</v>
      </c>
      <c r="AO76">
        <v>32.398553718598563</v>
      </c>
      <c r="AP76">
        <v>560.5065332122881</v>
      </c>
      <c r="AQ76">
        <v>39.25092899564342</v>
      </c>
      <c r="AR76">
        <v>29.48721092537221</v>
      </c>
      <c r="AS76">
        <v>152.60605559675162</v>
      </c>
      <c r="AT76" t="e">
        <v>#DIV/0!</v>
      </c>
      <c r="AU76" t="e">
        <v>#DIV/0!</v>
      </c>
      <c r="AV76"/>
      <c r="AW76"/>
      <c r="FY76" s="212">
        <v>71</v>
      </c>
      <c r="FZ76">
        <v>2.7547588697313263</v>
      </c>
      <c r="GA76">
        <v>14.971125823876148</v>
      </c>
      <c r="GB76">
        <v>10.766972103220784</v>
      </c>
      <c r="GC76">
        <v>3.5798569470893238</v>
      </c>
      <c r="GD76">
        <v>0.79542419985548674</v>
      </c>
      <c r="GE76">
        <v>0</v>
      </c>
      <c r="GF76">
        <v>0.80138167652982462</v>
      </c>
      <c r="GG76">
        <v>3.9006838869232907</v>
      </c>
      <c r="GH76">
        <v>0</v>
      </c>
      <c r="GI76">
        <v>6.0330429924572391</v>
      </c>
      <c r="GJ76"/>
      <c r="GK76"/>
      <c r="GL76"/>
      <c r="GM76"/>
    </row>
    <row r="77" spans="1:195" s="7" customFormat="1">
      <c r="A77" s="4"/>
      <c r="B77" s="66"/>
      <c r="C77" s="71">
        <f t="shared" si="38"/>
        <v>39910</v>
      </c>
      <c r="D77" s="72">
        <f>SUM(G77:AK77)</f>
        <v>3.4375</v>
      </c>
      <c r="E77" s="64"/>
      <c r="F77" s="64"/>
      <c r="G77" s="18">
        <f>AVERAGE(E298:E307)</f>
        <v>0</v>
      </c>
      <c r="H77" s="18">
        <f t="shared" ref="H77:AK77" si="47">AVERAGE(F298:F307)</f>
        <v>0</v>
      </c>
      <c r="I77" s="18">
        <f t="shared" si="47"/>
        <v>0</v>
      </c>
      <c r="J77" s="18">
        <f t="shared" si="47"/>
        <v>0</v>
      </c>
      <c r="K77" s="18">
        <f t="shared" si="47"/>
        <v>0</v>
      </c>
      <c r="L77" s="18">
        <f t="shared" si="47"/>
        <v>0</v>
      </c>
      <c r="M77" s="18">
        <f t="shared" si="47"/>
        <v>0</v>
      </c>
      <c r="N77" s="18">
        <f t="shared" si="47"/>
        <v>0</v>
      </c>
      <c r="O77" s="18">
        <f t="shared" si="47"/>
        <v>0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3.4375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14.319914215686273</v>
      </c>
      <c r="AO77">
        <v>36.047372288105677</v>
      </c>
      <c r="AP77">
        <v>693.71449216996234</v>
      </c>
      <c r="AQ77">
        <v>65.18277576284828</v>
      </c>
      <c r="AR77">
        <v>32.872279260034809</v>
      </c>
      <c r="AS77">
        <v>157.22426613016</v>
      </c>
      <c r="AT77" t="e">
        <v>#DIV/0!</v>
      </c>
      <c r="AU77" t="e">
        <v>#DIV/0!</v>
      </c>
      <c r="AV77"/>
      <c r="AW77"/>
      <c r="FY77" s="212">
        <v>72</v>
      </c>
      <c r="FZ77">
        <v>0.74064316864268975</v>
      </c>
      <c r="GA77">
        <v>29.199502635167129</v>
      </c>
      <c r="GB77">
        <v>21.0411960813489</v>
      </c>
      <c r="GC77">
        <v>6.493050236454148</v>
      </c>
      <c r="GD77">
        <v>1.8116487598217521</v>
      </c>
      <c r="GE77">
        <v>0</v>
      </c>
      <c r="GF77">
        <v>0</v>
      </c>
      <c r="GG77">
        <v>0.83160738614896845</v>
      </c>
      <c r="GH77">
        <v>1.6229601285312325</v>
      </c>
      <c r="GI77">
        <v>13.679968220952176</v>
      </c>
      <c r="GJ77"/>
      <c r="GK77"/>
      <c r="GL77"/>
      <c r="GM77"/>
    </row>
    <row r="78" spans="1:195" s="7" customFormat="1">
      <c r="A78" s="4"/>
      <c r="B78" s="66"/>
      <c r="C78" s="71">
        <f t="shared" si="38"/>
        <v>39949</v>
      </c>
      <c r="D78" s="72">
        <f>SUM(G78:AK78)</f>
        <v>1.0416666666666665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0</v>
      </c>
      <c r="J78" s="18">
        <f t="shared" si="48"/>
        <v>0</v>
      </c>
      <c r="K78" s="18">
        <f t="shared" si="48"/>
        <v>0</v>
      </c>
      <c r="L78" s="18">
        <f t="shared" si="48"/>
        <v>0</v>
      </c>
      <c r="M78" s="18">
        <f t="shared" si="48"/>
        <v>0</v>
      </c>
      <c r="N78" s="18">
        <f t="shared" si="48"/>
        <v>0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1.0416666666666665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9.0809436274509778</v>
      </c>
      <c r="AO78">
        <v>23.180009134648099</v>
      </c>
      <c r="AP78">
        <v>340.54659156487145</v>
      </c>
      <c r="AQ78">
        <v>62.415115530386132</v>
      </c>
      <c r="AR78">
        <v>21.140696121154399</v>
      </c>
      <c r="AS78">
        <v>116.15773108845914</v>
      </c>
      <c r="AT78" t="e">
        <v>#DIV/0!</v>
      </c>
      <c r="AU78" t="e">
        <v>#DIV/0!</v>
      </c>
      <c r="AV78"/>
      <c r="AW78"/>
      <c r="FY78" s="212">
        <v>73</v>
      </c>
      <c r="FZ78">
        <v>3.3043864560024927</v>
      </c>
      <c r="GA78">
        <v>21.999570513890063</v>
      </c>
      <c r="GB78">
        <v>15.964497829602637</v>
      </c>
      <c r="GC78">
        <v>5.0438485137260995</v>
      </c>
      <c r="GD78">
        <v>0.98063421471025702</v>
      </c>
      <c r="GE78">
        <v>0</v>
      </c>
      <c r="GF78">
        <v>0.80138167652982462</v>
      </c>
      <c r="GG78">
        <v>4.9857089029053814</v>
      </c>
      <c r="GH78">
        <v>3.245920257062465</v>
      </c>
      <c r="GI78">
        <v>10.920494624710699</v>
      </c>
      <c r="GJ78"/>
      <c r="GK78"/>
      <c r="GL78"/>
      <c r="GM78"/>
    </row>
    <row r="79" spans="1:195" s="7" customFormat="1">
      <c r="A79" s="4"/>
      <c r="B79" s="66"/>
      <c r="C79" s="71">
        <f t="shared" si="38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49">AVERAGE(F318:F327)</f>
        <v>0</v>
      </c>
      <c r="I79" s="18">
        <f t="shared" si="49"/>
        <v>0</v>
      </c>
      <c r="J79" s="18">
        <f t="shared" si="49"/>
        <v>0</v>
      </c>
      <c r="K79" s="18">
        <f t="shared" si="49"/>
        <v>0</v>
      </c>
      <c r="L79" s="18">
        <f t="shared" si="49"/>
        <v>0</v>
      </c>
      <c r="M79" s="18">
        <f t="shared" si="49"/>
        <v>0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10.285110294117647</v>
      </c>
      <c r="AO79">
        <v>36.851105395398214</v>
      </c>
      <c r="AP79">
        <v>1155.5400182743056</v>
      </c>
      <c r="AQ79">
        <v>63.62120293747774</v>
      </c>
      <c r="AR79">
        <v>33.501004904907461</v>
      </c>
      <c r="AS79">
        <v>181.17984335528979</v>
      </c>
      <c r="AT79" t="e">
        <v>#DIV/0!</v>
      </c>
      <c r="AU79" t="e">
        <v>#DIV/0!</v>
      </c>
      <c r="AV79"/>
      <c r="AW79"/>
      <c r="FY79" s="212">
        <v>74</v>
      </c>
      <c r="FZ79">
        <v>2.5670537565475504</v>
      </c>
      <c r="GA79">
        <v>19.206812292712279</v>
      </c>
      <c r="GB79">
        <v>21.702977476651405</v>
      </c>
      <c r="GC79">
        <v>7.666944394370498</v>
      </c>
      <c r="GD79">
        <v>0.90848793506937298</v>
      </c>
      <c r="GE79">
        <v>0.35947809610506914</v>
      </c>
      <c r="GF79">
        <v>0</v>
      </c>
      <c r="GG79">
        <v>0</v>
      </c>
      <c r="GH79">
        <v>0</v>
      </c>
      <c r="GI79">
        <v>9.6727605518608506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10.598651960784313</v>
      </c>
      <c r="AO80">
        <v>32.261726345643098</v>
      </c>
      <c r="AP80">
        <v>575.41145897065155</v>
      </c>
      <c r="AQ80">
        <v>50.683940739949193</v>
      </c>
      <c r="AR80">
        <v>29.362822404503611</v>
      </c>
      <c r="AS80">
        <v>183.94586017935208</v>
      </c>
      <c r="AT80" t="e">
        <v>#DIV/0!</v>
      </c>
      <c r="AU80" t="e">
        <v>#DIV/0!</v>
      </c>
      <c r="AV80"/>
      <c r="AW80"/>
      <c r="FY80" s="212">
        <v>75</v>
      </c>
      <c r="FZ80">
        <v>2.0141157010886368</v>
      </c>
      <c r="GA80">
        <v>26.937433524322369</v>
      </c>
      <c r="GB80">
        <v>20.375233191221632</v>
      </c>
      <c r="GC80">
        <v>5.7028262556038767</v>
      </c>
      <c r="GD80">
        <v>1.5505785579543323</v>
      </c>
      <c r="GE80">
        <v>1.0784342883152076</v>
      </c>
      <c r="GF80">
        <v>1.6027633530596492</v>
      </c>
      <c r="GG80">
        <v>6.0667985048990403</v>
      </c>
      <c r="GH80">
        <v>0</v>
      </c>
      <c r="GI80">
        <v>10.911890732658605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13.520220588235293</v>
      </c>
      <c r="AO81">
        <v>40.174926842435525</v>
      </c>
      <c r="AP81">
        <v>487.13773839083274</v>
      </c>
      <c r="AQ81">
        <v>53.191037936641891</v>
      </c>
      <c r="AR81">
        <v>36.556641037951266</v>
      </c>
      <c r="AS81">
        <v>219.83098471187239</v>
      </c>
      <c r="AT81" t="e">
        <v>#DIV/0!</v>
      </c>
      <c r="AU81" t="e">
        <v>#DIV/0!</v>
      </c>
      <c r="AV81"/>
      <c r="AW81"/>
      <c r="FY81" s="212">
        <v>76</v>
      </c>
      <c r="FZ81">
        <v>0</v>
      </c>
      <c r="GA81">
        <v>13.26527936113744</v>
      </c>
      <c r="GB81">
        <v>10.119780853984821</v>
      </c>
      <c r="GC81">
        <v>2.2053577124736119</v>
      </c>
      <c r="GD81">
        <v>0.43392084473597664</v>
      </c>
      <c r="GE81">
        <v>0.35947809610506914</v>
      </c>
      <c r="GF81">
        <v>1.6027633530596492</v>
      </c>
      <c r="GG81">
        <v>6.8984058910480091</v>
      </c>
      <c r="GH81">
        <v>1.6229601285312325</v>
      </c>
      <c r="GI81">
        <v>8.8962536948306692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6.0416666666666661</v>
      </c>
      <c r="AO82">
        <v>29.836460355273175</v>
      </c>
      <c r="AP82">
        <v>768.68934064880136</v>
      </c>
      <c r="AQ82">
        <v>42.168692176226955</v>
      </c>
      <c r="AR82">
        <v>27.158035140530959</v>
      </c>
      <c r="AS82">
        <v>145.00563188730837</v>
      </c>
      <c r="AT82" t="e">
        <v>#DIV/0!</v>
      </c>
      <c r="AU82" t="e">
        <v>#DIV/0!</v>
      </c>
      <c r="AV82"/>
      <c r="AW82"/>
      <c r="FY82" s="212">
        <v>77</v>
      </c>
      <c r="FZ82">
        <v>2.0141157010886364</v>
      </c>
      <c r="GA82">
        <v>25.681280986571583</v>
      </c>
      <c r="GB82">
        <v>11.669506741897122</v>
      </c>
      <c r="GC82">
        <v>2.7396744998824749</v>
      </c>
      <c r="GD82">
        <v>2.0125667163204768</v>
      </c>
      <c r="GE82">
        <v>0.71895619221013829</v>
      </c>
      <c r="GF82">
        <v>0.80138167652982462</v>
      </c>
      <c r="GG82">
        <v>3.5759117604405652</v>
      </c>
      <c r="GH82">
        <v>1.6229601285312325</v>
      </c>
      <c r="GI82">
        <v>9.525106462990335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9.8101102941176457</v>
      </c>
      <c r="AO83">
        <v>37.226323020981617</v>
      </c>
      <c r="AP83">
        <v>763.0136111634954</v>
      </c>
      <c r="AQ83">
        <v>40.92192411726009</v>
      </c>
      <c r="AR83">
        <v>33.876092109356811</v>
      </c>
      <c r="AS83">
        <v>194.50098925576765</v>
      </c>
      <c r="AT83" t="e">
        <v>#DIV/0!</v>
      </c>
      <c r="AU83" t="e">
        <v>#DIV/0!</v>
      </c>
      <c r="AV83"/>
      <c r="AW83"/>
      <c r="FY83" s="212">
        <v>78</v>
      </c>
      <c r="FZ83">
        <v>0.89475183689064763</v>
      </c>
      <c r="GA83">
        <v>14.006230297351049</v>
      </c>
      <c r="GB83">
        <v>22.321807798156218</v>
      </c>
      <c r="GC83">
        <v>8.8584908825714983</v>
      </c>
      <c r="GD83">
        <v>1.0550861198296957</v>
      </c>
      <c r="GE83">
        <v>0.35947809610506914</v>
      </c>
      <c r="GF83">
        <v>2.4041450295894737</v>
      </c>
      <c r="GG83">
        <v>9.0645205090237582</v>
      </c>
      <c r="GH83">
        <v>1.6229601285312325</v>
      </c>
      <c r="GI83">
        <v>15.286481541244251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17.691360294117651</v>
      </c>
      <c r="AO84">
        <v>58.028573980364328</v>
      </c>
      <c r="AP84">
        <v>1042.5563497145822</v>
      </c>
      <c r="AQ84">
        <v>97.926432391151081</v>
      </c>
      <c r="AR84">
        <v>52.753249073058484</v>
      </c>
      <c r="AS84">
        <v>292.40279924026538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2">
        <v>79</v>
      </c>
      <c r="FZ84">
        <v>1.0455500359508596</v>
      </c>
      <c r="GA84">
        <v>17.006254276222979</v>
      </c>
      <c r="GB84">
        <v>11.264542133211776</v>
      </c>
      <c r="GC84">
        <v>3.7036283858371335</v>
      </c>
      <c r="GD84">
        <v>1.5841321567343014</v>
      </c>
      <c r="GE84">
        <v>0.71895619221013829</v>
      </c>
      <c r="GF84">
        <v>0.80138167652982462</v>
      </c>
      <c r="GG84">
        <v>4.407519146589534</v>
      </c>
      <c r="GH84">
        <v>3.245920257062465</v>
      </c>
      <c r="GI84">
        <v>10.079878916201128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11.872610294117646</v>
      </c>
      <c r="AO85">
        <v>34.755933021778254</v>
      </c>
      <c r="AP85">
        <v>559.03149214417817</v>
      </c>
      <c r="AQ85">
        <v>70.298409763306651</v>
      </c>
      <c r="AR85">
        <v>31.664263291272722</v>
      </c>
      <c r="AS85">
        <v>174.23223313448628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2">
        <v>80</v>
      </c>
      <c r="FZ85">
        <v>2.5637432873598045</v>
      </c>
      <c r="GA85">
        <v>11.681376838238604</v>
      </c>
      <c r="GB85">
        <v>15.741432615349639</v>
      </c>
      <c r="GC85">
        <v>7.781143835495139</v>
      </c>
      <c r="GD85">
        <v>1.672038028013684</v>
      </c>
      <c r="GE85">
        <v>0.35947809610506914</v>
      </c>
      <c r="GF85">
        <v>0</v>
      </c>
      <c r="GG85">
        <v>0.83160738614896845</v>
      </c>
      <c r="GH85">
        <v>1.6229601285312325</v>
      </c>
      <c r="GI85">
        <v>11.683650417148579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8.6226102941176457</v>
      </c>
      <c r="AO86">
        <v>32.441919048836048</v>
      </c>
      <c r="AP86">
        <v>412.72458575480698</v>
      </c>
      <c r="AQ86">
        <v>52.253829963917248</v>
      </c>
      <c r="AR86">
        <v>29.492653680760046</v>
      </c>
      <c r="AS86">
        <v>144.23752005177525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6" t="s">
        <v>123</v>
      </c>
      <c r="CX86" s="216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2">
        <v>81</v>
      </c>
      <c r="FZ86">
        <v>1.0824569500744243</v>
      </c>
      <c r="GA86">
        <v>22.226362400537219</v>
      </c>
      <c r="GB86">
        <v>17.109972573065608</v>
      </c>
      <c r="GC86">
        <v>5.2314818097754303</v>
      </c>
      <c r="GD86">
        <v>1.5241692559863578</v>
      </c>
      <c r="GE86">
        <v>0.71895619221013829</v>
      </c>
      <c r="GF86">
        <v>0</v>
      </c>
      <c r="GG86">
        <v>1.9879868987806626</v>
      </c>
      <c r="GH86">
        <v>1.6229601285312325</v>
      </c>
      <c r="GI86">
        <v>9.952419873914101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11.996997549019607</v>
      </c>
      <c r="AO87">
        <v>19.232352430245204</v>
      </c>
      <c r="AP87">
        <v>732.07218440684187</v>
      </c>
      <c r="AQ87">
        <v>43.603246499683422</v>
      </c>
      <c r="AR87">
        <v>17.517937026869159</v>
      </c>
      <c r="AS87">
        <v>105.03051046267431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2">
        <v>82</v>
      </c>
      <c r="FZ87">
        <v>0</v>
      </c>
      <c r="GA87">
        <v>15.329045240298806</v>
      </c>
      <c r="GB87">
        <v>12.626858371628487</v>
      </c>
      <c r="GC87">
        <v>4.0978756234132279</v>
      </c>
      <c r="GD87">
        <v>1.2846069686321744</v>
      </c>
      <c r="GE87">
        <v>0.71895619221013829</v>
      </c>
      <c r="GF87">
        <v>0.80138167652982462</v>
      </c>
      <c r="GG87">
        <v>5.2391265327385028</v>
      </c>
      <c r="GH87">
        <v>4.8688803855936991</v>
      </c>
      <c r="GI87">
        <v>8.872776278939833</v>
      </c>
      <c r="GJ87"/>
      <c r="GK87"/>
      <c r="GL87"/>
      <c r="GM87"/>
    </row>
    <row r="88" spans="1:195" s="7" customFormat="1">
      <c r="A88" s="128"/>
      <c r="B88" s="76">
        <f ca="1">IF(C88="", "", RAND())</f>
        <v>0.31729642852160422</v>
      </c>
      <c r="C88">
        <v>9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12.265318627450977</v>
      </c>
      <c r="AO88">
        <v>37.269249152546742</v>
      </c>
      <c r="AP88">
        <v>338.0974879475508</v>
      </c>
      <c r="AQ88">
        <v>75.420576617066985</v>
      </c>
      <c r="AR88">
        <v>33.881135593224307</v>
      </c>
      <c r="AS88">
        <v>255.32929844457908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0.36162420219861691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0.68895210378248994</v>
      </c>
      <c r="CL88" s="179">
        <f>IF(AZ88="", "", AZ88)</f>
        <v>1</v>
      </c>
      <c r="CM88" s="180">
        <f>IF(AZ88="", "", BA88)</f>
        <v>39646</v>
      </c>
      <c r="CN88">
        <v>0</v>
      </c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0.2839697965099921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0</v>
      </c>
      <c r="DI88" s="161">
        <f t="shared" si="52"/>
        <v>0</v>
      </c>
      <c r="DJ88" s="161">
        <f t="shared" si="52"/>
        <v>0</v>
      </c>
      <c r="DK88" s="161">
        <f t="shared" si="52"/>
        <v>0</v>
      </c>
      <c r="DL88" s="161">
        <f t="shared" si="52"/>
        <v>0</v>
      </c>
      <c r="DM88" s="161">
        <f t="shared" si="52"/>
        <v>0</v>
      </c>
      <c r="DN88" s="161">
        <f t="shared" ref="DN88:EJ88" si="53">IF($AZ88="", "", (BJ88*$CW88)/$CZ88)</f>
        <v>0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0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0</v>
      </c>
      <c r="ES88" s="139">
        <f t="shared" ref="ES88:ES119" si="58">IF(DI88="", "", DI88*J$36)</f>
        <v>0</v>
      </c>
      <c r="ET88" s="139">
        <f t="shared" ref="ET88:ET119" si="59">IF(DJ88="", "", DJ88*K$36)</f>
        <v>0</v>
      </c>
      <c r="EU88" s="139">
        <f t="shared" ref="EU88:EU119" si="60">IF(DK88="", "", DK88*L$36)</f>
        <v>0</v>
      </c>
      <c r="EV88" s="139">
        <f t="shared" ref="EV88:EV119" si="61">IF(DL88="", "", DL88*M$36)</f>
        <v>0</v>
      </c>
      <c r="EW88" s="139">
        <f t="shared" ref="EW88:EW119" si="62">IF(DM88="", "", DM88*N$36)</f>
        <v>0</v>
      </c>
      <c r="EX88" s="139">
        <f t="shared" ref="EX88:EX119" si="63">IF(DN88="", "", DN88*O$36)</f>
        <v>0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0</v>
      </c>
      <c r="FV88" s="149"/>
      <c r="FY88" s="212">
        <v>83</v>
      </c>
      <c r="FZ88">
        <v>2.9088675379792845</v>
      </c>
      <c r="GA88">
        <v>17.680492745323356</v>
      </c>
      <c r="GB88">
        <v>20.975773355154548</v>
      </c>
      <c r="GC88">
        <v>8.2889683992187546</v>
      </c>
      <c r="GD88">
        <v>1.1654353249632368</v>
      </c>
      <c r="GE88">
        <v>0</v>
      </c>
      <c r="GF88">
        <v>0</v>
      </c>
      <c r="GG88">
        <v>2.241404528613784</v>
      </c>
      <c r="GH88">
        <v>3.245920257062465</v>
      </c>
      <c r="GI88">
        <v>9.0980299357812662</v>
      </c>
      <c r="GJ88"/>
      <c r="GK88"/>
      <c r="GL88"/>
      <c r="GM88"/>
    </row>
    <row r="89" spans="1:195" s="7" customFormat="1">
      <c r="A89" s="115"/>
      <c r="B89" s="76">
        <f ca="1">IF(C89="", "", RAND())</f>
        <v>0.72187599421926696</v>
      </c>
      <c r="C89">
        <v>5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18.345649509803916</v>
      </c>
      <c r="AO89">
        <v>37.82739534428341</v>
      </c>
      <c r="AP89">
        <v>676.64897154516461</v>
      </c>
      <c r="AQ89">
        <v>67.246442989139922</v>
      </c>
      <c r="AR89">
        <v>34.388541222075823</v>
      </c>
      <c r="AS89">
        <v>190.50104534812749</v>
      </c>
      <c r="AT89" t="e">
        <v>#DIV/0!</v>
      </c>
      <c r="AU89" t="e">
        <v>#DIV/0!</v>
      </c>
      <c r="AV89"/>
      <c r="AW89"/>
      <c r="AX89" s="150"/>
      <c r="AY89" s="76">
        <f t="shared" ref="AY89:AY151" ca="1" si="87">IF(AZ89="", "", RAND())</f>
        <v>0.55640860829502881</v>
      </c>
      <c r="AZ89">
        <v>2</v>
      </c>
      <c r="BA89" s="129">
        <f t="shared" ref="BA89:BA97" si="88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9">IF(AZ89="", "", RAND())</f>
        <v>0.97517803628494182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0.6071522855688265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0</v>
      </c>
      <c r="DI89" s="161">
        <f t="shared" ref="DI89:DI152" si="97">IF($AZ89="", "", ((BE89*$CW89)+(CQ89*$CX89))/$CZ89)</f>
        <v>0</v>
      </c>
      <c r="DJ89" s="161">
        <f t="shared" ref="DJ89:DJ152" si="98">IF($AZ89="", "", ((BF89*$CW89)+(CR89*$CX89))/$CZ89)</f>
        <v>0</v>
      </c>
      <c r="DK89" s="161">
        <f t="shared" ref="DK89:DK152" si="99">IF($AZ89="", "", ((BG89*$CW89)+(CS89*$CX89))/$CZ89)</f>
        <v>0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0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0</v>
      </c>
      <c r="ES89" s="139">
        <f t="shared" si="58"/>
        <v>0</v>
      </c>
      <c r="ET89" s="139">
        <f t="shared" si="59"/>
        <v>0</v>
      </c>
      <c r="EU89" s="139">
        <f t="shared" si="60"/>
        <v>0</v>
      </c>
      <c r="EV89" s="139">
        <f t="shared" si="61"/>
        <v>0</v>
      </c>
      <c r="EW89" s="139">
        <f t="shared" si="62"/>
        <v>0</v>
      </c>
      <c r="EX89" s="139">
        <f t="shared" si="63"/>
        <v>0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0</v>
      </c>
      <c r="FV89" s="149"/>
      <c r="FY89" s="212">
        <v>84</v>
      </c>
      <c r="FZ89">
        <v>0.72384494617478023</v>
      </c>
      <c r="GA89">
        <v>21.02834883834689</v>
      </c>
      <c r="GB89">
        <v>15.2224055705429</v>
      </c>
      <c r="GC89">
        <v>3.8873346787725271</v>
      </c>
      <c r="GD89">
        <v>0.77257196139953765</v>
      </c>
      <c r="GE89">
        <v>0</v>
      </c>
      <c r="GF89">
        <v>1.6027633530596492</v>
      </c>
      <c r="GG89">
        <v>6.8984058910480091</v>
      </c>
      <c r="GH89">
        <v>1.6229601285312325</v>
      </c>
      <c r="GI89">
        <v>10.921685091928349</v>
      </c>
      <c r="GJ89"/>
      <c r="GK89"/>
      <c r="GL89"/>
      <c r="GM89"/>
    </row>
    <row r="90" spans="1:195" s="7" customFormat="1">
      <c r="A90" s="115"/>
      <c r="B90" s="76">
        <f ca="1">IF(C90="", "", RAND())</f>
        <v>9.8960940565561817E-2</v>
      </c>
      <c r="C90">
        <v>4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12.999387254901958</v>
      </c>
      <c r="AO90">
        <v>21.78774927052444</v>
      </c>
      <c r="AP90">
        <v>188.13219309325808</v>
      </c>
      <c r="AQ90">
        <v>62.084514503317024</v>
      </c>
      <c r="AR90">
        <v>19.90898560768823</v>
      </c>
      <c r="AS90">
        <v>153.76854830390101</v>
      </c>
      <c r="AT90" t="e">
        <v>#DIV/0!</v>
      </c>
      <c r="AU90" t="e">
        <v>#DIV/0!</v>
      </c>
      <c r="AV90"/>
      <c r="AW90"/>
      <c r="AX90" s="150"/>
      <c r="AY90" s="76">
        <f t="shared" ca="1" si="87"/>
        <v>0.42869908245995902</v>
      </c>
      <c r="AZ90">
        <v>3</v>
      </c>
      <c r="BA90" s="129">
        <f t="shared" si="88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1</v>
      </c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9"/>
        <v>0.82971816071163973</v>
      </c>
      <c r="CL90" s="179">
        <f t="shared" si="90"/>
        <v>3</v>
      </c>
      <c r="CM90" s="180">
        <f t="shared" si="91"/>
        <v>39646</v>
      </c>
      <c r="CN90">
        <v>0</v>
      </c>
      <c r="CO90"/>
      <c r="CP90"/>
      <c r="CQ90"/>
      <c r="CR90"/>
      <c r="CS90"/>
      <c r="CT90"/>
      <c r="CU90"/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0.38195527659190365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0</v>
      </c>
      <c r="DI90" s="161">
        <f t="shared" si="97"/>
        <v>0</v>
      </c>
      <c r="DJ90" s="161">
        <f t="shared" si="98"/>
        <v>0</v>
      </c>
      <c r="DK90" s="161">
        <f t="shared" si="99"/>
        <v>0</v>
      </c>
      <c r="DL90" s="161">
        <f t="shared" si="100"/>
        <v>10.416666666666666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10.416666666666666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</v>
      </c>
      <c r="ES90" s="139">
        <f t="shared" si="58"/>
        <v>0</v>
      </c>
      <c r="ET90" s="139">
        <f t="shared" si="59"/>
        <v>0</v>
      </c>
      <c r="EU90" s="139">
        <f t="shared" si="60"/>
        <v>0</v>
      </c>
      <c r="EV90" s="139">
        <f t="shared" si="61"/>
        <v>7.4756598621743597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7.4756598621743597</v>
      </c>
      <c r="FV90" s="149"/>
      <c r="FY90" s="212">
        <v>85</v>
      </c>
      <c r="FZ90">
        <v>3.324495147658149</v>
      </c>
      <c r="GA90">
        <v>16.748718764508883</v>
      </c>
      <c r="GB90">
        <v>16.279455230488377</v>
      </c>
      <c r="GC90">
        <v>6.1151100234814146</v>
      </c>
      <c r="GD90">
        <v>0.82020565994921191</v>
      </c>
      <c r="GE90">
        <v>0</v>
      </c>
      <c r="GF90">
        <v>0.80138167652982462</v>
      </c>
      <c r="GG90">
        <v>4.1541015167564126</v>
      </c>
      <c r="GH90">
        <v>1.6229601285312325</v>
      </c>
      <c r="GI90">
        <v>10.020989793618524</v>
      </c>
      <c r="GJ90"/>
      <c r="GK90"/>
      <c r="GL90"/>
      <c r="GM90"/>
    </row>
    <row r="91" spans="1:195" s="7" customFormat="1">
      <c r="A91" s="77"/>
      <c r="B91" s="76">
        <f ca="1">IF(C91="", "", RAND())</f>
        <v>0.13122293296835807</v>
      </c>
      <c r="C91">
        <v>3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10.416666666666666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12.672303921568627</v>
      </c>
      <c r="AO91">
        <v>31.715090273572436</v>
      </c>
      <c r="AP91">
        <v>746.94289122170233</v>
      </c>
      <c r="AQ91">
        <v>76.240074109123356</v>
      </c>
      <c r="AR91">
        <v>28.86588052080301</v>
      </c>
      <c r="AS91">
        <v>170.62547174400817</v>
      </c>
      <c r="AT91" t="e">
        <v>#DIV/0!</v>
      </c>
      <c r="AU91" t="e">
        <v>#DIV/0!</v>
      </c>
      <c r="AV91"/>
      <c r="AW91"/>
      <c r="AX91" s="151"/>
      <c r="AY91" s="76">
        <f t="shared" ca="1" si="87"/>
        <v>8.6267342189759511E-2</v>
      </c>
      <c r="AZ91">
        <v>4</v>
      </c>
      <c r="BA91" s="129">
        <f t="shared" si="88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9"/>
        <v>0.2103639657494103</v>
      </c>
      <c r="CL91" s="179">
        <f t="shared" si="90"/>
        <v>4</v>
      </c>
      <c r="CM91" s="180">
        <f t="shared" si="91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0.15413128802948961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0</v>
      </c>
      <c r="DI91" s="161">
        <f t="shared" si="97"/>
        <v>0</v>
      </c>
      <c r="DJ91" s="161">
        <f t="shared" si="98"/>
        <v>0</v>
      </c>
      <c r="DK91" s="161">
        <f t="shared" si="99"/>
        <v>0</v>
      </c>
      <c r="DL91" s="161">
        <f t="shared" si="100"/>
        <v>0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0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0</v>
      </c>
      <c r="ES91" s="139">
        <f t="shared" si="58"/>
        <v>0</v>
      </c>
      <c r="ET91" s="139">
        <f t="shared" si="59"/>
        <v>0</v>
      </c>
      <c r="EU91" s="139">
        <f t="shared" si="60"/>
        <v>0</v>
      </c>
      <c r="EV91" s="139">
        <f t="shared" si="61"/>
        <v>0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0</v>
      </c>
      <c r="FV91" s="149"/>
      <c r="FY91" s="212">
        <v>86</v>
      </c>
      <c r="FZ91">
        <v>2.0141157010886368</v>
      </c>
      <c r="GA91">
        <v>26.086011381129158</v>
      </c>
      <c r="GB91">
        <v>20.465055679860875</v>
      </c>
      <c r="GC91">
        <v>5.7733122864937458</v>
      </c>
      <c r="GD91">
        <v>1.2712472385268649</v>
      </c>
      <c r="GE91">
        <v>0.71895619221013829</v>
      </c>
      <c r="GF91">
        <v>0.80138167652982462</v>
      </c>
      <c r="GG91">
        <v>4.407519146589534</v>
      </c>
      <c r="GH91">
        <v>3.245920257062465</v>
      </c>
      <c r="GI91">
        <v>10.785149249948452</v>
      </c>
      <c r="GJ91"/>
      <c r="GK91"/>
      <c r="GL91"/>
      <c r="GM91"/>
    </row>
    <row r="92" spans="1:195" s="7" customFormat="1">
      <c r="A92" s="77"/>
      <c r="B92" s="76">
        <f ca="1">IF(C92="", "", RAND())</f>
        <v>0.8948679780598825</v>
      </c>
      <c r="C92">
        <v>1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5.3395833333333327</v>
      </c>
      <c r="AO92">
        <v>27.158274978147482</v>
      </c>
      <c r="AP92">
        <v>836.26598544214153</v>
      </c>
      <c r="AQ92">
        <v>45.404199935906476</v>
      </c>
      <c r="AR92">
        <v>24.689340889224987</v>
      </c>
      <c r="AS92">
        <v>138.44352344443089</v>
      </c>
      <c r="AT92" t="e">
        <v>#DIV/0!</v>
      </c>
      <c r="AU92" t="e">
        <v>#DIV/0!</v>
      </c>
      <c r="AV92"/>
      <c r="AW92"/>
      <c r="AX92" s="151"/>
      <c r="AY92" s="76">
        <f t="shared" ca="1" si="87"/>
        <v>0.80677229907181047</v>
      </c>
      <c r="AZ92">
        <v>5</v>
      </c>
      <c r="BA92" s="129">
        <f t="shared" si="88"/>
        <v>39646</v>
      </c>
      <c r="BB92">
        <v>0</v>
      </c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9"/>
        <v>0.10539247312027111</v>
      </c>
      <c r="CL92" s="179">
        <f t="shared" si="90"/>
        <v>5</v>
      </c>
      <c r="CM92" s="180">
        <f t="shared" si="91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0.47426141220936824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0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0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0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0</v>
      </c>
      <c r="FV92" s="149"/>
      <c r="FY92" s="212">
        <v>87</v>
      </c>
      <c r="FZ92">
        <v>0.3418137814317348</v>
      </c>
      <c r="GA92">
        <v>16.602765267403164</v>
      </c>
      <c r="GB92">
        <v>17.932872492581545</v>
      </c>
      <c r="GC92">
        <v>6.4610161959274564</v>
      </c>
      <c r="GD92">
        <v>1.3603103117850837</v>
      </c>
      <c r="GE92">
        <v>0.71895619221013829</v>
      </c>
      <c r="GF92">
        <v>0</v>
      </c>
      <c r="GG92">
        <v>0.57818975631584713</v>
      </c>
      <c r="GH92">
        <v>0</v>
      </c>
      <c r="GI92">
        <v>8.636426681214262</v>
      </c>
      <c r="GJ92"/>
      <c r="GK92"/>
      <c r="GL92"/>
      <c r="GM92"/>
    </row>
    <row r="93" spans="1:195" s="7" customFormat="1">
      <c r="A93" s="77"/>
      <c r="B93" s="76">
        <f ca="1">IF(C93="", "", RAND())</f>
        <v>0.57318785746912937</v>
      </c>
      <c r="C93">
        <v>8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11.367095588235291</v>
      </c>
      <c r="AO93">
        <v>42.232921132745105</v>
      </c>
      <c r="AP93">
        <v>594.54222798757382</v>
      </c>
      <c r="AQ93">
        <v>60.361460866462394</v>
      </c>
      <c r="AR93">
        <v>38.427544938232707</v>
      </c>
      <c r="AS93">
        <v>197.95692481475527</v>
      </c>
      <c r="AT93" t="e">
        <v>#DIV/0!</v>
      </c>
      <c r="AU93" t="e">
        <v>#DIV/0!</v>
      </c>
      <c r="AV93"/>
      <c r="AW93"/>
      <c r="AX93" s="151"/>
      <c r="AY93" s="76">
        <f t="shared" ca="1" si="87"/>
        <v>0.97657199519955284</v>
      </c>
      <c r="AZ93">
        <v>6</v>
      </c>
      <c r="BA93" s="129">
        <f t="shared" si="88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9"/>
        <v>0.9693795926312756</v>
      </c>
      <c r="CL93" s="179">
        <f t="shared" si="90"/>
        <v>6</v>
      </c>
      <c r="CM93" s="180">
        <f t="shared" si="91"/>
        <v>39646</v>
      </c>
      <c r="CN93">
        <v>0</v>
      </c>
      <c r="CO93"/>
      <c r="CP93"/>
      <c r="CQ93"/>
      <c r="CR93"/>
      <c r="CS93"/>
      <c r="CT93"/>
      <c r="CU93"/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0.74655540135356535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0</v>
      </c>
      <c r="DI93" s="161">
        <f t="shared" si="97"/>
        <v>0</v>
      </c>
      <c r="DJ93" s="161">
        <f t="shared" si="98"/>
        <v>0</v>
      </c>
      <c r="DK93" s="161">
        <f t="shared" si="99"/>
        <v>0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0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0</v>
      </c>
      <c r="ES93" s="139">
        <f t="shared" si="58"/>
        <v>0</v>
      </c>
      <c r="ET93" s="139">
        <f t="shared" si="59"/>
        <v>0</v>
      </c>
      <c r="EU93" s="139">
        <f t="shared" si="60"/>
        <v>0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0</v>
      </c>
      <c r="FV93" s="149"/>
      <c r="FY93" s="212">
        <v>88</v>
      </c>
      <c r="FZ93">
        <v>2.0141157010886364</v>
      </c>
      <c r="GA93">
        <v>21.877053070841121</v>
      </c>
      <c r="GB93">
        <v>19.112167636987969</v>
      </c>
      <c r="GC93">
        <v>5.7084456925819111</v>
      </c>
      <c r="GD93">
        <v>0.80800313182273864</v>
      </c>
      <c r="GE93">
        <v>0.35947809610506914</v>
      </c>
      <c r="GF93">
        <v>0</v>
      </c>
      <c r="GG93">
        <v>1.9879868987806626</v>
      </c>
      <c r="GH93">
        <v>1.6229601285312325</v>
      </c>
      <c r="GI93">
        <v>8.2506124167203101</v>
      </c>
      <c r="GJ93"/>
      <c r="GK93"/>
      <c r="GL93"/>
      <c r="GM93"/>
    </row>
    <row r="94" spans="1:195" s="7" customFormat="1">
      <c r="A94" s="77"/>
      <c r="B94" s="76">
        <f ca="1">IF(C94="", "", RAND())</f>
        <v>0.21191658575641625</v>
      </c>
      <c r="C94">
        <v>10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11.915625</v>
      </c>
      <c r="AO94">
        <v>33.026648900625119</v>
      </c>
      <c r="AP94">
        <v>661.69855154939648</v>
      </c>
      <c r="AQ94">
        <v>75.873952239292905</v>
      </c>
      <c r="AR94">
        <v>30.092186817497151</v>
      </c>
      <c r="AS94">
        <v>247.92542453650768</v>
      </c>
      <c r="AT94" t="e">
        <v>#DIV/0!</v>
      </c>
      <c r="AU94" t="e">
        <v>#DIV/0!</v>
      </c>
      <c r="AV94"/>
      <c r="AW94"/>
      <c r="AX94" s="151"/>
      <c r="AY94" s="76">
        <f t="shared" ca="1" si="87"/>
        <v>0.86677104753538892</v>
      </c>
      <c r="AZ94">
        <v>7</v>
      </c>
      <c r="BA94" s="129">
        <f t="shared" si="88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9"/>
        <v>0.38872540864427574</v>
      </c>
      <c r="CL94" s="179">
        <f t="shared" si="90"/>
        <v>7</v>
      </c>
      <c r="CM94" s="180">
        <f t="shared" si="91"/>
        <v>39646</v>
      </c>
      <c r="CN94">
        <v>0</v>
      </c>
      <c r="CO94"/>
      <c r="CP94"/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0.44413033362003418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0</v>
      </c>
      <c r="DI94" s="161">
        <f t="shared" si="97"/>
        <v>0</v>
      </c>
      <c r="DJ94" s="161">
        <f t="shared" si="98"/>
        <v>0</v>
      </c>
      <c r="DK94" s="161">
        <f t="shared" si="99"/>
        <v>0</v>
      </c>
      <c r="DL94" s="161">
        <f t="shared" si="100"/>
        <v>0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0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0</v>
      </c>
      <c r="ES94" s="139">
        <f t="shared" si="58"/>
        <v>0</v>
      </c>
      <c r="ET94" s="139">
        <f t="shared" si="59"/>
        <v>0</v>
      </c>
      <c r="EU94" s="139">
        <f t="shared" si="60"/>
        <v>0</v>
      </c>
      <c r="EV94" s="139">
        <f t="shared" si="61"/>
        <v>0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0</v>
      </c>
      <c r="FV94" s="149"/>
      <c r="FY94" s="212">
        <v>89</v>
      </c>
      <c r="FZ94">
        <v>1.10256564173008</v>
      </c>
      <c r="GA94">
        <v>20.628819816547093</v>
      </c>
      <c r="GB94">
        <v>9.884153172928503</v>
      </c>
      <c r="GC94">
        <v>2.2233115722006032</v>
      </c>
      <c r="GD94">
        <v>1.2381171832777074</v>
      </c>
      <c r="GE94">
        <v>0</v>
      </c>
      <c r="GF94">
        <v>0.80138167652982462</v>
      </c>
      <c r="GG94">
        <v>4.7322912730722599</v>
      </c>
      <c r="GH94">
        <v>1.6229601285312325</v>
      </c>
      <c r="GI94">
        <v>9.1102604121161423</v>
      </c>
      <c r="GJ94"/>
      <c r="GK94"/>
      <c r="GL94"/>
      <c r="GM94"/>
    </row>
    <row r="95" spans="1:195" s="7" customFormat="1">
      <c r="A95" s="77"/>
      <c r="B95" s="76">
        <f ca="1">IF(C95="", "", RAND())</f>
        <v>0.28892056299343238</v>
      </c>
      <c r="C95">
        <v>2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7.8156250000000016</v>
      </c>
      <c r="AO95">
        <v>37.334408600691305</v>
      </c>
      <c r="AP95">
        <v>393.62796068667848</v>
      </c>
      <c r="AQ95">
        <v>53.857763176550137</v>
      </c>
      <c r="AR95">
        <v>33.974351727274708</v>
      </c>
      <c r="AS95">
        <v>160.57708712863962</v>
      </c>
      <c r="AT95" t="e">
        <v>#DIV/0!</v>
      </c>
      <c r="AU95" t="e">
        <v>#DIV/0!</v>
      </c>
      <c r="AV95"/>
      <c r="AW95"/>
      <c r="AX95" s="151"/>
      <c r="AY95" s="76">
        <f t="shared" ca="1" si="87"/>
        <v>0.67917481212891584</v>
      </c>
      <c r="AZ95">
        <v>8</v>
      </c>
      <c r="BA95" s="129">
        <f t="shared" si="88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9"/>
        <v>0.44104181464855952</v>
      </c>
      <c r="CL95" s="179">
        <f t="shared" si="90"/>
        <v>8</v>
      </c>
      <c r="CM95" s="180">
        <f t="shared" si="91"/>
        <v>39646</v>
      </c>
      <c r="CN95">
        <v>0</v>
      </c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0.22961118116907397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0</v>
      </c>
      <c r="DI95" s="161">
        <f t="shared" si="97"/>
        <v>0</v>
      </c>
      <c r="DJ95" s="161">
        <f t="shared" si="98"/>
        <v>0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0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</v>
      </c>
      <c r="ES95" s="139">
        <f t="shared" si="58"/>
        <v>0</v>
      </c>
      <c r="ET95" s="139">
        <f t="shared" si="59"/>
        <v>0</v>
      </c>
      <c r="EU95" s="139">
        <f t="shared" si="60"/>
        <v>0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0</v>
      </c>
      <c r="FV95" s="149"/>
      <c r="FY95" s="212">
        <v>90</v>
      </c>
      <c r="FZ95">
        <v>0.91155005935855693</v>
      </c>
      <c r="GA95">
        <v>20.425833926399427</v>
      </c>
      <c r="GB95">
        <v>9.6529318644799424</v>
      </c>
      <c r="GC95">
        <v>1.9965409346037735</v>
      </c>
      <c r="GD95">
        <v>1.1659517544032907</v>
      </c>
      <c r="GE95">
        <v>0.35947809610506914</v>
      </c>
      <c r="GF95">
        <v>0.80138167652982462</v>
      </c>
      <c r="GG95">
        <v>3.5759117604405652</v>
      </c>
      <c r="GH95">
        <v>1.6229601285312325</v>
      </c>
      <c r="GI95">
        <v>6.509369818038846</v>
      </c>
      <c r="GJ95"/>
      <c r="GK95"/>
      <c r="GL95"/>
      <c r="GM95"/>
    </row>
    <row r="96" spans="1:195" s="7" customFormat="1">
      <c r="A96" s="77"/>
      <c r="B96" s="76">
        <f ca="1">IF(C96="", "", RAND())</f>
        <v>0.43930489629190994</v>
      </c>
      <c r="C96">
        <v>6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16.098039215686278</v>
      </c>
      <c r="AO96">
        <v>28.163290763822896</v>
      </c>
      <c r="AP96">
        <v>306.76630526712518</v>
      </c>
      <c r="AQ96">
        <v>53.937430632390715</v>
      </c>
      <c r="AR96">
        <v>25.602991603475356</v>
      </c>
      <c r="AS96">
        <v>222.95789150767052</v>
      </c>
      <c r="AT96" t="e">
        <v>#DIV/0!</v>
      </c>
      <c r="AU96" t="e">
        <v>#DIV/0!</v>
      </c>
      <c r="AV96"/>
      <c r="AW96"/>
      <c r="AX96" s="151"/>
      <c r="AY96" s="76">
        <f t="shared" ca="1" si="87"/>
        <v>0.19822409494158677</v>
      </c>
      <c r="AZ96">
        <v>9</v>
      </c>
      <c r="BA96" s="129">
        <f t="shared" si="88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9"/>
        <v>0.97679164643750482</v>
      </c>
      <c r="CL96" s="179">
        <f t="shared" si="90"/>
        <v>9</v>
      </c>
      <c r="CM96" s="180">
        <f t="shared" si="91"/>
        <v>39646</v>
      </c>
      <c r="CN96">
        <v>0</v>
      </c>
      <c r="CO96"/>
      <c r="CP96"/>
      <c r="CQ96"/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0.84748767258243252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0</v>
      </c>
      <c r="DI96" s="161">
        <f t="shared" si="97"/>
        <v>0</v>
      </c>
      <c r="DJ96" s="161">
        <f t="shared" si="98"/>
        <v>0</v>
      </c>
      <c r="DK96" s="161">
        <f t="shared" si="99"/>
        <v>0</v>
      </c>
      <c r="DL96" s="161">
        <f t="shared" si="100"/>
        <v>0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0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0</v>
      </c>
      <c r="ES96" s="139">
        <f t="shared" si="58"/>
        <v>0</v>
      </c>
      <c r="ET96" s="139">
        <f t="shared" si="59"/>
        <v>0</v>
      </c>
      <c r="EU96" s="139">
        <f t="shared" si="60"/>
        <v>0</v>
      </c>
      <c r="EV96" s="139">
        <f t="shared" si="61"/>
        <v>0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0</v>
      </c>
      <c r="FV96" s="149"/>
      <c r="FY96" s="212">
        <v>91</v>
      </c>
      <c r="FZ96">
        <v>2.3760381741760268</v>
      </c>
      <c r="GA96">
        <v>15.83563675510943</v>
      </c>
      <c r="GB96">
        <v>13.866428473199749</v>
      </c>
      <c r="GC96">
        <v>6.0165172490296488</v>
      </c>
      <c r="GD96">
        <v>1.997235178517301</v>
      </c>
      <c r="GE96">
        <v>0.71895619221013829</v>
      </c>
      <c r="GF96">
        <v>0</v>
      </c>
      <c r="GG96">
        <v>2.8195942849296314</v>
      </c>
      <c r="GH96">
        <v>3.245920257062465</v>
      </c>
      <c r="GI96">
        <v>13.475814835010459</v>
      </c>
      <c r="GJ96"/>
      <c r="GK96"/>
      <c r="GL96"/>
      <c r="GM96"/>
    </row>
    <row r="97" spans="1:195" s="7" customFormat="1">
      <c r="A97" s="77"/>
      <c r="B97" s="76">
        <f ca="1">IF(C97="", "", RAND())</f>
        <v>0.18297002784286009</v>
      </c>
      <c r="C97">
        <v>7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10.275735294117647</v>
      </c>
      <c r="AO97">
        <v>32.610634506455021</v>
      </c>
      <c r="AP97">
        <v>649.46655836141895</v>
      </c>
      <c r="AQ97">
        <v>61.45676608287517</v>
      </c>
      <c r="AR97">
        <v>29.646031369504563</v>
      </c>
      <c r="AS97">
        <v>218.54961272767443</v>
      </c>
      <c r="AT97" t="e">
        <v>#DIV/0!</v>
      </c>
      <c r="AU97" t="e">
        <v>#DIV/0!</v>
      </c>
      <c r="AV97"/>
      <c r="AW97"/>
      <c r="AX97" s="151"/>
      <c r="AY97" s="76">
        <f t="shared" ca="1" si="87"/>
        <v>0.41349108360401132</v>
      </c>
      <c r="AZ97">
        <v>10</v>
      </c>
      <c r="BA97" s="129">
        <f t="shared" si="88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9"/>
        <v>1.1690141274486976E-2</v>
      </c>
      <c r="CL97" s="179">
        <f t="shared" si="90"/>
        <v>10</v>
      </c>
      <c r="CM97" s="180">
        <f t="shared" si="91"/>
        <v>39646</v>
      </c>
      <c r="CN97">
        <v>0</v>
      </c>
      <c r="CO97"/>
      <c r="CP97"/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0.64987542101270512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0</v>
      </c>
      <c r="DH97" s="161">
        <f t="shared" si="96"/>
        <v>0</v>
      </c>
      <c r="DI97" s="161">
        <f t="shared" si="97"/>
        <v>0</v>
      </c>
      <c r="DJ97" s="161">
        <f t="shared" si="98"/>
        <v>0</v>
      </c>
      <c r="DK97" s="161">
        <f t="shared" si="99"/>
        <v>0</v>
      </c>
      <c r="DL97" s="161">
        <f t="shared" si="100"/>
        <v>0</v>
      </c>
      <c r="DM97" s="161">
        <f t="shared" si="101"/>
        <v>0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0</v>
      </c>
      <c r="EL97" s="149"/>
      <c r="EN97" s="151"/>
      <c r="EO97" s="151"/>
      <c r="EP97" s="139">
        <f t="shared" si="55"/>
        <v>0</v>
      </c>
      <c r="EQ97" s="139">
        <f t="shared" si="56"/>
        <v>0</v>
      </c>
      <c r="ER97" s="139">
        <f t="shared" si="57"/>
        <v>0</v>
      </c>
      <c r="ES97" s="139">
        <f t="shared" si="58"/>
        <v>0</v>
      </c>
      <c r="ET97" s="139">
        <f t="shared" si="59"/>
        <v>0</v>
      </c>
      <c r="EU97" s="139">
        <f t="shared" si="60"/>
        <v>0</v>
      </c>
      <c r="EV97" s="139">
        <f t="shared" si="61"/>
        <v>0</v>
      </c>
      <c r="EW97" s="139">
        <f t="shared" si="62"/>
        <v>0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0</v>
      </c>
      <c r="FV97" s="149"/>
      <c r="FY97" s="212">
        <v>92</v>
      </c>
      <c r="FZ97">
        <v>2.2219295059280695</v>
      </c>
      <c r="GA97">
        <v>17.148247786308684</v>
      </c>
      <c r="GB97">
        <v>10.200245820872059</v>
      </c>
      <c r="GC97">
        <v>3.5231708448983849</v>
      </c>
      <c r="GD97">
        <v>1.5043576516023804</v>
      </c>
      <c r="GE97">
        <v>0.71895619221013829</v>
      </c>
      <c r="GF97">
        <v>3.2055267061192985</v>
      </c>
      <c r="GG97">
        <v>11.808824883315356</v>
      </c>
      <c r="GH97">
        <v>1.6229601285312325</v>
      </c>
      <c r="GI97">
        <v>13.835238793371003</v>
      </c>
      <c r="GJ97"/>
      <c r="GK97"/>
      <c r="GL97"/>
      <c r="GM97"/>
    </row>
    <row r="98" spans="1:195" s="7" customFormat="1">
      <c r="A98" s="128"/>
      <c r="B98" s="76">
        <f ca="1">IF(C98="", "", RAND())</f>
        <v>0.84213880481068992</v>
      </c>
      <c r="C98">
        <v>5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6.0135416666666668</v>
      </c>
      <c r="AO98">
        <v>33.271676141209866</v>
      </c>
      <c r="AP98">
        <v>567.86252972170962</v>
      </c>
      <c r="AQ98">
        <v>53.839507269984686</v>
      </c>
      <c r="AR98">
        <v>30.246978310190787</v>
      </c>
      <c r="AS98">
        <v>139.57026036262238</v>
      </c>
      <c r="AT98" t="e">
        <v>#DIV/0!</v>
      </c>
      <c r="AU98" t="e">
        <v>#DIV/0!</v>
      </c>
      <c r="AV98"/>
      <c r="AW98"/>
      <c r="AX98" s="128"/>
      <c r="AY98" s="76">
        <f t="shared" ca="1" si="87"/>
        <v>0.91548000016479358</v>
      </c>
      <c r="AZ98">
        <v>1</v>
      </c>
      <c r="BA98" s="129">
        <f>IF(AZ98="", "",$C$5)</f>
        <v>39673</v>
      </c>
      <c r="BB98">
        <v>0</v>
      </c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9"/>
        <v>0.81954490506957089</v>
      </c>
      <c r="CL98" s="179">
        <f t="shared" si="90"/>
        <v>1</v>
      </c>
      <c r="CM98" s="180">
        <f t="shared" si="91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0.57699871619750009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0</v>
      </c>
      <c r="DJ98" s="161">
        <f t="shared" si="98"/>
        <v>0</v>
      </c>
      <c r="DK98" s="161">
        <f t="shared" si="99"/>
        <v>0</v>
      </c>
      <c r="DL98" s="161">
        <f t="shared" si="100"/>
        <v>0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0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0</v>
      </c>
      <c r="ET98" s="139">
        <f t="shared" si="59"/>
        <v>0</v>
      </c>
      <c r="EU98" s="139">
        <f t="shared" si="60"/>
        <v>0</v>
      </c>
      <c r="EV98" s="139">
        <f t="shared" si="61"/>
        <v>0</v>
      </c>
      <c r="EW98" s="139">
        <f t="shared" si="62"/>
        <v>0</v>
      </c>
      <c r="EX98" s="139">
        <f t="shared" si="63"/>
        <v>0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0</v>
      </c>
      <c r="FV98" s="149"/>
      <c r="FY98" s="212">
        <v>93</v>
      </c>
      <c r="FZ98">
        <v>1.6521932280012464</v>
      </c>
      <c r="GA98">
        <v>29.156850477819262</v>
      </c>
      <c r="GB98">
        <v>23.743054346376223</v>
      </c>
      <c r="GC98">
        <v>6.1696595626819883</v>
      </c>
      <c r="GD98">
        <v>0.74956054811078066</v>
      </c>
      <c r="GE98">
        <v>0.35947809610506914</v>
      </c>
      <c r="GF98">
        <v>0.80138167652982462</v>
      </c>
      <c r="GG98">
        <v>2.7443043742915965</v>
      </c>
      <c r="GH98">
        <v>0</v>
      </c>
      <c r="GI98">
        <v>8.4346509226956989</v>
      </c>
      <c r="GJ98"/>
      <c r="GK98"/>
      <c r="GL98"/>
      <c r="GM98"/>
    </row>
    <row r="99" spans="1:195" s="7" customFormat="1">
      <c r="A99" s="1"/>
      <c r="B99" s="76">
        <f ca="1">IF(C99="", "", RAND())</f>
        <v>0.5045800273119545</v>
      </c>
      <c r="C99">
        <v>6</v>
      </c>
      <c r="D99">
        <v>39673</v>
      </c>
      <c r="E99">
        <v>0</v>
      </c>
      <c r="F99">
        <v>0</v>
      </c>
      <c r="G99">
        <v>0</v>
      </c>
      <c r="H99">
        <v>10.416666666666666</v>
      </c>
      <c r="I99">
        <v>10.416666666666666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13.343137254901961</v>
      </c>
      <c r="AO99">
        <v>22.485520646926481</v>
      </c>
      <c r="AP99">
        <v>355.90566398361602</v>
      </c>
      <c r="AQ99">
        <v>65.60489208409669</v>
      </c>
      <c r="AR99">
        <v>20.543323222599177</v>
      </c>
      <c r="AS99">
        <v>130.52520356780849</v>
      </c>
      <c r="AT99" t="e">
        <v>#DIV/0!</v>
      </c>
      <c r="AU99" t="e">
        <v>#DIV/0!</v>
      </c>
      <c r="AV99"/>
      <c r="AW99"/>
      <c r="AX99" s="146"/>
      <c r="AY99" s="76">
        <f t="shared" ca="1" si="87"/>
        <v>0.45416472890322535</v>
      </c>
      <c r="AZ99">
        <v>2</v>
      </c>
      <c r="BA99" s="129">
        <f t="shared" ref="BA99:BA107" si="126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9"/>
        <v>0.86478411638509789</v>
      </c>
      <c r="CL99" s="179">
        <f t="shared" si="90"/>
        <v>2</v>
      </c>
      <c r="CM99" s="180">
        <f t="shared" si="91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0.67978165941757696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0</v>
      </c>
      <c r="DI99" s="161">
        <f t="shared" si="97"/>
        <v>0</v>
      </c>
      <c r="DJ99" s="161">
        <f t="shared" si="98"/>
        <v>0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0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0</v>
      </c>
      <c r="ES99" s="139">
        <f t="shared" si="58"/>
        <v>0</v>
      </c>
      <c r="ET99" s="139">
        <f t="shared" si="59"/>
        <v>0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0</v>
      </c>
      <c r="FV99" s="149"/>
      <c r="FY99" s="212">
        <v>94</v>
      </c>
      <c r="FZ99">
        <v>0.74064316864268975</v>
      </c>
      <c r="GA99">
        <v>23.546892715193234</v>
      </c>
      <c r="GB99">
        <v>14.160170122818146</v>
      </c>
      <c r="GC99">
        <v>3.613865775521615</v>
      </c>
      <c r="GD99">
        <v>1.4429987769171801</v>
      </c>
      <c r="GE99">
        <v>0.35947809610506914</v>
      </c>
      <c r="GF99">
        <v>0</v>
      </c>
      <c r="GG99">
        <v>1.4097971424648157</v>
      </c>
      <c r="GH99">
        <v>1.6229601285312325</v>
      </c>
      <c r="GI99">
        <v>8.4502542446997726</v>
      </c>
      <c r="GJ99"/>
      <c r="GK99"/>
      <c r="GL99"/>
      <c r="GM99"/>
    </row>
    <row r="100" spans="1:195" s="7" customFormat="1">
      <c r="A100" s="1"/>
      <c r="B100" s="76">
        <f ca="1">IF(C100="", "", RAND())</f>
        <v>0.30727278382885626</v>
      </c>
      <c r="C100">
        <v>1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8.1312499999999979</v>
      </c>
      <c r="AO100">
        <v>41.22227042203906</v>
      </c>
      <c r="AP100">
        <v>1082.7098066595379</v>
      </c>
      <c r="AQ100">
        <v>62.680320459803866</v>
      </c>
      <c r="AR100">
        <v>37.542751836964371</v>
      </c>
      <c r="AS100">
        <v>198.84105255506154</v>
      </c>
      <c r="AT100" t="e">
        <v>#DIV/0!</v>
      </c>
      <c r="AU100" t="e">
        <v>#DIV/0!</v>
      </c>
      <c r="AV100"/>
      <c r="AW100"/>
      <c r="AX100" s="146"/>
      <c r="AY100" s="76">
        <f t="shared" ca="1" si="87"/>
        <v>0.79020211893456893</v>
      </c>
      <c r="AZ100">
        <v>3</v>
      </c>
      <c r="BA100" s="129">
        <f t="shared" si="126"/>
        <v>39673</v>
      </c>
      <c r="BB100">
        <v>0</v>
      </c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9"/>
        <v>0.99071783194273166</v>
      </c>
      <c r="CL100" s="179">
        <f t="shared" si="90"/>
        <v>3</v>
      </c>
      <c r="CM100" s="180">
        <f t="shared" si="91"/>
        <v>39673</v>
      </c>
      <c r="CN100">
        <v>0</v>
      </c>
      <c r="CO100">
        <v>1</v>
      </c>
      <c r="CP100"/>
      <c r="CQ100">
        <v>2</v>
      </c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3.660045570551862E-2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71.486928104575156</v>
      </c>
      <c r="DH100" s="161">
        <f t="shared" si="96"/>
        <v>0</v>
      </c>
      <c r="DI100" s="161">
        <f t="shared" si="97"/>
        <v>142.97385620915031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214.46078431372547</v>
      </c>
      <c r="EL100" s="149"/>
      <c r="EN100" s="146"/>
      <c r="EO100" s="146"/>
      <c r="EP100" s="139">
        <f t="shared" si="55"/>
        <v>0</v>
      </c>
      <c r="EQ100" s="139">
        <f t="shared" si="56"/>
        <v>0.32557291666666671</v>
      </c>
      <c r="ER100" s="139">
        <f t="shared" si="57"/>
        <v>0</v>
      </c>
      <c r="ES100" s="139">
        <f t="shared" si="58"/>
        <v>14.490010133469642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0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14.815583050136309</v>
      </c>
      <c r="FV100" s="149"/>
      <c r="FY100" s="212">
        <v>95</v>
      </c>
      <c r="FZ100">
        <v>2.5469450648918941</v>
      </c>
      <c r="GA100">
        <v>16.847360762927977</v>
      </c>
      <c r="GB100">
        <v>13.97574341413808</v>
      </c>
      <c r="GC100">
        <v>4.2883569760981013</v>
      </c>
      <c r="GD100">
        <v>0.89272834343087448</v>
      </c>
      <c r="GE100">
        <v>0.35947809610506914</v>
      </c>
      <c r="GF100">
        <v>0</v>
      </c>
      <c r="GG100">
        <v>0.57818975631584713</v>
      </c>
      <c r="GH100">
        <v>0</v>
      </c>
      <c r="GI100">
        <v>6.0188425840147657</v>
      </c>
      <c r="GJ100"/>
      <c r="GK100"/>
      <c r="GL100"/>
      <c r="GM100"/>
    </row>
    <row r="101" spans="1:195" s="7" customFormat="1">
      <c r="A101" s="1"/>
      <c r="B101" s="76">
        <f ca="1">IF(C101="", "", RAND())</f>
        <v>0.4220489756975665</v>
      </c>
      <c r="C101">
        <v>10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16.783149509803923</v>
      </c>
      <c r="AO101">
        <v>26.039756748496877</v>
      </c>
      <c r="AP101">
        <v>568.30808490555887</v>
      </c>
      <c r="AQ101">
        <v>59.887417941522024</v>
      </c>
      <c r="AR101">
        <v>23.706486407097948</v>
      </c>
      <c r="AS101">
        <v>145.34899188091387</v>
      </c>
      <c r="AT101" t="e">
        <v>#DIV/0!</v>
      </c>
      <c r="AU101" t="e">
        <v>#DIV/0!</v>
      </c>
      <c r="AV101"/>
      <c r="AW101"/>
      <c r="AX101" s="146"/>
      <c r="AY101" s="76">
        <f t="shared" ca="1" si="87"/>
        <v>0.2372554950491681</v>
      </c>
      <c r="AZ101">
        <v>4</v>
      </c>
      <c r="BA101" s="129">
        <f t="shared" si="126"/>
        <v>39673</v>
      </c>
      <c r="BB101">
        <v>0</v>
      </c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9"/>
        <v>0.94701169714427014</v>
      </c>
      <c r="CL101" s="179">
        <f t="shared" si="90"/>
        <v>4</v>
      </c>
      <c r="CM101" s="180">
        <f t="shared" si="91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0.51695846512154042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0</v>
      </c>
      <c r="DJ101" s="161">
        <f t="shared" si="98"/>
        <v>0</v>
      </c>
      <c r="DK101" s="161">
        <f t="shared" si="99"/>
        <v>0</v>
      </c>
      <c r="DL101" s="161">
        <f t="shared" si="100"/>
        <v>0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0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0</v>
      </c>
      <c r="ET101" s="139">
        <f t="shared" si="59"/>
        <v>0</v>
      </c>
      <c r="EU101" s="139">
        <f t="shared" si="60"/>
        <v>0</v>
      </c>
      <c r="EV101" s="139">
        <f t="shared" si="61"/>
        <v>0</v>
      </c>
      <c r="EW101" s="139">
        <f t="shared" si="62"/>
        <v>0</v>
      </c>
      <c r="EX101" s="139">
        <f t="shared" si="63"/>
        <v>0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0</v>
      </c>
      <c r="FV101" s="149"/>
      <c r="FY101" s="212">
        <v>96</v>
      </c>
      <c r="FZ101">
        <v>0.70373625451912492</v>
      </c>
      <c r="GA101">
        <v>14.115460118592898</v>
      </c>
      <c r="GB101">
        <v>12.867696764947695</v>
      </c>
      <c r="GC101">
        <v>3.7665581055871509</v>
      </c>
      <c r="GD101">
        <v>0.50288646470561393</v>
      </c>
      <c r="GE101">
        <v>0.35947809610506914</v>
      </c>
      <c r="GF101">
        <v>0.80138167652982462</v>
      </c>
      <c r="GG101">
        <v>3.3224941306074438</v>
      </c>
      <c r="GH101">
        <v>0</v>
      </c>
      <c r="GI101">
        <v>6.1178253860819742</v>
      </c>
      <c r="GJ101"/>
      <c r="GK101"/>
      <c r="GL101"/>
      <c r="GM101"/>
    </row>
    <row r="102" spans="1:195" s="7" customFormat="1">
      <c r="A102" s="1"/>
      <c r="B102" s="76">
        <f ca="1">IF(C102="", "", RAND())</f>
        <v>8.9075079969443527E-2</v>
      </c>
      <c r="C102">
        <v>2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13.335845588235292</v>
      </c>
      <c r="AO102">
        <v>24.511575543802536</v>
      </c>
      <c r="AP102">
        <v>350.34947804727705</v>
      </c>
      <c r="AQ102">
        <v>75.568668809439686</v>
      </c>
      <c r="AR102">
        <v>22.317230766466732</v>
      </c>
      <c r="AS102">
        <v>142.33080050433387</v>
      </c>
      <c r="AT102" t="e">
        <v>#DIV/0!</v>
      </c>
      <c r="AU102" t="e">
        <v>#DIV/0!</v>
      </c>
      <c r="AV102"/>
      <c r="AW102"/>
      <c r="AX102" s="146"/>
      <c r="AY102" s="76">
        <f t="shared" ca="1" si="87"/>
        <v>0.74785634690467973</v>
      </c>
      <c r="AZ102">
        <v>5</v>
      </c>
      <c r="BA102" s="129">
        <f t="shared" si="126"/>
        <v>39673</v>
      </c>
      <c r="BB102">
        <v>0</v>
      </c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9"/>
        <v>5.0520961356810501E-2</v>
      </c>
      <c r="CL102" s="179">
        <f t="shared" si="90"/>
        <v>5</v>
      </c>
      <c r="CM102" s="180">
        <f t="shared" si="91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0.51535685801902598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0</v>
      </c>
      <c r="DJ102" s="161">
        <f t="shared" si="98"/>
        <v>0</v>
      </c>
      <c r="DK102" s="161">
        <f t="shared" si="99"/>
        <v>0</v>
      </c>
      <c r="DL102" s="161">
        <f t="shared" si="100"/>
        <v>0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0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0</v>
      </c>
      <c r="ET102" s="139">
        <f t="shared" si="59"/>
        <v>0</v>
      </c>
      <c r="EU102" s="139">
        <f t="shared" si="60"/>
        <v>0</v>
      </c>
      <c r="EV102" s="139">
        <f t="shared" si="61"/>
        <v>0</v>
      </c>
      <c r="EW102" s="139">
        <f t="shared" si="62"/>
        <v>0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0</v>
      </c>
      <c r="FV102" s="149"/>
      <c r="FY102" s="212">
        <v>97</v>
      </c>
      <c r="FZ102">
        <v>2.0141157010886364</v>
      </c>
      <c r="GA102">
        <v>24.156202824920424</v>
      </c>
      <c r="GB102">
        <v>14.326633715869582</v>
      </c>
      <c r="GC102">
        <v>2.992132964009333</v>
      </c>
      <c r="GD102">
        <v>0.74246790129333029</v>
      </c>
      <c r="GE102">
        <v>0.35947809610506914</v>
      </c>
      <c r="GF102">
        <v>0.80138167652982462</v>
      </c>
      <c r="GG102">
        <v>4.7322912730722599</v>
      </c>
      <c r="GH102">
        <v>1.6229601285312325</v>
      </c>
      <c r="GI102">
        <v>11.627759891065715</v>
      </c>
      <c r="GJ102"/>
      <c r="GK102"/>
      <c r="GL102"/>
      <c r="GM102"/>
    </row>
    <row r="103" spans="1:195" s="7" customFormat="1">
      <c r="A103" s="1"/>
      <c r="B103" s="76">
        <f ca="1">IF(C103="", "", RAND())</f>
        <v>0.50125053780655149</v>
      </c>
      <c r="C103">
        <v>7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7.625</v>
      </c>
      <c r="AO103">
        <v>37.637015779655336</v>
      </c>
      <c r="AP103">
        <v>429.80337993315959</v>
      </c>
      <c r="AQ103">
        <v>52.63235067886923</v>
      </c>
      <c r="AR103">
        <v>34.215468890595758</v>
      </c>
      <c r="AS103">
        <v>151.704597683651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0.23020154518659641</v>
      </c>
      <c r="AZ103">
        <v>6</v>
      </c>
      <c r="BA103" s="129">
        <f t="shared" si="126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9"/>
        <v>0.52492459909526978</v>
      </c>
      <c r="CL103" s="179">
        <f t="shared" si="90"/>
        <v>6</v>
      </c>
      <c r="CM103" s="180">
        <f t="shared" si="91"/>
        <v>39673</v>
      </c>
      <c r="CN103">
        <v>0</v>
      </c>
      <c r="CO103"/>
      <c r="CP103"/>
      <c r="CQ103">
        <v>1</v>
      </c>
      <c r="CR103">
        <v>1</v>
      </c>
      <c r="CS103"/>
      <c r="CT103"/>
      <c r="CU103"/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0.80262454332696742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0</v>
      </c>
      <c r="DI103" s="161">
        <f t="shared" si="97"/>
        <v>10.416666666666666</v>
      </c>
      <c r="DJ103" s="161">
        <f t="shared" si="98"/>
        <v>10.416666666666666</v>
      </c>
      <c r="DK103" s="161">
        <f t="shared" si="99"/>
        <v>0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20.833333333333332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0</v>
      </c>
      <c r="ES103" s="139">
        <f t="shared" si="58"/>
        <v>1.0557007382956454</v>
      </c>
      <c r="ET103" s="139">
        <f t="shared" si="59"/>
        <v>2.3788541590155874</v>
      </c>
      <c r="EU103" s="139">
        <f t="shared" si="60"/>
        <v>0</v>
      </c>
      <c r="EV103" s="139">
        <f t="shared" si="61"/>
        <v>0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3.4345548973112328</v>
      </c>
      <c r="FV103" s="149"/>
      <c r="FY103" s="212">
        <v>98</v>
      </c>
      <c r="FZ103">
        <v>0.3418137814317348</v>
      </c>
      <c r="GA103">
        <v>16.73960746664736</v>
      </c>
      <c r="GB103">
        <v>9.7923966394901587</v>
      </c>
      <c r="GC103">
        <v>2.87041691813765</v>
      </c>
      <c r="GD103">
        <v>1.8488523080229888</v>
      </c>
      <c r="GE103">
        <v>1.4379123844202766</v>
      </c>
      <c r="GF103">
        <v>2.4041450295894737</v>
      </c>
      <c r="GG103">
        <v>9.0645205090237582</v>
      </c>
      <c r="GH103">
        <v>1.6229601285312325</v>
      </c>
      <c r="GI103">
        <v>13.502922492953738</v>
      </c>
      <c r="GJ103"/>
      <c r="GK103"/>
      <c r="GL103"/>
      <c r="GM103"/>
    </row>
    <row r="104" spans="1:195" s="7" customFormat="1">
      <c r="A104" s="1"/>
      <c r="B104" s="76">
        <f ca="1">IF(C104="", "", RAND())</f>
        <v>0.62184070137868575</v>
      </c>
      <c r="C104">
        <v>4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11.68688725490196</v>
      </c>
      <c r="AO104">
        <v>25.192196235216748</v>
      </c>
      <c r="AP104">
        <v>574.88732726926412</v>
      </c>
      <c r="AQ104">
        <v>61.740822773459648</v>
      </c>
      <c r="AR104">
        <v>22.935976849570565</v>
      </c>
      <c r="AS104">
        <v>128.86374875013075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0.45248904907295251</v>
      </c>
      <c r="AZ104">
        <v>7</v>
      </c>
      <c r="BA104" s="129">
        <f t="shared" si="126"/>
        <v>39673</v>
      </c>
      <c r="BB104">
        <v>0</v>
      </c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9"/>
        <v>0.31047652824395922</v>
      </c>
      <c r="CL104" s="179">
        <f t="shared" si="90"/>
        <v>7</v>
      </c>
      <c r="CM104" s="180">
        <f t="shared" si="91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0.5232175822313283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0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0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0</v>
      </c>
      <c r="EU104" s="139">
        <f t="shared" si="60"/>
        <v>0</v>
      </c>
      <c r="EV104" s="139">
        <f t="shared" si="61"/>
        <v>0</v>
      </c>
      <c r="EW104" s="139">
        <f t="shared" si="62"/>
        <v>0</v>
      </c>
      <c r="EX104" s="139">
        <f t="shared" si="63"/>
        <v>0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0</v>
      </c>
      <c r="FV104" s="149"/>
      <c r="FY104" s="212">
        <v>99</v>
      </c>
      <c r="FZ104">
        <v>1.4443794231618146</v>
      </c>
      <c r="GA104">
        <v>25.645997530212508</v>
      </c>
      <c r="GB104">
        <v>22.475211688225993</v>
      </c>
      <c r="GC104">
        <v>7.2487491425458792</v>
      </c>
      <c r="GD104">
        <v>1.4111246700060045</v>
      </c>
      <c r="GE104">
        <v>0.35947809610506914</v>
      </c>
      <c r="GF104">
        <v>0</v>
      </c>
      <c r="GG104">
        <v>1.9879868987806626</v>
      </c>
      <c r="GH104">
        <v>1.6229601285312325</v>
      </c>
      <c r="GI104">
        <v>12.344049327730559</v>
      </c>
      <c r="GJ104"/>
      <c r="GK104"/>
      <c r="GL104"/>
      <c r="GM104"/>
    </row>
    <row r="105" spans="1:195" s="7" customFormat="1">
      <c r="A105" s="1"/>
      <c r="B105" s="76">
        <f ca="1">IF(C105="", "", RAND())</f>
        <v>0.3170992646281674</v>
      </c>
      <c r="C105">
        <v>9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8.5496936274509796</v>
      </c>
      <c r="AO105">
        <v>33.347247184189669</v>
      </c>
      <c r="AP105">
        <v>856.34173906255603</v>
      </c>
      <c r="AQ105">
        <v>51.343860876933441</v>
      </c>
      <c r="AR105">
        <v>30.349659530455046</v>
      </c>
      <c r="AS105">
        <v>182.33458519724962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0.33053154745980828</v>
      </c>
      <c r="AZ105">
        <v>8</v>
      </c>
      <c r="BA105" s="129">
        <f t="shared" si="126"/>
        <v>39673</v>
      </c>
      <c r="BB105">
        <v>0</v>
      </c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9"/>
        <v>0.5552455929528044</v>
      </c>
      <c r="CL105" s="179">
        <f t="shared" si="90"/>
        <v>8</v>
      </c>
      <c r="CM105" s="180">
        <f t="shared" si="91"/>
        <v>39673</v>
      </c>
      <c r="CN105">
        <v>0</v>
      </c>
      <c r="CO105"/>
      <c r="CP105"/>
      <c r="CQ105"/>
      <c r="CR105"/>
      <c r="CS105"/>
      <c r="CT105"/>
      <c r="CU105"/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0.15356044458701845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0</v>
      </c>
      <c r="DH105" s="161">
        <f t="shared" si="96"/>
        <v>0</v>
      </c>
      <c r="DI105" s="161">
        <f t="shared" si="97"/>
        <v>0</v>
      </c>
      <c r="DJ105" s="161">
        <f t="shared" si="98"/>
        <v>0</v>
      </c>
      <c r="DK105" s="161">
        <f t="shared" si="99"/>
        <v>0</v>
      </c>
      <c r="DL105" s="161">
        <f t="shared" si="100"/>
        <v>0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0</v>
      </c>
      <c r="EL105" s="149"/>
      <c r="EN105" s="146"/>
      <c r="EO105" s="146"/>
      <c r="EP105" s="139">
        <f t="shared" si="55"/>
        <v>0</v>
      </c>
      <c r="EQ105" s="139">
        <f t="shared" si="56"/>
        <v>0</v>
      </c>
      <c r="ER105" s="139">
        <f t="shared" si="57"/>
        <v>0</v>
      </c>
      <c r="ES105" s="139">
        <f t="shared" si="58"/>
        <v>0</v>
      </c>
      <c r="ET105" s="139">
        <f t="shared" si="59"/>
        <v>0</v>
      </c>
      <c r="EU105" s="139">
        <f t="shared" si="60"/>
        <v>0</v>
      </c>
      <c r="EV105" s="139">
        <f t="shared" si="61"/>
        <v>0</v>
      </c>
      <c r="EW105" s="139">
        <f t="shared" si="62"/>
        <v>0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0</v>
      </c>
      <c r="FV105" s="149"/>
      <c r="FY105" s="212">
        <v>100</v>
      </c>
      <c r="FZ105">
        <v>0.89475183689064763</v>
      </c>
      <c r="GA105">
        <v>18.680170517072561</v>
      </c>
      <c r="GB105">
        <v>15.278067094439447</v>
      </c>
      <c r="GC105">
        <v>4.8245477278380617</v>
      </c>
      <c r="GD105">
        <v>1.5312810520373412</v>
      </c>
      <c r="GE105">
        <v>0.71895619221013829</v>
      </c>
      <c r="GF105">
        <v>0.80138167652982462</v>
      </c>
      <c r="GG105">
        <v>4.1541015167564126</v>
      </c>
      <c r="GH105">
        <v>1.6229601285312325</v>
      </c>
      <c r="GI105">
        <v>9.1815988695283721</v>
      </c>
      <c r="GJ105"/>
      <c r="GK105"/>
      <c r="GL105"/>
      <c r="GM105"/>
    </row>
    <row r="106" spans="1:195" s="7" customFormat="1">
      <c r="A106" s="1"/>
      <c r="B106" s="76">
        <f ca="1">IF(C106="", "", RAND())</f>
        <v>0.39018946041511304</v>
      </c>
      <c r="C106">
        <v>8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7.1017769607843118</v>
      </c>
      <c r="AO106">
        <v>18.481361390851138</v>
      </c>
      <c r="AP106">
        <v>340.12192027732067</v>
      </c>
      <c r="AQ106">
        <v>47.021910018890523</v>
      </c>
      <c r="AR106">
        <v>16.801237628046486</v>
      </c>
      <c r="AS106">
        <v>100.44727872196626</v>
      </c>
      <c r="AT106" t="e">
        <v>#DIV/0!</v>
      </c>
      <c r="AU106" t="e">
        <v>#DIV/0!</v>
      </c>
      <c r="AV106"/>
      <c r="AW106"/>
      <c r="AX106" s="146"/>
      <c r="AY106" s="76">
        <f t="shared" ca="1" si="87"/>
        <v>0.47452437836700967</v>
      </c>
      <c r="AZ106">
        <v>9</v>
      </c>
      <c r="BA106" s="129">
        <f t="shared" si="126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9"/>
        <v>0.97174971258246257</v>
      </c>
      <c r="CL106" s="179">
        <f t="shared" si="90"/>
        <v>9</v>
      </c>
      <c r="CM106" s="180">
        <f t="shared" si="91"/>
        <v>39673</v>
      </c>
      <c r="CN106">
        <v>0</v>
      </c>
      <c r="CO106"/>
      <c r="CP106"/>
      <c r="CQ106"/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0.39034571189247647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0</v>
      </c>
      <c r="DI106" s="161">
        <f t="shared" si="97"/>
        <v>0</v>
      </c>
      <c r="DJ106" s="161">
        <f t="shared" si="98"/>
        <v>0</v>
      </c>
      <c r="DK106" s="161">
        <f t="shared" si="99"/>
        <v>0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0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0</v>
      </c>
      <c r="ES106" s="139">
        <f t="shared" si="58"/>
        <v>0</v>
      </c>
      <c r="ET106" s="139">
        <f t="shared" si="59"/>
        <v>0</v>
      </c>
      <c r="EU106" s="139">
        <f t="shared" si="60"/>
        <v>0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0</v>
      </c>
      <c r="FV106" s="149"/>
      <c r="FY106" s="212">
        <v>101</v>
      </c>
      <c r="FZ106">
        <v>1.4812863372853795</v>
      </c>
      <c r="GA106">
        <v>27.464241971355804</v>
      </c>
      <c r="GB106">
        <v>21.628187243002209</v>
      </c>
      <c r="GC106">
        <v>5.7524617919183081</v>
      </c>
      <c r="GD106">
        <v>0.8541165133364268</v>
      </c>
      <c r="GE106">
        <v>0.35947809610506914</v>
      </c>
      <c r="GF106">
        <v>0</v>
      </c>
      <c r="GG106">
        <v>1.6632147722979369</v>
      </c>
      <c r="GH106">
        <v>3.245920257062465</v>
      </c>
      <c r="GI106">
        <v>8.2643605720714177</v>
      </c>
      <c r="GJ106"/>
      <c r="GK106"/>
      <c r="GL106"/>
      <c r="GM106"/>
    </row>
    <row r="107" spans="1:195" s="7" customFormat="1">
      <c r="A107" s="1"/>
      <c r="B107" s="76">
        <f ca="1">IF(C107="", "", RAND())</f>
        <v>0.4710499075531589</v>
      </c>
      <c r="C107">
        <v>3</v>
      </c>
      <c r="D107">
        <v>39673</v>
      </c>
      <c r="E107">
        <v>0</v>
      </c>
      <c r="F107">
        <v>71.486928104575156</v>
      </c>
      <c r="G107">
        <v>0</v>
      </c>
      <c r="H107">
        <v>142.97385620915031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14.655637254901958</v>
      </c>
      <c r="AO107">
        <v>49.807957681709652</v>
      </c>
      <c r="AP107">
        <v>703.16549443450504</v>
      </c>
      <c r="AQ107">
        <v>60.352141399244843</v>
      </c>
      <c r="AR107">
        <v>45.347922073028535</v>
      </c>
      <c r="AS107">
        <v>318.37940645309811</v>
      </c>
      <c r="AT107" t="e">
        <v>#DIV/0!</v>
      </c>
      <c r="AU107" t="e">
        <v>#DIV/0!</v>
      </c>
      <c r="AV107"/>
      <c r="AW107"/>
      <c r="AX107" s="146"/>
      <c r="AY107" s="76">
        <f t="shared" ca="1" si="87"/>
        <v>0.16807100886195947</v>
      </c>
      <c r="AZ107">
        <v>10</v>
      </c>
      <c r="BA107" s="129">
        <f t="shared" si="126"/>
        <v>39673</v>
      </c>
      <c r="BB107">
        <v>0</v>
      </c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9"/>
        <v>0.4440015130793733</v>
      </c>
      <c r="CL107" s="179">
        <f t="shared" si="90"/>
        <v>10</v>
      </c>
      <c r="CM107" s="180">
        <f t="shared" si="91"/>
        <v>39673</v>
      </c>
      <c r="CN107">
        <v>0</v>
      </c>
      <c r="CO107"/>
      <c r="CP107"/>
      <c r="CQ107"/>
      <c r="CR107"/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0.79600337782563724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0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0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0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0</v>
      </c>
      <c r="FV107" s="149"/>
      <c r="FY107" s="212">
        <v>102</v>
      </c>
      <c r="FZ107">
        <v>1.10256564173008</v>
      </c>
      <c r="GA107">
        <v>11.419732567653719</v>
      </c>
      <c r="GB107">
        <v>14.271088082554112</v>
      </c>
      <c r="GC107">
        <v>6.1245469615482584</v>
      </c>
      <c r="GD107">
        <v>1.1922535315330012</v>
      </c>
      <c r="GE107">
        <v>0.35947809610506914</v>
      </c>
      <c r="GF107">
        <v>0.80138167652982462</v>
      </c>
      <c r="GG107">
        <v>2.7443043742915965</v>
      </c>
      <c r="GH107">
        <v>0</v>
      </c>
      <c r="GI107">
        <v>8.6144187677350246</v>
      </c>
      <c r="GJ107"/>
      <c r="GK107"/>
      <c r="GL107"/>
      <c r="GM107"/>
    </row>
    <row r="108" spans="1:195" s="7" customFormat="1">
      <c r="A108" s="128"/>
      <c r="B108" s="76">
        <f ca="1">IF(C108="", "", RAND())</f>
        <v>0.62679413736098444</v>
      </c>
      <c r="C108">
        <v>1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15.475122549019607</v>
      </c>
      <c r="AO108">
        <v>43.745385458217427</v>
      </c>
      <c r="AP108">
        <v>948.91965669581271</v>
      </c>
      <c r="AQ108">
        <v>65.789458313156615</v>
      </c>
      <c r="AR108">
        <v>39.768532234743112</v>
      </c>
      <c r="AS108">
        <v>224.87072344902433</v>
      </c>
      <c r="AT108" t="e">
        <v>#DIV/0!</v>
      </c>
      <c r="AU108" t="e">
        <v>#DIV/0!</v>
      </c>
      <c r="AV108"/>
      <c r="AW108"/>
      <c r="AX108" s="128"/>
      <c r="AY108" s="76">
        <f t="shared" ca="1" si="87"/>
        <v>0.99494219956981045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9"/>
        <v>0.16646033316162567</v>
      </c>
      <c r="CL108" s="179">
        <f t="shared" si="90"/>
        <v>1</v>
      </c>
      <c r="CM108" s="180">
        <f t="shared" si="91"/>
        <v>39714</v>
      </c>
      <c r="CN108">
        <v>0</v>
      </c>
      <c r="CO108"/>
      <c r="CP108"/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0.59999463199491054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0</v>
      </c>
      <c r="DG108" s="161">
        <f t="shared" si="95"/>
        <v>0</v>
      </c>
      <c r="DH108" s="161">
        <f t="shared" si="96"/>
        <v>0</v>
      </c>
      <c r="DI108" s="161">
        <f t="shared" si="97"/>
        <v>0</v>
      </c>
      <c r="DJ108" s="161">
        <f t="shared" si="98"/>
        <v>0</v>
      </c>
      <c r="DK108" s="161">
        <f t="shared" si="99"/>
        <v>0</v>
      </c>
      <c r="DL108" s="161">
        <f t="shared" si="100"/>
        <v>0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0</v>
      </c>
      <c r="EL108" s="149"/>
      <c r="EN108" s="146"/>
      <c r="EO108" s="146"/>
      <c r="EP108" s="139">
        <f t="shared" si="55"/>
        <v>0</v>
      </c>
      <c r="EQ108" s="139">
        <f t="shared" si="56"/>
        <v>0</v>
      </c>
      <c r="ER108" s="139">
        <f t="shared" si="57"/>
        <v>0</v>
      </c>
      <c r="ES108" s="139">
        <f t="shared" si="58"/>
        <v>0</v>
      </c>
      <c r="ET108" s="139">
        <f t="shared" si="59"/>
        <v>0</v>
      </c>
      <c r="EU108" s="139">
        <f t="shared" si="60"/>
        <v>0</v>
      </c>
      <c r="EV108" s="139">
        <f t="shared" si="61"/>
        <v>0</v>
      </c>
      <c r="EW108" s="139">
        <f t="shared" si="62"/>
        <v>0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0</v>
      </c>
      <c r="FV108" s="149"/>
      <c r="FY108" s="212">
        <v>103</v>
      </c>
      <c r="FZ108">
        <v>1.4812863372853795</v>
      </c>
      <c r="GA108">
        <v>24.035884872475815</v>
      </c>
      <c r="GB108">
        <v>18.975206633629266</v>
      </c>
      <c r="GC108">
        <v>5.5464766734622684</v>
      </c>
      <c r="GD108">
        <v>1.128860241344829</v>
      </c>
      <c r="GE108">
        <v>0.35947809610506914</v>
      </c>
      <c r="GF108">
        <v>0</v>
      </c>
      <c r="GG108">
        <v>1.6632147722979369</v>
      </c>
      <c r="GH108">
        <v>3.245920257062465</v>
      </c>
      <c r="GI108">
        <v>8.469060946739587</v>
      </c>
      <c r="GJ108"/>
      <c r="GK108"/>
      <c r="GL108"/>
      <c r="GM108"/>
    </row>
    <row r="109" spans="1:195" s="7" customFormat="1">
      <c r="A109" s="1"/>
      <c r="B109" s="76">
        <f ca="1">IF(C109="", "", RAND())</f>
        <v>0.12773590392349821</v>
      </c>
      <c r="C109">
        <v>6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20.833333333333332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12.700428921568626</v>
      </c>
      <c r="AO109">
        <v>18.078851004275002</v>
      </c>
      <c r="AP109">
        <v>337.57532716198949</v>
      </c>
      <c r="AQ109">
        <v>73.811133232611681</v>
      </c>
      <c r="AR109">
        <v>16.435319094795457</v>
      </c>
      <c r="AS109">
        <v>125.42886334186274</v>
      </c>
      <c r="AT109" t="e">
        <v>#DIV/0!</v>
      </c>
      <c r="AU109" t="e">
        <v>#DIV/0!</v>
      </c>
      <c r="AV109"/>
      <c r="AW109"/>
      <c r="AX109" s="146"/>
      <c r="AY109" s="76">
        <f t="shared" ca="1" si="87"/>
        <v>0.84932460920239095</v>
      </c>
      <c r="AZ109">
        <v>2</v>
      </c>
      <c r="BA109" s="129">
        <f t="shared" ref="BA109:BA117" si="128">IF(AZ109="", "",$C$6)</f>
        <v>39714</v>
      </c>
      <c r="BB109">
        <v>0</v>
      </c>
      <c r="BC109"/>
      <c r="BD109"/>
      <c r="BE109"/>
      <c r="BF109"/>
      <c r="BG109"/>
      <c r="BH109"/>
      <c r="BI109"/>
      <c r="BJ109"/>
      <c r="BK109">
        <v>2</v>
      </c>
      <c r="BL109"/>
      <c r="BM109">
        <v>1</v>
      </c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9"/>
        <v>0.80862896049166744</v>
      </c>
      <c r="CL109" s="179">
        <f t="shared" si="90"/>
        <v>2</v>
      </c>
      <c r="CM109" s="180">
        <f t="shared" si="91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0.47608064129884653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0</v>
      </c>
      <c r="DI109" s="161">
        <f t="shared" si="97"/>
        <v>0</v>
      </c>
      <c r="DJ109" s="161">
        <f t="shared" si="98"/>
        <v>0</v>
      </c>
      <c r="DK109" s="161">
        <f t="shared" si="99"/>
        <v>0</v>
      </c>
      <c r="DL109" s="161">
        <f t="shared" si="100"/>
        <v>0</v>
      </c>
      <c r="DM109" s="161">
        <f t="shared" si="101"/>
        <v>0</v>
      </c>
      <c r="DN109" s="161">
        <f t="shared" si="102"/>
        <v>0</v>
      </c>
      <c r="DO109" s="161">
        <f t="shared" si="103"/>
        <v>20.833333333333332</v>
      </c>
      <c r="DP109" s="161">
        <f t="shared" si="104"/>
        <v>0</v>
      </c>
      <c r="DQ109" s="161">
        <f t="shared" si="105"/>
        <v>10.416666666666666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31.25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0</v>
      </c>
      <c r="ES109" s="139">
        <f t="shared" si="58"/>
        <v>0</v>
      </c>
      <c r="ET109" s="139">
        <f t="shared" si="59"/>
        <v>0</v>
      </c>
      <c r="EU109" s="139">
        <f t="shared" si="60"/>
        <v>0</v>
      </c>
      <c r="EV109" s="139">
        <f t="shared" si="61"/>
        <v>0</v>
      </c>
      <c r="EW109" s="139">
        <f t="shared" si="62"/>
        <v>0</v>
      </c>
      <c r="EX109" s="139">
        <f t="shared" si="63"/>
        <v>0</v>
      </c>
      <c r="EY109" s="139">
        <f t="shared" si="64"/>
        <v>46.9852177890983</v>
      </c>
      <c r="EZ109" s="139">
        <f t="shared" si="65"/>
        <v>0</v>
      </c>
      <c r="FA109" s="139">
        <f t="shared" si="66"/>
        <v>41.404099618884992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88.389317407983299</v>
      </c>
      <c r="FV109" s="149"/>
      <c r="FY109" s="212">
        <v>104</v>
      </c>
      <c r="FZ109">
        <v>1.4812863372853795</v>
      </c>
      <c r="GA109">
        <v>19.611542687269846</v>
      </c>
      <c r="GB109">
        <v>11.536970282479876</v>
      </c>
      <c r="GC109">
        <v>2.5378164195313468</v>
      </c>
      <c r="GD109">
        <v>0.58736194654476737</v>
      </c>
      <c r="GE109">
        <v>0</v>
      </c>
      <c r="GF109">
        <v>0</v>
      </c>
      <c r="GG109">
        <v>1.6632147722979369</v>
      </c>
      <c r="GH109">
        <v>3.245920257062465</v>
      </c>
      <c r="GI109">
        <v>5.483748831495352</v>
      </c>
      <c r="GJ109"/>
      <c r="GK109"/>
      <c r="GL109"/>
      <c r="GM109"/>
    </row>
    <row r="110" spans="1:195" s="7" customFormat="1">
      <c r="A110" s="1"/>
      <c r="B110" s="76">
        <f ca="1">IF(C110="", "", RAND())</f>
        <v>0.12806480091889405</v>
      </c>
      <c r="C110">
        <v>7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9.5986519607843128</v>
      </c>
      <c r="AO110">
        <v>44.607463646016008</v>
      </c>
      <c r="AP110">
        <v>665.29696524635028</v>
      </c>
      <c r="AQ110">
        <v>55.347060170893762</v>
      </c>
      <c r="AR110">
        <v>40.552239678196372</v>
      </c>
      <c r="AS110">
        <v>176.06106363874662</v>
      </c>
      <c r="AT110" t="e">
        <v>#DIV/0!</v>
      </c>
      <c r="AU110" t="e">
        <v>#DIV/0!</v>
      </c>
      <c r="AV110"/>
      <c r="AW110"/>
      <c r="AX110" s="146"/>
      <c r="AY110" s="76">
        <f t="shared" ca="1" si="87"/>
        <v>0.38044550624510354</v>
      </c>
      <c r="AZ110">
        <v>3</v>
      </c>
      <c r="BA110" s="129">
        <f t="shared" si="128"/>
        <v>39714</v>
      </c>
      <c r="BB110">
        <v>0</v>
      </c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9"/>
        <v>0.58022235289847335</v>
      </c>
      <c r="CL110" s="179">
        <f t="shared" si="90"/>
        <v>3</v>
      </c>
      <c r="CM110" s="180">
        <f t="shared" si="91"/>
        <v>39714</v>
      </c>
      <c r="CN110">
        <v>0</v>
      </c>
      <c r="CO110"/>
      <c r="CP110"/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0.72034678219542858</v>
      </c>
      <c r="DD110">
        <f t="shared" si="93"/>
        <v>3</v>
      </c>
      <c r="DE110" s="129">
        <f t="shared" si="127"/>
        <v>39714</v>
      </c>
      <c r="DF110" s="161">
        <f t="shared" si="94"/>
        <v>0</v>
      </c>
      <c r="DG110" s="161">
        <f t="shared" si="95"/>
        <v>0</v>
      </c>
      <c r="DH110" s="161">
        <f t="shared" si="96"/>
        <v>0</v>
      </c>
      <c r="DI110" s="161">
        <f t="shared" si="97"/>
        <v>0</v>
      </c>
      <c r="DJ110" s="161">
        <f t="shared" si="98"/>
        <v>0</v>
      </c>
      <c r="DK110" s="161">
        <f t="shared" si="99"/>
        <v>0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0</v>
      </c>
      <c r="EL110" s="149"/>
      <c r="EN110" s="146"/>
      <c r="EO110" s="146"/>
      <c r="EP110" s="139">
        <f t="shared" si="55"/>
        <v>0</v>
      </c>
      <c r="EQ110" s="139">
        <f t="shared" si="56"/>
        <v>0</v>
      </c>
      <c r="ER110" s="139">
        <f t="shared" si="57"/>
        <v>0</v>
      </c>
      <c r="ES110" s="139">
        <f t="shared" si="58"/>
        <v>0</v>
      </c>
      <c r="ET110" s="139">
        <f t="shared" si="59"/>
        <v>0</v>
      </c>
      <c r="EU110" s="139">
        <f t="shared" si="60"/>
        <v>0</v>
      </c>
      <c r="EV110" s="139">
        <f t="shared" si="61"/>
        <v>0</v>
      </c>
      <c r="EW110" s="139">
        <f t="shared" si="62"/>
        <v>0</v>
      </c>
      <c r="EX110" s="139">
        <f t="shared" si="63"/>
        <v>0</v>
      </c>
      <c r="EY110" s="139">
        <f t="shared" si="64"/>
        <v>0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0</v>
      </c>
      <c r="FV110" s="149"/>
      <c r="FY110" s="212">
        <v>105</v>
      </c>
      <c r="FZ110">
        <v>2.1649139001488491</v>
      </c>
      <c r="GA110">
        <v>11.209433456016098</v>
      </c>
      <c r="GB110">
        <v>11.315947292701372</v>
      </c>
      <c r="GC110">
        <v>4.4278503963061411</v>
      </c>
      <c r="GD110">
        <v>0.95815838009508658</v>
      </c>
      <c r="GE110">
        <v>0.71895619221013829</v>
      </c>
      <c r="GF110">
        <v>0.80138167652982462</v>
      </c>
      <c r="GG110">
        <v>4.1541015167564126</v>
      </c>
      <c r="GH110">
        <v>1.6229601285312325</v>
      </c>
      <c r="GI110">
        <v>9.0988942214312569</v>
      </c>
      <c r="GJ110"/>
      <c r="GK110"/>
      <c r="GL110"/>
      <c r="GM110"/>
    </row>
    <row r="111" spans="1:195" s="7" customFormat="1">
      <c r="A111" s="1"/>
      <c r="B111" s="76">
        <f ca="1">IF(C111="", "", RAND())</f>
        <v>8.4490389528557586E-3</v>
      </c>
      <c r="C111">
        <v>4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10.416666666666666</v>
      </c>
      <c r="K111">
        <v>10.416666666666666</v>
      </c>
      <c r="L111">
        <v>0</v>
      </c>
      <c r="M111">
        <v>10.416666666666666</v>
      </c>
      <c r="N111">
        <v>10.416666666666666</v>
      </c>
      <c r="O111">
        <v>0</v>
      </c>
      <c r="P111">
        <v>10.416666666666666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10.697303921568626</v>
      </c>
      <c r="AO111">
        <v>26.713227609170438</v>
      </c>
      <c r="AP111">
        <v>443.28687036893439</v>
      </c>
      <c r="AQ111">
        <v>45.507644997922604</v>
      </c>
      <c r="AR111">
        <v>24.35271291617471</v>
      </c>
      <c r="AS111">
        <v>118.89163398687937</v>
      </c>
      <c r="AT111" t="e">
        <v>#DIV/0!</v>
      </c>
      <c r="AU111" t="e">
        <v>#DIV/0!</v>
      </c>
      <c r="AV111"/>
      <c r="AW111"/>
      <c r="AX111" s="146"/>
      <c r="AY111" s="76">
        <f t="shared" ca="1" si="87"/>
        <v>0.16238302004564886</v>
      </c>
      <c r="AZ111">
        <v>4</v>
      </c>
      <c r="BA111" s="129">
        <f t="shared" si="128"/>
        <v>39714</v>
      </c>
      <c r="BB111">
        <v>0</v>
      </c>
      <c r="BC111"/>
      <c r="BD111"/>
      <c r="BE111"/>
      <c r="BF111"/>
      <c r="BG111">
        <v>1</v>
      </c>
      <c r="BH111">
        <v>1</v>
      </c>
      <c r="BI111"/>
      <c r="BJ111">
        <v>1</v>
      </c>
      <c r="BK111">
        <v>1</v>
      </c>
      <c r="BL111"/>
      <c r="BM111">
        <v>1</v>
      </c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9"/>
        <v>0.35674165609299102</v>
      </c>
      <c r="CL111" s="179">
        <f t="shared" si="90"/>
        <v>4</v>
      </c>
      <c r="CM111" s="180">
        <f t="shared" si="91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6.5943144659903696E-2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0</v>
      </c>
      <c r="DJ111" s="161">
        <f t="shared" si="98"/>
        <v>0</v>
      </c>
      <c r="DK111" s="161">
        <f t="shared" si="99"/>
        <v>10.416666666666666</v>
      </c>
      <c r="DL111" s="161">
        <f t="shared" si="100"/>
        <v>10.416666666666666</v>
      </c>
      <c r="DM111" s="161">
        <f t="shared" si="101"/>
        <v>0</v>
      </c>
      <c r="DN111" s="161">
        <f t="shared" si="102"/>
        <v>10.416666666666666</v>
      </c>
      <c r="DO111" s="161">
        <f t="shared" si="103"/>
        <v>10.416666666666666</v>
      </c>
      <c r="DP111" s="161">
        <f t="shared" si="104"/>
        <v>0</v>
      </c>
      <c r="DQ111" s="161">
        <f t="shared" si="105"/>
        <v>10.416666666666666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52.083333333333329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</v>
      </c>
      <c r="ES111" s="139">
        <f t="shared" si="58"/>
        <v>0</v>
      </c>
      <c r="ET111" s="139">
        <f t="shared" si="59"/>
        <v>0</v>
      </c>
      <c r="EU111" s="139">
        <f t="shared" si="60"/>
        <v>4.4672647781076842</v>
      </c>
      <c r="EV111" s="139">
        <f t="shared" si="61"/>
        <v>7.4756598621743597</v>
      </c>
      <c r="EW111" s="139">
        <f t="shared" si="62"/>
        <v>0</v>
      </c>
      <c r="EX111" s="139">
        <f t="shared" si="63"/>
        <v>16.845213713906823</v>
      </c>
      <c r="EY111" s="139">
        <f t="shared" si="64"/>
        <v>23.49260889454915</v>
      </c>
      <c r="EZ111" s="139">
        <f t="shared" si="65"/>
        <v>0</v>
      </c>
      <c r="FA111" s="139">
        <f t="shared" si="66"/>
        <v>41.404099618884992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93.684846867623008</v>
      </c>
      <c r="FV111" s="149"/>
      <c r="FY111" s="212">
        <v>106</v>
      </c>
      <c r="FZ111">
        <v>2.1850225918045041</v>
      </c>
      <c r="GA111">
        <v>14.549402133757342</v>
      </c>
      <c r="GB111">
        <v>10.421358225444019</v>
      </c>
      <c r="GC111">
        <v>3.1610572754273938</v>
      </c>
      <c r="GD111">
        <v>0.94860093296627357</v>
      </c>
      <c r="GE111">
        <v>0.35947809610506914</v>
      </c>
      <c r="GF111">
        <v>0</v>
      </c>
      <c r="GG111">
        <v>1.1563795126316943</v>
      </c>
      <c r="GH111">
        <v>0</v>
      </c>
      <c r="GI111">
        <v>4.9686712852114683</v>
      </c>
      <c r="GJ111"/>
      <c r="GK111"/>
      <c r="GL111"/>
      <c r="GM111"/>
    </row>
    <row r="112" spans="1:195" s="7" customFormat="1">
      <c r="A112" s="1"/>
      <c r="B112" s="76">
        <f ca="1">IF(C112="", "", RAND())</f>
        <v>0.47533770851301194</v>
      </c>
      <c r="C112">
        <v>9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10.416666666666666</v>
      </c>
      <c r="L112">
        <v>10.416666666666666</v>
      </c>
      <c r="M112">
        <v>0</v>
      </c>
      <c r="N112">
        <v>0</v>
      </c>
      <c r="O112">
        <v>0</v>
      </c>
      <c r="P112">
        <v>0</v>
      </c>
      <c r="Q112">
        <v>10.416666666666666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5.5031249999999998</v>
      </c>
      <c r="AO112">
        <v>23.935725683218571</v>
      </c>
      <c r="AP112">
        <v>518.81262821835344</v>
      </c>
      <c r="AQ112">
        <v>42.557516997676792</v>
      </c>
      <c r="AR112">
        <v>21.793730893208586</v>
      </c>
      <c r="AS112">
        <v>105.45868577505614</v>
      </c>
      <c r="AT112" t="e">
        <v>#DIV/0!</v>
      </c>
      <c r="AU112" t="e">
        <v>#DIV/0!</v>
      </c>
      <c r="AV112"/>
      <c r="AW112"/>
      <c r="AX112" s="146"/>
      <c r="AY112" s="76">
        <f t="shared" ca="1" si="87"/>
        <v>0.37151883545515219</v>
      </c>
      <c r="AZ112">
        <v>5</v>
      </c>
      <c r="BA112" s="129">
        <f t="shared" si="128"/>
        <v>39714</v>
      </c>
      <c r="BB112">
        <v>0</v>
      </c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9"/>
        <v>0.87369000740014635</v>
      </c>
      <c r="CL112" s="179">
        <f t="shared" si="90"/>
        <v>5</v>
      </c>
      <c r="CM112" s="180">
        <f t="shared" si="91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0.34697906258128786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0</v>
      </c>
      <c r="DJ112" s="161">
        <f t="shared" si="98"/>
        <v>0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0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0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0</v>
      </c>
      <c r="ET112" s="139">
        <f t="shared" si="59"/>
        <v>0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0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0</v>
      </c>
      <c r="FV112" s="149"/>
      <c r="FY112" s="212">
        <v>107</v>
      </c>
      <c r="FZ112">
        <v>1.273472532445947</v>
      </c>
      <c r="GA112">
        <v>7.7546314794591957</v>
      </c>
      <c r="GB112">
        <v>12.222147126986776</v>
      </c>
      <c r="GC112">
        <v>5.9140531363585547</v>
      </c>
      <c r="GD112">
        <v>1.3279006262003215</v>
      </c>
      <c r="GE112">
        <v>0.35947809610506914</v>
      </c>
      <c r="GF112">
        <v>0.80138167652982462</v>
      </c>
      <c r="GG112">
        <v>6.3955060453701975</v>
      </c>
      <c r="GH112">
        <v>4.8688803855936991</v>
      </c>
      <c r="GI112">
        <v>7.5646430159224076</v>
      </c>
      <c r="GJ112"/>
      <c r="GK112"/>
      <c r="GL112"/>
      <c r="GM112"/>
    </row>
    <row r="113" spans="1:195" s="7" customFormat="1">
      <c r="A113" s="1"/>
      <c r="B113" s="76">
        <f ca="1">IF(C113="", "", RAND())</f>
        <v>0.2856149172799034</v>
      </c>
      <c r="C113">
        <v>10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10.416666666666666</v>
      </c>
      <c r="M113">
        <v>0</v>
      </c>
      <c r="N113">
        <v>10.416666666666666</v>
      </c>
      <c r="O113">
        <v>10.416666666666666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12.835845588235291</v>
      </c>
      <c r="AO113">
        <v>37.890190489916058</v>
      </c>
      <c r="AP113">
        <v>842.43390129253214</v>
      </c>
      <c r="AQ113">
        <v>63.375424172485417</v>
      </c>
      <c r="AR113">
        <v>34.479607990206304</v>
      </c>
      <c r="AS113">
        <v>165.58455002227075</v>
      </c>
      <c r="AT113" t="e">
        <v>#DIV/0!</v>
      </c>
      <c r="AU113" t="e">
        <v>#DIV/0!</v>
      </c>
      <c r="AV113"/>
      <c r="AW113"/>
      <c r="AX113" s="146"/>
      <c r="AY113" s="76">
        <f t="shared" ca="1" si="87"/>
        <v>8.2183864723799793E-2</v>
      </c>
      <c r="AZ113">
        <v>6</v>
      </c>
      <c r="BA113" s="129">
        <f t="shared" si="128"/>
        <v>39714</v>
      </c>
      <c r="BB113">
        <v>0</v>
      </c>
      <c r="BC113"/>
      <c r="BD113"/>
      <c r="BE113"/>
      <c r="BF113"/>
      <c r="BG113"/>
      <c r="BH113"/>
      <c r="BI113">
        <v>2</v>
      </c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9"/>
        <v>0.95695905039766349</v>
      </c>
      <c r="CL113" s="179">
        <f t="shared" si="90"/>
        <v>6</v>
      </c>
      <c r="CM113" s="180">
        <f t="shared" si="91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0.30128600864801314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0</v>
      </c>
      <c r="DJ113" s="161">
        <f t="shared" si="98"/>
        <v>0</v>
      </c>
      <c r="DK113" s="161">
        <f t="shared" si="99"/>
        <v>0</v>
      </c>
      <c r="DL113" s="161">
        <f t="shared" si="100"/>
        <v>0</v>
      </c>
      <c r="DM113" s="161">
        <f t="shared" si="101"/>
        <v>20.833333333333332</v>
      </c>
      <c r="DN113" s="161">
        <f t="shared" si="102"/>
        <v>0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20.833333333333332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0</v>
      </c>
      <c r="ET113" s="139">
        <f t="shared" si="59"/>
        <v>0</v>
      </c>
      <c r="EU113" s="139">
        <f t="shared" si="60"/>
        <v>0</v>
      </c>
      <c r="EV113" s="139">
        <f t="shared" si="61"/>
        <v>0</v>
      </c>
      <c r="EW113" s="139">
        <f t="shared" si="62"/>
        <v>23.106664713452354</v>
      </c>
      <c r="EX113" s="139">
        <f t="shared" si="63"/>
        <v>0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23.106664713452354</v>
      </c>
      <c r="FV113" s="149"/>
      <c r="FY113" s="212">
        <v>108</v>
      </c>
      <c r="FZ113">
        <v>0.74064316864268975</v>
      </c>
      <c r="GA113">
        <v>23.178742642231331</v>
      </c>
      <c r="GB113">
        <v>14.666530517166228</v>
      </c>
      <c r="GC113">
        <v>4.2103778900615261</v>
      </c>
      <c r="GD113">
        <v>1.3771946673852566</v>
      </c>
      <c r="GE113">
        <v>0</v>
      </c>
      <c r="GF113">
        <v>0.80138167652982462</v>
      </c>
      <c r="GG113">
        <v>3.5759117604405652</v>
      </c>
      <c r="GH113">
        <v>1.6229601285312325</v>
      </c>
      <c r="GI113">
        <v>9.5697654774309235</v>
      </c>
      <c r="GJ113"/>
      <c r="GK113"/>
      <c r="GL113"/>
      <c r="GM113"/>
    </row>
    <row r="114" spans="1:195" s="7" customFormat="1">
      <c r="A114" s="1"/>
      <c r="B114" s="76">
        <f ca="1">IF(C114="", "", RAND())</f>
        <v>0.23518949387314603</v>
      </c>
      <c r="C114">
        <v>8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9.1656249999999986</v>
      </c>
      <c r="AO114">
        <v>40.439502238641438</v>
      </c>
      <c r="AP114">
        <v>700.00065398767822</v>
      </c>
      <c r="AQ114">
        <v>59.625547658248365</v>
      </c>
      <c r="AR114">
        <v>36.763183853310409</v>
      </c>
      <c r="AS114">
        <v>180.43229952710519</v>
      </c>
      <c r="AT114" t="e">
        <v>#DIV/0!</v>
      </c>
      <c r="AU114" t="e">
        <v>#DIV/0!</v>
      </c>
      <c r="AV114"/>
      <c r="AW114"/>
      <c r="AX114" s="146"/>
      <c r="AY114" s="76">
        <f t="shared" ca="1" si="87"/>
        <v>0.13088102222208775</v>
      </c>
      <c r="AZ114">
        <v>7</v>
      </c>
      <c r="BA114" s="129">
        <f t="shared" si="128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9"/>
        <v>0.621547936775251</v>
      </c>
      <c r="CL114" s="179">
        <f t="shared" si="90"/>
        <v>7</v>
      </c>
      <c r="CM114" s="180">
        <f t="shared" si="91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0.80054108892061748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2">
        <v>109</v>
      </c>
      <c r="FZ114">
        <v>1.6353950055333373</v>
      </c>
      <c r="GA114">
        <v>12.197263825462999</v>
      </c>
      <c r="GB114">
        <v>9.6910637272337325</v>
      </c>
      <c r="GC114">
        <v>2.8601164042684051</v>
      </c>
      <c r="GD114">
        <v>0.43188409825993712</v>
      </c>
      <c r="GE114">
        <v>0</v>
      </c>
      <c r="GF114">
        <v>0</v>
      </c>
      <c r="GG114">
        <v>0</v>
      </c>
      <c r="GH114">
        <v>0</v>
      </c>
      <c r="GI114">
        <v>6.4558291455929639</v>
      </c>
      <c r="GJ114"/>
      <c r="GK114"/>
      <c r="GL114"/>
      <c r="GM114"/>
    </row>
    <row r="115" spans="1:195" s="7" customFormat="1">
      <c r="A115" s="1"/>
      <c r="B115" s="76">
        <f ca="1">IF(C115="", "", RAND())</f>
        <v>7.8321128991014399E-2</v>
      </c>
      <c r="C115">
        <v>5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12.452818627450979</v>
      </c>
      <c r="AO115">
        <v>39.62246925180051</v>
      </c>
      <c r="AP115">
        <v>631.20397166766043</v>
      </c>
      <c r="AQ115">
        <v>74.539936905299726</v>
      </c>
      <c r="AR115">
        <v>36.054406864646715</v>
      </c>
      <c r="AS115">
        <v>257.62610027364013</v>
      </c>
      <c r="AT115" t="e">
        <v>#DIV/0!</v>
      </c>
      <c r="AU115" t="e">
        <v>#DIV/0!</v>
      </c>
      <c r="AV115"/>
      <c r="AW115"/>
      <c r="AX115" s="146"/>
      <c r="AY115" s="76">
        <f t="shared" ca="1" si="87"/>
        <v>0.96804530506818143</v>
      </c>
      <c r="AZ115">
        <v>8</v>
      </c>
      <c r="BA115" s="129">
        <f t="shared" si="128"/>
        <v>39714</v>
      </c>
      <c r="BB115">
        <v>0</v>
      </c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9"/>
        <v>0.71223340523116718</v>
      </c>
      <c r="CL115" s="179">
        <f t="shared" si="90"/>
        <v>8</v>
      </c>
      <c r="CM115" s="180">
        <f t="shared" si="91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4.2668124873186386E-2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0</v>
      </c>
      <c r="DJ115" s="161">
        <f t="shared" si="98"/>
        <v>0</v>
      </c>
      <c r="DK115" s="161">
        <f t="shared" si="99"/>
        <v>0</v>
      </c>
      <c r="DL115" s="161">
        <f t="shared" si="100"/>
        <v>0</v>
      </c>
      <c r="DM115" s="161">
        <f t="shared" si="101"/>
        <v>0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0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0</v>
      </c>
      <c r="ET115" s="139">
        <f t="shared" si="59"/>
        <v>0</v>
      </c>
      <c r="EU115" s="139">
        <f t="shared" si="60"/>
        <v>0</v>
      </c>
      <c r="EV115" s="139">
        <f t="shared" si="61"/>
        <v>0</v>
      </c>
      <c r="EW115" s="139">
        <f t="shared" si="62"/>
        <v>0</v>
      </c>
      <c r="EX115" s="139">
        <f t="shared" si="63"/>
        <v>0</v>
      </c>
      <c r="EY115" s="139">
        <f t="shared" si="64"/>
        <v>0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0</v>
      </c>
      <c r="FV115" s="149"/>
      <c r="FY115" s="212">
        <v>110</v>
      </c>
      <c r="FZ115">
        <v>2.0141157010886364</v>
      </c>
      <c r="GA115">
        <v>18.556615939635471</v>
      </c>
      <c r="GB115">
        <v>15.204748282057764</v>
      </c>
      <c r="GC115">
        <v>4.8264208385360856</v>
      </c>
      <c r="GD115">
        <v>1.0916635344211711</v>
      </c>
      <c r="GE115">
        <v>0.71895619221013829</v>
      </c>
      <c r="GF115">
        <v>1.6027633530596492</v>
      </c>
      <c r="GG115">
        <v>5.4886087485831929</v>
      </c>
      <c r="GH115">
        <v>0</v>
      </c>
      <c r="GI115">
        <v>13.689119677088762</v>
      </c>
      <c r="GJ115"/>
      <c r="GK115"/>
      <c r="GL115"/>
      <c r="GM115"/>
    </row>
    <row r="116" spans="1:195" s="7" customFormat="1">
      <c r="A116" s="1"/>
      <c r="B116" s="76">
        <f ca="1">IF(C116="", "", RAND())</f>
        <v>0.10607596264640851</v>
      </c>
      <c r="C116">
        <v>2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20.833333333333332</v>
      </c>
      <c r="O116">
        <v>0</v>
      </c>
      <c r="P116">
        <v>10.416666666666666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7.3052083333333311</v>
      </c>
      <c r="AO116">
        <v>36.397068077768651</v>
      </c>
      <c r="AP116">
        <v>616.01631829591474</v>
      </c>
      <c r="AQ116">
        <v>57.68781661183403</v>
      </c>
      <c r="AR116">
        <v>33.156204251264001</v>
      </c>
      <c r="AS116">
        <v>173.89620358869868</v>
      </c>
      <c r="AT116" t="e">
        <v>#DIV/0!</v>
      </c>
      <c r="AU116" t="e">
        <v>#DIV/0!</v>
      </c>
      <c r="AV116"/>
      <c r="AW116"/>
      <c r="AX116" s="146"/>
      <c r="AY116" s="76">
        <f t="shared" ca="1" si="87"/>
        <v>0.11297462033286987</v>
      </c>
      <c r="AZ116">
        <v>9</v>
      </c>
      <c r="BA116" s="129">
        <f t="shared" si="128"/>
        <v>39714</v>
      </c>
      <c r="BB116">
        <v>0</v>
      </c>
      <c r="BC116"/>
      <c r="BD116"/>
      <c r="BE116"/>
      <c r="BF116"/>
      <c r="BG116"/>
      <c r="BH116">
        <v>1</v>
      </c>
      <c r="BI116">
        <v>1</v>
      </c>
      <c r="BJ116"/>
      <c r="BK116"/>
      <c r="BL116"/>
      <c r="BM116"/>
      <c r="BN116">
        <v>1</v>
      </c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9"/>
        <v>0.60110620094464995</v>
      </c>
      <c r="CL116" s="179">
        <f t="shared" si="90"/>
        <v>9</v>
      </c>
      <c r="CM116" s="180">
        <f t="shared" si="91"/>
        <v>39714</v>
      </c>
      <c r="CN116"/>
      <c r="CO116"/>
      <c r="CP116"/>
      <c r="CQ116"/>
      <c r="CR116"/>
      <c r="CS116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4.1144848149294866E-2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0</v>
      </c>
      <c r="DI116" s="161">
        <f t="shared" si="97"/>
        <v>0</v>
      </c>
      <c r="DJ116" s="161">
        <f t="shared" si="98"/>
        <v>0</v>
      </c>
      <c r="DK116" s="161">
        <f t="shared" si="99"/>
        <v>0</v>
      </c>
      <c r="DL116" s="161">
        <f t="shared" si="100"/>
        <v>10.416666666666666</v>
      </c>
      <c r="DM116" s="161">
        <f t="shared" si="101"/>
        <v>10.416666666666666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10.416666666666666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31.25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0</v>
      </c>
      <c r="ES116" s="139">
        <f t="shared" si="58"/>
        <v>0</v>
      </c>
      <c r="ET116" s="139">
        <f t="shared" si="59"/>
        <v>0</v>
      </c>
      <c r="EU116" s="139">
        <f t="shared" si="60"/>
        <v>0</v>
      </c>
      <c r="EV116" s="139">
        <f t="shared" si="61"/>
        <v>7.4756598621743597</v>
      </c>
      <c r="EW116" s="139">
        <f t="shared" si="62"/>
        <v>11.553332356726177</v>
      </c>
      <c r="EX116" s="139">
        <f t="shared" si="63"/>
        <v>0</v>
      </c>
      <c r="EY116" s="139">
        <f t="shared" si="64"/>
        <v>0</v>
      </c>
      <c r="EZ116" s="139">
        <f t="shared" si="65"/>
        <v>0</v>
      </c>
      <c r="FA116" s="139">
        <f t="shared" si="66"/>
        <v>0</v>
      </c>
      <c r="FB116" s="139">
        <f t="shared" si="67"/>
        <v>52.936867757758712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71.965859976659246</v>
      </c>
      <c r="FV116" s="149"/>
      <c r="FY116" s="212">
        <v>111</v>
      </c>
      <c r="FZ116">
        <v>0.53282936380325752</v>
      </c>
      <c r="GA116">
        <v>24.55053047396245</v>
      </c>
      <c r="GB116">
        <v>14.668591381781187</v>
      </c>
      <c r="GC116">
        <v>2.5941458037827139</v>
      </c>
      <c r="GD116">
        <v>0.68059492814114353</v>
      </c>
      <c r="GE116">
        <v>0.35947809610506914</v>
      </c>
      <c r="GF116">
        <v>0</v>
      </c>
      <c r="GG116">
        <v>0.83160738614896845</v>
      </c>
      <c r="GH116">
        <v>1.6229601285312325</v>
      </c>
      <c r="GI116">
        <v>7.7681224401128981</v>
      </c>
      <c r="GJ116"/>
      <c r="GK116"/>
      <c r="GL116"/>
      <c r="GM116"/>
    </row>
    <row r="117" spans="1:195" s="7" customFormat="1">
      <c r="A117" s="1"/>
      <c r="B117" s="76">
        <f ca="1">IF(C117="", "", RAND())</f>
        <v>0.25317925240500649</v>
      </c>
      <c r="C117">
        <v>3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11.603553921568629</v>
      </c>
      <c r="AO117">
        <v>15.500070750216207</v>
      </c>
      <c r="AP117">
        <v>233.06323232033293</v>
      </c>
      <c r="AQ117">
        <v>70.713267554435021</v>
      </c>
      <c r="AR117">
        <v>14.090973409287464</v>
      </c>
      <c r="AS117">
        <v>131.12288724640226</v>
      </c>
      <c r="AT117" t="e">
        <v>#DIV/0!</v>
      </c>
      <c r="AU117" t="e">
        <v>#DIV/0!</v>
      </c>
      <c r="AV117"/>
      <c r="AW117"/>
      <c r="AX117" s="146"/>
      <c r="AY117" s="76">
        <f t="shared" ca="1" si="87"/>
        <v>0.78185679087613735</v>
      </c>
      <c r="AZ117">
        <v>10</v>
      </c>
      <c r="BA117" s="129">
        <f t="shared" si="128"/>
        <v>39714</v>
      </c>
      <c r="BB117">
        <v>0</v>
      </c>
      <c r="BC117"/>
      <c r="BD117"/>
      <c r="BE117"/>
      <c r="BF117"/>
      <c r="BG117"/>
      <c r="BH117"/>
      <c r="BI117">
        <v>1</v>
      </c>
      <c r="BJ117"/>
      <c r="BK117">
        <v>1</v>
      </c>
      <c r="BL117">
        <v>1</v>
      </c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9"/>
        <v>0.37710896629522073</v>
      </c>
      <c r="CL117" s="179">
        <f t="shared" si="90"/>
        <v>10</v>
      </c>
      <c r="CM117" s="180">
        <f t="shared" si="91"/>
        <v>39714</v>
      </c>
      <c r="CN117">
        <v>0</v>
      </c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0.19501511097164315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0</v>
      </c>
      <c r="DH117" s="161">
        <f t="shared" si="96"/>
        <v>0</v>
      </c>
      <c r="DI117" s="161">
        <f t="shared" si="97"/>
        <v>0</v>
      </c>
      <c r="DJ117" s="161">
        <f t="shared" si="98"/>
        <v>0</v>
      </c>
      <c r="DK117" s="161">
        <f t="shared" si="99"/>
        <v>0</v>
      </c>
      <c r="DL117" s="161">
        <f t="shared" si="100"/>
        <v>0</v>
      </c>
      <c r="DM117" s="161">
        <f t="shared" si="101"/>
        <v>10.416666666666666</v>
      </c>
      <c r="DN117" s="161">
        <f t="shared" si="102"/>
        <v>0</v>
      </c>
      <c r="DO117" s="161">
        <f t="shared" si="103"/>
        <v>10.416666666666666</v>
      </c>
      <c r="DP117" s="161">
        <f t="shared" si="104"/>
        <v>10.416666666666666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31.25</v>
      </c>
      <c r="EL117" s="149"/>
      <c r="EN117" s="146"/>
      <c r="EO117" s="146"/>
      <c r="EP117" s="139">
        <f t="shared" si="55"/>
        <v>0</v>
      </c>
      <c r="EQ117" s="139">
        <f t="shared" si="56"/>
        <v>0</v>
      </c>
      <c r="ER117" s="139">
        <f t="shared" si="57"/>
        <v>0</v>
      </c>
      <c r="ES117" s="139">
        <f t="shared" si="58"/>
        <v>0</v>
      </c>
      <c r="ET117" s="139">
        <f t="shared" si="59"/>
        <v>0</v>
      </c>
      <c r="EU117" s="139">
        <f t="shared" si="60"/>
        <v>0</v>
      </c>
      <c r="EV117" s="139">
        <f t="shared" si="61"/>
        <v>0</v>
      </c>
      <c r="EW117" s="139">
        <f t="shared" si="62"/>
        <v>11.553332356726177</v>
      </c>
      <c r="EX117" s="139">
        <f t="shared" si="63"/>
        <v>0</v>
      </c>
      <c r="EY117" s="139">
        <f t="shared" si="64"/>
        <v>23.49260889454915</v>
      </c>
      <c r="EZ117" s="139">
        <f t="shared" si="65"/>
        <v>31.633729885724986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66.679671137000312</v>
      </c>
      <c r="FV117" s="149"/>
      <c r="FY117" s="212">
        <v>112</v>
      </c>
      <c r="FZ117">
        <v>1.4443794231618146</v>
      </c>
      <c r="GA117">
        <v>25.24126713565494</v>
      </c>
      <c r="GB117">
        <v>17.492710972482648</v>
      </c>
      <c r="GC117">
        <v>4.7441765145219881</v>
      </c>
      <c r="GD117">
        <v>1.2293450445914633</v>
      </c>
      <c r="GE117">
        <v>0.35947809610506914</v>
      </c>
      <c r="GF117">
        <v>0.80138167652982462</v>
      </c>
      <c r="GG117">
        <v>4.1541015167564126</v>
      </c>
      <c r="GH117">
        <v>1.6229601285312325</v>
      </c>
      <c r="GI117">
        <v>10.533023829256834</v>
      </c>
      <c r="GJ117"/>
      <c r="GK117"/>
      <c r="GL117"/>
      <c r="GM117"/>
    </row>
    <row r="118" spans="1:195" s="7" customFormat="1">
      <c r="A118" s="128"/>
      <c r="B118" s="76">
        <f ca="1">IF(C118="", "", RAND())</f>
        <v>0.87808124356503336</v>
      </c>
      <c r="C118">
        <v>2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26.041666666666668</v>
      </c>
      <c r="N118">
        <v>26.041666666666668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9.1538602941176457</v>
      </c>
      <c r="AO118">
        <v>23.596313114972212</v>
      </c>
      <c r="AP118">
        <v>361.44037439131552</v>
      </c>
      <c r="AQ118">
        <v>46.629769699680679</v>
      </c>
      <c r="AR118">
        <v>21.485174012984622</v>
      </c>
      <c r="AS118">
        <v>116.13242393493417</v>
      </c>
      <c r="AT118" t="e">
        <v>#DIV/0!</v>
      </c>
      <c r="AU118" t="e">
        <v>#DIV/0!</v>
      </c>
      <c r="AV118"/>
      <c r="AW118"/>
      <c r="AX118" s="128"/>
      <c r="AY118" s="76">
        <f t="shared" ca="1" si="87"/>
        <v>0.81405291866321505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9"/>
        <v>0.76984091471756178</v>
      </c>
      <c r="CL118" s="179">
        <f t="shared" si="90"/>
        <v>1</v>
      </c>
      <c r="CM118" s="180">
        <f t="shared" si="91"/>
        <v>39747</v>
      </c>
      <c r="CN118">
        <v>0</v>
      </c>
      <c r="CO118"/>
      <c r="CP118"/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0.21391421266121213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0</v>
      </c>
      <c r="DI118" s="161">
        <f t="shared" si="97"/>
        <v>0</v>
      </c>
      <c r="DJ118" s="161">
        <f t="shared" si="98"/>
        <v>0</v>
      </c>
      <c r="DK118" s="161">
        <f t="shared" si="99"/>
        <v>0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0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0</v>
      </c>
      <c r="ES118" s="139">
        <f t="shared" si="58"/>
        <v>0</v>
      </c>
      <c r="ET118" s="139">
        <f t="shared" si="59"/>
        <v>0</v>
      </c>
      <c r="EU118" s="139">
        <f t="shared" si="60"/>
        <v>0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0</v>
      </c>
      <c r="FV118" s="149"/>
      <c r="FY118" s="212">
        <v>113</v>
      </c>
      <c r="FZ118">
        <v>0.89475183689064763</v>
      </c>
      <c r="GA118">
        <v>12.173772291907392</v>
      </c>
      <c r="GB118">
        <v>13.106539197817259</v>
      </c>
      <c r="GC118">
        <v>5.5394318626749222</v>
      </c>
      <c r="GD118">
        <v>1.5557936331285509</v>
      </c>
      <c r="GE118">
        <v>0.35947809610506914</v>
      </c>
      <c r="GF118">
        <v>0.80138167652982462</v>
      </c>
      <c r="GG118">
        <v>4.407519146589534</v>
      </c>
      <c r="GH118">
        <v>3.245920257062465</v>
      </c>
      <c r="GI118">
        <v>7.5271417055997567</v>
      </c>
      <c r="GJ118"/>
      <c r="GK118"/>
      <c r="GL118"/>
      <c r="GM118"/>
    </row>
    <row r="119" spans="1:195" s="7" customFormat="1">
      <c r="A119" s="1"/>
      <c r="B119" s="76">
        <f ca="1">IF(C119="", "", RAND())</f>
        <v>0.91221420515166862</v>
      </c>
      <c r="C119">
        <v>3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11.738970588235293</v>
      </c>
      <c r="AO119">
        <v>22.376858743544425</v>
      </c>
      <c r="AP119">
        <v>298.43450334222382</v>
      </c>
      <c r="AQ119">
        <v>64.905388830402615</v>
      </c>
      <c r="AR119">
        <v>20.342598857767655</v>
      </c>
      <c r="AS119">
        <v>122.79595423768866</v>
      </c>
      <c r="AT119" t="e">
        <v>#DIV/0!</v>
      </c>
      <c r="AU119" t="e">
        <v>#DIV/0!</v>
      </c>
      <c r="AV119"/>
      <c r="AW119"/>
      <c r="AX119" s="146"/>
      <c r="AY119" s="76">
        <f t="shared" ca="1" si="87"/>
        <v>0.6622190578867686</v>
      </c>
      <c r="AZ119">
        <v>2</v>
      </c>
      <c r="BA119" s="129">
        <f t="shared" ref="BA119:BA127" si="130">IF(AZ119="", "",$C$7)</f>
        <v>39747</v>
      </c>
      <c r="BB119">
        <v>0</v>
      </c>
      <c r="BC119"/>
      <c r="BD119"/>
      <c r="BE119"/>
      <c r="BF119"/>
      <c r="BG119"/>
      <c r="BH119"/>
      <c r="BI119"/>
      <c r="BJ119">
        <v>1</v>
      </c>
      <c r="BK119">
        <v>1</v>
      </c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9"/>
        <v>0.14033274520473071</v>
      </c>
      <c r="CL119" s="179">
        <f t="shared" si="90"/>
        <v>2</v>
      </c>
      <c r="CM119" s="180">
        <f t="shared" si="91"/>
        <v>39747</v>
      </c>
      <c r="CN119">
        <v>0</v>
      </c>
      <c r="CO119"/>
      <c r="CP119"/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0.65967190685214039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0</v>
      </c>
      <c r="DH119" s="161">
        <f t="shared" si="96"/>
        <v>0</v>
      </c>
      <c r="DI119" s="161">
        <f t="shared" si="97"/>
        <v>0</v>
      </c>
      <c r="DJ119" s="161">
        <f t="shared" si="98"/>
        <v>0</v>
      </c>
      <c r="DK119" s="161">
        <f t="shared" si="99"/>
        <v>0</v>
      </c>
      <c r="DL119" s="161">
        <f t="shared" si="100"/>
        <v>0</v>
      </c>
      <c r="DM119" s="161">
        <f t="shared" si="101"/>
        <v>0</v>
      </c>
      <c r="DN119" s="161">
        <f t="shared" si="102"/>
        <v>26.041666666666668</v>
      </c>
      <c r="DO119" s="161">
        <f t="shared" si="103"/>
        <v>26.041666666666668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52.083333333333336</v>
      </c>
      <c r="EL119" s="149"/>
      <c r="EN119" s="146"/>
      <c r="EO119" s="146"/>
      <c r="EP119" s="139">
        <f t="shared" si="55"/>
        <v>0</v>
      </c>
      <c r="EQ119" s="139">
        <f t="shared" si="56"/>
        <v>0</v>
      </c>
      <c r="ER119" s="139">
        <f t="shared" si="57"/>
        <v>0</v>
      </c>
      <c r="ES119" s="139">
        <f t="shared" si="58"/>
        <v>0</v>
      </c>
      <c r="ET119" s="139">
        <f t="shared" si="59"/>
        <v>0</v>
      </c>
      <c r="EU119" s="139">
        <f t="shared" si="60"/>
        <v>0</v>
      </c>
      <c r="EV119" s="139">
        <f t="shared" si="61"/>
        <v>0</v>
      </c>
      <c r="EW119" s="139">
        <f t="shared" si="62"/>
        <v>0</v>
      </c>
      <c r="EX119" s="139">
        <f t="shared" si="63"/>
        <v>42.113034284767068</v>
      </c>
      <c r="EY119" s="139">
        <f t="shared" si="64"/>
        <v>58.731522236372882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100.84455652113995</v>
      </c>
      <c r="FV119" s="149"/>
      <c r="FY119" s="212">
        <v>114</v>
      </c>
      <c r="FZ119">
        <v>1.2533638407902918</v>
      </c>
      <c r="GA119">
        <v>15.132385499169212</v>
      </c>
      <c r="GB119">
        <v>18.768323171975059</v>
      </c>
      <c r="GC119">
        <v>6.9818373878195041</v>
      </c>
      <c r="GD119">
        <v>0.80091048500528805</v>
      </c>
      <c r="GE119">
        <v>0.35947809610506914</v>
      </c>
      <c r="GF119">
        <v>0</v>
      </c>
      <c r="GG119">
        <v>0.83160738614896845</v>
      </c>
      <c r="GH119">
        <v>1.6229601285312325</v>
      </c>
      <c r="GI119">
        <v>12.076120612709056</v>
      </c>
      <c r="GJ119"/>
      <c r="GK119"/>
      <c r="GL119"/>
      <c r="GM119"/>
    </row>
    <row r="120" spans="1:195" s="7" customFormat="1">
      <c r="A120" s="1"/>
      <c r="B120" s="76">
        <f ca="1">IF(C120="", "", RAND())</f>
        <v>0.35892980194989033</v>
      </c>
      <c r="C120">
        <v>8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10.416666666666666</v>
      </c>
      <c r="N120">
        <v>0</v>
      </c>
      <c r="O120">
        <v>0</v>
      </c>
      <c r="P120">
        <v>10.416666666666666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8.8535539215686274</v>
      </c>
      <c r="AO120">
        <v>15.644620437582555</v>
      </c>
      <c r="AP120">
        <v>254.79539790643446</v>
      </c>
      <c r="AQ120">
        <v>46.147861533966967</v>
      </c>
      <c r="AR120">
        <v>14.222382215984142</v>
      </c>
      <c r="AS120">
        <v>102.18854382611336</v>
      </c>
      <c r="AT120" t="e">
        <v>#DIV/0!</v>
      </c>
      <c r="AU120" t="e">
        <v>#DIV/0!</v>
      </c>
      <c r="AV120"/>
      <c r="AW120"/>
      <c r="AX120" s="146"/>
      <c r="AY120" s="76">
        <f t="shared" ca="1" si="87"/>
        <v>0.85620809432296885</v>
      </c>
      <c r="AZ120">
        <v>3</v>
      </c>
      <c r="BA120" s="129">
        <f t="shared" si="130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9"/>
        <v>0.81438837685688958</v>
      </c>
      <c r="CL120" s="179">
        <f t="shared" si="90"/>
        <v>3</v>
      </c>
      <c r="CM120" s="180">
        <f t="shared" si="91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0.24455057520158485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1">IF(DF120="", "", SUM(DF120:EJ120))</f>
        <v>0</v>
      </c>
      <c r="EL120" s="149"/>
      <c r="EN120" s="146"/>
      <c r="EO120" s="146"/>
      <c r="EP120" s="139">
        <f t="shared" ref="EP120:EP151" si="132">IF(DF120="", "", DF120*G$36)</f>
        <v>0</v>
      </c>
      <c r="EQ120" s="139">
        <f t="shared" ref="EQ120:EQ151" si="133">IF(DG120="", "", DG120*H$36)</f>
        <v>0</v>
      </c>
      <c r="ER120" s="139">
        <f t="shared" ref="ER120:ER151" si="134">IF(DH120="", "", DH120*I$36)</f>
        <v>0</v>
      </c>
      <c r="ES120" s="139">
        <f t="shared" ref="ES120:ES151" si="135">IF(DI120="", "", DI120*J$36)</f>
        <v>0</v>
      </c>
      <c r="ET120" s="139">
        <f t="shared" ref="ET120:ET151" si="136">IF(DJ120="", "", DJ120*K$36)</f>
        <v>0</v>
      </c>
      <c r="EU120" s="139">
        <f t="shared" ref="EU120:EU151" si="137">IF(DK120="", "", DK120*L$36)</f>
        <v>0</v>
      </c>
      <c r="EV120" s="139">
        <f t="shared" ref="EV120:EV151" si="138">IF(DL120="", "", DL120*M$36)</f>
        <v>0</v>
      </c>
      <c r="EW120" s="139">
        <f t="shared" ref="EW120:EW151" si="139">IF(DM120="", "", DM120*N$36)</f>
        <v>0</v>
      </c>
      <c r="EX120" s="139">
        <f t="shared" ref="EX120:EX151" si="140">IF(DN120="", "", DN120*O$36)</f>
        <v>0</v>
      </c>
      <c r="EY120" s="139">
        <f t="shared" ref="EY120:EY151" si="141">IF(DO120="", "", DO120*P$36)</f>
        <v>0</v>
      </c>
      <c r="EZ120" s="139">
        <f t="shared" ref="EZ120:EZ151" si="142">IF(DP120="", "", DP120*Q$36)</f>
        <v>0</v>
      </c>
      <c r="FA120" s="139">
        <f t="shared" ref="FA120:FA151" si="143">IF(DQ120="", "", DQ120*R$36)</f>
        <v>0</v>
      </c>
      <c r="FB120" s="139">
        <f t="shared" ref="FB120:FB151" si="144">IF(DR120="", "", DR120*S$36)</f>
        <v>0</v>
      </c>
      <c r="FC120" s="139">
        <f t="shared" ref="FC120:FC151" si="145">IF(DS120="", "", DS120*T$36)</f>
        <v>0</v>
      </c>
      <c r="FD120" s="139">
        <f t="shared" ref="FD120:FD151" si="146">IF(DT120="", "", DT120*U$36)</f>
        <v>0</v>
      </c>
      <c r="FE120" s="139">
        <f t="shared" ref="FE120:FE151" si="147">IF(DU120="", "", DU120*V$36)</f>
        <v>0</v>
      </c>
      <c r="FF120" s="139">
        <f t="shared" ref="FF120:FF151" si="148">IF(DV120="", "", DV120*W$36)</f>
        <v>0</v>
      </c>
      <c r="FG120" s="139">
        <f t="shared" ref="FG120:FG151" si="149">IF(DW120="", "", DW120*X$36)</f>
        <v>0</v>
      </c>
      <c r="FH120" s="139">
        <f t="shared" ref="FH120:FH151" si="150">IF(DX120="", "", DX120*Y$36)</f>
        <v>0</v>
      </c>
      <c r="FI120" s="139">
        <f t="shared" ref="FI120:FI151" si="151">IF(DY120="", "", DY120*Z$36)</f>
        <v>0</v>
      </c>
      <c r="FJ120" s="139">
        <f t="shared" ref="FJ120:FJ151" si="152">IF(DZ120="", "", DZ120*AA$36)</f>
        <v>0</v>
      </c>
      <c r="FK120" s="139">
        <f t="shared" ref="FK120:FK151" si="153">IF(EA120="", "", EA120*AB$36)</f>
        <v>0</v>
      </c>
      <c r="FL120" s="139">
        <f t="shared" ref="FL120:FL151" si="154">IF(EB120="", "", EB120*AC$36)</f>
        <v>0</v>
      </c>
      <c r="FM120" s="139">
        <f t="shared" ref="FM120:FM151" si="155">IF(EC120="", "", EC120*AD$36)</f>
        <v>0</v>
      </c>
      <c r="FN120" s="139">
        <f t="shared" ref="FN120:FN151" si="156">IF(ED120="", "", ED120*AE$36)</f>
        <v>0</v>
      </c>
      <c r="FO120" s="139">
        <f t="shared" ref="FO120:FO151" si="157">IF(EE120="", "", EE120*AF$36)</f>
        <v>0</v>
      </c>
      <c r="FP120" s="139">
        <f t="shared" ref="FP120:FP151" si="158">IF(EF120="", "", EF120*AG$36)</f>
        <v>0</v>
      </c>
      <c r="FQ120" s="139">
        <f t="shared" ref="FQ120:FQ151" si="159">IF(EG120="", "", EG120*AH$36)</f>
        <v>0</v>
      </c>
      <c r="FR120" s="139">
        <f t="shared" ref="FR120:FR151" si="160">IF(EH120="", "", EH120*AI$36)</f>
        <v>0</v>
      </c>
      <c r="FS120" s="139">
        <f t="shared" ref="FS120:FS151" si="161">IF(EI120="", "", EI120*AJ$36)</f>
        <v>0</v>
      </c>
      <c r="FT120" s="139">
        <f t="shared" ref="FT120:FT151" si="162">IF(EJ120="", "", EJ120*AK$36)</f>
        <v>0</v>
      </c>
      <c r="FU120" s="148">
        <f t="shared" ref="FU120:FU151" si="163">IF(EP120="","",SUM(EP120:FT120))</f>
        <v>0</v>
      </c>
      <c r="FV120" s="149"/>
      <c r="FY120" s="212">
        <v>115</v>
      </c>
      <c r="FZ120">
        <v>0.70373625451912492</v>
      </c>
      <c r="GA120">
        <v>17.160261860004702</v>
      </c>
      <c r="GB120">
        <v>14.829558267249263</v>
      </c>
      <c r="GC120">
        <v>4.6771003799728774</v>
      </c>
      <c r="GD120">
        <v>1.7727400602682892</v>
      </c>
      <c r="GE120">
        <v>1.4379123844202766</v>
      </c>
      <c r="GF120">
        <v>0.80138167652982462</v>
      </c>
      <c r="GG120">
        <v>4.407519146589534</v>
      </c>
      <c r="GH120">
        <v>3.245920257062465</v>
      </c>
      <c r="GI120">
        <v>8.9005696530208933</v>
      </c>
      <c r="GJ120"/>
      <c r="GK120"/>
      <c r="GL120"/>
      <c r="GM120"/>
    </row>
    <row r="121" spans="1:195" s="7" customFormat="1">
      <c r="A121" s="1"/>
      <c r="B121" s="76">
        <f ca="1">IF(C121="", "", RAND())</f>
        <v>0.37828188086483649</v>
      </c>
      <c r="C121">
        <v>9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11.773345588235292</v>
      </c>
      <c r="AO121">
        <v>29.639028563062318</v>
      </c>
      <c r="AP121">
        <v>539.18621812024548</v>
      </c>
      <c r="AQ121">
        <v>46.472597160726416</v>
      </c>
      <c r="AR121">
        <v>26.944571420965737</v>
      </c>
      <c r="AS121">
        <v>134.92692642056369</v>
      </c>
      <c r="AT121" t="e">
        <v>#DIV/0!</v>
      </c>
      <c r="AU121" t="e">
        <v>#DIV/0!</v>
      </c>
      <c r="AV121"/>
      <c r="AW121"/>
      <c r="AX121" s="146"/>
      <c r="AY121" s="76">
        <f t="shared" ca="1" si="87"/>
        <v>0.23528276304885898</v>
      </c>
      <c r="AZ121">
        <v>4</v>
      </c>
      <c r="BA121" s="129">
        <f t="shared" si="130"/>
        <v>39747</v>
      </c>
      <c r="BB121">
        <v>0</v>
      </c>
      <c r="BC121"/>
      <c r="BD121"/>
      <c r="BE121"/>
      <c r="BF121"/>
      <c r="BG121">
        <v>1</v>
      </c>
      <c r="BH121"/>
      <c r="BI121">
        <v>1</v>
      </c>
      <c r="BJ121"/>
      <c r="BK121"/>
      <c r="BL121">
        <v>1</v>
      </c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9"/>
        <v>9.6418294887876677E-2</v>
      </c>
      <c r="CL121" s="179">
        <f t="shared" si="90"/>
        <v>4</v>
      </c>
      <c r="CM121" s="180">
        <f t="shared" si="91"/>
        <v>39747</v>
      </c>
      <c r="CN121">
        <v>0</v>
      </c>
      <c r="CO121"/>
      <c r="CP121"/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8.692451691489067E-2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0</v>
      </c>
      <c r="DH121" s="161">
        <f t="shared" si="96"/>
        <v>0</v>
      </c>
      <c r="DI121" s="161">
        <f t="shared" si="97"/>
        <v>0</v>
      </c>
      <c r="DJ121" s="161">
        <f t="shared" si="98"/>
        <v>0</v>
      </c>
      <c r="DK121" s="161">
        <f t="shared" si="99"/>
        <v>28.409090909090907</v>
      </c>
      <c r="DL121" s="161">
        <f t="shared" si="100"/>
        <v>0</v>
      </c>
      <c r="DM121" s="161">
        <f t="shared" si="101"/>
        <v>28.409090909090907</v>
      </c>
      <c r="DN121" s="161">
        <f t="shared" si="102"/>
        <v>0</v>
      </c>
      <c r="DO121" s="161">
        <f t="shared" si="103"/>
        <v>0</v>
      </c>
      <c r="DP121" s="161">
        <f t="shared" si="104"/>
        <v>28.409090909090907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1"/>
        <v>85.22727272727272</v>
      </c>
      <c r="EL121" s="149"/>
      <c r="EN121" s="146"/>
      <c r="EO121" s="146"/>
      <c r="EP121" s="139">
        <f t="shared" si="132"/>
        <v>0</v>
      </c>
      <c r="EQ121" s="139">
        <f t="shared" si="133"/>
        <v>0</v>
      </c>
      <c r="ER121" s="139">
        <f t="shared" si="134"/>
        <v>0</v>
      </c>
      <c r="ES121" s="139">
        <f t="shared" si="135"/>
        <v>0</v>
      </c>
      <c r="ET121" s="139">
        <f t="shared" si="136"/>
        <v>0</v>
      </c>
      <c r="EU121" s="139">
        <f t="shared" si="137"/>
        <v>12.183449394839139</v>
      </c>
      <c r="EV121" s="139">
        <f t="shared" si="138"/>
        <v>0</v>
      </c>
      <c r="EW121" s="139">
        <f t="shared" si="139"/>
        <v>31.509088245616848</v>
      </c>
      <c r="EX121" s="139">
        <f t="shared" si="140"/>
        <v>0</v>
      </c>
      <c r="EY121" s="139">
        <f t="shared" si="141"/>
        <v>0</v>
      </c>
      <c r="EZ121" s="139">
        <f t="shared" si="142"/>
        <v>86.273808779249961</v>
      </c>
      <c r="FA121" s="139">
        <f t="shared" si="143"/>
        <v>0</v>
      </c>
      <c r="FB121" s="139">
        <f t="shared" si="144"/>
        <v>0</v>
      </c>
      <c r="FC121" s="139">
        <f t="shared" si="145"/>
        <v>0</v>
      </c>
      <c r="FD121" s="139">
        <f t="shared" si="146"/>
        <v>0</v>
      </c>
      <c r="FE121" s="139">
        <f t="shared" si="147"/>
        <v>0</v>
      </c>
      <c r="FF121" s="139">
        <f t="shared" si="148"/>
        <v>0</v>
      </c>
      <c r="FG121" s="139">
        <f t="shared" si="149"/>
        <v>0</v>
      </c>
      <c r="FH121" s="139">
        <f t="shared" si="150"/>
        <v>0</v>
      </c>
      <c r="FI121" s="139">
        <f t="shared" si="151"/>
        <v>0</v>
      </c>
      <c r="FJ121" s="139">
        <f t="shared" si="152"/>
        <v>0</v>
      </c>
      <c r="FK121" s="139">
        <f t="shared" si="153"/>
        <v>0</v>
      </c>
      <c r="FL121" s="139">
        <f t="shared" si="154"/>
        <v>0</v>
      </c>
      <c r="FM121" s="139">
        <f t="shared" si="155"/>
        <v>0</v>
      </c>
      <c r="FN121" s="139">
        <f t="shared" si="156"/>
        <v>0</v>
      </c>
      <c r="FO121" s="139">
        <f t="shared" si="157"/>
        <v>0</v>
      </c>
      <c r="FP121" s="139">
        <f t="shared" si="158"/>
        <v>0</v>
      </c>
      <c r="FQ121" s="139">
        <f t="shared" si="159"/>
        <v>0</v>
      </c>
      <c r="FR121" s="139">
        <f t="shared" si="160"/>
        <v>0</v>
      </c>
      <c r="FS121" s="139">
        <f t="shared" si="161"/>
        <v>0</v>
      </c>
      <c r="FT121" s="139">
        <f t="shared" si="162"/>
        <v>0</v>
      </c>
      <c r="FU121" s="148">
        <f t="shared" si="163"/>
        <v>129.96634641970596</v>
      </c>
      <c r="FV121" s="149"/>
      <c r="FY121" s="212">
        <v>116</v>
      </c>
      <c r="FZ121">
        <v>2.908867537979285</v>
      </c>
      <c r="GA121">
        <v>31.538001572953441</v>
      </c>
      <c r="GB121">
        <v>18.521511105579169</v>
      </c>
      <c r="GC121">
        <v>4.2820263916373165</v>
      </c>
      <c r="GD121">
        <v>1.368441677932545</v>
      </c>
      <c r="GE121">
        <v>0.35947809610506914</v>
      </c>
      <c r="GF121">
        <v>0.80138167652982462</v>
      </c>
      <c r="GG121">
        <v>4.1541015167564126</v>
      </c>
      <c r="GH121">
        <v>1.6229601285312325</v>
      </c>
      <c r="GI121">
        <v>13.181938406802113</v>
      </c>
      <c r="GJ121"/>
      <c r="GK121"/>
      <c r="GL121"/>
      <c r="GM121"/>
    </row>
    <row r="122" spans="1:195" s="7" customFormat="1">
      <c r="A122" s="1"/>
      <c r="B122" s="76">
        <f ca="1">IF(C122="", "", RAND())</f>
        <v>0.29628600792297988</v>
      </c>
      <c r="C122">
        <v>5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9.4785539215686274</v>
      </c>
      <c r="AO122">
        <v>16.717891450462112</v>
      </c>
      <c r="AP122">
        <v>557.03408144870002</v>
      </c>
      <c r="AQ122">
        <v>37.749970053347759</v>
      </c>
      <c r="AR122">
        <v>15.232063408884532</v>
      </c>
      <c r="AS122">
        <v>114.32218522843985</v>
      </c>
      <c r="AT122" t="e">
        <v>#DIV/0!</v>
      </c>
      <c r="AU122" t="e">
        <v>#DIV/0!</v>
      </c>
      <c r="AV122"/>
      <c r="AW122"/>
      <c r="AX122" s="146"/>
      <c r="AY122" s="76">
        <f t="shared" ca="1" si="87"/>
        <v>0.45400175475954185</v>
      </c>
      <c r="AZ122">
        <v>5</v>
      </c>
      <c r="BA122" s="129">
        <f t="shared" si="130"/>
        <v>39747</v>
      </c>
      <c r="BB122">
        <v>0</v>
      </c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9"/>
        <v>0.44329339346821167</v>
      </c>
      <c r="CL122" s="179">
        <f t="shared" si="90"/>
        <v>5</v>
      </c>
      <c r="CM122" s="180">
        <f t="shared" si="91"/>
        <v>39747</v>
      </c>
      <c r="CN122">
        <v>0</v>
      </c>
      <c r="CO122"/>
      <c r="CP122"/>
      <c r="CQ122"/>
      <c r="CR122"/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0.59012314587127257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0</v>
      </c>
      <c r="DH122" s="161">
        <f t="shared" si="96"/>
        <v>0</v>
      </c>
      <c r="DI122" s="161">
        <f t="shared" si="97"/>
        <v>0</v>
      </c>
      <c r="DJ122" s="161">
        <f t="shared" si="98"/>
        <v>0</v>
      </c>
      <c r="DK122" s="161">
        <f t="shared" si="99"/>
        <v>0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1"/>
        <v>0</v>
      </c>
      <c r="EL122" s="149"/>
      <c r="EN122" s="146"/>
      <c r="EO122" s="146"/>
      <c r="EP122" s="139">
        <f t="shared" si="132"/>
        <v>0</v>
      </c>
      <c r="EQ122" s="139">
        <f t="shared" si="133"/>
        <v>0</v>
      </c>
      <c r="ER122" s="139">
        <f t="shared" si="134"/>
        <v>0</v>
      </c>
      <c r="ES122" s="139">
        <f t="shared" si="135"/>
        <v>0</v>
      </c>
      <c r="ET122" s="139">
        <f t="shared" si="136"/>
        <v>0</v>
      </c>
      <c r="EU122" s="139">
        <f t="shared" si="137"/>
        <v>0</v>
      </c>
      <c r="EV122" s="139">
        <f t="shared" si="138"/>
        <v>0</v>
      </c>
      <c r="EW122" s="139">
        <f t="shared" si="139"/>
        <v>0</v>
      </c>
      <c r="EX122" s="139">
        <f t="shared" si="140"/>
        <v>0</v>
      </c>
      <c r="EY122" s="139">
        <f t="shared" si="141"/>
        <v>0</v>
      </c>
      <c r="EZ122" s="139">
        <f t="shared" si="142"/>
        <v>0</v>
      </c>
      <c r="FA122" s="139">
        <f t="shared" si="143"/>
        <v>0</v>
      </c>
      <c r="FB122" s="139">
        <f t="shared" si="144"/>
        <v>0</v>
      </c>
      <c r="FC122" s="139">
        <f t="shared" si="145"/>
        <v>0</v>
      </c>
      <c r="FD122" s="139">
        <f t="shared" si="146"/>
        <v>0</v>
      </c>
      <c r="FE122" s="139">
        <f t="shared" si="147"/>
        <v>0</v>
      </c>
      <c r="FF122" s="139">
        <f t="shared" si="148"/>
        <v>0</v>
      </c>
      <c r="FG122" s="139">
        <f t="shared" si="149"/>
        <v>0</v>
      </c>
      <c r="FH122" s="139">
        <f t="shared" si="150"/>
        <v>0</v>
      </c>
      <c r="FI122" s="139">
        <f t="shared" si="151"/>
        <v>0</v>
      </c>
      <c r="FJ122" s="139">
        <f t="shared" si="152"/>
        <v>0</v>
      </c>
      <c r="FK122" s="139">
        <f t="shared" si="153"/>
        <v>0</v>
      </c>
      <c r="FL122" s="139">
        <f t="shared" si="154"/>
        <v>0</v>
      </c>
      <c r="FM122" s="139">
        <f t="shared" si="155"/>
        <v>0</v>
      </c>
      <c r="FN122" s="139">
        <f t="shared" si="156"/>
        <v>0</v>
      </c>
      <c r="FO122" s="139">
        <f t="shared" si="157"/>
        <v>0</v>
      </c>
      <c r="FP122" s="139">
        <f t="shared" si="158"/>
        <v>0</v>
      </c>
      <c r="FQ122" s="139">
        <f t="shared" si="159"/>
        <v>0</v>
      </c>
      <c r="FR122" s="139">
        <f t="shared" si="160"/>
        <v>0</v>
      </c>
      <c r="FS122" s="139">
        <f t="shared" si="161"/>
        <v>0</v>
      </c>
      <c r="FT122" s="139">
        <f t="shared" si="162"/>
        <v>0</v>
      </c>
      <c r="FU122" s="148">
        <f t="shared" si="163"/>
        <v>0</v>
      </c>
      <c r="FV122" s="149"/>
      <c r="FY122" s="212">
        <v>117</v>
      </c>
      <c r="FZ122">
        <v>1.4443794231618146</v>
      </c>
      <c r="GA122">
        <v>10.101568414995768</v>
      </c>
      <c r="GB122">
        <v>12.511052650871243</v>
      </c>
      <c r="GC122">
        <v>4.9260560282741714</v>
      </c>
      <c r="GD122">
        <v>0.69828374141741822</v>
      </c>
      <c r="GE122">
        <v>0.35947809610506914</v>
      </c>
      <c r="GF122">
        <v>0</v>
      </c>
      <c r="GG122">
        <v>4.2293914273944484</v>
      </c>
      <c r="GH122">
        <v>4.8688803855936991</v>
      </c>
      <c r="GI122">
        <v>15.322681318144191</v>
      </c>
      <c r="GJ122"/>
      <c r="GK122"/>
      <c r="GL122"/>
      <c r="GM122"/>
    </row>
    <row r="123" spans="1:195" s="7" customFormat="1">
      <c r="A123" s="1"/>
      <c r="B123" s="76">
        <f ca="1">IF(C123="", "", RAND())</f>
        <v>0.74278700024401667</v>
      </c>
      <c r="C123">
        <v>10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20.833333333333332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7.9663602941176448</v>
      </c>
      <c r="AO123">
        <v>19.655908577895438</v>
      </c>
      <c r="AP123">
        <v>661.60153760104993</v>
      </c>
      <c r="AQ123">
        <v>48.482094120971986</v>
      </c>
      <c r="AR123">
        <v>17.902988070187558</v>
      </c>
      <c r="AS123">
        <v>122.74612624092104</v>
      </c>
      <c r="AT123" t="e">
        <v>#DIV/0!</v>
      </c>
      <c r="AU123" t="e">
        <v>#DIV/0!</v>
      </c>
      <c r="AV123"/>
      <c r="AW123"/>
      <c r="AX123" s="146"/>
      <c r="AY123" s="76">
        <f t="shared" ca="1" si="87"/>
        <v>0.30342228923997516</v>
      </c>
      <c r="AZ123">
        <v>6</v>
      </c>
      <c r="BA123" s="129">
        <f t="shared" si="130"/>
        <v>39747</v>
      </c>
      <c r="BB123">
        <v>0</v>
      </c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>
        <v>1</v>
      </c>
      <c r="BS123"/>
      <c r="BT123"/>
      <c r="BU123"/>
      <c r="BV123"/>
      <c r="BW123"/>
      <c r="BX123"/>
      <c r="BY123"/>
      <c r="BZ123">
        <v>1</v>
      </c>
      <c r="CA123"/>
      <c r="CB123"/>
      <c r="CC123"/>
      <c r="CD123"/>
      <c r="CE123"/>
      <c r="CF123"/>
      <c r="CG123" s="147"/>
      <c r="CH123" s="176"/>
      <c r="CJ123" s="146"/>
      <c r="CK123" s="76">
        <f t="shared" ca="1" si="89"/>
        <v>0.48701447889227278</v>
      </c>
      <c r="CL123" s="179">
        <f t="shared" si="90"/>
        <v>6</v>
      </c>
      <c r="CM123" s="180">
        <f t="shared" si="91"/>
        <v>39747</v>
      </c>
      <c r="CN123">
        <v>0</v>
      </c>
      <c r="CO123"/>
      <c r="CP123"/>
      <c r="CQ123"/>
      <c r="CR123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0.27787223092908908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0</v>
      </c>
      <c r="DH123" s="161">
        <f t="shared" si="96"/>
        <v>0</v>
      </c>
      <c r="DI123" s="161">
        <f t="shared" si="97"/>
        <v>0</v>
      </c>
      <c r="DJ123" s="161">
        <f t="shared" si="98"/>
        <v>0</v>
      </c>
      <c r="DK123" s="161">
        <f t="shared" si="99"/>
        <v>0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10.416666666666666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10.416666666666666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1"/>
        <v>20.833333333333332</v>
      </c>
      <c r="EL123" s="149"/>
      <c r="EN123" s="146"/>
      <c r="EO123" s="146"/>
      <c r="EP123" s="139">
        <f t="shared" si="132"/>
        <v>0</v>
      </c>
      <c r="EQ123" s="139">
        <f t="shared" si="133"/>
        <v>0</v>
      </c>
      <c r="ER123" s="139">
        <f t="shared" si="134"/>
        <v>0</v>
      </c>
      <c r="ES123" s="139">
        <f t="shared" si="135"/>
        <v>0</v>
      </c>
      <c r="ET123" s="139">
        <f t="shared" si="136"/>
        <v>0</v>
      </c>
      <c r="EU123" s="139">
        <f t="shared" si="137"/>
        <v>0</v>
      </c>
      <c r="EV123" s="139">
        <f t="shared" si="138"/>
        <v>0</v>
      </c>
      <c r="EW123" s="139">
        <f t="shared" si="139"/>
        <v>0</v>
      </c>
      <c r="EX123" s="139">
        <f t="shared" si="140"/>
        <v>0</v>
      </c>
      <c r="EY123" s="139">
        <f t="shared" si="141"/>
        <v>0</v>
      </c>
      <c r="EZ123" s="139">
        <f t="shared" si="142"/>
        <v>0</v>
      </c>
      <c r="FA123" s="139">
        <f t="shared" si="143"/>
        <v>0</v>
      </c>
      <c r="FB123" s="139">
        <f t="shared" si="144"/>
        <v>0</v>
      </c>
      <c r="FC123" s="139">
        <f t="shared" si="145"/>
        <v>0</v>
      </c>
      <c r="FD123" s="139">
        <f t="shared" si="146"/>
        <v>0</v>
      </c>
      <c r="FE123" s="139">
        <f t="shared" si="147"/>
        <v>0</v>
      </c>
      <c r="FF123" s="139">
        <f t="shared" si="148"/>
        <v>119.28483467209288</v>
      </c>
      <c r="FG123" s="139">
        <f t="shared" si="149"/>
        <v>0</v>
      </c>
      <c r="FH123" s="139">
        <f t="shared" si="150"/>
        <v>0</v>
      </c>
      <c r="FI123" s="139">
        <f t="shared" si="151"/>
        <v>0</v>
      </c>
      <c r="FJ123" s="139">
        <f t="shared" si="152"/>
        <v>0</v>
      </c>
      <c r="FK123" s="139">
        <f t="shared" si="153"/>
        <v>0</v>
      </c>
      <c r="FL123" s="139">
        <f t="shared" si="154"/>
        <v>0</v>
      </c>
      <c r="FM123" s="139">
        <f t="shared" si="155"/>
        <v>0</v>
      </c>
      <c r="FN123" s="139">
        <f t="shared" si="156"/>
        <v>374.85814224663739</v>
      </c>
      <c r="FO123" s="139">
        <f t="shared" si="157"/>
        <v>0</v>
      </c>
      <c r="FP123" s="139">
        <f t="shared" si="158"/>
        <v>0</v>
      </c>
      <c r="FQ123" s="139">
        <f t="shared" si="159"/>
        <v>0</v>
      </c>
      <c r="FR123" s="139">
        <f t="shared" si="160"/>
        <v>0</v>
      </c>
      <c r="FS123" s="139">
        <f t="shared" si="161"/>
        <v>0</v>
      </c>
      <c r="FT123" s="139">
        <f t="shared" si="162"/>
        <v>0</v>
      </c>
      <c r="FU123" s="148">
        <f t="shared" si="163"/>
        <v>494.14297691873026</v>
      </c>
      <c r="FV123" s="149"/>
      <c r="FY123" s="212">
        <v>118</v>
      </c>
      <c r="FZ123">
        <v>2.2219295059280695</v>
      </c>
      <c r="GA123">
        <v>24.480549513682263</v>
      </c>
      <c r="GB123">
        <v>16.608646242483321</v>
      </c>
      <c r="GC123">
        <v>3.8564233700133239</v>
      </c>
      <c r="GD123">
        <v>0.7763787546805454</v>
      </c>
      <c r="GE123">
        <v>0.71895619221013829</v>
      </c>
      <c r="GF123">
        <v>0.80138167652982462</v>
      </c>
      <c r="GG123">
        <v>4.7322912730722599</v>
      </c>
      <c r="GH123">
        <v>1.6229601285312325</v>
      </c>
      <c r="GI123">
        <v>10.268727134584681</v>
      </c>
      <c r="GJ123"/>
      <c r="GK123"/>
      <c r="GL123"/>
      <c r="GM123"/>
    </row>
    <row r="124" spans="1:195" s="7" customFormat="1">
      <c r="A124" s="1"/>
      <c r="B124" s="76">
        <f ca="1">IF(C124="", "", RAND())</f>
        <v>0.10662198395020894</v>
      </c>
      <c r="C124">
        <v>1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9.75802696078431</v>
      </c>
      <c r="AO124">
        <v>25.059534511815521</v>
      </c>
      <c r="AP124">
        <v>340.5527794160904</v>
      </c>
      <c r="AQ124">
        <v>59.743507928419575</v>
      </c>
      <c r="AR124">
        <v>22.781395010741381</v>
      </c>
      <c r="AS124">
        <v>127.73367049003299</v>
      </c>
      <c r="AT124" t="e">
        <v>#DIV/0!</v>
      </c>
      <c r="AU124" t="e">
        <v>#DIV/0!</v>
      </c>
      <c r="AV124"/>
      <c r="AW124"/>
      <c r="AX124" s="146"/>
      <c r="AY124" s="76">
        <f t="shared" ca="1" si="87"/>
        <v>0.98765694302140905</v>
      </c>
      <c r="AZ124">
        <v>7</v>
      </c>
      <c r="BA124" s="129">
        <f t="shared" si="130"/>
        <v>39747</v>
      </c>
      <c r="BB124">
        <v>0</v>
      </c>
      <c r="BC124"/>
      <c r="BD124"/>
      <c r="BE124"/>
      <c r="BF124"/>
      <c r="BG124"/>
      <c r="BH124"/>
      <c r="BI124"/>
      <c r="BJ124">
        <v>1</v>
      </c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9"/>
        <v>0.14957449894359653</v>
      </c>
      <c r="CL124" s="179">
        <f t="shared" si="90"/>
        <v>7</v>
      </c>
      <c r="CM124" s="180">
        <f t="shared" si="91"/>
        <v>39747</v>
      </c>
      <c r="CN124">
        <v>0</v>
      </c>
      <c r="CO124"/>
      <c r="CP124"/>
      <c r="CQ124"/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0.24786621479707538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0</v>
      </c>
      <c r="DH124" s="161">
        <f t="shared" si="96"/>
        <v>0</v>
      </c>
      <c r="DI124" s="161">
        <f t="shared" si="97"/>
        <v>0</v>
      </c>
      <c r="DJ124" s="161">
        <f t="shared" si="98"/>
        <v>0</v>
      </c>
      <c r="DK124" s="161">
        <f t="shared" si="99"/>
        <v>0</v>
      </c>
      <c r="DL124" s="161">
        <f t="shared" si="100"/>
        <v>0</v>
      </c>
      <c r="DM124" s="161">
        <f t="shared" si="101"/>
        <v>0</v>
      </c>
      <c r="DN124" s="161">
        <f t="shared" si="102"/>
        <v>10.416666666666666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1"/>
        <v>10.416666666666666</v>
      </c>
      <c r="EL124" s="149"/>
      <c r="EN124" s="146"/>
      <c r="EO124" s="146"/>
      <c r="EP124" s="139">
        <f t="shared" si="132"/>
        <v>0</v>
      </c>
      <c r="EQ124" s="139">
        <f t="shared" si="133"/>
        <v>0</v>
      </c>
      <c r="ER124" s="139">
        <f t="shared" si="134"/>
        <v>0</v>
      </c>
      <c r="ES124" s="139">
        <f t="shared" si="135"/>
        <v>0</v>
      </c>
      <c r="ET124" s="139">
        <f t="shared" si="136"/>
        <v>0</v>
      </c>
      <c r="EU124" s="139">
        <f t="shared" si="137"/>
        <v>0</v>
      </c>
      <c r="EV124" s="139">
        <f t="shared" si="138"/>
        <v>0</v>
      </c>
      <c r="EW124" s="139">
        <f t="shared" si="139"/>
        <v>0</v>
      </c>
      <c r="EX124" s="139">
        <f t="shared" si="140"/>
        <v>16.845213713906823</v>
      </c>
      <c r="EY124" s="139">
        <f t="shared" si="141"/>
        <v>0</v>
      </c>
      <c r="EZ124" s="139">
        <f t="shared" si="142"/>
        <v>0</v>
      </c>
      <c r="FA124" s="139">
        <f t="shared" si="143"/>
        <v>0</v>
      </c>
      <c r="FB124" s="139">
        <f t="shared" si="144"/>
        <v>0</v>
      </c>
      <c r="FC124" s="139">
        <f t="shared" si="145"/>
        <v>0</v>
      </c>
      <c r="FD124" s="139">
        <f t="shared" si="146"/>
        <v>0</v>
      </c>
      <c r="FE124" s="139">
        <f t="shared" si="147"/>
        <v>0</v>
      </c>
      <c r="FF124" s="139">
        <f t="shared" si="148"/>
        <v>0</v>
      </c>
      <c r="FG124" s="139">
        <f t="shared" si="149"/>
        <v>0</v>
      </c>
      <c r="FH124" s="139">
        <f t="shared" si="150"/>
        <v>0</v>
      </c>
      <c r="FI124" s="139">
        <f t="shared" si="151"/>
        <v>0</v>
      </c>
      <c r="FJ124" s="139">
        <f t="shared" si="152"/>
        <v>0</v>
      </c>
      <c r="FK124" s="139">
        <f t="shared" si="153"/>
        <v>0</v>
      </c>
      <c r="FL124" s="139">
        <f t="shared" si="154"/>
        <v>0</v>
      </c>
      <c r="FM124" s="139">
        <f t="shared" si="155"/>
        <v>0</v>
      </c>
      <c r="FN124" s="139">
        <f t="shared" si="156"/>
        <v>0</v>
      </c>
      <c r="FO124" s="139">
        <f t="shared" si="157"/>
        <v>0</v>
      </c>
      <c r="FP124" s="139">
        <f t="shared" si="158"/>
        <v>0</v>
      </c>
      <c r="FQ124" s="139">
        <f t="shared" si="159"/>
        <v>0</v>
      </c>
      <c r="FR124" s="139">
        <f t="shared" si="160"/>
        <v>0</v>
      </c>
      <c r="FS124" s="139">
        <f t="shared" si="161"/>
        <v>0</v>
      </c>
      <c r="FT124" s="139">
        <f t="shared" si="162"/>
        <v>0</v>
      </c>
      <c r="FU124" s="148">
        <f t="shared" si="163"/>
        <v>16.845213713906823</v>
      </c>
      <c r="FV124" s="149"/>
      <c r="FY124" s="212">
        <v>119</v>
      </c>
      <c r="FZ124">
        <v>0.87464314523499231</v>
      </c>
      <c r="GA124">
        <v>17.406333880490745</v>
      </c>
      <c r="GB124">
        <v>12.709273375510749</v>
      </c>
      <c r="GC124">
        <v>3.4314695992812427</v>
      </c>
      <c r="GD124">
        <v>0.56946041456503327</v>
      </c>
      <c r="GE124">
        <v>0</v>
      </c>
      <c r="GF124">
        <v>0.80138167652982462</v>
      </c>
      <c r="GG124">
        <v>3.3224941306074438</v>
      </c>
      <c r="GH124">
        <v>0</v>
      </c>
      <c r="GI124">
        <v>10.124442234264476</v>
      </c>
      <c r="GJ124"/>
      <c r="GK124"/>
      <c r="GL124"/>
      <c r="GM124"/>
    </row>
    <row r="125" spans="1:195" s="7" customFormat="1">
      <c r="A125" s="1"/>
      <c r="B125" s="76">
        <f ca="1">IF(C125="", "", RAND())</f>
        <v>0.52590971798003316</v>
      </c>
      <c r="C125">
        <v>7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10.416666666666666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7.5257352941176467</v>
      </c>
      <c r="AO125">
        <v>26.341573644102436</v>
      </c>
      <c r="AP125">
        <v>201.85404390353546</v>
      </c>
      <c r="AQ125">
        <v>33.271552206351373</v>
      </c>
      <c r="AR125">
        <v>24.014845675203805</v>
      </c>
      <c r="AS125">
        <v>158.02525829678675</v>
      </c>
      <c r="AT125" t="e">
        <v>#DIV/0!</v>
      </c>
      <c r="AU125" t="e">
        <v>#DIV/0!</v>
      </c>
      <c r="AV125"/>
      <c r="AW125"/>
      <c r="AX125" s="146"/>
      <c r="AY125" s="76">
        <f t="shared" ca="1" si="87"/>
        <v>0.13080097305473259</v>
      </c>
      <c r="AZ125">
        <v>8</v>
      </c>
      <c r="BA125" s="129">
        <f t="shared" si="130"/>
        <v>39747</v>
      </c>
      <c r="BB125">
        <v>0</v>
      </c>
      <c r="BC125"/>
      <c r="BD125"/>
      <c r="BE125"/>
      <c r="BF125"/>
      <c r="BG125"/>
      <c r="BH125"/>
      <c r="BI125"/>
      <c r="BJ125">
        <v>1</v>
      </c>
      <c r="BK125"/>
      <c r="BL125"/>
      <c r="BM125">
        <v>1</v>
      </c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9"/>
        <v>0.92010477051000272</v>
      </c>
      <c r="CL125" s="179">
        <f t="shared" si="90"/>
        <v>8</v>
      </c>
      <c r="CM125" s="180">
        <f t="shared" si="91"/>
        <v>39747</v>
      </c>
      <c r="CN125">
        <v>0</v>
      </c>
      <c r="CO125"/>
      <c r="CP125"/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0.46350568147981375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0</v>
      </c>
      <c r="DI125" s="161">
        <f t="shared" si="97"/>
        <v>0</v>
      </c>
      <c r="DJ125" s="161">
        <f t="shared" si="98"/>
        <v>0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10.416666666666666</v>
      </c>
      <c r="DO125" s="161">
        <f t="shared" si="103"/>
        <v>0</v>
      </c>
      <c r="DP125" s="161">
        <f t="shared" si="104"/>
        <v>0</v>
      </c>
      <c r="DQ125" s="161">
        <f t="shared" si="105"/>
        <v>10.416666666666666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1"/>
        <v>20.833333333333332</v>
      </c>
      <c r="EL125" s="149"/>
      <c r="EN125" s="146"/>
      <c r="EO125" s="146"/>
      <c r="EP125" s="139">
        <f t="shared" si="132"/>
        <v>0</v>
      </c>
      <c r="EQ125" s="139">
        <f t="shared" si="133"/>
        <v>0</v>
      </c>
      <c r="ER125" s="139">
        <f t="shared" si="134"/>
        <v>0</v>
      </c>
      <c r="ES125" s="139">
        <f t="shared" si="135"/>
        <v>0</v>
      </c>
      <c r="ET125" s="139">
        <f t="shared" si="136"/>
        <v>0</v>
      </c>
      <c r="EU125" s="139">
        <f t="shared" si="137"/>
        <v>0</v>
      </c>
      <c r="EV125" s="139">
        <f t="shared" si="138"/>
        <v>0</v>
      </c>
      <c r="EW125" s="139">
        <f t="shared" si="139"/>
        <v>0</v>
      </c>
      <c r="EX125" s="139">
        <f t="shared" si="140"/>
        <v>16.845213713906823</v>
      </c>
      <c r="EY125" s="139">
        <f t="shared" si="141"/>
        <v>0</v>
      </c>
      <c r="EZ125" s="139">
        <f t="shared" si="142"/>
        <v>0</v>
      </c>
      <c r="FA125" s="139">
        <f t="shared" si="143"/>
        <v>41.404099618884992</v>
      </c>
      <c r="FB125" s="139">
        <f t="shared" si="144"/>
        <v>0</v>
      </c>
      <c r="FC125" s="139">
        <f t="shared" si="145"/>
        <v>0</v>
      </c>
      <c r="FD125" s="139">
        <f t="shared" si="146"/>
        <v>0</v>
      </c>
      <c r="FE125" s="139">
        <f t="shared" si="147"/>
        <v>0</v>
      </c>
      <c r="FF125" s="139">
        <f t="shared" si="148"/>
        <v>0</v>
      </c>
      <c r="FG125" s="139">
        <f t="shared" si="149"/>
        <v>0</v>
      </c>
      <c r="FH125" s="139">
        <f t="shared" si="150"/>
        <v>0</v>
      </c>
      <c r="FI125" s="139">
        <f t="shared" si="151"/>
        <v>0</v>
      </c>
      <c r="FJ125" s="139">
        <f t="shared" si="152"/>
        <v>0</v>
      </c>
      <c r="FK125" s="139">
        <f t="shared" si="153"/>
        <v>0</v>
      </c>
      <c r="FL125" s="139">
        <f t="shared" si="154"/>
        <v>0</v>
      </c>
      <c r="FM125" s="139">
        <f t="shared" si="155"/>
        <v>0</v>
      </c>
      <c r="FN125" s="139">
        <f t="shared" si="156"/>
        <v>0</v>
      </c>
      <c r="FO125" s="139">
        <f t="shared" si="157"/>
        <v>0</v>
      </c>
      <c r="FP125" s="139">
        <f t="shared" si="158"/>
        <v>0</v>
      </c>
      <c r="FQ125" s="139">
        <f t="shared" si="159"/>
        <v>0</v>
      </c>
      <c r="FR125" s="139">
        <f t="shared" si="160"/>
        <v>0</v>
      </c>
      <c r="FS125" s="139">
        <f t="shared" si="161"/>
        <v>0</v>
      </c>
      <c r="FT125" s="139">
        <f t="shared" si="162"/>
        <v>0</v>
      </c>
      <c r="FU125" s="148">
        <f t="shared" si="163"/>
        <v>58.249313332791814</v>
      </c>
      <c r="FV125" s="149"/>
      <c r="FY125" s="212">
        <v>120</v>
      </c>
      <c r="FZ125">
        <v>1.6521932280012464</v>
      </c>
      <c r="GA125">
        <v>23.770281305454183</v>
      </c>
      <c r="GB125">
        <v>17.037228734057383</v>
      </c>
      <c r="GC125">
        <v>4.9461734015877452</v>
      </c>
      <c r="GD125">
        <v>1.1639150079272511</v>
      </c>
      <c r="GE125">
        <v>0</v>
      </c>
      <c r="GF125">
        <v>1.6027633530596492</v>
      </c>
      <c r="GG125">
        <v>6.8984058910480091</v>
      </c>
      <c r="GH125">
        <v>1.6229601285312325</v>
      </c>
      <c r="GI125">
        <v>9.1772313621487704</v>
      </c>
      <c r="GJ125"/>
      <c r="GK125"/>
      <c r="GL125"/>
      <c r="GM125"/>
    </row>
    <row r="126" spans="1:195" s="7" customFormat="1">
      <c r="A126" s="1"/>
      <c r="B126" s="76">
        <f ca="1">IF(C126="", "", RAND())</f>
        <v>0.8432689908139186</v>
      </c>
      <c r="C126">
        <v>6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10.416666666666666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10.416666666666666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13.807720588235293</v>
      </c>
      <c r="AO126">
        <v>33.382427242456032</v>
      </c>
      <c r="AP126">
        <v>577.97389615640952</v>
      </c>
      <c r="AQ126">
        <v>63.193012266680874</v>
      </c>
      <c r="AR126">
        <v>30.38164140160627</v>
      </c>
      <c r="AS126">
        <v>182.03703773673664</v>
      </c>
      <c r="AT126" t="e">
        <v>#DIV/0!</v>
      </c>
      <c r="AU126" t="e">
        <v>#DIV/0!</v>
      </c>
      <c r="AV126"/>
      <c r="AW126"/>
      <c r="AX126" s="146"/>
      <c r="AY126" s="76">
        <f t="shared" ca="1" si="87"/>
        <v>0.20987859407319376</v>
      </c>
      <c r="AZ126">
        <v>9</v>
      </c>
      <c r="BA126" s="129">
        <f t="shared" si="130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9"/>
        <v>0.40270972156947171</v>
      </c>
      <c r="CL126" s="179">
        <f t="shared" si="90"/>
        <v>9</v>
      </c>
      <c r="CM126" s="180">
        <f t="shared" si="91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0.81668902317411574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 t="shared" si="97"/>
        <v>0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1"/>
        <v>0</v>
      </c>
      <c r="EL126" s="149"/>
      <c r="EN126" s="146"/>
      <c r="EO126" s="146"/>
      <c r="EP126" s="139">
        <f t="shared" si="132"/>
        <v>0</v>
      </c>
      <c r="EQ126" s="139">
        <f t="shared" si="133"/>
        <v>0</v>
      </c>
      <c r="ER126" s="139">
        <f t="shared" si="134"/>
        <v>0</v>
      </c>
      <c r="ES126" s="139">
        <f t="shared" si="135"/>
        <v>0</v>
      </c>
      <c r="ET126" s="139">
        <f t="shared" si="136"/>
        <v>0</v>
      </c>
      <c r="EU126" s="139">
        <f t="shared" si="137"/>
        <v>0</v>
      </c>
      <c r="EV126" s="139">
        <f t="shared" si="138"/>
        <v>0</v>
      </c>
      <c r="EW126" s="139">
        <f t="shared" si="139"/>
        <v>0</v>
      </c>
      <c r="EX126" s="139">
        <f t="shared" si="140"/>
        <v>0</v>
      </c>
      <c r="EY126" s="139">
        <f t="shared" si="141"/>
        <v>0</v>
      </c>
      <c r="EZ126" s="139">
        <f t="shared" si="142"/>
        <v>0</v>
      </c>
      <c r="FA126" s="139">
        <f t="shared" si="143"/>
        <v>0</v>
      </c>
      <c r="FB126" s="139">
        <f t="shared" si="144"/>
        <v>0</v>
      </c>
      <c r="FC126" s="139">
        <f t="shared" si="145"/>
        <v>0</v>
      </c>
      <c r="FD126" s="139">
        <f t="shared" si="146"/>
        <v>0</v>
      </c>
      <c r="FE126" s="139">
        <f t="shared" si="147"/>
        <v>0</v>
      </c>
      <c r="FF126" s="139">
        <f t="shared" si="148"/>
        <v>0</v>
      </c>
      <c r="FG126" s="139">
        <f t="shared" si="149"/>
        <v>0</v>
      </c>
      <c r="FH126" s="139">
        <f t="shared" si="150"/>
        <v>0</v>
      </c>
      <c r="FI126" s="139">
        <f t="shared" si="151"/>
        <v>0</v>
      </c>
      <c r="FJ126" s="139">
        <f t="shared" si="152"/>
        <v>0</v>
      </c>
      <c r="FK126" s="139">
        <f t="shared" si="153"/>
        <v>0</v>
      </c>
      <c r="FL126" s="139">
        <f t="shared" si="154"/>
        <v>0</v>
      </c>
      <c r="FM126" s="139">
        <f t="shared" si="155"/>
        <v>0</v>
      </c>
      <c r="FN126" s="139">
        <f t="shared" si="156"/>
        <v>0</v>
      </c>
      <c r="FO126" s="139">
        <f t="shared" si="157"/>
        <v>0</v>
      </c>
      <c r="FP126" s="139">
        <f t="shared" si="158"/>
        <v>0</v>
      </c>
      <c r="FQ126" s="139">
        <f t="shared" si="159"/>
        <v>0</v>
      </c>
      <c r="FR126" s="139">
        <f t="shared" si="160"/>
        <v>0</v>
      </c>
      <c r="FS126" s="139">
        <f t="shared" si="161"/>
        <v>0</v>
      </c>
      <c r="FT126" s="139">
        <f t="shared" si="162"/>
        <v>0</v>
      </c>
      <c r="FU126" s="148">
        <f t="shared" si="163"/>
        <v>0</v>
      </c>
      <c r="FV126" s="149"/>
      <c r="FY126" s="212">
        <v>121</v>
      </c>
      <c r="FZ126">
        <v>1.4812863372853795</v>
      </c>
      <c r="GA126">
        <v>22.839465135307439</v>
      </c>
      <c r="GB126">
        <v>16.116127109792483</v>
      </c>
      <c r="GC126">
        <v>3.6744754381323097</v>
      </c>
      <c r="GD126">
        <v>0.51864605634411243</v>
      </c>
      <c r="GE126">
        <v>0.35947809610506914</v>
      </c>
      <c r="GF126">
        <v>1.6027633530596492</v>
      </c>
      <c r="GG126">
        <v>5.4886087485831929</v>
      </c>
      <c r="GH126">
        <v>0</v>
      </c>
      <c r="GI126">
        <v>11.260157214429798</v>
      </c>
      <c r="GJ126"/>
      <c r="GK126"/>
      <c r="GL126"/>
      <c r="GM126"/>
    </row>
    <row r="127" spans="1:195" s="7" customFormat="1">
      <c r="A127" s="1"/>
      <c r="B127" s="76">
        <f ca="1">IF(C127="", "", RAND())</f>
        <v>0.24195991102193215</v>
      </c>
      <c r="C127">
        <v>4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28.409090909090907</v>
      </c>
      <c r="K127">
        <v>0</v>
      </c>
      <c r="L127">
        <v>28.409090909090907</v>
      </c>
      <c r="M127">
        <v>0</v>
      </c>
      <c r="N127">
        <v>0</v>
      </c>
      <c r="O127">
        <v>28.409090909090907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6.270833333333333</v>
      </c>
      <c r="AO127">
        <v>20.967821556188287</v>
      </c>
      <c r="AP127">
        <v>183.9603545516801</v>
      </c>
      <c r="AQ127">
        <v>53.608860002368921</v>
      </c>
      <c r="AR127">
        <v>19.095636232271961</v>
      </c>
      <c r="AS127">
        <v>119.91841731232843</v>
      </c>
      <c r="AT127" t="e">
        <v>#DIV/0!</v>
      </c>
      <c r="AU127" t="e">
        <v>#DIV/0!</v>
      </c>
      <c r="AV127"/>
      <c r="AW127"/>
      <c r="AX127" s="146"/>
      <c r="AY127" s="76">
        <f t="shared" ca="1" si="87"/>
        <v>0.45051644815943748</v>
      </c>
      <c r="AZ127">
        <v>10</v>
      </c>
      <c r="BA127" s="129">
        <f t="shared" si="130"/>
        <v>39747</v>
      </c>
      <c r="BB127">
        <v>0</v>
      </c>
      <c r="BC127"/>
      <c r="BD127"/>
      <c r="BE127"/>
      <c r="BF127"/>
      <c r="BG127"/>
      <c r="BH127"/>
      <c r="BI127">
        <v>2</v>
      </c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9"/>
        <v>0.4972684643648333</v>
      </c>
      <c r="CL127" s="179">
        <f t="shared" si="90"/>
        <v>10</v>
      </c>
      <c r="CM127" s="180">
        <f t="shared" si="91"/>
        <v>39747</v>
      </c>
      <c r="CN127">
        <v>0</v>
      </c>
      <c r="CO127"/>
      <c r="CP127"/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0.48904910611233454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0</v>
      </c>
      <c r="DH127" s="161">
        <f t="shared" si="96"/>
        <v>0</v>
      </c>
      <c r="DI127" s="161">
        <f t="shared" si="97"/>
        <v>0</v>
      </c>
      <c r="DJ127" s="161">
        <f t="shared" si="98"/>
        <v>0</v>
      </c>
      <c r="DK127" s="161">
        <f t="shared" si="99"/>
        <v>0</v>
      </c>
      <c r="DL127" s="161">
        <f t="shared" si="100"/>
        <v>0</v>
      </c>
      <c r="DM127" s="161">
        <f t="shared" si="101"/>
        <v>20.833333333333332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1"/>
        <v>20.833333333333332</v>
      </c>
      <c r="EL127" s="149"/>
      <c r="EN127" s="146"/>
      <c r="EO127" s="146"/>
      <c r="EP127" s="139">
        <f t="shared" si="132"/>
        <v>0</v>
      </c>
      <c r="EQ127" s="139">
        <f t="shared" si="133"/>
        <v>0</v>
      </c>
      <c r="ER127" s="139">
        <f t="shared" si="134"/>
        <v>0</v>
      </c>
      <c r="ES127" s="139">
        <f t="shared" si="135"/>
        <v>0</v>
      </c>
      <c r="ET127" s="139">
        <f t="shared" si="136"/>
        <v>0</v>
      </c>
      <c r="EU127" s="139">
        <f t="shared" si="137"/>
        <v>0</v>
      </c>
      <c r="EV127" s="139">
        <f t="shared" si="138"/>
        <v>0</v>
      </c>
      <c r="EW127" s="139">
        <f t="shared" si="139"/>
        <v>23.106664713452354</v>
      </c>
      <c r="EX127" s="139">
        <f t="shared" si="140"/>
        <v>0</v>
      </c>
      <c r="EY127" s="139">
        <f t="shared" si="141"/>
        <v>0</v>
      </c>
      <c r="EZ127" s="139">
        <f t="shared" si="142"/>
        <v>0</v>
      </c>
      <c r="FA127" s="139">
        <f t="shared" si="143"/>
        <v>0</v>
      </c>
      <c r="FB127" s="139">
        <f t="shared" si="144"/>
        <v>0</v>
      </c>
      <c r="FC127" s="139">
        <f t="shared" si="145"/>
        <v>0</v>
      </c>
      <c r="FD127" s="139">
        <f t="shared" si="146"/>
        <v>0</v>
      </c>
      <c r="FE127" s="139">
        <f t="shared" si="147"/>
        <v>0</v>
      </c>
      <c r="FF127" s="139">
        <f t="shared" si="148"/>
        <v>0</v>
      </c>
      <c r="FG127" s="139">
        <f t="shared" si="149"/>
        <v>0</v>
      </c>
      <c r="FH127" s="139">
        <f t="shared" si="150"/>
        <v>0</v>
      </c>
      <c r="FI127" s="139">
        <f t="shared" si="151"/>
        <v>0</v>
      </c>
      <c r="FJ127" s="139">
        <f t="shared" si="152"/>
        <v>0</v>
      </c>
      <c r="FK127" s="139">
        <f t="shared" si="153"/>
        <v>0</v>
      </c>
      <c r="FL127" s="139">
        <f t="shared" si="154"/>
        <v>0</v>
      </c>
      <c r="FM127" s="139">
        <f t="shared" si="155"/>
        <v>0</v>
      </c>
      <c r="FN127" s="139">
        <f t="shared" si="156"/>
        <v>0</v>
      </c>
      <c r="FO127" s="139">
        <f t="shared" si="157"/>
        <v>0</v>
      </c>
      <c r="FP127" s="139">
        <f t="shared" si="158"/>
        <v>0</v>
      </c>
      <c r="FQ127" s="139">
        <f t="shared" si="159"/>
        <v>0</v>
      </c>
      <c r="FR127" s="139">
        <f t="shared" si="160"/>
        <v>0</v>
      </c>
      <c r="FS127" s="139">
        <f t="shared" si="161"/>
        <v>0</v>
      </c>
      <c r="FT127" s="139">
        <f t="shared" si="162"/>
        <v>0</v>
      </c>
      <c r="FU127" s="148">
        <f t="shared" si="163"/>
        <v>23.106664713452354</v>
      </c>
      <c r="FV127" s="149"/>
      <c r="FY127" s="212">
        <v>122</v>
      </c>
      <c r="FZ127">
        <v>1.9973174786207277</v>
      </c>
      <c r="GA127">
        <v>14.495222454633632</v>
      </c>
      <c r="GB127">
        <v>12.114353985959646</v>
      </c>
      <c r="GC127">
        <v>4.831885781590544</v>
      </c>
      <c r="GD127">
        <v>1.5046220203003846</v>
      </c>
      <c r="GE127">
        <v>0</v>
      </c>
      <c r="GF127">
        <v>0</v>
      </c>
      <c r="GG127">
        <v>1.6632147722979369</v>
      </c>
      <c r="GH127">
        <v>3.245920257062465</v>
      </c>
      <c r="GI127">
        <v>9.2933149023601747</v>
      </c>
      <c r="GJ127"/>
      <c r="GK127"/>
      <c r="GL127"/>
      <c r="GM127"/>
    </row>
    <row r="128" spans="1:195" s="7" customFormat="1">
      <c r="A128" s="128"/>
      <c r="B128" s="76">
        <f ca="1">IF(C128="", "", RAND())</f>
        <v>0.45285909231192067</v>
      </c>
      <c r="C128">
        <v>3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10.416666666666666</v>
      </c>
      <c r="J128">
        <v>10.416666666666666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10.48719362745098</v>
      </c>
      <c r="AO128">
        <v>31.835033216435495</v>
      </c>
      <c r="AP128">
        <v>597.51223036682381</v>
      </c>
      <c r="AQ128">
        <v>67.62282433759222</v>
      </c>
      <c r="AR128">
        <v>28.974919559769418</v>
      </c>
      <c r="AS128">
        <v>170.12952245906757</v>
      </c>
      <c r="AT128" t="e">
        <v>#DIV/0!</v>
      </c>
      <c r="AU128" t="e">
        <v>#DIV/0!</v>
      </c>
      <c r="AV128"/>
      <c r="AW128"/>
      <c r="AX128" s="128"/>
      <c r="AY128" s="76">
        <f t="shared" ca="1" si="87"/>
        <v>0.57766978008096626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9"/>
        <v>0.91025162468479004</v>
      </c>
      <c r="CL128" s="179">
        <f t="shared" si="90"/>
        <v>1</v>
      </c>
      <c r="CM128" s="180">
        <f t="shared" si="91"/>
        <v>39775</v>
      </c>
      <c r="CN128">
        <v>0</v>
      </c>
      <c r="CO128"/>
      <c r="CP128"/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0.28429813184501196</v>
      </c>
      <c r="DD128">
        <f t="shared" si="93"/>
        <v>1</v>
      </c>
      <c r="DE128" s="129">
        <f t="shared" ref="DE128:DE137" si="164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0</v>
      </c>
      <c r="DI128" s="161">
        <f t="shared" si="97"/>
        <v>0</v>
      </c>
      <c r="DJ128" s="161">
        <f t="shared" si="98"/>
        <v>0</v>
      </c>
      <c r="DK128" s="161">
        <f t="shared" si="99"/>
        <v>0</v>
      </c>
      <c r="DL128" s="161">
        <f t="shared" si="100"/>
        <v>0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1"/>
        <v>0</v>
      </c>
      <c r="EL128" s="149"/>
      <c r="EN128" s="146"/>
      <c r="EO128" s="146"/>
      <c r="EP128" s="139">
        <f t="shared" si="132"/>
        <v>0</v>
      </c>
      <c r="EQ128" s="139">
        <f t="shared" si="133"/>
        <v>0</v>
      </c>
      <c r="ER128" s="139">
        <f t="shared" si="134"/>
        <v>0</v>
      </c>
      <c r="ES128" s="139">
        <f t="shared" si="135"/>
        <v>0</v>
      </c>
      <c r="ET128" s="139">
        <f t="shared" si="136"/>
        <v>0</v>
      </c>
      <c r="EU128" s="139">
        <f t="shared" si="137"/>
        <v>0</v>
      </c>
      <c r="EV128" s="139">
        <f t="shared" si="138"/>
        <v>0</v>
      </c>
      <c r="EW128" s="139">
        <f t="shared" si="139"/>
        <v>0</v>
      </c>
      <c r="EX128" s="139">
        <f t="shared" si="140"/>
        <v>0</v>
      </c>
      <c r="EY128" s="139">
        <f t="shared" si="141"/>
        <v>0</v>
      </c>
      <c r="EZ128" s="139">
        <f t="shared" si="142"/>
        <v>0</v>
      </c>
      <c r="FA128" s="139">
        <f t="shared" si="143"/>
        <v>0</v>
      </c>
      <c r="FB128" s="139">
        <f t="shared" si="144"/>
        <v>0</v>
      </c>
      <c r="FC128" s="139">
        <f t="shared" si="145"/>
        <v>0</v>
      </c>
      <c r="FD128" s="139">
        <f t="shared" si="146"/>
        <v>0</v>
      </c>
      <c r="FE128" s="139">
        <f t="shared" si="147"/>
        <v>0</v>
      </c>
      <c r="FF128" s="139">
        <f t="shared" si="148"/>
        <v>0</v>
      </c>
      <c r="FG128" s="139">
        <f t="shared" si="149"/>
        <v>0</v>
      </c>
      <c r="FH128" s="139">
        <f t="shared" si="150"/>
        <v>0</v>
      </c>
      <c r="FI128" s="139">
        <f t="shared" si="151"/>
        <v>0</v>
      </c>
      <c r="FJ128" s="139">
        <f t="shared" si="152"/>
        <v>0</v>
      </c>
      <c r="FK128" s="139">
        <f t="shared" si="153"/>
        <v>0</v>
      </c>
      <c r="FL128" s="139">
        <f t="shared" si="154"/>
        <v>0</v>
      </c>
      <c r="FM128" s="139">
        <f t="shared" si="155"/>
        <v>0</v>
      </c>
      <c r="FN128" s="139">
        <f t="shared" si="156"/>
        <v>0</v>
      </c>
      <c r="FO128" s="139">
        <f t="shared" si="157"/>
        <v>0</v>
      </c>
      <c r="FP128" s="139">
        <f t="shared" si="158"/>
        <v>0</v>
      </c>
      <c r="FQ128" s="139">
        <f t="shared" si="159"/>
        <v>0</v>
      </c>
      <c r="FR128" s="139">
        <f t="shared" si="160"/>
        <v>0</v>
      </c>
      <c r="FS128" s="139">
        <f t="shared" si="161"/>
        <v>0</v>
      </c>
      <c r="FT128" s="139">
        <f t="shared" si="162"/>
        <v>0</v>
      </c>
      <c r="FU128" s="148">
        <f t="shared" si="163"/>
        <v>0</v>
      </c>
      <c r="FV128" s="149"/>
      <c r="FY128" s="212">
        <v>123</v>
      </c>
      <c r="FZ128">
        <v>0.53282936380325752</v>
      </c>
      <c r="GA128">
        <v>15.998656530433749</v>
      </c>
      <c r="GB128">
        <v>14.985232546979187</v>
      </c>
      <c r="GC128">
        <v>5.6344285556538951</v>
      </c>
      <c r="GD128">
        <v>1.6232580852957352</v>
      </c>
      <c r="GE128">
        <v>0.35947809610506914</v>
      </c>
      <c r="GF128">
        <v>2.4041450295894737</v>
      </c>
      <c r="GG128">
        <v>11.305925037637545</v>
      </c>
      <c r="GH128">
        <v>4.8688803855936991</v>
      </c>
      <c r="GI128">
        <v>11.389100122818377</v>
      </c>
      <c r="GJ128"/>
      <c r="GK128"/>
      <c r="GL128"/>
      <c r="GM128"/>
    </row>
    <row r="129" spans="1:195" s="7" customFormat="1">
      <c r="A129" s="1"/>
      <c r="B129" s="76">
        <f ca="1">IF(C129="", "", RAND())</f>
        <v>0.11019950253835376</v>
      </c>
      <c r="C129">
        <v>1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6.4093749999999989</v>
      </c>
      <c r="AO129">
        <v>20.735379318984357</v>
      </c>
      <c r="AP129">
        <v>310.74382364952362</v>
      </c>
      <c r="AQ129">
        <v>49.611729704305418</v>
      </c>
      <c r="AR129">
        <v>18.918305379641911</v>
      </c>
      <c r="AS129">
        <v>108.95219864751643</v>
      </c>
      <c r="AT129" t="e">
        <v>#DIV/0!</v>
      </c>
      <c r="AU129" t="e">
        <v>#DIV/0!</v>
      </c>
      <c r="AV129"/>
      <c r="AW129"/>
      <c r="AX129" s="146"/>
      <c r="AY129" s="76">
        <f t="shared" ca="1" si="87"/>
        <v>0.29274259762984078</v>
      </c>
      <c r="AZ129">
        <v>2</v>
      </c>
      <c r="BA129" s="129">
        <f t="shared" ref="BA129:BA137" si="165">IF(AZ129="", "",$C$8)</f>
        <v>39775</v>
      </c>
      <c r="BB129">
        <v>0</v>
      </c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9"/>
        <v>0.45735294523052605</v>
      </c>
      <c r="CL129" s="179">
        <f t="shared" si="90"/>
        <v>2</v>
      </c>
      <c r="CM129" s="180">
        <f t="shared" si="91"/>
        <v>39775</v>
      </c>
      <c r="CN129">
        <v>0</v>
      </c>
      <c r="CO129"/>
      <c r="CP129"/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0.23769644704168602</v>
      </c>
      <c r="DD129">
        <f t="shared" si="93"/>
        <v>2</v>
      </c>
      <c r="DE129" s="129">
        <f t="shared" si="164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0</v>
      </c>
      <c r="DJ129" s="161">
        <f t="shared" si="98"/>
        <v>0</v>
      </c>
      <c r="DK129" s="161">
        <f t="shared" si="99"/>
        <v>0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1"/>
        <v>0</v>
      </c>
      <c r="EL129" s="149"/>
      <c r="EN129" s="146"/>
      <c r="EO129" s="146"/>
      <c r="EP129" s="139">
        <f t="shared" si="132"/>
        <v>0</v>
      </c>
      <c r="EQ129" s="139">
        <f t="shared" si="133"/>
        <v>0</v>
      </c>
      <c r="ER129" s="139">
        <f t="shared" si="134"/>
        <v>0</v>
      </c>
      <c r="ES129" s="139">
        <f t="shared" si="135"/>
        <v>0</v>
      </c>
      <c r="ET129" s="139">
        <f t="shared" si="136"/>
        <v>0</v>
      </c>
      <c r="EU129" s="139">
        <f t="shared" si="137"/>
        <v>0</v>
      </c>
      <c r="EV129" s="139">
        <f t="shared" si="138"/>
        <v>0</v>
      </c>
      <c r="EW129" s="139">
        <f t="shared" si="139"/>
        <v>0</v>
      </c>
      <c r="EX129" s="139">
        <f t="shared" si="140"/>
        <v>0</v>
      </c>
      <c r="EY129" s="139">
        <f t="shared" si="141"/>
        <v>0</v>
      </c>
      <c r="EZ129" s="139">
        <f t="shared" si="142"/>
        <v>0</v>
      </c>
      <c r="FA129" s="139">
        <f t="shared" si="143"/>
        <v>0</v>
      </c>
      <c r="FB129" s="139">
        <f t="shared" si="144"/>
        <v>0</v>
      </c>
      <c r="FC129" s="139">
        <f t="shared" si="145"/>
        <v>0</v>
      </c>
      <c r="FD129" s="139">
        <f t="shared" si="146"/>
        <v>0</v>
      </c>
      <c r="FE129" s="139">
        <f t="shared" si="147"/>
        <v>0</v>
      </c>
      <c r="FF129" s="139">
        <f t="shared" si="148"/>
        <v>0</v>
      </c>
      <c r="FG129" s="139">
        <f t="shared" si="149"/>
        <v>0</v>
      </c>
      <c r="FH129" s="139">
        <f t="shared" si="150"/>
        <v>0</v>
      </c>
      <c r="FI129" s="139">
        <f t="shared" si="151"/>
        <v>0</v>
      </c>
      <c r="FJ129" s="139">
        <f t="shared" si="152"/>
        <v>0</v>
      </c>
      <c r="FK129" s="139">
        <f t="shared" si="153"/>
        <v>0</v>
      </c>
      <c r="FL129" s="139">
        <f t="shared" si="154"/>
        <v>0</v>
      </c>
      <c r="FM129" s="139">
        <f t="shared" si="155"/>
        <v>0</v>
      </c>
      <c r="FN129" s="139">
        <f t="shared" si="156"/>
        <v>0</v>
      </c>
      <c r="FO129" s="139">
        <f t="shared" si="157"/>
        <v>0</v>
      </c>
      <c r="FP129" s="139">
        <f t="shared" si="158"/>
        <v>0</v>
      </c>
      <c r="FQ129" s="139">
        <f t="shared" si="159"/>
        <v>0</v>
      </c>
      <c r="FR129" s="139">
        <f t="shared" si="160"/>
        <v>0</v>
      </c>
      <c r="FS129" s="139">
        <f t="shared" si="161"/>
        <v>0</v>
      </c>
      <c r="FT129" s="139">
        <f t="shared" si="162"/>
        <v>0</v>
      </c>
      <c r="FU129" s="148">
        <f t="shared" si="163"/>
        <v>0</v>
      </c>
      <c r="FV129" s="149"/>
      <c r="FY129" s="212">
        <v>124</v>
      </c>
      <c r="FZ129">
        <v>0.72384494617478023</v>
      </c>
      <c r="GA129">
        <v>3.8248842385263564</v>
      </c>
      <c r="GB129">
        <v>12.185652485918485</v>
      </c>
      <c r="GC129">
        <v>6.5319049301092864</v>
      </c>
      <c r="GD129">
        <v>1.4111246700060045</v>
      </c>
      <c r="GE129">
        <v>0.35947809610506914</v>
      </c>
      <c r="GF129">
        <v>0.80138167652982462</v>
      </c>
      <c r="GG129">
        <v>3.3224941306074438</v>
      </c>
      <c r="GH129">
        <v>0</v>
      </c>
      <c r="GI129">
        <v>9.9900906066824025</v>
      </c>
      <c r="GJ129"/>
      <c r="GK129"/>
      <c r="GL129"/>
      <c r="GM129"/>
    </row>
    <row r="130" spans="1:195" s="7" customFormat="1">
      <c r="A130" s="1"/>
      <c r="B130" s="76">
        <f ca="1">IF(C130="", "", RAND())</f>
        <v>0.62411966402636154</v>
      </c>
      <c r="C130">
        <v>7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14.204545454545453</v>
      </c>
      <c r="M130">
        <v>0</v>
      </c>
      <c r="N130">
        <v>14.204545454545453</v>
      </c>
      <c r="O130">
        <v>0</v>
      </c>
      <c r="P130">
        <v>0</v>
      </c>
      <c r="Q130">
        <v>0</v>
      </c>
      <c r="R130">
        <v>0</v>
      </c>
      <c r="S130">
        <v>14.204545454545453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12.286151960784311</v>
      </c>
      <c r="AO130">
        <v>38.655930717910351</v>
      </c>
      <c r="AP130">
        <v>274.94129502514522</v>
      </c>
      <c r="AQ130">
        <v>57.826986608253677</v>
      </c>
      <c r="AR130">
        <v>35.14175519810032</v>
      </c>
      <c r="AS130">
        <v>233.03477619476141</v>
      </c>
      <c r="AT130" t="e">
        <v>#DIV/0!</v>
      </c>
      <c r="AU130" t="e">
        <v>#DIV/0!</v>
      </c>
      <c r="AV130"/>
      <c r="AW130"/>
      <c r="AX130" s="146"/>
      <c r="AY130" s="76">
        <f t="shared" ca="1" si="87"/>
        <v>0.50598655520799807</v>
      </c>
      <c r="AZ130">
        <v>3</v>
      </c>
      <c r="BA130" s="129">
        <f t="shared" si="165"/>
        <v>39775</v>
      </c>
      <c r="BB130">
        <v>0</v>
      </c>
      <c r="BC130"/>
      <c r="BD130"/>
      <c r="BE130"/>
      <c r="BF130">
        <v>1</v>
      </c>
      <c r="BG130">
        <v>1</v>
      </c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9"/>
        <v>0.50292000673107928</v>
      </c>
      <c r="CL130" s="179">
        <f t="shared" si="90"/>
        <v>3</v>
      </c>
      <c r="CM130" s="180">
        <f t="shared" si="91"/>
        <v>39775</v>
      </c>
      <c r="CN130"/>
      <c r="CO130"/>
      <c r="CP130"/>
      <c r="CQ130"/>
      <c r="CR130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0.43423259590556107</v>
      </c>
      <c r="DD130">
        <f t="shared" si="93"/>
        <v>3</v>
      </c>
      <c r="DE130" s="129">
        <f t="shared" si="164"/>
        <v>39775</v>
      </c>
      <c r="DF130" s="161">
        <f t="shared" si="94"/>
        <v>0</v>
      </c>
      <c r="DG130" s="161">
        <f t="shared" si="95"/>
        <v>0</v>
      </c>
      <c r="DH130" s="161">
        <f t="shared" si="96"/>
        <v>0</v>
      </c>
      <c r="DI130" s="161">
        <f t="shared" si="97"/>
        <v>0</v>
      </c>
      <c r="DJ130" s="161">
        <f t="shared" si="98"/>
        <v>10.416666666666666</v>
      </c>
      <c r="DK130" s="161">
        <f t="shared" si="99"/>
        <v>10.416666666666666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1"/>
        <v>20.833333333333332</v>
      </c>
      <c r="EL130" s="149"/>
      <c r="EN130" s="146"/>
      <c r="EO130" s="146"/>
      <c r="EP130" s="139">
        <f t="shared" si="132"/>
        <v>0</v>
      </c>
      <c r="EQ130" s="139">
        <f t="shared" si="133"/>
        <v>0</v>
      </c>
      <c r="ER130" s="139">
        <f t="shared" si="134"/>
        <v>0</v>
      </c>
      <c r="ES130" s="139">
        <f t="shared" si="135"/>
        <v>0</v>
      </c>
      <c r="ET130" s="139">
        <f t="shared" si="136"/>
        <v>2.3788541590155874</v>
      </c>
      <c r="EU130" s="139">
        <f t="shared" si="137"/>
        <v>4.4672647781076842</v>
      </c>
      <c r="EV130" s="139">
        <f t="shared" si="138"/>
        <v>0</v>
      </c>
      <c r="EW130" s="139">
        <f t="shared" si="139"/>
        <v>0</v>
      </c>
      <c r="EX130" s="139">
        <f t="shared" si="140"/>
        <v>0</v>
      </c>
      <c r="EY130" s="139">
        <f t="shared" si="141"/>
        <v>0</v>
      </c>
      <c r="EZ130" s="139">
        <f t="shared" si="142"/>
        <v>0</v>
      </c>
      <c r="FA130" s="139">
        <f t="shared" si="143"/>
        <v>0</v>
      </c>
      <c r="FB130" s="139">
        <f t="shared" si="144"/>
        <v>0</v>
      </c>
      <c r="FC130" s="139">
        <f t="shared" si="145"/>
        <v>0</v>
      </c>
      <c r="FD130" s="139">
        <f t="shared" si="146"/>
        <v>0</v>
      </c>
      <c r="FE130" s="139">
        <f t="shared" si="147"/>
        <v>0</v>
      </c>
      <c r="FF130" s="139">
        <f t="shared" si="148"/>
        <v>0</v>
      </c>
      <c r="FG130" s="139">
        <f t="shared" si="149"/>
        <v>0</v>
      </c>
      <c r="FH130" s="139">
        <f t="shared" si="150"/>
        <v>0</v>
      </c>
      <c r="FI130" s="139">
        <f t="shared" si="151"/>
        <v>0</v>
      </c>
      <c r="FJ130" s="139">
        <f t="shared" si="152"/>
        <v>0</v>
      </c>
      <c r="FK130" s="139">
        <f t="shared" si="153"/>
        <v>0</v>
      </c>
      <c r="FL130" s="139">
        <f t="shared" si="154"/>
        <v>0</v>
      </c>
      <c r="FM130" s="139">
        <f t="shared" si="155"/>
        <v>0</v>
      </c>
      <c r="FN130" s="139">
        <f t="shared" si="156"/>
        <v>0</v>
      </c>
      <c r="FO130" s="139">
        <f t="shared" si="157"/>
        <v>0</v>
      </c>
      <c r="FP130" s="139">
        <f t="shared" si="158"/>
        <v>0</v>
      </c>
      <c r="FQ130" s="139">
        <f t="shared" si="159"/>
        <v>0</v>
      </c>
      <c r="FR130" s="139">
        <f t="shared" si="160"/>
        <v>0</v>
      </c>
      <c r="FS130" s="139">
        <f t="shared" si="161"/>
        <v>0</v>
      </c>
      <c r="FT130" s="139">
        <f t="shared" si="162"/>
        <v>0</v>
      </c>
      <c r="FU130" s="148">
        <f t="shared" si="163"/>
        <v>6.846118937123272</v>
      </c>
      <c r="FV130" s="149"/>
      <c r="FY130" s="212">
        <v>125</v>
      </c>
      <c r="FZ130">
        <v>0.91155005935855693</v>
      </c>
      <c r="GA130">
        <v>18.533124406079867</v>
      </c>
      <c r="GB130">
        <v>13.691915518643487</v>
      </c>
      <c r="GC130">
        <v>4.6167781635398519</v>
      </c>
      <c r="GD130">
        <v>1.1995053531832598</v>
      </c>
      <c r="GE130">
        <v>0</v>
      </c>
      <c r="GF130">
        <v>0</v>
      </c>
      <c r="GG130">
        <v>0.57818975631584713</v>
      </c>
      <c r="GH130">
        <v>0</v>
      </c>
      <c r="GI130">
        <v>9.2432323599854929</v>
      </c>
      <c r="GJ130"/>
      <c r="GK130"/>
      <c r="GL130"/>
      <c r="GM130"/>
    </row>
    <row r="131" spans="1:195" s="7" customFormat="1">
      <c r="A131" s="1"/>
      <c r="B131" s="76">
        <f ca="1">IF(C131="", "", RAND())</f>
        <v>0.79499490151869523</v>
      </c>
      <c r="C131">
        <v>6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6.7739583333333329</v>
      </c>
      <c r="AO131">
        <v>22.823076149341098</v>
      </c>
      <c r="AP131">
        <v>281.26090590288982</v>
      </c>
      <c r="AQ131">
        <v>57.936699939637258</v>
      </c>
      <c r="AR131">
        <v>20.782231316956342</v>
      </c>
      <c r="AS131">
        <v>115.95879735014796</v>
      </c>
      <c r="AT131" t="e">
        <v>#DIV/0!</v>
      </c>
      <c r="AU131" t="e">
        <v>#DIV/0!</v>
      </c>
      <c r="AV131"/>
      <c r="AW131"/>
      <c r="AX131" s="146"/>
      <c r="AY131" s="76">
        <f t="shared" ca="1" si="87"/>
        <v>0.57041297824038306</v>
      </c>
      <c r="AZ131">
        <v>4</v>
      </c>
      <c r="BA131" s="129">
        <f t="shared" si="165"/>
        <v>39775</v>
      </c>
      <c r="BB131">
        <v>0</v>
      </c>
      <c r="BC131"/>
      <c r="BD131"/>
      <c r="BE131"/>
      <c r="BF131"/>
      <c r="BG131"/>
      <c r="BH131"/>
      <c r="BI131"/>
      <c r="BJ131">
        <v>1</v>
      </c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9"/>
        <v>9.0566273808107223E-2</v>
      </c>
      <c r="CL131" s="179">
        <f t="shared" si="90"/>
        <v>4</v>
      </c>
      <c r="CM131" s="180">
        <f t="shared" si="91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5.8723191896230098E-2</v>
      </c>
      <c r="DD131">
        <f t="shared" si="93"/>
        <v>4</v>
      </c>
      <c r="DE131" s="129">
        <f t="shared" si="164"/>
        <v>39775</v>
      </c>
      <c r="DF131" s="161">
        <f t="shared" si="94"/>
        <v>0</v>
      </c>
      <c r="DG131" s="161">
        <f t="shared" si="95"/>
        <v>0</v>
      </c>
      <c r="DH131" s="161">
        <f t="shared" si="96"/>
        <v>0</v>
      </c>
      <c r="DI131" s="161">
        <f t="shared" si="97"/>
        <v>0</v>
      </c>
      <c r="DJ131" s="161">
        <f t="shared" si="98"/>
        <v>0</v>
      </c>
      <c r="DK131" s="161">
        <f t="shared" si="99"/>
        <v>0</v>
      </c>
      <c r="DL131" s="161">
        <f t="shared" si="100"/>
        <v>0</v>
      </c>
      <c r="DM131" s="161">
        <f t="shared" si="101"/>
        <v>0</v>
      </c>
      <c r="DN131" s="161">
        <f t="shared" si="102"/>
        <v>10.416666666666666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1"/>
        <v>10.416666666666666</v>
      </c>
      <c r="EL131" s="149"/>
      <c r="EN131" s="146"/>
      <c r="EO131" s="146"/>
      <c r="EP131" s="139">
        <f t="shared" si="132"/>
        <v>0</v>
      </c>
      <c r="EQ131" s="139">
        <f t="shared" si="133"/>
        <v>0</v>
      </c>
      <c r="ER131" s="139">
        <f t="shared" si="134"/>
        <v>0</v>
      </c>
      <c r="ES131" s="139">
        <f t="shared" si="135"/>
        <v>0</v>
      </c>
      <c r="ET131" s="139">
        <f t="shared" si="136"/>
        <v>0</v>
      </c>
      <c r="EU131" s="139">
        <f t="shared" si="137"/>
        <v>0</v>
      </c>
      <c r="EV131" s="139">
        <f t="shared" si="138"/>
        <v>0</v>
      </c>
      <c r="EW131" s="139">
        <f t="shared" si="139"/>
        <v>0</v>
      </c>
      <c r="EX131" s="139">
        <f t="shared" si="140"/>
        <v>16.845213713906823</v>
      </c>
      <c r="EY131" s="139">
        <f t="shared" si="141"/>
        <v>0</v>
      </c>
      <c r="EZ131" s="139">
        <f t="shared" si="142"/>
        <v>0</v>
      </c>
      <c r="FA131" s="139">
        <f t="shared" si="143"/>
        <v>0</v>
      </c>
      <c r="FB131" s="139">
        <f t="shared" si="144"/>
        <v>0</v>
      </c>
      <c r="FC131" s="139">
        <f t="shared" si="145"/>
        <v>0</v>
      </c>
      <c r="FD131" s="139">
        <f t="shared" si="146"/>
        <v>0</v>
      </c>
      <c r="FE131" s="139">
        <f t="shared" si="147"/>
        <v>0</v>
      </c>
      <c r="FF131" s="139">
        <f t="shared" si="148"/>
        <v>0</v>
      </c>
      <c r="FG131" s="139">
        <f t="shared" si="149"/>
        <v>0</v>
      </c>
      <c r="FH131" s="139">
        <f t="shared" si="150"/>
        <v>0</v>
      </c>
      <c r="FI131" s="139">
        <f t="shared" si="151"/>
        <v>0</v>
      </c>
      <c r="FJ131" s="139">
        <f t="shared" si="152"/>
        <v>0</v>
      </c>
      <c r="FK131" s="139">
        <f t="shared" si="153"/>
        <v>0</v>
      </c>
      <c r="FL131" s="139">
        <f t="shared" si="154"/>
        <v>0</v>
      </c>
      <c r="FM131" s="139">
        <f t="shared" si="155"/>
        <v>0</v>
      </c>
      <c r="FN131" s="139">
        <f t="shared" si="156"/>
        <v>0</v>
      </c>
      <c r="FO131" s="139">
        <f t="shared" si="157"/>
        <v>0</v>
      </c>
      <c r="FP131" s="139">
        <f t="shared" si="158"/>
        <v>0</v>
      </c>
      <c r="FQ131" s="139">
        <f t="shared" si="159"/>
        <v>0</v>
      </c>
      <c r="FR131" s="139">
        <f t="shared" si="160"/>
        <v>0</v>
      </c>
      <c r="FS131" s="139">
        <f t="shared" si="161"/>
        <v>0</v>
      </c>
      <c r="FT131" s="139">
        <f t="shared" si="162"/>
        <v>0</v>
      </c>
      <c r="FU131" s="148">
        <f t="shared" si="163"/>
        <v>16.845213713906823</v>
      </c>
      <c r="FV131" s="149"/>
      <c r="FY131" s="212">
        <v>126</v>
      </c>
      <c r="FZ131">
        <v>1.4443794231618146</v>
      </c>
      <c r="GA131">
        <v>23.716707688297276</v>
      </c>
      <c r="GB131">
        <v>16.078688755442688</v>
      </c>
      <c r="GC131">
        <v>4.3995077002170708</v>
      </c>
      <c r="GD131">
        <v>1.3196617352145967</v>
      </c>
      <c r="GE131">
        <v>0.35947809610506914</v>
      </c>
      <c r="GF131">
        <v>0.80138167652982462</v>
      </c>
      <c r="GG131">
        <v>4.407519146589534</v>
      </c>
      <c r="GH131">
        <v>3.245920257062465</v>
      </c>
      <c r="GI131">
        <v>8.2533767219254912</v>
      </c>
      <c r="GJ131"/>
      <c r="GK131"/>
      <c r="GL131"/>
      <c r="GM131"/>
    </row>
    <row r="132" spans="1:195" s="7" customFormat="1">
      <c r="A132" s="1"/>
      <c r="B132" s="76">
        <f ca="1">IF(C132="", "", RAND())</f>
        <v>0.57694444311616078</v>
      </c>
      <c r="C132">
        <v>4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10.416666666666666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13.773345588235292</v>
      </c>
      <c r="AO132">
        <v>30.56483339848171</v>
      </c>
      <c r="AP132">
        <v>589.6007718582639</v>
      </c>
      <c r="AQ132">
        <v>78.7387081108064</v>
      </c>
      <c r="AR132">
        <v>27.888152996740299</v>
      </c>
      <c r="AS132">
        <v>185.26574457203307</v>
      </c>
      <c r="AT132" t="e">
        <v>#DIV/0!</v>
      </c>
      <c r="AU132" t="e">
        <v>#DIV/0!</v>
      </c>
      <c r="AV132"/>
      <c r="AW132"/>
      <c r="AX132" s="146"/>
      <c r="AY132" s="76">
        <f t="shared" ca="1" si="87"/>
        <v>0.24676774169958815</v>
      </c>
      <c r="AZ132">
        <v>5</v>
      </c>
      <c r="BA132" s="129">
        <f t="shared" si="165"/>
        <v>39775</v>
      </c>
      <c r="BB132">
        <v>0</v>
      </c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9"/>
        <v>0.14097752547473519</v>
      </c>
      <c r="CL132" s="179">
        <f t="shared" si="90"/>
        <v>5</v>
      </c>
      <c r="CM132" s="180">
        <f t="shared" si="91"/>
        <v>39775</v>
      </c>
      <c r="CN132">
        <v>0</v>
      </c>
      <c r="CO132"/>
      <c r="CP132"/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0.37023368773181797</v>
      </c>
      <c r="DD132">
        <f t="shared" si="93"/>
        <v>5</v>
      </c>
      <c r="DE132" s="129">
        <f t="shared" si="164"/>
        <v>39775</v>
      </c>
      <c r="DF132" s="161">
        <f t="shared" si="94"/>
        <v>0</v>
      </c>
      <c r="DG132" s="161">
        <f t="shared" si="95"/>
        <v>0</v>
      </c>
      <c r="DH132" s="161">
        <f t="shared" si="96"/>
        <v>0</v>
      </c>
      <c r="DI132" s="161">
        <f t="shared" si="97"/>
        <v>0</v>
      </c>
      <c r="DJ132" s="161">
        <f t="shared" si="98"/>
        <v>0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1"/>
        <v>0</v>
      </c>
      <c r="EL132" s="149"/>
      <c r="EN132" s="146"/>
      <c r="EO132" s="146"/>
      <c r="EP132" s="139">
        <f t="shared" si="132"/>
        <v>0</v>
      </c>
      <c r="EQ132" s="139">
        <f t="shared" si="133"/>
        <v>0</v>
      </c>
      <c r="ER132" s="139">
        <f t="shared" si="134"/>
        <v>0</v>
      </c>
      <c r="ES132" s="139">
        <f t="shared" si="135"/>
        <v>0</v>
      </c>
      <c r="ET132" s="139">
        <f t="shared" si="136"/>
        <v>0</v>
      </c>
      <c r="EU132" s="139">
        <f t="shared" si="137"/>
        <v>0</v>
      </c>
      <c r="EV132" s="139">
        <f t="shared" si="138"/>
        <v>0</v>
      </c>
      <c r="EW132" s="139">
        <f t="shared" si="139"/>
        <v>0</v>
      </c>
      <c r="EX132" s="139">
        <f t="shared" si="140"/>
        <v>0</v>
      </c>
      <c r="EY132" s="139">
        <f t="shared" si="141"/>
        <v>0</v>
      </c>
      <c r="EZ132" s="139">
        <f t="shared" si="142"/>
        <v>0</v>
      </c>
      <c r="FA132" s="139">
        <f t="shared" si="143"/>
        <v>0</v>
      </c>
      <c r="FB132" s="139">
        <f t="shared" si="144"/>
        <v>0</v>
      </c>
      <c r="FC132" s="139">
        <f t="shared" si="145"/>
        <v>0</v>
      </c>
      <c r="FD132" s="139">
        <f t="shared" si="146"/>
        <v>0</v>
      </c>
      <c r="FE132" s="139">
        <f t="shared" si="147"/>
        <v>0</v>
      </c>
      <c r="FF132" s="139">
        <f t="shared" si="148"/>
        <v>0</v>
      </c>
      <c r="FG132" s="139">
        <f t="shared" si="149"/>
        <v>0</v>
      </c>
      <c r="FH132" s="139">
        <f t="shared" si="150"/>
        <v>0</v>
      </c>
      <c r="FI132" s="139">
        <f t="shared" si="151"/>
        <v>0</v>
      </c>
      <c r="FJ132" s="139">
        <f t="shared" si="152"/>
        <v>0</v>
      </c>
      <c r="FK132" s="139">
        <f t="shared" si="153"/>
        <v>0</v>
      </c>
      <c r="FL132" s="139">
        <f t="shared" si="154"/>
        <v>0</v>
      </c>
      <c r="FM132" s="139">
        <f t="shared" si="155"/>
        <v>0</v>
      </c>
      <c r="FN132" s="139">
        <f t="shared" si="156"/>
        <v>0</v>
      </c>
      <c r="FO132" s="139">
        <f t="shared" si="157"/>
        <v>0</v>
      </c>
      <c r="FP132" s="139">
        <f t="shared" si="158"/>
        <v>0</v>
      </c>
      <c r="FQ132" s="139">
        <f t="shared" si="159"/>
        <v>0</v>
      </c>
      <c r="FR132" s="139">
        <f t="shared" si="160"/>
        <v>0</v>
      </c>
      <c r="FS132" s="139">
        <f t="shared" si="161"/>
        <v>0</v>
      </c>
      <c r="FT132" s="139">
        <f t="shared" si="162"/>
        <v>0</v>
      </c>
      <c r="FU132" s="148">
        <f t="shared" si="163"/>
        <v>0</v>
      </c>
      <c r="FV132" s="149"/>
      <c r="FY132" s="212">
        <v>127</v>
      </c>
      <c r="FZ132">
        <v>2.3928363966439363</v>
      </c>
      <c r="GA132">
        <v>19.566524367923922</v>
      </c>
      <c r="GB132">
        <v>16.451630807359344</v>
      </c>
      <c r="GC132">
        <v>5.3513948071584059</v>
      </c>
      <c r="GD132">
        <v>0.84827530455244704</v>
      </c>
      <c r="GE132">
        <v>0</v>
      </c>
      <c r="GF132">
        <v>0</v>
      </c>
      <c r="GG132">
        <v>1.4097971424648157</v>
      </c>
      <c r="GH132">
        <v>1.6229601285312325</v>
      </c>
      <c r="GI132">
        <v>8.6724353671306513</v>
      </c>
      <c r="GJ132"/>
      <c r="GK132"/>
      <c r="GL132"/>
      <c r="GM132"/>
    </row>
    <row r="133" spans="1:195" s="7" customFormat="1">
      <c r="A133" s="1"/>
      <c r="B133" s="76">
        <f ca="1">IF(C133="", "", RAND())</f>
        <v>0.98130094257598888</v>
      </c>
      <c r="C133">
        <v>2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12.661151960784313</v>
      </c>
      <c r="AO133">
        <v>45.728395465048457</v>
      </c>
      <c r="AP133">
        <v>943.54825385342076</v>
      </c>
      <c r="AQ133">
        <v>54.461771485957819</v>
      </c>
      <c r="AR133">
        <v>41.605248876690297</v>
      </c>
      <c r="AS133">
        <v>289.04075790093191</v>
      </c>
      <c r="AT133" t="e">
        <v>#DIV/0!</v>
      </c>
      <c r="AU133" t="e">
        <v>#DIV/0!</v>
      </c>
      <c r="AV133"/>
      <c r="AW133"/>
      <c r="AX133" s="146"/>
      <c r="AY133" s="76">
        <f t="shared" ca="1" si="87"/>
        <v>0.33062261794633874</v>
      </c>
      <c r="AZ133">
        <v>6</v>
      </c>
      <c r="BA133" s="129">
        <f t="shared" si="165"/>
        <v>39775</v>
      </c>
      <c r="BB133">
        <v>0</v>
      </c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9"/>
        <v>0.58687871820296267</v>
      </c>
      <c r="CL133" s="179">
        <f t="shared" si="90"/>
        <v>6</v>
      </c>
      <c r="CM133" s="180">
        <f t="shared" si="91"/>
        <v>39775</v>
      </c>
      <c r="CN133">
        <v>0</v>
      </c>
      <c r="CO133"/>
      <c r="CP133"/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0.40707977586602095</v>
      </c>
      <c r="DD133">
        <f t="shared" si="93"/>
        <v>6</v>
      </c>
      <c r="DE133" s="129">
        <f t="shared" si="164"/>
        <v>39775</v>
      </c>
      <c r="DF133" s="161">
        <f t="shared" si="94"/>
        <v>0</v>
      </c>
      <c r="DG133" s="161">
        <f t="shared" si="95"/>
        <v>0</v>
      </c>
      <c r="DH133" s="161">
        <f t="shared" si="96"/>
        <v>0</v>
      </c>
      <c r="DI133" s="161">
        <f t="shared" si="97"/>
        <v>0</v>
      </c>
      <c r="DJ133" s="161">
        <f t="shared" si="98"/>
        <v>0</v>
      </c>
      <c r="DK133" s="161">
        <f t="shared" si="99"/>
        <v>0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1"/>
        <v>0</v>
      </c>
      <c r="EL133" s="149"/>
      <c r="EN133" s="146"/>
      <c r="EO133" s="146"/>
      <c r="EP133" s="139">
        <f t="shared" si="132"/>
        <v>0</v>
      </c>
      <c r="EQ133" s="139">
        <f t="shared" si="133"/>
        <v>0</v>
      </c>
      <c r="ER133" s="139">
        <f t="shared" si="134"/>
        <v>0</v>
      </c>
      <c r="ES133" s="139">
        <f t="shared" si="135"/>
        <v>0</v>
      </c>
      <c r="ET133" s="139">
        <f t="shared" si="136"/>
        <v>0</v>
      </c>
      <c r="EU133" s="139">
        <f t="shared" si="137"/>
        <v>0</v>
      </c>
      <c r="EV133" s="139">
        <f t="shared" si="138"/>
        <v>0</v>
      </c>
      <c r="EW133" s="139">
        <f t="shared" si="139"/>
        <v>0</v>
      </c>
      <c r="EX133" s="139">
        <f t="shared" si="140"/>
        <v>0</v>
      </c>
      <c r="EY133" s="139">
        <f t="shared" si="141"/>
        <v>0</v>
      </c>
      <c r="EZ133" s="139">
        <f t="shared" si="142"/>
        <v>0</v>
      </c>
      <c r="FA133" s="139">
        <f t="shared" si="143"/>
        <v>0</v>
      </c>
      <c r="FB133" s="139">
        <f t="shared" si="144"/>
        <v>0</v>
      </c>
      <c r="FC133" s="139">
        <f t="shared" si="145"/>
        <v>0</v>
      </c>
      <c r="FD133" s="139">
        <f t="shared" si="146"/>
        <v>0</v>
      </c>
      <c r="FE133" s="139">
        <f t="shared" si="147"/>
        <v>0</v>
      </c>
      <c r="FF133" s="139">
        <f t="shared" si="148"/>
        <v>0</v>
      </c>
      <c r="FG133" s="139">
        <f t="shared" si="149"/>
        <v>0</v>
      </c>
      <c r="FH133" s="139">
        <f t="shared" si="150"/>
        <v>0</v>
      </c>
      <c r="FI133" s="139">
        <f t="shared" si="151"/>
        <v>0</v>
      </c>
      <c r="FJ133" s="139">
        <f t="shared" si="152"/>
        <v>0</v>
      </c>
      <c r="FK133" s="139">
        <f t="shared" si="153"/>
        <v>0</v>
      </c>
      <c r="FL133" s="139">
        <f t="shared" si="154"/>
        <v>0</v>
      </c>
      <c r="FM133" s="139">
        <f t="shared" si="155"/>
        <v>0</v>
      </c>
      <c r="FN133" s="139">
        <f t="shared" si="156"/>
        <v>0</v>
      </c>
      <c r="FO133" s="139">
        <f t="shared" si="157"/>
        <v>0</v>
      </c>
      <c r="FP133" s="139">
        <f t="shared" si="158"/>
        <v>0</v>
      </c>
      <c r="FQ133" s="139">
        <f t="shared" si="159"/>
        <v>0</v>
      </c>
      <c r="FR133" s="139">
        <f t="shared" si="160"/>
        <v>0</v>
      </c>
      <c r="FS133" s="139">
        <f t="shared" si="161"/>
        <v>0</v>
      </c>
      <c r="FT133" s="139">
        <f t="shared" si="162"/>
        <v>0</v>
      </c>
      <c r="FU133" s="148">
        <f t="shared" si="163"/>
        <v>0</v>
      </c>
      <c r="FV133" s="149"/>
      <c r="FY133" s="212">
        <v>128</v>
      </c>
      <c r="FZ133">
        <v>0.70373625451912492</v>
      </c>
      <c r="GA133">
        <v>22.644181583134859</v>
      </c>
      <c r="GB133">
        <v>14.752955250644536</v>
      </c>
      <c r="GC133">
        <v>3.0056251168319661</v>
      </c>
      <c r="GD133">
        <v>0.74246790129333029</v>
      </c>
      <c r="GE133">
        <v>0.35947809610506914</v>
      </c>
      <c r="GF133">
        <v>0.80138167652982462</v>
      </c>
      <c r="GG133">
        <v>3.9006838869232907</v>
      </c>
      <c r="GH133">
        <v>0</v>
      </c>
      <c r="GI133">
        <v>11.455309765014302</v>
      </c>
      <c r="GJ133"/>
      <c r="GK133"/>
      <c r="GL133"/>
      <c r="GM133"/>
    </row>
    <row r="134" spans="1:195" s="7" customFormat="1">
      <c r="A134" s="1"/>
      <c r="B134" s="76">
        <f ca="1">IF(C134="", "", RAND())</f>
        <v>0.99332487365490163</v>
      </c>
      <c r="C134">
        <v>9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14.580330882352943</v>
      </c>
      <c r="AO134">
        <v>30.773135753208056</v>
      </c>
      <c r="AP134">
        <v>776.5025812967308</v>
      </c>
      <c r="AQ134">
        <v>66.088243791715655</v>
      </c>
      <c r="AR134">
        <v>27.975577957461866</v>
      </c>
      <c r="AS134">
        <v>146.43672632481699</v>
      </c>
      <c r="AT134" t="e">
        <v>#DIV/0!</v>
      </c>
      <c r="AU134" t="e">
        <v>#DIV/0!</v>
      </c>
      <c r="AV134"/>
      <c r="AW134"/>
      <c r="AX134" s="146"/>
      <c r="AY134" s="76">
        <f t="shared" ca="1" si="87"/>
        <v>0.10292077982645065</v>
      </c>
      <c r="AZ134">
        <v>7</v>
      </c>
      <c r="BA134" s="129">
        <f t="shared" si="165"/>
        <v>39775</v>
      </c>
      <c r="BB134">
        <v>0</v>
      </c>
      <c r="BC134"/>
      <c r="BD134"/>
      <c r="BE134"/>
      <c r="BF134"/>
      <c r="BG134"/>
      <c r="BH134"/>
      <c r="BI134">
        <v>1</v>
      </c>
      <c r="BJ134"/>
      <c r="BK134">
        <v>1</v>
      </c>
      <c r="BL134"/>
      <c r="BM134"/>
      <c r="BN134"/>
      <c r="BO134"/>
      <c r="BP134">
        <v>1</v>
      </c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9"/>
        <v>0.22446713804781027</v>
      </c>
      <c r="CL134" s="179">
        <f t="shared" si="90"/>
        <v>7</v>
      </c>
      <c r="CM134" s="180">
        <f t="shared" si="91"/>
        <v>39775</v>
      </c>
      <c r="CN134">
        <v>0</v>
      </c>
      <c r="CO134"/>
      <c r="CP134"/>
      <c r="CQ134"/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0.36006202678047772</v>
      </c>
      <c r="DD134">
        <f t="shared" si="93"/>
        <v>7</v>
      </c>
      <c r="DE134" s="129">
        <f t="shared" si="164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0</v>
      </c>
      <c r="DI134" s="161">
        <f t="shared" si="97"/>
        <v>0</v>
      </c>
      <c r="DJ134" s="161">
        <f t="shared" si="98"/>
        <v>0</v>
      </c>
      <c r="DK134" s="161">
        <f t="shared" si="99"/>
        <v>0</v>
      </c>
      <c r="DL134" s="161">
        <f t="shared" si="100"/>
        <v>0</v>
      </c>
      <c r="DM134" s="161">
        <f t="shared" si="101"/>
        <v>14.204545454545453</v>
      </c>
      <c r="DN134" s="161">
        <f t="shared" si="102"/>
        <v>0</v>
      </c>
      <c r="DO134" s="161">
        <f t="shared" si="103"/>
        <v>14.204545454545453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14.204545454545453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1"/>
        <v>42.61363636363636</v>
      </c>
      <c r="EL134" s="149"/>
      <c r="EN134" s="146"/>
      <c r="EO134" s="146"/>
      <c r="EP134" s="139">
        <f t="shared" si="132"/>
        <v>0</v>
      </c>
      <c r="EQ134" s="139">
        <f t="shared" si="133"/>
        <v>0</v>
      </c>
      <c r="ER134" s="139">
        <f t="shared" si="134"/>
        <v>0</v>
      </c>
      <c r="ES134" s="139">
        <f t="shared" si="135"/>
        <v>0</v>
      </c>
      <c r="ET134" s="139">
        <f t="shared" si="136"/>
        <v>0</v>
      </c>
      <c r="EU134" s="139">
        <f t="shared" si="137"/>
        <v>0</v>
      </c>
      <c r="EV134" s="139">
        <f t="shared" si="138"/>
        <v>0</v>
      </c>
      <c r="EW134" s="139">
        <f t="shared" si="139"/>
        <v>15.754544122808424</v>
      </c>
      <c r="EX134" s="139">
        <f t="shared" si="140"/>
        <v>0</v>
      </c>
      <c r="EY134" s="139">
        <f t="shared" si="141"/>
        <v>32.03537576529429</v>
      </c>
      <c r="EZ134" s="139">
        <f t="shared" si="142"/>
        <v>0</v>
      </c>
      <c r="FA134" s="139">
        <f t="shared" si="143"/>
        <v>0</v>
      </c>
      <c r="FB134" s="139">
        <f t="shared" si="144"/>
        <v>0</v>
      </c>
      <c r="FC134" s="139">
        <f t="shared" si="145"/>
        <v>0</v>
      </c>
      <c r="FD134" s="139">
        <f t="shared" si="146"/>
        <v>111.5615523163073</v>
      </c>
      <c r="FE134" s="139">
        <f t="shared" si="147"/>
        <v>0</v>
      </c>
      <c r="FF134" s="139">
        <f t="shared" si="148"/>
        <v>0</v>
      </c>
      <c r="FG134" s="139">
        <f t="shared" si="149"/>
        <v>0</v>
      </c>
      <c r="FH134" s="139">
        <f t="shared" si="150"/>
        <v>0</v>
      </c>
      <c r="FI134" s="139">
        <f t="shared" si="151"/>
        <v>0</v>
      </c>
      <c r="FJ134" s="139">
        <f t="shared" si="152"/>
        <v>0</v>
      </c>
      <c r="FK134" s="139">
        <f t="shared" si="153"/>
        <v>0</v>
      </c>
      <c r="FL134" s="139">
        <f t="shared" si="154"/>
        <v>0</v>
      </c>
      <c r="FM134" s="139">
        <f t="shared" si="155"/>
        <v>0</v>
      </c>
      <c r="FN134" s="139">
        <f t="shared" si="156"/>
        <v>0</v>
      </c>
      <c r="FO134" s="139">
        <f t="shared" si="157"/>
        <v>0</v>
      </c>
      <c r="FP134" s="139">
        <f t="shared" si="158"/>
        <v>0</v>
      </c>
      <c r="FQ134" s="139">
        <f t="shared" si="159"/>
        <v>0</v>
      </c>
      <c r="FR134" s="139">
        <f t="shared" si="160"/>
        <v>0</v>
      </c>
      <c r="FS134" s="139">
        <f t="shared" si="161"/>
        <v>0</v>
      </c>
      <c r="FT134" s="139">
        <f t="shared" si="162"/>
        <v>0</v>
      </c>
      <c r="FU134" s="148">
        <f t="shared" si="163"/>
        <v>159.35147220441002</v>
      </c>
      <c r="FV134" s="149"/>
      <c r="FY134" s="212">
        <v>129</v>
      </c>
      <c r="FZ134">
        <v>1.6521932280012464</v>
      </c>
      <c r="GA134">
        <v>18.753709653755571</v>
      </c>
      <c r="GB134">
        <v>20.796703626220229</v>
      </c>
      <c r="GC134">
        <v>7.0085119096576154</v>
      </c>
      <c r="GD134">
        <v>0.49182784977434785</v>
      </c>
      <c r="GE134">
        <v>0</v>
      </c>
      <c r="GF134">
        <v>0</v>
      </c>
      <c r="GG134">
        <v>1.1563795126316943</v>
      </c>
      <c r="GH134">
        <v>0</v>
      </c>
      <c r="GI134">
        <v>7.2844351351098151</v>
      </c>
      <c r="GJ134"/>
      <c r="GK134"/>
      <c r="GL134"/>
      <c r="GM134"/>
    </row>
    <row r="135" spans="1:195" s="7" customFormat="1">
      <c r="A135" s="1"/>
      <c r="B135" s="76">
        <f ca="1">IF(C135="", "", RAND())</f>
        <v>0.69832195843730016</v>
      </c>
      <c r="C135">
        <v>8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34.722222222222221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34.722222222222221</v>
      </c>
      <c r="S135">
        <v>34.722222222222221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8.0031250000000007</v>
      </c>
      <c r="AO135">
        <v>32.532924751673974</v>
      </c>
      <c r="AP135">
        <v>585.51159613629932</v>
      </c>
      <c r="AQ135">
        <v>49.239498456484512</v>
      </c>
      <c r="AR135">
        <v>29.609366409986226</v>
      </c>
      <c r="AS135">
        <v>158.55318663874883</v>
      </c>
      <c r="AT135" t="e">
        <v>#DIV/0!</v>
      </c>
      <c r="AU135" t="e">
        <v>#DIV/0!</v>
      </c>
      <c r="AV135"/>
      <c r="AW135"/>
      <c r="AX135" s="146"/>
      <c r="AY135" s="76">
        <f t="shared" ca="1" si="87"/>
        <v>0.60477190078563359</v>
      </c>
      <c r="AZ135">
        <v>8</v>
      </c>
      <c r="BA135" s="129">
        <f t="shared" si="165"/>
        <v>39775</v>
      </c>
      <c r="BB135">
        <v>0</v>
      </c>
      <c r="BC135"/>
      <c r="BD135"/>
      <c r="BE135"/>
      <c r="BF135">
        <v>1</v>
      </c>
      <c r="BG135"/>
      <c r="BH135"/>
      <c r="BI135"/>
      <c r="BJ135"/>
      <c r="BK135"/>
      <c r="BL135"/>
      <c r="BM135"/>
      <c r="BN135"/>
      <c r="BO135">
        <v>1</v>
      </c>
      <c r="BP135">
        <v>1</v>
      </c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9"/>
        <v>0.33167631226723593</v>
      </c>
      <c r="CL135" s="179">
        <f t="shared" si="90"/>
        <v>8</v>
      </c>
      <c r="CM135" s="180">
        <f t="shared" si="91"/>
        <v>39775</v>
      </c>
      <c r="CN135">
        <v>0</v>
      </c>
      <c r="CO135"/>
      <c r="CP135"/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0.35255525144034028</v>
      </c>
      <c r="DD135">
        <f t="shared" si="93"/>
        <v>8</v>
      </c>
      <c r="DE135" s="129">
        <f t="shared" si="164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0</v>
      </c>
      <c r="DI135" s="161">
        <f t="shared" si="97"/>
        <v>0</v>
      </c>
      <c r="DJ135" s="161">
        <f t="shared" si="98"/>
        <v>34.722222222222221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34.722222222222221</v>
      </c>
      <c r="DT135" s="161">
        <f t="shared" si="108"/>
        <v>34.722222222222221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1"/>
        <v>104.16666666666666</v>
      </c>
      <c r="EL135" s="149"/>
      <c r="EN135" s="146"/>
      <c r="EO135" s="146"/>
      <c r="EP135" s="139">
        <f t="shared" si="132"/>
        <v>0</v>
      </c>
      <c r="EQ135" s="139">
        <f t="shared" si="133"/>
        <v>0</v>
      </c>
      <c r="ER135" s="139">
        <f t="shared" si="134"/>
        <v>0</v>
      </c>
      <c r="ES135" s="139">
        <f t="shared" si="135"/>
        <v>0</v>
      </c>
      <c r="ET135" s="139">
        <f t="shared" si="136"/>
        <v>7.9295138633852922</v>
      </c>
      <c r="EU135" s="139">
        <f t="shared" si="137"/>
        <v>0</v>
      </c>
      <c r="EV135" s="139">
        <f t="shared" si="138"/>
        <v>0</v>
      </c>
      <c r="EW135" s="139">
        <f t="shared" si="139"/>
        <v>0</v>
      </c>
      <c r="EX135" s="139">
        <f t="shared" si="140"/>
        <v>0</v>
      </c>
      <c r="EY135" s="139">
        <f t="shared" si="141"/>
        <v>0</v>
      </c>
      <c r="EZ135" s="139">
        <f t="shared" si="142"/>
        <v>0</v>
      </c>
      <c r="FA135" s="139">
        <f t="shared" si="143"/>
        <v>0</v>
      </c>
      <c r="FB135" s="139">
        <f t="shared" si="144"/>
        <v>0</v>
      </c>
      <c r="FC135" s="139">
        <f t="shared" si="145"/>
        <v>221.21021310744354</v>
      </c>
      <c r="FD135" s="139">
        <f t="shared" si="146"/>
        <v>272.70601677319564</v>
      </c>
      <c r="FE135" s="139">
        <f t="shared" si="147"/>
        <v>0</v>
      </c>
      <c r="FF135" s="139">
        <f t="shared" si="148"/>
        <v>0</v>
      </c>
      <c r="FG135" s="139">
        <f t="shared" si="149"/>
        <v>0</v>
      </c>
      <c r="FH135" s="139">
        <f t="shared" si="150"/>
        <v>0</v>
      </c>
      <c r="FI135" s="139">
        <f t="shared" si="151"/>
        <v>0</v>
      </c>
      <c r="FJ135" s="139">
        <f t="shared" si="152"/>
        <v>0</v>
      </c>
      <c r="FK135" s="139">
        <f t="shared" si="153"/>
        <v>0</v>
      </c>
      <c r="FL135" s="139">
        <f t="shared" si="154"/>
        <v>0</v>
      </c>
      <c r="FM135" s="139">
        <f t="shared" si="155"/>
        <v>0</v>
      </c>
      <c r="FN135" s="139">
        <f t="shared" si="156"/>
        <v>0</v>
      </c>
      <c r="FO135" s="139">
        <f t="shared" si="157"/>
        <v>0</v>
      </c>
      <c r="FP135" s="139">
        <f t="shared" si="158"/>
        <v>0</v>
      </c>
      <c r="FQ135" s="139">
        <f t="shared" si="159"/>
        <v>0</v>
      </c>
      <c r="FR135" s="139">
        <f t="shared" si="160"/>
        <v>0</v>
      </c>
      <c r="FS135" s="139">
        <f t="shared" si="161"/>
        <v>0</v>
      </c>
      <c r="FT135" s="139">
        <f t="shared" si="162"/>
        <v>0</v>
      </c>
      <c r="FU135" s="148">
        <f t="shared" si="163"/>
        <v>501.8457437440245</v>
      </c>
      <c r="FV135" s="149"/>
      <c r="FY135" s="212">
        <v>130</v>
      </c>
      <c r="FZ135">
        <v>0.74064316864268975</v>
      </c>
      <c r="GA135">
        <v>8.6385018682517725</v>
      </c>
      <c r="GB135">
        <v>11.857714536767325</v>
      </c>
      <c r="GC135">
        <v>5.0711711321583364</v>
      </c>
      <c r="GD135">
        <v>0.85129678939088582</v>
      </c>
      <c r="GE135">
        <v>0</v>
      </c>
      <c r="GF135">
        <v>0</v>
      </c>
      <c r="GG135">
        <v>2.4948221584469064</v>
      </c>
      <c r="GH135">
        <v>4.8688803855936991</v>
      </c>
      <c r="GI135">
        <v>5.7962778466860687</v>
      </c>
      <c r="GJ135"/>
      <c r="GK135"/>
      <c r="GL135"/>
      <c r="GM135"/>
    </row>
    <row r="136" spans="1:195" s="7" customFormat="1">
      <c r="A136" s="1"/>
      <c r="B136" s="76">
        <f ca="1">IF(C136="", "", RAND())</f>
        <v>0.2505228732698459</v>
      </c>
      <c r="C136">
        <v>10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10.416666666666666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11.922303921568624</v>
      </c>
      <c r="AO136">
        <v>28.234376396003334</v>
      </c>
      <c r="AP136">
        <v>768.98075277739918</v>
      </c>
      <c r="AQ136">
        <v>67.871152411815459</v>
      </c>
      <c r="AR136">
        <v>25.667614905457572</v>
      </c>
      <c r="AS136">
        <v>144.17981486290401</v>
      </c>
      <c r="AT136" t="e">
        <v>#DIV/0!</v>
      </c>
      <c r="AU136" t="e">
        <v>#DIV/0!</v>
      </c>
      <c r="AV136"/>
      <c r="AW136"/>
      <c r="AX136" s="146"/>
      <c r="AY136" s="76">
        <f t="shared" ca="1" si="87"/>
        <v>0.18084234414942291</v>
      </c>
      <c r="AZ136">
        <v>9</v>
      </c>
      <c r="BA136" s="129">
        <f t="shared" si="165"/>
        <v>39775</v>
      </c>
      <c r="BB136">
        <v>0</v>
      </c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9"/>
        <v>0.52690331788970224</v>
      </c>
      <c r="CL136" s="179">
        <f t="shared" si="90"/>
        <v>9</v>
      </c>
      <c r="CM136" s="180">
        <f t="shared" si="91"/>
        <v>39775</v>
      </c>
      <c r="CN136">
        <v>0</v>
      </c>
      <c r="CO136"/>
      <c r="CP136"/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0.42408059027048872</v>
      </c>
      <c r="DD136">
        <f t="shared" si="93"/>
        <v>9</v>
      </c>
      <c r="DE136" s="129">
        <f t="shared" si="164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0</v>
      </c>
      <c r="DI136" s="161">
        <f t="shared" si="97"/>
        <v>0</v>
      </c>
      <c r="DJ136" s="161">
        <f t="shared" si="98"/>
        <v>0</v>
      </c>
      <c r="DK136" s="161">
        <f t="shared" si="99"/>
        <v>0</v>
      </c>
      <c r="DL136" s="161">
        <f t="shared" si="100"/>
        <v>0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1"/>
        <v>0</v>
      </c>
      <c r="EL136" s="149"/>
      <c r="EN136" s="146"/>
      <c r="EO136" s="146"/>
      <c r="EP136" s="139">
        <f t="shared" si="132"/>
        <v>0</v>
      </c>
      <c r="EQ136" s="139">
        <f t="shared" si="133"/>
        <v>0</v>
      </c>
      <c r="ER136" s="139">
        <f t="shared" si="134"/>
        <v>0</v>
      </c>
      <c r="ES136" s="139">
        <f t="shared" si="135"/>
        <v>0</v>
      </c>
      <c r="ET136" s="139">
        <f t="shared" si="136"/>
        <v>0</v>
      </c>
      <c r="EU136" s="139">
        <f t="shared" si="137"/>
        <v>0</v>
      </c>
      <c r="EV136" s="139">
        <f t="shared" si="138"/>
        <v>0</v>
      </c>
      <c r="EW136" s="139">
        <f t="shared" si="139"/>
        <v>0</v>
      </c>
      <c r="EX136" s="139">
        <f t="shared" si="140"/>
        <v>0</v>
      </c>
      <c r="EY136" s="139">
        <f t="shared" si="141"/>
        <v>0</v>
      </c>
      <c r="EZ136" s="139">
        <f t="shared" si="142"/>
        <v>0</v>
      </c>
      <c r="FA136" s="139">
        <f t="shared" si="143"/>
        <v>0</v>
      </c>
      <c r="FB136" s="139">
        <f t="shared" si="144"/>
        <v>0</v>
      </c>
      <c r="FC136" s="139">
        <f t="shared" si="145"/>
        <v>0</v>
      </c>
      <c r="FD136" s="139">
        <f t="shared" si="146"/>
        <v>0</v>
      </c>
      <c r="FE136" s="139">
        <f t="shared" si="147"/>
        <v>0</v>
      </c>
      <c r="FF136" s="139">
        <f t="shared" si="148"/>
        <v>0</v>
      </c>
      <c r="FG136" s="139">
        <f t="shared" si="149"/>
        <v>0</v>
      </c>
      <c r="FH136" s="139">
        <f t="shared" si="150"/>
        <v>0</v>
      </c>
      <c r="FI136" s="139">
        <f t="shared" si="151"/>
        <v>0</v>
      </c>
      <c r="FJ136" s="139">
        <f t="shared" si="152"/>
        <v>0</v>
      </c>
      <c r="FK136" s="139">
        <f t="shared" si="153"/>
        <v>0</v>
      </c>
      <c r="FL136" s="139">
        <f t="shared" si="154"/>
        <v>0</v>
      </c>
      <c r="FM136" s="139">
        <f t="shared" si="155"/>
        <v>0</v>
      </c>
      <c r="FN136" s="139">
        <f t="shared" si="156"/>
        <v>0</v>
      </c>
      <c r="FO136" s="139">
        <f t="shared" si="157"/>
        <v>0</v>
      </c>
      <c r="FP136" s="139">
        <f t="shared" si="158"/>
        <v>0</v>
      </c>
      <c r="FQ136" s="139">
        <f t="shared" si="159"/>
        <v>0</v>
      </c>
      <c r="FR136" s="139">
        <f t="shared" si="160"/>
        <v>0</v>
      </c>
      <c r="FS136" s="139">
        <f t="shared" si="161"/>
        <v>0</v>
      </c>
      <c r="FT136" s="139">
        <f t="shared" si="162"/>
        <v>0</v>
      </c>
      <c r="FU136" s="148">
        <f t="shared" si="163"/>
        <v>0</v>
      </c>
      <c r="FV136" s="149"/>
      <c r="FY136" s="212">
        <v>131</v>
      </c>
      <c r="FZ136">
        <v>2.20513128346016</v>
      </c>
      <c r="GA136">
        <v>10.941661870180177</v>
      </c>
      <c r="GB136">
        <v>12.325836057068969</v>
      </c>
      <c r="GC136">
        <v>6.2599945554639325</v>
      </c>
      <c r="GD136">
        <v>1.6740724435166563</v>
      </c>
      <c r="GE136">
        <v>0</v>
      </c>
      <c r="GF136">
        <v>2.4041450295894737</v>
      </c>
      <c r="GG136">
        <v>9.6427102653396055</v>
      </c>
      <c r="GH136">
        <v>1.6229601285312325</v>
      </c>
      <c r="GI136">
        <v>12.525175078432373</v>
      </c>
      <c r="GJ136"/>
      <c r="GK136"/>
      <c r="GL136"/>
      <c r="GM136"/>
    </row>
    <row r="137" spans="1:195" s="7" customFormat="1">
      <c r="A137" s="1"/>
      <c r="B137" s="76">
        <f ca="1">IF(C137="", "", RAND())</f>
        <v>0.54931584342103301</v>
      </c>
      <c r="C137">
        <v>5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11.776470588235293</v>
      </c>
      <c r="AO137">
        <v>41.998156175812447</v>
      </c>
      <c r="AP137">
        <v>650.33624904075987</v>
      </c>
      <c r="AQ137">
        <v>63.341007489039441</v>
      </c>
      <c r="AR137">
        <v>38.180141978011306</v>
      </c>
      <c r="AS137">
        <v>176.0817062605708</v>
      </c>
      <c r="AT137" t="e">
        <v>#DIV/0!</v>
      </c>
      <c r="AU137" t="e">
        <v>#DIV/0!</v>
      </c>
      <c r="AV137"/>
      <c r="AW137"/>
      <c r="AX137" s="146"/>
      <c r="AY137" s="76">
        <f t="shared" ca="1" si="87"/>
        <v>0.5499743403051145</v>
      </c>
      <c r="AZ137">
        <v>10</v>
      </c>
      <c r="BA137" s="129">
        <f t="shared" si="165"/>
        <v>39775</v>
      </c>
      <c r="BB137">
        <v>0</v>
      </c>
      <c r="BC137"/>
      <c r="BD137"/>
      <c r="BE137"/>
      <c r="BF137"/>
      <c r="BG137"/>
      <c r="BH137"/>
      <c r="BI137">
        <v>1</v>
      </c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9"/>
        <v>0.62452171921550748</v>
      </c>
      <c r="CL137" s="179">
        <f t="shared" si="90"/>
        <v>10</v>
      </c>
      <c r="CM137" s="180">
        <f t="shared" si="91"/>
        <v>39775</v>
      </c>
      <c r="CN137">
        <v>0</v>
      </c>
      <c r="CO137"/>
      <c r="CP137"/>
      <c r="CQ137"/>
      <c r="CR137"/>
      <c r="CS137"/>
      <c r="CT137"/>
      <c r="CU137"/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0.38334257222842449</v>
      </c>
      <c r="DD137">
        <f t="shared" si="93"/>
        <v>10</v>
      </c>
      <c r="DE137" s="129">
        <f t="shared" si="164"/>
        <v>39775</v>
      </c>
      <c r="DF137" s="161">
        <f t="shared" si="94"/>
        <v>0</v>
      </c>
      <c r="DG137" s="161">
        <f t="shared" si="95"/>
        <v>0</v>
      </c>
      <c r="DH137" s="161">
        <f t="shared" si="96"/>
        <v>0</v>
      </c>
      <c r="DI137" s="161">
        <f t="shared" si="97"/>
        <v>0</v>
      </c>
      <c r="DJ137" s="161">
        <f t="shared" si="98"/>
        <v>0</v>
      </c>
      <c r="DK137" s="161">
        <f t="shared" si="99"/>
        <v>0</v>
      </c>
      <c r="DL137" s="161">
        <f t="shared" si="100"/>
        <v>0</v>
      </c>
      <c r="DM137" s="161">
        <f t="shared" si="101"/>
        <v>10.416666666666666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1"/>
        <v>10.416666666666666</v>
      </c>
      <c r="EL137" s="149"/>
      <c r="EN137" s="146"/>
      <c r="EO137" s="146"/>
      <c r="EP137" s="139">
        <f t="shared" si="132"/>
        <v>0</v>
      </c>
      <c r="EQ137" s="139">
        <f t="shared" si="133"/>
        <v>0</v>
      </c>
      <c r="ER137" s="139">
        <f t="shared" si="134"/>
        <v>0</v>
      </c>
      <c r="ES137" s="139">
        <f t="shared" si="135"/>
        <v>0</v>
      </c>
      <c r="ET137" s="139">
        <f t="shared" si="136"/>
        <v>0</v>
      </c>
      <c r="EU137" s="139">
        <f t="shared" si="137"/>
        <v>0</v>
      </c>
      <c r="EV137" s="139">
        <f t="shared" si="138"/>
        <v>0</v>
      </c>
      <c r="EW137" s="139">
        <f t="shared" si="139"/>
        <v>11.553332356726177</v>
      </c>
      <c r="EX137" s="139">
        <f t="shared" si="140"/>
        <v>0</v>
      </c>
      <c r="EY137" s="139">
        <f t="shared" si="141"/>
        <v>0</v>
      </c>
      <c r="EZ137" s="139">
        <f t="shared" si="142"/>
        <v>0</v>
      </c>
      <c r="FA137" s="139">
        <f t="shared" si="143"/>
        <v>0</v>
      </c>
      <c r="FB137" s="139">
        <f t="shared" si="144"/>
        <v>0</v>
      </c>
      <c r="FC137" s="139">
        <f t="shared" si="145"/>
        <v>0</v>
      </c>
      <c r="FD137" s="139">
        <f t="shared" si="146"/>
        <v>0</v>
      </c>
      <c r="FE137" s="139">
        <f t="shared" si="147"/>
        <v>0</v>
      </c>
      <c r="FF137" s="139">
        <f t="shared" si="148"/>
        <v>0</v>
      </c>
      <c r="FG137" s="139">
        <f t="shared" si="149"/>
        <v>0</v>
      </c>
      <c r="FH137" s="139">
        <f t="shared" si="150"/>
        <v>0</v>
      </c>
      <c r="FI137" s="139">
        <f t="shared" si="151"/>
        <v>0</v>
      </c>
      <c r="FJ137" s="139">
        <f t="shared" si="152"/>
        <v>0</v>
      </c>
      <c r="FK137" s="139">
        <f t="shared" si="153"/>
        <v>0</v>
      </c>
      <c r="FL137" s="139">
        <f t="shared" si="154"/>
        <v>0</v>
      </c>
      <c r="FM137" s="139">
        <f t="shared" si="155"/>
        <v>0</v>
      </c>
      <c r="FN137" s="139">
        <f t="shared" si="156"/>
        <v>0</v>
      </c>
      <c r="FO137" s="139">
        <f t="shared" si="157"/>
        <v>0</v>
      </c>
      <c r="FP137" s="139">
        <f t="shared" si="158"/>
        <v>0</v>
      </c>
      <c r="FQ137" s="139">
        <f t="shared" si="159"/>
        <v>0</v>
      </c>
      <c r="FR137" s="139">
        <f t="shared" si="160"/>
        <v>0</v>
      </c>
      <c r="FS137" s="139">
        <f t="shared" si="161"/>
        <v>0</v>
      </c>
      <c r="FT137" s="139">
        <f t="shared" si="162"/>
        <v>0</v>
      </c>
      <c r="FU137" s="148">
        <f t="shared" si="163"/>
        <v>11.553332356726177</v>
      </c>
      <c r="FV137" s="149"/>
      <c r="FY137" s="212">
        <v>132</v>
      </c>
      <c r="FZ137">
        <v>1.6521932280012464</v>
      </c>
      <c r="GA137">
        <v>18.943056173395206</v>
      </c>
      <c r="GB137">
        <v>16.802604108980525</v>
      </c>
      <c r="GC137">
        <v>5.8178466923988195</v>
      </c>
      <c r="GD137">
        <v>1.0720971495016649</v>
      </c>
      <c r="GE137">
        <v>0</v>
      </c>
      <c r="GF137">
        <v>0.80138167652982462</v>
      </c>
      <c r="GG137">
        <v>3.3224941306074438</v>
      </c>
      <c r="GH137">
        <v>0</v>
      </c>
      <c r="GI137">
        <v>12.185645766199769</v>
      </c>
      <c r="GJ137"/>
      <c r="GK137"/>
      <c r="GL137"/>
      <c r="GM137"/>
    </row>
    <row r="138" spans="1:195" s="7" customFormat="1">
      <c r="A138" s="128"/>
      <c r="B138" s="76">
        <f ca="1">IF(C138="", "", RAND())</f>
        <v>0.76839488775400877</v>
      </c>
      <c r="C138">
        <v>7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9.3590686274509807</v>
      </c>
      <c r="AO138">
        <v>32.356259667068095</v>
      </c>
      <c r="AP138">
        <v>354.89335369220817</v>
      </c>
      <c r="AQ138">
        <v>49.145851652825506</v>
      </c>
      <c r="AR138">
        <v>29.516722331818819</v>
      </c>
      <c r="AS138">
        <v>204.21315828417622</v>
      </c>
      <c r="AT138" t="e">
        <v>#DIV/0!</v>
      </c>
      <c r="AU138" t="e">
        <v>#DIV/0!</v>
      </c>
      <c r="AV138"/>
      <c r="AW138"/>
      <c r="AX138" s="128"/>
      <c r="AY138" s="76">
        <f t="shared" ca="1" si="87"/>
        <v>0.17208249442374557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9"/>
        <v>0.13044679496222233</v>
      </c>
      <c r="CL138" s="179">
        <f t="shared" si="90"/>
        <v>1</v>
      </c>
      <c r="CM138" s="180">
        <f t="shared" si="91"/>
        <v>39799</v>
      </c>
      <c r="CN138">
        <v>0</v>
      </c>
      <c r="CO138"/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0.79543632372048312</v>
      </c>
      <c r="DD138">
        <f t="shared" si="93"/>
        <v>1</v>
      </c>
      <c r="DE138" s="129">
        <f t="shared" ref="DE138:DE147" si="166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0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1"/>
        <v>0</v>
      </c>
      <c r="EL138" s="149"/>
      <c r="EN138" s="146"/>
      <c r="EO138" s="146"/>
      <c r="EP138" s="139">
        <f t="shared" si="132"/>
        <v>0</v>
      </c>
      <c r="EQ138" s="139">
        <f t="shared" si="133"/>
        <v>0</v>
      </c>
      <c r="ER138" s="139">
        <f t="shared" si="134"/>
        <v>0</v>
      </c>
      <c r="ES138" s="139">
        <f t="shared" si="135"/>
        <v>0</v>
      </c>
      <c r="ET138" s="139">
        <f t="shared" si="136"/>
        <v>0</v>
      </c>
      <c r="EU138" s="139">
        <f t="shared" si="137"/>
        <v>0</v>
      </c>
      <c r="EV138" s="139">
        <f t="shared" si="138"/>
        <v>0</v>
      </c>
      <c r="EW138" s="139">
        <f t="shared" si="139"/>
        <v>0</v>
      </c>
      <c r="EX138" s="139">
        <f t="shared" si="140"/>
        <v>0</v>
      </c>
      <c r="EY138" s="139">
        <f t="shared" si="141"/>
        <v>0</v>
      </c>
      <c r="EZ138" s="139">
        <f t="shared" si="142"/>
        <v>0</v>
      </c>
      <c r="FA138" s="139">
        <f t="shared" si="143"/>
        <v>0</v>
      </c>
      <c r="FB138" s="139">
        <f t="shared" si="144"/>
        <v>0</v>
      </c>
      <c r="FC138" s="139">
        <f t="shared" si="145"/>
        <v>0</v>
      </c>
      <c r="FD138" s="139">
        <f t="shared" si="146"/>
        <v>0</v>
      </c>
      <c r="FE138" s="139">
        <f t="shared" si="147"/>
        <v>0</v>
      </c>
      <c r="FF138" s="139">
        <f t="shared" si="148"/>
        <v>0</v>
      </c>
      <c r="FG138" s="139">
        <f t="shared" si="149"/>
        <v>0</v>
      </c>
      <c r="FH138" s="139">
        <f t="shared" si="150"/>
        <v>0</v>
      </c>
      <c r="FI138" s="139">
        <f t="shared" si="151"/>
        <v>0</v>
      </c>
      <c r="FJ138" s="139">
        <f t="shared" si="152"/>
        <v>0</v>
      </c>
      <c r="FK138" s="139">
        <f t="shared" si="153"/>
        <v>0</v>
      </c>
      <c r="FL138" s="139">
        <f t="shared" si="154"/>
        <v>0</v>
      </c>
      <c r="FM138" s="139">
        <f t="shared" si="155"/>
        <v>0</v>
      </c>
      <c r="FN138" s="139">
        <f t="shared" si="156"/>
        <v>0</v>
      </c>
      <c r="FO138" s="139">
        <f t="shared" si="157"/>
        <v>0</v>
      </c>
      <c r="FP138" s="139">
        <f t="shared" si="158"/>
        <v>0</v>
      </c>
      <c r="FQ138" s="139">
        <f t="shared" si="159"/>
        <v>0</v>
      </c>
      <c r="FR138" s="139">
        <f t="shared" si="160"/>
        <v>0</v>
      </c>
      <c r="FS138" s="139">
        <f t="shared" si="161"/>
        <v>0</v>
      </c>
      <c r="FT138" s="139">
        <f t="shared" si="162"/>
        <v>0</v>
      </c>
      <c r="FU138" s="148">
        <f t="shared" si="163"/>
        <v>0</v>
      </c>
      <c r="FV138" s="149"/>
      <c r="FY138" s="212">
        <v>133</v>
      </c>
      <c r="FZ138">
        <v>2.0141157010886368</v>
      </c>
      <c r="GA138">
        <v>23.152014483683239</v>
      </c>
      <c r="GB138">
        <v>15.647958304434788</v>
      </c>
      <c r="GC138">
        <v>3.392511097217664</v>
      </c>
      <c r="GD138">
        <v>0.80471727828629591</v>
      </c>
      <c r="GE138">
        <v>1.0784342883152076</v>
      </c>
      <c r="GF138">
        <v>0</v>
      </c>
      <c r="GG138">
        <v>1.1563795126316943</v>
      </c>
      <c r="GH138">
        <v>0</v>
      </c>
      <c r="GI138">
        <v>10.304431339840987</v>
      </c>
      <c r="GJ138"/>
      <c r="GK138"/>
      <c r="GL138"/>
      <c r="GM138"/>
    </row>
    <row r="139" spans="1:195" s="7" customFormat="1">
      <c r="A139" s="1"/>
      <c r="B139" s="76">
        <f ca="1">IF(C139="", "", RAND())</f>
        <v>0.36677220685098177</v>
      </c>
      <c r="C139">
        <v>5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8.8322916666666664</v>
      </c>
      <c r="AO139">
        <v>37.919276452621446</v>
      </c>
      <c r="AP139">
        <v>954.07110335840719</v>
      </c>
      <c r="AQ139">
        <v>69.101933753909989</v>
      </c>
      <c r="AR139">
        <v>34.506049774483913</v>
      </c>
      <c r="AS139">
        <v>177.50699150706473</v>
      </c>
      <c r="AT139" t="e">
        <v>#DIV/0!</v>
      </c>
      <c r="AU139" t="e">
        <v>#DIV/0!</v>
      </c>
      <c r="AV139"/>
      <c r="AW139"/>
      <c r="AX139" s="146"/>
      <c r="AY139" s="76">
        <f t="shared" ca="1" si="87"/>
        <v>0.78026175313448154</v>
      </c>
      <c r="AZ139">
        <v>2</v>
      </c>
      <c r="BA139" s="129">
        <f t="shared" ref="BA139:BA147" si="167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9"/>
        <v>0.38130756965856882</v>
      </c>
      <c r="CL139" s="179">
        <f t="shared" si="90"/>
        <v>2</v>
      </c>
      <c r="CM139" s="180">
        <f t="shared" si="91"/>
        <v>39799</v>
      </c>
      <c r="CN139">
        <v>0</v>
      </c>
      <c r="CO139"/>
      <c r="CP139"/>
      <c r="CQ139"/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0.74158352841800945</v>
      </c>
      <c r="DD139">
        <f t="shared" si="93"/>
        <v>2</v>
      </c>
      <c r="DE139" s="129">
        <f t="shared" si="166"/>
        <v>39799</v>
      </c>
      <c r="DF139" s="161">
        <f t="shared" si="94"/>
        <v>0</v>
      </c>
      <c r="DG139" s="161">
        <f t="shared" si="95"/>
        <v>0</v>
      </c>
      <c r="DH139" s="161">
        <f t="shared" si="96"/>
        <v>0</v>
      </c>
      <c r="DI139" s="161">
        <f t="shared" si="97"/>
        <v>0</v>
      </c>
      <c r="DJ139" s="161">
        <f t="shared" si="98"/>
        <v>0</v>
      </c>
      <c r="DK139" s="161">
        <f t="shared" si="99"/>
        <v>0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1"/>
        <v>0</v>
      </c>
      <c r="EL139" s="149"/>
      <c r="EN139" s="146"/>
      <c r="EO139" s="146"/>
      <c r="EP139" s="139">
        <f t="shared" si="132"/>
        <v>0</v>
      </c>
      <c r="EQ139" s="139">
        <f t="shared" si="133"/>
        <v>0</v>
      </c>
      <c r="ER139" s="139">
        <f t="shared" si="134"/>
        <v>0</v>
      </c>
      <c r="ES139" s="139">
        <f t="shared" si="135"/>
        <v>0</v>
      </c>
      <c r="ET139" s="139">
        <f t="shared" si="136"/>
        <v>0</v>
      </c>
      <c r="EU139" s="139">
        <f t="shared" si="137"/>
        <v>0</v>
      </c>
      <c r="EV139" s="139">
        <f t="shared" si="138"/>
        <v>0</v>
      </c>
      <c r="EW139" s="139">
        <f t="shared" si="139"/>
        <v>0</v>
      </c>
      <c r="EX139" s="139">
        <f t="shared" si="140"/>
        <v>0</v>
      </c>
      <c r="EY139" s="139">
        <f t="shared" si="141"/>
        <v>0</v>
      </c>
      <c r="EZ139" s="139">
        <f t="shared" si="142"/>
        <v>0</v>
      </c>
      <c r="FA139" s="139">
        <f t="shared" si="143"/>
        <v>0</v>
      </c>
      <c r="FB139" s="139">
        <f t="shared" si="144"/>
        <v>0</v>
      </c>
      <c r="FC139" s="139">
        <f t="shared" si="145"/>
        <v>0</v>
      </c>
      <c r="FD139" s="139">
        <f t="shared" si="146"/>
        <v>0</v>
      </c>
      <c r="FE139" s="139">
        <f t="shared" si="147"/>
        <v>0</v>
      </c>
      <c r="FF139" s="139">
        <f t="shared" si="148"/>
        <v>0</v>
      </c>
      <c r="FG139" s="139">
        <f t="shared" si="149"/>
        <v>0</v>
      </c>
      <c r="FH139" s="139">
        <f t="shared" si="150"/>
        <v>0</v>
      </c>
      <c r="FI139" s="139">
        <f t="shared" si="151"/>
        <v>0</v>
      </c>
      <c r="FJ139" s="139">
        <f t="shared" si="152"/>
        <v>0</v>
      </c>
      <c r="FK139" s="139">
        <f t="shared" si="153"/>
        <v>0</v>
      </c>
      <c r="FL139" s="139">
        <f t="shared" si="154"/>
        <v>0</v>
      </c>
      <c r="FM139" s="139">
        <f t="shared" si="155"/>
        <v>0</v>
      </c>
      <c r="FN139" s="139">
        <f t="shared" si="156"/>
        <v>0</v>
      </c>
      <c r="FO139" s="139">
        <f t="shared" si="157"/>
        <v>0</v>
      </c>
      <c r="FP139" s="139">
        <f t="shared" si="158"/>
        <v>0</v>
      </c>
      <c r="FQ139" s="139">
        <f t="shared" si="159"/>
        <v>0</v>
      </c>
      <c r="FR139" s="139">
        <f t="shared" si="160"/>
        <v>0</v>
      </c>
      <c r="FS139" s="139">
        <f t="shared" si="161"/>
        <v>0</v>
      </c>
      <c r="FT139" s="139">
        <f t="shared" si="162"/>
        <v>0</v>
      </c>
      <c r="FU139" s="148">
        <f t="shared" si="163"/>
        <v>0</v>
      </c>
      <c r="FV139" s="149"/>
      <c r="FY139" s="212">
        <v>134</v>
      </c>
      <c r="FZ139">
        <v>2.3592399517081173</v>
      </c>
      <c r="GA139">
        <v>21.64054382436564</v>
      </c>
      <c r="GB139">
        <v>12.93641023501033</v>
      </c>
      <c r="GC139">
        <v>4.2229500264774629</v>
      </c>
      <c r="GD139">
        <v>1.7958891681832538</v>
      </c>
      <c r="GE139">
        <v>0</v>
      </c>
      <c r="GF139">
        <v>0.80138167652982462</v>
      </c>
      <c r="GG139">
        <v>4.1541015167564126</v>
      </c>
      <c r="GH139">
        <v>1.6229601285312325</v>
      </c>
      <c r="GI139">
        <v>11.335015767087672</v>
      </c>
      <c r="GJ139"/>
      <c r="GK139"/>
      <c r="GL139"/>
      <c r="GM139"/>
    </row>
    <row r="140" spans="1:195" s="7" customFormat="1">
      <c r="A140" s="1"/>
      <c r="B140" s="76">
        <f ca="1">IF(C140="", "", RAND())</f>
        <v>2.5121033841313478E-2</v>
      </c>
      <c r="C140">
        <v>9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10.416666666666666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7.3052083333333329</v>
      </c>
      <c r="AO140">
        <v>39.343628909467526</v>
      </c>
      <c r="AP140">
        <v>657.82680421982582</v>
      </c>
      <c r="AQ140">
        <v>39.150855780659654</v>
      </c>
      <c r="AR140">
        <v>35.834895916444793</v>
      </c>
      <c r="AS140">
        <v>206.81249352440344</v>
      </c>
      <c r="AT140" t="e">
        <v>#DIV/0!</v>
      </c>
      <c r="AU140" t="e">
        <v>#DIV/0!</v>
      </c>
      <c r="AV140"/>
      <c r="AW140"/>
      <c r="AX140" s="146"/>
      <c r="AY140" s="76">
        <f t="shared" ca="1" si="87"/>
        <v>0.70966134443466711</v>
      </c>
      <c r="AZ140">
        <v>3</v>
      </c>
      <c r="BA140" s="129">
        <f t="shared" si="167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9"/>
        <v>0.28382434762203701</v>
      </c>
      <c r="CL140" s="179">
        <f t="shared" si="90"/>
        <v>3</v>
      </c>
      <c r="CM140" s="180">
        <f t="shared" si="91"/>
        <v>39799</v>
      </c>
      <c r="CN140">
        <v>0</v>
      </c>
      <c r="CO140"/>
      <c r="CP140"/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4.3897202641042021E-2</v>
      </c>
      <c r="DD140">
        <f t="shared" si="93"/>
        <v>3</v>
      </c>
      <c r="DE140" s="129">
        <f t="shared" si="166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0</v>
      </c>
      <c r="DI140" s="161">
        <f t="shared" si="97"/>
        <v>0</v>
      </c>
      <c r="DJ140" s="161">
        <f t="shared" si="98"/>
        <v>0</v>
      </c>
      <c r="DK140" s="161">
        <f t="shared" si="99"/>
        <v>0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1"/>
        <v>0</v>
      </c>
      <c r="EL140" s="149"/>
      <c r="EN140" s="146"/>
      <c r="EO140" s="146"/>
      <c r="EP140" s="139">
        <f t="shared" si="132"/>
        <v>0</v>
      </c>
      <c r="EQ140" s="139">
        <f t="shared" si="133"/>
        <v>0</v>
      </c>
      <c r="ER140" s="139">
        <f t="shared" si="134"/>
        <v>0</v>
      </c>
      <c r="ES140" s="139">
        <f t="shared" si="135"/>
        <v>0</v>
      </c>
      <c r="ET140" s="139">
        <f t="shared" si="136"/>
        <v>0</v>
      </c>
      <c r="EU140" s="139">
        <f t="shared" si="137"/>
        <v>0</v>
      </c>
      <c r="EV140" s="139">
        <f t="shared" si="138"/>
        <v>0</v>
      </c>
      <c r="EW140" s="139">
        <f t="shared" si="139"/>
        <v>0</v>
      </c>
      <c r="EX140" s="139">
        <f t="shared" si="140"/>
        <v>0</v>
      </c>
      <c r="EY140" s="139">
        <f t="shared" si="141"/>
        <v>0</v>
      </c>
      <c r="EZ140" s="139">
        <f t="shared" si="142"/>
        <v>0</v>
      </c>
      <c r="FA140" s="139">
        <f t="shared" si="143"/>
        <v>0</v>
      </c>
      <c r="FB140" s="139">
        <f t="shared" si="144"/>
        <v>0</v>
      </c>
      <c r="FC140" s="139">
        <f t="shared" si="145"/>
        <v>0</v>
      </c>
      <c r="FD140" s="139">
        <f t="shared" si="146"/>
        <v>0</v>
      </c>
      <c r="FE140" s="139">
        <f t="shared" si="147"/>
        <v>0</v>
      </c>
      <c r="FF140" s="139">
        <f t="shared" si="148"/>
        <v>0</v>
      </c>
      <c r="FG140" s="139">
        <f t="shared" si="149"/>
        <v>0</v>
      </c>
      <c r="FH140" s="139">
        <f t="shared" si="150"/>
        <v>0</v>
      </c>
      <c r="FI140" s="139">
        <f t="shared" si="151"/>
        <v>0</v>
      </c>
      <c r="FJ140" s="139">
        <f t="shared" si="152"/>
        <v>0</v>
      </c>
      <c r="FK140" s="139">
        <f t="shared" si="153"/>
        <v>0</v>
      </c>
      <c r="FL140" s="139">
        <f t="shared" si="154"/>
        <v>0</v>
      </c>
      <c r="FM140" s="139">
        <f t="shared" si="155"/>
        <v>0</v>
      </c>
      <c r="FN140" s="139">
        <f t="shared" si="156"/>
        <v>0</v>
      </c>
      <c r="FO140" s="139">
        <f t="shared" si="157"/>
        <v>0</v>
      </c>
      <c r="FP140" s="139">
        <f t="shared" si="158"/>
        <v>0</v>
      </c>
      <c r="FQ140" s="139">
        <f t="shared" si="159"/>
        <v>0</v>
      </c>
      <c r="FR140" s="139">
        <f t="shared" si="160"/>
        <v>0</v>
      </c>
      <c r="FS140" s="139">
        <f t="shared" si="161"/>
        <v>0</v>
      </c>
      <c r="FT140" s="139">
        <f t="shared" si="162"/>
        <v>0</v>
      </c>
      <c r="FU140" s="148">
        <f t="shared" si="163"/>
        <v>0</v>
      </c>
      <c r="FV140" s="149"/>
      <c r="FY140" s="212">
        <v>135</v>
      </c>
      <c r="FZ140">
        <v>1.9973174786207277</v>
      </c>
      <c r="GA140">
        <v>23.764561218402918</v>
      </c>
      <c r="GB140">
        <v>13.572196520617748</v>
      </c>
      <c r="GC140">
        <v>3.5827130059371273</v>
      </c>
      <c r="GD140">
        <v>1.705948881400899</v>
      </c>
      <c r="GE140">
        <v>0.71895619221013829</v>
      </c>
      <c r="GF140">
        <v>0</v>
      </c>
      <c r="GG140">
        <v>0.83160738614896845</v>
      </c>
      <c r="GH140">
        <v>1.6229601285312325</v>
      </c>
      <c r="GI140">
        <v>9.7322596864562865</v>
      </c>
      <c r="GJ140"/>
      <c r="GK140"/>
      <c r="GL140"/>
      <c r="GM140"/>
    </row>
    <row r="141" spans="1:195" s="7" customFormat="1">
      <c r="A141" s="1"/>
      <c r="B141" s="76">
        <f ca="1">IF(C141="", "", RAND())</f>
        <v>0.4905053256304619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9.3694852941176485</v>
      </c>
      <c r="AO141">
        <v>34.697129501330245</v>
      </c>
      <c r="AP141">
        <v>471.90349922118401</v>
      </c>
      <c r="AQ141">
        <v>48.774295617106354</v>
      </c>
      <c r="AR141">
        <v>31.542845001209319</v>
      </c>
      <c r="AS141">
        <v>265.43741762058727</v>
      </c>
      <c r="AT141" t="e">
        <v>#DIV/0!</v>
      </c>
      <c r="AU141" t="e">
        <v>#DIV/0!</v>
      </c>
      <c r="AV141"/>
      <c r="AW141"/>
      <c r="AX141" s="146"/>
      <c r="AY141" s="76">
        <f t="shared" ca="1" si="87"/>
        <v>0.39146859824775238</v>
      </c>
      <c r="AZ141">
        <v>4</v>
      </c>
      <c r="BA141" s="129">
        <f t="shared" si="167"/>
        <v>39799</v>
      </c>
      <c r="BB141">
        <v>0</v>
      </c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9"/>
        <v>0.1752778562858115</v>
      </c>
      <c r="CL141" s="179">
        <f t="shared" si="90"/>
        <v>4</v>
      </c>
      <c r="CM141" s="180">
        <f t="shared" si="91"/>
        <v>39799</v>
      </c>
      <c r="CN141">
        <v>0</v>
      </c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0.20790047344381701</v>
      </c>
      <c r="DD141">
        <f t="shared" si="93"/>
        <v>4</v>
      </c>
      <c r="DE141" s="129">
        <f t="shared" si="166"/>
        <v>39799</v>
      </c>
      <c r="DF141" s="161">
        <f t="shared" si="94"/>
        <v>0</v>
      </c>
      <c r="DG141" s="161">
        <f t="shared" si="95"/>
        <v>0</v>
      </c>
      <c r="DH141" s="161">
        <f t="shared" si="96"/>
        <v>0</v>
      </c>
      <c r="DI141" s="161">
        <f t="shared" si="97"/>
        <v>0</v>
      </c>
      <c r="DJ141" s="161">
        <f t="shared" si="98"/>
        <v>0</v>
      </c>
      <c r="DK141" s="161">
        <f t="shared" si="99"/>
        <v>0</v>
      </c>
      <c r="DL141" s="161">
        <f t="shared" si="100"/>
        <v>0</v>
      </c>
      <c r="DM141" s="161">
        <f t="shared" si="101"/>
        <v>0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1"/>
        <v>0</v>
      </c>
      <c r="EL141" s="149"/>
      <c r="EN141" s="146"/>
      <c r="EO141" s="146"/>
      <c r="EP141" s="139">
        <f t="shared" si="132"/>
        <v>0</v>
      </c>
      <c r="EQ141" s="139">
        <f t="shared" si="133"/>
        <v>0</v>
      </c>
      <c r="ER141" s="139">
        <f t="shared" si="134"/>
        <v>0</v>
      </c>
      <c r="ES141" s="139">
        <f t="shared" si="135"/>
        <v>0</v>
      </c>
      <c r="ET141" s="139">
        <f t="shared" si="136"/>
        <v>0</v>
      </c>
      <c r="EU141" s="139">
        <f t="shared" si="137"/>
        <v>0</v>
      </c>
      <c r="EV141" s="139">
        <f t="shared" si="138"/>
        <v>0</v>
      </c>
      <c r="EW141" s="139">
        <f t="shared" si="139"/>
        <v>0</v>
      </c>
      <c r="EX141" s="139">
        <f t="shared" si="140"/>
        <v>0</v>
      </c>
      <c r="EY141" s="139">
        <f t="shared" si="141"/>
        <v>0</v>
      </c>
      <c r="EZ141" s="139">
        <f t="shared" si="142"/>
        <v>0</v>
      </c>
      <c r="FA141" s="139">
        <f t="shared" si="143"/>
        <v>0</v>
      </c>
      <c r="FB141" s="139">
        <f t="shared" si="144"/>
        <v>0</v>
      </c>
      <c r="FC141" s="139">
        <f t="shared" si="145"/>
        <v>0</v>
      </c>
      <c r="FD141" s="139">
        <f t="shared" si="146"/>
        <v>0</v>
      </c>
      <c r="FE141" s="139">
        <f t="shared" si="147"/>
        <v>0</v>
      </c>
      <c r="FF141" s="139">
        <f t="shared" si="148"/>
        <v>0</v>
      </c>
      <c r="FG141" s="139">
        <f t="shared" si="149"/>
        <v>0</v>
      </c>
      <c r="FH141" s="139">
        <f t="shared" si="150"/>
        <v>0</v>
      </c>
      <c r="FI141" s="139">
        <f t="shared" si="151"/>
        <v>0</v>
      </c>
      <c r="FJ141" s="139">
        <f t="shared" si="152"/>
        <v>0</v>
      </c>
      <c r="FK141" s="139">
        <f t="shared" si="153"/>
        <v>0</v>
      </c>
      <c r="FL141" s="139">
        <f t="shared" si="154"/>
        <v>0</v>
      </c>
      <c r="FM141" s="139">
        <f t="shared" si="155"/>
        <v>0</v>
      </c>
      <c r="FN141" s="139">
        <f t="shared" si="156"/>
        <v>0</v>
      </c>
      <c r="FO141" s="139">
        <f t="shared" si="157"/>
        <v>0</v>
      </c>
      <c r="FP141" s="139">
        <f t="shared" si="158"/>
        <v>0</v>
      </c>
      <c r="FQ141" s="139">
        <f t="shared" si="159"/>
        <v>0</v>
      </c>
      <c r="FR141" s="139">
        <f t="shared" si="160"/>
        <v>0</v>
      </c>
      <c r="FS141" s="139">
        <f t="shared" si="161"/>
        <v>0</v>
      </c>
      <c r="FT141" s="139">
        <f t="shared" si="162"/>
        <v>0</v>
      </c>
      <c r="FU141" s="148">
        <f t="shared" si="163"/>
        <v>0</v>
      </c>
      <c r="FV141" s="149"/>
      <c r="FY141" s="212">
        <v>136</v>
      </c>
      <c r="FZ141">
        <v>1.8231001187171139</v>
      </c>
      <c r="GA141">
        <v>16.442111654076907</v>
      </c>
      <c r="GB141">
        <v>17.627564893111412</v>
      </c>
      <c r="GC141">
        <v>5.9946469812614964</v>
      </c>
      <c r="GD141">
        <v>0.81499058477499298</v>
      </c>
      <c r="GE141">
        <v>0.71895619221013829</v>
      </c>
      <c r="GF141">
        <v>0.80138167652982462</v>
      </c>
      <c r="GG141">
        <v>3.9006838869232907</v>
      </c>
      <c r="GH141">
        <v>0</v>
      </c>
      <c r="GI141">
        <v>10.545014649808005</v>
      </c>
      <c r="GJ141"/>
      <c r="GK141"/>
      <c r="GL141"/>
      <c r="GM141"/>
    </row>
    <row r="142" spans="1:195" s="7" customFormat="1">
      <c r="A142" s="1"/>
      <c r="B142" s="76">
        <f ca="1">IF(C142="", "", RAND())</f>
        <v>0.93369594249799803</v>
      </c>
      <c r="C142">
        <v>10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10.416666666666666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9.6226102941176475</v>
      </c>
      <c r="AO142">
        <v>16.360170795504168</v>
      </c>
      <c r="AP142">
        <v>271.55506570225253</v>
      </c>
      <c r="AQ142">
        <v>64.026621200545833</v>
      </c>
      <c r="AR142">
        <v>14.906862813468218</v>
      </c>
      <c r="AS142">
        <v>103.46155234540539</v>
      </c>
      <c r="AT142" t="e">
        <v>#DIV/0!</v>
      </c>
      <c r="AU142" t="e">
        <v>#DIV/0!</v>
      </c>
      <c r="AV142"/>
      <c r="AW142"/>
      <c r="AX142" s="146"/>
      <c r="AY142" s="76">
        <f t="shared" ca="1" si="87"/>
        <v>0.73017628580128058</v>
      </c>
      <c r="AZ142">
        <v>5</v>
      </c>
      <c r="BA142" s="129">
        <f t="shared" si="167"/>
        <v>39799</v>
      </c>
      <c r="BB142">
        <v>0</v>
      </c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9"/>
        <v>0.44675960447137975</v>
      </c>
      <c r="CL142" s="179">
        <f t="shared" si="90"/>
        <v>5</v>
      </c>
      <c r="CM142" s="180">
        <f t="shared" si="91"/>
        <v>39799</v>
      </c>
      <c r="CN142"/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0.58628640676209098</v>
      </c>
      <c r="DD142">
        <f t="shared" si="93"/>
        <v>5</v>
      </c>
      <c r="DE142" s="129">
        <f t="shared" si="166"/>
        <v>39799</v>
      </c>
      <c r="DF142" s="161">
        <f t="shared" si="94"/>
        <v>0</v>
      </c>
      <c r="DG142" s="161">
        <f t="shared" si="95"/>
        <v>0</v>
      </c>
      <c r="DH142" s="161">
        <f t="shared" si="96"/>
        <v>0</v>
      </c>
      <c r="DI142" s="161">
        <f t="shared" si="97"/>
        <v>0</v>
      </c>
      <c r="DJ142" s="161">
        <f t="shared" si="98"/>
        <v>0</v>
      </c>
      <c r="DK142" s="161">
        <f t="shared" si="99"/>
        <v>0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1"/>
        <v>0</v>
      </c>
      <c r="EL142" s="149"/>
      <c r="EN142" s="146"/>
      <c r="EO142" s="146"/>
      <c r="EP142" s="139">
        <f t="shared" si="132"/>
        <v>0</v>
      </c>
      <c r="EQ142" s="139">
        <f t="shared" si="133"/>
        <v>0</v>
      </c>
      <c r="ER142" s="139">
        <f t="shared" si="134"/>
        <v>0</v>
      </c>
      <c r="ES142" s="139">
        <f t="shared" si="135"/>
        <v>0</v>
      </c>
      <c r="ET142" s="139">
        <f t="shared" si="136"/>
        <v>0</v>
      </c>
      <c r="EU142" s="139">
        <f t="shared" si="137"/>
        <v>0</v>
      </c>
      <c r="EV142" s="139">
        <f t="shared" si="138"/>
        <v>0</v>
      </c>
      <c r="EW142" s="139">
        <f t="shared" si="139"/>
        <v>0</v>
      </c>
      <c r="EX142" s="139">
        <f t="shared" si="140"/>
        <v>0</v>
      </c>
      <c r="EY142" s="139">
        <f t="shared" si="141"/>
        <v>0</v>
      </c>
      <c r="EZ142" s="139">
        <f t="shared" si="142"/>
        <v>0</v>
      </c>
      <c r="FA142" s="139">
        <f t="shared" si="143"/>
        <v>0</v>
      </c>
      <c r="FB142" s="139">
        <f t="shared" si="144"/>
        <v>0</v>
      </c>
      <c r="FC142" s="139">
        <f t="shared" si="145"/>
        <v>0</v>
      </c>
      <c r="FD142" s="139">
        <f t="shared" si="146"/>
        <v>0</v>
      </c>
      <c r="FE142" s="139">
        <f t="shared" si="147"/>
        <v>0</v>
      </c>
      <c r="FF142" s="139">
        <f t="shared" si="148"/>
        <v>0</v>
      </c>
      <c r="FG142" s="139">
        <f t="shared" si="149"/>
        <v>0</v>
      </c>
      <c r="FH142" s="139">
        <f t="shared" si="150"/>
        <v>0</v>
      </c>
      <c r="FI142" s="139">
        <f t="shared" si="151"/>
        <v>0</v>
      </c>
      <c r="FJ142" s="139">
        <f t="shared" si="152"/>
        <v>0</v>
      </c>
      <c r="FK142" s="139">
        <f t="shared" si="153"/>
        <v>0</v>
      </c>
      <c r="FL142" s="139">
        <f t="shared" si="154"/>
        <v>0</v>
      </c>
      <c r="FM142" s="139">
        <f t="shared" si="155"/>
        <v>0</v>
      </c>
      <c r="FN142" s="139">
        <f t="shared" si="156"/>
        <v>0</v>
      </c>
      <c r="FO142" s="139">
        <f t="shared" si="157"/>
        <v>0</v>
      </c>
      <c r="FP142" s="139">
        <f t="shared" si="158"/>
        <v>0</v>
      </c>
      <c r="FQ142" s="139">
        <f t="shared" si="159"/>
        <v>0</v>
      </c>
      <c r="FR142" s="139">
        <f t="shared" si="160"/>
        <v>0</v>
      </c>
      <c r="FS142" s="139">
        <f t="shared" si="161"/>
        <v>0</v>
      </c>
      <c r="FT142" s="139">
        <f t="shared" si="162"/>
        <v>0</v>
      </c>
      <c r="FU142" s="148">
        <f t="shared" si="163"/>
        <v>0</v>
      </c>
      <c r="FV142" s="149"/>
      <c r="FY142" s="212">
        <v>137</v>
      </c>
      <c r="FZ142">
        <v>0.91155005935855693</v>
      </c>
      <c r="GA142">
        <v>16.577278494592832</v>
      </c>
      <c r="GB142">
        <v>18.214203156069853</v>
      </c>
      <c r="GC142">
        <v>5.5028596911033745</v>
      </c>
      <c r="GD142">
        <v>0.53122498831136433</v>
      </c>
      <c r="GE142">
        <v>0.71895619221013829</v>
      </c>
      <c r="GF142">
        <v>2.4041450295894737</v>
      </c>
      <c r="GG142">
        <v>9.6427102653396055</v>
      </c>
      <c r="GH142">
        <v>1.6229601285312325</v>
      </c>
      <c r="GI142">
        <v>11.712415300505413</v>
      </c>
      <c r="GJ142"/>
      <c r="GK142"/>
      <c r="GL142"/>
      <c r="GM142"/>
    </row>
    <row r="143" spans="1:195" s="7" customFormat="1">
      <c r="A143" s="1"/>
      <c r="B143" s="76">
        <f ca="1">IF(C143="", "", RAND())</f>
        <v>0.21500034659771083</v>
      </c>
      <c r="C143">
        <v>8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10.416666666666666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13.868872549019608</v>
      </c>
      <c r="AO143">
        <v>25.615010130625457</v>
      </c>
      <c r="AP143">
        <v>469.86795032323369</v>
      </c>
      <c r="AQ143">
        <v>56.315854321764753</v>
      </c>
      <c r="AR143">
        <v>23.286372846023141</v>
      </c>
      <c r="AS143">
        <v>155.25513786604273</v>
      </c>
      <c r="AT143" t="e">
        <v>#DIV/0!</v>
      </c>
      <c r="AU143" t="e">
        <v>#DIV/0!</v>
      </c>
      <c r="AV143"/>
      <c r="AW143"/>
      <c r="AX143" s="146"/>
      <c r="AY143" s="76">
        <f t="shared" ca="1" si="87"/>
        <v>0.47732667031801257</v>
      </c>
      <c r="AZ143">
        <v>6</v>
      </c>
      <c r="BA143" s="129">
        <f t="shared" si="167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9"/>
        <v>0.84830096642871311</v>
      </c>
      <c r="CL143" s="179">
        <f t="shared" si="90"/>
        <v>6</v>
      </c>
      <c r="CM143" s="180">
        <f t="shared" si="91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1.6978279213276215E-2</v>
      </c>
      <c r="DD143">
        <f t="shared" si="93"/>
        <v>6</v>
      </c>
      <c r="DE143" s="129">
        <f t="shared" si="166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1"/>
        <v>0</v>
      </c>
      <c r="EL143" s="149"/>
      <c r="EN143" s="146"/>
      <c r="EO143" s="146"/>
      <c r="EP143" s="139">
        <f t="shared" si="132"/>
        <v>0</v>
      </c>
      <c r="EQ143" s="139">
        <f t="shared" si="133"/>
        <v>0</v>
      </c>
      <c r="ER143" s="139">
        <f t="shared" si="134"/>
        <v>0</v>
      </c>
      <c r="ES143" s="139">
        <f t="shared" si="135"/>
        <v>0</v>
      </c>
      <c r="ET143" s="139">
        <f t="shared" si="136"/>
        <v>0</v>
      </c>
      <c r="EU143" s="139">
        <f t="shared" si="137"/>
        <v>0</v>
      </c>
      <c r="EV143" s="139">
        <f t="shared" si="138"/>
        <v>0</v>
      </c>
      <c r="EW143" s="139">
        <f t="shared" si="139"/>
        <v>0</v>
      </c>
      <c r="EX143" s="139">
        <f t="shared" si="140"/>
        <v>0</v>
      </c>
      <c r="EY143" s="139">
        <f t="shared" si="141"/>
        <v>0</v>
      </c>
      <c r="EZ143" s="139">
        <f t="shared" si="142"/>
        <v>0</v>
      </c>
      <c r="FA143" s="139">
        <f t="shared" si="143"/>
        <v>0</v>
      </c>
      <c r="FB143" s="139">
        <f t="shared" si="144"/>
        <v>0</v>
      </c>
      <c r="FC143" s="139">
        <f t="shared" si="145"/>
        <v>0</v>
      </c>
      <c r="FD143" s="139">
        <f t="shared" si="146"/>
        <v>0</v>
      </c>
      <c r="FE143" s="139">
        <f t="shared" si="147"/>
        <v>0</v>
      </c>
      <c r="FF143" s="139">
        <f t="shared" si="148"/>
        <v>0</v>
      </c>
      <c r="FG143" s="139">
        <f t="shared" si="149"/>
        <v>0</v>
      </c>
      <c r="FH143" s="139">
        <f t="shared" si="150"/>
        <v>0</v>
      </c>
      <c r="FI143" s="139">
        <f t="shared" si="151"/>
        <v>0</v>
      </c>
      <c r="FJ143" s="139">
        <f t="shared" si="152"/>
        <v>0</v>
      </c>
      <c r="FK143" s="139">
        <f t="shared" si="153"/>
        <v>0</v>
      </c>
      <c r="FL143" s="139">
        <f t="shared" si="154"/>
        <v>0</v>
      </c>
      <c r="FM143" s="139">
        <f t="shared" si="155"/>
        <v>0</v>
      </c>
      <c r="FN143" s="139">
        <f t="shared" si="156"/>
        <v>0</v>
      </c>
      <c r="FO143" s="139">
        <f t="shared" si="157"/>
        <v>0</v>
      </c>
      <c r="FP143" s="139">
        <f t="shared" si="158"/>
        <v>0</v>
      </c>
      <c r="FQ143" s="139">
        <f t="shared" si="159"/>
        <v>0</v>
      </c>
      <c r="FR143" s="139">
        <f t="shared" si="160"/>
        <v>0</v>
      </c>
      <c r="FS143" s="139">
        <f t="shared" si="161"/>
        <v>0</v>
      </c>
      <c r="FT143" s="139">
        <f t="shared" si="162"/>
        <v>0</v>
      </c>
      <c r="FU143" s="148">
        <f t="shared" si="163"/>
        <v>0</v>
      </c>
      <c r="FV143" s="149"/>
      <c r="FY143" s="212">
        <v>138</v>
      </c>
      <c r="FZ143">
        <v>1.065658727606515</v>
      </c>
      <c r="GA143">
        <v>18.747957698529834</v>
      </c>
      <c r="GB143">
        <v>16.69861474330332</v>
      </c>
      <c r="GC143">
        <v>4.6906643561446328</v>
      </c>
      <c r="GD143">
        <v>0.7531176116228061</v>
      </c>
      <c r="GE143">
        <v>0.71895619221013829</v>
      </c>
      <c r="GF143">
        <v>0</v>
      </c>
      <c r="GG143">
        <v>0.57818975631584713</v>
      </c>
      <c r="GH143">
        <v>0</v>
      </c>
      <c r="GI143">
        <v>6.5055383528775046</v>
      </c>
      <c r="GJ143"/>
      <c r="GK143"/>
      <c r="GL143"/>
      <c r="GM143"/>
    </row>
    <row r="144" spans="1:195" s="7" customFormat="1">
      <c r="A144" s="1"/>
      <c r="B144" s="76">
        <f ca="1">IF(C144="", "", RAND())</f>
        <v>0.55875490604195122</v>
      </c>
      <c r="C144">
        <v>2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8.7114583333333311</v>
      </c>
      <c r="AO144">
        <v>45.109849955586654</v>
      </c>
      <c r="AP144">
        <v>894.89989148675568</v>
      </c>
      <c r="AQ144">
        <v>58.365819530996305</v>
      </c>
      <c r="AR144">
        <v>41.042934777179575</v>
      </c>
      <c r="AS144">
        <v>188.82435898845733</v>
      </c>
      <c r="AT144" t="e">
        <v>#DIV/0!</v>
      </c>
      <c r="AU144" t="e">
        <v>#DIV/0!</v>
      </c>
      <c r="AV144"/>
      <c r="AW144"/>
      <c r="AX144" s="146"/>
      <c r="AY144" s="76">
        <f t="shared" ca="1" si="87"/>
        <v>0.18051352096968998</v>
      </c>
      <c r="AZ144">
        <v>7</v>
      </c>
      <c r="BA144" s="129">
        <f t="shared" si="167"/>
        <v>39799</v>
      </c>
      <c r="BB144">
        <v>0</v>
      </c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9"/>
        <v>0.57392466753488813</v>
      </c>
      <c r="CL144" s="179">
        <f t="shared" si="90"/>
        <v>7</v>
      </c>
      <c r="CM144" s="180">
        <f t="shared" si="91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0.78894504544307087</v>
      </c>
      <c r="DD144">
        <f t="shared" si="93"/>
        <v>7</v>
      </c>
      <c r="DE144" s="129">
        <f t="shared" si="166"/>
        <v>39799</v>
      </c>
      <c r="DF144" s="161">
        <f t="shared" si="94"/>
        <v>0</v>
      </c>
      <c r="DG144" s="161">
        <f t="shared" si="95"/>
        <v>0</v>
      </c>
      <c r="DH144" s="161">
        <f t="shared" si="96"/>
        <v>0</v>
      </c>
      <c r="DI144" s="161">
        <f t="shared" si="97"/>
        <v>0</v>
      </c>
      <c r="DJ144" s="161">
        <f t="shared" si="98"/>
        <v>0</v>
      </c>
      <c r="DK144" s="161">
        <f t="shared" si="99"/>
        <v>0</v>
      </c>
      <c r="DL144" s="161">
        <f t="shared" si="100"/>
        <v>0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1"/>
        <v>0</v>
      </c>
      <c r="EL144" s="149"/>
      <c r="EN144" s="146"/>
      <c r="EO144" s="146"/>
      <c r="EP144" s="139">
        <f t="shared" si="132"/>
        <v>0</v>
      </c>
      <c r="EQ144" s="139">
        <f t="shared" si="133"/>
        <v>0</v>
      </c>
      <c r="ER144" s="139">
        <f t="shared" si="134"/>
        <v>0</v>
      </c>
      <c r="ES144" s="139">
        <f t="shared" si="135"/>
        <v>0</v>
      </c>
      <c r="ET144" s="139">
        <f t="shared" si="136"/>
        <v>0</v>
      </c>
      <c r="EU144" s="139">
        <f t="shared" si="137"/>
        <v>0</v>
      </c>
      <c r="EV144" s="139">
        <f t="shared" si="138"/>
        <v>0</v>
      </c>
      <c r="EW144" s="139">
        <f t="shared" si="139"/>
        <v>0</v>
      </c>
      <c r="EX144" s="139">
        <f t="shared" si="140"/>
        <v>0</v>
      </c>
      <c r="EY144" s="139">
        <f t="shared" si="141"/>
        <v>0</v>
      </c>
      <c r="EZ144" s="139">
        <f t="shared" si="142"/>
        <v>0</v>
      </c>
      <c r="FA144" s="139">
        <f t="shared" si="143"/>
        <v>0</v>
      </c>
      <c r="FB144" s="139">
        <f t="shared" si="144"/>
        <v>0</v>
      </c>
      <c r="FC144" s="139">
        <f t="shared" si="145"/>
        <v>0</v>
      </c>
      <c r="FD144" s="139">
        <f t="shared" si="146"/>
        <v>0</v>
      </c>
      <c r="FE144" s="139">
        <f t="shared" si="147"/>
        <v>0</v>
      </c>
      <c r="FF144" s="139">
        <f t="shared" si="148"/>
        <v>0</v>
      </c>
      <c r="FG144" s="139">
        <f t="shared" si="149"/>
        <v>0</v>
      </c>
      <c r="FH144" s="139">
        <f t="shared" si="150"/>
        <v>0</v>
      </c>
      <c r="FI144" s="139">
        <f t="shared" si="151"/>
        <v>0</v>
      </c>
      <c r="FJ144" s="139">
        <f t="shared" si="152"/>
        <v>0</v>
      </c>
      <c r="FK144" s="139">
        <f t="shared" si="153"/>
        <v>0</v>
      </c>
      <c r="FL144" s="139">
        <f t="shared" si="154"/>
        <v>0</v>
      </c>
      <c r="FM144" s="139">
        <f t="shared" si="155"/>
        <v>0</v>
      </c>
      <c r="FN144" s="139">
        <f t="shared" si="156"/>
        <v>0</v>
      </c>
      <c r="FO144" s="139">
        <f t="shared" si="157"/>
        <v>0</v>
      </c>
      <c r="FP144" s="139">
        <f t="shared" si="158"/>
        <v>0</v>
      </c>
      <c r="FQ144" s="139">
        <f t="shared" si="159"/>
        <v>0</v>
      </c>
      <c r="FR144" s="139">
        <f t="shared" si="160"/>
        <v>0</v>
      </c>
      <c r="FS144" s="139">
        <f t="shared" si="161"/>
        <v>0</v>
      </c>
      <c r="FT144" s="139">
        <f t="shared" si="162"/>
        <v>0</v>
      </c>
      <c r="FU144" s="148">
        <f t="shared" si="163"/>
        <v>0</v>
      </c>
      <c r="FV144" s="149"/>
      <c r="FY144" s="212">
        <v>139</v>
      </c>
      <c r="FZ144">
        <v>2.0141157010886364</v>
      </c>
      <c r="GA144">
        <v>22.170978621432802</v>
      </c>
      <c r="GB144">
        <v>9.4662410111246196</v>
      </c>
      <c r="GC144">
        <v>1.5597439117766165</v>
      </c>
      <c r="GD144">
        <v>0.92424752670787158</v>
      </c>
      <c r="GE144">
        <v>0.35947809610506914</v>
      </c>
      <c r="GF144">
        <v>0</v>
      </c>
      <c r="GG144">
        <v>0.57818975631584713</v>
      </c>
      <c r="GH144">
        <v>0</v>
      </c>
      <c r="GI144">
        <v>10.567322864096303</v>
      </c>
      <c r="GJ144"/>
      <c r="GK144"/>
      <c r="GL144"/>
      <c r="GM144"/>
    </row>
    <row r="145" spans="1:195" s="7" customFormat="1">
      <c r="A145" s="1"/>
      <c r="B145" s="76">
        <f ca="1">IF(C145="", "", RAND())</f>
        <v>0.87912954184909253</v>
      </c>
      <c r="C145">
        <v>3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12.363970588235293</v>
      </c>
      <c r="AO145">
        <v>22.550402084526077</v>
      </c>
      <c r="AP145">
        <v>558.90378391984495</v>
      </c>
      <c r="AQ145">
        <v>57.143760915150516</v>
      </c>
      <c r="AR145">
        <v>20.500365531387338</v>
      </c>
      <c r="AS145">
        <v>116.87812488424193</v>
      </c>
      <c r="AT145" t="e">
        <v>#DIV/0!</v>
      </c>
      <c r="AU145" t="e">
        <v>#DIV/0!</v>
      </c>
      <c r="AV145"/>
      <c r="AW145"/>
      <c r="AX145" s="146"/>
      <c r="AY145" s="76">
        <f t="shared" ca="1" si="87"/>
        <v>0.83116589808719188</v>
      </c>
      <c r="AZ145">
        <v>8</v>
      </c>
      <c r="BA145" s="129">
        <f t="shared" si="167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>
        <v>1</v>
      </c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9"/>
        <v>0.7303522096580215</v>
      </c>
      <c r="CL145" s="179">
        <f t="shared" si="90"/>
        <v>8</v>
      </c>
      <c r="CM145" s="180">
        <f t="shared" si="91"/>
        <v>39799</v>
      </c>
      <c r="CN145">
        <v>0</v>
      </c>
      <c r="CO145"/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0.89852217465080919</v>
      </c>
      <c r="DD145">
        <f t="shared" si="93"/>
        <v>8</v>
      </c>
      <c r="DE145" s="129">
        <f t="shared" si="166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0</v>
      </c>
      <c r="DI145" s="161">
        <f t="shared" si="97"/>
        <v>0</v>
      </c>
      <c r="DJ145" s="161">
        <f t="shared" si="98"/>
        <v>0</v>
      </c>
      <c r="DK145" s="161">
        <f t="shared" si="99"/>
        <v>0</v>
      </c>
      <c r="DL145" s="161">
        <f t="shared" si="100"/>
        <v>0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10.416666666666666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1"/>
        <v>10.416666666666666</v>
      </c>
      <c r="EL145" s="149"/>
      <c r="EN145" s="146"/>
      <c r="EO145" s="146"/>
      <c r="EP145" s="139">
        <f t="shared" si="132"/>
        <v>0</v>
      </c>
      <c r="EQ145" s="139">
        <f t="shared" si="133"/>
        <v>0</v>
      </c>
      <c r="ER145" s="139">
        <f t="shared" si="134"/>
        <v>0</v>
      </c>
      <c r="ES145" s="139">
        <f t="shared" si="135"/>
        <v>0</v>
      </c>
      <c r="ET145" s="139">
        <f t="shared" si="136"/>
        <v>0</v>
      </c>
      <c r="EU145" s="139">
        <f t="shared" si="137"/>
        <v>0</v>
      </c>
      <c r="EV145" s="139">
        <f t="shared" si="138"/>
        <v>0</v>
      </c>
      <c r="EW145" s="139">
        <f t="shared" si="139"/>
        <v>0</v>
      </c>
      <c r="EX145" s="139">
        <f t="shared" si="140"/>
        <v>0</v>
      </c>
      <c r="EY145" s="139">
        <f t="shared" si="141"/>
        <v>0</v>
      </c>
      <c r="EZ145" s="139">
        <f t="shared" si="142"/>
        <v>0</v>
      </c>
      <c r="FA145" s="139">
        <f t="shared" si="143"/>
        <v>0</v>
      </c>
      <c r="FB145" s="139">
        <f t="shared" si="144"/>
        <v>0</v>
      </c>
      <c r="FC145" s="139">
        <f t="shared" si="145"/>
        <v>0</v>
      </c>
      <c r="FD145" s="139">
        <f t="shared" si="146"/>
        <v>0</v>
      </c>
      <c r="FE145" s="139">
        <f t="shared" si="147"/>
        <v>0</v>
      </c>
      <c r="FF145" s="139">
        <f t="shared" si="148"/>
        <v>0</v>
      </c>
      <c r="FG145" s="139">
        <f t="shared" si="149"/>
        <v>0</v>
      </c>
      <c r="FH145" s="139">
        <f t="shared" si="150"/>
        <v>0</v>
      </c>
      <c r="FI145" s="139">
        <f t="shared" si="151"/>
        <v>0</v>
      </c>
      <c r="FJ145" s="139">
        <f t="shared" si="152"/>
        <v>0</v>
      </c>
      <c r="FK145" s="139">
        <f t="shared" si="153"/>
        <v>257.09740330720314</v>
      </c>
      <c r="FL145" s="139">
        <f t="shared" si="154"/>
        <v>0</v>
      </c>
      <c r="FM145" s="139">
        <f t="shared" si="155"/>
        <v>0</v>
      </c>
      <c r="FN145" s="139">
        <f t="shared" si="156"/>
        <v>0</v>
      </c>
      <c r="FO145" s="139">
        <f t="shared" si="157"/>
        <v>0</v>
      </c>
      <c r="FP145" s="139">
        <f t="shared" si="158"/>
        <v>0</v>
      </c>
      <c r="FQ145" s="139">
        <f t="shared" si="159"/>
        <v>0</v>
      </c>
      <c r="FR145" s="139">
        <f t="shared" si="160"/>
        <v>0</v>
      </c>
      <c r="FS145" s="139">
        <f t="shared" si="161"/>
        <v>0</v>
      </c>
      <c r="FT145" s="139">
        <f t="shared" si="162"/>
        <v>0</v>
      </c>
      <c r="FU145" s="148">
        <f t="shared" si="163"/>
        <v>257.09740330720314</v>
      </c>
      <c r="FV145" s="149"/>
      <c r="FY145" s="212">
        <v>140</v>
      </c>
      <c r="FZ145">
        <v>0.1709068907158674</v>
      </c>
      <c r="GA145">
        <v>14.741985278389462</v>
      </c>
      <c r="GB145">
        <v>20.628664447914549</v>
      </c>
      <c r="GC145">
        <v>8.4957132850687529</v>
      </c>
      <c r="GD145">
        <v>1.4602595363581314</v>
      </c>
      <c r="GE145">
        <v>0.35947809610506914</v>
      </c>
      <c r="GF145">
        <v>0.80138167652982462</v>
      </c>
      <c r="GG145">
        <v>4.9857089029053814</v>
      </c>
      <c r="GH145">
        <v>3.245920257062465</v>
      </c>
      <c r="GI145">
        <v>9.4750525291304708</v>
      </c>
      <c r="GJ145"/>
      <c r="GK145"/>
      <c r="GL145"/>
      <c r="GM145"/>
    </row>
    <row r="146" spans="1:195" s="7" customFormat="1">
      <c r="A146" s="1"/>
      <c r="B146" s="76">
        <f ca="1">IF(C146="", "", RAND())</f>
        <v>0.13982606192658342</v>
      </c>
      <c r="C146">
        <v>4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7.3069852941176476</v>
      </c>
      <c r="AO146">
        <v>26.614058676773958</v>
      </c>
      <c r="AP146">
        <v>363.6957140465388</v>
      </c>
      <c r="AQ146">
        <v>40.319307885937683</v>
      </c>
      <c r="AR146">
        <v>24.19459879706724</v>
      </c>
      <c r="AS146">
        <v>105.93772064209989</v>
      </c>
      <c r="AT146" t="e">
        <v>#DIV/0!</v>
      </c>
      <c r="AU146" t="e">
        <v>#DIV/0!</v>
      </c>
      <c r="AV146"/>
      <c r="AW146"/>
      <c r="AX146" s="146"/>
      <c r="AY146" s="76">
        <f t="shared" ca="1" si="87"/>
        <v>0.73409979959172755</v>
      </c>
      <c r="AZ146">
        <v>9</v>
      </c>
      <c r="BA146" s="129">
        <f t="shared" si="167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1</v>
      </c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9"/>
        <v>0.79308958793724216</v>
      </c>
      <c r="CL146" s="179">
        <f t="shared" si="90"/>
        <v>9</v>
      </c>
      <c r="CM146" s="180">
        <f t="shared" si="91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0.53439932143219981</v>
      </c>
      <c r="DD146">
        <f t="shared" si="93"/>
        <v>9</v>
      </c>
      <c r="DE146" s="129">
        <f t="shared" si="166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0</v>
      </c>
      <c r="DI146" s="161">
        <f t="shared" si="97"/>
        <v>0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10.416666666666666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1"/>
        <v>10.416666666666666</v>
      </c>
      <c r="EL146" s="149"/>
      <c r="EN146" s="146"/>
      <c r="EO146" s="146"/>
      <c r="EP146" s="139">
        <f t="shared" si="132"/>
        <v>0</v>
      </c>
      <c r="EQ146" s="139">
        <f t="shared" si="133"/>
        <v>0</v>
      </c>
      <c r="ER146" s="139">
        <f t="shared" si="134"/>
        <v>0</v>
      </c>
      <c r="ES146" s="139">
        <f t="shared" si="135"/>
        <v>0</v>
      </c>
      <c r="ET146" s="139">
        <f t="shared" si="136"/>
        <v>0</v>
      </c>
      <c r="EU146" s="139">
        <f t="shared" si="137"/>
        <v>0</v>
      </c>
      <c r="EV146" s="139">
        <f t="shared" si="138"/>
        <v>0</v>
      </c>
      <c r="EW146" s="139">
        <f t="shared" si="139"/>
        <v>0</v>
      </c>
      <c r="EX146" s="139">
        <f t="shared" si="140"/>
        <v>0</v>
      </c>
      <c r="EY146" s="139">
        <f t="shared" si="141"/>
        <v>0</v>
      </c>
      <c r="EZ146" s="139">
        <f t="shared" si="142"/>
        <v>0</v>
      </c>
      <c r="FA146" s="139">
        <f t="shared" si="143"/>
        <v>41.404099618884992</v>
      </c>
      <c r="FB146" s="139">
        <f t="shared" si="144"/>
        <v>0</v>
      </c>
      <c r="FC146" s="139">
        <f t="shared" si="145"/>
        <v>0</v>
      </c>
      <c r="FD146" s="139">
        <f t="shared" si="146"/>
        <v>0</v>
      </c>
      <c r="FE146" s="139">
        <f t="shared" si="147"/>
        <v>0</v>
      </c>
      <c r="FF146" s="139">
        <f t="shared" si="148"/>
        <v>0</v>
      </c>
      <c r="FG146" s="139">
        <f t="shared" si="149"/>
        <v>0</v>
      </c>
      <c r="FH146" s="139">
        <f t="shared" si="150"/>
        <v>0</v>
      </c>
      <c r="FI146" s="139">
        <f t="shared" si="151"/>
        <v>0</v>
      </c>
      <c r="FJ146" s="139">
        <f t="shared" si="152"/>
        <v>0</v>
      </c>
      <c r="FK146" s="139">
        <f t="shared" si="153"/>
        <v>0</v>
      </c>
      <c r="FL146" s="139">
        <f t="shared" si="154"/>
        <v>0</v>
      </c>
      <c r="FM146" s="139">
        <f t="shared" si="155"/>
        <v>0</v>
      </c>
      <c r="FN146" s="139">
        <f t="shared" si="156"/>
        <v>0</v>
      </c>
      <c r="FO146" s="139">
        <f t="shared" si="157"/>
        <v>0</v>
      </c>
      <c r="FP146" s="139">
        <f t="shared" si="158"/>
        <v>0</v>
      </c>
      <c r="FQ146" s="139">
        <f t="shared" si="159"/>
        <v>0</v>
      </c>
      <c r="FR146" s="139">
        <f t="shared" si="160"/>
        <v>0</v>
      </c>
      <c r="FS146" s="139">
        <f t="shared" si="161"/>
        <v>0</v>
      </c>
      <c r="FT146" s="139">
        <f t="shared" si="162"/>
        <v>0</v>
      </c>
      <c r="FU146" s="148">
        <f t="shared" si="163"/>
        <v>41.404099618884992</v>
      </c>
      <c r="FV146" s="149"/>
      <c r="FY146" s="212">
        <v>141</v>
      </c>
      <c r="FZ146">
        <v>0.3418137814317348</v>
      </c>
      <c r="GA146">
        <v>15.156747495719245</v>
      </c>
      <c r="GB146">
        <v>15.033493230083355</v>
      </c>
      <c r="GC146">
        <v>5.6802730782539896</v>
      </c>
      <c r="GD146">
        <v>1.442893583051984</v>
      </c>
      <c r="GE146">
        <v>0.71895619221013829</v>
      </c>
      <c r="GF146">
        <v>1.6027633530596492</v>
      </c>
      <c r="GG146">
        <v>7.223178017530735</v>
      </c>
      <c r="GH146">
        <v>0</v>
      </c>
      <c r="GI146">
        <v>16.431923635894634</v>
      </c>
      <c r="GJ146"/>
      <c r="GK146"/>
      <c r="GL146"/>
      <c r="GM146"/>
    </row>
    <row r="147" spans="1:195" s="7" customFormat="1">
      <c r="A147" s="1"/>
      <c r="B147" s="76">
        <f ca="1">IF(C147="", "", RAND())</f>
        <v>0.14114570737776821</v>
      </c>
      <c r="C147">
        <v>1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13.612928921568624</v>
      </c>
      <c r="AO147">
        <v>35.716169448073607</v>
      </c>
      <c r="AP147">
        <v>961.64418997207792</v>
      </c>
      <c r="AQ147">
        <v>59.601686711582573</v>
      </c>
      <c r="AR147">
        <v>32.537205496995767</v>
      </c>
      <c r="AS147">
        <v>170.2958080434602</v>
      </c>
      <c r="AT147" t="e">
        <v>#DIV/0!</v>
      </c>
      <c r="AU147" t="e">
        <v>#DIV/0!</v>
      </c>
      <c r="AV147"/>
      <c r="AW147"/>
      <c r="AX147" s="146"/>
      <c r="AY147" s="76">
        <f t="shared" ca="1" si="87"/>
        <v>0.17765353085166558</v>
      </c>
      <c r="AZ147">
        <v>10</v>
      </c>
      <c r="BA147" s="129">
        <f t="shared" si="167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1</v>
      </c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9"/>
        <v>0.22512887425129335</v>
      </c>
      <c r="CL147" s="179">
        <f t="shared" si="90"/>
        <v>10</v>
      </c>
      <c r="CM147" s="180">
        <f t="shared" si="91"/>
        <v>39799</v>
      </c>
      <c r="CN147">
        <v>0</v>
      </c>
      <c r="CO147"/>
      <c r="CP147"/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0.2647372514168822</v>
      </c>
      <c r="DD147">
        <f t="shared" si="93"/>
        <v>10</v>
      </c>
      <c r="DE147" s="129">
        <f t="shared" si="166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0</v>
      </c>
      <c r="DI147" s="161">
        <f t="shared" si="97"/>
        <v>0</v>
      </c>
      <c r="DJ147" s="161">
        <f t="shared" si="98"/>
        <v>0</v>
      </c>
      <c r="DK147" s="161">
        <f t="shared" si="99"/>
        <v>0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10.416666666666666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1"/>
        <v>10.416666666666666</v>
      </c>
      <c r="EL147" s="149"/>
      <c r="EN147" s="146"/>
      <c r="EO147" s="146"/>
      <c r="EP147" s="139">
        <f t="shared" si="132"/>
        <v>0</v>
      </c>
      <c r="EQ147" s="139">
        <f t="shared" si="133"/>
        <v>0</v>
      </c>
      <c r="ER147" s="139">
        <f t="shared" si="134"/>
        <v>0</v>
      </c>
      <c r="ES147" s="139">
        <f t="shared" si="135"/>
        <v>0</v>
      </c>
      <c r="ET147" s="139">
        <f t="shared" si="136"/>
        <v>0</v>
      </c>
      <c r="EU147" s="139">
        <f t="shared" si="137"/>
        <v>0</v>
      </c>
      <c r="EV147" s="139">
        <f t="shared" si="138"/>
        <v>0</v>
      </c>
      <c r="EW147" s="139">
        <f t="shared" si="139"/>
        <v>0</v>
      </c>
      <c r="EX147" s="139">
        <f t="shared" si="140"/>
        <v>0</v>
      </c>
      <c r="EY147" s="139">
        <f t="shared" si="141"/>
        <v>0</v>
      </c>
      <c r="EZ147" s="139">
        <f t="shared" si="142"/>
        <v>0</v>
      </c>
      <c r="FA147" s="139">
        <f t="shared" si="143"/>
        <v>0</v>
      </c>
      <c r="FB147" s="139">
        <f t="shared" si="144"/>
        <v>0</v>
      </c>
      <c r="FC147" s="139">
        <f t="shared" si="145"/>
        <v>0</v>
      </c>
      <c r="FD147" s="139">
        <f t="shared" si="146"/>
        <v>81.811805031958684</v>
      </c>
      <c r="FE147" s="139">
        <f t="shared" si="147"/>
        <v>0</v>
      </c>
      <c r="FF147" s="139">
        <f t="shared" si="148"/>
        <v>0</v>
      </c>
      <c r="FG147" s="139">
        <f t="shared" si="149"/>
        <v>0</v>
      </c>
      <c r="FH147" s="139">
        <f t="shared" si="150"/>
        <v>0</v>
      </c>
      <c r="FI147" s="139">
        <f t="shared" si="151"/>
        <v>0</v>
      </c>
      <c r="FJ147" s="139">
        <f t="shared" si="152"/>
        <v>0</v>
      </c>
      <c r="FK147" s="139">
        <f t="shared" si="153"/>
        <v>0</v>
      </c>
      <c r="FL147" s="139">
        <f t="shared" si="154"/>
        <v>0</v>
      </c>
      <c r="FM147" s="139">
        <f t="shared" si="155"/>
        <v>0</v>
      </c>
      <c r="FN147" s="139">
        <f t="shared" si="156"/>
        <v>0</v>
      </c>
      <c r="FO147" s="139">
        <f t="shared" si="157"/>
        <v>0</v>
      </c>
      <c r="FP147" s="139">
        <f t="shared" si="158"/>
        <v>0</v>
      </c>
      <c r="FQ147" s="139">
        <f t="shared" si="159"/>
        <v>0</v>
      </c>
      <c r="FR147" s="139">
        <f t="shared" si="160"/>
        <v>0</v>
      </c>
      <c r="FS147" s="139">
        <f t="shared" si="161"/>
        <v>0</v>
      </c>
      <c r="FT147" s="139">
        <f t="shared" si="162"/>
        <v>0</v>
      </c>
      <c r="FU147" s="148">
        <f t="shared" si="163"/>
        <v>81.811805031958684</v>
      </c>
      <c r="FV147" s="149"/>
      <c r="FY147" s="212">
        <v>142</v>
      </c>
      <c r="FZ147">
        <v>0.70373625451912492</v>
      </c>
      <c r="GA147">
        <v>11.757768688839851</v>
      </c>
      <c r="GB147">
        <v>12.982116958160278</v>
      </c>
      <c r="GC147">
        <v>4.3708262200954646</v>
      </c>
      <c r="GD147">
        <v>0.58761167631374978</v>
      </c>
      <c r="GE147">
        <v>0.35947809610506914</v>
      </c>
      <c r="GF147">
        <v>0</v>
      </c>
      <c r="GG147">
        <v>1.7345692689475418</v>
      </c>
      <c r="GH147">
        <v>0</v>
      </c>
      <c r="GI147">
        <v>6.0419440827696933</v>
      </c>
      <c r="GJ147"/>
      <c r="GK147"/>
      <c r="GL147"/>
      <c r="GM147"/>
    </row>
    <row r="148" spans="1:195" s="7" customFormat="1">
      <c r="A148" s="128"/>
      <c r="B148" s="76">
        <f ca="1">IF(C148="", "", RAND())</f>
        <v>9.2462562243994739E-2</v>
      </c>
      <c r="C148">
        <v>2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13.492095588235292</v>
      </c>
      <c r="AO148">
        <v>31.849709965901106</v>
      </c>
      <c r="AP148">
        <v>638.78021677041636</v>
      </c>
      <c r="AQ148">
        <v>60.597318925614495</v>
      </c>
      <c r="AR148">
        <v>28.954281787182822</v>
      </c>
      <c r="AS148">
        <v>178.63484488394207</v>
      </c>
      <c r="AT148" t="e">
        <v>#DIV/0!</v>
      </c>
      <c r="AU148" t="e">
        <v>#DIV/0!</v>
      </c>
      <c r="AV148"/>
      <c r="AW148"/>
      <c r="AX148" s="128"/>
      <c r="AY148" s="76">
        <f t="shared" ca="1" si="87"/>
        <v>0.68093494986166192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9"/>
        <v>0.33619675312248631</v>
      </c>
      <c r="CL148" s="179">
        <f t="shared" si="90"/>
        <v>1</v>
      </c>
      <c r="CM148" s="180">
        <f t="shared" si="91"/>
        <v>39847</v>
      </c>
      <c r="CN148">
        <v>0</v>
      </c>
      <c r="CO148"/>
      <c r="CP148"/>
      <c r="CQ148"/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0.44150806503421425</v>
      </c>
      <c r="DD148">
        <f t="shared" si="93"/>
        <v>1</v>
      </c>
      <c r="DE148" s="129">
        <f t="shared" ref="DE148:DE157" si="168">IF((DD148)="", "", $C$10)</f>
        <v>39847</v>
      </c>
      <c r="DF148" s="161">
        <f t="shared" si="94"/>
        <v>0</v>
      </c>
      <c r="DG148" s="161">
        <f t="shared" si="95"/>
        <v>0</v>
      </c>
      <c r="DH148" s="161">
        <f t="shared" si="96"/>
        <v>0</v>
      </c>
      <c r="DI148" s="161">
        <f t="shared" si="97"/>
        <v>0</v>
      </c>
      <c r="DJ148" s="161">
        <f t="shared" si="98"/>
        <v>0</v>
      </c>
      <c r="DK148" s="161">
        <f t="shared" si="99"/>
        <v>0</v>
      </c>
      <c r="DL148" s="161">
        <f t="shared" si="100"/>
        <v>0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1"/>
        <v>0</v>
      </c>
      <c r="EL148" s="149"/>
      <c r="EN148" s="146"/>
      <c r="EO148" s="146"/>
      <c r="EP148" s="139">
        <f t="shared" si="132"/>
        <v>0</v>
      </c>
      <c r="EQ148" s="139">
        <f t="shared" si="133"/>
        <v>0</v>
      </c>
      <c r="ER148" s="139">
        <f t="shared" si="134"/>
        <v>0</v>
      </c>
      <c r="ES148" s="139">
        <f t="shared" si="135"/>
        <v>0</v>
      </c>
      <c r="ET148" s="139">
        <f t="shared" si="136"/>
        <v>0</v>
      </c>
      <c r="EU148" s="139">
        <f t="shared" si="137"/>
        <v>0</v>
      </c>
      <c r="EV148" s="139">
        <f t="shared" si="138"/>
        <v>0</v>
      </c>
      <c r="EW148" s="139">
        <f t="shared" si="139"/>
        <v>0</v>
      </c>
      <c r="EX148" s="139">
        <f t="shared" si="140"/>
        <v>0</v>
      </c>
      <c r="EY148" s="139">
        <f t="shared" si="141"/>
        <v>0</v>
      </c>
      <c r="EZ148" s="139">
        <f t="shared" si="142"/>
        <v>0</v>
      </c>
      <c r="FA148" s="139">
        <f t="shared" si="143"/>
        <v>0</v>
      </c>
      <c r="FB148" s="139">
        <f t="shared" si="144"/>
        <v>0</v>
      </c>
      <c r="FC148" s="139">
        <f t="shared" si="145"/>
        <v>0</v>
      </c>
      <c r="FD148" s="139">
        <f t="shared" si="146"/>
        <v>0</v>
      </c>
      <c r="FE148" s="139">
        <f t="shared" si="147"/>
        <v>0</v>
      </c>
      <c r="FF148" s="139">
        <f t="shared" si="148"/>
        <v>0</v>
      </c>
      <c r="FG148" s="139">
        <f t="shared" si="149"/>
        <v>0</v>
      </c>
      <c r="FH148" s="139">
        <f t="shared" si="150"/>
        <v>0</v>
      </c>
      <c r="FI148" s="139">
        <f t="shared" si="151"/>
        <v>0</v>
      </c>
      <c r="FJ148" s="139">
        <f t="shared" si="152"/>
        <v>0</v>
      </c>
      <c r="FK148" s="139">
        <f t="shared" si="153"/>
        <v>0</v>
      </c>
      <c r="FL148" s="139">
        <f t="shared" si="154"/>
        <v>0</v>
      </c>
      <c r="FM148" s="139">
        <f t="shared" si="155"/>
        <v>0</v>
      </c>
      <c r="FN148" s="139">
        <f t="shared" si="156"/>
        <v>0</v>
      </c>
      <c r="FO148" s="139">
        <f t="shared" si="157"/>
        <v>0</v>
      </c>
      <c r="FP148" s="139">
        <f t="shared" si="158"/>
        <v>0</v>
      </c>
      <c r="FQ148" s="139">
        <f t="shared" si="159"/>
        <v>0</v>
      </c>
      <c r="FR148" s="139">
        <f t="shared" si="160"/>
        <v>0</v>
      </c>
      <c r="FS148" s="139">
        <f t="shared" si="161"/>
        <v>0</v>
      </c>
      <c r="FT148" s="139">
        <f t="shared" si="162"/>
        <v>0</v>
      </c>
      <c r="FU148" s="148">
        <f t="shared" si="163"/>
        <v>0</v>
      </c>
      <c r="FV148" s="149"/>
      <c r="FY148" s="212">
        <v>143</v>
      </c>
      <c r="FZ148">
        <v>0.89475183689064763</v>
      </c>
      <c r="GA148">
        <v>26.462048869373348</v>
      </c>
      <c r="GB148">
        <v>26.841917571648043</v>
      </c>
      <c r="GC148">
        <v>8.5295009406760833</v>
      </c>
      <c r="GD148">
        <v>0.97161234625503046</v>
      </c>
      <c r="GE148">
        <v>0</v>
      </c>
      <c r="GF148">
        <v>0.80138167652982462</v>
      </c>
      <c r="GG148">
        <v>3.9006838869232907</v>
      </c>
      <c r="GH148">
        <v>0</v>
      </c>
      <c r="GI148">
        <v>13.371847517321315</v>
      </c>
      <c r="GJ148"/>
      <c r="GK148"/>
      <c r="GL148"/>
      <c r="GM148"/>
    </row>
    <row r="149" spans="1:195" s="7" customFormat="1">
      <c r="A149" s="77"/>
      <c r="B149" s="76">
        <f ca="1">IF(C149="", "", RAND())</f>
        <v>0.49429744805475195</v>
      </c>
      <c r="C149">
        <v>1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12.593137254901958</v>
      </c>
      <c r="AO149">
        <v>26.556885975541995</v>
      </c>
      <c r="AP149">
        <v>596.01943666902639</v>
      </c>
      <c r="AQ149">
        <v>57.55056200549852</v>
      </c>
      <c r="AR149">
        <v>24.176603886229874</v>
      </c>
      <c r="AS149">
        <v>162.75662268559097</v>
      </c>
      <c r="AT149" t="e">
        <v>#DIV/0!</v>
      </c>
      <c r="AU149" t="e">
        <v>#DIV/0!</v>
      </c>
      <c r="AV149"/>
      <c r="AW149"/>
      <c r="AX149" s="151"/>
      <c r="AY149" s="76">
        <f t="shared" ca="1" si="87"/>
        <v>0.96148312304002292</v>
      </c>
      <c r="AZ149">
        <v>2</v>
      </c>
      <c r="BA149" s="129">
        <f t="shared" ref="BA149:BA157" si="169">IF(AZ149="", "",$C$10)</f>
        <v>39847</v>
      </c>
      <c r="BB149">
        <v>0</v>
      </c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9"/>
        <v>0.60912942385004865</v>
      </c>
      <c r="CL149" s="179">
        <f t="shared" si="90"/>
        <v>2</v>
      </c>
      <c r="CM149" s="180">
        <f t="shared" si="91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0.43504799414812112</v>
      </c>
      <c r="DD149">
        <f t="shared" si="93"/>
        <v>2</v>
      </c>
      <c r="DE149" s="129">
        <f t="shared" si="168"/>
        <v>39847</v>
      </c>
      <c r="DF149" s="161">
        <f t="shared" si="94"/>
        <v>0</v>
      </c>
      <c r="DG149" s="161">
        <f t="shared" si="95"/>
        <v>0</v>
      </c>
      <c r="DH149" s="161">
        <f t="shared" si="96"/>
        <v>0</v>
      </c>
      <c r="DI149" s="161">
        <f t="shared" si="97"/>
        <v>0</v>
      </c>
      <c r="DJ149" s="161">
        <f t="shared" si="98"/>
        <v>0</v>
      </c>
      <c r="DK149" s="161">
        <f t="shared" si="99"/>
        <v>0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1"/>
        <v>0</v>
      </c>
      <c r="EL149" s="149"/>
      <c r="EN149" s="151"/>
      <c r="EO149" s="151"/>
      <c r="EP149" s="139">
        <f t="shared" si="132"/>
        <v>0</v>
      </c>
      <c r="EQ149" s="139">
        <f t="shared" si="133"/>
        <v>0</v>
      </c>
      <c r="ER149" s="139">
        <f t="shared" si="134"/>
        <v>0</v>
      </c>
      <c r="ES149" s="139">
        <f t="shared" si="135"/>
        <v>0</v>
      </c>
      <c r="ET149" s="139">
        <f t="shared" si="136"/>
        <v>0</v>
      </c>
      <c r="EU149" s="139">
        <f t="shared" si="137"/>
        <v>0</v>
      </c>
      <c r="EV149" s="139">
        <f t="shared" si="138"/>
        <v>0</v>
      </c>
      <c r="EW149" s="139">
        <f t="shared" si="139"/>
        <v>0</v>
      </c>
      <c r="EX149" s="139">
        <f t="shared" si="140"/>
        <v>0</v>
      </c>
      <c r="EY149" s="139">
        <f t="shared" si="141"/>
        <v>0</v>
      </c>
      <c r="EZ149" s="139">
        <f t="shared" si="142"/>
        <v>0</v>
      </c>
      <c r="FA149" s="139">
        <f t="shared" si="143"/>
        <v>0</v>
      </c>
      <c r="FB149" s="139">
        <f t="shared" si="144"/>
        <v>0</v>
      </c>
      <c r="FC149" s="139">
        <f t="shared" si="145"/>
        <v>0</v>
      </c>
      <c r="FD149" s="139">
        <f t="shared" si="146"/>
        <v>0</v>
      </c>
      <c r="FE149" s="139">
        <f t="shared" si="147"/>
        <v>0</v>
      </c>
      <c r="FF149" s="139">
        <f t="shared" si="148"/>
        <v>0</v>
      </c>
      <c r="FG149" s="139">
        <f t="shared" si="149"/>
        <v>0</v>
      </c>
      <c r="FH149" s="139">
        <f t="shared" si="150"/>
        <v>0</v>
      </c>
      <c r="FI149" s="139">
        <f t="shared" si="151"/>
        <v>0</v>
      </c>
      <c r="FJ149" s="139">
        <f t="shared" si="152"/>
        <v>0</v>
      </c>
      <c r="FK149" s="139">
        <f t="shared" si="153"/>
        <v>0</v>
      </c>
      <c r="FL149" s="139">
        <f t="shared" si="154"/>
        <v>0</v>
      </c>
      <c r="FM149" s="139">
        <f t="shared" si="155"/>
        <v>0</v>
      </c>
      <c r="FN149" s="139">
        <f t="shared" si="156"/>
        <v>0</v>
      </c>
      <c r="FO149" s="139">
        <f t="shared" si="157"/>
        <v>0</v>
      </c>
      <c r="FP149" s="139">
        <f t="shared" si="158"/>
        <v>0</v>
      </c>
      <c r="FQ149" s="139">
        <f t="shared" si="159"/>
        <v>0</v>
      </c>
      <c r="FR149" s="139">
        <f t="shared" si="160"/>
        <v>0</v>
      </c>
      <c r="FS149" s="139">
        <f t="shared" si="161"/>
        <v>0</v>
      </c>
      <c r="FT149" s="139">
        <f t="shared" si="162"/>
        <v>0</v>
      </c>
      <c r="FU149" s="148">
        <f t="shared" si="163"/>
        <v>0</v>
      </c>
      <c r="FV149" s="149"/>
      <c r="FY149" s="212">
        <v>144</v>
      </c>
      <c r="FZ149">
        <v>0.74064316864268975</v>
      </c>
      <c r="GA149">
        <v>14.356095627097694</v>
      </c>
      <c r="GB149">
        <v>13.231989627329526</v>
      </c>
      <c r="GC149">
        <v>5.3095599582467026</v>
      </c>
      <c r="GD149">
        <v>1.5557936331285509</v>
      </c>
      <c r="GE149">
        <v>0.35947809610506914</v>
      </c>
      <c r="GF149">
        <v>0</v>
      </c>
      <c r="GG149">
        <v>1.6632147722979369</v>
      </c>
      <c r="GH149">
        <v>3.245920257062465</v>
      </c>
      <c r="GI149">
        <v>7.1137252014384558</v>
      </c>
      <c r="GJ149"/>
      <c r="GK149"/>
      <c r="GL149"/>
      <c r="GM149"/>
    </row>
    <row r="150" spans="1:195" s="7" customFormat="1">
      <c r="A150" s="77"/>
      <c r="B150" s="76">
        <f ca="1">IF(C150="", "", RAND())</f>
        <v>1.1191115062357149E-2</v>
      </c>
      <c r="C150">
        <v>8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11.153860294117647</v>
      </c>
      <c r="AO150">
        <v>39.318158321665472</v>
      </c>
      <c r="AP150">
        <v>688.17875140000831</v>
      </c>
      <c r="AQ150">
        <v>60.86849229464994</v>
      </c>
      <c r="AR150">
        <v>35.879701380826333</v>
      </c>
      <c r="AS150">
        <v>240.61429786338601</v>
      </c>
      <c r="AT150" t="e">
        <v>#DIV/0!</v>
      </c>
      <c r="AU150" t="e">
        <v>#DIV/0!</v>
      </c>
      <c r="AV150"/>
      <c r="AW150"/>
      <c r="AX150" s="151"/>
      <c r="AY150" s="76">
        <f t="shared" ca="1" si="87"/>
        <v>0.98462010958550295</v>
      </c>
      <c r="AZ150">
        <v>3</v>
      </c>
      <c r="BA150" s="129">
        <f t="shared" si="169"/>
        <v>39847</v>
      </c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ca="1" si="89"/>
        <v>0.10720625097652636</v>
      </c>
      <c r="CL150" s="179">
        <f t="shared" si="90"/>
        <v>3</v>
      </c>
      <c r="CM150" s="180">
        <f t="shared" si="91"/>
        <v>39847</v>
      </c>
      <c r="CN150"/>
      <c r="CO150"/>
      <c r="CP150"/>
      <c r="CQ150"/>
      <c r="CR150"/>
      <c r="CS150"/>
      <c r="CT150"/>
      <c r="CU150"/>
      <c r="CV150" s="160"/>
      <c r="CW150">
        <v>1</v>
      </c>
      <c r="CX150">
        <v>1</v>
      </c>
      <c r="CY150" s="160"/>
      <c r="CZ150" s="177">
        <f t="shared" si="92"/>
        <v>9.6000000000000002E-2</v>
      </c>
      <c r="DB150" s="151"/>
      <c r="DC150" s="76">
        <f t="shared" ca="1" si="50"/>
        <v>0.95195015702200525</v>
      </c>
      <c r="DD150">
        <f t="shared" si="93"/>
        <v>3</v>
      </c>
      <c r="DE150" s="129">
        <f t="shared" si="168"/>
        <v>39847</v>
      </c>
      <c r="DF150" s="161">
        <f t="shared" si="94"/>
        <v>0</v>
      </c>
      <c r="DG150" s="161">
        <f t="shared" si="95"/>
        <v>0</v>
      </c>
      <c r="DH150" s="161">
        <f t="shared" si="96"/>
        <v>0</v>
      </c>
      <c r="DI150" s="161">
        <f t="shared" si="97"/>
        <v>0</v>
      </c>
      <c r="DJ150" s="161">
        <f t="shared" si="98"/>
        <v>0</v>
      </c>
      <c r="DK150" s="161">
        <f t="shared" si="99"/>
        <v>0</v>
      </c>
      <c r="DL150" s="161">
        <f t="shared" si="100"/>
        <v>0</v>
      </c>
      <c r="DM150" s="161">
        <f t="shared" si="101"/>
        <v>0</v>
      </c>
      <c r="DN150" s="161">
        <f t="shared" si="102"/>
        <v>0</v>
      </c>
      <c r="DO150" s="161">
        <f t="shared" si="103"/>
        <v>0</v>
      </c>
      <c r="DP150" s="161">
        <f t="shared" si="104"/>
        <v>0</v>
      </c>
      <c r="DQ150" s="161">
        <f t="shared" si="105"/>
        <v>0</v>
      </c>
      <c r="DR150" s="161">
        <f t="shared" si="106"/>
        <v>0</v>
      </c>
      <c r="DS150" s="161">
        <f t="shared" si="107"/>
        <v>0</v>
      </c>
      <c r="DT150" s="161">
        <f t="shared" si="108"/>
        <v>0</v>
      </c>
      <c r="DU150" s="161">
        <f t="shared" si="109"/>
        <v>0</v>
      </c>
      <c r="DV150" s="161">
        <f t="shared" si="110"/>
        <v>0</v>
      </c>
      <c r="DW150" s="161">
        <f t="shared" si="111"/>
        <v>0</v>
      </c>
      <c r="DX150" s="161">
        <f t="shared" si="112"/>
        <v>0</v>
      </c>
      <c r="DY150" s="161">
        <f t="shared" si="113"/>
        <v>0</v>
      </c>
      <c r="DZ150" s="161">
        <f t="shared" si="114"/>
        <v>0</v>
      </c>
      <c r="EA150" s="161">
        <f t="shared" si="115"/>
        <v>0</v>
      </c>
      <c r="EB150" s="161">
        <f t="shared" si="116"/>
        <v>0</v>
      </c>
      <c r="EC150" s="161">
        <f t="shared" si="117"/>
        <v>0</v>
      </c>
      <c r="ED150" s="161">
        <f t="shared" si="118"/>
        <v>0</v>
      </c>
      <c r="EE150" s="161">
        <f t="shared" si="119"/>
        <v>0</v>
      </c>
      <c r="EF150" s="161">
        <f t="shared" si="120"/>
        <v>0</v>
      </c>
      <c r="EG150" s="161">
        <f t="shared" si="121"/>
        <v>0</v>
      </c>
      <c r="EH150" s="161">
        <f t="shared" si="122"/>
        <v>0</v>
      </c>
      <c r="EI150" s="161">
        <f t="shared" si="123"/>
        <v>0</v>
      </c>
      <c r="EJ150" s="161">
        <f t="shared" si="124"/>
        <v>0</v>
      </c>
      <c r="EK150" s="147">
        <f t="shared" si="131"/>
        <v>0</v>
      </c>
      <c r="EL150" s="149"/>
      <c r="EN150" s="151"/>
      <c r="EO150" s="151"/>
      <c r="EP150" s="139">
        <f t="shared" si="132"/>
        <v>0</v>
      </c>
      <c r="EQ150" s="139">
        <f t="shared" si="133"/>
        <v>0</v>
      </c>
      <c r="ER150" s="139">
        <f t="shared" si="134"/>
        <v>0</v>
      </c>
      <c r="ES150" s="139">
        <f t="shared" si="135"/>
        <v>0</v>
      </c>
      <c r="ET150" s="139">
        <f t="shared" si="136"/>
        <v>0</v>
      </c>
      <c r="EU150" s="139">
        <f t="shared" si="137"/>
        <v>0</v>
      </c>
      <c r="EV150" s="139">
        <f t="shared" si="138"/>
        <v>0</v>
      </c>
      <c r="EW150" s="139">
        <f t="shared" si="139"/>
        <v>0</v>
      </c>
      <c r="EX150" s="139">
        <f t="shared" si="140"/>
        <v>0</v>
      </c>
      <c r="EY150" s="139">
        <f t="shared" si="141"/>
        <v>0</v>
      </c>
      <c r="EZ150" s="139">
        <f t="shared" si="142"/>
        <v>0</v>
      </c>
      <c r="FA150" s="139">
        <f t="shared" si="143"/>
        <v>0</v>
      </c>
      <c r="FB150" s="139">
        <f t="shared" si="144"/>
        <v>0</v>
      </c>
      <c r="FC150" s="139">
        <f t="shared" si="145"/>
        <v>0</v>
      </c>
      <c r="FD150" s="139">
        <f t="shared" si="146"/>
        <v>0</v>
      </c>
      <c r="FE150" s="139">
        <f t="shared" si="147"/>
        <v>0</v>
      </c>
      <c r="FF150" s="139">
        <f t="shared" si="148"/>
        <v>0</v>
      </c>
      <c r="FG150" s="139">
        <f t="shared" si="149"/>
        <v>0</v>
      </c>
      <c r="FH150" s="139">
        <f t="shared" si="150"/>
        <v>0</v>
      </c>
      <c r="FI150" s="139">
        <f t="shared" si="151"/>
        <v>0</v>
      </c>
      <c r="FJ150" s="139">
        <f t="shared" si="152"/>
        <v>0</v>
      </c>
      <c r="FK150" s="139">
        <f t="shared" si="153"/>
        <v>0</v>
      </c>
      <c r="FL150" s="139">
        <f t="shared" si="154"/>
        <v>0</v>
      </c>
      <c r="FM150" s="139">
        <f t="shared" si="155"/>
        <v>0</v>
      </c>
      <c r="FN150" s="139">
        <f t="shared" si="156"/>
        <v>0</v>
      </c>
      <c r="FO150" s="139">
        <f t="shared" si="157"/>
        <v>0</v>
      </c>
      <c r="FP150" s="139">
        <f t="shared" si="158"/>
        <v>0</v>
      </c>
      <c r="FQ150" s="139">
        <f t="shared" si="159"/>
        <v>0</v>
      </c>
      <c r="FR150" s="139">
        <f t="shared" si="160"/>
        <v>0</v>
      </c>
      <c r="FS150" s="139">
        <f t="shared" si="161"/>
        <v>0</v>
      </c>
      <c r="FT150" s="139">
        <f t="shared" si="162"/>
        <v>0</v>
      </c>
      <c r="FU150" s="148">
        <f t="shared" si="163"/>
        <v>0</v>
      </c>
      <c r="FV150" s="149"/>
      <c r="FY150" s="212">
        <v>145</v>
      </c>
      <c r="FZ150">
        <v>1.10256564173008</v>
      </c>
      <c r="GA150">
        <v>9.9134632810938914</v>
      </c>
      <c r="GB150">
        <v>12.28757200323682</v>
      </c>
      <c r="GC150">
        <v>4.6640073441277474</v>
      </c>
      <c r="GD150">
        <v>0.59079233598499648</v>
      </c>
      <c r="GE150">
        <v>0</v>
      </c>
      <c r="GF150">
        <v>0.80138167652982462</v>
      </c>
      <c r="GG150">
        <v>3.5759117604405652</v>
      </c>
      <c r="GH150">
        <v>1.6229601285312325</v>
      </c>
      <c r="GI150">
        <v>8.5999183484977522</v>
      </c>
      <c r="GJ150"/>
      <c r="GK150"/>
      <c r="GL150"/>
      <c r="GM150"/>
    </row>
    <row r="151" spans="1:195" s="7" customFormat="1">
      <c r="A151" s="77"/>
      <c r="B151" s="76">
        <f ca="1">IF(C151="", "", RAND())</f>
        <v>0.59966841819408678</v>
      </c>
      <c r="C151">
        <v>5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9.3278186274509789</v>
      </c>
      <c r="AO151">
        <v>30.261066385976545</v>
      </c>
      <c r="AP151">
        <v>273.91190008115188</v>
      </c>
      <c r="AQ151">
        <v>57.528520498326053</v>
      </c>
      <c r="AR151">
        <v>27.612001167190147</v>
      </c>
      <c r="AS151">
        <v>205.63052184664988</v>
      </c>
      <c r="AT151" t="e">
        <v>#DIV/0!</v>
      </c>
      <c r="AU151" t="e">
        <v>#DIV/0!</v>
      </c>
      <c r="AV151"/>
      <c r="AW151"/>
      <c r="AX151" s="151"/>
      <c r="AY151" s="76">
        <f t="shared" ca="1" si="87"/>
        <v>0.78060819585617747</v>
      </c>
      <c r="AZ151">
        <v>4</v>
      </c>
      <c r="BA151" s="129">
        <f t="shared" si="169"/>
        <v>39847</v>
      </c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89"/>
        <v>4.8143429668363158E-2</v>
      </c>
      <c r="CL151" s="179">
        <f t="shared" si="90"/>
        <v>4</v>
      </c>
      <c r="CM151" s="180">
        <f t="shared" si="91"/>
        <v>39847</v>
      </c>
      <c r="CN151"/>
      <c r="CO151"/>
      <c r="CP151"/>
      <c r="CQ151"/>
      <c r="CR151"/>
      <c r="CS151"/>
      <c r="CT151"/>
      <c r="CU151"/>
      <c r="CV151" s="160"/>
      <c r="CW151">
        <v>1</v>
      </c>
      <c r="CX151">
        <v>1</v>
      </c>
      <c r="CY151" s="160"/>
      <c r="CZ151" s="177">
        <f t="shared" si="92"/>
        <v>9.6000000000000002E-2</v>
      </c>
      <c r="DB151" s="151"/>
      <c r="DC151" s="76">
        <f t="shared" ca="1" si="50"/>
        <v>0.85736528069585494</v>
      </c>
      <c r="DD151">
        <f t="shared" si="93"/>
        <v>4</v>
      </c>
      <c r="DE151" s="129">
        <f t="shared" si="168"/>
        <v>39847</v>
      </c>
      <c r="DF151" s="161">
        <f t="shared" si="94"/>
        <v>0</v>
      </c>
      <c r="DG151" s="161">
        <f t="shared" si="95"/>
        <v>0</v>
      </c>
      <c r="DH151" s="161">
        <f t="shared" si="96"/>
        <v>0</v>
      </c>
      <c r="DI151" s="161">
        <f t="shared" si="97"/>
        <v>0</v>
      </c>
      <c r="DJ151" s="161">
        <f t="shared" si="98"/>
        <v>0</v>
      </c>
      <c r="DK151" s="161">
        <f t="shared" si="99"/>
        <v>0</v>
      </c>
      <c r="DL151" s="161">
        <f t="shared" si="100"/>
        <v>0</v>
      </c>
      <c r="DM151" s="161">
        <f t="shared" si="101"/>
        <v>0</v>
      </c>
      <c r="DN151" s="161">
        <f t="shared" si="102"/>
        <v>0</v>
      </c>
      <c r="DO151" s="161">
        <f t="shared" si="103"/>
        <v>0</v>
      </c>
      <c r="DP151" s="161">
        <f t="shared" si="104"/>
        <v>0</v>
      </c>
      <c r="DQ151" s="161">
        <f t="shared" si="105"/>
        <v>0</v>
      </c>
      <c r="DR151" s="161">
        <f t="shared" si="106"/>
        <v>0</v>
      </c>
      <c r="DS151" s="161">
        <f t="shared" si="107"/>
        <v>0</v>
      </c>
      <c r="DT151" s="161">
        <f t="shared" si="108"/>
        <v>0</v>
      </c>
      <c r="DU151" s="161">
        <f t="shared" si="109"/>
        <v>0</v>
      </c>
      <c r="DV151" s="161">
        <f t="shared" si="110"/>
        <v>0</v>
      </c>
      <c r="DW151" s="161">
        <f t="shared" si="111"/>
        <v>0</v>
      </c>
      <c r="DX151" s="161">
        <f t="shared" si="112"/>
        <v>0</v>
      </c>
      <c r="DY151" s="161">
        <f t="shared" si="113"/>
        <v>0</v>
      </c>
      <c r="DZ151" s="161">
        <f t="shared" si="114"/>
        <v>0</v>
      </c>
      <c r="EA151" s="161">
        <f t="shared" si="115"/>
        <v>0</v>
      </c>
      <c r="EB151" s="161">
        <f t="shared" si="116"/>
        <v>0</v>
      </c>
      <c r="EC151" s="161">
        <f t="shared" si="117"/>
        <v>0</v>
      </c>
      <c r="ED151" s="161">
        <f t="shared" si="118"/>
        <v>0</v>
      </c>
      <c r="EE151" s="161">
        <f t="shared" si="119"/>
        <v>0</v>
      </c>
      <c r="EF151" s="161">
        <f t="shared" si="120"/>
        <v>0</v>
      </c>
      <c r="EG151" s="161">
        <f t="shared" si="121"/>
        <v>0</v>
      </c>
      <c r="EH151" s="161">
        <f t="shared" si="122"/>
        <v>0</v>
      </c>
      <c r="EI151" s="161">
        <f t="shared" si="123"/>
        <v>0</v>
      </c>
      <c r="EJ151" s="161">
        <f t="shared" si="124"/>
        <v>0</v>
      </c>
      <c r="EK151" s="147">
        <f t="shared" si="131"/>
        <v>0</v>
      </c>
      <c r="EL151" s="149"/>
      <c r="EN151" s="151"/>
      <c r="EO151" s="151"/>
      <c r="EP151" s="139">
        <f t="shared" si="132"/>
        <v>0</v>
      </c>
      <c r="EQ151" s="139">
        <f t="shared" si="133"/>
        <v>0</v>
      </c>
      <c r="ER151" s="139">
        <f t="shared" si="134"/>
        <v>0</v>
      </c>
      <c r="ES151" s="139">
        <f t="shared" si="135"/>
        <v>0</v>
      </c>
      <c r="ET151" s="139">
        <f t="shared" si="136"/>
        <v>0</v>
      </c>
      <c r="EU151" s="139">
        <f t="shared" si="137"/>
        <v>0</v>
      </c>
      <c r="EV151" s="139">
        <f t="shared" si="138"/>
        <v>0</v>
      </c>
      <c r="EW151" s="139">
        <f t="shared" si="139"/>
        <v>0</v>
      </c>
      <c r="EX151" s="139">
        <f t="shared" si="140"/>
        <v>0</v>
      </c>
      <c r="EY151" s="139">
        <f t="shared" si="141"/>
        <v>0</v>
      </c>
      <c r="EZ151" s="139">
        <f t="shared" si="142"/>
        <v>0</v>
      </c>
      <c r="FA151" s="139">
        <f t="shared" si="143"/>
        <v>0</v>
      </c>
      <c r="FB151" s="139">
        <f t="shared" si="144"/>
        <v>0</v>
      </c>
      <c r="FC151" s="139">
        <f t="shared" si="145"/>
        <v>0</v>
      </c>
      <c r="FD151" s="139">
        <f t="shared" si="146"/>
        <v>0</v>
      </c>
      <c r="FE151" s="139">
        <f t="shared" si="147"/>
        <v>0</v>
      </c>
      <c r="FF151" s="139">
        <f t="shared" si="148"/>
        <v>0</v>
      </c>
      <c r="FG151" s="139">
        <f t="shared" si="149"/>
        <v>0</v>
      </c>
      <c r="FH151" s="139">
        <f t="shared" si="150"/>
        <v>0</v>
      </c>
      <c r="FI151" s="139">
        <f t="shared" si="151"/>
        <v>0</v>
      </c>
      <c r="FJ151" s="139">
        <f t="shared" si="152"/>
        <v>0</v>
      </c>
      <c r="FK151" s="139">
        <f t="shared" si="153"/>
        <v>0</v>
      </c>
      <c r="FL151" s="139">
        <f t="shared" si="154"/>
        <v>0</v>
      </c>
      <c r="FM151" s="139">
        <f t="shared" si="155"/>
        <v>0</v>
      </c>
      <c r="FN151" s="139">
        <f t="shared" si="156"/>
        <v>0</v>
      </c>
      <c r="FO151" s="139">
        <f t="shared" si="157"/>
        <v>0</v>
      </c>
      <c r="FP151" s="139">
        <f t="shared" si="158"/>
        <v>0</v>
      </c>
      <c r="FQ151" s="139">
        <f t="shared" si="159"/>
        <v>0</v>
      </c>
      <c r="FR151" s="139">
        <f t="shared" si="160"/>
        <v>0</v>
      </c>
      <c r="FS151" s="139">
        <f t="shared" si="161"/>
        <v>0</v>
      </c>
      <c r="FT151" s="139">
        <f t="shared" si="162"/>
        <v>0</v>
      </c>
      <c r="FU151" s="148">
        <f t="shared" si="163"/>
        <v>0</v>
      </c>
      <c r="FV151" s="149"/>
      <c r="FY151" s="212">
        <v>146</v>
      </c>
      <c r="FZ151">
        <v>1.273472532445947</v>
      </c>
      <c r="GA151">
        <v>9.0113027315034806</v>
      </c>
      <c r="GB151">
        <v>9.0041398967312798</v>
      </c>
      <c r="GC151">
        <v>3.4528130256503666</v>
      </c>
      <c r="GD151">
        <v>0.73548044834107595</v>
      </c>
      <c r="GE151">
        <v>0</v>
      </c>
      <c r="GF151">
        <v>2.4041450295894737</v>
      </c>
      <c r="GG151">
        <v>8.2329131228747894</v>
      </c>
      <c r="GH151">
        <v>0</v>
      </c>
      <c r="GI151">
        <v>10.180089576572801</v>
      </c>
      <c r="GJ151"/>
      <c r="GK151"/>
      <c r="GL151"/>
      <c r="GM151"/>
    </row>
    <row r="152" spans="1:195" s="7" customFormat="1">
      <c r="A152" s="77"/>
      <c r="B152" s="76">
        <f ca="1">IF(C152="", "", RAND())</f>
        <v>0.34182749291103054</v>
      </c>
      <c r="C152">
        <v>3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13.523345588235292</v>
      </c>
      <c r="AO152">
        <v>38.965419543961389</v>
      </c>
      <c r="AP152">
        <v>809.29012413303553</v>
      </c>
      <c r="AQ152">
        <v>58.668450637413173</v>
      </c>
      <c r="AR152">
        <v>35.423108676328539</v>
      </c>
      <c r="AS152">
        <v>178.07103788871299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0">IF(AZ152="", "", RAND())</f>
        <v>0.88630984370000299</v>
      </c>
      <c r="AZ152">
        <v>5</v>
      </c>
      <c r="BA152" s="129">
        <f t="shared" si="169"/>
        <v>39847</v>
      </c>
      <c r="BB152">
        <v>0</v>
      </c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9"/>
        <v>0.85853188580483231</v>
      </c>
      <c r="CL152" s="179">
        <f t="shared" si="90"/>
        <v>5</v>
      </c>
      <c r="CM152" s="180">
        <f t="shared" si="91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1">IF(DD152="", "", RAND())</f>
        <v>0.62170073386955882</v>
      </c>
      <c r="DD152">
        <f t="shared" si="93"/>
        <v>5</v>
      </c>
      <c r="DE152" s="129">
        <f t="shared" si="168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0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2">IF(DF152="", "", SUM(DF152:EJ152))</f>
        <v>0</v>
      </c>
      <c r="EL152" s="149"/>
      <c r="EN152" s="151"/>
      <c r="EO152" s="151"/>
      <c r="EP152" s="139">
        <f t="shared" ref="EP152:EP183" si="173">IF(DF152="", "", DF152*G$36)</f>
        <v>0</v>
      </c>
      <c r="EQ152" s="139">
        <f t="shared" ref="EQ152:EQ183" si="174">IF(DG152="", "", DG152*H$36)</f>
        <v>0</v>
      </c>
      <c r="ER152" s="139">
        <f t="shared" ref="ER152:ER183" si="175">IF(DH152="", "", DH152*I$36)</f>
        <v>0</v>
      </c>
      <c r="ES152" s="139">
        <f t="shared" ref="ES152:ES183" si="176">IF(DI152="", "", DI152*J$36)</f>
        <v>0</v>
      </c>
      <c r="ET152" s="139">
        <f t="shared" ref="ET152:ET183" si="177">IF(DJ152="", "", DJ152*K$36)</f>
        <v>0</v>
      </c>
      <c r="EU152" s="139">
        <f t="shared" ref="EU152:EU183" si="178">IF(DK152="", "", DK152*L$36)</f>
        <v>0</v>
      </c>
      <c r="EV152" s="139">
        <f t="shared" ref="EV152:EV183" si="179">IF(DL152="", "", DL152*M$36)</f>
        <v>0</v>
      </c>
      <c r="EW152" s="139">
        <f t="shared" ref="EW152:EW183" si="180">IF(DM152="", "", DM152*N$36)</f>
        <v>0</v>
      </c>
      <c r="EX152" s="139">
        <f t="shared" ref="EX152:EX183" si="181">IF(DN152="", "", DN152*O$36)</f>
        <v>0</v>
      </c>
      <c r="EY152" s="139">
        <f t="shared" ref="EY152:EY183" si="182">IF(DO152="", "", DO152*P$36)</f>
        <v>0</v>
      </c>
      <c r="EZ152" s="139">
        <f t="shared" ref="EZ152:EZ183" si="183">IF(DP152="", "", DP152*Q$36)</f>
        <v>0</v>
      </c>
      <c r="FA152" s="139">
        <f t="shared" ref="FA152:FA183" si="184">IF(DQ152="", "", DQ152*R$36)</f>
        <v>0</v>
      </c>
      <c r="FB152" s="139">
        <f t="shared" ref="FB152:FB183" si="185">IF(DR152="", "", DR152*S$36)</f>
        <v>0</v>
      </c>
      <c r="FC152" s="139">
        <f t="shared" ref="FC152:FC183" si="186">IF(DS152="", "", DS152*T$36)</f>
        <v>0</v>
      </c>
      <c r="FD152" s="139">
        <f t="shared" ref="FD152:FD183" si="187">IF(DT152="", "", DT152*U$36)</f>
        <v>0</v>
      </c>
      <c r="FE152" s="139">
        <f t="shared" ref="FE152:FE183" si="188">IF(DU152="", "", DU152*V$36)</f>
        <v>0</v>
      </c>
      <c r="FF152" s="139">
        <f t="shared" ref="FF152:FF183" si="189">IF(DV152="", "", DV152*W$36)</f>
        <v>0</v>
      </c>
      <c r="FG152" s="139">
        <f t="shared" ref="FG152:FG183" si="190">IF(DW152="", "", DW152*X$36)</f>
        <v>0</v>
      </c>
      <c r="FH152" s="139">
        <f t="shared" ref="FH152:FH183" si="191">IF(DX152="", "", DX152*Y$36)</f>
        <v>0</v>
      </c>
      <c r="FI152" s="139">
        <f t="shared" ref="FI152:FI183" si="192">IF(DY152="", "", DY152*Z$36)</f>
        <v>0</v>
      </c>
      <c r="FJ152" s="139">
        <f t="shared" ref="FJ152:FJ183" si="193">IF(DZ152="", "", DZ152*AA$36)</f>
        <v>0</v>
      </c>
      <c r="FK152" s="139">
        <f t="shared" ref="FK152:FK183" si="194">IF(EA152="", "", EA152*AB$36)</f>
        <v>0</v>
      </c>
      <c r="FL152" s="139">
        <f t="shared" ref="FL152:FL183" si="195">IF(EB152="", "", EB152*AC$36)</f>
        <v>0</v>
      </c>
      <c r="FM152" s="139">
        <f t="shared" ref="FM152:FM183" si="196">IF(EC152="", "", EC152*AD$36)</f>
        <v>0</v>
      </c>
      <c r="FN152" s="139">
        <f t="shared" ref="FN152:FN183" si="197">IF(ED152="", "", ED152*AE$36)</f>
        <v>0</v>
      </c>
      <c r="FO152" s="139">
        <f t="shared" ref="FO152:FO183" si="198">IF(EE152="", "", EE152*AF$36)</f>
        <v>0</v>
      </c>
      <c r="FP152" s="139">
        <f t="shared" ref="FP152:FP183" si="199">IF(EF152="", "", EF152*AG$36)</f>
        <v>0</v>
      </c>
      <c r="FQ152" s="139">
        <f t="shared" ref="FQ152:FQ183" si="200">IF(EG152="", "", EG152*AH$36)</f>
        <v>0</v>
      </c>
      <c r="FR152" s="139">
        <f t="shared" ref="FR152:FR183" si="201">IF(EH152="", "", EH152*AI$36)</f>
        <v>0</v>
      </c>
      <c r="FS152" s="139">
        <f t="shared" ref="FS152:FS183" si="202">IF(EI152="", "", EI152*AJ$36)</f>
        <v>0</v>
      </c>
      <c r="FT152" s="139">
        <f t="shared" ref="FT152:FT183" si="203">IF(EJ152="", "", EJ152*AK$36)</f>
        <v>0</v>
      </c>
      <c r="FU152" s="148">
        <f t="shared" ref="FU152:FU183" si="204">IF(EP152="","",SUM(EP152:FT152))</f>
        <v>0</v>
      </c>
      <c r="FV152" s="149"/>
      <c r="FY152" s="212">
        <v>147</v>
      </c>
      <c r="FZ152">
        <v>0.72384494617478023</v>
      </c>
      <c r="GA152">
        <v>25.255597309432762</v>
      </c>
      <c r="GB152">
        <v>18.813580553516061</v>
      </c>
      <c r="GC152">
        <v>5.1872406468354946</v>
      </c>
      <c r="GD152">
        <v>1.4698169834869446</v>
      </c>
      <c r="GE152">
        <v>0.71895619221013829</v>
      </c>
      <c r="GF152">
        <v>2.4041450295894737</v>
      </c>
      <c r="GG152">
        <v>9.0645205090237582</v>
      </c>
      <c r="GH152">
        <v>1.6229601285312325</v>
      </c>
      <c r="GI152">
        <v>13.461728573304658</v>
      </c>
      <c r="GJ152"/>
      <c r="GK152"/>
      <c r="GL152"/>
      <c r="GM152"/>
    </row>
    <row r="153" spans="1:195" s="7" customFormat="1">
      <c r="A153" s="77"/>
      <c r="B153" s="76">
        <f ca="1">IF(C153="", "", RAND())</f>
        <v>0.79858877839287512</v>
      </c>
      <c r="C153">
        <v>10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10.774693627450981</v>
      </c>
      <c r="AO153">
        <v>31.858581980679126</v>
      </c>
      <c r="AP153">
        <v>847.54530841233191</v>
      </c>
      <c r="AQ153">
        <v>67.838303305611845</v>
      </c>
      <c r="AR153">
        <v>28.96234725516284</v>
      </c>
      <c r="AS153">
        <v>195.68350686045767</v>
      </c>
      <c r="AT153" t="e">
        <v>#DIV/0!</v>
      </c>
      <c r="AU153" t="e">
        <v>#DIV/0!</v>
      </c>
      <c r="AV153"/>
      <c r="AW153"/>
      <c r="AX153" s="151"/>
      <c r="AY153" s="76">
        <f t="shared" ca="1" si="170"/>
        <v>0.61378288065828457</v>
      </c>
      <c r="AZ153">
        <v>6</v>
      </c>
      <c r="BA153" s="129">
        <f t="shared" si="169"/>
        <v>39847</v>
      </c>
      <c r="BB153">
        <v>0</v>
      </c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5">IF(AZ153="", "", RAND())</f>
        <v>0.43382491685427382</v>
      </c>
      <c r="CL153" s="179">
        <f t="shared" ref="CL153:CL207" si="206">IF(AZ153="", "", AZ153)</f>
        <v>6</v>
      </c>
      <c r="CM153" s="180">
        <f t="shared" ref="CM153:CM207" si="207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08">IF(AZ153="", "", $G$15)</f>
        <v>9.6000000000000002E-2</v>
      </c>
      <c r="DB153" s="151"/>
      <c r="DC153" s="76">
        <f t="shared" ca="1" si="171"/>
        <v>9.1802498066382299E-2</v>
      </c>
      <c r="DD153">
        <f t="shared" ref="DD153:DD207" si="209">IF(AZ153="", "", AZ153)</f>
        <v>6</v>
      </c>
      <c r="DE153" s="129">
        <f t="shared" si="168"/>
        <v>39847</v>
      </c>
      <c r="DF153" s="161">
        <f t="shared" ref="DF153:DF187" si="210">IF($AZ153="", "", ((BB153*$CW153)+(CN153*$CX153))/$CZ153)</f>
        <v>0</v>
      </c>
      <c r="DG153" s="161">
        <f t="shared" ref="DG153:DG187" si="211">IF($AZ153="", "", ((BC153*$CW153)+(CO153*$CX153))/$CZ153)</f>
        <v>0</v>
      </c>
      <c r="DH153" s="161">
        <f t="shared" ref="DH153:DH187" si="212">IF($AZ153="", "", ((BD153*$CW153)+(CP153*$CX153))/$CZ153)</f>
        <v>0</v>
      </c>
      <c r="DI153" s="161">
        <f t="shared" ref="DI153:DI187" si="213">IF($AZ153="", "", ((BE153*$CW153)+(CQ153*$CX153))/$CZ153)</f>
        <v>0</v>
      </c>
      <c r="DJ153" s="161">
        <f t="shared" ref="DJ153:DJ187" si="214">IF($AZ153="", "", ((BF153*$CW153)+(CR153*$CX153))/$CZ153)</f>
        <v>0</v>
      </c>
      <c r="DK153" s="161">
        <f t="shared" ref="DK153:DK187" si="215">IF($AZ153="", "", ((BG153*$CW153)+(CS153*$CX153))/$CZ153)</f>
        <v>0</v>
      </c>
      <c r="DL153" s="161">
        <f t="shared" ref="DL153:DL187" si="216">IF($AZ153="", "", ((BH153*$CW153)+(CT153*$CX153))/$CZ153)</f>
        <v>0</v>
      </c>
      <c r="DM153" s="161">
        <f t="shared" ref="DM153:DM187" si="217">IF($AZ153="", "", ((BI153*$CW153)+(CU153*$CX153))/$CZ153)</f>
        <v>0</v>
      </c>
      <c r="DN153" s="161">
        <f t="shared" ref="DN153:DN187" si="218">IF($AZ153="", "", (BJ153*$CW153)/$CZ153)</f>
        <v>0</v>
      </c>
      <c r="DO153" s="161">
        <f t="shared" ref="DO153:DO187" si="219">IF($AZ153="", "", (BK153*$CW153)/$CZ153)</f>
        <v>0</v>
      </c>
      <c r="DP153" s="161">
        <f t="shared" ref="DP153:DP187" si="220">IF($AZ153="", "", (BL153*$CW153)/$CZ153)</f>
        <v>0</v>
      </c>
      <c r="DQ153" s="161">
        <f t="shared" ref="DQ153:DQ187" si="221">IF($AZ153="", "", (BM153*$CW153)/$CZ153)</f>
        <v>0</v>
      </c>
      <c r="DR153" s="161">
        <f t="shared" ref="DR153:DR187" si="222">IF($AZ153="", "", (BN153*$CW153)/$CZ153)</f>
        <v>0</v>
      </c>
      <c r="DS153" s="161">
        <f t="shared" ref="DS153:DS187" si="223">IF($AZ153="", "", (BO153*$CW153)/$CZ153)</f>
        <v>0</v>
      </c>
      <c r="DT153" s="161">
        <f t="shared" ref="DT153:DT187" si="224">IF($AZ153="", "", (BP153*$CW153)/$CZ153)</f>
        <v>0</v>
      </c>
      <c r="DU153" s="161">
        <f t="shared" ref="DU153:DU187" si="225">IF($AZ153="", "", (BQ153*$CW153)/$CZ153)</f>
        <v>0</v>
      </c>
      <c r="DV153" s="161">
        <f t="shared" ref="DV153:DV187" si="226">IF($AZ153="", "", (BR153*$CW153)/$CZ153)</f>
        <v>0</v>
      </c>
      <c r="DW153" s="161">
        <f t="shared" ref="DW153:DW187" si="227">IF($AZ153="", "", (BS153*$CW153)/$CZ153)</f>
        <v>0</v>
      </c>
      <c r="DX153" s="161">
        <f t="shared" ref="DX153:DX187" si="228">IF($AZ153="", "", (BT153*$CW153)/$CZ153)</f>
        <v>0</v>
      </c>
      <c r="DY153" s="161">
        <f t="shared" ref="DY153:DY187" si="229">IF($AZ153="", "", (BU153*$CW153)/$CZ153)</f>
        <v>0</v>
      </c>
      <c r="DZ153" s="161">
        <f t="shared" ref="DZ153:DZ187" si="230">IF($AZ153="", "", (BV153*$CW153)/$CZ153)</f>
        <v>0</v>
      </c>
      <c r="EA153" s="161">
        <f t="shared" ref="EA153:EA187" si="231">IF($AZ153="", "", (BW153*$CW153)/$CZ153)</f>
        <v>0</v>
      </c>
      <c r="EB153" s="161">
        <f t="shared" ref="EB153:EB187" si="232">IF($AZ153="", "", (BX153*$CW153)/$CZ153)</f>
        <v>0</v>
      </c>
      <c r="EC153" s="161">
        <f t="shared" ref="EC153:EC187" si="233">IF($AZ153="", "", (BY153*$CW153)/$CZ153)</f>
        <v>0</v>
      </c>
      <c r="ED153" s="161">
        <f t="shared" ref="ED153:ED187" si="234">IF($AZ153="", "", (BZ153*$CW153)/$CZ153)</f>
        <v>0</v>
      </c>
      <c r="EE153" s="161">
        <f t="shared" ref="EE153:EE187" si="235">IF($AZ153="", "", (CA153*$CW153)/$CZ153)</f>
        <v>0</v>
      </c>
      <c r="EF153" s="161">
        <f t="shared" ref="EF153:EF187" si="236">IF($AZ153="", "", (CB153*$CW153)/$CZ153)</f>
        <v>0</v>
      </c>
      <c r="EG153" s="161">
        <f t="shared" ref="EG153:EG187" si="237">IF($AZ153="", "", (CC153*$CW153)/$CZ153)</f>
        <v>0</v>
      </c>
      <c r="EH153" s="161">
        <f t="shared" ref="EH153:EH187" si="238">IF($AZ153="", "", (CD153*$CW153)/$CZ153)</f>
        <v>0</v>
      </c>
      <c r="EI153" s="161">
        <f t="shared" ref="EI153:EI187" si="239">IF($AZ153="", "", (CE153*$CW153)/$CZ153)</f>
        <v>0</v>
      </c>
      <c r="EJ153" s="161">
        <f t="shared" ref="EJ153:EJ187" si="240">IF($AZ153="", "", (CF153*$CW153)/$CZ153)</f>
        <v>0</v>
      </c>
      <c r="EK153" s="147">
        <f t="shared" si="172"/>
        <v>0</v>
      </c>
      <c r="EL153" s="149"/>
      <c r="EN153" s="151"/>
      <c r="EO153" s="151"/>
      <c r="EP153" s="139">
        <f t="shared" si="173"/>
        <v>0</v>
      </c>
      <c r="EQ153" s="139">
        <f t="shared" si="174"/>
        <v>0</v>
      </c>
      <c r="ER153" s="139">
        <f t="shared" si="175"/>
        <v>0</v>
      </c>
      <c r="ES153" s="139">
        <f t="shared" si="176"/>
        <v>0</v>
      </c>
      <c r="ET153" s="139">
        <f t="shared" si="177"/>
        <v>0</v>
      </c>
      <c r="EU153" s="139">
        <f t="shared" si="178"/>
        <v>0</v>
      </c>
      <c r="EV153" s="139">
        <f t="shared" si="179"/>
        <v>0</v>
      </c>
      <c r="EW153" s="139">
        <f t="shared" si="180"/>
        <v>0</v>
      </c>
      <c r="EX153" s="139">
        <f t="shared" si="181"/>
        <v>0</v>
      </c>
      <c r="EY153" s="139">
        <f t="shared" si="182"/>
        <v>0</v>
      </c>
      <c r="EZ153" s="139">
        <f t="shared" si="183"/>
        <v>0</v>
      </c>
      <c r="FA153" s="139">
        <f t="shared" si="184"/>
        <v>0</v>
      </c>
      <c r="FB153" s="139">
        <f t="shared" si="185"/>
        <v>0</v>
      </c>
      <c r="FC153" s="139">
        <f t="shared" si="186"/>
        <v>0</v>
      </c>
      <c r="FD153" s="139">
        <f t="shared" si="187"/>
        <v>0</v>
      </c>
      <c r="FE153" s="139">
        <f t="shared" si="188"/>
        <v>0</v>
      </c>
      <c r="FF153" s="139">
        <f t="shared" si="189"/>
        <v>0</v>
      </c>
      <c r="FG153" s="139">
        <f t="shared" si="190"/>
        <v>0</v>
      </c>
      <c r="FH153" s="139">
        <f t="shared" si="191"/>
        <v>0</v>
      </c>
      <c r="FI153" s="139">
        <f t="shared" si="192"/>
        <v>0</v>
      </c>
      <c r="FJ153" s="139">
        <f t="shared" si="193"/>
        <v>0</v>
      </c>
      <c r="FK153" s="139">
        <f t="shared" si="194"/>
        <v>0</v>
      </c>
      <c r="FL153" s="139">
        <f t="shared" si="195"/>
        <v>0</v>
      </c>
      <c r="FM153" s="139">
        <f t="shared" si="196"/>
        <v>0</v>
      </c>
      <c r="FN153" s="139">
        <f t="shared" si="197"/>
        <v>0</v>
      </c>
      <c r="FO153" s="139">
        <f t="shared" si="198"/>
        <v>0</v>
      </c>
      <c r="FP153" s="139">
        <f t="shared" si="199"/>
        <v>0</v>
      </c>
      <c r="FQ153" s="139">
        <f t="shared" si="200"/>
        <v>0</v>
      </c>
      <c r="FR153" s="139">
        <f t="shared" si="201"/>
        <v>0</v>
      </c>
      <c r="FS153" s="139">
        <f t="shared" si="202"/>
        <v>0</v>
      </c>
      <c r="FT153" s="139">
        <f t="shared" si="203"/>
        <v>0</v>
      </c>
      <c r="FU153" s="148">
        <f t="shared" si="204"/>
        <v>0</v>
      </c>
      <c r="FV153" s="149"/>
      <c r="FY153" s="212">
        <v>148</v>
      </c>
      <c r="FZ153">
        <v>0.36192247308739012</v>
      </c>
      <c r="GA153">
        <v>20.158636534355839</v>
      </c>
      <c r="GB153">
        <v>17.043014265215909</v>
      </c>
      <c r="GC153">
        <v>4.7615259544116677</v>
      </c>
      <c r="GD153">
        <v>0.69686861824662838</v>
      </c>
      <c r="GE153">
        <v>0</v>
      </c>
      <c r="GF153">
        <v>1.6027633530596492</v>
      </c>
      <c r="GG153">
        <v>6.8984058910480091</v>
      </c>
      <c r="GH153">
        <v>1.6229601285312325</v>
      </c>
      <c r="GI153">
        <v>10.918278106662465</v>
      </c>
      <c r="GJ153"/>
      <c r="GK153"/>
      <c r="GL153"/>
      <c r="GM153"/>
    </row>
    <row r="154" spans="1:195" s="7" customFormat="1">
      <c r="A154" s="77"/>
      <c r="B154" s="76">
        <f ca="1">IF(C154="", "", RAND())</f>
        <v>0.94563059200660593</v>
      </c>
      <c r="C154">
        <v>4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5.989583333333333</v>
      </c>
      <c r="AO154">
        <v>20.122547627191967</v>
      </c>
      <c r="AP154">
        <v>367.59308091643766</v>
      </c>
      <c r="AQ154">
        <v>49.758697438610596</v>
      </c>
      <c r="AR154">
        <v>18.361185659830642</v>
      </c>
      <c r="AS154">
        <v>117.93057127667433</v>
      </c>
      <c r="AT154" t="e">
        <v>#DIV/0!</v>
      </c>
      <c r="AU154" t="e">
        <v>#DIV/0!</v>
      </c>
      <c r="AV154"/>
      <c r="AW154"/>
      <c r="AX154" s="151"/>
      <c r="AY154" s="76">
        <f t="shared" ca="1" si="170"/>
        <v>0.99537060535104449</v>
      </c>
      <c r="AZ154">
        <v>7</v>
      </c>
      <c r="BA154" s="129">
        <f t="shared" si="169"/>
        <v>39847</v>
      </c>
      <c r="BB154">
        <v>0</v>
      </c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5"/>
        <v>0.32376699051944247</v>
      </c>
      <c r="CL154" s="179">
        <f t="shared" si="206"/>
        <v>7</v>
      </c>
      <c r="CM154" s="180">
        <f t="shared" si="207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08"/>
        <v>9.6000000000000002E-2</v>
      </c>
      <c r="DB154" s="151"/>
      <c r="DC154" s="76">
        <f t="shared" ca="1" si="171"/>
        <v>0.58007389416738997</v>
      </c>
      <c r="DD154">
        <f t="shared" si="209"/>
        <v>7</v>
      </c>
      <c r="DE154" s="129">
        <f t="shared" si="168"/>
        <v>39847</v>
      </c>
      <c r="DF154" s="161">
        <f t="shared" si="210"/>
        <v>0</v>
      </c>
      <c r="DG154" s="161">
        <f t="shared" si="211"/>
        <v>0</v>
      </c>
      <c r="DH154" s="161">
        <f t="shared" si="212"/>
        <v>0</v>
      </c>
      <c r="DI154" s="161">
        <f t="shared" si="213"/>
        <v>0</v>
      </c>
      <c r="DJ154" s="161">
        <f t="shared" si="214"/>
        <v>0</v>
      </c>
      <c r="DK154" s="161">
        <f t="shared" si="215"/>
        <v>0</v>
      </c>
      <c r="DL154" s="161">
        <f t="shared" si="216"/>
        <v>0</v>
      </c>
      <c r="DM154" s="161">
        <f t="shared" si="217"/>
        <v>0</v>
      </c>
      <c r="DN154" s="161">
        <f t="shared" si="218"/>
        <v>0</v>
      </c>
      <c r="DO154" s="161">
        <f t="shared" si="219"/>
        <v>0</v>
      </c>
      <c r="DP154" s="161">
        <f t="shared" si="220"/>
        <v>0</v>
      </c>
      <c r="DQ154" s="161">
        <f t="shared" si="221"/>
        <v>0</v>
      </c>
      <c r="DR154" s="161">
        <f t="shared" si="222"/>
        <v>0</v>
      </c>
      <c r="DS154" s="161">
        <f t="shared" si="223"/>
        <v>0</v>
      </c>
      <c r="DT154" s="161">
        <f t="shared" si="224"/>
        <v>0</v>
      </c>
      <c r="DU154" s="161">
        <f t="shared" si="225"/>
        <v>0</v>
      </c>
      <c r="DV154" s="161">
        <f t="shared" si="226"/>
        <v>0</v>
      </c>
      <c r="DW154" s="161">
        <f t="shared" si="227"/>
        <v>0</v>
      </c>
      <c r="DX154" s="161">
        <f t="shared" si="228"/>
        <v>0</v>
      </c>
      <c r="DY154" s="161">
        <f t="shared" si="229"/>
        <v>0</v>
      </c>
      <c r="DZ154" s="161">
        <f t="shared" si="230"/>
        <v>0</v>
      </c>
      <c r="EA154" s="161">
        <f t="shared" si="231"/>
        <v>0</v>
      </c>
      <c r="EB154" s="161">
        <f t="shared" si="232"/>
        <v>0</v>
      </c>
      <c r="EC154" s="161">
        <f t="shared" si="233"/>
        <v>0</v>
      </c>
      <c r="ED154" s="161">
        <f t="shared" si="234"/>
        <v>0</v>
      </c>
      <c r="EE154" s="161">
        <f t="shared" si="235"/>
        <v>0</v>
      </c>
      <c r="EF154" s="161">
        <f t="shared" si="236"/>
        <v>0</v>
      </c>
      <c r="EG154" s="161">
        <f t="shared" si="237"/>
        <v>0</v>
      </c>
      <c r="EH154" s="161">
        <f t="shared" si="238"/>
        <v>0</v>
      </c>
      <c r="EI154" s="161">
        <f t="shared" si="239"/>
        <v>0</v>
      </c>
      <c r="EJ154" s="161">
        <f t="shared" si="240"/>
        <v>0</v>
      </c>
      <c r="EK154" s="147">
        <f t="shared" si="172"/>
        <v>0</v>
      </c>
      <c r="EL154" s="149"/>
      <c r="EN154" s="151"/>
      <c r="EO154" s="151"/>
      <c r="EP154" s="139">
        <f t="shared" si="173"/>
        <v>0</v>
      </c>
      <c r="EQ154" s="139">
        <f t="shared" si="174"/>
        <v>0</v>
      </c>
      <c r="ER154" s="139">
        <f t="shared" si="175"/>
        <v>0</v>
      </c>
      <c r="ES154" s="139">
        <f t="shared" si="176"/>
        <v>0</v>
      </c>
      <c r="ET154" s="139">
        <f t="shared" si="177"/>
        <v>0</v>
      </c>
      <c r="EU154" s="139">
        <f t="shared" si="178"/>
        <v>0</v>
      </c>
      <c r="EV154" s="139">
        <f t="shared" si="179"/>
        <v>0</v>
      </c>
      <c r="EW154" s="139">
        <f t="shared" si="180"/>
        <v>0</v>
      </c>
      <c r="EX154" s="139">
        <f t="shared" si="181"/>
        <v>0</v>
      </c>
      <c r="EY154" s="139">
        <f t="shared" si="182"/>
        <v>0</v>
      </c>
      <c r="EZ154" s="139">
        <f t="shared" si="183"/>
        <v>0</v>
      </c>
      <c r="FA154" s="139">
        <f t="shared" si="184"/>
        <v>0</v>
      </c>
      <c r="FB154" s="139">
        <f t="shared" si="185"/>
        <v>0</v>
      </c>
      <c r="FC154" s="139">
        <f t="shared" si="186"/>
        <v>0</v>
      </c>
      <c r="FD154" s="139">
        <f t="shared" si="187"/>
        <v>0</v>
      </c>
      <c r="FE154" s="139">
        <f t="shared" si="188"/>
        <v>0</v>
      </c>
      <c r="FF154" s="139">
        <f t="shared" si="189"/>
        <v>0</v>
      </c>
      <c r="FG154" s="139">
        <f t="shared" si="190"/>
        <v>0</v>
      </c>
      <c r="FH154" s="139">
        <f t="shared" si="191"/>
        <v>0</v>
      </c>
      <c r="FI154" s="139">
        <f t="shared" si="192"/>
        <v>0</v>
      </c>
      <c r="FJ154" s="139">
        <f t="shared" si="193"/>
        <v>0</v>
      </c>
      <c r="FK154" s="139">
        <f t="shared" si="194"/>
        <v>0</v>
      </c>
      <c r="FL154" s="139">
        <f t="shared" si="195"/>
        <v>0</v>
      </c>
      <c r="FM154" s="139">
        <f t="shared" si="196"/>
        <v>0</v>
      </c>
      <c r="FN154" s="139">
        <f t="shared" si="197"/>
        <v>0</v>
      </c>
      <c r="FO154" s="139">
        <f t="shared" si="198"/>
        <v>0</v>
      </c>
      <c r="FP154" s="139">
        <f t="shared" si="199"/>
        <v>0</v>
      </c>
      <c r="FQ154" s="139">
        <f t="shared" si="200"/>
        <v>0</v>
      </c>
      <c r="FR154" s="139">
        <f t="shared" si="201"/>
        <v>0</v>
      </c>
      <c r="FS154" s="139">
        <f t="shared" si="202"/>
        <v>0</v>
      </c>
      <c r="FT154" s="139">
        <f t="shared" si="203"/>
        <v>0</v>
      </c>
      <c r="FU154" s="148">
        <f t="shared" si="204"/>
        <v>0</v>
      </c>
      <c r="FV154" s="149"/>
      <c r="FY154" s="212">
        <v>149</v>
      </c>
      <c r="FZ154">
        <v>2.7379606472634173</v>
      </c>
      <c r="GA154">
        <v>18.520035618039802</v>
      </c>
      <c r="GB154">
        <v>11.488476237073977</v>
      </c>
      <c r="GC154">
        <v>3.207690565646828</v>
      </c>
      <c r="GD154">
        <v>1.2218243439386898</v>
      </c>
      <c r="GE154">
        <v>0.35947809610506914</v>
      </c>
      <c r="GF154">
        <v>0</v>
      </c>
      <c r="GG154">
        <v>2.4948221584469064</v>
      </c>
      <c r="GH154">
        <v>4.8688803855936991</v>
      </c>
      <c r="GI154">
        <v>6.7649464807861488</v>
      </c>
      <c r="GJ154"/>
      <c r="GK154"/>
      <c r="GL154"/>
      <c r="GM154"/>
    </row>
    <row r="155" spans="1:195" s="7" customFormat="1">
      <c r="A155" s="77"/>
      <c r="B155" s="76">
        <f ca="1">IF(C155="", "", RAND())</f>
        <v>0.77423459495662605</v>
      </c>
      <c r="C155">
        <v>7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11.551470588235292</v>
      </c>
      <c r="AO155">
        <v>39.35808310266107</v>
      </c>
      <c r="AP155">
        <v>522.36646541859875</v>
      </c>
      <c r="AQ155">
        <v>47.640317488647767</v>
      </c>
      <c r="AR155">
        <v>35.814055819974492</v>
      </c>
      <c r="AS155">
        <v>327.86405313073709</v>
      </c>
      <c r="AT155" t="e">
        <v>#DIV/0!</v>
      </c>
      <c r="AU155" t="e">
        <v>#DIV/0!</v>
      </c>
      <c r="AV155"/>
      <c r="AW155"/>
      <c r="AX155" s="151"/>
      <c r="AY155" s="76">
        <f t="shared" ca="1" si="170"/>
        <v>9.1935465905722324E-2</v>
      </c>
      <c r="AZ155">
        <v>8</v>
      </c>
      <c r="BA155" s="129">
        <f t="shared" si="169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5"/>
        <v>0.27643610263199214</v>
      </c>
      <c r="CL155" s="179">
        <f t="shared" si="206"/>
        <v>8</v>
      </c>
      <c r="CM155" s="180">
        <f t="shared" si="207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08"/>
        <v>9.6000000000000002E-2</v>
      </c>
      <c r="DB155" s="151"/>
      <c r="DC155" s="76">
        <f t="shared" ca="1" si="171"/>
        <v>0.8873029403364614</v>
      </c>
      <c r="DD155">
        <f t="shared" si="209"/>
        <v>8</v>
      </c>
      <c r="DE155" s="129">
        <f t="shared" si="168"/>
        <v>39847</v>
      </c>
      <c r="DF155" s="161">
        <f t="shared" si="210"/>
        <v>0</v>
      </c>
      <c r="DG155" s="161">
        <f t="shared" si="211"/>
        <v>0</v>
      </c>
      <c r="DH155" s="161">
        <f t="shared" si="212"/>
        <v>0</v>
      </c>
      <c r="DI155" s="161">
        <f t="shared" si="213"/>
        <v>0</v>
      </c>
      <c r="DJ155" s="161">
        <f t="shared" si="214"/>
        <v>0</v>
      </c>
      <c r="DK155" s="161">
        <f t="shared" si="215"/>
        <v>0</v>
      </c>
      <c r="DL155" s="161">
        <f t="shared" si="216"/>
        <v>0</v>
      </c>
      <c r="DM155" s="161">
        <f t="shared" si="217"/>
        <v>0</v>
      </c>
      <c r="DN155" s="161">
        <f t="shared" si="218"/>
        <v>0</v>
      </c>
      <c r="DO155" s="161">
        <f t="shared" si="219"/>
        <v>0</v>
      </c>
      <c r="DP155" s="161">
        <f t="shared" si="220"/>
        <v>0</v>
      </c>
      <c r="DQ155" s="161">
        <f t="shared" si="221"/>
        <v>0</v>
      </c>
      <c r="DR155" s="161">
        <f t="shared" si="222"/>
        <v>0</v>
      </c>
      <c r="DS155" s="161">
        <f t="shared" si="223"/>
        <v>0</v>
      </c>
      <c r="DT155" s="161">
        <f t="shared" si="224"/>
        <v>0</v>
      </c>
      <c r="DU155" s="161">
        <f t="shared" si="225"/>
        <v>0</v>
      </c>
      <c r="DV155" s="161">
        <f t="shared" si="226"/>
        <v>0</v>
      </c>
      <c r="DW155" s="161">
        <f t="shared" si="227"/>
        <v>0</v>
      </c>
      <c r="DX155" s="161">
        <f t="shared" si="228"/>
        <v>0</v>
      </c>
      <c r="DY155" s="161">
        <f t="shared" si="229"/>
        <v>0</v>
      </c>
      <c r="DZ155" s="161">
        <f t="shared" si="230"/>
        <v>0</v>
      </c>
      <c r="EA155" s="161">
        <f t="shared" si="231"/>
        <v>0</v>
      </c>
      <c r="EB155" s="161">
        <f t="shared" si="232"/>
        <v>0</v>
      </c>
      <c r="EC155" s="161">
        <f t="shared" si="233"/>
        <v>0</v>
      </c>
      <c r="ED155" s="161">
        <f t="shared" si="234"/>
        <v>0</v>
      </c>
      <c r="EE155" s="161">
        <f t="shared" si="235"/>
        <v>0</v>
      </c>
      <c r="EF155" s="161">
        <f t="shared" si="236"/>
        <v>0</v>
      </c>
      <c r="EG155" s="161">
        <f t="shared" si="237"/>
        <v>0</v>
      </c>
      <c r="EH155" s="161">
        <f t="shared" si="238"/>
        <v>0</v>
      </c>
      <c r="EI155" s="161">
        <f t="shared" si="239"/>
        <v>0</v>
      </c>
      <c r="EJ155" s="161">
        <f t="shared" si="240"/>
        <v>0</v>
      </c>
      <c r="EK155" s="147">
        <f t="shared" si="172"/>
        <v>0</v>
      </c>
      <c r="EL155" s="149"/>
      <c r="EN155" s="151"/>
      <c r="EO155" s="151"/>
      <c r="EP155" s="139">
        <f t="shared" si="173"/>
        <v>0</v>
      </c>
      <c r="EQ155" s="139">
        <f t="shared" si="174"/>
        <v>0</v>
      </c>
      <c r="ER155" s="139">
        <f t="shared" si="175"/>
        <v>0</v>
      </c>
      <c r="ES155" s="139">
        <f t="shared" si="176"/>
        <v>0</v>
      </c>
      <c r="ET155" s="139">
        <f t="shared" si="177"/>
        <v>0</v>
      </c>
      <c r="EU155" s="139">
        <f t="shared" si="178"/>
        <v>0</v>
      </c>
      <c r="EV155" s="139">
        <f t="shared" si="179"/>
        <v>0</v>
      </c>
      <c r="EW155" s="139">
        <f t="shared" si="180"/>
        <v>0</v>
      </c>
      <c r="EX155" s="139">
        <f t="shared" si="181"/>
        <v>0</v>
      </c>
      <c r="EY155" s="139">
        <f t="shared" si="182"/>
        <v>0</v>
      </c>
      <c r="EZ155" s="139">
        <f t="shared" si="183"/>
        <v>0</v>
      </c>
      <c r="FA155" s="139">
        <f t="shared" si="184"/>
        <v>0</v>
      </c>
      <c r="FB155" s="139">
        <f t="shared" si="185"/>
        <v>0</v>
      </c>
      <c r="FC155" s="139">
        <f t="shared" si="186"/>
        <v>0</v>
      </c>
      <c r="FD155" s="139">
        <f t="shared" si="187"/>
        <v>0</v>
      </c>
      <c r="FE155" s="139">
        <f t="shared" si="188"/>
        <v>0</v>
      </c>
      <c r="FF155" s="139">
        <f t="shared" si="189"/>
        <v>0</v>
      </c>
      <c r="FG155" s="139">
        <f t="shared" si="190"/>
        <v>0</v>
      </c>
      <c r="FH155" s="139">
        <f t="shared" si="191"/>
        <v>0</v>
      </c>
      <c r="FI155" s="139">
        <f t="shared" si="192"/>
        <v>0</v>
      </c>
      <c r="FJ155" s="139">
        <f t="shared" si="193"/>
        <v>0</v>
      </c>
      <c r="FK155" s="139">
        <f t="shared" si="194"/>
        <v>0</v>
      </c>
      <c r="FL155" s="139">
        <f t="shared" si="195"/>
        <v>0</v>
      </c>
      <c r="FM155" s="139">
        <f t="shared" si="196"/>
        <v>0</v>
      </c>
      <c r="FN155" s="139">
        <f t="shared" si="197"/>
        <v>0</v>
      </c>
      <c r="FO155" s="139">
        <f t="shared" si="198"/>
        <v>0</v>
      </c>
      <c r="FP155" s="139">
        <f t="shared" si="199"/>
        <v>0</v>
      </c>
      <c r="FQ155" s="139">
        <f t="shared" si="200"/>
        <v>0</v>
      </c>
      <c r="FR155" s="139">
        <f t="shared" si="201"/>
        <v>0</v>
      </c>
      <c r="FS155" s="139">
        <f t="shared" si="202"/>
        <v>0</v>
      </c>
      <c r="FT155" s="139">
        <f t="shared" si="203"/>
        <v>0</v>
      </c>
      <c r="FU155" s="148">
        <f t="shared" si="204"/>
        <v>0</v>
      </c>
      <c r="FV155" s="149"/>
      <c r="FY155" s="212">
        <v>150</v>
      </c>
      <c r="FZ155">
        <v>1.4443794231618146</v>
      </c>
      <c r="GA155">
        <v>23.50132381337934</v>
      </c>
      <c r="GB155">
        <v>21.431394513890901</v>
      </c>
      <c r="GC155">
        <v>6.4980972909657568</v>
      </c>
      <c r="GD155">
        <v>0.86580494299591371</v>
      </c>
      <c r="GE155">
        <v>0.35947809610506914</v>
      </c>
      <c r="GF155">
        <v>0.80138167652982462</v>
      </c>
      <c r="GG155">
        <v>3.9006838869232907</v>
      </c>
      <c r="GH155">
        <v>0</v>
      </c>
      <c r="GI155">
        <v>13.548858088093825</v>
      </c>
      <c r="GJ155"/>
      <c r="GK155"/>
      <c r="GL155"/>
      <c r="GM155"/>
    </row>
    <row r="156" spans="1:195" s="7" customFormat="1">
      <c r="A156" s="77"/>
      <c r="B156" s="76">
        <f ca="1">IF(C156="", "", RAND())</f>
        <v>0.30596603716402293</v>
      </c>
      <c r="C156">
        <v>9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8.451041666666665</v>
      </c>
      <c r="AO156">
        <v>23.478449306056952</v>
      </c>
      <c r="AP156">
        <v>496.53809229362298</v>
      </c>
      <c r="AQ156">
        <v>64.365070900179973</v>
      </c>
      <c r="AR156">
        <v>21.34404482368814</v>
      </c>
      <c r="AS156">
        <v>127.28452180626441</v>
      </c>
      <c r="AT156" t="e">
        <v>#DIV/0!</v>
      </c>
      <c r="AU156" t="e">
        <v>#DIV/0!</v>
      </c>
      <c r="AV156"/>
      <c r="AW156"/>
      <c r="AX156" s="151"/>
      <c r="AY156" s="76">
        <f t="shared" ca="1" si="170"/>
        <v>0.78164367109833166</v>
      </c>
      <c r="AZ156">
        <v>9</v>
      </c>
      <c r="BA156" s="129">
        <f t="shared" si="169"/>
        <v>39847</v>
      </c>
      <c r="BB156">
        <v>0</v>
      </c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5"/>
        <v>0.9823225850690962</v>
      </c>
      <c r="CL156" s="179">
        <f t="shared" si="206"/>
        <v>9</v>
      </c>
      <c r="CM156" s="180">
        <f t="shared" si="207"/>
        <v>39847</v>
      </c>
      <c r="CN156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08"/>
        <v>9.6000000000000002E-2</v>
      </c>
      <c r="DB156" s="151"/>
      <c r="DC156" s="76">
        <f t="shared" ca="1" si="171"/>
        <v>0.7411178161658809</v>
      </c>
      <c r="DD156">
        <f t="shared" si="209"/>
        <v>9</v>
      </c>
      <c r="DE156" s="129">
        <f t="shared" si="168"/>
        <v>39847</v>
      </c>
      <c r="DF156" s="161">
        <f t="shared" si="210"/>
        <v>0</v>
      </c>
      <c r="DG156" s="161">
        <f t="shared" si="211"/>
        <v>0</v>
      </c>
      <c r="DH156" s="161">
        <f t="shared" si="212"/>
        <v>0</v>
      </c>
      <c r="DI156" s="161">
        <f t="shared" si="213"/>
        <v>0</v>
      </c>
      <c r="DJ156" s="161">
        <f t="shared" si="214"/>
        <v>0</v>
      </c>
      <c r="DK156" s="161">
        <f t="shared" si="215"/>
        <v>0</v>
      </c>
      <c r="DL156" s="161">
        <f t="shared" si="216"/>
        <v>0</v>
      </c>
      <c r="DM156" s="161">
        <f t="shared" si="217"/>
        <v>0</v>
      </c>
      <c r="DN156" s="161">
        <f t="shared" si="218"/>
        <v>0</v>
      </c>
      <c r="DO156" s="161">
        <f t="shared" si="219"/>
        <v>0</v>
      </c>
      <c r="DP156" s="161">
        <f t="shared" si="220"/>
        <v>0</v>
      </c>
      <c r="DQ156" s="161">
        <f t="shared" si="221"/>
        <v>0</v>
      </c>
      <c r="DR156" s="161">
        <f t="shared" si="222"/>
        <v>0</v>
      </c>
      <c r="DS156" s="161">
        <f t="shared" si="223"/>
        <v>0</v>
      </c>
      <c r="DT156" s="161">
        <f t="shared" si="224"/>
        <v>0</v>
      </c>
      <c r="DU156" s="161">
        <f t="shared" si="225"/>
        <v>0</v>
      </c>
      <c r="DV156" s="161">
        <f t="shared" si="226"/>
        <v>0</v>
      </c>
      <c r="DW156" s="161">
        <f t="shared" si="227"/>
        <v>0</v>
      </c>
      <c r="DX156" s="161">
        <f t="shared" si="228"/>
        <v>0</v>
      </c>
      <c r="DY156" s="161">
        <f t="shared" si="229"/>
        <v>0</v>
      </c>
      <c r="DZ156" s="161">
        <f t="shared" si="230"/>
        <v>0</v>
      </c>
      <c r="EA156" s="161">
        <f t="shared" si="231"/>
        <v>0</v>
      </c>
      <c r="EB156" s="161">
        <f t="shared" si="232"/>
        <v>0</v>
      </c>
      <c r="EC156" s="161">
        <f t="shared" si="233"/>
        <v>0</v>
      </c>
      <c r="ED156" s="161">
        <f t="shared" si="234"/>
        <v>0</v>
      </c>
      <c r="EE156" s="161">
        <f t="shared" si="235"/>
        <v>0</v>
      </c>
      <c r="EF156" s="161">
        <f t="shared" si="236"/>
        <v>0</v>
      </c>
      <c r="EG156" s="161">
        <f t="shared" si="237"/>
        <v>0</v>
      </c>
      <c r="EH156" s="161">
        <f t="shared" si="238"/>
        <v>0</v>
      </c>
      <c r="EI156" s="161">
        <f t="shared" si="239"/>
        <v>0</v>
      </c>
      <c r="EJ156" s="161">
        <f t="shared" si="240"/>
        <v>0</v>
      </c>
      <c r="EK156" s="147">
        <f t="shared" si="172"/>
        <v>0</v>
      </c>
      <c r="EL156" s="149"/>
      <c r="EN156" s="151"/>
      <c r="EO156" s="151"/>
      <c r="EP156" s="139">
        <f t="shared" si="173"/>
        <v>0</v>
      </c>
      <c r="EQ156" s="139">
        <f t="shared" si="174"/>
        <v>0</v>
      </c>
      <c r="ER156" s="139">
        <f t="shared" si="175"/>
        <v>0</v>
      </c>
      <c r="ES156" s="139">
        <f t="shared" si="176"/>
        <v>0</v>
      </c>
      <c r="ET156" s="139">
        <f t="shared" si="177"/>
        <v>0</v>
      </c>
      <c r="EU156" s="139">
        <f t="shared" si="178"/>
        <v>0</v>
      </c>
      <c r="EV156" s="139">
        <f t="shared" si="179"/>
        <v>0</v>
      </c>
      <c r="EW156" s="139">
        <f t="shared" si="180"/>
        <v>0</v>
      </c>
      <c r="EX156" s="139">
        <f t="shared" si="181"/>
        <v>0</v>
      </c>
      <c r="EY156" s="139">
        <f t="shared" si="182"/>
        <v>0</v>
      </c>
      <c r="EZ156" s="139">
        <f t="shared" si="183"/>
        <v>0</v>
      </c>
      <c r="FA156" s="139">
        <f t="shared" si="184"/>
        <v>0</v>
      </c>
      <c r="FB156" s="139">
        <f t="shared" si="185"/>
        <v>0</v>
      </c>
      <c r="FC156" s="139">
        <f t="shared" si="186"/>
        <v>0</v>
      </c>
      <c r="FD156" s="139">
        <f t="shared" si="187"/>
        <v>0</v>
      </c>
      <c r="FE156" s="139">
        <f t="shared" si="188"/>
        <v>0</v>
      </c>
      <c r="FF156" s="139">
        <f t="shared" si="189"/>
        <v>0</v>
      </c>
      <c r="FG156" s="139">
        <f t="shared" si="190"/>
        <v>0</v>
      </c>
      <c r="FH156" s="139">
        <f t="shared" si="191"/>
        <v>0</v>
      </c>
      <c r="FI156" s="139">
        <f t="shared" si="192"/>
        <v>0</v>
      </c>
      <c r="FJ156" s="139">
        <f t="shared" si="193"/>
        <v>0</v>
      </c>
      <c r="FK156" s="139">
        <f t="shared" si="194"/>
        <v>0</v>
      </c>
      <c r="FL156" s="139">
        <f t="shared" si="195"/>
        <v>0</v>
      </c>
      <c r="FM156" s="139">
        <f t="shared" si="196"/>
        <v>0</v>
      </c>
      <c r="FN156" s="139">
        <f t="shared" si="197"/>
        <v>0</v>
      </c>
      <c r="FO156" s="139">
        <f t="shared" si="198"/>
        <v>0</v>
      </c>
      <c r="FP156" s="139">
        <f t="shared" si="199"/>
        <v>0</v>
      </c>
      <c r="FQ156" s="139">
        <f t="shared" si="200"/>
        <v>0</v>
      </c>
      <c r="FR156" s="139">
        <f t="shared" si="201"/>
        <v>0</v>
      </c>
      <c r="FS156" s="139">
        <f t="shared" si="202"/>
        <v>0</v>
      </c>
      <c r="FT156" s="139">
        <f t="shared" si="203"/>
        <v>0</v>
      </c>
      <c r="FU156" s="148">
        <f t="shared" si="204"/>
        <v>0</v>
      </c>
      <c r="FV156" s="149"/>
      <c r="FY156" s="212">
        <v>151</v>
      </c>
      <c r="FZ156">
        <v>1.273472532445947</v>
      </c>
      <c r="GA156">
        <v>21.314355105481813</v>
      </c>
      <c r="GB156">
        <v>23.435705818433522</v>
      </c>
      <c r="GC156">
        <v>7.955354069389573</v>
      </c>
      <c r="GD156">
        <v>0.67703786462911819</v>
      </c>
      <c r="GE156">
        <v>0</v>
      </c>
      <c r="GF156">
        <v>1.6027633530596492</v>
      </c>
      <c r="GG156">
        <v>6.0667985048990403</v>
      </c>
      <c r="GH156">
        <v>0</v>
      </c>
      <c r="GI156">
        <v>11.889653750319372</v>
      </c>
      <c r="GJ156"/>
      <c r="GK156"/>
      <c r="GL156"/>
      <c r="GM156"/>
    </row>
    <row r="157" spans="1:195" s="7" customFormat="1">
      <c r="A157" s="77"/>
      <c r="B157" s="76">
        <f ca="1">IF(C157="", "", RAND())</f>
        <v>0.20700032471954977</v>
      </c>
      <c r="C157">
        <v>6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10.527083333333332</v>
      </c>
      <c r="AO157">
        <v>44.919551163451771</v>
      </c>
      <c r="AP157">
        <v>1195.2763865767636</v>
      </c>
      <c r="AQ157">
        <v>63.632042367235464</v>
      </c>
      <c r="AR157">
        <v>40.835955603137975</v>
      </c>
      <c r="AS157">
        <v>252.01304074816238</v>
      </c>
      <c r="AT157" t="e">
        <v>#DIV/0!</v>
      </c>
      <c r="AU157" t="e">
        <v>#DIV/0!</v>
      </c>
      <c r="AV157"/>
      <c r="AW157"/>
      <c r="AX157" s="151"/>
      <c r="AY157" s="76">
        <f t="shared" ca="1" si="170"/>
        <v>0.66279414571358242</v>
      </c>
      <c r="AZ157">
        <v>10</v>
      </c>
      <c r="BA157" s="129">
        <f t="shared" si="169"/>
        <v>39847</v>
      </c>
      <c r="BB157">
        <v>0</v>
      </c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5"/>
        <v>0.37006830168608995</v>
      </c>
      <c r="CL157" s="179">
        <f t="shared" si="206"/>
        <v>10</v>
      </c>
      <c r="CM157" s="180">
        <f t="shared" si="207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08"/>
        <v>9.6000000000000002E-2</v>
      </c>
      <c r="DB157" s="151"/>
      <c r="DC157" s="76">
        <f t="shared" ca="1" si="171"/>
        <v>0.83091970383935232</v>
      </c>
      <c r="DD157">
        <f t="shared" si="209"/>
        <v>10</v>
      </c>
      <c r="DE157" s="129">
        <f t="shared" si="168"/>
        <v>39847</v>
      </c>
      <c r="DF157" s="161">
        <f t="shared" si="210"/>
        <v>0</v>
      </c>
      <c r="DG157" s="161">
        <f t="shared" si="211"/>
        <v>0</v>
      </c>
      <c r="DH157" s="161">
        <f t="shared" si="212"/>
        <v>0</v>
      </c>
      <c r="DI157" s="161">
        <f t="shared" si="213"/>
        <v>0</v>
      </c>
      <c r="DJ157" s="161">
        <f t="shared" si="214"/>
        <v>0</v>
      </c>
      <c r="DK157" s="161">
        <f t="shared" si="215"/>
        <v>0</v>
      </c>
      <c r="DL157" s="161">
        <f t="shared" si="216"/>
        <v>0</v>
      </c>
      <c r="DM157" s="161">
        <f t="shared" si="217"/>
        <v>0</v>
      </c>
      <c r="DN157" s="161">
        <f t="shared" si="218"/>
        <v>0</v>
      </c>
      <c r="DO157" s="161">
        <f t="shared" si="219"/>
        <v>0</v>
      </c>
      <c r="DP157" s="161">
        <f t="shared" si="220"/>
        <v>0</v>
      </c>
      <c r="DQ157" s="161">
        <f t="shared" si="221"/>
        <v>0</v>
      </c>
      <c r="DR157" s="161">
        <f t="shared" si="222"/>
        <v>0</v>
      </c>
      <c r="DS157" s="161">
        <f t="shared" si="223"/>
        <v>0</v>
      </c>
      <c r="DT157" s="161">
        <f t="shared" si="224"/>
        <v>0</v>
      </c>
      <c r="DU157" s="161">
        <f t="shared" si="225"/>
        <v>0</v>
      </c>
      <c r="DV157" s="161">
        <f t="shared" si="226"/>
        <v>0</v>
      </c>
      <c r="DW157" s="161">
        <f t="shared" si="227"/>
        <v>0</v>
      </c>
      <c r="DX157" s="161">
        <f t="shared" si="228"/>
        <v>0</v>
      </c>
      <c r="DY157" s="161">
        <f t="shared" si="229"/>
        <v>0</v>
      </c>
      <c r="DZ157" s="161">
        <f t="shared" si="230"/>
        <v>0</v>
      </c>
      <c r="EA157" s="161">
        <f t="shared" si="231"/>
        <v>0</v>
      </c>
      <c r="EB157" s="161">
        <f t="shared" si="232"/>
        <v>0</v>
      </c>
      <c r="EC157" s="161">
        <f t="shared" si="233"/>
        <v>0</v>
      </c>
      <c r="ED157" s="161">
        <f t="shared" si="234"/>
        <v>0</v>
      </c>
      <c r="EE157" s="161">
        <f t="shared" si="235"/>
        <v>0</v>
      </c>
      <c r="EF157" s="161">
        <f t="shared" si="236"/>
        <v>0</v>
      </c>
      <c r="EG157" s="161">
        <f t="shared" si="237"/>
        <v>0</v>
      </c>
      <c r="EH157" s="161">
        <f t="shared" si="238"/>
        <v>0</v>
      </c>
      <c r="EI157" s="161">
        <f t="shared" si="239"/>
        <v>0</v>
      </c>
      <c r="EJ157" s="161">
        <f t="shared" si="240"/>
        <v>0</v>
      </c>
      <c r="EK157" s="147">
        <f t="shared" si="172"/>
        <v>0</v>
      </c>
      <c r="EL157" s="149"/>
      <c r="EN157" s="151"/>
      <c r="EO157" s="151"/>
      <c r="EP157" s="139">
        <f t="shared" si="173"/>
        <v>0</v>
      </c>
      <c r="EQ157" s="139">
        <f t="shared" si="174"/>
        <v>0</v>
      </c>
      <c r="ER157" s="139">
        <f t="shared" si="175"/>
        <v>0</v>
      </c>
      <c r="ES157" s="139">
        <f t="shared" si="176"/>
        <v>0</v>
      </c>
      <c r="ET157" s="139">
        <f t="shared" si="177"/>
        <v>0</v>
      </c>
      <c r="EU157" s="139">
        <f t="shared" si="178"/>
        <v>0</v>
      </c>
      <c r="EV157" s="139">
        <f t="shared" si="179"/>
        <v>0</v>
      </c>
      <c r="EW157" s="139">
        <f t="shared" si="180"/>
        <v>0</v>
      </c>
      <c r="EX157" s="139">
        <f t="shared" si="181"/>
        <v>0</v>
      </c>
      <c r="EY157" s="139">
        <f t="shared" si="182"/>
        <v>0</v>
      </c>
      <c r="EZ157" s="139">
        <f t="shared" si="183"/>
        <v>0</v>
      </c>
      <c r="FA157" s="139">
        <f t="shared" si="184"/>
        <v>0</v>
      </c>
      <c r="FB157" s="139">
        <f t="shared" si="185"/>
        <v>0</v>
      </c>
      <c r="FC157" s="139">
        <f t="shared" si="186"/>
        <v>0</v>
      </c>
      <c r="FD157" s="139">
        <f t="shared" si="187"/>
        <v>0</v>
      </c>
      <c r="FE157" s="139">
        <f t="shared" si="188"/>
        <v>0</v>
      </c>
      <c r="FF157" s="139">
        <f t="shared" si="189"/>
        <v>0</v>
      </c>
      <c r="FG157" s="139">
        <f t="shared" si="190"/>
        <v>0</v>
      </c>
      <c r="FH157" s="139">
        <f t="shared" si="191"/>
        <v>0</v>
      </c>
      <c r="FI157" s="139">
        <f t="shared" si="192"/>
        <v>0</v>
      </c>
      <c r="FJ157" s="139">
        <f t="shared" si="193"/>
        <v>0</v>
      </c>
      <c r="FK157" s="139">
        <f t="shared" si="194"/>
        <v>0</v>
      </c>
      <c r="FL157" s="139">
        <f t="shared" si="195"/>
        <v>0</v>
      </c>
      <c r="FM157" s="139">
        <f t="shared" si="196"/>
        <v>0</v>
      </c>
      <c r="FN157" s="139">
        <f t="shared" si="197"/>
        <v>0</v>
      </c>
      <c r="FO157" s="139">
        <f t="shared" si="198"/>
        <v>0</v>
      </c>
      <c r="FP157" s="139">
        <f t="shared" si="199"/>
        <v>0</v>
      </c>
      <c r="FQ157" s="139">
        <f t="shared" si="200"/>
        <v>0</v>
      </c>
      <c r="FR157" s="139">
        <f t="shared" si="201"/>
        <v>0</v>
      </c>
      <c r="FS157" s="139">
        <f t="shared" si="202"/>
        <v>0</v>
      </c>
      <c r="FT157" s="139">
        <f t="shared" si="203"/>
        <v>0</v>
      </c>
      <c r="FU157" s="148">
        <f t="shared" si="204"/>
        <v>0</v>
      </c>
      <c r="FV157" s="149"/>
      <c r="FY157" s="212">
        <v>152</v>
      </c>
      <c r="FZ157">
        <v>1.46448811481747</v>
      </c>
      <c r="GA157">
        <v>18.717820135429697</v>
      </c>
      <c r="GB157">
        <v>15.48750694107428</v>
      </c>
      <c r="GC157">
        <v>4.5966606049076999</v>
      </c>
      <c r="GD157">
        <v>0.65418562617316911</v>
      </c>
      <c r="GE157">
        <v>0</v>
      </c>
      <c r="GF157">
        <v>0</v>
      </c>
      <c r="GG157">
        <v>0.57818975631584713</v>
      </c>
      <c r="GH157">
        <v>0</v>
      </c>
      <c r="GI157">
        <v>9.9510710409980447</v>
      </c>
      <c r="GJ157"/>
      <c r="GK157"/>
      <c r="GL157"/>
      <c r="GM157"/>
    </row>
    <row r="158" spans="1:195" s="7" customFormat="1">
      <c r="A158" s="128"/>
      <c r="B158" s="76">
        <f ca="1">IF(C158="", "", RAND())</f>
        <v>0.28532394450594278</v>
      </c>
      <c r="C158">
        <v>1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10.416666666666666</v>
      </c>
      <c r="T158">
        <v>0</v>
      </c>
      <c r="U158">
        <v>0</v>
      </c>
      <c r="V158">
        <v>0</v>
      </c>
      <c r="W158">
        <v>0</v>
      </c>
      <c r="X158">
        <v>10.416666666666666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6.1562499999999991</v>
      </c>
      <c r="AO158">
        <v>18.779910172511855</v>
      </c>
      <c r="AP158">
        <v>748.29899643376257</v>
      </c>
      <c r="AQ158">
        <v>38.538051245750772</v>
      </c>
      <c r="AR158">
        <v>17.106625883475203</v>
      </c>
      <c r="AS158">
        <v>94.812784787011651</v>
      </c>
      <c r="AT158" t="e">
        <v>#DIV/0!</v>
      </c>
      <c r="AU158" t="e">
        <v>#DIV/0!</v>
      </c>
      <c r="AV158"/>
      <c r="AW158"/>
      <c r="AX158" s="128"/>
      <c r="AY158" s="76">
        <f t="shared" ca="1" si="170"/>
        <v>0.20913742205953989</v>
      </c>
      <c r="AZ158">
        <v>1</v>
      </c>
      <c r="BA158" s="129">
        <f>IF(AZ158="", "",$C$11)</f>
        <v>39910</v>
      </c>
      <c r="BB158">
        <v>0</v>
      </c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>
        <v>1</v>
      </c>
      <c r="BQ158"/>
      <c r="BR158"/>
      <c r="BS158"/>
      <c r="BT158"/>
      <c r="BU158">
        <v>1</v>
      </c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5"/>
        <v>0.66453294636977711</v>
      </c>
      <c r="CL158" s="179">
        <f t="shared" si="206"/>
        <v>1</v>
      </c>
      <c r="CM158" s="180">
        <f t="shared" si="207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08"/>
        <v>9.6000000000000002E-2</v>
      </c>
      <c r="DB158" s="128"/>
      <c r="DC158" s="76">
        <f t="shared" ca="1" si="171"/>
        <v>0.89708909052777264</v>
      </c>
      <c r="DD158">
        <f t="shared" si="209"/>
        <v>1</v>
      </c>
      <c r="DE158" s="129">
        <f t="shared" ref="DE158:DE167" si="241">IF((DD158)="", "", $C$11)</f>
        <v>39910</v>
      </c>
      <c r="DF158" s="161">
        <f t="shared" si="210"/>
        <v>0</v>
      </c>
      <c r="DG158" s="161">
        <f t="shared" si="211"/>
        <v>0</v>
      </c>
      <c r="DH158" s="161">
        <f t="shared" si="212"/>
        <v>0</v>
      </c>
      <c r="DI158" s="161">
        <f t="shared" si="213"/>
        <v>0</v>
      </c>
      <c r="DJ158" s="161">
        <f t="shared" si="214"/>
        <v>0</v>
      </c>
      <c r="DK158" s="161">
        <f t="shared" si="215"/>
        <v>0</v>
      </c>
      <c r="DL158" s="161">
        <f t="shared" si="216"/>
        <v>0</v>
      </c>
      <c r="DM158" s="161">
        <f t="shared" si="217"/>
        <v>0</v>
      </c>
      <c r="DN158" s="161">
        <f t="shared" si="218"/>
        <v>0</v>
      </c>
      <c r="DO158" s="161">
        <f t="shared" si="219"/>
        <v>0</v>
      </c>
      <c r="DP158" s="161">
        <f t="shared" si="220"/>
        <v>0</v>
      </c>
      <c r="DQ158" s="161">
        <f t="shared" si="221"/>
        <v>0</v>
      </c>
      <c r="DR158" s="161">
        <f t="shared" si="222"/>
        <v>0</v>
      </c>
      <c r="DS158" s="161">
        <f t="shared" si="223"/>
        <v>0</v>
      </c>
      <c r="DT158" s="161">
        <f t="shared" si="224"/>
        <v>10.416666666666666</v>
      </c>
      <c r="DU158" s="161">
        <f t="shared" si="225"/>
        <v>0</v>
      </c>
      <c r="DV158" s="161">
        <f t="shared" si="226"/>
        <v>0</v>
      </c>
      <c r="DW158" s="161">
        <f t="shared" si="227"/>
        <v>0</v>
      </c>
      <c r="DX158" s="161">
        <f t="shared" si="228"/>
        <v>0</v>
      </c>
      <c r="DY158" s="161">
        <f t="shared" si="229"/>
        <v>10.416666666666666</v>
      </c>
      <c r="DZ158" s="161">
        <f t="shared" si="230"/>
        <v>0</v>
      </c>
      <c r="EA158" s="161">
        <f t="shared" si="231"/>
        <v>0</v>
      </c>
      <c r="EB158" s="161">
        <f t="shared" si="232"/>
        <v>0</v>
      </c>
      <c r="EC158" s="161">
        <f t="shared" si="233"/>
        <v>0</v>
      </c>
      <c r="ED158" s="161">
        <f t="shared" si="234"/>
        <v>0</v>
      </c>
      <c r="EE158" s="161">
        <f t="shared" si="235"/>
        <v>0</v>
      </c>
      <c r="EF158" s="161">
        <f t="shared" si="236"/>
        <v>0</v>
      </c>
      <c r="EG158" s="161">
        <f t="shared" si="237"/>
        <v>0</v>
      </c>
      <c r="EH158" s="161">
        <f t="shared" si="238"/>
        <v>0</v>
      </c>
      <c r="EI158" s="161">
        <f t="shared" si="239"/>
        <v>0</v>
      </c>
      <c r="EJ158" s="161">
        <f t="shared" si="240"/>
        <v>0</v>
      </c>
      <c r="EK158" s="147">
        <f t="shared" si="172"/>
        <v>20.833333333333332</v>
      </c>
      <c r="EL158" s="149"/>
      <c r="EN158" s="146"/>
      <c r="EO158" s="146"/>
      <c r="EP158" s="139">
        <f t="shared" si="173"/>
        <v>0</v>
      </c>
      <c r="EQ158" s="139">
        <f t="shared" si="174"/>
        <v>0</v>
      </c>
      <c r="ER158" s="139">
        <f t="shared" si="175"/>
        <v>0</v>
      </c>
      <c r="ES158" s="139">
        <f t="shared" si="176"/>
        <v>0</v>
      </c>
      <c r="ET158" s="139">
        <f t="shared" si="177"/>
        <v>0</v>
      </c>
      <c r="EU158" s="139">
        <f t="shared" si="178"/>
        <v>0</v>
      </c>
      <c r="EV158" s="139">
        <f t="shared" si="179"/>
        <v>0</v>
      </c>
      <c r="EW158" s="139">
        <f t="shared" si="180"/>
        <v>0</v>
      </c>
      <c r="EX158" s="139">
        <f t="shared" si="181"/>
        <v>0</v>
      </c>
      <c r="EY158" s="139">
        <f t="shared" si="182"/>
        <v>0</v>
      </c>
      <c r="EZ158" s="139">
        <f t="shared" si="183"/>
        <v>0</v>
      </c>
      <c r="FA158" s="139">
        <f t="shared" si="184"/>
        <v>0</v>
      </c>
      <c r="FB158" s="139">
        <f t="shared" si="185"/>
        <v>0</v>
      </c>
      <c r="FC158" s="139">
        <f t="shared" si="186"/>
        <v>0</v>
      </c>
      <c r="FD158" s="139">
        <f t="shared" si="187"/>
        <v>81.811805031958684</v>
      </c>
      <c r="FE158" s="139">
        <f t="shared" si="188"/>
        <v>0</v>
      </c>
      <c r="FF158" s="139">
        <f t="shared" si="189"/>
        <v>0</v>
      </c>
      <c r="FG158" s="139">
        <f t="shared" si="190"/>
        <v>0</v>
      </c>
      <c r="FH158" s="139">
        <f t="shared" si="191"/>
        <v>0</v>
      </c>
      <c r="FI158" s="139">
        <f t="shared" si="192"/>
        <v>193.79857128572959</v>
      </c>
      <c r="FJ158" s="139">
        <f t="shared" si="193"/>
        <v>0</v>
      </c>
      <c r="FK158" s="139">
        <f t="shared" si="194"/>
        <v>0</v>
      </c>
      <c r="FL158" s="139">
        <f t="shared" si="195"/>
        <v>0</v>
      </c>
      <c r="FM158" s="139">
        <f t="shared" si="196"/>
        <v>0</v>
      </c>
      <c r="FN158" s="139">
        <f t="shared" si="197"/>
        <v>0</v>
      </c>
      <c r="FO158" s="139">
        <f t="shared" si="198"/>
        <v>0</v>
      </c>
      <c r="FP158" s="139">
        <f t="shared" si="199"/>
        <v>0</v>
      </c>
      <c r="FQ158" s="139">
        <f t="shared" si="200"/>
        <v>0</v>
      </c>
      <c r="FR158" s="139">
        <f t="shared" si="201"/>
        <v>0</v>
      </c>
      <c r="FS158" s="139">
        <f t="shared" si="202"/>
        <v>0</v>
      </c>
      <c r="FT158" s="139">
        <f t="shared" si="203"/>
        <v>0</v>
      </c>
      <c r="FU158" s="148">
        <f t="shared" si="204"/>
        <v>275.61037631768829</v>
      </c>
      <c r="FV158" s="149"/>
      <c r="FY158" s="212">
        <v>153</v>
      </c>
      <c r="FZ158">
        <v>1.273472532445947</v>
      </c>
      <c r="GA158">
        <v>12.896438484905744</v>
      </c>
      <c r="GB158">
        <v>16.690500523543058</v>
      </c>
      <c r="GC158">
        <v>6.39065636874858</v>
      </c>
      <c r="GD158">
        <v>0.78665206116924247</v>
      </c>
      <c r="GE158">
        <v>0.35947809610506914</v>
      </c>
      <c r="GF158">
        <v>0.80138167652982462</v>
      </c>
      <c r="GG158">
        <v>4.1541015167564126</v>
      </c>
      <c r="GH158">
        <v>1.6229601285312325</v>
      </c>
      <c r="GI158">
        <v>7.694794189188273</v>
      </c>
      <c r="GJ158"/>
      <c r="GK158"/>
      <c r="GL158"/>
      <c r="GM158"/>
    </row>
    <row r="159" spans="1:195" s="7" customFormat="1">
      <c r="A159" s="1"/>
      <c r="B159" s="76">
        <f ca="1">IF(C159="", "", RAND())</f>
        <v>0.30136060772534368</v>
      </c>
      <c r="C159">
        <v>7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10.544791666666665</v>
      </c>
      <c r="AO159">
        <v>36.778102710936018</v>
      </c>
      <c r="AP159">
        <v>775.07496974294645</v>
      </c>
      <c r="AQ159">
        <v>81.773744645617583</v>
      </c>
      <c r="AR159">
        <v>33.50259937232525</v>
      </c>
      <c r="AS159">
        <v>226.67764353174164</v>
      </c>
      <c r="AT159" t="e">
        <v>#DIV/0!</v>
      </c>
      <c r="AU159" t="e">
        <v>#DIV/0!</v>
      </c>
      <c r="AV159"/>
      <c r="AW159"/>
      <c r="AX159" s="146"/>
      <c r="AY159" s="76">
        <f t="shared" ca="1" si="170"/>
        <v>0.82316300088572847</v>
      </c>
      <c r="AZ159">
        <v>2</v>
      </c>
      <c r="BA159" s="129">
        <f t="shared" ref="BA159:BA167" si="242">IF(AZ159="", "",$C$11)</f>
        <v>39910</v>
      </c>
      <c r="BB159">
        <v>0</v>
      </c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5"/>
        <v>7.0977517066685092E-2</v>
      </c>
      <c r="CL159" s="179">
        <f t="shared" si="206"/>
        <v>2</v>
      </c>
      <c r="CM159" s="180">
        <f t="shared" si="207"/>
        <v>39910</v>
      </c>
      <c r="CN159">
        <v>0</v>
      </c>
      <c r="CO159"/>
      <c r="CP159"/>
      <c r="CQ159"/>
      <c r="CR159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08"/>
        <v>9.6000000000000002E-2</v>
      </c>
      <c r="DB159" s="146"/>
      <c r="DC159" s="76">
        <f t="shared" ca="1" si="171"/>
        <v>0.58941792950604555</v>
      </c>
      <c r="DD159">
        <f t="shared" si="209"/>
        <v>2</v>
      </c>
      <c r="DE159" s="129">
        <f t="shared" si="241"/>
        <v>39910</v>
      </c>
      <c r="DF159" s="161">
        <f t="shared" si="210"/>
        <v>0</v>
      </c>
      <c r="DG159" s="161">
        <f t="shared" si="211"/>
        <v>0</v>
      </c>
      <c r="DH159" s="161">
        <f t="shared" si="212"/>
        <v>0</v>
      </c>
      <c r="DI159" s="161">
        <f t="shared" si="213"/>
        <v>0</v>
      </c>
      <c r="DJ159" s="161">
        <f t="shared" si="214"/>
        <v>0</v>
      </c>
      <c r="DK159" s="161">
        <f t="shared" si="215"/>
        <v>0</v>
      </c>
      <c r="DL159" s="161">
        <f t="shared" si="216"/>
        <v>0</v>
      </c>
      <c r="DM159" s="161">
        <f t="shared" si="217"/>
        <v>0</v>
      </c>
      <c r="DN159" s="161">
        <f t="shared" si="218"/>
        <v>0</v>
      </c>
      <c r="DO159" s="161">
        <f t="shared" si="219"/>
        <v>0</v>
      </c>
      <c r="DP159" s="161">
        <f t="shared" si="220"/>
        <v>0</v>
      </c>
      <c r="DQ159" s="161">
        <f t="shared" si="221"/>
        <v>0</v>
      </c>
      <c r="DR159" s="161">
        <f t="shared" si="222"/>
        <v>0</v>
      </c>
      <c r="DS159" s="161">
        <f t="shared" si="223"/>
        <v>0</v>
      </c>
      <c r="DT159" s="161">
        <f t="shared" si="224"/>
        <v>0</v>
      </c>
      <c r="DU159" s="161">
        <f t="shared" si="225"/>
        <v>0</v>
      </c>
      <c r="DV159" s="161">
        <f t="shared" si="226"/>
        <v>0</v>
      </c>
      <c r="DW159" s="161">
        <f t="shared" si="227"/>
        <v>0</v>
      </c>
      <c r="DX159" s="161">
        <f t="shared" si="228"/>
        <v>0</v>
      </c>
      <c r="DY159" s="161">
        <f t="shared" si="229"/>
        <v>0</v>
      </c>
      <c r="DZ159" s="161">
        <f t="shared" si="230"/>
        <v>0</v>
      </c>
      <c r="EA159" s="161">
        <f t="shared" si="231"/>
        <v>0</v>
      </c>
      <c r="EB159" s="161">
        <f t="shared" si="232"/>
        <v>0</v>
      </c>
      <c r="EC159" s="161">
        <f t="shared" si="233"/>
        <v>0</v>
      </c>
      <c r="ED159" s="161">
        <f t="shared" si="234"/>
        <v>0</v>
      </c>
      <c r="EE159" s="161">
        <f t="shared" si="235"/>
        <v>0</v>
      </c>
      <c r="EF159" s="161">
        <f t="shared" si="236"/>
        <v>0</v>
      </c>
      <c r="EG159" s="161">
        <f t="shared" si="237"/>
        <v>0</v>
      </c>
      <c r="EH159" s="161">
        <f t="shared" si="238"/>
        <v>0</v>
      </c>
      <c r="EI159" s="161">
        <f t="shared" si="239"/>
        <v>0</v>
      </c>
      <c r="EJ159" s="161">
        <f t="shared" si="240"/>
        <v>0</v>
      </c>
      <c r="EK159" s="147">
        <f t="shared" si="172"/>
        <v>0</v>
      </c>
      <c r="EL159" s="149"/>
      <c r="EN159" s="146"/>
      <c r="EO159" s="146"/>
      <c r="EP159" s="139">
        <f t="shared" si="173"/>
        <v>0</v>
      </c>
      <c r="EQ159" s="139">
        <f t="shared" si="174"/>
        <v>0</v>
      </c>
      <c r="ER159" s="139">
        <f t="shared" si="175"/>
        <v>0</v>
      </c>
      <c r="ES159" s="139">
        <f t="shared" si="176"/>
        <v>0</v>
      </c>
      <c r="ET159" s="139">
        <f t="shared" si="177"/>
        <v>0</v>
      </c>
      <c r="EU159" s="139">
        <f t="shared" si="178"/>
        <v>0</v>
      </c>
      <c r="EV159" s="139">
        <f t="shared" si="179"/>
        <v>0</v>
      </c>
      <c r="EW159" s="139">
        <f t="shared" si="180"/>
        <v>0</v>
      </c>
      <c r="EX159" s="139">
        <f t="shared" si="181"/>
        <v>0</v>
      </c>
      <c r="EY159" s="139">
        <f t="shared" si="182"/>
        <v>0</v>
      </c>
      <c r="EZ159" s="139">
        <f t="shared" si="183"/>
        <v>0</v>
      </c>
      <c r="FA159" s="139">
        <f t="shared" si="184"/>
        <v>0</v>
      </c>
      <c r="FB159" s="139">
        <f t="shared" si="185"/>
        <v>0</v>
      </c>
      <c r="FC159" s="139">
        <f t="shared" si="186"/>
        <v>0</v>
      </c>
      <c r="FD159" s="139">
        <f t="shared" si="187"/>
        <v>0</v>
      </c>
      <c r="FE159" s="139">
        <f t="shared" si="188"/>
        <v>0</v>
      </c>
      <c r="FF159" s="139">
        <f t="shared" si="189"/>
        <v>0</v>
      </c>
      <c r="FG159" s="139">
        <f t="shared" si="190"/>
        <v>0</v>
      </c>
      <c r="FH159" s="139">
        <f t="shared" si="191"/>
        <v>0</v>
      </c>
      <c r="FI159" s="139">
        <f t="shared" si="192"/>
        <v>0</v>
      </c>
      <c r="FJ159" s="139">
        <f t="shared" si="193"/>
        <v>0</v>
      </c>
      <c r="FK159" s="139">
        <f t="shared" si="194"/>
        <v>0</v>
      </c>
      <c r="FL159" s="139">
        <f t="shared" si="195"/>
        <v>0</v>
      </c>
      <c r="FM159" s="139">
        <f t="shared" si="196"/>
        <v>0</v>
      </c>
      <c r="FN159" s="139">
        <f t="shared" si="197"/>
        <v>0</v>
      </c>
      <c r="FO159" s="139">
        <f t="shared" si="198"/>
        <v>0</v>
      </c>
      <c r="FP159" s="139">
        <f t="shared" si="199"/>
        <v>0</v>
      </c>
      <c r="FQ159" s="139">
        <f t="shared" si="200"/>
        <v>0</v>
      </c>
      <c r="FR159" s="139">
        <f t="shared" si="201"/>
        <v>0</v>
      </c>
      <c r="FS159" s="139">
        <f t="shared" si="202"/>
        <v>0</v>
      </c>
      <c r="FT159" s="139">
        <f t="shared" si="203"/>
        <v>0</v>
      </c>
      <c r="FU159" s="148">
        <f t="shared" si="204"/>
        <v>0</v>
      </c>
      <c r="FV159" s="149"/>
      <c r="FY159" s="212">
        <v>154</v>
      </c>
      <c r="FZ159">
        <v>0.3418137814317348</v>
      </c>
      <c r="GA159">
        <v>14.862303230834071</v>
      </c>
      <c r="GB159">
        <v>17.931750324196834</v>
      </c>
      <c r="GC159">
        <v>6.5513077132459285</v>
      </c>
      <c r="GD159">
        <v>1.0774242598186585</v>
      </c>
      <c r="GE159">
        <v>0.71895619221013829</v>
      </c>
      <c r="GF159">
        <v>0</v>
      </c>
      <c r="GG159">
        <v>0.83160738614896845</v>
      </c>
      <c r="GH159">
        <v>1.6229601285312325</v>
      </c>
      <c r="GI159">
        <v>10.961778559726351</v>
      </c>
      <c r="GJ159"/>
      <c r="GK159"/>
      <c r="GL159"/>
      <c r="GM159"/>
    </row>
    <row r="160" spans="1:195" s="7" customFormat="1">
      <c r="A160" s="1"/>
      <c r="B160" s="76">
        <f ca="1">IF(C160="", "", RAND())</f>
        <v>0.8869462464415987</v>
      </c>
      <c r="C160">
        <v>8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8.2444852941176485</v>
      </c>
      <c r="AO160">
        <v>19.048592121345546</v>
      </c>
      <c r="AP160">
        <v>223.91743903067436</v>
      </c>
      <c r="AQ160">
        <v>47.576420341349092</v>
      </c>
      <c r="AR160">
        <v>17.316901928495959</v>
      </c>
      <c r="AS160">
        <v>99.153848768782339</v>
      </c>
      <c r="AT160" t="e">
        <v>#DIV/0!</v>
      </c>
      <c r="AU160" t="e">
        <v>#DIV/0!</v>
      </c>
      <c r="AV160"/>
      <c r="AW160"/>
      <c r="AX160" s="146"/>
      <c r="AY160" s="76">
        <f t="shared" ca="1" si="170"/>
        <v>0.22554426721964926</v>
      </c>
      <c r="AZ160">
        <v>3</v>
      </c>
      <c r="BA160" s="129">
        <f t="shared" si="242"/>
        <v>39910</v>
      </c>
      <c r="BB160">
        <v>0</v>
      </c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5"/>
        <v>0.79258070266377212</v>
      </c>
      <c r="CL160" s="179">
        <f t="shared" si="206"/>
        <v>3</v>
      </c>
      <c r="CM160" s="180">
        <f t="shared" si="207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8"/>
        <v>9.6000000000000002E-2</v>
      </c>
      <c r="DB160" s="146"/>
      <c r="DC160" s="76">
        <f t="shared" ca="1" si="171"/>
        <v>0.48282953387008742</v>
      </c>
      <c r="DD160">
        <f t="shared" si="209"/>
        <v>3</v>
      </c>
      <c r="DE160" s="129">
        <f t="shared" si="241"/>
        <v>39910</v>
      </c>
      <c r="DF160" s="161">
        <f t="shared" si="210"/>
        <v>0</v>
      </c>
      <c r="DG160" s="161">
        <f t="shared" si="211"/>
        <v>0</v>
      </c>
      <c r="DH160" s="161">
        <f t="shared" si="212"/>
        <v>0</v>
      </c>
      <c r="DI160" s="161">
        <f t="shared" si="213"/>
        <v>0</v>
      </c>
      <c r="DJ160" s="161">
        <f t="shared" si="214"/>
        <v>0</v>
      </c>
      <c r="DK160" s="161">
        <f t="shared" si="215"/>
        <v>0</v>
      </c>
      <c r="DL160" s="161">
        <f t="shared" si="216"/>
        <v>0</v>
      </c>
      <c r="DM160" s="161">
        <f t="shared" si="217"/>
        <v>0</v>
      </c>
      <c r="DN160" s="161">
        <f t="shared" si="218"/>
        <v>0</v>
      </c>
      <c r="DO160" s="161">
        <f t="shared" si="219"/>
        <v>0</v>
      </c>
      <c r="DP160" s="161">
        <f t="shared" si="220"/>
        <v>0</v>
      </c>
      <c r="DQ160" s="161">
        <f t="shared" si="221"/>
        <v>0</v>
      </c>
      <c r="DR160" s="161">
        <f t="shared" si="222"/>
        <v>0</v>
      </c>
      <c r="DS160" s="161">
        <f t="shared" si="223"/>
        <v>0</v>
      </c>
      <c r="DT160" s="161">
        <f t="shared" si="224"/>
        <v>0</v>
      </c>
      <c r="DU160" s="161">
        <f t="shared" si="225"/>
        <v>0</v>
      </c>
      <c r="DV160" s="161">
        <f t="shared" si="226"/>
        <v>0</v>
      </c>
      <c r="DW160" s="161">
        <f t="shared" si="227"/>
        <v>0</v>
      </c>
      <c r="DX160" s="161">
        <f t="shared" si="228"/>
        <v>0</v>
      </c>
      <c r="DY160" s="161">
        <f t="shared" si="229"/>
        <v>0</v>
      </c>
      <c r="DZ160" s="161">
        <f t="shared" si="230"/>
        <v>0</v>
      </c>
      <c r="EA160" s="161">
        <f t="shared" si="231"/>
        <v>0</v>
      </c>
      <c r="EB160" s="161">
        <f t="shared" si="232"/>
        <v>0</v>
      </c>
      <c r="EC160" s="161">
        <f t="shared" si="233"/>
        <v>0</v>
      </c>
      <c r="ED160" s="161">
        <f t="shared" si="234"/>
        <v>0</v>
      </c>
      <c r="EE160" s="161">
        <f t="shared" si="235"/>
        <v>0</v>
      </c>
      <c r="EF160" s="161">
        <f t="shared" si="236"/>
        <v>0</v>
      </c>
      <c r="EG160" s="161">
        <f t="shared" si="237"/>
        <v>0</v>
      </c>
      <c r="EH160" s="161">
        <f t="shared" si="238"/>
        <v>0</v>
      </c>
      <c r="EI160" s="161">
        <f t="shared" si="239"/>
        <v>0</v>
      </c>
      <c r="EJ160" s="161">
        <f t="shared" si="240"/>
        <v>0</v>
      </c>
      <c r="EK160" s="147">
        <f t="shared" si="172"/>
        <v>0</v>
      </c>
      <c r="EL160" s="149"/>
      <c r="EN160" s="146"/>
      <c r="EO160" s="146"/>
      <c r="EP160" s="139">
        <f t="shared" si="173"/>
        <v>0</v>
      </c>
      <c r="EQ160" s="139">
        <f t="shared" si="174"/>
        <v>0</v>
      </c>
      <c r="ER160" s="139">
        <f t="shared" si="175"/>
        <v>0</v>
      </c>
      <c r="ES160" s="139">
        <f t="shared" si="176"/>
        <v>0</v>
      </c>
      <c r="ET160" s="139">
        <f t="shared" si="177"/>
        <v>0</v>
      </c>
      <c r="EU160" s="139">
        <f t="shared" si="178"/>
        <v>0</v>
      </c>
      <c r="EV160" s="139">
        <f t="shared" si="179"/>
        <v>0</v>
      </c>
      <c r="EW160" s="139">
        <f t="shared" si="180"/>
        <v>0</v>
      </c>
      <c r="EX160" s="139">
        <f t="shared" si="181"/>
        <v>0</v>
      </c>
      <c r="EY160" s="139">
        <f t="shared" si="182"/>
        <v>0</v>
      </c>
      <c r="EZ160" s="139">
        <f t="shared" si="183"/>
        <v>0</v>
      </c>
      <c r="FA160" s="139">
        <f t="shared" si="184"/>
        <v>0</v>
      </c>
      <c r="FB160" s="139">
        <f t="shared" si="185"/>
        <v>0</v>
      </c>
      <c r="FC160" s="139">
        <f t="shared" si="186"/>
        <v>0</v>
      </c>
      <c r="FD160" s="139">
        <f t="shared" si="187"/>
        <v>0</v>
      </c>
      <c r="FE160" s="139">
        <f t="shared" si="188"/>
        <v>0</v>
      </c>
      <c r="FF160" s="139">
        <f t="shared" si="189"/>
        <v>0</v>
      </c>
      <c r="FG160" s="139">
        <f t="shared" si="190"/>
        <v>0</v>
      </c>
      <c r="FH160" s="139">
        <f t="shared" si="191"/>
        <v>0</v>
      </c>
      <c r="FI160" s="139">
        <f t="shared" si="192"/>
        <v>0</v>
      </c>
      <c r="FJ160" s="139">
        <f t="shared" si="193"/>
        <v>0</v>
      </c>
      <c r="FK160" s="139">
        <f t="shared" si="194"/>
        <v>0</v>
      </c>
      <c r="FL160" s="139">
        <f t="shared" si="195"/>
        <v>0</v>
      </c>
      <c r="FM160" s="139">
        <f t="shared" si="196"/>
        <v>0</v>
      </c>
      <c r="FN160" s="139">
        <f t="shared" si="197"/>
        <v>0</v>
      </c>
      <c r="FO160" s="139">
        <f t="shared" si="198"/>
        <v>0</v>
      </c>
      <c r="FP160" s="139">
        <f t="shared" si="199"/>
        <v>0</v>
      </c>
      <c r="FQ160" s="139">
        <f t="shared" si="200"/>
        <v>0</v>
      </c>
      <c r="FR160" s="139">
        <f t="shared" si="201"/>
        <v>0</v>
      </c>
      <c r="FS160" s="139">
        <f t="shared" si="202"/>
        <v>0</v>
      </c>
      <c r="FT160" s="139">
        <f t="shared" si="203"/>
        <v>0</v>
      </c>
      <c r="FU160" s="148">
        <f t="shared" si="204"/>
        <v>0</v>
      </c>
      <c r="FV160" s="149"/>
      <c r="FY160" s="212">
        <v>155</v>
      </c>
      <c r="FZ160">
        <v>1.4443794231618146</v>
      </c>
      <c r="GA160">
        <v>18.737235072487827</v>
      </c>
      <c r="GB160">
        <v>16.690554603546442</v>
      </c>
      <c r="GC160">
        <v>5.7879844615218303</v>
      </c>
      <c r="GD160">
        <v>1.3815347083667833</v>
      </c>
      <c r="GE160">
        <v>0.35947809610506914</v>
      </c>
      <c r="GF160">
        <v>0.80138167652982462</v>
      </c>
      <c r="GG160">
        <v>4.9857089029053814</v>
      </c>
      <c r="GH160">
        <v>3.245920257062465</v>
      </c>
      <c r="GI160">
        <v>10.76772809059886</v>
      </c>
      <c r="GJ160"/>
      <c r="GK160"/>
      <c r="GL160"/>
      <c r="GM160"/>
    </row>
    <row r="161" spans="1:195" s="7" customFormat="1">
      <c r="A161" s="1"/>
      <c r="B161" s="76">
        <f ca="1">IF(C161="", "", RAND())</f>
        <v>2.3876581308801548E-2</v>
      </c>
      <c r="C161">
        <v>5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8.5496936274509778</v>
      </c>
      <c r="AO161">
        <v>23.60570637204555</v>
      </c>
      <c r="AP161">
        <v>281.84146077506648</v>
      </c>
      <c r="AQ161">
        <v>43.15857252017291</v>
      </c>
      <c r="AR161">
        <v>21.493713337596745</v>
      </c>
      <c r="AS161">
        <v>122.26732262769222</v>
      </c>
      <c r="AT161" t="e">
        <v>#DIV/0!</v>
      </c>
      <c r="AU161" t="e">
        <v>#DIV/0!</v>
      </c>
      <c r="AV161"/>
      <c r="AW161"/>
      <c r="AX161" s="146"/>
      <c r="AY161" s="76">
        <f t="shared" ca="1" si="170"/>
        <v>0.69133520677975779</v>
      </c>
      <c r="AZ161">
        <v>4</v>
      </c>
      <c r="BA161" s="129">
        <f t="shared" si="242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5"/>
        <v>0.52106776440198987</v>
      </c>
      <c r="CL161" s="179">
        <f t="shared" si="206"/>
        <v>4</v>
      </c>
      <c r="CM161" s="180">
        <f t="shared" si="207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08"/>
        <v>9.6000000000000002E-2</v>
      </c>
      <c r="DB161" s="146"/>
      <c r="DC161" s="76">
        <f t="shared" ca="1" si="171"/>
        <v>0.87037386298851893</v>
      </c>
      <c r="DD161">
        <f t="shared" si="209"/>
        <v>4</v>
      </c>
      <c r="DE161" s="129">
        <f t="shared" si="241"/>
        <v>39910</v>
      </c>
      <c r="DF161" s="161">
        <f t="shared" si="210"/>
        <v>0</v>
      </c>
      <c r="DG161" s="161">
        <f t="shared" si="211"/>
        <v>0</v>
      </c>
      <c r="DH161" s="161">
        <f t="shared" si="212"/>
        <v>0</v>
      </c>
      <c r="DI161" s="161">
        <f t="shared" si="213"/>
        <v>0</v>
      </c>
      <c r="DJ161" s="161">
        <f t="shared" si="214"/>
        <v>0</v>
      </c>
      <c r="DK161" s="161">
        <f t="shared" si="215"/>
        <v>0</v>
      </c>
      <c r="DL161" s="161">
        <f t="shared" si="216"/>
        <v>0</v>
      </c>
      <c r="DM161" s="161">
        <f t="shared" si="217"/>
        <v>0</v>
      </c>
      <c r="DN161" s="161">
        <f t="shared" si="218"/>
        <v>0</v>
      </c>
      <c r="DO161" s="161">
        <f t="shared" si="219"/>
        <v>0</v>
      </c>
      <c r="DP161" s="161">
        <f t="shared" si="220"/>
        <v>0</v>
      </c>
      <c r="DQ161" s="161">
        <f t="shared" si="221"/>
        <v>0</v>
      </c>
      <c r="DR161" s="161">
        <f t="shared" si="222"/>
        <v>0</v>
      </c>
      <c r="DS161" s="161">
        <f t="shared" si="223"/>
        <v>0</v>
      </c>
      <c r="DT161" s="161">
        <f t="shared" si="224"/>
        <v>0</v>
      </c>
      <c r="DU161" s="161">
        <f t="shared" si="225"/>
        <v>0</v>
      </c>
      <c r="DV161" s="161">
        <f t="shared" si="226"/>
        <v>0</v>
      </c>
      <c r="DW161" s="161">
        <f t="shared" si="227"/>
        <v>0</v>
      </c>
      <c r="DX161" s="161">
        <f t="shared" si="228"/>
        <v>0</v>
      </c>
      <c r="DY161" s="161">
        <f t="shared" si="229"/>
        <v>0</v>
      </c>
      <c r="DZ161" s="161">
        <f t="shared" si="230"/>
        <v>0</v>
      </c>
      <c r="EA161" s="161">
        <f t="shared" si="231"/>
        <v>0</v>
      </c>
      <c r="EB161" s="161">
        <f t="shared" si="232"/>
        <v>0</v>
      </c>
      <c r="EC161" s="161">
        <f t="shared" si="233"/>
        <v>0</v>
      </c>
      <c r="ED161" s="161">
        <f t="shared" si="234"/>
        <v>0</v>
      </c>
      <c r="EE161" s="161">
        <f t="shared" si="235"/>
        <v>0</v>
      </c>
      <c r="EF161" s="161">
        <f t="shared" si="236"/>
        <v>0</v>
      </c>
      <c r="EG161" s="161">
        <f t="shared" si="237"/>
        <v>0</v>
      </c>
      <c r="EH161" s="161">
        <f t="shared" si="238"/>
        <v>0</v>
      </c>
      <c r="EI161" s="161">
        <f t="shared" si="239"/>
        <v>0</v>
      </c>
      <c r="EJ161" s="161">
        <f t="shared" si="240"/>
        <v>0</v>
      </c>
      <c r="EK161" s="147">
        <f t="shared" si="172"/>
        <v>0</v>
      </c>
      <c r="EL161" s="149"/>
      <c r="EN161" s="146"/>
      <c r="EO161" s="146"/>
      <c r="EP161" s="139">
        <f t="shared" si="173"/>
        <v>0</v>
      </c>
      <c r="EQ161" s="139">
        <f t="shared" si="174"/>
        <v>0</v>
      </c>
      <c r="ER161" s="139">
        <f t="shared" si="175"/>
        <v>0</v>
      </c>
      <c r="ES161" s="139">
        <f t="shared" si="176"/>
        <v>0</v>
      </c>
      <c r="ET161" s="139">
        <f t="shared" si="177"/>
        <v>0</v>
      </c>
      <c r="EU161" s="139">
        <f t="shared" si="178"/>
        <v>0</v>
      </c>
      <c r="EV161" s="139">
        <f t="shared" si="179"/>
        <v>0</v>
      </c>
      <c r="EW161" s="139">
        <f t="shared" si="180"/>
        <v>0</v>
      </c>
      <c r="EX161" s="139">
        <f t="shared" si="181"/>
        <v>0</v>
      </c>
      <c r="EY161" s="139">
        <f t="shared" si="182"/>
        <v>0</v>
      </c>
      <c r="EZ161" s="139">
        <f t="shared" si="183"/>
        <v>0</v>
      </c>
      <c r="FA161" s="139">
        <f t="shared" si="184"/>
        <v>0</v>
      </c>
      <c r="FB161" s="139">
        <f t="shared" si="185"/>
        <v>0</v>
      </c>
      <c r="FC161" s="139">
        <f t="shared" si="186"/>
        <v>0</v>
      </c>
      <c r="FD161" s="139">
        <f t="shared" si="187"/>
        <v>0</v>
      </c>
      <c r="FE161" s="139">
        <f t="shared" si="188"/>
        <v>0</v>
      </c>
      <c r="FF161" s="139">
        <f t="shared" si="189"/>
        <v>0</v>
      </c>
      <c r="FG161" s="139">
        <f t="shared" si="190"/>
        <v>0</v>
      </c>
      <c r="FH161" s="139">
        <f t="shared" si="191"/>
        <v>0</v>
      </c>
      <c r="FI161" s="139">
        <f t="shared" si="192"/>
        <v>0</v>
      </c>
      <c r="FJ161" s="139">
        <f t="shared" si="193"/>
        <v>0</v>
      </c>
      <c r="FK161" s="139">
        <f t="shared" si="194"/>
        <v>0</v>
      </c>
      <c r="FL161" s="139">
        <f t="shared" si="195"/>
        <v>0</v>
      </c>
      <c r="FM161" s="139">
        <f t="shared" si="196"/>
        <v>0</v>
      </c>
      <c r="FN161" s="139">
        <f t="shared" si="197"/>
        <v>0</v>
      </c>
      <c r="FO161" s="139">
        <f t="shared" si="198"/>
        <v>0</v>
      </c>
      <c r="FP161" s="139">
        <f t="shared" si="199"/>
        <v>0</v>
      </c>
      <c r="FQ161" s="139">
        <f t="shared" si="200"/>
        <v>0</v>
      </c>
      <c r="FR161" s="139">
        <f t="shared" si="201"/>
        <v>0</v>
      </c>
      <c r="FS161" s="139">
        <f t="shared" si="202"/>
        <v>0</v>
      </c>
      <c r="FT161" s="139">
        <f t="shared" si="203"/>
        <v>0</v>
      </c>
      <c r="FU161" s="148">
        <f t="shared" si="204"/>
        <v>0</v>
      </c>
      <c r="FV161" s="149"/>
      <c r="FY161" s="212">
        <v>156</v>
      </c>
      <c r="FZ161">
        <v>0</v>
      </c>
      <c r="GA161">
        <v>18.478426012662656</v>
      </c>
      <c r="GB161">
        <v>16.872726809689425</v>
      </c>
      <c r="GC161">
        <v>5.7075024310389946</v>
      </c>
      <c r="GD161">
        <v>1.3243627119218293</v>
      </c>
      <c r="GE161">
        <v>0</v>
      </c>
      <c r="GF161">
        <v>0.80138167652982462</v>
      </c>
      <c r="GG161">
        <v>3.5759117604405652</v>
      </c>
      <c r="GH161">
        <v>1.6229601285312325</v>
      </c>
      <c r="GI161">
        <v>10.041465450888586</v>
      </c>
      <c r="GJ161"/>
      <c r="GK161"/>
      <c r="GL161"/>
      <c r="GM161"/>
    </row>
    <row r="162" spans="1:195" s="7" customFormat="1">
      <c r="A162" s="1"/>
      <c r="B162" s="76">
        <f ca="1">IF(C162="", "", RAND())</f>
        <v>0.926477326641993</v>
      </c>
      <c r="C162">
        <v>4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9.087193627450981</v>
      </c>
      <c r="AO162">
        <v>40.357880265869738</v>
      </c>
      <c r="AP162">
        <v>759.74630881770906</v>
      </c>
      <c r="AQ162">
        <v>44.294356363709213</v>
      </c>
      <c r="AR162">
        <v>36.722962331982373</v>
      </c>
      <c r="AS162">
        <v>166.01265214618277</v>
      </c>
      <c r="AT162" t="e">
        <v>#DIV/0!</v>
      </c>
      <c r="AU162" t="e">
        <v>#DIV/0!</v>
      </c>
      <c r="AV162"/>
      <c r="AW162"/>
      <c r="AX162" s="146"/>
      <c r="AY162" s="76">
        <f t="shared" ca="1" si="170"/>
        <v>0.74236909038872523</v>
      </c>
      <c r="AZ162">
        <v>5</v>
      </c>
      <c r="BA162" s="129">
        <f t="shared" si="242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5"/>
        <v>2.3465333936316668E-3</v>
      </c>
      <c r="CL162" s="179">
        <f t="shared" si="206"/>
        <v>5</v>
      </c>
      <c r="CM162" s="180">
        <f t="shared" si="207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08"/>
        <v>9.6000000000000002E-2</v>
      </c>
      <c r="DB162" s="146"/>
      <c r="DC162" s="76">
        <f t="shared" ca="1" si="171"/>
        <v>9.9959211628416256E-2</v>
      </c>
      <c r="DD162">
        <f t="shared" si="209"/>
        <v>5</v>
      </c>
      <c r="DE162" s="129">
        <f t="shared" si="241"/>
        <v>39910</v>
      </c>
      <c r="DF162" s="161">
        <f t="shared" si="210"/>
        <v>0</v>
      </c>
      <c r="DG162" s="161">
        <f t="shared" si="211"/>
        <v>0</v>
      </c>
      <c r="DH162" s="161">
        <f t="shared" si="212"/>
        <v>0</v>
      </c>
      <c r="DI162" s="161">
        <f t="shared" si="213"/>
        <v>0</v>
      </c>
      <c r="DJ162" s="161">
        <f t="shared" si="214"/>
        <v>0</v>
      </c>
      <c r="DK162" s="161">
        <f t="shared" si="215"/>
        <v>0</v>
      </c>
      <c r="DL162" s="161">
        <f t="shared" si="216"/>
        <v>0</v>
      </c>
      <c r="DM162" s="161">
        <f t="shared" si="217"/>
        <v>0</v>
      </c>
      <c r="DN162" s="161">
        <f t="shared" si="218"/>
        <v>0</v>
      </c>
      <c r="DO162" s="161">
        <f t="shared" si="219"/>
        <v>0</v>
      </c>
      <c r="DP162" s="161">
        <f t="shared" si="220"/>
        <v>0</v>
      </c>
      <c r="DQ162" s="161">
        <f t="shared" si="221"/>
        <v>0</v>
      </c>
      <c r="DR162" s="161">
        <f t="shared" si="222"/>
        <v>0</v>
      </c>
      <c r="DS162" s="161">
        <f t="shared" si="223"/>
        <v>0</v>
      </c>
      <c r="DT162" s="161">
        <f t="shared" si="224"/>
        <v>0</v>
      </c>
      <c r="DU162" s="161">
        <f t="shared" si="225"/>
        <v>0</v>
      </c>
      <c r="DV162" s="161">
        <f t="shared" si="226"/>
        <v>0</v>
      </c>
      <c r="DW162" s="161">
        <f t="shared" si="227"/>
        <v>0</v>
      </c>
      <c r="DX162" s="161">
        <f t="shared" si="228"/>
        <v>0</v>
      </c>
      <c r="DY162" s="161">
        <f t="shared" si="229"/>
        <v>0</v>
      </c>
      <c r="DZ162" s="161">
        <f t="shared" si="230"/>
        <v>0</v>
      </c>
      <c r="EA162" s="161">
        <f t="shared" si="231"/>
        <v>0</v>
      </c>
      <c r="EB162" s="161">
        <f t="shared" si="232"/>
        <v>0</v>
      </c>
      <c r="EC162" s="161">
        <f t="shared" si="233"/>
        <v>0</v>
      </c>
      <c r="ED162" s="161">
        <f t="shared" si="234"/>
        <v>0</v>
      </c>
      <c r="EE162" s="161">
        <f t="shared" si="235"/>
        <v>0</v>
      </c>
      <c r="EF162" s="161">
        <f t="shared" si="236"/>
        <v>0</v>
      </c>
      <c r="EG162" s="161">
        <f t="shared" si="237"/>
        <v>0</v>
      </c>
      <c r="EH162" s="161">
        <f t="shared" si="238"/>
        <v>0</v>
      </c>
      <c r="EI162" s="161">
        <f t="shared" si="239"/>
        <v>0</v>
      </c>
      <c r="EJ162" s="161">
        <f t="shared" si="240"/>
        <v>0</v>
      </c>
      <c r="EK162" s="147">
        <f t="shared" si="172"/>
        <v>0</v>
      </c>
      <c r="EL162" s="149"/>
      <c r="EN162" s="146"/>
      <c r="EO162" s="146"/>
      <c r="EP162" s="139">
        <f t="shared" si="173"/>
        <v>0</v>
      </c>
      <c r="EQ162" s="139">
        <f t="shared" si="174"/>
        <v>0</v>
      </c>
      <c r="ER162" s="139">
        <f t="shared" si="175"/>
        <v>0</v>
      </c>
      <c r="ES162" s="139">
        <f t="shared" si="176"/>
        <v>0</v>
      </c>
      <c r="ET162" s="139">
        <f t="shared" si="177"/>
        <v>0</v>
      </c>
      <c r="EU162" s="139">
        <f t="shared" si="178"/>
        <v>0</v>
      </c>
      <c r="EV162" s="139">
        <f t="shared" si="179"/>
        <v>0</v>
      </c>
      <c r="EW162" s="139">
        <f t="shared" si="180"/>
        <v>0</v>
      </c>
      <c r="EX162" s="139">
        <f t="shared" si="181"/>
        <v>0</v>
      </c>
      <c r="EY162" s="139">
        <f t="shared" si="182"/>
        <v>0</v>
      </c>
      <c r="EZ162" s="139">
        <f t="shared" si="183"/>
        <v>0</v>
      </c>
      <c r="FA162" s="139">
        <f t="shared" si="184"/>
        <v>0</v>
      </c>
      <c r="FB162" s="139">
        <f t="shared" si="185"/>
        <v>0</v>
      </c>
      <c r="FC162" s="139">
        <f t="shared" si="186"/>
        <v>0</v>
      </c>
      <c r="FD162" s="139">
        <f t="shared" si="187"/>
        <v>0</v>
      </c>
      <c r="FE162" s="139">
        <f t="shared" si="188"/>
        <v>0</v>
      </c>
      <c r="FF162" s="139">
        <f t="shared" si="189"/>
        <v>0</v>
      </c>
      <c r="FG162" s="139">
        <f t="shared" si="190"/>
        <v>0</v>
      </c>
      <c r="FH162" s="139">
        <f t="shared" si="191"/>
        <v>0</v>
      </c>
      <c r="FI162" s="139">
        <f t="shared" si="192"/>
        <v>0</v>
      </c>
      <c r="FJ162" s="139">
        <f t="shared" si="193"/>
        <v>0</v>
      </c>
      <c r="FK162" s="139">
        <f t="shared" si="194"/>
        <v>0</v>
      </c>
      <c r="FL162" s="139">
        <f t="shared" si="195"/>
        <v>0</v>
      </c>
      <c r="FM162" s="139">
        <f t="shared" si="196"/>
        <v>0</v>
      </c>
      <c r="FN162" s="139">
        <f t="shared" si="197"/>
        <v>0</v>
      </c>
      <c r="FO162" s="139">
        <f t="shared" si="198"/>
        <v>0</v>
      </c>
      <c r="FP162" s="139">
        <f t="shared" si="199"/>
        <v>0</v>
      </c>
      <c r="FQ162" s="139">
        <f t="shared" si="200"/>
        <v>0</v>
      </c>
      <c r="FR162" s="139">
        <f t="shared" si="201"/>
        <v>0</v>
      </c>
      <c r="FS162" s="139">
        <f t="shared" si="202"/>
        <v>0</v>
      </c>
      <c r="FT162" s="139">
        <f t="shared" si="203"/>
        <v>0</v>
      </c>
      <c r="FU162" s="148">
        <f t="shared" si="204"/>
        <v>0</v>
      </c>
      <c r="FV162" s="149"/>
      <c r="FY162" s="212">
        <v>157</v>
      </c>
      <c r="FZ162">
        <v>1.4812863372853795</v>
      </c>
      <c r="GA162">
        <v>25.463612483361903</v>
      </c>
      <c r="GB162">
        <v>24.499694877067199</v>
      </c>
      <c r="GC162">
        <v>7.8014828714163746</v>
      </c>
      <c r="GD162">
        <v>0.75124003997957456</v>
      </c>
      <c r="GE162">
        <v>0</v>
      </c>
      <c r="GF162">
        <v>1.6027633530596492</v>
      </c>
      <c r="GG162">
        <v>5.4886087485831929</v>
      </c>
      <c r="GH162">
        <v>0</v>
      </c>
      <c r="GI162">
        <v>14.985451295458471</v>
      </c>
      <c r="GJ162"/>
      <c r="GK162"/>
      <c r="GL162"/>
      <c r="GM162"/>
    </row>
    <row r="163" spans="1:195" s="7" customFormat="1">
      <c r="A163" s="1"/>
      <c r="B163" s="76">
        <f ca="1">IF(C163="", "", RAND())</f>
        <v>0.12827914553857411</v>
      </c>
      <c r="C163">
        <v>9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34.375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9.6864583333333307</v>
      </c>
      <c r="AO163">
        <v>36.539067937378647</v>
      </c>
      <c r="AP163">
        <v>997.20218834992261</v>
      </c>
      <c r="AQ163">
        <v>78.722390872105279</v>
      </c>
      <c r="AR163">
        <v>33.285295032727632</v>
      </c>
      <c r="AS163">
        <v>185.72106144309521</v>
      </c>
      <c r="AT163" t="e">
        <v>#DIV/0!</v>
      </c>
      <c r="AU163" t="e">
        <v>#DIV/0!</v>
      </c>
      <c r="AV163"/>
      <c r="AW163"/>
      <c r="AX163" s="146"/>
      <c r="AY163" s="76">
        <f t="shared" ca="1" si="170"/>
        <v>0.25691667030921383</v>
      </c>
      <c r="AZ163">
        <v>6</v>
      </c>
      <c r="BA163" s="129">
        <f t="shared" si="242"/>
        <v>39910</v>
      </c>
      <c r="BB163">
        <v>0</v>
      </c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5"/>
        <v>0.26881925062603251</v>
      </c>
      <c r="CL163" s="179">
        <f t="shared" si="206"/>
        <v>6</v>
      </c>
      <c r="CM163" s="180">
        <f t="shared" si="207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08"/>
        <v>9.6000000000000002E-2</v>
      </c>
      <c r="DB163" s="146"/>
      <c r="DC163" s="76">
        <f t="shared" ca="1" si="171"/>
        <v>0.3368000090873553</v>
      </c>
      <c r="DD163">
        <f t="shared" si="209"/>
        <v>6</v>
      </c>
      <c r="DE163" s="129">
        <f t="shared" si="241"/>
        <v>39910</v>
      </c>
      <c r="DF163" s="161">
        <f t="shared" si="210"/>
        <v>0</v>
      </c>
      <c r="DG163" s="161">
        <f t="shared" si="211"/>
        <v>0</v>
      </c>
      <c r="DH163" s="161">
        <f t="shared" si="212"/>
        <v>0</v>
      </c>
      <c r="DI163" s="161">
        <f t="shared" si="213"/>
        <v>0</v>
      </c>
      <c r="DJ163" s="161">
        <f t="shared" si="214"/>
        <v>0</v>
      </c>
      <c r="DK163" s="161">
        <f t="shared" si="215"/>
        <v>0</v>
      </c>
      <c r="DL163" s="161">
        <f t="shared" si="216"/>
        <v>0</v>
      </c>
      <c r="DM163" s="161">
        <f t="shared" si="217"/>
        <v>0</v>
      </c>
      <c r="DN163" s="161">
        <f t="shared" si="218"/>
        <v>0</v>
      </c>
      <c r="DO163" s="161">
        <f t="shared" si="219"/>
        <v>0</v>
      </c>
      <c r="DP163" s="161">
        <f t="shared" si="220"/>
        <v>0</v>
      </c>
      <c r="DQ163" s="161">
        <f t="shared" si="221"/>
        <v>0</v>
      </c>
      <c r="DR163" s="161">
        <f t="shared" si="222"/>
        <v>0</v>
      </c>
      <c r="DS163" s="161">
        <f t="shared" si="223"/>
        <v>0</v>
      </c>
      <c r="DT163" s="161">
        <f t="shared" si="224"/>
        <v>0</v>
      </c>
      <c r="DU163" s="161">
        <f t="shared" si="225"/>
        <v>0</v>
      </c>
      <c r="DV163" s="161">
        <f t="shared" si="226"/>
        <v>0</v>
      </c>
      <c r="DW163" s="161">
        <f t="shared" si="227"/>
        <v>0</v>
      </c>
      <c r="DX163" s="161">
        <f t="shared" si="228"/>
        <v>0</v>
      </c>
      <c r="DY163" s="161">
        <f t="shared" si="229"/>
        <v>0</v>
      </c>
      <c r="DZ163" s="161">
        <f t="shared" si="230"/>
        <v>0</v>
      </c>
      <c r="EA163" s="161">
        <f t="shared" si="231"/>
        <v>0</v>
      </c>
      <c r="EB163" s="161">
        <f t="shared" si="232"/>
        <v>0</v>
      </c>
      <c r="EC163" s="161">
        <f t="shared" si="233"/>
        <v>0</v>
      </c>
      <c r="ED163" s="161">
        <f t="shared" si="234"/>
        <v>0</v>
      </c>
      <c r="EE163" s="161">
        <f t="shared" si="235"/>
        <v>0</v>
      </c>
      <c r="EF163" s="161">
        <f t="shared" si="236"/>
        <v>0</v>
      </c>
      <c r="EG163" s="161">
        <f t="shared" si="237"/>
        <v>0</v>
      </c>
      <c r="EH163" s="161">
        <f t="shared" si="238"/>
        <v>0</v>
      </c>
      <c r="EI163" s="161">
        <f t="shared" si="239"/>
        <v>0</v>
      </c>
      <c r="EJ163" s="161">
        <f t="shared" si="240"/>
        <v>0</v>
      </c>
      <c r="EK163" s="147">
        <f t="shared" si="172"/>
        <v>0</v>
      </c>
      <c r="EL163" s="149"/>
      <c r="EN163" s="146"/>
      <c r="EO163" s="146"/>
      <c r="EP163" s="139">
        <f t="shared" si="173"/>
        <v>0</v>
      </c>
      <c r="EQ163" s="139">
        <f t="shared" si="174"/>
        <v>0</v>
      </c>
      <c r="ER163" s="139">
        <f t="shared" si="175"/>
        <v>0</v>
      </c>
      <c r="ES163" s="139">
        <f t="shared" si="176"/>
        <v>0</v>
      </c>
      <c r="ET163" s="139">
        <f t="shared" si="177"/>
        <v>0</v>
      </c>
      <c r="EU163" s="139">
        <f t="shared" si="178"/>
        <v>0</v>
      </c>
      <c r="EV163" s="139">
        <f t="shared" si="179"/>
        <v>0</v>
      </c>
      <c r="EW163" s="139">
        <f t="shared" si="180"/>
        <v>0</v>
      </c>
      <c r="EX163" s="139">
        <f t="shared" si="181"/>
        <v>0</v>
      </c>
      <c r="EY163" s="139">
        <f t="shared" si="182"/>
        <v>0</v>
      </c>
      <c r="EZ163" s="139">
        <f t="shared" si="183"/>
        <v>0</v>
      </c>
      <c r="FA163" s="139">
        <f t="shared" si="184"/>
        <v>0</v>
      </c>
      <c r="FB163" s="139">
        <f t="shared" si="185"/>
        <v>0</v>
      </c>
      <c r="FC163" s="139">
        <f t="shared" si="186"/>
        <v>0</v>
      </c>
      <c r="FD163" s="139">
        <f t="shared" si="187"/>
        <v>0</v>
      </c>
      <c r="FE163" s="139">
        <f t="shared" si="188"/>
        <v>0</v>
      </c>
      <c r="FF163" s="139">
        <f t="shared" si="189"/>
        <v>0</v>
      </c>
      <c r="FG163" s="139">
        <f t="shared" si="190"/>
        <v>0</v>
      </c>
      <c r="FH163" s="139">
        <f t="shared" si="191"/>
        <v>0</v>
      </c>
      <c r="FI163" s="139">
        <f t="shared" si="192"/>
        <v>0</v>
      </c>
      <c r="FJ163" s="139">
        <f t="shared" si="193"/>
        <v>0</v>
      </c>
      <c r="FK163" s="139">
        <f t="shared" si="194"/>
        <v>0</v>
      </c>
      <c r="FL163" s="139">
        <f t="shared" si="195"/>
        <v>0</v>
      </c>
      <c r="FM163" s="139">
        <f t="shared" si="196"/>
        <v>0</v>
      </c>
      <c r="FN163" s="139">
        <f t="shared" si="197"/>
        <v>0</v>
      </c>
      <c r="FO163" s="139">
        <f t="shared" si="198"/>
        <v>0</v>
      </c>
      <c r="FP163" s="139">
        <f t="shared" si="199"/>
        <v>0</v>
      </c>
      <c r="FQ163" s="139">
        <f t="shared" si="200"/>
        <v>0</v>
      </c>
      <c r="FR163" s="139">
        <f t="shared" si="201"/>
        <v>0</v>
      </c>
      <c r="FS163" s="139">
        <f t="shared" si="202"/>
        <v>0</v>
      </c>
      <c r="FT163" s="139">
        <f t="shared" si="203"/>
        <v>0</v>
      </c>
      <c r="FU163" s="148">
        <f t="shared" si="204"/>
        <v>0</v>
      </c>
      <c r="FV163" s="149"/>
      <c r="FY163" s="212">
        <v>158</v>
      </c>
      <c r="FZ163">
        <v>0.72384494617478023</v>
      </c>
      <c r="GA163">
        <v>20.139827659264512</v>
      </c>
      <c r="GB163">
        <v>18.310857730892664</v>
      </c>
      <c r="GC163">
        <v>4.9266824972516092</v>
      </c>
      <c r="GD163">
        <v>0.3085470565573537</v>
      </c>
      <c r="GE163">
        <v>0</v>
      </c>
      <c r="GF163">
        <v>0</v>
      </c>
      <c r="GG163">
        <v>0.57818975631584713</v>
      </c>
      <c r="GH163">
        <v>0</v>
      </c>
      <c r="GI163">
        <v>8.133455204429282</v>
      </c>
      <c r="GJ163"/>
      <c r="GK163"/>
      <c r="GL163"/>
      <c r="GM163"/>
    </row>
    <row r="164" spans="1:195" s="7" customFormat="1">
      <c r="A164" s="1"/>
      <c r="B164" s="76">
        <f ca="1">IF(C164="", "", RAND())</f>
        <v>0.66219303244824834</v>
      </c>
      <c r="C164">
        <v>3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8.2979166666666657</v>
      </c>
      <c r="AO164">
        <v>37.949508404508343</v>
      </c>
      <c r="AP164">
        <v>1043.0380780230264</v>
      </c>
      <c r="AQ164">
        <v>64.064375324618794</v>
      </c>
      <c r="AR164">
        <v>34.533533367108383</v>
      </c>
      <c r="AS164">
        <v>165.25073157950868</v>
      </c>
      <c r="AT164" t="e">
        <v>#DIV/0!</v>
      </c>
      <c r="AU164" t="e">
        <v>#DIV/0!</v>
      </c>
      <c r="AV164"/>
      <c r="AW164"/>
      <c r="AX164" s="146"/>
      <c r="AY164" s="76">
        <f t="shared" ca="1" si="170"/>
        <v>0.43704021757825284</v>
      </c>
      <c r="AZ164">
        <v>7</v>
      </c>
      <c r="BA164" s="129">
        <f t="shared" si="242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5"/>
        <v>0.73991883880898435</v>
      </c>
      <c r="CL164" s="179">
        <f t="shared" si="206"/>
        <v>7</v>
      </c>
      <c r="CM164" s="180">
        <f t="shared" si="207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08"/>
        <v>9.6000000000000002E-2</v>
      </c>
      <c r="DB164" s="146"/>
      <c r="DC164" s="76">
        <f t="shared" ca="1" si="171"/>
        <v>0.33039280671131643</v>
      </c>
      <c r="DD164">
        <f t="shared" si="209"/>
        <v>7</v>
      </c>
      <c r="DE164" s="129">
        <f t="shared" si="241"/>
        <v>39910</v>
      </c>
      <c r="DF164" s="161">
        <f t="shared" si="210"/>
        <v>0</v>
      </c>
      <c r="DG164" s="161">
        <f t="shared" si="211"/>
        <v>0</v>
      </c>
      <c r="DH164" s="161">
        <f t="shared" si="212"/>
        <v>0</v>
      </c>
      <c r="DI164" s="161">
        <f t="shared" si="213"/>
        <v>0</v>
      </c>
      <c r="DJ164" s="161">
        <f t="shared" si="214"/>
        <v>0</v>
      </c>
      <c r="DK164" s="161">
        <f t="shared" si="215"/>
        <v>0</v>
      </c>
      <c r="DL164" s="161">
        <f t="shared" si="216"/>
        <v>0</v>
      </c>
      <c r="DM164" s="161">
        <f t="shared" si="217"/>
        <v>0</v>
      </c>
      <c r="DN164" s="161">
        <f t="shared" si="218"/>
        <v>0</v>
      </c>
      <c r="DO164" s="161">
        <f t="shared" si="219"/>
        <v>0</v>
      </c>
      <c r="DP164" s="161">
        <f t="shared" si="220"/>
        <v>0</v>
      </c>
      <c r="DQ164" s="161">
        <f t="shared" si="221"/>
        <v>0</v>
      </c>
      <c r="DR164" s="161">
        <f t="shared" si="222"/>
        <v>0</v>
      </c>
      <c r="DS164" s="161">
        <f t="shared" si="223"/>
        <v>0</v>
      </c>
      <c r="DT164" s="161">
        <f t="shared" si="224"/>
        <v>0</v>
      </c>
      <c r="DU164" s="161">
        <f t="shared" si="225"/>
        <v>0</v>
      </c>
      <c r="DV164" s="161">
        <f t="shared" si="226"/>
        <v>0</v>
      </c>
      <c r="DW164" s="161">
        <f t="shared" si="227"/>
        <v>0</v>
      </c>
      <c r="DX164" s="161">
        <f t="shared" si="228"/>
        <v>0</v>
      </c>
      <c r="DY164" s="161">
        <f t="shared" si="229"/>
        <v>0</v>
      </c>
      <c r="DZ164" s="161">
        <f t="shared" si="230"/>
        <v>0</v>
      </c>
      <c r="EA164" s="161">
        <f t="shared" si="231"/>
        <v>0</v>
      </c>
      <c r="EB164" s="161">
        <f t="shared" si="232"/>
        <v>0</v>
      </c>
      <c r="EC164" s="161">
        <f t="shared" si="233"/>
        <v>0</v>
      </c>
      <c r="ED164" s="161">
        <f t="shared" si="234"/>
        <v>0</v>
      </c>
      <c r="EE164" s="161">
        <f t="shared" si="235"/>
        <v>0</v>
      </c>
      <c r="EF164" s="161">
        <f t="shared" si="236"/>
        <v>0</v>
      </c>
      <c r="EG164" s="161">
        <f t="shared" si="237"/>
        <v>0</v>
      </c>
      <c r="EH164" s="161">
        <f t="shared" si="238"/>
        <v>0</v>
      </c>
      <c r="EI164" s="161">
        <f t="shared" si="239"/>
        <v>0</v>
      </c>
      <c r="EJ164" s="161">
        <f t="shared" si="240"/>
        <v>0</v>
      </c>
      <c r="EK164" s="147">
        <f t="shared" si="172"/>
        <v>0</v>
      </c>
      <c r="EL164" s="149"/>
      <c r="EN164" s="146"/>
      <c r="EO164" s="146"/>
      <c r="EP164" s="139">
        <f t="shared" si="173"/>
        <v>0</v>
      </c>
      <c r="EQ164" s="139">
        <f t="shared" si="174"/>
        <v>0</v>
      </c>
      <c r="ER164" s="139">
        <f t="shared" si="175"/>
        <v>0</v>
      </c>
      <c r="ES164" s="139">
        <f t="shared" si="176"/>
        <v>0</v>
      </c>
      <c r="ET164" s="139">
        <f t="shared" si="177"/>
        <v>0</v>
      </c>
      <c r="EU164" s="139">
        <f t="shared" si="178"/>
        <v>0</v>
      </c>
      <c r="EV164" s="139">
        <f t="shared" si="179"/>
        <v>0</v>
      </c>
      <c r="EW164" s="139">
        <f t="shared" si="180"/>
        <v>0</v>
      </c>
      <c r="EX164" s="139">
        <f t="shared" si="181"/>
        <v>0</v>
      </c>
      <c r="EY164" s="139">
        <f t="shared" si="182"/>
        <v>0</v>
      </c>
      <c r="EZ164" s="139">
        <f t="shared" si="183"/>
        <v>0</v>
      </c>
      <c r="FA164" s="139">
        <f t="shared" si="184"/>
        <v>0</v>
      </c>
      <c r="FB164" s="139">
        <f t="shared" si="185"/>
        <v>0</v>
      </c>
      <c r="FC164" s="139">
        <f t="shared" si="186"/>
        <v>0</v>
      </c>
      <c r="FD164" s="139">
        <f t="shared" si="187"/>
        <v>0</v>
      </c>
      <c r="FE164" s="139">
        <f t="shared" si="188"/>
        <v>0</v>
      </c>
      <c r="FF164" s="139">
        <f t="shared" si="189"/>
        <v>0</v>
      </c>
      <c r="FG164" s="139">
        <f t="shared" si="190"/>
        <v>0</v>
      </c>
      <c r="FH164" s="139">
        <f t="shared" si="191"/>
        <v>0</v>
      </c>
      <c r="FI164" s="139">
        <f t="shared" si="192"/>
        <v>0</v>
      </c>
      <c r="FJ164" s="139">
        <f t="shared" si="193"/>
        <v>0</v>
      </c>
      <c r="FK164" s="139">
        <f t="shared" si="194"/>
        <v>0</v>
      </c>
      <c r="FL164" s="139">
        <f t="shared" si="195"/>
        <v>0</v>
      </c>
      <c r="FM164" s="139">
        <f t="shared" si="196"/>
        <v>0</v>
      </c>
      <c r="FN164" s="139">
        <f t="shared" si="197"/>
        <v>0</v>
      </c>
      <c r="FO164" s="139">
        <f t="shared" si="198"/>
        <v>0</v>
      </c>
      <c r="FP164" s="139">
        <f t="shared" si="199"/>
        <v>0</v>
      </c>
      <c r="FQ164" s="139">
        <f t="shared" si="200"/>
        <v>0</v>
      </c>
      <c r="FR164" s="139">
        <f t="shared" si="201"/>
        <v>0</v>
      </c>
      <c r="FS164" s="139">
        <f t="shared" si="202"/>
        <v>0</v>
      </c>
      <c r="FT164" s="139">
        <f t="shared" si="203"/>
        <v>0</v>
      </c>
      <c r="FU164" s="148">
        <f t="shared" si="204"/>
        <v>0</v>
      </c>
      <c r="FV164" s="149"/>
      <c r="FY164" s="212">
        <v>159</v>
      </c>
      <c r="FZ164">
        <v>0.1709068907158674</v>
      </c>
      <c r="GA164">
        <v>8.6220272869840322</v>
      </c>
      <c r="GB164">
        <v>9.2064136264769019</v>
      </c>
      <c r="GC164">
        <v>3.4043720444525443</v>
      </c>
      <c r="GD164">
        <v>0.80586119148150304</v>
      </c>
      <c r="GE164">
        <v>0.35947809610506914</v>
      </c>
      <c r="GF164">
        <v>0</v>
      </c>
      <c r="GG164">
        <v>0</v>
      </c>
      <c r="GH164">
        <v>0</v>
      </c>
      <c r="GI164">
        <v>10.302514368574903</v>
      </c>
      <c r="GJ164"/>
      <c r="GK164"/>
      <c r="GL164"/>
      <c r="GM164"/>
    </row>
    <row r="165" spans="1:195" s="7" customFormat="1">
      <c r="A165" s="1"/>
      <c r="B165" s="76">
        <f ca="1">IF(C165="", "", RAND())</f>
        <v>0.79654479408156686</v>
      </c>
      <c r="C165">
        <v>6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9.8327205882352917</v>
      </c>
      <c r="AO165">
        <v>22.996750517240873</v>
      </c>
      <c r="AP165">
        <v>359.16893054240404</v>
      </c>
      <c r="AQ165">
        <v>51.664114532894544</v>
      </c>
      <c r="AR165">
        <v>21.00807765015772</v>
      </c>
      <c r="AS165">
        <v>114.47929593543081</v>
      </c>
      <c r="AT165" t="e">
        <v>#DIV/0!</v>
      </c>
      <c r="AU165" t="e">
        <v>#DIV/0!</v>
      </c>
      <c r="AV165"/>
      <c r="AW165"/>
      <c r="AX165" s="146"/>
      <c r="AY165" s="76">
        <f t="shared" ca="1" si="170"/>
        <v>0.73136681500389589</v>
      </c>
      <c r="AZ165">
        <v>8</v>
      </c>
      <c r="BA165" s="129">
        <f t="shared" si="242"/>
        <v>39910</v>
      </c>
      <c r="BB165">
        <v>0</v>
      </c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5"/>
        <v>0.70679060888605982</v>
      </c>
      <c r="CL165" s="179">
        <f t="shared" si="206"/>
        <v>8</v>
      </c>
      <c r="CM165" s="180">
        <f t="shared" si="207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08"/>
        <v>9.6000000000000002E-2</v>
      </c>
      <c r="DB165" s="146"/>
      <c r="DC165" s="76">
        <f t="shared" ca="1" si="171"/>
        <v>0.32738853541364854</v>
      </c>
      <c r="DD165">
        <f t="shared" si="209"/>
        <v>8</v>
      </c>
      <c r="DE165" s="129">
        <f t="shared" si="241"/>
        <v>39910</v>
      </c>
      <c r="DF165" s="161">
        <f t="shared" si="210"/>
        <v>0</v>
      </c>
      <c r="DG165" s="161">
        <f t="shared" si="211"/>
        <v>0</v>
      </c>
      <c r="DH165" s="161">
        <f t="shared" si="212"/>
        <v>0</v>
      </c>
      <c r="DI165" s="161">
        <f t="shared" si="213"/>
        <v>0</v>
      </c>
      <c r="DJ165" s="161">
        <f t="shared" si="214"/>
        <v>0</v>
      </c>
      <c r="DK165" s="161">
        <f t="shared" si="215"/>
        <v>0</v>
      </c>
      <c r="DL165" s="161">
        <f t="shared" si="216"/>
        <v>0</v>
      </c>
      <c r="DM165" s="161">
        <f t="shared" si="217"/>
        <v>0</v>
      </c>
      <c r="DN165" s="161">
        <f t="shared" si="218"/>
        <v>0</v>
      </c>
      <c r="DO165" s="161">
        <f t="shared" si="219"/>
        <v>0</v>
      </c>
      <c r="DP165" s="161">
        <f t="shared" si="220"/>
        <v>0</v>
      </c>
      <c r="DQ165" s="161">
        <f t="shared" si="221"/>
        <v>0</v>
      </c>
      <c r="DR165" s="161">
        <f t="shared" si="222"/>
        <v>0</v>
      </c>
      <c r="DS165" s="161">
        <f t="shared" si="223"/>
        <v>0</v>
      </c>
      <c r="DT165" s="161">
        <f t="shared" si="224"/>
        <v>0</v>
      </c>
      <c r="DU165" s="161">
        <f t="shared" si="225"/>
        <v>0</v>
      </c>
      <c r="DV165" s="161">
        <f t="shared" si="226"/>
        <v>0</v>
      </c>
      <c r="DW165" s="161">
        <f t="shared" si="227"/>
        <v>0</v>
      </c>
      <c r="DX165" s="161">
        <f t="shared" si="228"/>
        <v>0</v>
      </c>
      <c r="DY165" s="161">
        <f t="shared" si="229"/>
        <v>0</v>
      </c>
      <c r="DZ165" s="161">
        <f t="shared" si="230"/>
        <v>0</v>
      </c>
      <c r="EA165" s="161">
        <f t="shared" si="231"/>
        <v>0</v>
      </c>
      <c r="EB165" s="161">
        <f t="shared" si="232"/>
        <v>0</v>
      </c>
      <c r="EC165" s="161">
        <f t="shared" si="233"/>
        <v>0</v>
      </c>
      <c r="ED165" s="161">
        <f t="shared" si="234"/>
        <v>0</v>
      </c>
      <c r="EE165" s="161">
        <f t="shared" si="235"/>
        <v>0</v>
      </c>
      <c r="EF165" s="161">
        <f t="shared" si="236"/>
        <v>0</v>
      </c>
      <c r="EG165" s="161">
        <f t="shared" si="237"/>
        <v>0</v>
      </c>
      <c r="EH165" s="161">
        <f t="shared" si="238"/>
        <v>0</v>
      </c>
      <c r="EI165" s="161">
        <f t="shared" si="239"/>
        <v>0</v>
      </c>
      <c r="EJ165" s="161">
        <f t="shared" si="240"/>
        <v>0</v>
      </c>
      <c r="EK165" s="147">
        <f t="shared" si="172"/>
        <v>0</v>
      </c>
      <c r="EL165" s="149"/>
      <c r="EN165" s="146"/>
      <c r="EO165" s="146"/>
      <c r="EP165" s="139">
        <f t="shared" si="173"/>
        <v>0</v>
      </c>
      <c r="EQ165" s="139">
        <f t="shared" si="174"/>
        <v>0</v>
      </c>
      <c r="ER165" s="139">
        <f t="shared" si="175"/>
        <v>0</v>
      </c>
      <c r="ES165" s="139">
        <f t="shared" si="176"/>
        <v>0</v>
      </c>
      <c r="ET165" s="139">
        <f t="shared" si="177"/>
        <v>0</v>
      </c>
      <c r="EU165" s="139">
        <f t="shared" si="178"/>
        <v>0</v>
      </c>
      <c r="EV165" s="139">
        <f t="shared" si="179"/>
        <v>0</v>
      </c>
      <c r="EW165" s="139">
        <f t="shared" si="180"/>
        <v>0</v>
      </c>
      <c r="EX165" s="139">
        <f t="shared" si="181"/>
        <v>0</v>
      </c>
      <c r="EY165" s="139">
        <f t="shared" si="182"/>
        <v>0</v>
      </c>
      <c r="EZ165" s="139">
        <f t="shared" si="183"/>
        <v>0</v>
      </c>
      <c r="FA165" s="139">
        <f t="shared" si="184"/>
        <v>0</v>
      </c>
      <c r="FB165" s="139">
        <f t="shared" si="185"/>
        <v>0</v>
      </c>
      <c r="FC165" s="139">
        <f t="shared" si="186"/>
        <v>0</v>
      </c>
      <c r="FD165" s="139">
        <f t="shared" si="187"/>
        <v>0</v>
      </c>
      <c r="FE165" s="139">
        <f t="shared" si="188"/>
        <v>0</v>
      </c>
      <c r="FF165" s="139">
        <f t="shared" si="189"/>
        <v>0</v>
      </c>
      <c r="FG165" s="139">
        <f t="shared" si="190"/>
        <v>0</v>
      </c>
      <c r="FH165" s="139">
        <f t="shared" si="191"/>
        <v>0</v>
      </c>
      <c r="FI165" s="139">
        <f t="shared" si="192"/>
        <v>0</v>
      </c>
      <c r="FJ165" s="139">
        <f t="shared" si="193"/>
        <v>0</v>
      </c>
      <c r="FK165" s="139">
        <f t="shared" si="194"/>
        <v>0</v>
      </c>
      <c r="FL165" s="139">
        <f t="shared" si="195"/>
        <v>0</v>
      </c>
      <c r="FM165" s="139">
        <f t="shared" si="196"/>
        <v>0</v>
      </c>
      <c r="FN165" s="139">
        <f t="shared" si="197"/>
        <v>0</v>
      </c>
      <c r="FO165" s="139">
        <f t="shared" si="198"/>
        <v>0</v>
      </c>
      <c r="FP165" s="139">
        <f t="shared" si="199"/>
        <v>0</v>
      </c>
      <c r="FQ165" s="139">
        <f t="shared" si="200"/>
        <v>0</v>
      </c>
      <c r="FR165" s="139">
        <f t="shared" si="201"/>
        <v>0</v>
      </c>
      <c r="FS165" s="139">
        <f t="shared" si="202"/>
        <v>0</v>
      </c>
      <c r="FT165" s="139">
        <f t="shared" si="203"/>
        <v>0</v>
      </c>
      <c r="FU165" s="148">
        <f t="shared" si="204"/>
        <v>0</v>
      </c>
      <c r="FV165" s="149"/>
      <c r="FY165" s="212">
        <v>160</v>
      </c>
      <c r="FZ165">
        <v>0.74064316864268975</v>
      </c>
      <c r="GA165">
        <v>20.242379582787354</v>
      </c>
      <c r="GB165">
        <v>19.110773933225921</v>
      </c>
      <c r="GC165">
        <v>6.0449810566935422</v>
      </c>
      <c r="GD165">
        <v>0.84509464488120034</v>
      </c>
      <c r="GE165">
        <v>0.35947809610506914</v>
      </c>
      <c r="GF165">
        <v>1.6027633530596492</v>
      </c>
      <c r="GG165">
        <v>5.4886087485831929</v>
      </c>
      <c r="GH165">
        <v>0</v>
      </c>
      <c r="GI165">
        <v>9.1873517701779264</v>
      </c>
      <c r="GJ165"/>
      <c r="GK165"/>
      <c r="GL165"/>
      <c r="GM165"/>
    </row>
    <row r="166" spans="1:195" s="7" customFormat="1">
      <c r="A166" s="1"/>
      <c r="B166" s="76">
        <f ca="1">IF(C166="", "", RAND())</f>
        <v>0.29719235339865246</v>
      </c>
      <c r="C166">
        <v>2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12.695526960784312</v>
      </c>
      <c r="AO166">
        <v>36.550902035783949</v>
      </c>
      <c r="AP166">
        <v>840.15616494209962</v>
      </c>
      <c r="AQ166">
        <v>72.351401732045744</v>
      </c>
      <c r="AR166">
        <v>33.262073031904379</v>
      </c>
      <c r="AS166">
        <v>206.70209821165398</v>
      </c>
      <c r="AT166" t="e">
        <v>#DIV/0!</v>
      </c>
      <c r="AU166" t="e">
        <v>#DIV/0!</v>
      </c>
      <c r="AV166"/>
      <c r="AW166"/>
      <c r="AX166" s="146"/>
      <c r="AY166" s="76">
        <f t="shared" ca="1" si="170"/>
        <v>0.29119201607917322</v>
      </c>
      <c r="AZ166">
        <v>9</v>
      </c>
      <c r="BA166" s="129">
        <f t="shared" si="242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>
        <v>1</v>
      </c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5"/>
        <v>0.94123000044554539</v>
      </c>
      <c r="CL166" s="179">
        <f t="shared" si="206"/>
        <v>9</v>
      </c>
      <c r="CM166" s="180">
        <f t="shared" si="207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08"/>
        <v>9.6000000000000002E-2</v>
      </c>
      <c r="DB166" s="146"/>
      <c r="DC166" s="76">
        <f t="shared" ca="1" si="171"/>
        <v>0.31076501311434246</v>
      </c>
      <c r="DD166">
        <f t="shared" si="209"/>
        <v>9</v>
      </c>
      <c r="DE166" s="129">
        <f t="shared" si="241"/>
        <v>39910</v>
      </c>
      <c r="DF166" s="161">
        <f t="shared" si="210"/>
        <v>0</v>
      </c>
      <c r="DG166" s="161">
        <f t="shared" si="211"/>
        <v>0</v>
      </c>
      <c r="DH166" s="161">
        <f t="shared" si="212"/>
        <v>0</v>
      </c>
      <c r="DI166" s="161">
        <f t="shared" si="213"/>
        <v>0</v>
      </c>
      <c r="DJ166" s="161">
        <f t="shared" si="214"/>
        <v>0</v>
      </c>
      <c r="DK166" s="161">
        <f t="shared" si="215"/>
        <v>0</v>
      </c>
      <c r="DL166" s="161">
        <f t="shared" si="216"/>
        <v>0</v>
      </c>
      <c r="DM166" s="161">
        <f t="shared" si="217"/>
        <v>0</v>
      </c>
      <c r="DN166" s="161">
        <f t="shared" si="218"/>
        <v>0</v>
      </c>
      <c r="DO166" s="161">
        <f t="shared" si="219"/>
        <v>0</v>
      </c>
      <c r="DP166" s="161">
        <f t="shared" si="220"/>
        <v>0</v>
      </c>
      <c r="DQ166" s="161">
        <f t="shared" si="221"/>
        <v>0</v>
      </c>
      <c r="DR166" s="161">
        <f t="shared" si="222"/>
        <v>0</v>
      </c>
      <c r="DS166" s="161">
        <f t="shared" si="223"/>
        <v>34.375</v>
      </c>
      <c r="DT166" s="161">
        <f t="shared" si="224"/>
        <v>0</v>
      </c>
      <c r="DU166" s="161">
        <f t="shared" si="225"/>
        <v>0</v>
      </c>
      <c r="DV166" s="161">
        <f t="shared" si="226"/>
        <v>0</v>
      </c>
      <c r="DW166" s="161">
        <f t="shared" si="227"/>
        <v>0</v>
      </c>
      <c r="DX166" s="161">
        <f t="shared" si="228"/>
        <v>0</v>
      </c>
      <c r="DY166" s="161">
        <f t="shared" si="229"/>
        <v>0</v>
      </c>
      <c r="DZ166" s="161">
        <f t="shared" si="230"/>
        <v>0</v>
      </c>
      <c r="EA166" s="161">
        <f t="shared" si="231"/>
        <v>0</v>
      </c>
      <c r="EB166" s="161">
        <f t="shared" si="232"/>
        <v>0</v>
      </c>
      <c r="EC166" s="161">
        <f t="shared" si="233"/>
        <v>0</v>
      </c>
      <c r="ED166" s="161">
        <f t="shared" si="234"/>
        <v>0</v>
      </c>
      <c r="EE166" s="161">
        <f t="shared" si="235"/>
        <v>0</v>
      </c>
      <c r="EF166" s="161">
        <f t="shared" si="236"/>
        <v>0</v>
      </c>
      <c r="EG166" s="161">
        <f t="shared" si="237"/>
        <v>0</v>
      </c>
      <c r="EH166" s="161">
        <f t="shared" si="238"/>
        <v>0</v>
      </c>
      <c r="EI166" s="161">
        <f t="shared" si="239"/>
        <v>0</v>
      </c>
      <c r="EJ166" s="161">
        <f t="shared" si="240"/>
        <v>0</v>
      </c>
      <c r="EK166" s="147">
        <f t="shared" si="172"/>
        <v>34.375</v>
      </c>
      <c r="EL166" s="149"/>
      <c r="EN166" s="146"/>
      <c r="EO166" s="146"/>
      <c r="EP166" s="139">
        <f t="shared" si="173"/>
        <v>0</v>
      </c>
      <c r="EQ166" s="139">
        <f t="shared" si="174"/>
        <v>0</v>
      </c>
      <c r="ER166" s="139">
        <f t="shared" si="175"/>
        <v>0</v>
      </c>
      <c r="ES166" s="139">
        <f t="shared" si="176"/>
        <v>0</v>
      </c>
      <c r="ET166" s="139">
        <f t="shared" si="177"/>
        <v>0</v>
      </c>
      <c r="EU166" s="139">
        <f t="shared" si="178"/>
        <v>0</v>
      </c>
      <c r="EV166" s="139">
        <f t="shared" si="179"/>
        <v>0</v>
      </c>
      <c r="EW166" s="139">
        <f t="shared" si="180"/>
        <v>0</v>
      </c>
      <c r="EX166" s="139">
        <f t="shared" si="181"/>
        <v>0</v>
      </c>
      <c r="EY166" s="139">
        <f t="shared" si="182"/>
        <v>0</v>
      </c>
      <c r="EZ166" s="139">
        <f t="shared" si="183"/>
        <v>0</v>
      </c>
      <c r="FA166" s="139">
        <f t="shared" si="184"/>
        <v>0</v>
      </c>
      <c r="FB166" s="139">
        <f t="shared" si="185"/>
        <v>0</v>
      </c>
      <c r="FC166" s="139">
        <f t="shared" si="186"/>
        <v>218.99811097636911</v>
      </c>
      <c r="FD166" s="139">
        <f t="shared" si="187"/>
        <v>0</v>
      </c>
      <c r="FE166" s="139">
        <f t="shared" si="188"/>
        <v>0</v>
      </c>
      <c r="FF166" s="139">
        <f t="shared" si="189"/>
        <v>0</v>
      </c>
      <c r="FG166" s="139">
        <f t="shared" si="190"/>
        <v>0</v>
      </c>
      <c r="FH166" s="139">
        <f t="shared" si="191"/>
        <v>0</v>
      </c>
      <c r="FI166" s="139">
        <f t="shared" si="192"/>
        <v>0</v>
      </c>
      <c r="FJ166" s="139">
        <f t="shared" si="193"/>
        <v>0</v>
      </c>
      <c r="FK166" s="139">
        <f t="shared" si="194"/>
        <v>0</v>
      </c>
      <c r="FL166" s="139">
        <f t="shared" si="195"/>
        <v>0</v>
      </c>
      <c r="FM166" s="139">
        <f t="shared" si="196"/>
        <v>0</v>
      </c>
      <c r="FN166" s="139">
        <f t="shared" si="197"/>
        <v>0</v>
      </c>
      <c r="FO166" s="139">
        <f t="shared" si="198"/>
        <v>0</v>
      </c>
      <c r="FP166" s="139">
        <f t="shared" si="199"/>
        <v>0</v>
      </c>
      <c r="FQ166" s="139">
        <f t="shared" si="200"/>
        <v>0</v>
      </c>
      <c r="FR166" s="139">
        <f t="shared" si="201"/>
        <v>0</v>
      </c>
      <c r="FS166" s="139">
        <f t="shared" si="202"/>
        <v>0</v>
      </c>
      <c r="FT166" s="139">
        <f t="shared" si="203"/>
        <v>0</v>
      </c>
      <c r="FU166" s="148">
        <f t="shared" si="204"/>
        <v>218.99811097636911</v>
      </c>
      <c r="FV166" s="149"/>
      <c r="FY166" s="212">
        <v>161</v>
      </c>
      <c r="FZ166">
        <v>1.9973174786207277</v>
      </c>
      <c r="GA166">
        <v>20.113099500716423</v>
      </c>
      <c r="GB166">
        <v>14.440452634067515</v>
      </c>
      <c r="GC166">
        <v>3.6943302544849193</v>
      </c>
      <c r="GD166">
        <v>0.63499564509444162</v>
      </c>
      <c r="GE166">
        <v>0</v>
      </c>
      <c r="GF166">
        <v>0</v>
      </c>
      <c r="GG166">
        <v>0</v>
      </c>
      <c r="GH166">
        <v>0</v>
      </c>
      <c r="GI166">
        <v>5.203176804155226</v>
      </c>
      <c r="GJ166"/>
      <c r="GK166"/>
      <c r="GL166"/>
      <c r="GM166"/>
    </row>
    <row r="167" spans="1:195" s="7" customFormat="1">
      <c r="A167" s="1"/>
      <c r="B167" s="76">
        <f ca="1">IF(C167="", "", RAND())</f>
        <v>0.42931820455526037</v>
      </c>
      <c r="C167">
        <v>10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12.06323529411765</v>
      </c>
      <c r="AO167">
        <v>32.277651939142878</v>
      </c>
      <c r="AP167">
        <v>787.4412720539176</v>
      </c>
      <c r="AQ167">
        <v>74.215140998658029</v>
      </c>
      <c r="AR167">
        <v>29.377300216776142</v>
      </c>
      <c r="AS167">
        <v>155.76250495421664</v>
      </c>
      <c r="AT167" t="e">
        <v>#DIV/0!</v>
      </c>
      <c r="AU167" t="e">
        <v>#DIV/0!</v>
      </c>
      <c r="AV167"/>
      <c r="AW167"/>
      <c r="AX167" s="146"/>
      <c r="AY167" s="76">
        <f t="shared" ca="1" si="170"/>
        <v>0.99624643956907155</v>
      </c>
      <c r="AZ167">
        <v>10</v>
      </c>
      <c r="BA167" s="129">
        <f t="shared" si="242"/>
        <v>39910</v>
      </c>
      <c r="BB167">
        <v>0</v>
      </c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5"/>
        <v>0.46233534827512091</v>
      </c>
      <c r="CL167" s="179">
        <f t="shared" si="206"/>
        <v>10</v>
      </c>
      <c r="CM167" s="180">
        <f t="shared" si="207"/>
        <v>39910</v>
      </c>
      <c r="CN167">
        <v>0</v>
      </c>
      <c r="CO167"/>
      <c r="CP167"/>
      <c r="CQ167"/>
      <c r="CR167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08"/>
        <v>9.6000000000000002E-2</v>
      </c>
      <c r="DB167" s="146"/>
      <c r="DC167" s="76">
        <f t="shared" ca="1" si="171"/>
        <v>0.223014130112551</v>
      </c>
      <c r="DD167">
        <f t="shared" si="209"/>
        <v>10</v>
      </c>
      <c r="DE167" s="129">
        <f t="shared" si="241"/>
        <v>39910</v>
      </c>
      <c r="DF167" s="161">
        <f t="shared" si="210"/>
        <v>0</v>
      </c>
      <c r="DG167" s="161">
        <f t="shared" si="211"/>
        <v>0</v>
      </c>
      <c r="DH167" s="161">
        <f t="shared" si="212"/>
        <v>0</v>
      </c>
      <c r="DI167" s="161">
        <f t="shared" si="213"/>
        <v>0</v>
      </c>
      <c r="DJ167" s="161">
        <f t="shared" si="214"/>
        <v>0</v>
      </c>
      <c r="DK167" s="161">
        <f t="shared" si="215"/>
        <v>0</v>
      </c>
      <c r="DL167" s="161">
        <f t="shared" si="216"/>
        <v>0</v>
      </c>
      <c r="DM167" s="161">
        <f t="shared" si="217"/>
        <v>0</v>
      </c>
      <c r="DN167" s="161">
        <f t="shared" si="218"/>
        <v>0</v>
      </c>
      <c r="DO167" s="161">
        <f t="shared" si="219"/>
        <v>0</v>
      </c>
      <c r="DP167" s="161">
        <f t="shared" si="220"/>
        <v>0</v>
      </c>
      <c r="DQ167" s="161">
        <f t="shared" si="221"/>
        <v>0</v>
      </c>
      <c r="DR167" s="161">
        <f t="shared" si="222"/>
        <v>0</v>
      </c>
      <c r="DS167" s="161">
        <f t="shared" si="223"/>
        <v>0</v>
      </c>
      <c r="DT167" s="161">
        <f t="shared" si="224"/>
        <v>0</v>
      </c>
      <c r="DU167" s="161">
        <f t="shared" si="225"/>
        <v>0</v>
      </c>
      <c r="DV167" s="161">
        <f t="shared" si="226"/>
        <v>0</v>
      </c>
      <c r="DW167" s="161">
        <f t="shared" si="227"/>
        <v>0</v>
      </c>
      <c r="DX167" s="161">
        <f t="shared" si="228"/>
        <v>0</v>
      </c>
      <c r="DY167" s="161">
        <f t="shared" si="229"/>
        <v>0</v>
      </c>
      <c r="DZ167" s="161">
        <f t="shared" si="230"/>
        <v>0</v>
      </c>
      <c r="EA167" s="161">
        <f t="shared" si="231"/>
        <v>0</v>
      </c>
      <c r="EB167" s="161">
        <f t="shared" si="232"/>
        <v>0</v>
      </c>
      <c r="EC167" s="161">
        <f t="shared" si="233"/>
        <v>0</v>
      </c>
      <c r="ED167" s="161">
        <f t="shared" si="234"/>
        <v>0</v>
      </c>
      <c r="EE167" s="161">
        <f t="shared" si="235"/>
        <v>0</v>
      </c>
      <c r="EF167" s="161">
        <f t="shared" si="236"/>
        <v>0</v>
      </c>
      <c r="EG167" s="161">
        <f t="shared" si="237"/>
        <v>0</v>
      </c>
      <c r="EH167" s="161">
        <f t="shared" si="238"/>
        <v>0</v>
      </c>
      <c r="EI167" s="161">
        <f t="shared" si="239"/>
        <v>0</v>
      </c>
      <c r="EJ167" s="161">
        <f t="shared" si="240"/>
        <v>0</v>
      </c>
      <c r="EK167" s="147">
        <f t="shared" si="172"/>
        <v>0</v>
      </c>
      <c r="EL167" s="149"/>
      <c r="EN167" s="146"/>
      <c r="EO167" s="146"/>
      <c r="EP167" s="139">
        <f t="shared" si="173"/>
        <v>0</v>
      </c>
      <c r="EQ167" s="139">
        <f t="shared" si="174"/>
        <v>0</v>
      </c>
      <c r="ER167" s="139">
        <f t="shared" si="175"/>
        <v>0</v>
      </c>
      <c r="ES167" s="139">
        <f t="shared" si="176"/>
        <v>0</v>
      </c>
      <c r="ET167" s="139">
        <f t="shared" si="177"/>
        <v>0</v>
      </c>
      <c r="EU167" s="139">
        <f t="shared" si="178"/>
        <v>0</v>
      </c>
      <c r="EV167" s="139">
        <f t="shared" si="179"/>
        <v>0</v>
      </c>
      <c r="EW167" s="139">
        <f t="shared" si="180"/>
        <v>0</v>
      </c>
      <c r="EX167" s="139">
        <f t="shared" si="181"/>
        <v>0</v>
      </c>
      <c r="EY167" s="139">
        <f t="shared" si="182"/>
        <v>0</v>
      </c>
      <c r="EZ167" s="139">
        <f t="shared" si="183"/>
        <v>0</v>
      </c>
      <c r="FA167" s="139">
        <f t="shared" si="184"/>
        <v>0</v>
      </c>
      <c r="FB167" s="139">
        <f t="shared" si="185"/>
        <v>0</v>
      </c>
      <c r="FC167" s="139">
        <f t="shared" si="186"/>
        <v>0</v>
      </c>
      <c r="FD167" s="139">
        <f t="shared" si="187"/>
        <v>0</v>
      </c>
      <c r="FE167" s="139">
        <f t="shared" si="188"/>
        <v>0</v>
      </c>
      <c r="FF167" s="139">
        <f t="shared" si="189"/>
        <v>0</v>
      </c>
      <c r="FG167" s="139">
        <f t="shared" si="190"/>
        <v>0</v>
      </c>
      <c r="FH167" s="139">
        <f t="shared" si="191"/>
        <v>0</v>
      </c>
      <c r="FI167" s="139">
        <f t="shared" si="192"/>
        <v>0</v>
      </c>
      <c r="FJ167" s="139">
        <f t="shared" si="193"/>
        <v>0</v>
      </c>
      <c r="FK167" s="139">
        <f t="shared" si="194"/>
        <v>0</v>
      </c>
      <c r="FL167" s="139">
        <f t="shared" si="195"/>
        <v>0</v>
      </c>
      <c r="FM167" s="139">
        <f t="shared" si="196"/>
        <v>0</v>
      </c>
      <c r="FN167" s="139">
        <f t="shared" si="197"/>
        <v>0</v>
      </c>
      <c r="FO167" s="139">
        <f t="shared" si="198"/>
        <v>0</v>
      </c>
      <c r="FP167" s="139">
        <f t="shared" si="199"/>
        <v>0</v>
      </c>
      <c r="FQ167" s="139">
        <f t="shared" si="200"/>
        <v>0</v>
      </c>
      <c r="FR167" s="139">
        <f t="shared" si="201"/>
        <v>0</v>
      </c>
      <c r="FS167" s="139">
        <f t="shared" si="202"/>
        <v>0</v>
      </c>
      <c r="FT167" s="139">
        <f t="shared" si="203"/>
        <v>0</v>
      </c>
      <c r="FU167" s="148">
        <f t="shared" si="204"/>
        <v>0</v>
      </c>
      <c r="FV167" s="149"/>
      <c r="FY167" s="212">
        <v>162</v>
      </c>
      <c r="FZ167">
        <v>1.46448811481747</v>
      </c>
      <c r="GA167">
        <v>15.973169757623417</v>
      </c>
      <c r="GB167">
        <v>17.955207689051768</v>
      </c>
      <c r="GC167">
        <v>6.0092063311919599</v>
      </c>
      <c r="GD167">
        <v>0.61214340663849254</v>
      </c>
      <c r="GE167">
        <v>0</v>
      </c>
      <c r="GF167">
        <v>0</v>
      </c>
      <c r="GG167">
        <v>1.7345692689475418</v>
      </c>
      <c r="GH167">
        <v>0</v>
      </c>
      <c r="GI167">
        <v>9.3431287733602542</v>
      </c>
      <c r="GJ167"/>
      <c r="GK167"/>
      <c r="GL167"/>
      <c r="GM167"/>
    </row>
    <row r="168" spans="1:195" s="7" customFormat="1">
      <c r="A168" s="128"/>
      <c r="B168" s="76">
        <f ca="1">IF(C168="", "", RAND())</f>
        <v>0.69804638706301869</v>
      </c>
      <c r="C168">
        <v>6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10.661151960784313</v>
      </c>
      <c r="AO168">
        <v>36.050389914699892</v>
      </c>
      <c r="AP168">
        <v>491.56116542453105</v>
      </c>
      <c r="AQ168">
        <v>51.4499222197162</v>
      </c>
      <c r="AR168">
        <v>32.84104228483784</v>
      </c>
      <c r="AS168">
        <v>173.67035910924233</v>
      </c>
      <c r="AT168" t="e">
        <v>#DIV/0!</v>
      </c>
      <c r="AU168" t="e">
        <v>#DIV/0!</v>
      </c>
      <c r="AV168"/>
      <c r="AW168"/>
      <c r="AX168" s="128"/>
      <c r="AY168" s="76">
        <f t="shared" ca="1" si="170"/>
        <v>0.32694121934865028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5"/>
        <v>0.90051484572505469</v>
      </c>
      <c r="CL168" s="179">
        <f t="shared" si="206"/>
        <v>1</v>
      </c>
      <c r="CM168" s="180">
        <f t="shared" si="207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08"/>
        <v>9.6000000000000002E-2</v>
      </c>
      <c r="DB168" s="128"/>
      <c r="DC168" s="76">
        <f t="shared" ca="1" si="171"/>
        <v>0.16311635157858717</v>
      </c>
      <c r="DD168">
        <f t="shared" si="209"/>
        <v>1</v>
      </c>
      <c r="DE168" s="129">
        <f t="shared" ref="DE168:DE177" si="243">IF((DD168)="", "", $C$12)</f>
        <v>39949</v>
      </c>
      <c r="DF168" s="161">
        <f t="shared" si="210"/>
        <v>0</v>
      </c>
      <c r="DG168" s="161">
        <f t="shared" si="211"/>
        <v>0</v>
      </c>
      <c r="DH168" s="161">
        <f t="shared" si="212"/>
        <v>0</v>
      </c>
      <c r="DI168" s="161">
        <f t="shared" si="213"/>
        <v>0</v>
      </c>
      <c r="DJ168" s="161">
        <f t="shared" si="214"/>
        <v>0</v>
      </c>
      <c r="DK168" s="161">
        <f t="shared" si="215"/>
        <v>0</v>
      </c>
      <c r="DL168" s="161">
        <f t="shared" si="216"/>
        <v>0</v>
      </c>
      <c r="DM168" s="161">
        <f t="shared" si="217"/>
        <v>0</v>
      </c>
      <c r="DN168" s="161">
        <f t="shared" si="218"/>
        <v>0</v>
      </c>
      <c r="DO168" s="161">
        <f t="shared" si="219"/>
        <v>0</v>
      </c>
      <c r="DP168" s="161">
        <f t="shared" si="220"/>
        <v>0</v>
      </c>
      <c r="DQ168" s="161">
        <f t="shared" si="221"/>
        <v>0</v>
      </c>
      <c r="DR168" s="161">
        <f t="shared" si="222"/>
        <v>0</v>
      </c>
      <c r="DS168" s="161">
        <f t="shared" si="223"/>
        <v>0</v>
      </c>
      <c r="DT168" s="161">
        <f t="shared" si="224"/>
        <v>0</v>
      </c>
      <c r="DU168" s="161">
        <f t="shared" si="225"/>
        <v>0</v>
      </c>
      <c r="DV168" s="161">
        <f t="shared" si="226"/>
        <v>0</v>
      </c>
      <c r="DW168" s="161">
        <f t="shared" si="227"/>
        <v>0</v>
      </c>
      <c r="DX168" s="161">
        <f t="shared" si="228"/>
        <v>0</v>
      </c>
      <c r="DY168" s="161">
        <f t="shared" si="229"/>
        <v>0</v>
      </c>
      <c r="DZ168" s="161">
        <f t="shared" si="230"/>
        <v>0</v>
      </c>
      <c r="EA168" s="161">
        <f t="shared" si="231"/>
        <v>0</v>
      </c>
      <c r="EB168" s="161">
        <f t="shared" si="232"/>
        <v>0</v>
      </c>
      <c r="EC168" s="161">
        <f t="shared" si="233"/>
        <v>0</v>
      </c>
      <c r="ED168" s="161">
        <f t="shared" si="234"/>
        <v>0</v>
      </c>
      <c r="EE168" s="161">
        <f t="shared" si="235"/>
        <v>0</v>
      </c>
      <c r="EF168" s="161">
        <f t="shared" si="236"/>
        <v>0</v>
      </c>
      <c r="EG168" s="161">
        <f t="shared" si="237"/>
        <v>0</v>
      </c>
      <c r="EH168" s="161">
        <f t="shared" si="238"/>
        <v>0</v>
      </c>
      <c r="EI168" s="161">
        <f t="shared" si="239"/>
        <v>0</v>
      </c>
      <c r="EJ168" s="161">
        <f t="shared" si="240"/>
        <v>0</v>
      </c>
      <c r="EK168" s="147">
        <f t="shared" si="172"/>
        <v>0</v>
      </c>
      <c r="EL168" s="149"/>
      <c r="EN168" s="146"/>
      <c r="EO168" s="146"/>
      <c r="EP168" s="139">
        <f t="shared" si="173"/>
        <v>0</v>
      </c>
      <c r="EQ168" s="139">
        <f t="shared" si="174"/>
        <v>0</v>
      </c>
      <c r="ER168" s="139">
        <f t="shared" si="175"/>
        <v>0</v>
      </c>
      <c r="ES168" s="139">
        <f t="shared" si="176"/>
        <v>0</v>
      </c>
      <c r="ET168" s="139">
        <f t="shared" si="177"/>
        <v>0</v>
      </c>
      <c r="EU168" s="139">
        <f t="shared" si="178"/>
        <v>0</v>
      </c>
      <c r="EV168" s="139">
        <f t="shared" si="179"/>
        <v>0</v>
      </c>
      <c r="EW168" s="139">
        <f t="shared" si="180"/>
        <v>0</v>
      </c>
      <c r="EX168" s="139">
        <f t="shared" si="181"/>
        <v>0</v>
      </c>
      <c r="EY168" s="139">
        <f t="shared" si="182"/>
        <v>0</v>
      </c>
      <c r="EZ168" s="139">
        <f t="shared" si="183"/>
        <v>0</v>
      </c>
      <c r="FA168" s="139">
        <f t="shared" si="184"/>
        <v>0</v>
      </c>
      <c r="FB168" s="139">
        <f t="shared" si="185"/>
        <v>0</v>
      </c>
      <c r="FC168" s="139">
        <f t="shared" si="186"/>
        <v>0</v>
      </c>
      <c r="FD168" s="139">
        <f t="shared" si="187"/>
        <v>0</v>
      </c>
      <c r="FE168" s="139">
        <f t="shared" si="188"/>
        <v>0</v>
      </c>
      <c r="FF168" s="139">
        <f t="shared" si="189"/>
        <v>0</v>
      </c>
      <c r="FG168" s="139">
        <f t="shared" si="190"/>
        <v>0</v>
      </c>
      <c r="FH168" s="139">
        <f t="shared" si="191"/>
        <v>0</v>
      </c>
      <c r="FI168" s="139">
        <f t="shared" si="192"/>
        <v>0</v>
      </c>
      <c r="FJ168" s="139">
        <f t="shared" si="193"/>
        <v>0</v>
      </c>
      <c r="FK168" s="139">
        <f t="shared" si="194"/>
        <v>0</v>
      </c>
      <c r="FL168" s="139">
        <f t="shared" si="195"/>
        <v>0</v>
      </c>
      <c r="FM168" s="139">
        <f t="shared" si="196"/>
        <v>0</v>
      </c>
      <c r="FN168" s="139">
        <f t="shared" si="197"/>
        <v>0</v>
      </c>
      <c r="FO168" s="139">
        <f t="shared" si="198"/>
        <v>0</v>
      </c>
      <c r="FP168" s="139">
        <f t="shared" si="199"/>
        <v>0</v>
      </c>
      <c r="FQ168" s="139">
        <f t="shared" si="200"/>
        <v>0</v>
      </c>
      <c r="FR168" s="139">
        <f t="shared" si="201"/>
        <v>0</v>
      </c>
      <c r="FS168" s="139">
        <f t="shared" si="202"/>
        <v>0</v>
      </c>
      <c r="FT168" s="139">
        <f t="shared" si="203"/>
        <v>0</v>
      </c>
      <c r="FU168" s="148">
        <f t="shared" si="204"/>
        <v>0</v>
      </c>
      <c r="FV168" s="149"/>
      <c r="FY168" s="212">
        <v>163</v>
      </c>
      <c r="FZ168">
        <v>3.4584951242504518</v>
      </c>
      <c r="GA168">
        <v>14.351617616367447</v>
      </c>
      <c r="GB168">
        <v>12.939093164218729</v>
      </c>
      <c r="GC168">
        <v>4.8652269539783193</v>
      </c>
      <c r="GD168">
        <v>0.90848793506937298</v>
      </c>
      <c r="GE168">
        <v>0.35947809610506914</v>
      </c>
      <c r="GF168">
        <v>0</v>
      </c>
      <c r="GG168">
        <v>2.4948221584469064</v>
      </c>
      <c r="GH168">
        <v>4.8688803855936991</v>
      </c>
      <c r="GI168">
        <v>8.821992805029744</v>
      </c>
      <c r="GJ168"/>
      <c r="GK168"/>
      <c r="GL168"/>
      <c r="GM168"/>
    </row>
    <row r="169" spans="1:195" s="7" customFormat="1">
      <c r="A169" s="1"/>
      <c r="B169" s="76">
        <f ca="1">IF(C169="", "", RAND())</f>
        <v>0.54353653011447856</v>
      </c>
      <c r="C169">
        <v>1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9.3726102941176457</v>
      </c>
      <c r="AO169">
        <v>27.653396983723475</v>
      </c>
      <c r="AP169">
        <v>564.47570437552554</v>
      </c>
      <c r="AQ169">
        <v>52.670435577923378</v>
      </c>
      <c r="AR169">
        <v>25.173432075485771</v>
      </c>
      <c r="AS169">
        <v>124.75613552088517</v>
      </c>
      <c r="AT169" t="e">
        <v>#DIV/0!</v>
      </c>
      <c r="AU169" t="e">
        <v>#DIV/0!</v>
      </c>
      <c r="AV169"/>
      <c r="AW169"/>
      <c r="AX169" s="146"/>
      <c r="AY169" s="76">
        <f t="shared" ca="1" si="170"/>
        <v>0.48391436816136846</v>
      </c>
      <c r="AZ169">
        <v>2</v>
      </c>
      <c r="BA169" s="129">
        <f t="shared" ref="BA169:BA177" si="244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5"/>
        <v>0.77359752742720489</v>
      </c>
      <c r="CL169" s="179">
        <f t="shared" si="206"/>
        <v>2</v>
      </c>
      <c r="CM169" s="180">
        <f t="shared" si="207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08"/>
        <v>9.6000000000000002E-2</v>
      </c>
      <c r="DB169" s="146"/>
      <c r="DC169" s="76">
        <f t="shared" ca="1" si="171"/>
        <v>0.44726902156706583</v>
      </c>
      <c r="DD169">
        <f t="shared" si="209"/>
        <v>2</v>
      </c>
      <c r="DE169" s="129">
        <f t="shared" si="243"/>
        <v>39949</v>
      </c>
      <c r="DF169" s="161">
        <f t="shared" si="210"/>
        <v>0</v>
      </c>
      <c r="DG169" s="161">
        <f t="shared" si="211"/>
        <v>0</v>
      </c>
      <c r="DH169" s="161">
        <f t="shared" si="212"/>
        <v>0</v>
      </c>
      <c r="DI169" s="161">
        <f t="shared" si="213"/>
        <v>0</v>
      </c>
      <c r="DJ169" s="161">
        <f t="shared" si="214"/>
        <v>0</v>
      </c>
      <c r="DK169" s="161">
        <f t="shared" si="215"/>
        <v>0</v>
      </c>
      <c r="DL169" s="161">
        <f t="shared" si="216"/>
        <v>0</v>
      </c>
      <c r="DM169" s="161">
        <f t="shared" si="217"/>
        <v>0</v>
      </c>
      <c r="DN169" s="161">
        <f t="shared" si="218"/>
        <v>0</v>
      </c>
      <c r="DO169" s="161">
        <f t="shared" si="219"/>
        <v>0</v>
      </c>
      <c r="DP169" s="161">
        <f t="shared" si="220"/>
        <v>0</v>
      </c>
      <c r="DQ169" s="161">
        <f t="shared" si="221"/>
        <v>0</v>
      </c>
      <c r="DR169" s="161">
        <f t="shared" si="222"/>
        <v>0</v>
      </c>
      <c r="DS169" s="161">
        <f t="shared" si="223"/>
        <v>0</v>
      </c>
      <c r="DT169" s="161">
        <f t="shared" si="224"/>
        <v>0</v>
      </c>
      <c r="DU169" s="161">
        <f t="shared" si="225"/>
        <v>0</v>
      </c>
      <c r="DV169" s="161">
        <f t="shared" si="226"/>
        <v>0</v>
      </c>
      <c r="DW169" s="161">
        <f t="shared" si="227"/>
        <v>0</v>
      </c>
      <c r="DX169" s="161">
        <f t="shared" si="228"/>
        <v>0</v>
      </c>
      <c r="DY169" s="161">
        <f t="shared" si="229"/>
        <v>0</v>
      </c>
      <c r="DZ169" s="161">
        <f t="shared" si="230"/>
        <v>0</v>
      </c>
      <c r="EA169" s="161">
        <f t="shared" si="231"/>
        <v>0</v>
      </c>
      <c r="EB169" s="161">
        <f t="shared" si="232"/>
        <v>0</v>
      </c>
      <c r="EC169" s="161">
        <f t="shared" si="233"/>
        <v>0</v>
      </c>
      <c r="ED169" s="161">
        <f t="shared" si="234"/>
        <v>0</v>
      </c>
      <c r="EE169" s="161">
        <f t="shared" si="235"/>
        <v>0</v>
      </c>
      <c r="EF169" s="161">
        <f t="shared" si="236"/>
        <v>0</v>
      </c>
      <c r="EG169" s="161">
        <f t="shared" si="237"/>
        <v>0</v>
      </c>
      <c r="EH169" s="161">
        <f t="shared" si="238"/>
        <v>0</v>
      </c>
      <c r="EI169" s="161">
        <f t="shared" si="239"/>
        <v>0</v>
      </c>
      <c r="EJ169" s="161">
        <f t="shared" si="240"/>
        <v>0</v>
      </c>
      <c r="EK169" s="147">
        <f t="shared" si="172"/>
        <v>0</v>
      </c>
      <c r="EL169" s="149"/>
      <c r="EN169" s="146"/>
      <c r="EO169" s="146"/>
      <c r="EP169" s="139">
        <f t="shared" si="173"/>
        <v>0</v>
      </c>
      <c r="EQ169" s="139">
        <f t="shared" si="174"/>
        <v>0</v>
      </c>
      <c r="ER169" s="139">
        <f t="shared" si="175"/>
        <v>0</v>
      </c>
      <c r="ES169" s="139">
        <f t="shared" si="176"/>
        <v>0</v>
      </c>
      <c r="ET169" s="139">
        <f t="shared" si="177"/>
        <v>0</v>
      </c>
      <c r="EU169" s="139">
        <f t="shared" si="178"/>
        <v>0</v>
      </c>
      <c r="EV169" s="139">
        <f t="shared" si="179"/>
        <v>0</v>
      </c>
      <c r="EW169" s="139">
        <f t="shared" si="180"/>
        <v>0</v>
      </c>
      <c r="EX169" s="139">
        <f t="shared" si="181"/>
        <v>0</v>
      </c>
      <c r="EY169" s="139">
        <f t="shared" si="182"/>
        <v>0</v>
      </c>
      <c r="EZ169" s="139">
        <f t="shared" si="183"/>
        <v>0</v>
      </c>
      <c r="FA169" s="139">
        <f t="shared" si="184"/>
        <v>0</v>
      </c>
      <c r="FB169" s="139">
        <f t="shared" si="185"/>
        <v>0</v>
      </c>
      <c r="FC169" s="139">
        <f t="shared" si="186"/>
        <v>0</v>
      </c>
      <c r="FD169" s="139">
        <f t="shared" si="187"/>
        <v>0</v>
      </c>
      <c r="FE169" s="139">
        <f t="shared" si="188"/>
        <v>0</v>
      </c>
      <c r="FF169" s="139">
        <f t="shared" si="189"/>
        <v>0</v>
      </c>
      <c r="FG169" s="139">
        <f t="shared" si="190"/>
        <v>0</v>
      </c>
      <c r="FH169" s="139">
        <f t="shared" si="191"/>
        <v>0</v>
      </c>
      <c r="FI169" s="139">
        <f t="shared" si="192"/>
        <v>0</v>
      </c>
      <c r="FJ169" s="139">
        <f t="shared" si="193"/>
        <v>0</v>
      </c>
      <c r="FK169" s="139">
        <f t="shared" si="194"/>
        <v>0</v>
      </c>
      <c r="FL169" s="139">
        <f t="shared" si="195"/>
        <v>0</v>
      </c>
      <c r="FM169" s="139">
        <f t="shared" si="196"/>
        <v>0</v>
      </c>
      <c r="FN169" s="139">
        <f t="shared" si="197"/>
        <v>0</v>
      </c>
      <c r="FO169" s="139">
        <f t="shared" si="198"/>
        <v>0</v>
      </c>
      <c r="FP169" s="139">
        <f t="shared" si="199"/>
        <v>0</v>
      </c>
      <c r="FQ169" s="139">
        <f t="shared" si="200"/>
        <v>0</v>
      </c>
      <c r="FR169" s="139">
        <f t="shared" si="201"/>
        <v>0</v>
      </c>
      <c r="FS169" s="139">
        <f t="shared" si="202"/>
        <v>0</v>
      </c>
      <c r="FT169" s="139">
        <f t="shared" si="203"/>
        <v>0</v>
      </c>
      <c r="FU169" s="148">
        <f t="shared" si="204"/>
        <v>0</v>
      </c>
      <c r="FV169" s="149"/>
      <c r="FY169" s="212">
        <v>164</v>
      </c>
      <c r="FZ169">
        <v>0.3418137814317348</v>
      </c>
      <c r="GA169">
        <v>16.970915340365071</v>
      </c>
      <c r="GB169">
        <v>13.984256970764484</v>
      </c>
      <c r="GC169">
        <v>4.9039157050040334</v>
      </c>
      <c r="GD169">
        <v>1.2857508818273817</v>
      </c>
      <c r="GE169">
        <v>0</v>
      </c>
      <c r="GF169">
        <v>0.80138167652982462</v>
      </c>
      <c r="GG169">
        <v>2.7443043742915965</v>
      </c>
      <c r="GH169">
        <v>0</v>
      </c>
      <c r="GI169">
        <v>10.01926759737705</v>
      </c>
      <c r="GJ169"/>
      <c r="GK169"/>
      <c r="GL169"/>
      <c r="GM169"/>
    </row>
    <row r="170" spans="1:195" s="7" customFormat="1">
      <c r="A170" s="1"/>
      <c r="B170" s="76">
        <f ca="1">IF(C170="", "", RAND())</f>
        <v>0.71384090766076769</v>
      </c>
      <c r="C170">
        <v>3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10.416666666666666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8.7499999999999964</v>
      </c>
      <c r="AO170">
        <v>30.996545956104995</v>
      </c>
      <c r="AP170">
        <v>215.92030542570888</v>
      </c>
      <c r="AQ170">
        <v>54.899901576143904</v>
      </c>
      <c r="AR170">
        <v>28.178678141913625</v>
      </c>
      <c r="AS170">
        <v>151.54534110744513</v>
      </c>
      <c r="AT170" t="e">
        <v>#DIV/0!</v>
      </c>
      <c r="AU170" t="e">
        <v>#DIV/0!</v>
      </c>
      <c r="AV170"/>
      <c r="AW170"/>
      <c r="AX170" s="146"/>
      <c r="AY170" s="76">
        <f t="shared" ca="1" si="170"/>
        <v>0.62406588741249536</v>
      </c>
      <c r="AZ170">
        <v>3</v>
      </c>
      <c r="BA170" s="129">
        <f t="shared" si="244"/>
        <v>39949</v>
      </c>
      <c r="BB170">
        <v>0</v>
      </c>
      <c r="BC170"/>
      <c r="BD170"/>
      <c r="BE170"/>
      <c r="BF170"/>
      <c r="BG170"/>
      <c r="BH170"/>
      <c r="BI170"/>
      <c r="BJ170"/>
      <c r="BK170"/>
      <c r="BL170"/>
      <c r="BM170"/>
      <c r="BN170"/>
      <c r="BO170">
        <v>1</v>
      </c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5"/>
        <v>0.33037220001412981</v>
      </c>
      <c r="CL170" s="179">
        <f t="shared" si="206"/>
        <v>3</v>
      </c>
      <c r="CM170" s="180">
        <f t="shared" si="207"/>
        <v>39949</v>
      </c>
      <c r="CN170"/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08"/>
        <v>9.6000000000000002E-2</v>
      </c>
      <c r="DB170" s="146"/>
      <c r="DC170" s="76">
        <f t="shared" ca="1" si="171"/>
        <v>0.75855495574869658</v>
      </c>
      <c r="DD170">
        <f t="shared" si="209"/>
        <v>3</v>
      </c>
      <c r="DE170" s="129">
        <f t="shared" si="243"/>
        <v>39949</v>
      </c>
      <c r="DF170" s="161">
        <f t="shared" si="210"/>
        <v>0</v>
      </c>
      <c r="DG170" s="161">
        <f t="shared" si="211"/>
        <v>0</v>
      </c>
      <c r="DH170" s="161">
        <f t="shared" si="212"/>
        <v>0</v>
      </c>
      <c r="DI170" s="161">
        <f t="shared" si="213"/>
        <v>0</v>
      </c>
      <c r="DJ170" s="161">
        <f t="shared" si="214"/>
        <v>0</v>
      </c>
      <c r="DK170" s="161">
        <f t="shared" si="215"/>
        <v>0</v>
      </c>
      <c r="DL170" s="161">
        <f t="shared" si="216"/>
        <v>0</v>
      </c>
      <c r="DM170" s="161">
        <f t="shared" si="217"/>
        <v>0</v>
      </c>
      <c r="DN170" s="161">
        <f t="shared" si="218"/>
        <v>0</v>
      </c>
      <c r="DO170" s="161">
        <f t="shared" si="219"/>
        <v>0</v>
      </c>
      <c r="DP170" s="161">
        <f t="shared" si="220"/>
        <v>0</v>
      </c>
      <c r="DQ170" s="161">
        <f t="shared" si="221"/>
        <v>0</v>
      </c>
      <c r="DR170" s="161">
        <f t="shared" si="222"/>
        <v>0</v>
      </c>
      <c r="DS170" s="161">
        <f t="shared" si="223"/>
        <v>10.416666666666666</v>
      </c>
      <c r="DT170" s="161">
        <f t="shared" si="224"/>
        <v>0</v>
      </c>
      <c r="DU170" s="161">
        <f t="shared" si="225"/>
        <v>0</v>
      </c>
      <c r="DV170" s="161">
        <f t="shared" si="226"/>
        <v>0</v>
      </c>
      <c r="DW170" s="161">
        <f t="shared" si="227"/>
        <v>0</v>
      </c>
      <c r="DX170" s="161">
        <f t="shared" si="228"/>
        <v>0</v>
      </c>
      <c r="DY170" s="161">
        <f t="shared" si="229"/>
        <v>0</v>
      </c>
      <c r="DZ170" s="161">
        <f t="shared" si="230"/>
        <v>0</v>
      </c>
      <c r="EA170" s="161">
        <f t="shared" si="231"/>
        <v>0</v>
      </c>
      <c r="EB170" s="161">
        <f t="shared" si="232"/>
        <v>0</v>
      </c>
      <c r="EC170" s="161">
        <f t="shared" si="233"/>
        <v>0</v>
      </c>
      <c r="ED170" s="161">
        <f t="shared" si="234"/>
        <v>0</v>
      </c>
      <c r="EE170" s="161">
        <f t="shared" si="235"/>
        <v>0</v>
      </c>
      <c r="EF170" s="161">
        <f t="shared" si="236"/>
        <v>0</v>
      </c>
      <c r="EG170" s="161">
        <f t="shared" si="237"/>
        <v>0</v>
      </c>
      <c r="EH170" s="161">
        <f t="shared" si="238"/>
        <v>0</v>
      </c>
      <c r="EI170" s="161">
        <f t="shared" si="239"/>
        <v>0</v>
      </c>
      <c r="EJ170" s="161">
        <f t="shared" si="240"/>
        <v>0</v>
      </c>
      <c r="EK170" s="147">
        <f t="shared" si="172"/>
        <v>10.416666666666666</v>
      </c>
      <c r="EL170" s="149"/>
      <c r="EN170" s="146"/>
      <c r="EO170" s="146"/>
      <c r="EP170" s="139">
        <f t="shared" si="173"/>
        <v>0</v>
      </c>
      <c r="EQ170" s="139">
        <f t="shared" si="174"/>
        <v>0</v>
      </c>
      <c r="ER170" s="139">
        <f t="shared" si="175"/>
        <v>0</v>
      </c>
      <c r="ES170" s="139">
        <f t="shared" si="176"/>
        <v>0</v>
      </c>
      <c r="ET170" s="139">
        <f t="shared" si="177"/>
        <v>0</v>
      </c>
      <c r="EU170" s="139">
        <f t="shared" si="178"/>
        <v>0</v>
      </c>
      <c r="EV170" s="139">
        <f t="shared" si="179"/>
        <v>0</v>
      </c>
      <c r="EW170" s="139">
        <f t="shared" si="180"/>
        <v>0</v>
      </c>
      <c r="EX170" s="139">
        <f t="shared" si="181"/>
        <v>0</v>
      </c>
      <c r="EY170" s="139">
        <f t="shared" si="182"/>
        <v>0</v>
      </c>
      <c r="EZ170" s="139">
        <f t="shared" si="183"/>
        <v>0</v>
      </c>
      <c r="FA170" s="139">
        <f t="shared" si="184"/>
        <v>0</v>
      </c>
      <c r="FB170" s="139">
        <f t="shared" si="185"/>
        <v>0</v>
      </c>
      <c r="FC170" s="139">
        <f t="shared" si="186"/>
        <v>66.363063932233061</v>
      </c>
      <c r="FD170" s="139">
        <f t="shared" si="187"/>
        <v>0</v>
      </c>
      <c r="FE170" s="139">
        <f t="shared" si="188"/>
        <v>0</v>
      </c>
      <c r="FF170" s="139">
        <f t="shared" si="189"/>
        <v>0</v>
      </c>
      <c r="FG170" s="139">
        <f t="shared" si="190"/>
        <v>0</v>
      </c>
      <c r="FH170" s="139">
        <f t="shared" si="191"/>
        <v>0</v>
      </c>
      <c r="FI170" s="139">
        <f t="shared" si="192"/>
        <v>0</v>
      </c>
      <c r="FJ170" s="139">
        <f t="shared" si="193"/>
        <v>0</v>
      </c>
      <c r="FK170" s="139">
        <f t="shared" si="194"/>
        <v>0</v>
      </c>
      <c r="FL170" s="139">
        <f t="shared" si="195"/>
        <v>0</v>
      </c>
      <c r="FM170" s="139">
        <f t="shared" si="196"/>
        <v>0</v>
      </c>
      <c r="FN170" s="139">
        <f t="shared" si="197"/>
        <v>0</v>
      </c>
      <c r="FO170" s="139">
        <f t="shared" si="198"/>
        <v>0</v>
      </c>
      <c r="FP170" s="139">
        <f t="shared" si="199"/>
        <v>0</v>
      </c>
      <c r="FQ170" s="139">
        <f t="shared" si="200"/>
        <v>0</v>
      </c>
      <c r="FR170" s="139">
        <f t="shared" si="201"/>
        <v>0</v>
      </c>
      <c r="FS170" s="139">
        <f t="shared" si="202"/>
        <v>0</v>
      </c>
      <c r="FT170" s="139">
        <f t="shared" si="203"/>
        <v>0</v>
      </c>
      <c r="FU170" s="148">
        <f t="shared" si="204"/>
        <v>66.363063932233061</v>
      </c>
      <c r="FV170" s="149"/>
      <c r="FY170" s="212">
        <v>165</v>
      </c>
      <c r="FZ170">
        <v>2.5838519790154595</v>
      </c>
      <c r="GA170">
        <v>16.851437359425447</v>
      </c>
      <c r="GB170">
        <v>16.208130274410529</v>
      </c>
      <c r="GC170">
        <v>6.0626593685952024</v>
      </c>
      <c r="GD170">
        <v>1.1907332144970155</v>
      </c>
      <c r="GE170">
        <v>0.35947809610506914</v>
      </c>
      <c r="GF170">
        <v>1.6027633530596492</v>
      </c>
      <c r="GG170">
        <v>7.7300132771969778</v>
      </c>
      <c r="GH170">
        <v>3.245920257062465</v>
      </c>
      <c r="GI170">
        <v>11.805367167263491</v>
      </c>
      <c r="GJ170"/>
      <c r="GK170"/>
      <c r="GL170"/>
      <c r="GM170"/>
    </row>
    <row r="171" spans="1:195" s="7" customFormat="1">
      <c r="A171" s="1"/>
      <c r="B171" s="76">
        <f ca="1">IF(C171="", "", RAND())</f>
        <v>0.32005377176076166</v>
      </c>
      <c r="C171">
        <v>2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11.685110294117646</v>
      </c>
      <c r="AO171">
        <v>27.713694793673504</v>
      </c>
      <c r="AP171">
        <v>578.25639289607716</v>
      </c>
      <c r="AQ171">
        <v>64.201905292286298</v>
      </c>
      <c r="AR171">
        <v>25.228248266349432</v>
      </c>
      <c r="AS171">
        <v>143.1992871322806</v>
      </c>
      <c r="AT171" t="e">
        <v>#DIV/0!</v>
      </c>
      <c r="AU171" t="e">
        <v>#DIV/0!</v>
      </c>
      <c r="AV171"/>
      <c r="AW171"/>
      <c r="AX171" s="146"/>
      <c r="AY171" s="76">
        <f t="shared" ca="1" si="170"/>
        <v>0.23160950684930004</v>
      </c>
      <c r="AZ171">
        <v>4</v>
      </c>
      <c r="BA171" s="129">
        <f t="shared" si="244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5"/>
        <v>0.76857343644189346</v>
      </c>
      <c r="CL171" s="179">
        <f t="shared" si="206"/>
        <v>4</v>
      </c>
      <c r="CM171" s="180">
        <f t="shared" si="207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08"/>
        <v>9.6000000000000002E-2</v>
      </c>
      <c r="DB171" s="146"/>
      <c r="DC171" s="76">
        <f t="shared" ca="1" si="171"/>
        <v>0.36435728598836015</v>
      </c>
      <c r="DD171">
        <f t="shared" si="209"/>
        <v>4</v>
      </c>
      <c r="DE171" s="129">
        <f t="shared" si="243"/>
        <v>39949</v>
      </c>
      <c r="DF171" s="161">
        <f t="shared" si="210"/>
        <v>0</v>
      </c>
      <c r="DG171" s="161">
        <f t="shared" si="211"/>
        <v>0</v>
      </c>
      <c r="DH171" s="161">
        <f t="shared" si="212"/>
        <v>0</v>
      </c>
      <c r="DI171" s="161">
        <f t="shared" si="213"/>
        <v>0</v>
      </c>
      <c r="DJ171" s="161">
        <f t="shared" si="214"/>
        <v>0</v>
      </c>
      <c r="DK171" s="161">
        <f t="shared" si="215"/>
        <v>0</v>
      </c>
      <c r="DL171" s="161">
        <f t="shared" si="216"/>
        <v>0</v>
      </c>
      <c r="DM171" s="161">
        <f t="shared" si="217"/>
        <v>0</v>
      </c>
      <c r="DN171" s="161">
        <f t="shared" si="218"/>
        <v>0</v>
      </c>
      <c r="DO171" s="161">
        <f t="shared" si="219"/>
        <v>0</v>
      </c>
      <c r="DP171" s="161">
        <f t="shared" si="220"/>
        <v>0</v>
      </c>
      <c r="DQ171" s="161">
        <f t="shared" si="221"/>
        <v>0</v>
      </c>
      <c r="DR171" s="161">
        <f t="shared" si="222"/>
        <v>0</v>
      </c>
      <c r="DS171" s="161">
        <f t="shared" si="223"/>
        <v>0</v>
      </c>
      <c r="DT171" s="161">
        <f t="shared" si="224"/>
        <v>0</v>
      </c>
      <c r="DU171" s="161">
        <f t="shared" si="225"/>
        <v>0</v>
      </c>
      <c r="DV171" s="161">
        <f t="shared" si="226"/>
        <v>0</v>
      </c>
      <c r="DW171" s="161">
        <f t="shared" si="227"/>
        <v>0</v>
      </c>
      <c r="DX171" s="161">
        <f t="shared" si="228"/>
        <v>0</v>
      </c>
      <c r="DY171" s="161">
        <f t="shared" si="229"/>
        <v>0</v>
      </c>
      <c r="DZ171" s="161">
        <f t="shared" si="230"/>
        <v>0</v>
      </c>
      <c r="EA171" s="161">
        <f t="shared" si="231"/>
        <v>0</v>
      </c>
      <c r="EB171" s="161">
        <f t="shared" si="232"/>
        <v>0</v>
      </c>
      <c r="EC171" s="161">
        <f t="shared" si="233"/>
        <v>0</v>
      </c>
      <c r="ED171" s="161">
        <f t="shared" si="234"/>
        <v>0</v>
      </c>
      <c r="EE171" s="161">
        <f t="shared" si="235"/>
        <v>0</v>
      </c>
      <c r="EF171" s="161">
        <f t="shared" si="236"/>
        <v>0</v>
      </c>
      <c r="EG171" s="161">
        <f t="shared" si="237"/>
        <v>0</v>
      </c>
      <c r="EH171" s="161">
        <f t="shared" si="238"/>
        <v>0</v>
      </c>
      <c r="EI171" s="161">
        <f t="shared" si="239"/>
        <v>0</v>
      </c>
      <c r="EJ171" s="161">
        <f t="shared" si="240"/>
        <v>0</v>
      </c>
      <c r="EK171" s="147">
        <f t="shared" si="172"/>
        <v>0</v>
      </c>
      <c r="EL171" s="149"/>
      <c r="EN171" s="146"/>
      <c r="EO171" s="146"/>
      <c r="EP171" s="139">
        <f t="shared" si="173"/>
        <v>0</v>
      </c>
      <c r="EQ171" s="139">
        <f t="shared" si="174"/>
        <v>0</v>
      </c>
      <c r="ER171" s="139">
        <f t="shared" si="175"/>
        <v>0</v>
      </c>
      <c r="ES171" s="139">
        <f t="shared" si="176"/>
        <v>0</v>
      </c>
      <c r="ET171" s="139">
        <f t="shared" si="177"/>
        <v>0</v>
      </c>
      <c r="EU171" s="139">
        <f t="shared" si="178"/>
        <v>0</v>
      </c>
      <c r="EV171" s="139">
        <f t="shared" si="179"/>
        <v>0</v>
      </c>
      <c r="EW171" s="139">
        <f t="shared" si="180"/>
        <v>0</v>
      </c>
      <c r="EX171" s="139">
        <f t="shared" si="181"/>
        <v>0</v>
      </c>
      <c r="EY171" s="139">
        <f t="shared" si="182"/>
        <v>0</v>
      </c>
      <c r="EZ171" s="139">
        <f t="shared" si="183"/>
        <v>0</v>
      </c>
      <c r="FA171" s="139">
        <f t="shared" si="184"/>
        <v>0</v>
      </c>
      <c r="FB171" s="139">
        <f t="shared" si="185"/>
        <v>0</v>
      </c>
      <c r="FC171" s="139">
        <f t="shared" si="186"/>
        <v>0</v>
      </c>
      <c r="FD171" s="139">
        <f t="shared" si="187"/>
        <v>0</v>
      </c>
      <c r="FE171" s="139">
        <f t="shared" si="188"/>
        <v>0</v>
      </c>
      <c r="FF171" s="139">
        <f t="shared" si="189"/>
        <v>0</v>
      </c>
      <c r="FG171" s="139">
        <f t="shared" si="190"/>
        <v>0</v>
      </c>
      <c r="FH171" s="139">
        <f t="shared" si="191"/>
        <v>0</v>
      </c>
      <c r="FI171" s="139">
        <f t="shared" si="192"/>
        <v>0</v>
      </c>
      <c r="FJ171" s="139">
        <f t="shared" si="193"/>
        <v>0</v>
      </c>
      <c r="FK171" s="139">
        <f t="shared" si="194"/>
        <v>0</v>
      </c>
      <c r="FL171" s="139">
        <f t="shared" si="195"/>
        <v>0</v>
      </c>
      <c r="FM171" s="139">
        <f t="shared" si="196"/>
        <v>0</v>
      </c>
      <c r="FN171" s="139">
        <f t="shared" si="197"/>
        <v>0</v>
      </c>
      <c r="FO171" s="139">
        <f t="shared" si="198"/>
        <v>0</v>
      </c>
      <c r="FP171" s="139">
        <f t="shared" si="199"/>
        <v>0</v>
      </c>
      <c r="FQ171" s="139">
        <f t="shared" si="200"/>
        <v>0</v>
      </c>
      <c r="FR171" s="139">
        <f t="shared" si="201"/>
        <v>0</v>
      </c>
      <c r="FS171" s="139">
        <f t="shared" si="202"/>
        <v>0</v>
      </c>
      <c r="FT171" s="139">
        <f t="shared" si="203"/>
        <v>0</v>
      </c>
      <c r="FU171" s="148">
        <f t="shared" si="204"/>
        <v>0</v>
      </c>
      <c r="FV171" s="149"/>
      <c r="FY171" s="212">
        <v>166</v>
      </c>
      <c r="FZ171">
        <v>1.4812863372853795</v>
      </c>
      <c r="GA171">
        <v>12.852661551297578</v>
      </c>
      <c r="GB171">
        <v>16.653998046827613</v>
      </c>
      <c r="GC171">
        <v>6.4275829698633045</v>
      </c>
      <c r="GD171">
        <v>0.71972085670257746</v>
      </c>
      <c r="GE171">
        <v>0</v>
      </c>
      <c r="GF171">
        <v>0.80138167652982462</v>
      </c>
      <c r="GG171">
        <v>2.7443043742915965</v>
      </c>
      <c r="GH171">
        <v>0</v>
      </c>
      <c r="GI171">
        <v>7.1281030651449706</v>
      </c>
      <c r="GJ171"/>
      <c r="GK171"/>
      <c r="GL171"/>
      <c r="GM171"/>
    </row>
    <row r="172" spans="1:195" s="7" customFormat="1">
      <c r="A172" s="1"/>
      <c r="B172" s="76">
        <f ca="1">IF(C172="", "", RAND())</f>
        <v>1.9430282032247614E-2</v>
      </c>
      <c r="C172">
        <v>4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6.8156250000000016</v>
      </c>
      <c r="AO172">
        <v>24.192180712741351</v>
      </c>
      <c r="AP172">
        <v>594.36246677786323</v>
      </c>
      <c r="AQ172">
        <v>58.424736981703113</v>
      </c>
      <c r="AR172">
        <v>21.992891557037591</v>
      </c>
      <c r="AS172">
        <v>142.13885032757292</v>
      </c>
      <c r="AT172" t="e">
        <v>#DIV/0!</v>
      </c>
      <c r="AU172" t="e">
        <v>#DIV/0!</v>
      </c>
      <c r="AV172"/>
      <c r="AW172"/>
      <c r="AX172" s="146"/>
      <c r="AY172" s="76">
        <f t="shared" ca="1" si="170"/>
        <v>0.13478357156544263</v>
      </c>
      <c r="AZ172">
        <v>5</v>
      </c>
      <c r="BA172" s="129">
        <f t="shared" si="244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5"/>
        <v>0.8850182304315255</v>
      </c>
      <c r="CL172" s="179">
        <f t="shared" si="206"/>
        <v>5</v>
      </c>
      <c r="CM172" s="180">
        <f t="shared" si="207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08"/>
        <v>9.6000000000000002E-2</v>
      </c>
      <c r="DB172" s="146"/>
      <c r="DC172" s="76">
        <f t="shared" ca="1" si="171"/>
        <v>0.52403520316137975</v>
      </c>
      <c r="DD172">
        <f t="shared" si="209"/>
        <v>5</v>
      </c>
      <c r="DE172" s="129">
        <f t="shared" si="243"/>
        <v>39949</v>
      </c>
      <c r="DF172" s="161">
        <f t="shared" si="210"/>
        <v>0</v>
      </c>
      <c r="DG172" s="161">
        <f t="shared" si="211"/>
        <v>0</v>
      </c>
      <c r="DH172" s="161">
        <f t="shared" si="212"/>
        <v>0</v>
      </c>
      <c r="DI172" s="161">
        <f t="shared" si="213"/>
        <v>0</v>
      </c>
      <c r="DJ172" s="161">
        <f t="shared" si="214"/>
        <v>0</v>
      </c>
      <c r="DK172" s="161">
        <f t="shared" si="215"/>
        <v>0</v>
      </c>
      <c r="DL172" s="161">
        <f t="shared" si="216"/>
        <v>0</v>
      </c>
      <c r="DM172" s="161">
        <f t="shared" si="217"/>
        <v>0</v>
      </c>
      <c r="DN172" s="161">
        <f t="shared" si="218"/>
        <v>0</v>
      </c>
      <c r="DO172" s="161">
        <f t="shared" si="219"/>
        <v>0</v>
      </c>
      <c r="DP172" s="161">
        <f t="shared" si="220"/>
        <v>0</v>
      </c>
      <c r="DQ172" s="161">
        <f t="shared" si="221"/>
        <v>0</v>
      </c>
      <c r="DR172" s="161">
        <f t="shared" si="222"/>
        <v>0</v>
      </c>
      <c r="DS172" s="161">
        <f t="shared" si="223"/>
        <v>0</v>
      </c>
      <c r="DT172" s="161">
        <f t="shared" si="224"/>
        <v>0</v>
      </c>
      <c r="DU172" s="161">
        <f t="shared" si="225"/>
        <v>0</v>
      </c>
      <c r="DV172" s="161">
        <f t="shared" si="226"/>
        <v>0</v>
      </c>
      <c r="DW172" s="161">
        <f t="shared" si="227"/>
        <v>0</v>
      </c>
      <c r="DX172" s="161">
        <f t="shared" si="228"/>
        <v>0</v>
      </c>
      <c r="DY172" s="161">
        <f t="shared" si="229"/>
        <v>0</v>
      </c>
      <c r="DZ172" s="161">
        <f t="shared" si="230"/>
        <v>0</v>
      </c>
      <c r="EA172" s="161">
        <f t="shared" si="231"/>
        <v>0</v>
      </c>
      <c r="EB172" s="161">
        <f t="shared" si="232"/>
        <v>0</v>
      </c>
      <c r="EC172" s="161">
        <f t="shared" si="233"/>
        <v>0</v>
      </c>
      <c r="ED172" s="161">
        <f t="shared" si="234"/>
        <v>0</v>
      </c>
      <c r="EE172" s="161">
        <f t="shared" si="235"/>
        <v>0</v>
      </c>
      <c r="EF172" s="161">
        <f t="shared" si="236"/>
        <v>0</v>
      </c>
      <c r="EG172" s="161">
        <f t="shared" si="237"/>
        <v>0</v>
      </c>
      <c r="EH172" s="161">
        <f t="shared" si="238"/>
        <v>0</v>
      </c>
      <c r="EI172" s="161">
        <f t="shared" si="239"/>
        <v>0</v>
      </c>
      <c r="EJ172" s="161">
        <f t="shared" si="240"/>
        <v>0</v>
      </c>
      <c r="EK172" s="147">
        <f t="shared" si="172"/>
        <v>0</v>
      </c>
      <c r="EL172" s="149"/>
      <c r="EN172" s="146"/>
      <c r="EO172" s="146"/>
      <c r="EP172" s="139">
        <f t="shared" si="173"/>
        <v>0</v>
      </c>
      <c r="EQ172" s="139">
        <f t="shared" si="174"/>
        <v>0</v>
      </c>
      <c r="ER172" s="139">
        <f t="shared" si="175"/>
        <v>0</v>
      </c>
      <c r="ES172" s="139">
        <f t="shared" si="176"/>
        <v>0</v>
      </c>
      <c r="ET172" s="139">
        <f t="shared" si="177"/>
        <v>0</v>
      </c>
      <c r="EU172" s="139">
        <f t="shared" si="178"/>
        <v>0</v>
      </c>
      <c r="EV172" s="139">
        <f t="shared" si="179"/>
        <v>0</v>
      </c>
      <c r="EW172" s="139">
        <f t="shared" si="180"/>
        <v>0</v>
      </c>
      <c r="EX172" s="139">
        <f t="shared" si="181"/>
        <v>0</v>
      </c>
      <c r="EY172" s="139">
        <f t="shared" si="182"/>
        <v>0</v>
      </c>
      <c r="EZ172" s="139">
        <f t="shared" si="183"/>
        <v>0</v>
      </c>
      <c r="FA172" s="139">
        <f t="shared" si="184"/>
        <v>0</v>
      </c>
      <c r="FB172" s="139">
        <f t="shared" si="185"/>
        <v>0</v>
      </c>
      <c r="FC172" s="139">
        <f t="shared" si="186"/>
        <v>0</v>
      </c>
      <c r="FD172" s="139">
        <f t="shared" si="187"/>
        <v>0</v>
      </c>
      <c r="FE172" s="139">
        <f t="shared" si="188"/>
        <v>0</v>
      </c>
      <c r="FF172" s="139">
        <f t="shared" si="189"/>
        <v>0</v>
      </c>
      <c r="FG172" s="139">
        <f t="shared" si="190"/>
        <v>0</v>
      </c>
      <c r="FH172" s="139">
        <f t="shared" si="191"/>
        <v>0</v>
      </c>
      <c r="FI172" s="139">
        <f t="shared" si="192"/>
        <v>0</v>
      </c>
      <c r="FJ172" s="139">
        <f t="shared" si="193"/>
        <v>0</v>
      </c>
      <c r="FK172" s="139">
        <f t="shared" si="194"/>
        <v>0</v>
      </c>
      <c r="FL172" s="139">
        <f t="shared" si="195"/>
        <v>0</v>
      </c>
      <c r="FM172" s="139">
        <f t="shared" si="196"/>
        <v>0</v>
      </c>
      <c r="FN172" s="139">
        <f t="shared" si="197"/>
        <v>0</v>
      </c>
      <c r="FO172" s="139">
        <f t="shared" si="198"/>
        <v>0</v>
      </c>
      <c r="FP172" s="139">
        <f t="shared" si="199"/>
        <v>0</v>
      </c>
      <c r="FQ172" s="139">
        <f t="shared" si="200"/>
        <v>0</v>
      </c>
      <c r="FR172" s="139">
        <f t="shared" si="201"/>
        <v>0</v>
      </c>
      <c r="FS172" s="139">
        <f t="shared" si="202"/>
        <v>0</v>
      </c>
      <c r="FT172" s="139">
        <f t="shared" si="203"/>
        <v>0</v>
      </c>
      <c r="FU172" s="148">
        <f t="shared" si="204"/>
        <v>0</v>
      </c>
      <c r="FV172" s="149"/>
      <c r="FY172" s="212">
        <v>167</v>
      </c>
      <c r="FZ172">
        <v>1.273472532445947</v>
      </c>
      <c r="GA172">
        <v>26.277385008197989</v>
      </c>
      <c r="GB172">
        <v>18.448379162413541</v>
      </c>
      <c r="GC172">
        <v>4.5898231625840875</v>
      </c>
      <c r="GD172">
        <v>0.72795974768830241</v>
      </c>
      <c r="GE172">
        <v>0</v>
      </c>
      <c r="GF172">
        <v>2.4041450295894737</v>
      </c>
      <c r="GG172">
        <v>8.8111028791906367</v>
      </c>
      <c r="GH172">
        <v>0</v>
      </c>
      <c r="GI172">
        <v>9.5452313597207805</v>
      </c>
      <c r="GJ172"/>
      <c r="GK172"/>
      <c r="GL172"/>
      <c r="GM172"/>
    </row>
    <row r="173" spans="1:195" s="7" customFormat="1">
      <c r="A173" s="1"/>
      <c r="B173" s="76">
        <f ca="1">IF(C173="", "", RAND())</f>
        <v>0.20689819910116003</v>
      </c>
      <c r="C173">
        <v>10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15.859803921568624</v>
      </c>
      <c r="AO173">
        <v>37.009743299471602</v>
      </c>
      <c r="AP173">
        <v>568.45941478725581</v>
      </c>
      <c r="AQ173">
        <v>82.074140006211749</v>
      </c>
      <c r="AR173">
        <v>33.645221181337817</v>
      </c>
      <c r="AS173">
        <v>190.86740850368835</v>
      </c>
      <c r="AT173" t="e">
        <v>#DIV/0!</v>
      </c>
      <c r="AU173" t="e">
        <v>#DIV/0!</v>
      </c>
      <c r="AV173"/>
      <c r="AW173"/>
      <c r="AX173" s="146"/>
      <c r="AY173" s="76">
        <f t="shared" ca="1" si="170"/>
        <v>0.3530581399294217</v>
      </c>
      <c r="AZ173">
        <v>6</v>
      </c>
      <c r="BA173" s="129">
        <f t="shared" si="244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5"/>
        <v>0.14939830825857237</v>
      </c>
      <c r="CL173" s="179">
        <f t="shared" si="206"/>
        <v>6</v>
      </c>
      <c r="CM173" s="180">
        <f t="shared" si="207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08"/>
        <v>9.6000000000000002E-2</v>
      </c>
      <c r="DB173" s="146"/>
      <c r="DC173" s="76">
        <f t="shared" ca="1" si="171"/>
        <v>0.78083968789677716</v>
      </c>
      <c r="DD173">
        <f t="shared" si="209"/>
        <v>6</v>
      </c>
      <c r="DE173" s="129">
        <f t="shared" si="243"/>
        <v>39949</v>
      </c>
      <c r="DF173" s="161">
        <f t="shared" si="210"/>
        <v>0</v>
      </c>
      <c r="DG173" s="161">
        <f t="shared" si="211"/>
        <v>0</v>
      </c>
      <c r="DH173" s="161">
        <f t="shared" si="212"/>
        <v>0</v>
      </c>
      <c r="DI173" s="161">
        <f t="shared" si="213"/>
        <v>0</v>
      </c>
      <c r="DJ173" s="161">
        <f t="shared" si="214"/>
        <v>0</v>
      </c>
      <c r="DK173" s="161">
        <f t="shared" si="215"/>
        <v>0</v>
      </c>
      <c r="DL173" s="161">
        <f t="shared" si="216"/>
        <v>0</v>
      </c>
      <c r="DM173" s="161">
        <f t="shared" si="217"/>
        <v>0</v>
      </c>
      <c r="DN173" s="161">
        <f t="shared" si="218"/>
        <v>0</v>
      </c>
      <c r="DO173" s="161">
        <f t="shared" si="219"/>
        <v>0</v>
      </c>
      <c r="DP173" s="161">
        <f t="shared" si="220"/>
        <v>0</v>
      </c>
      <c r="DQ173" s="161">
        <f t="shared" si="221"/>
        <v>0</v>
      </c>
      <c r="DR173" s="161">
        <f t="shared" si="222"/>
        <v>0</v>
      </c>
      <c r="DS173" s="161">
        <f t="shared" si="223"/>
        <v>0</v>
      </c>
      <c r="DT173" s="161">
        <f t="shared" si="224"/>
        <v>0</v>
      </c>
      <c r="DU173" s="161">
        <f t="shared" si="225"/>
        <v>0</v>
      </c>
      <c r="DV173" s="161">
        <f t="shared" si="226"/>
        <v>0</v>
      </c>
      <c r="DW173" s="161">
        <f t="shared" si="227"/>
        <v>0</v>
      </c>
      <c r="DX173" s="161">
        <f t="shared" si="228"/>
        <v>0</v>
      </c>
      <c r="DY173" s="161">
        <f t="shared" si="229"/>
        <v>0</v>
      </c>
      <c r="DZ173" s="161">
        <f t="shared" si="230"/>
        <v>0</v>
      </c>
      <c r="EA173" s="161">
        <f t="shared" si="231"/>
        <v>0</v>
      </c>
      <c r="EB173" s="161">
        <f t="shared" si="232"/>
        <v>0</v>
      </c>
      <c r="EC173" s="161">
        <f t="shared" si="233"/>
        <v>0</v>
      </c>
      <c r="ED173" s="161">
        <f t="shared" si="234"/>
        <v>0</v>
      </c>
      <c r="EE173" s="161">
        <f t="shared" si="235"/>
        <v>0</v>
      </c>
      <c r="EF173" s="161">
        <f t="shared" si="236"/>
        <v>0</v>
      </c>
      <c r="EG173" s="161">
        <f t="shared" si="237"/>
        <v>0</v>
      </c>
      <c r="EH173" s="161">
        <f t="shared" si="238"/>
        <v>0</v>
      </c>
      <c r="EI173" s="161">
        <f t="shared" si="239"/>
        <v>0</v>
      </c>
      <c r="EJ173" s="161">
        <f t="shared" si="240"/>
        <v>0</v>
      </c>
      <c r="EK173" s="147">
        <f t="shared" si="172"/>
        <v>0</v>
      </c>
      <c r="EL173" s="149"/>
      <c r="EN173" s="146"/>
      <c r="EO173" s="146"/>
      <c r="EP173" s="139">
        <f t="shared" si="173"/>
        <v>0</v>
      </c>
      <c r="EQ173" s="139">
        <f t="shared" si="174"/>
        <v>0</v>
      </c>
      <c r="ER173" s="139">
        <f t="shared" si="175"/>
        <v>0</v>
      </c>
      <c r="ES173" s="139">
        <f t="shared" si="176"/>
        <v>0</v>
      </c>
      <c r="ET173" s="139">
        <f t="shared" si="177"/>
        <v>0</v>
      </c>
      <c r="EU173" s="139">
        <f t="shared" si="178"/>
        <v>0</v>
      </c>
      <c r="EV173" s="139">
        <f t="shared" si="179"/>
        <v>0</v>
      </c>
      <c r="EW173" s="139">
        <f t="shared" si="180"/>
        <v>0</v>
      </c>
      <c r="EX173" s="139">
        <f t="shared" si="181"/>
        <v>0</v>
      </c>
      <c r="EY173" s="139">
        <f t="shared" si="182"/>
        <v>0</v>
      </c>
      <c r="EZ173" s="139">
        <f t="shared" si="183"/>
        <v>0</v>
      </c>
      <c r="FA173" s="139">
        <f t="shared" si="184"/>
        <v>0</v>
      </c>
      <c r="FB173" s="139">
        <f t="shared" si="185"/>
        <v>0</v>
      </c>
      <c r="FC173" s="139">
        <f t="shared" si="186"/>
        <v>0</v>
      </c>
      <c r="FD173" s="139">
        <f t="shared" si="187"/>
        <v>0</v>
      </c>
      <c r="FE173" s="139">
        <f t="shared" si="188"/>
        <v>0</v>
      </c>
      <c r="FF173" s="139">
        <f t="shared" si="189"/>
        <v>0</v>
      </c>
      <c r="FG173" s="139">
        <f t="shared" si="190"/>
        <v>0</v>
      </c>
      <c r="FH173" s="139">
        <f t="shared" si="191"/>
        <v>0</v>
      </c>
      <c r="FI173" s="139">
        <f t="shared" si="192"/>
        <v>0</v>
      </c>
      <c r="FJ173" s="139">
        <f t="shared" si="193"/>
        <v>0</v>
      </c>
      <c r="FK173" s="139">
        <f t="shared" si="194"/>
        <v>0</v>
      </c>
      <c r="FL173" s="139">
        <f t="shared" si="195"/>
        <v>0</v>
      </c>
      <c r="FM173" s="139">
        <f t="shared" si="196"/>
        <v>0</v>
      </c>
      <c r="FN173" s="139">
        <f t="shared" si="197"/>
        <v>0</v>
      </c>
      <c r="FO173" s="139">
        <f t="shared" si="198"/>
        <v>0</v>
      </c>
      <c r="FP173" s="139">
        <f t="shared" si="199"/>
        <v>0</v>
      </c>
      <c r="FQ173" s="139">
        <f t="shared" si="200"/>
        <v>0</v>
      </c>
      <c r="FR173" s="139">
        <f t="shared" si="201"/>
        <v>0</v>
      </c>
      <c r="FS173" s="139">
        <f t="shared" si="202"/>
        <v>0</v>
      </c>
      <c r="FT173" s="139">
        <f t="shared" si="203"/>
        <v>0</v>
      </c>
      <c r="FU173" s="148">
        <f t="shared" si="204"/>
        <v>0</v>
      </c>
      <c r="FV173" s="149"/>
      <c r="FY173" s="212">
        <v>168</v>
      </c>
      <c r="FZ173">
        <v>1.10256564173008</v>
      </c>
      <c r="GA173">
        <v>12.694693980495838</v>
      </c>
      <c r="GB173">
        <v>14.015650060918231</v>
      </c>
      <c r="GC173">
        <v>4.7636248387260292</v>
      </c>
      <c r="GD173">
        <v>0.41612450662143852</v>
      </c>
      <c r="GE173">
        <v>0</v>
      </c>
      <c r="GF173">
        <v>0.80138167652982462</v>
      </c>
      <c r="GG173">
        <v>2.7443043742915965</v>
      </c>
      <c r="GH173">
        <v>0</v>
      </c>
      <c r="GI173">
        <v>6.0157819016342229</v>
      </c>
      <c r="GJ173"/>
      <c r="GK173"/>
      <c r="GL173"/>
      <c r="GM173"/>
    </row>
    <row r="174" spans="1:195" s="7" customFormat="1">
      <c r="A174" s="1"/>
      <c r="B174" s="76">
        <f ca="1">IF(C174="", "", RAND())</f>
        <v>0.74050128282995309</v>
      </c>
      <c r="C174">
        <v>9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6.6562499999999982</v>
      </c>
      <c r="AO174">
        <v>18.75502076572641</v>
      </c>
      <c r="AP174">
        <v>584.232101158565</v>
      </c>
      <c r="AQ174">
        <v>53.121404850886044</v>
      </c>
      <c r="AR174">
        <v>17.117979422134685</v>
      </c>
      <c r="AS174">
        <v>147.52856001645517</v>
      </c>
      <c r="AT174" t="e">
        <v>#DIV/0!</v>
      </c>
      <c r="AU174" t="e">
        <v>#DIV/0!</v>
      </c>
      <c r="AV174"/>
      <c r="AW174"/>
      <c r="AX174" s="146"/>
      <c r="AY174" s="76">
        <f t="shared" ca="1" si="170"/>
        <v>0.56674268090260149</v>
      </c>
      <c r="AZ174">
        <v>7</v>
      </c>
      <c r="BA174" s="129">
        <f t="shared" si="244"/>
        <v>39949</v>
      </c>
      <c r="BB174">
        <v>0</v>
      </c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5"/>
        <v>0.76829968896409628</v>
      </c>
      <c r="CL174" s="179">
        <f t="shared" si="206"/>
        <v>7</v>
      </c>
      <c r="CM174" s="180">
        <f t="shared" si="207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08"/>
        <v>9.6000000000000002E-2</v>
      </c>
      <c r="DB174" s="146"/>
      <c r="DC174" s="76">
        <f t="shared" ca="1" si="171"/>
        <v>0.88319264228328986</v>
      </c>
      <c r="DD174">
        <f t="shared" si="209"/>
        <v>7</v>
      </c>
      <c r="DE174" s="129">
        <f t="shared" si="243"/>
        <v>39949</v>
      </c>
      <c r="DF174" s="161">
        <f t="shared" si="210"/>
        <v>0</v>
      </c>
      <c r="DG174" s="161">
        <f t="shared" si="211"/>
        <v>0</v>
      </c>
      <c r="DH174" s="161">
        <f t="shared" si="212"/>
        <v>0</v>
      </c>
      <c r="DI174" s="161">
        <f t="shared" si="213"/>
        <v>0</v>
      </c>
      <c r="DJ174" s="161">
        <f t="shared" si="214"/>
        <v>0</v>
      </c>
      <c r="DK174" s="161">
        <f t="shared" si="215"/>
        <v>0</v>
      </c>
      <c r="DL174" s="161">
        <f t="shared" si="216"/>
        <v>0</v>
      </c>
      <c r="DM174" s="161">
        <f t="shared" si="217"/>
        <v>0</v>
      </c>
      <c r="DN174" s="161">
        <f t="shared" si="218"/>
        <v>0</v>
      </c>
      <c r="DO174" s="161">
        <f t="shared" si="219"/>
        <v>0</v>
      </c>
      <c r="DP174" s="161">
        <f t="shared" si="220"/>
        <v>0</v>
      </c>
      <c r="DQ174" s="161">
        <f t="shared" si="221"/>
        <v>0</v>
      </c>
      <c r="DR174" s="161">
        <f t="shared" si="222"/>
        <v>0</v>
      </c>
      <c r="DS174" s="161">
        <f t="shared" si="223"/>
        <v>0</v>
      </c>
      <c r="DT174" s="161">
        <f t="shared" si="224"/>
        <v>0</v>
      </c>
      <c r="DU174" s="161">
        <f t="shared" si="225"/>
        <v>0</v>
      </c>
      <c r="DV174" s="161">
        <f t="shared" si="226"/>
        <v>0</v>
      </c>
      <c r="DW174" s="161">
        <f t="shared" si="227"/>
        <v>0</v>
      </c>
      <c r="DX174" s="161">
        <f t="shared" si="228"/>
        <v>0</v>
      </c>
      <c r="DY174" s="161">
        <f t="shared" si="229"/>
        <v>0</v>
      </c>
      <c r="DZ174" s="161">
        <f t="shared" si="230"/>
        <v>0</v>
      </c>
      <c r="EA174" s="161">
        <f t="shared" si="231"/>
        <v>0</v>
      </c>
      <c r="EB174" s="161">
        <f t="shared" si="232"/>
        <v>0</v>
      </c>
      <c r="EC174" s="161">
        <f t="shared" si="233"/>
        <v>0</v>
      </c>
      <c r="ED174" s="161">
        <f t="shared" si="234"/>
        <v>0</v>
      </c>
      <c r="EE174" s="161">
        <f t="shared" si="235"/>
        <v>0</v>
      </c>
      <c r="EF174" s="161">
        <f t="shared" si="236"/>
        <v>0</v>
      </c>
      <c r="EG174" s="161">
        <f t="shared" si="237"/>
        <v>0</v>
      </c>
      <c r="EH174" s="161">
        <f t="shared" si="238"/>
        <v>0</v>
      </c>
      <c r="EI174" s="161">
        <f t="shared" si="239"/>
        <v>0</v>
      </c>
      <c r="EJ174" s="161">
        <f t="shared" si="240"/>
        <v>0</v>
      </c>
      <c r="EK174" s="147">
        <f t="shared" si="172"/>
        <v>0</v>
      </c>
      <c r="EL174" s="149"/>
      <c r="EN174" s="146"/>
      <c r="EO174" s="146"/>
      <c r="EP174" s="139">
        <f t="shared" si="173"/>
        <v>0</v>
      </c>
      <c r="EQ174" s="139">
        <f t="shared" si="174"/>
        <v>0</v>
      </c>
      <c r="ER174" s="139">
        <f t="shared" si="175"/>
        <v>0</v>
      </c>
      <c r="ES174" s="139">
        <f t="shared" si="176"/>
        <v>0</v>
      </c>
      <c r="ET174" s="139">
        <f t="shared" si="177"/>
        <v>0</v>
      </c>
      <c r="EU174" s="139">
        <f t="shared" si="178"/>
        <v>0</v>
      </c>
      <c r="EV174" s="139">
        <f t="shared" si="179"/>
        <v>0</v>
      </c>
      <c r="EW174" s="139">
        <f t="shared" si="180"/>
        <v>0</v>
      </c>
      <c r="EX174" s="139">
        <f t="shared" si="181"/>
        <v>0</v>
      </c>
      <c r="EY174" s="139">
        <f t="shared" si="182"/>
        <v>0</v>
      </c>
      <c r="EZ174" s="139">
        <f t="shared" si="183"/>
        <v>0</v>
      </c>
      <c r="FA174" s="139">
        <f t="shared" si="184"/>
        <v>0</v>
      </c>
      <c r="FB174" s="139">
        <f t="shared" si="185"/>
        <v>0</v>
      </c>
      <c r="FC174" s="139">
        <f t="shared" si="186"/>
        <v>0</v>
      </c>
      <c r="FD174" s="139">
        <f t="shared" si="187"/>
        <v>0</v>
      </c>
      <c r="FE174" s="139">
        <f t="shared" si="188"/>
        <v>0</v>
      </c>
      <c r="FF174" s="139">
        <f t="shared" si="189"/>
        <v>0</v>
      </c>
      <c r="FG174" s="139">
        <f t="shared" si="190"/>
        <v>0</v>
      </c>
      <c r="FH174" s="139">
        <f t="shared" si="191"/>
        <v>0</v>
      </c>
      <c r="FI174" s="139">
        <f t="shared" si="192"/>
        <v>0</v>
      </c>
      <c r="FJ174" s="139">
        <f t="shared" si="193"/>
        <v>0</v>
      </c>
      <c r="FK174" s="139">
        <f t="shared" si="194"/>
        <v>0</v>
      </c>
      <c r="FL174" s="139">
        <f t="shared" si="195"/>
        <v>0</v>
      </c>
      <c r="FM174" s="139">
        <f t="shared" si="196"/>
        <v>0</v>
      </c>
      <c r="FN174" s="139">
        <f t="shared" si="197"/>
        <v>0</v>
      </c>
      <c r="FO174" s="139">
        <f t="shared" si="198"/>
        <v>0</v>
      </c>
      <c r="FP174" s="139">
        <f t="shared" si="199"/>
        <v>0</v>
      </c>
      <c r="FQ174" s="139">
        <f t="shared" si="200"/>
        <v>0</v>
      </c>
      <c r="FR174" s="139">
        <f t="shared" si="201"/>
        <v>0</v>
      </c>
      <c r="FS174" s="139">
        <f t="shared" si="202"/>
        <v>0</v>
      </c>
      <c r="FT174" s="139">
        <f t="shared" si="203"/>
        <v>0</v>
      </c>
      <c r="FU174" s="148">
        <f t="shared" si="204"/>
        <v>0</v>
      </c>
      <c r="FV174" s="149"/>
      <c r="FY174" s="212">
        <v>169</v>
      </c>
      <c r="FZ174">
        <v>0.5127206721476022</v>
      </c>
      <c r="GA174">
        <v>16.399779377255506</v>
      </c>
      <c r="GB174">
        <v>16.449188951358362</v>
      </c>
      <c r="GC174">
        <v>5.639336803450874</v>
      </c>
      <c r="GD174">
        <v>0.73548044834107595</v>
      </c>
      <c r="GE174">
        <v>0</v>
      </c>
      <c r="GF174">
        <v>3.2055267061192985</v>
      </c>
      <c r="GG174">
        <v>10.977217497166386</v>
      </c>
      <c r="GH174">
        <v>0</v>
      </c>
      <c r="GI174">
        <v>12.55853420742679</v>
      </c>
      <c r="GJ174"/>
      <c r="GK174"/>
      <c r="GL174"/>
      <c r="GM174"/>
    </row>
    <row r="175" spans="1:195" s="7" customFormat="1">
      <c r="A175" s="1"/>
      <c r="B175" s="76">
        <f ca="1">IF(C175="", "", RAND())</f>
        <v>0.14168340592844153</v>
      </c>
      <c r="C175">
        <v>8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7.1041666666666661</v>
      </c>
      <c r="AO175">
        <v>28.988173437191136</v>
      </c>
      <c r="AP175">
        <v>118.88944960075985</v>
      </c>
      <c r="AQ175">
        <v>32.871573504790817</v>
      </c>
      <c r="AR175">
        <v>26.352884942901031</v>
      </c>
      <c r="AS175">
        <v>170.58020134950928</v>
      </c>
      <c r="AT175" t="e">
        <v>#DIV/0!</v>
      </c>
      <c r="AU175" t="e">
        <v>#DIV/0!</v>
      </c>
      <c r="AV175"/>
      <c r="AW175"/>
      <c r="AX175" s="146"/>
      <c r="AY175" s="76">
        <f t="shared" ca="1" si="170"/>
        <v>0.64524447520174699</v>
      </c>
      <c r="AZ175">
        <v>8</v>
      </c>
      <c r="BA175" s="129">
        <f t="shared" si="244"/>
        <v>39949</v>
      </c>
      <c r="BB175">
        <v>0</v>
      </c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5"/>
        <v>5.2937347491570197E-2</v>
      </c>
      <c r="CL175" s="179">
        <f t="shared" si="206"/>
        <v>8</v>
      </c>
      <c r="CM175" s="180">
        <f t="shared" si="207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08"/>
        <v>9.6000000000000002E-2</v>
      </c>
      <c r="DB175" s="146"/>
      <c r="DC175" s="76">
        <f t="shared" ca="1" si="171"/>
        <v>0.86168205712327173</v>
      </c>
      <c r="DD175">
        <f t="shared" si="209"/>
        <v>8</v>
      </c>
      <c r="DE175" s="129">
        <f t="shared" si="243"/>
        <v>39949</v>
      </c>
      <c r="DF175" s="161">
        <f t="shared" si="210"/>
        <v>0</v>
      </c>
      <c r="DG175" s="161">
        <f t="shared" si="211"/>
        <v>0</v>
      </c>
      <c r="DH175" s="161">
        <f t="shared" si="212"/>
        <v>0</v>
      </c>
      <c r="DI175" s="161">
        <f t="shared" si="213"/>
        <v>0</v>
      </c>
      <c r="DJ175" s="161">
        <f t="shared" si="214"/>
        <v>0</v>
      </c>
      <c r="DK175" s="161">
        <f t="shared" si="215"/>
        <v>0</v>
      </c>
      <c r="DL175" s="161">
        <f t="shared" si="216"/>
        <v>0</v>
      </c>
      <c r="DM175" s="161">
        <f t="shared" si="217"/>
        <v>0</v>
      </c>
      <c r="DN175" s="161">
        <f t="shared" si="218"/>
        <v>0</v>
      </c>
      <c r="DO175" s="161">
        <f t="shared" si="219"/>
        <v>0</v>
      </c>
      <c r="DP175" s="161">
        <f t="shared" si="220"/>
        <v>0</v>
      </c>
      <c r="DQ175" s="161">
        <f t="shared" si="221"/>
        <v>0</v>
      </c>
      <c r="DR175" s="161">
        <f t="shared" si="222"/>
        <v>0</v>
      </c>
      <c r="DS175" s="161">
        <f t="shared" si="223"/>
        <v>0</v>
      </c>
      <c r="DT175" s="161">
        <f t="shared" si="224"/>
        <v>0</v>
      </c>
      <c r="DU175" s="161">
        <f t="shared" si="225"/>
        <v>0</v>
      </c>
      <c r="DV175" s="161">
        <f t="shared" si="226"/>
        <v>0</v>
      </c>
      <c r="DW175" s="161">
        <f t="shared" si="227"/>
        <v>0</v>
      </c>
      <c r="DX175" s="161">
        <f t="shared" si="228"/>
        <v>0</v>
      </c>
      <c r="DY175" s="161">
        <f t="shared" si="229"/>
        <v>0</v>
      </c>
      <c r="DZ175" s="161">
        <f t="shared" si="230"/>
        <v>0</v>
      </c>
      <c r="EA175" s="161">
        <f t="shared" si="231"/>
        <v>0</v>
      </c>
      <c r="EB175" s="161">
        <f t="shared" si="232"/>
        <v>0</v>
      </c>
      <c r="EC175" s="161">
        <f t="shared" si="233"/>
        <v>0</v>
      </c>
      <c r="ED175" s="161">
        <f t="shared" si="234"/>
        <v>0</v>
      </c>
      <c r="EE175" s="161">
        <f t="shared" si="235"/>
        <v>0</v>
      </c>
      <c r="EF175" s="161">
        <f t="shared" si="236"/>
        <v>0</v>
      </c>
      <c r="EG175" s="161">
        <f t="shared" si="237"/>
        <v>0</v>
      </c>
      <c r="EH175" s="161">
        <f t="shared" si="238"/>
        <v>0</v>
      </c>
      <c r="EI175" s="161">
        <f t="shared" si="239"/>
        <v>0</v>
      </c>
      <c r="EJ175" s="161">
        <f t="shared" si="240"/>
        <v>0</v>
      </c>
      <c r="EK175" s="147">
        <f t="shared" si="172"/>
        <v>0</v>
      </c>
      <c r="EL175" s="149"/>
      <c r="EN175" s="146"/>
      <c r="EO175" s="146"/>
      <c r="EP175" s="139">
        <f t="shared" si="173"/>
        <v>0</v>
      </c>
      <c r="EQ175" s="139">
        <f t="shared" si="174"/>
        <v>0</v>
      </c>
      <c r="ER175" s="139">
        <f t="shared" si="175"/>
        <v>0</v>
      </c>
      <c r="ES175" s="139">
        <f t="shared" si="176"/>
        <v>0</v>
      </c>
      <c r="ET175" s="139">
        <f t="shared" si="177"/>
        <v>0</v>
      </c>
      <c r="EU175" s="139">
        <f t="shared" si="178"/>
        <v>0</v>
      </c>
      <c r="EV175" s="139">
        <f t="shared" si="179"/>
        <v>0</v>
      </c>
      <c r="EW175" s="139">
        <f t="shared" si="180"/>
        <v>0</v>
      </c>
      <c r="EX175" s="139">
        <f t="shared" si="181"/>
        <v>0</v>
      </c>
      <c r="EY175" s="139">
        <f t="shared" si="182"/>
        <v>0</v>
      </c>
      <c r="EZ175" s="139">
        <f t="shared" si="183"/>
        <v>0</v>
      </c>
      <c r="FA175" s="139">
        <f t="shared" si="184"/>
        <v>0</v>
      </c>
      <c r="FB175" s="139">
        <f t="shared" si="185"/>
        <v>0</v>
      </c>
      <c r="FC175" s="139">
        <f t="shared" si="186"/>
        <v>0</v>
      </c>
      <c r="FD175" s="139">
        <f t="shared" si="187"/>
        <v>0</v>
      </c>
      <c r="FE175" s="139">
        <f t="shared" si="188"/>
        <v>0</v>
      </c>
      <c r="FF175" s="139">
        <f t="shared" si="189"/>
        <v>0</v>
      </c>
      <c r="FG175" s="139">
        <f t="shared" si="190"/>
        <v>0</v>
      </c>
      <c r="FH175" s="139">
        <f t="shared" si="191"/>
        <v>0</v>
      </c>
      <c r="FI175" s="139">
        <f t="shared" si="192"/>
        <v>0</v>
      </c>
      <c r="FJ175" s="139">
        <f t="shared" si="193"/>
        <v>0</v>
      </c>
      <c r="FK175" s="139">
        <f t="shared" si="194"/>
        <v>0</v>
      </c>
      <c r="FL175" s="139">
        <f t="shared" si="195"/>
        <v>0</v>
      </c>
      <c r="FM175" s="139">
        <f t="shared" si="196"/>
        <v>0</v>
      </c>
      <c r="FN175" s="139">
        <f t="shared" si="197"/>
        <v>0</v>
      </c>
      <c r="FO175" s="139">
        <f t="shared" si="198"/>
        <v>0</v>
      </c>
      <c r="FP175" s="139">
        <f t="shared" si="199"/>
        <v>0</v>
      </c>
      <c r="FQ175" s="139">
        <f t="shared" si="200"/>
        <v>0</v>
      </c>
      <c r="FR175" s="139">
        <f t="shared" si="201"/>
        <v>0</v>
      </c>
      <c r="FS175" s="139">
        <f t="shared" si="202"/>
        <v>0</v>
      </c>
      <c r="FT175" s="139">
        <f t="shared" si="203"/>
        <v>0</v>
      </c>
      <c r="FU175" s="148">
        <f t="shared" si="204"/>
        <v>0</v>
      </c>
      <c r="FV175" s="149"/>
      <c r="FY175" s="212">
        <v>170</v>
      </c>
      <c r="FZ175">
        <v>0.36192247308739012</v>
      </c>
      <c r="GA175">
        <v>12.161374307137123</v>
      </c>
      <c r="GB175">
        <v>6.6062677787491264</v>
      </c>
      <c r="GC175">
        <v>1.44344933349592</v>
      </c>
      <c r="GD175">
        <v>0.80393196984372695</v>
      </c>
      <c r="GE175">
        <v>0.35947809610506914</v>
      </c>
      <c r="GF175">
        <v>0</v>
      </c>
      <c r="GG175">
        <v>0.83160738614896845</v>
      </c>
      <c r="GH175">
        <v>1.6229601285312325</v>
      </c>
      <c r="GI175">
        <v>6.3399000568918717</v>
      </c>
      <c r="GJ175"/>
      <c r="GK175"/>
      <c r="GL175"/>
      <c r="GM175"/>
    </row>
    <row r="176" spans="1:195" s="7" customFormat="1">
      <c r="A176" s="1"/>
      <c r="B176" s="76">
        <f ca="1">IF(C176="", "", RAND())</f>
        <v>0.28243889735281513</v>
      </c>
      <c r="C176">
        <v>5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9.4694852941176482</v>
      </c>
      <c r="AO176">
        <v>23.14830307089186</v>
      </c>
      <c r="AP176">
        <v>457.99043555366899</v>
      </c>
      <c r="AQ176">
        <v>63.622074354156553</v>
      </c>
      <c r="AR176">
        <v>21.043911882628962</v>
      </c>
      <c r="AS176">
        <v>119.72354683054135</v>
      </c>
      <c r="AT176" t="e">
        <v>#DIV/0!</v>
      </c>
      <c r="AU176" t="e">
        <v>#DIV/0!</v>
      </c>
      <c r="AV176"/>
      <c r="AW176"/>
      <c r="AX176" s="146"/>
      <c r="AY176" s="76">
        <f t="shared" ca="1" si="170"/>
        <v>0.92258707997505196</v>
      </c>
      <c r="AZ176">
        <v>9</v>
      </c>
      <c r="BA176" s="129">
        <f t="shared" si="244"/>
        <v>39949</v>
      </c>
      <c r="BB176">
        <v>0</v>
      </c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5"/>
        <v>0.18865255483789856</v>
      </c>
      <c r="CL176" s="179">
        <f t="shared" si="206"/>
        <v>9</v>
      </c>
      <c r="CM176" s="180">
        <f t="shared" si="207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08"/>
        <v>9.6000000000000002E-2</v>
      </c>
      <c r="DB176" s="146"/>
      <c r="DC176" s="76">
        <f t="shared" ca="1" si="171"/>
        <v>0.19479669766016494</v>
      </c>
      <c r="DD176">
        <f t="shared" si="209"/>
        <v>9</v>
      </c>
      <c r="DE176" s="129">
        <f t="shared" si="243"/>
        <v>39949</v>
      </c>
      <c r="DF176" s="161">
        <f t="shared" si="210"/>
        <v>0</v>
      </c>
      <c r="DG176" s="161">
        <f t="shared" si="211"/>
        <v>0</v>
      </c>
      <c r="DH176" s="161">
        <f t="shared" si="212"/>
        <v>0</v>
      </c>
      <c r="DI176" s="161">
        <f t="shared" si="213"/>
        <v>0</v>
      </c>
      <c r="DJ176" s="161">
        <f t="shared" si="214"/>
        <v>0</v>
      </c>
      <c r="DK176" s="161">
        <f t="shared" si="215"/>
        <v>0</v>
      </c>
      <c r="DL176" s="161">
        <f t="shared" si="216"/>
        <v>0</v>
      </c>
      <c r="DM176" s="161">
        <f t="shared" si="217"/>
        <v>0</v>
      </c>
      <c r="DN176" s="161">
        <f t="shared" si="218"/>
        <v>0</v>
      </c>
      <c r="DO176" s="161">
        <f t="shared" si="219"/>
        <v>0</v>
      </c>
      <c r="DP176" s="161">
        <f t="shared" si="220"/>
        <v>0</v>
      </c>
      <c r="DQ176" s="161">
        <f t="shared" si="221"/>
        <v>0</v>
      </c>
      <c r="DR176" s="161">
        <f t="shared" si="222"/>
        <v>0</v>
      </c>
      <c r="DS176" s="161">
        <f t="shared" si="223"/>
        <v>0</v>
      </c>
      <c r="DT176" s="161">
        <f t="shared" si="224"/>
        <v>0</v>
      </c>
      <c r="DU176" s="161">
        <f t="shared" si="225"/>
        <v>0</v>
      </c>
      <c r="DV176" s="161">
        <f t="shared" si="226"/>
        <v>0</v>
      </c>
      <c r="DW176" s="161">
        <f t="shared" si="227"/>
        <v>0</v>
      </c>
      <c r="DX176" s="161">
        <f t="shared" si="228"/>
        <v>0</v>
      </c>
      <c r="DY176" s="161">
        <f t="shared" si="229"/>
        <v>0</v>
      </c>
      <c r="DZ176" s="161">
        <f t="shared" si="230"/>
        <v>0</v>
      </c>
      <c r="EA176" s="161">
        <f t="shared" si="231"/>
        <v>0</v>
      </c>
      <c r="EB176" s="161">
        <f t="shared" si="232"/>
        <v>0</v>
      </c>
      <c r="EC176" s="161">
        <f t="shared" si="233"/>
        <v>0</v>
      </c>
      <c r="ED176" s="161">
        <f t="shared" si="234"/>
        <v>0</v>
      </c>
      <c r="EE176" s="161">
        <f t="shared" si="235"/>
        <v>0</v>
      </c>
      <c r="EF176" s="161">
        <f t="shared" si="236"/>
        <v>0</v>
      </c>
      <c r="EG176" s="161">
        <f t="shared" si="237"/>
        <v>0</v>
      </c>
      <c r="EH176" s="161">
        <f t="shared" si="238"/>
        <v>0</v>
      </c>
      <c r="EI176" s="161">
        <f t="shared" si="239"/>
        <v>0</v>
      </c>
      <c r="EJ176" s="161">
        <f t="shared" si="240"/>
        <v>0</v>
      </c>
      <c r="EK176" s="147">
        <f t="shared" si="172"/>
        <v>0</v>
      </c>
      <c r="EL176" s="149"/>
      <c r="EN176" s="146"/>
      <c r="EO176" s="146"/>
      <c r="EP176" s="139">
        <f t="shared" si="173"/>
        <v>0</v>
      </c>
      <c r="EQ176" s="139">
        <f t="shared" si="174"/>
        <v>0</v>
      </c>
      <c r="ER176" s="139">
        <f t="shared" si="175"/>
        <v>0</v>
      </c>
      <c r="ES176" s="139">
        <f t="shared" si="176"/>
        <v>0</v>
      </c>
      <c r="ET176" s="139">
        <f t="shared" si="177"/>
        <v>0</v>
      </c>
      <c r="EU176" s="139">
        <f t="shared" si="178"/>
        <v>0</v>
      </c>
      <c r="EV176" s="139">
        <f t="shared" si="179"/>
        <v>0</v>
      </c>
      <c r="EW176" s="139">
        <f t="shared" si="180"/>
        <v>0</v>
      </c>
      <c r="EX176" s="139">
        <f t="shared" si="181"/>
        <v>0</v>
      </c>
      <c r="EY176" s="139">
        <f t="shared" si="182"/>
        <v>0</v>
      </c>
      <c r="EZ176" s="139">
        <f t="shared" si="183"/>
        <v>0</v>
      </c>
      <c r="FA176" s="139">
        <f t="shared" si="184"/>
        <v>0</v>
      </c>
      <c r="FB176" s="139">
        <f t="shared" si="185"/>
        <v>0</v>
      </c>
      <c r="FC176" s="139">
        <f t="shared" si="186"/>
        <v>0</v>
      </c>
      <c r="FD176" s="139">
        <f t="shared" si="187"/>
        <v>0</v>
      </c>
      <c r="FE176" s="139">
        <f t="shared" si="188"/>
        <v>0</v>
      </c>
      <c r="FF176" s="139">
        <f t="shared" si="189"/>
        <v>0</v>
      </c>
      <c r="FG176" s="139">
        <f t="shared" si="190"/>
        <v>0</v>
      </c>
      <c r="FH176" s="139">
        <f t="shared" si="191"/>
        <v>0</v>
      </c>
      <c r="FI176" s="139">
        <f t="shared" si="192"/>
        <v>0</v>
      </c>
      <c r="FJ176" s="139">
        <f t="shared" si="193"/>
        <v>0</v>
      </c>
      <c r="FK176" s="139">
        <f t="shared" si="194"/>
        <v>0</v>
      </c>
      <c r="FL176" s="139">
        <f t="shared" si="195"/>
        <v>0</v>
      </c>
      <c r="FM176" s="139">
        <f t="shared" si="196"/>
        <v>0</v>
      </c>
      <c r="FN176" s="139">
        <f t="shared" si="197"/>
        <v>0</v>
      </c>
      <c r="FO176" s="139">
        <f t="shared" si="198"/>
        <v>0</v>
      </c>
      <c r="FP176" s="139">
        <f t="shared" si="199"/>
        <v>0</v>
      </c>
      <c r="FQ176" s="139">
        <f t="shared" si="200"/>
        <v>0</v>
      </c>
      <c r="FR176" s="139">
        <f t="shared" si="201"/>
        <v>0</v>
      </c>
      <c r="FS176" s="139">
        <f t="shared" si="202"/>
        <v>0</v>
      </c>
      <c r="FT176" s="139">
        <f t="shared" si="203"/>
        <v>0</v>
      </c>
      <c r="FU176" s="148">
        <f t="shared" si="204"/>
        <v>0</v>
      </c>
      <c r="FV176" s="149"/>
      <c r="FY176" s="212">
        <v>171</v>
      </c>
      <c r="FZ176">
        <v>0.1709068907158674</v>
      </c>
      <c r="GA176">
        <v>14.471212206784529</v>
      </c>
      <c r="GB176">
        <v>15.554446608783511</v>
      </c>
      <c r="GC176">
        <v>4.6908622838333756</v>
      </c>
      <c r="GD176">
        <v>0.24667408340516686</v>
      </c>
      <c r="GE176">
        <v>0</v>
      </c>
      <c r="GF176">
        <v>0</v>
      </c>
      <c r="GG176">
        <v>0.83160738614896845</v>
      </c>
      <c r="GH176">
        <v>1.6229601285312325</v>
      </c>
      <c r="GI176">
        <v>5.693513299622742</v>
      </c>
      <c r="GJ176"/>
      <c r="GK176"/>
      <c r="GL176"/>
      <c r="GM176"/>
    </row>
    <row r="177" spans="1:195" s="7" customFormat="1">
      <c r="A177" s="1"/>
      <c r="B177" s="76">
        <f ca="1">IF(C177="", "", RAND())</f>
        <v>0.52902829035337295</v>
      </c>
      <c r="C177">
        <v>7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7.3903186274509789</v>
      </c>
      <c r="AO177">
        <v>9.3344346924691592</v>
      </c>
      <c r="AP177">
        <v>74.300123699596469</v>
      </c>
      <c r="AQ177">
        <v>46.083372317139258</v>
      </c>
      <c r="AR177">
        <v>8.5877905367288871</v>
      </c>
      <c r="AS177">
        <v>71.952923592642591</v>
      </c>
      <c r="AT177" t="e">
        <v>#DIV/0!</v>
      </c>
      <c r="AU177" t="e">
        <v>#DIV/0!</v>
      </c>
      <c r="AV177"/>
      <c r="AW177"/>
      <c r="AX177" s="146"/>
      <c r="AY177" s="76">
        <f t="shared" ca="1" si="170"/>
        <v>0.8196814552054017</v>
      </c>
      <c r="AZ177">
        <v>10</v>
      </c>
      <c r="BA177" s="129">
        <f t="shared" si="244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5"/>
        <v>0.66493148707658811</v>
      </c>
      <c r="CL177" s="179">
        <f t="shared" si="206"/>
        <v>10</v>
      </c>
      <c r="CM177" s="180">
        <f t="shared" si="207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08"/>
        <v>9.6000000000000002E-2</v>
      </c>
      <c r="DB177" s="146"/>
      <c r="DC177" s="76">
        <f t="shared" ca="1" si="171"/>
        <v>0.9486876403901725</v>
      </c>
      <c r="DD177">
        <f t="shared" si="209"/>
        <v>10</v>
      </c>
      <c r="DE177" s="129">
        <f t="shared" si="243"/>
        <v>39949</v>
      </c>
      <c r="DF177" s="161">
        <f t="shared" si="210"/>
        <v>0</v>
      </c>
      <c r="DG177" s="161">
        <f t="shared" si="211"/>
        <v>0</v>
      </c>
      <c r="DH177" s="161">
        <f t="shared" si="212"/>
        <v>0</v>
      </c>
      <c r="DI177" s="161">
        <f t="shared" si="213"/>
        <v>0</v>
      </c>
      <c r="DJ177" s="161">
        <f t="shared" si="214"/>
        <v>0</v>
      </c>
      <c r="DK177" s="161">
        <f t="shared" si="215"/>
        <v>0</v>
      </c>
      <c r="DL177" s="161">
        <f t="shared" si="216"/>
        <v>0</v>
      </c>
      <c r="DM177" s="161">
        <f t="shared" si="217"/>
        <v>0</v>
      </c>
      <c r="DN177" s="161">
        <f t="shared" si="218"/>
        <v>0</v>
      </c>
      <c r="DO177" s="161">
        <f t="shared" si="219"/>
        <v>0</v>
      </c>
      <c r="DP177" s="161">
        <f t="shared" si="220"/>
        <v>0</v>
      </c>
      <c r="DQ177" s="161">
        <f t="shared" si="221"/>
        <v>0</v>
      </c>
      <c r="DR177" s="161">
        <f t="shared" si="222"/>
        <v>0</v>
      </c>
      <c r="DS177" s="161">
        <f t="shared" si="223"/>
        <v>0</v>
      </c>
      <c r="DT177" s="161">
        <f t="shared" si="224"/>
        <v>0</v>
      </c>
      <c r="DU177" s="161">
        <f t="shared" si="225"/>
        <v>0</v>
      </c>
      <c r="DV177" s="161">
        <f t="shared" si="226"/>
        <v>0</v>
      </c>
      <c r="DW177" s="161">
        <f t="shared" si="227"/>
        <v>0</v>
      </c>
      <c r="DX177" s="161">
        <f t="shared" si="228"/>
        <v>0</v>
      </c>
      <c r="DY177" s="161">
        <f t="shared" si="229"/>
        <v>0</v>
      </c>
      <c r="DZ177" s="161">
        <f t="shared" si="230"/>
        <v>0</v>
      </c>
      <c r="EA177" s="161">
        <f t="shared" si="231"/>
        <v>0</v>
      </c>
      <c r="EB177" s="161">
        <f t="shared" si="232"/>
        <v>0</v>
      </c>
      <c r="EC177" s="161">
        <f t="shared" si="233"/>
        <v>0</v>
      </c>
      <c r="ED177" s="161">
        <f t="shared" si="234"/>
        <v>0</v>
      </c>
      <c r="EE177" s="161">
        <f t="shared" si="235"/>
        <v>0</v>
      </c>
      <c r="EF177" s="161">
        <f t="shared" si="236"/>
        <v>0</v>
      </c>
      <c r="EG177" s="161">
        <f t="shared" si="237"/>
        <v>0</v>
      </c>
      <c r="EH177" s="161">
        <f t="shared" si="238"/>
        <v>0</v>
      </c>
      <c r="EI177" s="161">
        <f t="shared" si="239"/>
        <v>0</v>
      </c>
      <c r="EJ177" s="161">
        <f t="shared" si="240"/>
        <v>0</v>
      </c>
      <c r="EK177" s="147">
        <f t="shared" si="172"/>
        <v>0</v>
      </c>
      <c r="EL177" s="149"/>
      <c r="EN177" s="146"/>
      <c r="EO177" s="146"/>
      <c r="EP177" s="139">
        <f t="shared" si="173"/>
        <v>0</v>
      </c>
      <c r="EQ177" s="139">
        <f t="shared" si="174"/>
        <v>0</v>
      </c>
      <c r="ER177" s="139">
        <f t="shared" si="175"/>
        <v>0</v>
      </c>
      <c r="ES177" s="139">
        <f t="shared" si="176"/>
        <v>0</v>
      </c>
      <c r="ET177" s="139">
        <f t="shared" si="177"/>
        <v>0</v>
      </c>
      <c r="EU177" s="139">
        <f t="shared" si="178"/>
        <v>0</v>
      </c>
      <c r="EV177" s="139">
        <f t="shared" si="179"/>
        <v>0</v>
      </c>
      <c r="EW177" s="139">
        <f t="shared" si="180"/>
        <v>0</v>
      </c>
      <c r="EX177" s="139">
        <f t="shared" si="181"/>
        <v>0</v>
      </c>
      <c r="EY177" s="139">
        <f t="shared" si="182"/>
        <v>0</v>
      </c>
      <c r="EZ177" s="139">
        <f t="shared" si="183"/>
        <v>0</v>
      </c>
      <c r="FA177" s="139">
        <f t="shared" si="184"/>
        <v>0</v>
      </c>
      <c r="FB177" s="139">
        <f t="shared" si="185"/>
        <v>0</v>
      </c>
      <c r="FC177" s="139">
        <f t="shared" si="186"/>
        <v>0</v>
      </c>
      <c r="FD177" s="139">
        <f t="shared" si="187"/>
        <v>0</v>
      </c>
      <c r="FE177" s="139">
        <f t="shared" si="188"/>
        <v>0</v>
      </c>
      <c r="FF177" s="139">
        <f t="shared" si="189"/>
        <v>0</v>
      </c>
      <c r="FG177" s="139">
        <f t="shared" si="190"/>
        <v>0</v>
      </c>
      <c r="FH177" s="139">
        <f t="shared" si="191"/>
        <v>0</v>
      </c>
      <c r="FI177" s="139">
        <f t="shared" si="192"/>
        <v>0</v>
      </c>
      <c r="FJ177" s="139">
        <f t="shared" si="193"/>
        <v>0</v>
      </c>
      <c r="FK177" s="139">
        <f t="shared" si="194"/>
        <v>0</v>
      </c>
      <c r="FL177" s="139">
        <f t="shared" si="195"/>
        <v>0</v>
      </c>
      <c r="FM177" s="139">
        <f t="shared" si="196"/>
        <v>0</v>
      </c>
      <c r="FN177" s="139">
        <f t="shared" si="197"/>
        <v>0</v>
      </c>
      <c r="FO177" s="139">
        <f t="shared" si="198"/>
        <v>0</v>
      </c>
      <c r="FP177" s="139">
        <f t="shared" si="199"/>
        <v>0</v>
      </c>
      <c r="FQ177" s="139">
        <f t="shared" si="200"/>
        <v>0</v>
      </c>
      <c r="FR177" s="139">
        <f t="shared" si="201"/>
        <v>0</v>
      </c>
      <c r="FS177" s="139">
        <f t="shared" si="202"/>
        <v>0</v>
      </c>
      <c r="FT177" s="139">
        <f t="shared" si="203"/>
        <v>0</v>
      </c>
      <c r="FU177" s="148">
        <f t="shared" si="204"/>
        <v>0</v>
      </c>
      <c r="FV177" s="149"/>
      <c r="FY177" s="212">
        <v>172</v>
      </c>
      <c r="FZ177">
        <v>0.36192247308739012</v>
      </c>
      <c r="GA177">
        <v>11.272853128054741</v>
      </c>
      <c r="GB177">
        <v>9.1898561255180518</v>
      </c>
      <c r="GC177">
        <v>2.2899635194613404</v>
      </c>
      <c r="GD177">
        <v>0.50288646470561393</v>
      </c>
      <c r="GE177">
        <v>0.35947809610506914</v>
      </c>
      <c r="GF177">
        <v>0.80138167652982462</v>
      </c>
      <c r="GG177">
        <v>4.9857089029053814</v>
      </c>
      <c r="GH177">
        <v>3.245920257062465</v>
      </c>
      <c r="GI177">
        <v>5.3042491558637916</v>
      </c>
      <c r="GJ177"/>
      <c r="GK177"/>
      <c r="GL177"/>
      <c r="GM177"/>
    </row>
    <row r="178" spans="1:195" s="7" customFormat="1">
      <c r="A178" s="128"/>
      <c r="B178" s="76">
        <f ca="1">IF(C178="", "", RAND())</f>
        <v>0.88427620084481307</v>
      </c>
      <c r="C178">
        <v>2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9.8486519607843128</v>
      </c>
      <c r="AO178">
        <v>26.040102564827016</v>
      </c>
      <c r="AP178">
        <v>800.30082467122975</v>
      </c>
      <c r="AQ178">
        <v>53.091913341630907</v>
      </c>
      <c r="AR178">
        <v>23.740781057680692</v>
      </c>
      <c r="AS178">
        <v>227.3189384215988</v>
      </c>
      <c r="AT178" t="e">
        <v>#DIV/0!</v>
      </c>
      <c r="AU178" t="e">
        <v>#DIV/0!</v>
      </c>
      <c r="AV178"/>
      <c r="AW178"/>
      <c r="AX178" s="128"/>
      <c r="AY178" s="76">
        <f t="shared" ca="1" si="170"/>
        <v>0.19144268346783377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5"/>
        <v>0.91867490631768134</v>
      </c>
      <c r="CL178" s="179">
        <f t="shared" si="206"/>
        <v>1</v>
      </c>
      <c r="CM178" s="180">
        <f t="shared" si="207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08"/>
        <v>9.6000000000000002E-2</v>
      </c>
      <c r="DB178" s="128"/>
      <c r="DC178" s="76">
        <f t="shared" ca="1" si="171"/>
        <v>0.53287727633318926</v>
      </c>
      <c r="DD178">
        <f t="shared" si="209"/>
        <v>1</v>
      </c>
      <c r="DE178" s="129">
        <f t="shared" ref="DE178:DE187" si="245">IF((DD178)="", "", $C$13)</f>
        <v>39987</v>
      </c>
      <c r="DF178" s="161">
        <f t="shared" si="210"/>
        <v>0</v>
      </c>
      <c r="DG178" s="161">
        <f t="shared" si="211"/>
        <v>0</v>
      </c>
      <c r="DH178" s="161">
        <f t="shared" si="212"/>
        <v>0</v>
      </c>
      <c r="DI178" s="161">
        <f t="shared" si="213"/>
        <v>0</v>
      </c>
      <c r="DJ178" s="161">
        <f t="shared" si="214"/>
        <v>0</v>
      </c>
      <c r="DK178" s="161">
        <f t="shared" si="215"/>
        <v>0</v>
      </c>
      <c r="DL178" s="161">
        <f t="shared" si="216"/>
        <v>0</v>
      </c>
      <c r="DM178" s="161">
        <f t="shared" si="217"/>
        <v>0</v>
      </c>
      <c r="DN178" s="161">
        <f t="shared" si="218"/>
        <v>0</v>
      </c>
      <c r="DO178" s="161">
        <f t="shared" si="219"/>
        <v>0</v>
      </c>
      <c r="DP178" s="161">
        <f t="shared" si="220"/>
        <v>0</v>
      </c>
      <c r="DQ178" s="161">
        <f t="shared" si="221"/>
        <v>0</v>
      </c>
      <c r="DR178" s="161">
        <f t="shared" si="222"/>
        <v>0</v>
      </c>
      <c r="DS178" s="161">
        <f t="shared" si="223"/>
        <v>0</v>
      </c>
      <c r="DT178" s="161">
        <f t="shared" si="224"/>
        <v>0</v>
      </c>
      <c r="DU178" s="161">
        <f t="shared" si="225"/>
        <v>0</v>
      </c>
      <c r="DV178" s="161">
        <f t="shared" si="226"/>
        <v>0</v>
      </c>
      <c r="DW178" s="161">
        <f t="shared" si="227"/>
        <v>0</v>
      </c>
      <c r="DX178" s="161">
        <f t="shared" si="228"/>
        <v>0</v>
      </c>
      <c r="DY178" s="161">
        <f t="shared" si="229"/>
        <v>0</v>
      </c>
      <c r="DZ178" s="161">
        <f t="shared" si="230"/>
        <v>0</v>
      </c>
      <c r="EA178" s="161">
        <f t="shared" si="231"/>
        <v>0</v>
      </c>
      <c r="EB178" s="161">
        <f t="shared" si="232"/>
        <v>0</v>
      </c>
      <c r="EC178" s="161">
        <f t="shared" si="233"/>
        <v>0</v>
      </c>
      <c r="ED178" s="161">
        <f t="shared" si="234"/>
        <v>0</v>
      </c>
      <c r="EE178" s="161">
        <f t="shared" si="235"/>
        <v>0</v>
      </c>
      <c r="EF178" s="161">
        <f t="shared" si="236"/>
        <v>0</v>
      </c>
      <c r="EG178" s="161">
        <f t="shared" si="237"/>
        <v>0</v>
      </c>
      <c r="EH178" s="161">
        <f t="shared" si="238"/>
        <v>0</v>
      </c>
      <c r="EI178" s="161">
        <f t="shared" si="239"/>
        <v>0</v>
      </c>
      <c r="EJ178" s="161">
        <f t="shared" si="240"/>
        <v>0</v>
      </c>
      <c r="EK178" s="147">
        <f t="shared" si="172"/>
        <v>0</v>
      </c>
      <c r="EL178" s="149"/>
      <c r="EN178" s="146"/>
      <c r="EO178" s="146"/>
      <c r="EP178" s="139">
        <f t="shared" si="173"/>
        <v>0</v>
      </c>
      <c r="EQ178" s="139">
        <f t="shared" si="174"/>
        <v>0</v>
      </c>
      <c r="ER178" s="139">
        <f t="shared" si="175"/>
        <v>0</v>
      </c>
      <c r="ES178" s="139">
        <f t="shared" si="176"/>
        <v>0</v>
      </c>
      <c r="ET178" s="139">
        <f t="shared" si="177"/>
        <v>0</v>
      </c>
      <c r="EU178" s="139">
        <f t="shared" si="178"/>
        <v>0</v>
      </c>
      <c r="EV178" s="139">
        <f t="shared" si="179"/>
        <v>0</v>
      </c>
      <c r="EW178" s="139">
        <f t="shared" si="180"/>
        <v>0</v>
      </c>
      <c r="EX178" s="139">
        <f t="shared" si="181"/>
        <v>0</v>
      </c>
      <c r="EY178" s="139">
        <f t="shared" si="182"/>
        <v>0</v>
      </c>
      <c r="EZ178" s="139">
        <f t="shared" si="183"/>
        <v>0</v>
      </c>
      <c r="FA178" s="139">
        <f t="shared" si="184"/>
        <v>0</v>
      </c>
      <c r="FB178" s="139">
        <f t="shared" si="185"/>
        <v>0</v>
      </c>
      <c r="FC178" s="139">
        <f t="shared" si="186"/>
        <v>0</v>
      </c>
      <c r="FD178" s="139">
        <f t="shared" si="187"/>
        <v>0</v>
      </c>
      <c r="FE178" s="139">
        <f t="shared" si="188"/>
        <v>0</v>
      </c>
      <c r="FF178" s="139">
        <f t="shared" si="189"/>
        <v>0</v>
      </c>
      <c r="FG178" s="139">
        <f t="shared" si="190"/>
        <v>0</v>
      </c>
      <c r="FH178" s="139">
        <f t="shared" si="191"/>
        <v>0</v>
      </c>
      <c r="FI178" s="139">
        <f t="shared" si="192"/>
        <v>0</v>
      </c>
      <c r="FJ178" s="139">
        <f t="shared" si="193"/>
        <v>0</v>
      </c>
      <c r="FK178" s="139">
        <f t="shared" si="194"/>
        <v>0</v>
      </c>
      <c r="FL178" s="139">
        <f t="shared" si="195"/>
        <v>0</v>
      </c>
      <c r="FM178" s="139">
        <f t="shared" si="196"/>
        <v>0</v>
      </c>
      <c r="FN178" s="139">
        <f t="shared" si="197"/>
        <v>0</v>
      </c>
      <c r="FO178" s="139">
        <f t="shared" si="198"/>
        <v>0</v>
      </c>
      <c r="FP178" s="139">
        <f t="shared" si="199"/>
        <v>0</v>
      </c>
      <c r="FQ178" s="139">
        <f t="shared" si="200"/>
        <v>0</v>
      </c>
      <c r="FR178" s="139">
        <f t="shared" si="201"/>
        <v>0</v>
      </c>
      <c r="FS178" s="139">
        <f t="shared" si="202"/>
        <v>0</v>
      </c>
      <c r="FT178" s="139">
        <f t="shared" si="203"/>
        <v>0</v>
      </c>
      <c r="FU178" s="148">
        <f t="shared" si="204"/>
        <v>0</v>
      </c>
      <c r="FV178" s="149"/>
      <c r="FY178" s="212">
        <v>173</v>
      </c>
      <c r="FZ178">
        <v>0.36192247308739012</v>
      </c>
      <c r="GA178">
        <v>13.418045559181406</v>
      </c>
      <c r="GB178">
        <v>14.036955745289983</v>
      </c>
      <c r="GC178">
        <v>4.7228372033859536</v>
      </c>
      <c r="GD178">
        <v>0.81295383829895351</v>
      </c>
      <c r="GE178">
        <v>0.35947809610506914</v>
      </c>
      <c r="GF178">
        <v>0</v>
      </c>
      <c r="GG178">
        <v>3.0730119147627537</v>
      </c>
      <c r="GH178">
        <v>4.8688803855936991</v>
      </c>
      <c r="GI178">
        <v>8.9240952064302004</v>
      </c>
      <c r="GJ178"/>
      <c r="GK178"/>
      <c r="GL178"/>
      <c r="GM178"/>
    </row>
    <row r="179" spans="1:195" s="7" customFormat="1">
      <c r="A179" s="1"/>
      <c r="B179" s="76">
        <f ca="1">IF(C179="", "", RAND())</f>
        <v>0.67347236084629269</v>
      </c>
      <c r="C179">
        <v>10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14.108455882352938</v>
      </c>
      <c r="AO179">
        <v>26.137486644372302</v>
      </c>
      <c r="AP179">
        <v>299.12282059963627</v>
      </c>
      <c r="AQ179">
        <v>53.068094239059747</v>
      </c>
      <c r="AR179">
        <v>23.829312039085494</v>
      </c>
      <c r="AS179">
        <v>132.71437787646562</v>
      </c>
      <c r="AT179" t="e">
        <v>#DIV/0!</v>
      </c>
      <c r="AU179" t="e">
        <v>#DIV/0!</v>
      </c>
      <c r="AV179"/>
      <c r="AW179"/>
      <c r="AX179" s="146"/>
      <c r="AY179" s="76">
        <f t="shared" ca="1" si="170"/>
        <v>0.84438132498898755</v>
      </c>
      <c r="AZ179">
        <v>2</v>
      </c>
      <c r="BA179" s="129">
        <f t="shared" ref="BA179:BA187" si="246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5"/>
        <v>0.88794319066447014</v>
      </c>
      <c r="CL179" s="179">
        <f t="shared" si="206"/>
        <v>2</v>
      </c>
      <c r="CM179" s="180">
        <f t="shared" si="207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08"/>
        <v>9.6000000000000002E-2</v>
      </c>
      <c r="DB179" s="146"/>
      <c r="DC179" s="76">
        <f t="shared" ca="1" si="171"/>
        <v>0.79470999161777756</v>
      </c>
      <c r="DD179">
        <f t="shared" si="209"/>
        <v>2</v>
      </c>
      <c r="DE179" s="129">
        <f t="shared" si="245"/>
        <v>39987</v>
      </c>
      <c r="DF179" s="161">
        <f t="shared" si="210"/>
        <v>0</v>
      </c>
      <c r="DG179" s="161">
        <f t="shared" si="211"/>
        <v>0</v>
      </c>
      <c r="DH179" s="161">
        <f t="shared" si="212"/>
        <v>0</v>
      </c>
      <c r="DI179" s="161">
        <f t="shared" si="213"/>
        <v>0</v>
      </c>
      <c r="DJ179" s="161">
        <f t="shared" si="214"/>
        <v>0</v>
      </c>
      <c r="DK179" s="161">
        <f t="shared" si="215"/>
        <v>0</v>
      </c>
      <c r="DL179" s="161">
        <f t="shared" si="216"/>
        <v>0</v>
      </c>
      <c r="DM179" s="161">
        <f t="shared" si="217"/>
        <v>0</v>
      </c>
      <c r="DN179" s="161">
        <f t="shared" si="218"/>
        <v>0</v>
      </c>
      <c r="DO179" s="161">
        <f t="shared" si="219"/>
        <v>0</v>
      </c>
      <c r="DP179" s="161">
        <f t="shared" si="220"/>
        <v>0</v>
      </c>
      <c r="DQ179" s="161">
        <f t="shared" si="221"/>
        <v>0</v>
      </c>
      <c r="DR179" s="161">
        <f t="shared" si="222"/>
        <v>0</v>
      </c>
      <c r="DS179" s="161">
        <f t="shared" si="223"/>
        <v>0</v>
      </c>
      <c r="DT179" s="161">
        <f t="shared" si="224"/>
        <v>0</v>
      </c>
      <c r="DU179" s="161">
        <f t="shared" si="225"/>
        <v>0</v>
      </c>
      <c r="DV179" s="161">
        <f t="shared" si="226"/>
        <v>0</v>
      </c>
      <c r="DW179" s="161">
        <f t="shared" si="227"/>
        <v>0</v>
      </c>
      <c r="DX179" s="161">
        <f t="shared" si="228"/>
        <v>0</v>
      </c>
      <c r="DY179" s="161">
        <f t="shared" si="229"/>
        <v>0</v>
      </c>
      <c r="DZ179" s="161">
        <f t="shared" si="230"/>
        <v>0</v>
      </c>
      <c r="EA179" s="161">
        <f t="shared" si="231"/>
        <v>0</v>
      </c>
      <c r="EB179" s="161">
        <f t="shared" si="232"/>
        <v>0</v>
      </c>
      <c r="EC179" s="161">
        <f t="shared" si="233"/>
        <v>0</v>
      </c>
      <c r="ED179" s="161">
        <f t="shared" si="234"/>
        <v>0</v>
      </c>
      <c r="EE179" s="161">
        <f t="shared" si="235"/>
        <v>0</v>
      </c>
      <c r="EF179" s="161">
        <f t="shared" si="236"/>
        <v>0</v>
      </c>
      <c r="EG179" s="161">
        <f t="shared" si="237"/>
        <v>0</v>
      </c>
      <c r="EH179" s="161">
        <f t="shared" si="238"/>
        <v>0</v>
      </c>
      <c r="EI179" s="161">
        <f t="shared" si="239"/>
        <v>0</v>
      </c>
      <c r="EJ179" s="161">
        <f t="shared" si="240"/>
        <v>0</v>
      </c>
      <c r="EK179" s="147">
        <f t="shared" si="172"/>
        <v>0</v>
      </c>
      <c r="EL179" s="149"/>
      <c r="EN179" s="146"/>
      <c r="EO179" s="146"/>
      <c r="EP179" s="139">
        <f t="shared" si="173"/>
        <v>0</v>
      </c>
      <c r="EQ179" s="139">
        <f t="shared" si="174"/>
        <v>0</v>
      </c>
      <c r="ER179" s="139">
        <f t="shared" si="175"/>
        <v>0</v>
      </c>
      <c r="ES179" s="139">
        <f t="shared" si="176"/>
        <v>0</v>
      </c>
      <c r="ET179" s="139">
        <f t="shared" si="177"/>
        <v>0</v>
      </c>
      <c r="EU179" s="139">
        <f t="shared" si="178"/>
        <v>0</v>
      </c>
      <c r="EV179" s="139">
        <f t="shared" si="179"/>
        <v>0</v>
      </c>
      <c r="EW179" s="139">
        <f t="shared" si="180"/>
        <v>0</v>
      </c>
      <c r="EX179" s="139">
        <f t="shared" si="181"/>
        <v>0</v>
      </c>
      <c r="EY179" s="139">
        <f t="shared" si="182"/>
        <v>0</v>
      </c>
      <c r="EZ179" s="139">
        <f t="shared" si="183"/>
        <v>0</v>
      </c>
      <c r="FA179" s="139">
        <f t="shared" si="184"/>
        <v>0</v>
      </c>
      <c r="FB179" s="139">
        <f t="shared" si="185"/>
        <v>0</v>
      </c>
      <c r="FC179" s="139">
        <f t="shared" si="186"/>
        <v>0</v>
      </c>
      <c r="FD179" s="139">
        <f t="shared" si="187"/>
        <v>0</v>
      </c>
      <c r="FE179" s="139">
        <f t="shared" si="188"/>
        <v>0</v>
      </c>
      <c r="FF179" s="139">
        <f t="shared" si="189"/>
        <v>0</v>
      </c>
      <c r="FG179" s="139">
        <f t="shared" si="190"/>
        <v>0</v>
      </c>
      <c r="FH179" s="139">
        <f t="shared" si="191"/>
        <v>0</v>
      </c>
      <c r="FI179" s="139">
        <f t="shared" si="192"/>
        <v>0</v>
      </c>
      <c r="FJ179" s="139">
        <f t="shared" si="193"/>
        <v>0</v>
      </c>
      <c r="FK179" s="139">
        <f t="shared" si="194"/>
        <v>0</v>
      </c>
      <c r="FL179" s="139">
        <f t="shared" si="195"/>
        <v>0</v>
      </c>
      <c r="FM179" s="139">
        <f t="shared" si="196"/>
        <v>0</v>
      </c>
      <c r="FN179" s="139">
        <f t="shared" si="197"/>
        <v>0</v>
      </c>
      <c r="FO179" s="139">
        <f t="shared" si="198"/>
        <v>0</v>
      </c>
      <c r="FP179" s="139">
        <f t="shared" si="199"/>
        <v>0</v>
      </c>
      <c r="FQ179" s="139">
        <f t="shared" si="200"/>
        <v>0</v>
      </c>
      <c r="FR179" s="139">
        <f t="shared" si="201"/>
        <v>0</v>
      </c>
      <c r="FS179" s="139">
        <f t="shared" si="202"/>
        <v>0</v>
      </c>
      <c r="FT179" s="139">
        <f t="shared" si="203"/>
        <v>0</v>
      </c>
      <c r="FU179" s="148">
        <f t="shared" si="204"/>
        <v>0</v>
      </c>
      <c r="FV179" s="149"/>
      <c r="FY179" s="212">
        <v>174</v>
      </c>
      <c r="FZ179">
        <v>1.4812863372853795</v>
      </c>
      <c r="GA179">
        <v>20.652830064396198</v>
      </c>
      <c r="GB179">
        <v>17.305647303958683</v>
      </c>
      <c r="GC179">
        <v>5.2019602457786958</v>
      </c>
      <c r="GD179">
        <v>1.1185869348561317</v>
      </c>
      <c r="GE179">
        <v>0.71895619221013829</v>
      </c>
      <c r="GF179">
        <v>0</v>
      </c>
      <c r="GG179">
        <v>2.241404528613784</v>
      </c>
      <c r="GH179">
        <v>3.245920257062465</v>
      </c>
      <c r="GI179">
        <v>9.9953847240710179</v>
      </c>
      <c r="GJ179"/>
      <c r="GK179"/>
      <c r="GL179"/>
      <c r="GM179"/>
    </row>
    <row r="180" spans="1:195" s="7" customFormat="1">
      <c r="A180" s="1"/>
      <c r="B180" s="76">
        <f ca="1">IF(C180="", "", RAND())</f>
        <v>0.94320852906553254</v>
      </c>
      <c r="C180">
        <v>8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7.8677083333333346</v>
      </c>
      <c r="AO180">
        <v>37.171839655320944</v>
      </c>
      <c r="AP180">
        <v>425.22077199453054</v>
      </c>
      <c r="AQ180">
        <v>51.051606327591173</v>
      </c>
      <c r="AR180">
        <v>33.792581504837223</v>
      </c>
      <c r="AS180">
        <v>176.99566333636727</v>
      </c>
      <c r="AT180" t="e">
        <v>#DIV/0!</v>
      </c>
      <c r="AU180" t="e">
        <v>#DIV/0!</v>
      </c>
      <c r="AV180"/>
      <c r="AW180"/>
      <c r="AX180" s="146"/>
      <c r="AY180" s="76">
        <f t="shared" ca="1" si="170"/>
        <v>0.7113397272032973</v>
      </c>
      <c r="AZ180">
        <v>3</v>
      </c>
      <c r="BA180" s="129">
        <f t="shared" si="246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5"/>
        <v>0.75804291601718354</v>
      </c>
      <c r="CL180" s="179">
        <f t="shared" si="206"/>
        <v>3</v>
      </c>
      <c r="CM180" s="180">
        <f t="shared" si="207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08"/>
        <v>9.6000000000000002E-2</v>
      </c>
      <c r="DB180" s="146"/>
      <c r="DC180" s="76">
        <f t="shared" ca="1" si="171"/>
        <v>0.35082722786233145</v>
      </c>
      <c r="DD180">
        <f t="shared" si="209"/>
        <v>3</v>
      </c>
      <c r="DE180" s="129">
        <f t="shared" si="245"/>
        <v>39987</v>
      </c>
      <c r="DF180" s="161">
        <f t="shared" si="210"/>
        <v>0</v>
      </c>
      <c r="DG180" s="161">
        <f t="shared" si="211"/>
        <v>0</v>
      </c>
      <c r="DH180" s="161">
        <f t="shared" si="212"/>
        <v>0</v>
      </c>
      <c r="DI180" s="161">
        <f t="shared" si="213"/>
        <v>0</v>
      </c>
      <c r="DJ180" s="161">
        <f t="shared" si="214"/>
        <v>0</v>
      </c>
      <c r="DK180" s="161">
        <f t="shared" si="215"/>
        <v>0</v>
      </c>
      <c r="DL180" s="161">
        <f t="shared" si="216"/>
        <v>0</v>
      </c>
      <c r="DM180" s="161">
        <f t="shared" si="217"/>
        <v>0</v>
      </c>
      <c r="DN180" s="161">
        <f t="shared" si="218"/>
        <v>0</v>
      </c>
      <c r="DO180" s="161">
        <f t="shared" si="219"/>
        <v>0</v>
      </c>
      <c r="DP180" s="161">
        <f t="shared" si="220"/>
        <v>0</v>
      </c>
      <c r="DQ180" s="161">
        <f t="shared" si="221"/>
        <v>0</v>
      </c>
      <c r="DR180" s="161">
        <f t="shared" si="222"/>
        <v>0</v>
      </c>
      <c r="DS180" s="161">
        <f t="shared" si="223"/>
        <v>0</v>
      </c>
      <c r="DT180" s="161">
        <f t="shared" si="224"/>
        <v>0</v>
      </c>
      <c r="DU180" s="161">
        <f t="shared" si="225"/>
        <v>0</v>
      </c>
      <c r="DV180" s="161">
        <f t="shared" si="226"/>
        <v>0</v>
      </c>
      <c r="DW180" s="161">
        <f t="shared" si="227"/>
        <v>0</v>
      </c>
      <c r="DX180" s="161">
        <f t="shared" si="228"/>
        <v>0</v>
      </c>
      <c r="DY180" s="161">
        <f t="shared" si="229"/>
        <v>0</v>
      </c>
      <c r="DZ180" s="161">
        <f t="shared" si="230"/>
        <v>0</v>
      </c>
      <c r="EA180" s="161">
        <f t="shared" si="231"/>
        <v>0</v>
      </c>
      <c r="EB180" s="161">
        <f t="shared" si="232"/>
        <v>0</v>
      </c>
      <c r="EC180" s="161">
        <f t="shared" si="233"/>
        <v>0</v>
      </c>
      <c r="ED180" s="161">
        <f t="shared" si="234"/>
        <v>0</v>
      </c>
      <c r="EE180" s="161">
        <f t="shared" si="235"/>
        <v>0</v>
      </c>
      <c r="EF180" s="161">
        <f t="shared" si="236"/>
        <v>0</v>
      </c>
      <c r="EG180" s="161">
        <f t="shared" si="237"/>
        <v>0</v>
      </c>
      <c r="EH180" s="161">
        <f t="shared" si="238"/>
        <v>0</v>
      </c>
      <c r="EI180" s="161">
        <f t="shared" si="239"/>
        <v>0</v>
      </c>
      <c r="EJ180" s="161">
        <f t="shared" si="240"/>
        <v>0</v>
      </c>
      <c r="EK180" s="147">
        <f t="shared" si="172"/>
        <v>0</v>
      </c>
      <c r="EL180" s="149"/>
      <c r="EN180" s="146"/>
      <c r="EO180" s="146"/>
      <c r="EP180" s="139">
        <f t="shared" si="173"/>
        <v>0</v>
      </c>
      <c r="EQ180" s="139">
        <f t="shared" si="174"/>
        <v>0</v>
      </c>
      <c r="ER180" s="139">
        <f t="shared" si="175"/>
        <v>0</v>
      </c>
      <c r="ES180" s="139">
        <f t="shared" si="176"/>
        <v>0</v>
      </c>
      <c r="ET180" s="139">
        <f t="shared" si="177"/>
        <v>0</v>
      </c>
      <c r="EU180" s="139">
        <f t="shared" si="178"/>
        <v>0</v>
      </c>
      <c r="EV180" s="139">
        <f t="shared" si="179"/>
        <v>0</v>
      </c>
      <c r="EW180" s="139">
        <f t="shared" si="180"/>
        <v>0</v>
      </c>
      <c r="EX180" s="139">
        <f t="shared" si="181"/>
        <v>0</v>
      </c>
      <c r="EY180" s="139">
        <f t="shared" si="182"/>
        <v>0</v>
      </c>
      <c r="EZ180" s="139">
        <f t="shared" si="183"/>
        <v>0</v>
      </c>
      <c r="FA180" s="139">
        <f t="shared" si="184"/>
        <v>0</v>
      </c>
      <c r="FB180" s="139">
        <f t="shared" si="185"/>
        <v>0</v>
      </c>
      <c r="FC180" s="139">
        <f t="shared" si="186"/>
        <v>0</v>
      </c>
      <c r="FD180" s="139">
        <f t="shared" si="187"/>
        <v>0</v>
      </c>
      <c r="FE180" s="139">
        <f t="shared" si="188"/>
        <v>0</v>
      </c>
      <c r="FF180" s="139">
        <f t="shared" si="189"/>
        <v>0</v>
      </c>
      <c r="FG180" s="139">
        <f t="shared" si="190"/>
        <v>0</v>
      </c>
      <c r="FH180" s="139">
        <f t="shared" si="191"/>
        <v>0</v>
      </c>
      <c r="FI180" s="139">
        <f t="shared" si="192"/>
        <v>0</v>
      </c>
      <c r="FJ180" s="139">
        <f t="shared" si="193"/>
        <v>0</v>
      </c>
      <c r="FK180" s="139">
        <f t="shared" si="194"/>
        <v>0</v>
      </c>
      <c r="FL180" s="139">
        <f t="shared" si="195"/>
        <v>0</v>
      </c>
      <c r="FM180" s="139">
        <f t="shared" si="196"/>
        <v>0</v>
      </c>
      <c r="FN180" s="139">
        <f t="shared" si="197"/>
        <v>0</v>
      </c>
      <c r="FO180" s="139">
        <f t="shared" si="198"/>
        <v>0</v>
      </c>
      <c r="FP180" s="139">
        <f t="shared" si="199"/>
        <v>0</v>
      </c>
      <c r="FQ180" s="139">
        <f t="shared" si="200"/>
        <v>0</v>
      </c>
      <c r="FR180" s="139">
        <f t="shared" si="201"/>
        <v>0</v>
      </c>
      <c r="FS180" s="139">
        <f t="shared" si="202"/>
        <v>0</v>
      </c>
      <c r="FT180" s="139">
        <f t="shared" si="203"/>
        <v>0</v>
      </c>
      <c r="FU180" s="148">
        <f t="shared" si="204"/>
        <v>0</v>
      </c>
      <c r="FV180" s="149"/>
      <c r="FY180" s="212">
        <v>175</v>
      </c>
      <c r="FZ180">
        <v>1.8063018962492048</v>
      </c>
      <c r="GA180">
        <v>22.055306041695424</v>
      </c>
      <c r="GB180">
        <v>19.175550288763525</v>
      </c>
      <c r="GC180">
        <v>5.8025061327762879</v>
      </c>
      <c r="GD180">
        <v>0.69686861824662838</v>
      </c>
      <c r="GE180">
        <v>0</v>
      </c>
      <c r="GF180">
        <v>2.4041450295894737</v>
      </c>
      <c r="GG180">
        <v>9.6427102653396055</v>
      </c>
      <c r="GH180">
        <v>1.6229601285312325</v>
      </c>
      <c r="GI180">
        <v>12.816096242143713</v>
      </c>
      <c r="GJ180"/>
      <c r="GK180"/>
      <c r="GL180"/>
      <c r="GM180"/>
    </row>
    <row r="181" spans="1:195" s="7" customFormat="1">
      <c r="A181" s="1"/>
      <c r="B181" s="76">
        <f ca="1">IF(C181="", "", RAND())</f>
        <v>0.32228329659195265</v>
      </c>
      <c r="C181">
        <v>6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15.031372549019611</v>
      </c>
      <c r="AO181">
        <v>32.144592029931474</v>
      </c>
      <c r="AP181">
        <v>675.1909841293625</v>
      </c>
      <c r="AQ181">
        <v>67.640354346631312</v>
      </c>
      <c r="AR181">
        <v>29.256336662947586</v>
      </c>
      <c r="AS181">
        <v>162.73358356514487</v>
      </c>
      <c r="AT181" t="e">
        <v>#DIV/0!</v>
      </c>
      <c r="AU181" t="e">
        <v>#DIV/0!</v>
      </c>
      <c r="AV181"/>
      <c r="AW181"/>
      <c r="AX181" s="146"/>
      <c r="AY181" s="76">
        <f t="shared" ca="1" si="170"/>
        <v>0.14387159290302276</v>
      </c>
      <c r="AZ181">
        <v>4</v>
      </c>
      <c r="BA181" s="129">
        <f t="shared" si="246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5"/>
        <v>0.33273587341983402</v>
      </c>
      <c r="CL181" s="179">
        <f t="shared" si="206"/>
        <v>4</v>
      </c>
      <c r="CM181" s="180">
        <f t="shared" si="207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08"/>
        <v>9.6000000000000002E-2</v>
      </c>
      <c r="DB181" s="146"/>
      <c r="DC181" s="76">
        <f t="shared" ca="1" si="171"/>
        <v>0.23910352710790228</v>
      </c>
      <c r="DD181">
        <f t="shared" si="209"/>
        <v>4</v>
      </c>
      <c r="DE181" s="129">
        <f t="shared" si="245"/>
        <v>39987</v>
      </c>
      <c r="DF181" s="161">
        <f t="shared" si="210"/>
        <v>0</v>
      </c>
      <c r="DG181" s="161">
        <f t="shared" si="211"/>
        <v>0</v>
      </c>
      <c r="DH181" s="161">
        <f t="shared" si="212"/>
        <v>0</v>
      </c>
      <c r="DI181" s="161">
        <f t="shared" si="213"/>
        <v>0</v>
      </c>
      <c r="DJ181" s="161">
        <f t="shared" si="214"/>
        <v>0</v>
      </c>
      <c r="DK181" s="161">
        <f t="shared" si="215"/>
        <v>0</v>
      </c>
      <c r="DL181" s="161">
        <f t="shared" si="216"/>
        <v>0</v>
      </c>
      <c r="DM181" s="161">
        <f t="shared" si="217"/>
        <v>0</v>
      </c>
      <c r="DN181" s="161">
        <f t="shared" si="218"/>
        <v>0</v>
      </c>
      <c r="DO181" s="161">
        <f t="shared" si="219"/>
        <v>0</v>
      </c>
      <c r="DP181" s="161">
        <f t="shared" si="220"/>
        <v>0</v>
      </c>
      <c r="DQ181" s="161">
        <f t="shared" si="221"/>
        <v>0</v>
      </c>
      <c r="DR181" s="161">
        <f t="shared" si="222"/>
        <v>0</v>
      </c>
      <c r="DS181" s="161">
        <f t="shared" si="223"/>
        <v>0</v>
      </c>
      <c r="DT181" s="161">
        <f t="shared" si="224"/>
        <v>0</v>
      </c>
      <c r="DU181" s="161">
        <f t="shared" si="225"/>
        <v>0</v>
      </c>
      <c r="DV181" s="161">
        <f t="shared" si="226"/>
        <v>0</v>
      </c>
      <c r="DW181" s="161">
        <f t="shared" si="227"/>
        <v>0</v>
      </c>
      <c r="DX181" s="161">
        <f t="shared" si="228"/>
        <v>0</v>
      </c>
      <c r="DY181" s="161">
        <f t="shared" si="229"/>
        <v>0</v>
      </c>
      <c r="DZ181" s="161">
        <f t="shared" si="230"/>
        <v>0</v>
      </c>
      <c r="EA181" s="161">
        <f t="shared" si="231"/>
        <v>0</v>
      </c>
      <c r="EB181" s="161">
        <f t="shared" si="232"/>
        <v>0</v>
      </c>
      <c r="EC181" s="161">
        <f t="shared" si="233"/>
        <v>0</v>
      </c>
      <c r="ED181" s="161">
        <f t="shared" si="234"/>
        <v>0</v>
      </c>
      <c r="EE181" s="161">
        <f t="shared" si="235"/>
        <v>0</v>
      </c>
      <c r="EF181" s="161">
        <f t="shared" si="236"/>
        <v>0</v>
      </c>
      <c r="EG181" s="161">
        <f t="shared" si="237"/>
        <v>0</v>
      </c>
      <c r="EH181" s="161">
        <f t="shared" si="238"/>
        <v>0</v>
      </c>
      <c r="EI181" s="161">
        <f t="shared" si="239"/>
        <v>0</v>
      </c>
      <c r="EJ181" s="161">
        <f t="shared" si="240"/>
        <v>0</v>
      </c>
      <c r="EK181" s="147">
        <f t="shared" si="172"/>
        <v>0</v>
      </c>
      <c r="EL181" s="149"/>
      <c r="EN181" s="146"/>
      <c r="EO181" s="146"/>
      <c r="EP181" s="139">
        <f t="shared" si="173"/>
        <v>0</v>
      </c>
      <c r="EQ181" s="139">
        <f t="shared" si="174"/>
        <v>0</v>
      </c>
      <c r="ER181" s="139">
        <f t="shared" si="175"/>
        <v>0</v>
      </c>
      <c r="ES181" s="139">
        <f t="shared" si="176"/>
        <v>0</v>
      </c>
      <c r="ET181" s="139">
        <f t="shared" si="177"/>
        <v>0</v>
      </c>
      <c r="EU181" s="139">
        <f t="shared" si="178"/>
        <v>0</v>
      </c>
      <c r="EV181" s="139">
        <f t="shared" si="179"/>
        <v>0</v>
      </c>
      <c r="EW181" s="139">
        <f t="shared" si="180"/>
        <v>0</v>
      </c>
      <c r="EX181" s="139">
        <f t="shared" si="181"/>
        <v>0</v>
      </c>
      <c r="EY181" s="139">
        <f t="shared" si="182"/>
        <v>0</v>
      </c>
      <c r="EZ181" s="139">
        <f t="shared" si="183"/>
        <v>0</v>
      </c>
      <c r="FA181" s="139">
        <f t="shared" si="184"/>
        <v>0</v>
      </c>
      <c r="FB181" s="139">
        <f t="shared" si="185"/>
        <v>0</v>
      </c>
      <c r="FC181" s="139">
        <f t="shared" si="186"/>
        <v>0</v>
      </c>
      <c r="FD181" s="139">
        <f t="shared" si="187"/>
        <v>0</v>
      </c>
      <c r="FE181" s="139">
        <f t="shared" si="188"/>
        <v>0</v>
      </c>
      <c r="FF181" s="139">
        <f t="shared" si="189"/>
        <v>0</v>
      </c>
      <c r="FG181" s="139">
        <f t="shared" si="190"/>
        <v>0</v>
      </c>
      <c r="FH181" s="139">
        <f t="shared" si="191"/>
        <v>0</v>
      </c>
      <c r="FI181" s="139">
        <f t="shared" si="192"/>
        <v>0</v>
      </c>
      <c r="FJ181" s="139">
        <f t="shared" si="193"/>
        <v>0</v>
      </c>
      <c r="FK181" s="139">
        <f t="shared" si="194"/>
        <v>0</v>
      </c>
      <c r="FL181" s="139">
        <f t="shared" si="195"/>
        <v>0</v>
      </c>
      <c r="FM181" s="139">
        <f t="shared" si="196"/>
        <v>0</v>
      </c>
      <c r="FN181" s="139">
        <f t="shared" si="197"/>
        <v>0</v>
      </c>
      <c r="FO181" s="139">
        <f t="shared" si="198"/>
        <v>0</v>
      </c>
      <c r="FP181" s="139">
        <f t="shared" si="199"/>
        <v>0</v>
      </c>
      <c r="FQ181" s="139">
        <f t="shared" si="200"/>
        <v>0</v>
      </c>
      <c r="FR181" s="139">
        <f t="shared" si="201"/>
        <v>0</v>
      </c>
      <c r="FS181" s="139">
        <f t="shared" si="202"/>
        <v>0</v>
      </c>
      <c r="FT181" s="139">
        <f t="shared" si="203"/>
        <v>0</v>
      </c>
      <c r="FU181" s="148">
        <f t="shared" si="204"/>
        <v>0</v>
      </c>
      <c r="FV181" s="149"/>
      <c r="FY181" s="212">
        <v>176</v>
      </c>
      <c r="FZ181">
        <v>0.36192247308739012</v>
      </c>
      <c r="GA181">
        <v>9.0380308900515729</v>
      </c>
      <c r="GB181">
        <v>6.3714903471615445</v>
      </c>
      <c r="GC181">
        <v>1.9684409972580461</v>
      </c>
      <c r="GD181">
        <v>0.68784674979140181</v>
      </c>
      <c r="GE181">
        <v>0</v>
      </c>
      <c r="GF181">
        <v>0.80138167652982462</v>
      </c>
      <c r="GG181">
        <v>4.1541015167564126</v>
      </c>
      <c r="GH181">
        <v>1.6229601285312325</v>
      </c>
      <c r="GI181">
        <v>7.4697275061069579</v>
      </c>
      <c r="GJ181"/>
      <c r="GK181"/>
      <c r="GL181"/>
      <c r="GM181"/>
    </row>
    <row r="182" spans="1:195" s="7" customFormat="1">
      <c r="A182" s="1"/>
      <c r="B182" s="76">
        <f ca="1">IF(C182="", "", RAND())</f>
        <v>0.17690436805341836</v>
      </c>
      <c r="C182">
        <v>4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10.87751225490196</v>
      </c>
      <c r="AO182">
        <v>19.497825738529833</v>
      </c>
      <c r="AP182">
        <v>324.25882572272371</v>
      </c>
      <c r="AQ182">
        <v>48.809038877942839</v>
      </c>
      <c r="AR182">
        <v>17.725296125936211</v>
      </c>
      <c r="AS182">
        <v>108.71499321472987</v>
      </c>
      <c r="AT182" t="e">
        <v>#DIV/0!</v>
      </c>
      <c r="AU182" t="e">
        <v>#DIV/0!</v>
      </c>
      <c r="AV182"/>
      <c r="AW182"/>
      <c r="AX182" s="146"/>
      <c r="AY182" s="76">
        <f t="shared" ca="1" si="170"/>
        <v>0.23629790540321949</v>
      </c>
      <c r="AZ182">
        <v>5</v>
      </c>
      <c r="BA182" s="129">
        <f t="shared" si="246"/>
        <v>39987</v>
      </c>
      <c r="BB182">
        <v>0</v>
      </c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5"/>
        <v>0.42479800685790803</v>
      </c>
      <c r="CL182" s="179">
        <f t="shared" si="206"/>
        <v>5</v>
      </c>
      <c r="CM182" s="180">
        <f t="shared" si="207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08"/>
        <v>9.6000000000000002E-2</v>
      </c>
      <c r="DB182" s="146"/>
      <c r="DC182" s="76">
        <f t="shared" ca="1" si="171"/>
        <v>0.54056922502314397</v>
      </c>
      <c r="DD182">
        <f t="shared" si="209"/>
        <v>5</v>
      </c>
      <c r="DE182" s="129">
        <f t="shared" si="245"/>
        <v>39987</v>
      </c>
      <c r="DF182" s="161">
        <f t="shared" si="210"/>
        <v>0</v>
      </c>
      <c r="DG182" s="161">
        <f t="shared" si="211"/>
        <v>0</v>
      </c>
      <c r="DH182" s="161">
        <f t="shared" si="212"/>
        <v>0</v>
      </c>
      <c r="DI182" s="161">
        <f t="shared" si="213"/>
        <v>0</v>
      </c>
      <c r="DJ182" s="161">
        <f t="shared" si="214"/>
        <v>0</v>
      </c>
      <c r="DK182" s="161">
        <f t="shared" si="215"/>
        <v>0</v>
      </c>
      <c r="DL182" s="161">
        <f t="shared" si="216"/>
        <v>0</v>
      </c>
      <c r="DM182" s="161">
        <f t="shared" si="217"/>
        <v>0</v>
      </c>
      <c r="DN182" s="161">
        <f t="shared" si="218"/>
        <v>0</v>
      </c>
      <c r="DO182" s="161">
        <f t="shared" si="219"/>
        <v>0</v>
      </c>
      <c r="DP182" s="161">
        <f t="shared" si="220"/>
        <v>0</v>
      </c>
      <c r="DQ182" s="161">
        <f t="shared" si="221"/>
        <v>0</v>
      </c>
      <c r="DR182" s="161">
        <f t="shared" si="222"/>
        <v>0</v>
      </c>
      <c r="DS182" s="161">
        <f t="shared" si="223"/>
        <v>0</v>
      </c>
      <c r="DT182" s="161">
        <f t="shared" si="224"/>
        <v>0</v>
      </c>
      <c r="DU182" s="161">
        <f t="shared" si="225"/>
        <v>0</v>
      </c>
      <c r="DV182" s="161">
        <f t="shared" si="226"/>
        <v>0</v>
      </c>
      <c r="DW182" s="161">
        <f t="shared" si="227"/>
        <v>0</v>
      </c>
      <c r="DX182" s="161">
        <f t="shared" si="228"/>
        <v>0</v>
      </c>
      <c r="DY182" s="161">
        <f t="shared" si="229"/>
        <v>0</v>
      </c>
      <c r="DZ182" s="161">
        <f t="shared" si="230"/>
        <v>0</v>
      </c>
      <c r="EA182" s="161">
        <f t="shared" si="231"/>
        <v>0</v>
      </c>
      <c r="EB182" s="161">
        <f t="shared" si="232"/>
        <v>0</v>
      </c>
      <c r="EC182" s="161">
        <f t="shared" si="233"/>
        <v>0</v>
      </c>
      <c r="ED182" s="161">
        <f t="shared" si="234"/>
        <v>0</v>
      </c>
      <c r="EE182" s="161">
        <f t="shared" si="235"/>
        <v>0</v>
      </c>
      <c r="EF182" s="161">
        <f t="shared" si="236"/>
        <v>0</v>
      </c>
      <c r="EG182" s="161">
        <f t="shared" si="237"/>
        <v>0</v>
      </c>
      <c r="EH182" s="161">
        <f t="shared" si="238"/>
        <v>0</v>
      </c>
      <c r="EI182" s="161">
        <f t="shared" si="239"/>
        <v>0</v>
      </c>
      <c r="EJ182" s="161">
        <f t="shared" si="240"/>
        <v>0</v>
      </c>
      <c r="EK182" s="147">
        <f t="shared" si="172"/>
        <v>0</v>
      </c>
      <c r="EL182" s="149"/>
      <c r="EN182" s="146"/>
      <c r="EO182" s="146"/>
      <c r="EP182" s="139">
        <f t="shared" si="173"/>
        <v>0</v>
      </c>
      <c r="EQ182" s="139">
        <f t="shared" si="174"/>
        <v>0</v>
      </c>
      <c r="ER182" s="139">
        <f t="shared" si="175"/>
        <v>0</v>
      </c>
      <c r="ES182" s="139">
        <f t="shared" si="176"/>
        <v>0</v>
      </c>
      <c r="ET182" s="139">
        <f t="shared" si="177"/>
        <v>0</v>
      </c>
      <c r="EU182" s="139">
        <f t="shared" si="178"/>
        <v>0</v>
      </c>
      <c r="EV182" s="139">
        <f t="shared" si="179"/>
        <v>0</v>
      </c>
      <c r="EW182" s="139">
        <f t="shared" si="180"/>
        <v>0</v>
      </c>
      <c r="EX182" s="139">
        <f t="shared" si="181"/>
        <v>0</v>
      </c>
      <c r="EY182" s="139">
        <f t="shared" si="182"/>
        <v>0</v>
      </c>
      <c r="EZ182" s="139">
        <f t="shared" si="183"/>
        <v>0</v>
      </c>
      <c r="FA182" s="139">
        <f t="shared" si="184"/>
        <v>0</v>
      </c>
      <c r="FB182" s="139">
        <f t="shared" si="185"/>
        <v>0</v>
      </c>
      <c r="FC182" s="139">
        <f t="shared" si="186"/>
        <v>0</v>
      </c>
      <c r="FD182" s="139">
        <f t="shared" si="187"/>
        <v>0</v>
      </c>
      <c r="FE182" s="139">
        <f t="shared" si="188"/>
        <v>0</v>
      </c>
      <c r="FF182" s="139">
        <f t="shared" si="189"/>
        <v>0</v>
      </c>
      <c r="FG182" s="139">
        <f t="shared" si="190"/>
        <v>0</v>
      </c>
      <c r="FH182" s="139">
        <f t="shared" si="191"/>
        <v>0</v>
      </c>
      <c r="FI182" s="139">
        <f t="shared" si="192"/>
        <v>0</v>
      </c>
      <c r="FJ182" s="139">
        <f t="shared" si="193"/>
        <v>0</v>
      </c>
      <c r="FK182" s="139">
        <f t="shared" si="194"/>
        <v>0</v>
      </c>
      <c r="FL182" s="139">
        <f t="shared" si="195"/>
        <v>0</v>
      </c>
      <c r="FM182" s="139">
        <f t="shared" si="196"/>
        <v>0</v>
      </c>
      <c r="FN182" s="139">
        <f t="shared" si="197"/>
        <v>0</v>
      </c>
      <c r="FO182" s="139">
        <f t="shared" si="198"/>
        <v>0</v>
      </c>
      <c r="FP182" s="139">
        <f t="shared" si="199"/>
        <v>0</v>
      </c>
      <c r="FQ182" s="139">
        <f t="shared" si="200"/>
        <v>0</v>
      </c>
      <c r="FR182" s="139">
        <f t="shared" si="201"/>
        <v>0</v>
      </c>
      <c r="FS182" s="139">
        <f t="shared" si="202"/>
        <v>0</v>
      </c>
      <c r="FT182" s="139">
        <f t="shared" si="203"/>
        <v>0</v>
      </c>
      <c r="FU182" s="148">
        <f t="shared" si="204"/>
        <v>0</v>
      </c>
      <c r="FV182" s="149"/>
      <c r="FY182" s="212">
        <v>177</v>
      </c>
      <c r="FZ182">
        <v>1.273472532445947</v>
      </c>
      <c r="GA182">
        <v>8.6248624977437434</v>
      </c>
      <c r="GB182">
        <v>8.7117984446102827</v>
      </c>
      <c r="GC182">
        <v>4.4809043167318796</v>
      </c>
      <c r="GD182">
        <v>1.5944054632229987</v>
      </c>
      <c r="GE182">
        <v>0.35947809610506914</v>
      </c>
      <c r="GF182">
        <v>0</v>
      </c>
      <c r="GG182">
        <v>2.3127590252633885</v>
      </c>
      <c r="GH182">
        <v>0</v>
      </c>
      <c r="GI182">
        <v>6.2563334741113161</v>
      </c>
      <c r="GJ182"/>
      <c r="GK182"/>
      <c r="GL182"/>
      <c r="GM182"/>
    </row>
    <row r="183" spans="1:195" s="7" customFormat="1">
      <c r="A183" s="1"/>
      <c r="B183" s="76">
        <f ca="1">IF(C183="", "", RAND())</f>
        <v>0.19522634549490725</v>
      </c>
      <c r="C183">
        <v>1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10.014276960784315</v>
      </c>
      <c r="AO183">
        <v>26.194963876177827</v>
      </c>
      <c r="AP183">
        <v>865.25113479753463</v>
      </c>
      <c r="AQ183">
        <v>72.077498881830763</v>
      </c>
      <c r="AR183">
        <v>23.847583795898814</v>
      </c>
      <c r="AS183">
        <v>207.70580248153047</v>
      </c>
      <c r="AT183" t="e">
        <v>#DIV/0!</v>
      </c>
      <c r="AU183" t="e">
        <v>#DIV/0!</v>
      </c>
      <c r="AV183"/>
      <c r="AW183"/>
      <c r="AX183" s="146"/>
      <c r="AY183" s="76">
        <f t="shared" ca="1" si="170"/>
        <v>3.1200580058146521E-2</v>
      </c>
      <c r="AZ183">
        <v>6</v>
      </c>
      <c r="BA183" s="129">
        <f t="shared" si="246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5"/>
        <v>0.30705296417110839</v>
      </c>
      <c r="CL183" s="179">
        <f t="shared" si="206"/>
        <v>6</v>
      </c>
      <c r="CM183" s="180">
        <f t="shared" si="207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08"/>
        <v>9.6000000000000002E-2</v>
      </c>
      <c r="DB183" s="146"/>
      <c r="DC183" s="76">
        <f t="shared" ca="1" si="171"/>
        <v>0.85384650666627349</v>
      </c>
      <c r="DD183">
        <f t="shared" si="209"/>
        <v>6</v>
      </c>
      <c r="DE183" s="129">
        <f t="shared" si="245"/>
        <v>39987</v>
      </c>
      <c r="DF183" s="161">
        <f t="shared" si="210"/>
        <v>0</v>
      </c>
      <c r="DG183" s="161">
        <f t="shared" si="211"/>
        <v>0</v>
      </c>
      <c r="DH183" s="161">
        <f t="shared" si="212"/>
        <v>0</v>
      </c>
      <c r="DI183" s="161">
        <f t="shared" si="213"/>
        <v>0</v>
      </c>
      <c r="DJ183" s="161">
        <f t="shared" si="214"/>
        <v>0</v>
      </c>
      <c r="DK183" s="161">
        <f t="shared" si="215"/>
        <v>0</v>
      </c>
      <c r="DL183" s="161">
        <f t="shared" si="216"/>
        <v>0</v>
      </c>
      <c r="DM183" s="161">
        <f t="shared" si="217"/>
        <v>0</v>
      </c>
      <c r="DN183" s="161">
        <f t="shared" si="218"/>
        <v>0</v>
      </c>
      <c r="DO183" s="161">
        <f t="shared" si="219"/>
        <v>0</v>
      </c>
      <c r="DP183" s="161">
        <f t="shared" si="220"/>
        <v>0</v>
      </c>
      <c r="DQ183" s="161">
        <f t="shared" si="221"/>
        <v>0</v>
      </c>
      <c r="DR183" s="161">
        <f t="shared" si="222"/>
        <v>0</v>
      </c>
      <c r="DS183" s="161">
        <f t="shared" si="223"/>
        <v>0</v>
      </c>
      <c r="DT183" s="161">
        <f t="shared" si="224"/>
        <v>0</v>
      </c>
      <c r="DU183" s="161">
        <f t="shared" si="225"/>
        <v>0</v>
      </c>
      <c r="DV183" s="161">
        <f t="shared" si="226"/>
        <v>0</v>
      </c>
      <c r="DW183" s="161">
        <f t="shared" si="227"/>
        <v>0</v>
      </c>
      <c r="DX183" s="161">
        <f t="shared" si="228"/>
        <v>0</v>
      </c>
      <c r="DY183" s="161">
        <f t="shared" si="229"/>
        <v>0</v>
      </c>
      <c r="DZ183" s="161">
        <f t="shared" si="230"/>
        <v>0</v>
      </c>
      <c r="EA183" s="161">
        <f t="shared" si="231"/>
        <v>0</v>
      </c>
      <c r="EB183" s="161">
        <f t="shared" si="232"/>
        <v>0</v>
      </c>
      <c r="EC183" s="161">
        <f t="shared" si="233"/>
        <v>0</v>
      </c>
      <c r="ED183" s="161">
        <f t="shared" si="234"/>
        <v>0</v>
      </c>
      <c r="EE183" s="161">
        <f t="shared" si="235"/>
        <v>0</v>
      </c>
      <c r="EF183" s="161">
        <f t="shared" si="236"/>
        <v>0</v>
      </c>
      <c r="EG183" s="161">
        <f t="shared" si="237"/>
        <v>0</v>
      </c>
      <c r="EH183" s="161">
        <f t="shared" si="238"/>
        <v>0</v>
      </c>
      <c r="EI183" s="161">
        <f t="shared" si="239"/>
        <v>0</v>
      </c>
      <c r="EJ183" s="161">
        <f t="shared" si="240"/>
        <v>0</v>
      </c>
      <c r="EK183" s="147">
        <f t="shared" si="172"/>
        <v>0</v>
      </c>
      <c r="EL183" s="149"/>
      <c r="EN183" s="146"/>
      <c r="EO183" s="146"/>
      <c r="EP183" s="139">
        <f t="shared" si="173"/>
        <v>0</v>
      </c>
      <c r="EQ183" s="139">
        <f t="shared" si="174"/>
        <v>0</v>
      </c>
      <c r="ER183" s="139">
        <f t="shared" si="175"/>
        <v>0</v>
      </c>
      <c r="ES183" s="139">
        <f t="shared" si="176"/>
        <v>0</v>
      </c>
      <c r="ET183" s="139">
        <f t="shared" si="177"/>
        <v>0</v>
      </c>
      <c r="EU183" s="139">
        <f t="shared" si="178"/>
        <v>0</v>
      </c>
      <c r="EV183" s="139">
        <f t="shared" si="179"/>
        <v>0</v>
      </c>
      <c r="EW183" s="139">
        <f t="shared" si="180"/>
        <v>0</v>
      </c>
      <c r="EX183" s="139">
        <f t="shared" si="181"/>
        <v>0</v>
      </c>
      <c r="EY183" s="139">
        <f t="shared" si="182"/>
        <v>0</v>
      </c>
      <c r="EZ183" s="139">
        <f t="shared" si="183"/>
        <v>0</v>
      </c>
      <c r="FA183" s="139">
        <f t="shared" si="184"/>
        <v>0</v>
      </c>
      <c r="FB183" s="139">
        <f t="shared" si="185"/>
        <v>0</v>
      </c>
      <c r="FC183" s="139">
        <f t="shared" si="186"/>
        <v>0</v>
      </c>
      <c r="FD183" s="139">
        <f t="shared" si="187"/>
        <v>0</v>
      </c>
      <c r="FE183" s="139">
        <f t="shared" si="188"/>
        <v>0</v>
      </c>
      <c r="FF183" s="139">
        <f t="shared" si="189"/>
        <v>0</v>
      </c>
      <c r="FG183" s="139">
        <f t="shared" si="190"/>
        <v>0</v>
      </c>
      <c r="FH183" s="139">
        <f t="shared" si="191"/>
        <v>0</v>
      </c>
      <c r="FI183" s="139">
        <f t="shared" si="192"/>
        <v>0</v>
      </c>
      <c r="FJ183" s="139">
        <f t="shared" si="193"/>
        <v>0</v>
      </c>
      <c r="FK183" s="139">
        <f t="shared" si="194"/>
        <v>0</v>
      </c>
      <c r="FL183" s="139">
        <f t="shared" si="195"/>
        <v>0</v>
      </c>
      <c r="FM183" s="139">
        <f t="shared" si="196"/>
        <v>0</v>
      </c>
      <c r="FN183" s="139">
        <f t="shared" si="197"/>
        <v>0</v>
      </c>
      <c r="FO183" s="139">
        <f t="shared" si="198"/>
        <v>0</v>
      </c>
      <c r="FP183" s="139">
        <f t="shared" si="199"/>
        <v>0</v>
      </c>
      <c r="FQ183" s="139">
        <f t="shared" si="200"/>
        <v>0</v>
      </c>
      <c r="FR183" s="139">
        <f t="shared" si="201"/>
        <v>0</v>
      </c>
      <c r="FS183" s="139">
        <f t="shared" si="202"/>
        <v>0</v>
      </c>
      <c r="FT183" s="139">
        <f t="shared" si="203"/>
        <v>0</v>
      </c>
      <c r="FU183" s="148">
        <f t="shared" si="204"/>
        <v>0</v>
      </c>
      <c r="FV183" s="149"/>
      <c r="FY183" s="212">
        <v>178</v>
      </c>
      <c r="FZ183">
        <v>1.4443794231618146</v>
      </c>
      <c r="GA183">
        <v>10.316952289913703</v>
      </c>
      <c r="GB183">
        <v>11.105465833472838</v>
      </c>
      <c r="GC183">
        <v>4.6449899153056862</v>
      </c>
      <c r="GD183">
        <v>1.1075283199248656</v>
      </c>
      <c r="GE183">
        <v>0.35947809610506914</v>
      </c>
      <c r="GF183">
        <v>1.6027633530596492</v>
      </c>
      <c r="GG183">
        <v>6.3202161347321617</v>
      </c>
      <c r="GH183">
        <v>1.6229601285312325</v>
      </c>
      <c r="GI183">
        <v>9.9163239697535968</v>
      </c>
      <c r="GJ183"/>
      <c r="GK183"/>
      <c r="GL183"/>
      <c r="GM183"/>
    </row>
    <row r="184" spans="1:195" s="7" customFormat="1">
      <c r="A184" s="1"/>
      <c r="B184" s="76">
        <f ca="1">IF(C184="", "", RAND())</f>
        <v>0.30230982181090638</v>
      </c>
      <c r="C184">
        <v>5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7.7684436274509796</v>
      </c>
      <c r="AO184">
        <v>14.652874434277077</v>
      </c>
      <c r="AP184">
        <v>290.09108183486035</v>
      </c>
      <c r="AQ184">
        <v>42.554126980947252</v>
      </c>
      <c r="AR184">
        <v>13.354775212352685</v>
      </c>
      <c r="AS184">
        <v>81.310692123729112</v>
      </c>
      <c r="AT184" t="e">
        <v>#DIV/0!</v>
      </c>
      <c r="AU184" t="e">
        <v>#DIV/0!</v>
      </c>
      <c r="AV184"/>
      <c r="AW184"/>
      <c r="AX184" s="146"/>
      <c r="AY184" s="76">
        <f t="shared" ca="1" si="170"/>
        <v>0.98228909795647934</v>
      </c>
      <c r="AZ184">
        <v>7</v>
      </c>
      <c r="BA184" s="129">
        <f t="shared" si="246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5"/>
        <v>0.53037424354901397</v>
      </c>
      <c r="CL184" s="179">
        <f t="shared" si="206"/>
        <v>7</v>
      </c>
      <c r="CM184" s="180">
        <f t="shared" si="207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08"/>
        <v>9.6000000000000002E-2</v>
      </c>
      <c r="DB184" s="146"/>
      <c r="DC184" s="76">
        <f t="shared" ca="1" si="171"/>
        <v>0.88242093180726888</v>
      </c>
      <c r="DD184">
        <f t="shared" si="209"/>
        <v>7</v>
      </c>
      <c r="DE184" s="129">
        <f t="shared" si="245"/>
        <v>39987</v>
      </c>
      <c r="DF184" s="161">
        <f t="shared" si="210"/>
        <v>0</v>
      </c>
      <c r="DG184" s="161">
        <f t="shared" si="211"/>
        <v>0</v>
      </c>
      <c r="DH184" s="161">
        <f t="shared" si="212"/>
        <v>0</v>
      </c>
      <c r="DI184" s="161">
        <f t="shared" si="213"/>
        <v>0</v>
      </c>
      <c r="DJ184" s="161">
        <f t="shared" si="214"/>
        <v>0</v>
      </c>
      <c r="DK184" s="161">
        <f t="shared" si="215"/>
        <v>0</v>
      </c>
      <c r="DL184" s="161">
        <f t="shared" si="216"/>
        <v>0</v>
      </c>
      <c r="DM184" s="161">
        <f t="shared" si="217"/>
        <v>0</v>
      </c>
      <c r="DN184" s="161">
        <f t="shared" si="218"/>
        <v>0</v>
      </c>
      <c r="DO184" s="161">
        <f t="shared" si="219"/>
        <v>0</v>
      </c>
      <c r="DP184" s="161">
        <f t="shared" si="220"/>
        <v>0</v>
      </c>
      <c r="DQ184" s="161">
        <f t="shared" si="221"/>
        <v>0</v>
      </c>
      <c r="DR184" s="161">
        <f t="shared" si="222"/>
        <v>0</v>
      </c>
      <c r="DS184" s="161">
        <f t="shared" si="223"/>
        <v>0</v>
      </c>
      <c r="DT184" s="161">
        <f t="shared" si="224"/>
        <v>0</v>
      </c>
      <c r="DU184" s="161">
        <f t="shared" si="225"/>
        <v>0</v>
      </c>
      <c r="DV184" s="161">
        <f t="shared" si="226"/>
        <v>0</v>
      </c>
      <c r="DW184" s="161">
        <f t="shared" si="227"/>
        <v>0</v>
      </c>
      <c r="DX184" s="161">
        <f t="shared" si="228"/>
        <v>0</v>
      </c>
      <c r="DY184" s="161">
        <f t="shared" si="229"/>
        <v>0</v>
      </c>
      <c r="DZ184" s="161">
        <f t="shared" si="230"/>
        <v>0</v>
      </c>
      <c r="EA184" s="161">
        <f t="shared" si="231"/>
        <v>0</v>
      </c>
      <c r="EB184" s="161">
        <f t="shared" si="232"/>
        <v>0</v>
      </c>
      <c r="EC184" s="161">
        <f t="shared" si="233"/>
        <v>0</v>
      </c>
      <c r="ED184" s="161">
        <f t="shared" si="234"/>
        <v>0</v>
      </c>
      <c r="EE184" s="161">
        <f t="shared" si="235"/>
        <v>0</v>
      </c>
      <c r="EF184" s="161">
        <f t="shared" si="236"/>
        <v>0</v>
      </c>
      <c r="EG184" s="161">
        <f t="shared" si="237"/>
        <v>0</v>
      </c>
      <c r="EH184" s="161">
        <f t="shared" si="238"/>
        <v>0</v>
      </c>
      <c r="EI184" s="161">
        <f t="shared" si="239"/>
        <v>0</v>
      </c>
      <c r="EJ184" s="161">
        <f t="shared" si="240"/>
        <v>0</v>
      </c>
      <c r="EK184" s="147">
        <f t="shared" ref="EK184:EK207" si="247">IF(DF184="", "", SUM(DF184:EJ184))</f>
        <v>0</v>
      </c>
      <c r="EL184" s="149"/>
      <c r="EN184" s="146"/>
      <c r="EO184" s="146"/>
      <c r="EP184" s="139">
        <f t="shared" ref="EP184:EP207" si="248">IF(DF184="", "", DF184*G$36)</f>
        <v>0</v>
      </c>
      <c r="EQ184" s="139">
        <f t="shared" ref="EQ184:EQ207" si="249">IF(DG184="", "", DG184*H$36)</f>
        <v>0</v>
      </c>
      <c r="ER184" s="139">
        <f t="shared" ref="ER184:ER207" si="250">IF(DH184="", "", DH184*I$36)</f>
        <v>0</v>
      </c>
      <c r="ES184" s="139">
        <f t="shared" ref="ES184:ES207" si="251">IF(DI184="", "", DI184*J$36)</f>
        <v>0</v>
      </c>
      <c r="ET184" s="139">
        <f t="shared" ref="ET184:ET207" si="252">IF(DJ184="", "", DJ184*K$36)</f>
        <v>0</v>
      </c>
      <c r="EU184" s="139">
        <f t="shared" ref="EU184:EU207" si="253">IF(DK184="", "", DK184*L$36)</f>
        <v>0</v>
      </c>
      <c r="EV184" s="139">
        <f t="shared" ref="EV184:EV207" si="254">IF(DL184="", "", DL184*M$36)</f>
        <v>0</v>
      </c>
      <c r="EW184" s="139">
        <f t="shared" ref="EW184:EW207" si="255">IF(DM184="", "", DM184*N$36)</f>
        <v>0</v>
      </c>
      <c r="EX184" s="139">
        <f t="shared" ref="EX184:EX207" si="256">IF(DN184="", "", DN184*O$36)</f>
        <v>0</v>
      </c>
      <c r="EY184" s="139">
        <f t="shared" ref="EY184:EY207" si="257">IF(DO184="", "", DO184*P$36)</f>
        <v>0</v>
      </c>
      <c r="EZ184" s="139">
        <f t="shared" ref="EZ184:EZ207" si="258">IF(DP184="", "", DP184*Q$36)</f>
        <v>0</v>
      </c>
      <c r="FA184" s="139">
        <f t="shared" ref="FA184:FA207" si="259">IF(DQ184="", "", DQ184*R$36)</f>
        <v>0</v>
      </c>
      <c r="FB184" s="139">
        <f t="shared" ref="FB184:FB207" si="260">IF(DR184="", "", DR184*S$36)</f>
        <v>0</v>
      </c>
      <c r="FC184" s="139">
        <f t="shared" ref="FC184:FC207" si="261">IF(DS184="", "", DS184*T$36)</f>
        <v>0</v>
      </c>
      <c r="FD184" s="139">
        <f t="shared" ref="FD184:FD207" si="262">IF(DT184="", "", DT184*U$36)</f>
        <v>0</v>
      </c>
      <c r="FE184" s="139">
        <f t="shared" ref="FE184:FE207" si="263">IF(DU184="", "", DU184*V$36)</f>
        <v>0</v>
      </c>
      <c r="FF184" s="139">
        <f t="shared" ref="FF184:FF207" si="264">IF(DV184="", "", DV184*W$36)</f>
        <v>0</v>
      </c>
      <c r="FG184" s="139">
        <f t="shared" ref="FG184:FG207" si="265">IF(DW184="", "", DW184*X$36)</f>
        <v>0</v>
      </c>
      <c r="FH184" s="139">
        <f t="shared" ref="FH184:FH207" si="266">IF(DX184="", "", DX184*Y$36)</f>
        <v>0</v>
      </c>
      <c r="FI184" s="139">
        <f t="shared" ref="FI184:FI207" si="267">IF(DY184="", "", DY184*Z$36)</f>
        <v>0</v>
      </c>
      <c r="FJ184" s="139">
        <f t="shared" ref="FJ184:FJ207" si="268">IF(DZ184="", "", DZ184*AA$36)</f>
        <v>0</v>
      </c>
      <c r="FK184" s="139">
        <f t="shared" ref="FK184:FK207" si="269">IF(EA184="", "", EA184*AB$36)</f>
        <v>0</v>
      </c>
      <c r="FL184" s="139">
        <f t="shared" ref="FL184:FL207" si="270">IF(EB184="", "", EB184*AC$36)</f>
        <v>0</v>
      </c>
      <c r="FM184" s="139">
        <f t="shared" ref="FM184:FM207" si="271">IF(EC184="", "", EC184*AD$36)</f>
        <v>0</v>
      </c>
      <c r="FN184" s="139">
        <f t="shared" ref="FN184:FN207" si="272">IF(ED184="", "", ED184*AE$36)</f>
        <v>0</v>
      </c>
      <c r="FO184" s="139">
        <f t="shared" ref="FO184:FO207" si="273">IF(EE184="", "", EE184*AF$36)</f>
        <v>0</v>
      </c>
      <c r="FP184" s="139">
        <f t="shared" ref="FP184:FP207" si="274">IF(EF184="", "", EF184*AG$36)</f>
        <v>0</v>
      </c>
      <c r="FQ184" s="139">
        <f t="shared" ref="FQ184:FQ207" si="275">IF(EG184="", "", EG184*AH$36)</f>
        <v>0</v>
      </c>
      <c r="FR184" s="139">
        <f t="shared" ref="FR184:FR207" si="276">IF(EH184="", "", EH184*AI$36)</f>
        <v>0</v>
      </c>
      <c r="FS184" s="139">
        <f t="shared" ref="FS184:FS207" si="277">IF(EI184="", "", EI184*AJ$36)</f>
        <v>0</v>
      </c>
      <c r="FT184" s="139">
        <f t="shared" ref="FT184:FT207" si="278">IF(EJ184="", "", EJ184*AK$36)</f>
        <v>0</v>
      </c>
      <c r="FU184" s="148">
        <f t="shared" ref="FU184:FU207" si="279">IF(EP184="","",SUM(EP184:FT184))</f>
        <v>0</v>
      </c>
      <c r="FV184" s="149"/>
      <c r="FY184" s="212">
        <v>179</v>
      </c>
      <c r="FZ184">
        <v>1.273472532445947</v>
      </c>
      <c r="GA184">
        <v>22.258291931843086</v>
      </c>
      <c r="GB184">
        <v>16.44742607823974</v>
      </c>
      <c r="GC184">
        <v>4.349286873968456</v>
      </c>
      <c r="GD184">
        <v>1.0657358301591715</v>
      </c>
      <c r="GE184">
        <v>0.71895619221013829</v>
      </c>
      <c r="GF184">
        <v>0.80138167652982462</v>
      </c>
      <c r="GG184">
        <v>3.3224941306074438</v>
      </c>
      <c r="GH184">
        <v>0</v>
      </c>
      <c r="GI184">
        <v>7.7988234841967436</v>
      </c>
      <c r="GJ184"/>
      <c r="GK184"/>
      <c r="GL184"/>
      <c r="GM184"/>
    </row>
    <row r="185" spans="1:195" s="7" customFormat="1">
      <c r="A185" s="1"/>
      <c r="B185" s="76">
        <f ca="1">IF(C185="", "", RAND())</f>
        <v>0.39564248631212973</v>
      </c>
      <c r="C185">
        <v>9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9.127083333333335</v>
      </c>
      <c r="AO185">
        <v>42.768531094432426</v>
      </c>
      <c r="AP185">
        <v>891.52034927723969</v>
      </c>
      <c r="AQ185">
        <v>66.477784663265908</v>
      </c>
      <c r="AR185">
        <v>38.880482813120395</v>
      </c>
      <c r="AS185">
        <v>180.98530704576203</v>
      </c>
      <c r="AT185" t="e">
        <v>#DIV/0!</v>
      </c>
      <c r="AU185" t="e">
        <v>#DIV/0!</v>
      </c>
      <c r="AV185"/>
      <c r="AW185"/>
      <c r="AX185" s="146"/>
      <c r="AY185" s="76">
        <f t="shared" ca="1" si="170"/>
        <v>0.57479822451316043</v>
      </c>
      <c r="AZ185">
        <v>8</v>
      </c>
      <c r="BA185" s="129">
        <f t="shared" si="246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5"/>
        <v>0.27924670009817509</v>
      </c>
      <c r="CL185" s="179">
        <f t="shared" si="206"/>
        <v>8</v>
      </c>
      <c r="CM185" s="180">
        <f t="shared" si="207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08"/>
        <v>9.6000000000000002E-2</v>
      </c>
      <c r="DB185" s="146"/>
      <c r="DC185" s="76">
        <f t="shared" ca="1" si="171"/>
        <v>0.3683101794659116</v>
      </c>
      <c r="DD185">
        <f t="shared" si="209"/>
        <v>8</v>
      </c>
      <c r="DE185" s="129">
        <f t="shared" si="245"/>
        <v>39987</v>
      </c>
      <c r="DF185" s="161">
        <f t="shared" si="210"/>
        <v>0</v>
      </c>
      <c r="DG185" s="161">
        <f t="shared" si="211"/>
        <v>0</v>
      </c>
      <c r="DH185" s="161">
        <f t="shared" si="212"/>
        <v>0</v>
      </c>
      <c r="DI185" s="161">
        <f t="shared" si="213"/>
        <v>0</v>
      </c>
      <c r="DJ185" s="161">
        <f t="shared" si="214"/>
        <v>0</v>
      </c>
      <c r="DK185" s="161">
        <f t="shared" si="215"/>
        <v>0</v>
      </c>
      <c r="DL185" s="161">
        <f t="shared" si="216"/>
        <v>0</v>
      </c>
      <c r="DM185" s="161">
        <f t="shared" si="217"/>
        <v>0</v>
      </c>
      <c r="DN185" s="161">
        <f t="shared" si="218"/>
        <v>0</v>
      </c>
      <c r="DO185" s="161">
        <f t="shared" si="219"/>
        <v>0</v>
      </c>
      <c r="DP185" s="161">
        <f t="shared" si="220"/>
        <v>0</v>
      </c>
      <c r="DQ185" s="161">
        <f t="shared" si="221"/>
        <v>0</v>
      </c>
      <c r="DR185" s="161">
        <f t="shared" si="222"/>
        <v>0</v>
      </c>
      <c r="DS185" s="161">
        <f t="shared" si="223"/>
        <v>0</v>
      </c>
      <c r="DT185" s="161">
        <f t="shared" si="224"/>
        <v>0</v>
      </c>
      <c r="DU185" s="161">
        <f t="shared" si="225"/>
        <v>0</v>
      </c>
      <c r="DV185" s="161">
        <f t="shared" si="226"/>
        <v>0</v>
      </c>
      <c r="DW185" s="161">
        <f t="shared" si="227"/>
        <v>0</v>
      </c>
      <c r="DX185" s="161">
        <f t="shared" si="228"/>
        <v>0</v>
      </c>
      <c r="DY185" s="161">
        <f t="shared" si="229"/>
        <v>0</v>
      </c>
      <c r="DZ185" s="161">
        <f t="shared" si="230"/>
        <v>0</v>
      </c>
      <c r="EA185" s="161">
        <f t="shared" si="231"/>
        <v>0</v>
      </c>
      <c r="EB185" s="161">
        <f t="shared" si="232"/>
        <v>0</v>
      </c>
      <c r="EC185" s="161">
        <f t="shared" si="233"/>
        <v>0</v>
      </c>
      <c r="ED185" s="161">
        <f t="shared" si="234"/>
        <v>0</v>
      </c>
      <c r="EE185" s="161">
        <f t="shared" si="235"/>
        <v>0</v>
      </c>
      <c r="EF185" s="161">
        <f t="shared" si="236"/>
        <v>0</v>
      </c>
      <c r="EG185" s="161">
        <f t="shared" si="237"/>
        <v>0</v>
      </c>
      <c r="EH185" s="161">
        <f t="shared" si="238"/>
        <v>0</v>
      </c>
      <c r="EI185" s="161">
        <f t="shared" si="239"/>
        <v>0</v>
      </c>
      <c r="EJ185" s="161">
        <f t="shared" si="240"/>
        <v>0</v>
      </c>
      <c r="EK185" s="147">
        <f t="shared" si="247"/>
        <v>0</v>
      </c>
      <c r="EL185" s="149"/>
      <c r="EN185" s="146"/>
      <c r="EO185" s="146"/>
      <c r="EP185" s="139">
        <f t="shared" si="248"/>
        <v>0</v>
      </c>
      <c r="EQ185" s="139">
        <f t="shared" si="249"/>
        <v>0</v>
      </c>
      <c r="ER185" s="139">
        <f t="shared" si="250"/>
        <v>0</v>
      </c>
      <c r="ES185" s="139">
        <f t="shared" si="251"/>
        <v>0</v>
      </c>
      <c r="ET185" s="139">
        <f t="shared" si="252"/>
        <v>0</v>
      </c>
      <c r="EU185" s="139">
        <f t="shared" si="253"/>
        <v>0</v>
      </c>
      <c r="EV185" s="139">
        <f t="shared" si="254"/>
        <v>0</v>
      </c>
      <c r="EW185" s="139">
        <f t="shared" si="255"/>
        <v>0</v>
      </c>
      <c r="EX185" s="139">
        <f t="shared" si="256"/>
        <v>0</v>
      </c>
      <c r="EY185" s="139">
        <f t="shared" si="257"/>
        <v>0</v>
      </c>
      <c r="EZ185" s="139">
        <f t="shared" si="258"/>
        <v>0</v>
      </c>
      <c r="FA185" s="139">
        <f t="shared" si="259"/>
        <v>0</v>
      </c>
      <c r="FB185" s="139">
        <f t="shared" si="260"/>
        <v>0</v>
      </c>
      <c r="FC185" s="139">
        <f t="shared" si="261"/>
        <v>0</v>
      </c>
      <c r="FD185" s="139">
        <f t="shared" si="262"/>
        <v>0</v>
      </c>
      <c r="FE185" s="139">
        <f t="shared" si="263"/>
        <v>0</v>
      </c>
      <c r="FF185" s="139">
        <f t="shared" si="264"/>
        <v>0</v>
      </c>
      <c r="FG185" s="139">
        <f t="shared" si="265"/>
        <v>0</v>
      </c>
      <c r="FH185" s="139">
        <f t="shared" si="266"/>
        <v>0</v>
      </c>
      <c r="FI185" s="139">
        <f t="shared" si="267"/>
        <v>0</v>
      </c>
      <c r="FJ185" s="139">
        <f t="shared" si="268"/>
        <v>0</v>
      </c>
      <c r="FK185" s="139">
        <f t="shared" si="269"/>
        <v>0</v>
      </c>
      <c r="FL185" s="139">
        <f t="shared" si="270"/>
        <v>0</v>
      </c>
      <c r="FM185" s="139">
        <f t="shared" si="271"/>
        <v>0</v>
      </c>
      <c r="FN185" s="139">
        <f t="shared" si="272"/>
        <v>0</v>
      </c>
      <c r="FO185" s="139">
        <f t="shared" si="273"/>
        <v>0</v>
      </c>
      <c r="FP185" s="139">
        <f t="shared" si="274"/>
        <v>0</v>
      </c>
      <c r="FQ185" s="139">
        <f t="shared" si="275"/>
        <v>0</v>
      </c>
      <c r="FR185" s="139">
        <f t="shared" si="276"/>
        <v>0</v>
      </c>
      <c r="FS185" s="139">
        <f t="shared" si="277"/>
        <v>0</v>
      </c>
      <c r="FT185" s="139">
        <f t="shared" si="278"/>
        <v>0</v>
      </c>
      <c r="FU185" s="148">
        <f t="shared" si="279"/>
        <v>0</v>
      </c>
      <c r="FV185" s="149"/>
      <c r="FY185" s="212">
        <v>180</v>
      </c>
      <c r="FZ185">
        <v>0.74064316864268975</v>
      </c>
      <c r="GA185">
        <v>24.740946290363546</v>
      </c>
      <c r="GB185">
        <v>20.920383835442113</v>
      </c>
      <c r="GC185">
        <v>5.8015037502592595</v>
      </c>
      <c r="GD185">
        <v>0.73548044834107595</v>
      </c>
      <c r="GE185">
        <v>0</v>
      </c>
      <c r="GF185">
        <v>2.4041450295894737</v>
      </c>
      <c r="GG185">
        <v>9.8961278951727252</v>
      </c>
      <c r="GH185">
        <v>3.245920257062465</v>
      </c>
      <c r="GI185">
        <v>13.452051108747455</v>
      </c>
      <c r="GJ185"/>
      <c r="GK185"/>
      <c r="GL185"/>
      <c r="GM185"/>
    </row>
    <row r="186" spans="1:195" s="7" customFormat="1">
      <c r="A186" s="1"/>
      <c r="B186" s="76">
        <f ca="1">IF(C186="", "", RAND())</f>
        <v>0.8444587808633397</v>
      </c>
      <c r="C186">
        <v>3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4.416666666666667</v>
      </c>
      <c r="AO186">
        <v>28.556610438116497</v>
      </c>
      <c r="AP186">
        <v>430.38817231404926</v>
      </c>
      <c r="AQ186">
        <v>30.530891529990427</v>
      </c>
      <c r="AR186">
        <v>25.994535215843058</v>
      </c>
      <c r="AS186">
        <v>141.12803412107462</v>
      </c>
      <c r="AT186" t="e">
        <v>#DIV/0!</v>
      </c>
      <c r="AU186" t="e">
        <v>#DIV/0!</v>
      </c>
      <c r="AV186"/>
      <c r="AW186"/>
      <c r="AX186" s="146"/>
      <c r="AY186" s="76">
        <f t="shared" ca="1" si="170"/>
        <v>0.15024808440562865</v>
      </c>
      <c r="AZ186">
        <v>9</v>
      </c>
      <c r="BA186" s="129">
        <f t="shared" si="246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5"/>
        <v>0.68383223057388598</v>
      </c>
      <c r="CL186" s="179">
        <f t="shared" si="206"/>
        <v>9</v>
      </c>
      <c r="CM186" s="180">
        <f t="shared" si="207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08"/>
        <v>9.6000000000000002E-2</v>
      </c>
      <c r="DB186" s="146"/>
      <c r="DC186" s="76">
        <f t="shared" ca="1" si="171"/>
        <v>0.95822480678236577</v>
      </c>
      <c r="DD186">
        <f t="shared" si="209"/>
        <v>9</v>
      </c>
      <c r="DE186" s="129">
        <f t="shared" si="245"/>
        <v>39987</v>
      </c>
      <c r="DF186" s="161">
        <f t="shared" si="210"/>
        <v>0</v>
      </c>
      <c r="DG186" s="161">
        <f t="shared" si="211"/>
        <v>0</v>
      </c>
      <c r="DH186" s="161">
        <f t="shared" si="212"/>
        <v>0</v>
      </c>
      <c r="DI186" s="161">
        <f t="shared" si="213"/>
        <v>0</v>
      </c>
      <c r="DJ186" s="161">
        <f t="shared" si="214"/>
        <v>0</v>
      </c>
      <c r="DK186" s="161">
        <f t="shared" si="215"/>
        <v>0</v>
      </c>
      <c r="DL186" s="161">
        <f t="shared" si="216"/>
        <v>0</v>
      </c>
      <c r="DM186" s="161">
        <f t="shared" si="217"/>
        <v>0</v>
      </c>
      <c r="DN186" s="161">
        <f t="shared" si="218"/>
        <v>0</v>
      </c>
      <c r="DO186" s="161">
        <f t="shared" si="219"/>
        <v>0</v>
      </c>
      <c r="DP186" s="161">
        <f t="shared" si="220"/>
        <v>0</v>
      </c>
      <c r="DQ186" s="161">
        <f t="shared" si="221"/>
        <v>0</v>
      </c>
      <c r="DR186" s="161">
        <f t="shared" si="222"/>
        <v>0</v>
      </c>
      <c r="DS186" s="161">
        <f t="shared" si="223"/>
        <v>0</v>
      </c>
      <c r="DT186" s="161">
        <f t="shared" si="224"/>
        <v>0</v>
      </c>
      <c r="DU186" s="161">
        <f t="shared" si="225"/>
        <v>0</v>
      </c>
      <c r="DV186" s="161">
        <f t="shared" si="226"/>
        <v>0</v>
      </c>
      <c r="DW186" s="161">
        <f t="shared" si="227"/>
        <v>0</v>
      </c>
      <c r="DX186" s="161">
        <f t="shared" si="228"/>
        <v>0</v>
      </c>
      <c r="DY186" s="161">
        <f t="shared" si="229"/>
        <v>0</v>
      </c>
      <c r="DZ186" s="161">
        <f t="shared" si="230"/>
        <v>0</v>
      </c>
      <c r="EA186" s="161">
        <f t="shared" si="231"/>
        <v>0</v>
      </c>
      <c r="EB186" s="161">
        <f t="shared" si="232"/>
        <v>0</v>
      </c>
      <c r="EC186" s="161">
        <f t="shared" si="233"/>
        <v>0</v>
      </c>
      <c r="ED186" s="161">
        <f t="shared" si="234"/>
        <v>0</v>
      </c>
      <c r="EE186" s="161">
        <f t="shared" si="235"/>
        <v>0</v>
      </c>
      <c r="EF186" s="161">
        <f t="shared" si="236"/>
        <v>0</v>
      </c>
      <c r="EG186" s="161">
        <f t="shared" si="237"/>
        <v>0</v>
      </c>
      <c r="EH186" s="161">
        <f t="shared" si="238"/>
        <v>0</v>
      </c>
      <c r="EI186" s="161">
        <f t="shared" si="239"/>
        <v>0</v>
      </c>
      <c r="EJ186" s="161">
        <f t="shared" si="240"/>
        <v>0</v>
      </c>
      <c r="EK186" s="147">
        <f t="shared" si="247"/>
        <v>0</v>
      </c>
      <c r="EL186" s="149"/>
      <c r="EN186" s="146"/>
      <c r="EO186" s="146"/>
      <c r="EP186" s="139">
        <f t="shared" si="248"/>
        <v>0</v>
      </c>
      <c r="EQ186" s="139">
        <f t="shared" si="249"/>
        <v>0</v>
      </c>
      <c r="ER186" s="139">
        <f t="shared" si="250"/>
        <v>0</v>
      </c>
      <c r="ES186" s="139">
        <f t="shared" si="251"/>
        <v>0</v>
      </c>
      <c r="ET186" s="139">
        <f t="shared" si="252"/>
        <v>0</v>
      </c>
      <c r="EU186" s="139">
        <f t="shared" si="253"/>
        <v>0</v>
      </c>
      <c r="EV186" s="139">
        <f t="shared" si="254"/>
        <v>0</v>
      </c>
      <c r="EW186" s="139">
        <f t="shared" si="255"/>
        <v>0</v>
      </c>
      <c r="EX186" s="139">
        <f t="shared" si="256"/>
        <v>0</v>
      </c>
      <c r="EY186" s="139">
        <f t="shared" si="257"/>
        <v>0</v>
      </c>
      <c r="EZ186" s="139">
        <f t="shared" si="258"/>
        <v>0</v>
      </c>
      <c r="FA186" s="139">
        <f t="shared" si="259"/>
        <v>0</v>
      </c>
      <c r="FB186" s="139">
        <f t="shared" si="260"/>
        <v>0</v>
      </c>
      <c r="FC186" s="139">
        <f t="shared" si="261"/>
        <v>0</v>
      </c>
      <c r="FD186" s="139">
        <f t="shared" si="262"/>
        <v>0</v>
      </c>
      <c r="FE186" s="139">
        <f t="shared" si="263"/>
        <v>0</v>
      </c>
      <c r="FF186" s="139">
        <f t="shared" si="264"/>
        <v>0</v>
      </c>
      <c r="FG186" s="139">
        <f t="shared" si="265"/>
        <v>0</v>
      </c>
      <c r="FH186" s="139">
        <f t="shared" si="266"/>
        <v>0</v>
      </c>
      <c r="FI186" s="139">
        <f t="shared" si="267"/>
        <v>0</v>
      </c>
      <c r="FJ186" s="139">
        <f t="shared" si="268"/>
        <v>0</v>
      </c>
      <c r="FK186" s="139">
        <f t="shared" si="269"/>
        <v>0</v>
      </c>
      <c r="FL186" s="139">
        <f t="shared" si="270"/>
        <v>0</v>
      </c>
      <c r="FM186" s="139">
        <f t="shared" si="271"/>
        <v>0</v>
      </c>
      <c r="FN186" s="139">
        <f t="shared" si="272"/>
        <v>0</v>
      </c>
      <c r="FO186" s="139">
        <f t="shared" si="273"/>
        <v>0</v>
      </c>
      <c r="FP186" s="139">
        <f t="shared" si="274"/>
        <v>0</v>
      </c>
      <c r="FQ186" s="139">
        <f t="shared" si="275"/>
        <v>0</v>
      </c>
      <c r="FR186" s="139">
        <f t="shared" si="276"/>
        <v>0</v>
      </c>
      <c r="FS186" s="139">
        <f t="shared" si="277"/>
        <v>0</v>
      </c>
      <c r="FT186" s="139">
        <f t="shared" si="278"/>
        <v>0</v>
      </c>
      <c r="FU186" s="148">
        <f t="shared" si="279"/>
        <v>0</v>
      </c>
      <c r="FV186" s="149"/>
      <c r="FY186" s="212">
        <v>181</v>
      </c>
      <c r="FZ186">
        <v>0.74064316864268975</v>
      </c>
      <c r="GA186">
        <v>20.163837907113614</v>
      </c>
      <c r="GB186">
        <v>16.107285365450146</v>
      </c>
      <c r="GC186">
        <v>4.4602034760964013</v>
      </c>
      <c r="GD186">
        <v>0.8044460683107133</v>
      </c>
      <c r="GE186">
        <v>0</v>
      </c>
      <c r="GF186">
        <v>0</v>
      </c>
      <c r="GG186">
        <v>0.83160738614896845</v>
      </c>
      <c r="GH186">
        <v>1.6229601285312325</v>
      </c>
      <c r="GI186">
        <v>7.0948055261634426</v>
      </c>
      <c r="GJ186"/>
      <c r="GK186"/>
      <c r="GL186"/>
      <c r="GM186"/>
    </row>
    <row r="187" spans="1:195" s="7" customFormat="1">
      <c r="A187" s="1"/>
      <c r="B187" s="76">
        <f ca="1">IF(C187="", "", RAND())</f>
        <v>0.82705950364687464</v>
      </c>
      <c r="C187">
        <v>7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5.520833333333333</v>
      </c>
      <c r="AO187">
        <v>30.777239686811544</v>
      </c>
      <c r="AP187">
        <v>303.63011985911913</v>
      </c>
      <c r="AQ187">
        <v>43.282182887825392</v>
      </c>
      <c r="AR187">
        <v>27.979308806192311</v>
      </c>
      <c r="AS187">
        <v>114.22251844996705</v>
      </c>
      <c r="AT187" t="e">
        <v>#DIV/0!</v>
      </c>
      <c r="AU187" t="e">
        <v>#DIV/0!</v>
      </c>
      <c r="AV187"/>
      <c r="AW187"/>
      <c r="AX187" s="146"/>
      <c r="AY187" s="76">
        <f t="shared" ca="1" si="170"/>
        <v>0.30745260018595388</v>
      </c>
      <c r="AZ187">
        <v>10</v>
      </c>
      <c r="BA187" s="129">
        <f t="shared" si="246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5"/>
        <v>0.141283662949097</v>
      </c>
      <c r="CL187" s="179">
        <f t="shared" si="206"/>
        <v>10</v>
      </c>
      <c r="CM187" s="180">
        <f t="shared" si="207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08"/>
        <v>9.6000000000000002E-2</v>
      </c>
      <c r="DB187" s="146"/>
      <c r="DC187" s="76">
        <f t="shared" ca="1" si="171"/>
        <v>0.43122450963620307</v>
      </c>
      <c r="DD187">
        <f t="shared" si="209"/>
        <v>10</v>
      </c>
      <c r="DE187" s="129">
        <f t="shared" si="245"/>
        <v>39987</v>
      </c>
      <c r="DF187" s="161">
        <f t="shared" si="210"/>
        <v>0</v>
      </c>
      <c r="DG187" s="161">
        <f t="shared" si="211"/>
        <v>0</v>
      </c>
      <c r="DH187" s="161">
        <f t="shared" si="212"/>
        <v>0</v>
      </c>
      <c r="DI187" s="161">
        <f t="shared" si="213"/>
        <v>0</v>
      </c>
      <c r="DJ187" s="161">
        <f t="shared" si="214"/>
        <v>0</v>
      </c>
      <c r="DK187" s="161">
        <f t="shared" si="215"/>
        <v>0</v>
      </c>
      <c r="DL187" s="161">
        <f t="shared" si="216"/>
        <v>0</v>
      </c>
      <c r="DM187" s="161">
        <f t="shared" si="217"/>
        <v>0</v>
      </c>
      <c r="DN187" s="161">
        <f t="shared" si="218"/>
        <v>0</v>
      </c>
      <c r="DO187" s="161">
        <f t="shared" si="219"/>
        <v>0</v>
      </c>
      <c r="DP187" s="161">
        <f t="shared" si="220"/>
        <v>0</v>
      </c>
      <c r="DQ187" s="161">
        <f t="shared" si="221"/>
        <v>0</v>
      </c>
      <c r="DR187" s="161">
        <f t="shared" si="222"/>
        <v>0</v>
      </c>
      <c r="DS187" s="161">
        <f t="shared" si="223"/>
        <v>0</v>
      </c>
      <c r="DT187" s="161">
        <f t="shared" si="224"/>
        <v>0</v>
      </c>
      <c r="DU187" s="161">
        <f t="shared" si="225"/>
        <v>0</v>
      </c>
      <c r="DV187" s="161">
        <f t="shared" si="226"/>
        <v>0</v>
      </c>
      <c r="DW187" s="161">
        <f t="shared" si="227"/>
        <v>0</v>
      </c>
      <c r="DX187" s="161">
        <f t="shared" si="228"/>
        <v>0</v>
      </c>
      <c r="DY187" s="161">
        <f t="shared" si="229"/>
        <v>0</v>
      </c>
      <c r="DZ187" s="161">
        <f t="shared" si="230"/>
        <v>0</v>
      </c>
      <c r="EA187" s="161">
        <f t="shared" si="231"/>
        <v>0</v>
      </c>
      <c r="EB187" s="161">
        <f t="shared" si="232"/>
        <v>0</v>
      </c>
      <c r="EC187" s="161">
        <f t="shared" si="233"/>
        <v>0</v>
      </c>
      <c r="ED187" s="161">
        <f t="shared" si="234"/>
        <v>0</v>
      </c>
      <c r="EE187" s="161">
        <f t="shared" si="235"/>
        <v>0</v>
      </c>
      <c r="EF187" s="161">
        <f t="shared" si="236"/>
        <v>0</v>
      </c>
      <c r="EG187" s="161">
        <f t="shared" si="237"/>
        <v>0</v>
      </c>
      <c r="EH187" s="161">
        <f t="shared" si="238"/>
        <v>0</v>
      </c>
      <c r="EI187" s="161">
        <f t="shared" si="239"/>
        <v>0</v>
      </c>
      <c r="EJ187" s="161">
        <f t="shared" si="240"/>
        <v>0</v>
      </c>
      <c r="EK187" s="147">
        <f t="shared" si="247"/>
        <v>0</v>
      </c>
      <c r="EL187" s="149"/>
      <c r="EN187" s="146"/>
      <c r="EO187" s="146"/>
      <c r="EP187" s="139">
        <f t="shared" si="248"/>
        <v>0</v>
      </c>
      <c r="EQ187" s="139">
        <f t="shared" si="249"/>
        <v>0</v>
      </c>
      <c r="ER187" s="139">
        <f t="shared" si="250"/>
        <v>0</v>
      </c>
      <c r="ES187" s="139">
        <f t="shared" si="251"/>
        <v>0</v>
      </c>
      <c r="ET187" s="139">
        <f t="shared" si="252"/>
        <v>0</v>
      </c>
      <c r="EU187" s="139">
        <f t="shared" si="253"/>
        <v>0</v>
      </c>
      <c r="EV187" s="139">
        <f t="shared" si="254"/>
        <v>0</v>
      </c>
      <c r="EW187" s="139">
        <f t="shared" si="255"/>
        <v>0</v>
      </c>
      <c r="EX187" s="139">
        <f t="shared" si="256"/>
        <v>0</v>
      </c>
      <c r="EY187" s="139">
        <f t="shared" si="257"/>
        <v>0</v>
      </c>
      <c r="EZ187" s="139">
        <f t="shared" si="258"/>
        <v>0</v>
      </c>
      <c r="FA187" s="139">
        <f t="shared" si="259"/>
        <v>0</v>
      </c>
      <c r="FB187" s="139">
        <f t="shared" si="260"/>
        <v>0</v>
      </c>
      <c r="FC187" s="139">
        <f t="shared" si="261"/>
        <v>0</v>
      </c>
      <c r="FD187" s="139">
        <f t="shared" si="262"/>
        <v>0</v>
      </c>
      <c r="FE187" s="139">
        <f t="shared" si="263"/>
        <v>0</v>
      </c>
      <c r="FF187" s="139">
        <f t="shared" si="264"/>
        <v>0</v>
      </c>
      <c r="FG187" s="139">
        <f t="shared" si="265"/>
        <v>0</v>
      </c>
      <c r="FH187" s="139">
        <f t="shared" si="266"/>
        <v>0</v>
      </c>
      <c r="FI187" s="139">
        <f t="shared" si="267"/>
        <v>0</v>
      </c>
      <c r="FJ187" s="139">
        <f t="shared" si="268"/>
        <v>0</v>
      </c>
      <c r="FK187" s="139">
        <f t="shared" si="269"/>
        <v>0</v>
      </c>
      <c r="FL187" s="139">
        <f t="shared" si="270"/>
        <v>0</v>
      </c>
      <c r="FM187" s="139">
        <f t="shared" si="271"/>
        <v>0</v>
      </c>
      <c r="FN187" s="139">
        <f t="shared" si="272"/>
        <v>0</v>
      </c>
      <c r="FO187" s="139">
        <f t="shared" si="273"/>
        <v>0</v>
      </c>
      <c r="FP187" s="139">
        <f t="shared" si="274"/>
        <v>0</v>
      </c>
      <c r="FQ187" s="139">
        <f t="shared" si="275"/>
        <v>0</v>
      </c>
      <c r="FR187" s="139">
        <f t="shared" si="276"/>
        <v>0</v>
      </c>
      <c r="FS187" s="139">
        <f t="shared" si="277"/>
        <v>0</v>
      </c>
      <c r="FT187" s="139">
        <f t="shared" si="278"/>
        <v>0</v>
      </c>
      <c r="FU187" s="148">
        <f t="shared" si="279"/>
        <v>0</v>
      </c>
      <c r="FV187" s="149"/>
      <c r="FY187" s="212">
        <v>182</v>
      </c>
      <c r="FZ187">
        <v>0.36192247308739012</v>
      </c>
      <c r="GA187">
        <v>19.270115355273461</v>
      </c>
      <c r="GB187">
        <v>16.313767919244562</v>
      </c>
      <c r="GC187">
        <v>5.1648948379493413</v>
      </c>
      <c r="GD187">
        <v>0.99639380634875552</v>
      </c>
      <c r="GE187">
        <v>0</v>
      </c>
      <c r="GF187">
        <v>0</v>
      </c>
      <c r="GG187">
        <v>0</v>
      </c>
      <c r="GH187">
        <v>0</v>
      </c>
      <c r="GI187">
        <v>10.385613629757636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3.9927083333333329</v>
      </c>
      <c r="AO188">
        <v>13.109436592973982</v>
      </c>
      <c r="AP188">
        <v>578.25667361782382</v>
      </c>
      <c r="AQ188">
        <v>38.314219799293674</v>
      </c>
      <c r="AR188">
        <v>11.951649902077136</v>
      </c>
      <c r="AS188">
        <v>69.477007323803406</v>
      </c>
      <c r="AT188" t="e">
        <v>#DIV/0!</v>
      </c>
      <c r="AU188" t="e">
        <v>#DIV/0!</v>
      </c>
      <c r="AV188"/>
      <c r="AW188"/>
      <c r="AX188" s="128"/>
      <c r="AY188" s="76" t="str">
        <f t="shared" ca="1" si="170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5"/>
        <v/>
      </c>
      <c r="CL188" s="179" t="str">
        <f t="shared" si="206"/>
        <v/>
      </c>
      <c r="CM188" s="180" t="str">
        <f t="shared" si="207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8"/>
        <v/>
      </c>
      <c r="DB188" s="128"/>
      <c r="DC188" s="76" t="str">
        <f t="shared" ca="1" si="171"/>
        <v/>
      </c>
      <c r="DD188" t="str">
        <f t="shared" si="209"/>
        <v/>
      </c>
      <c r="DE188" s="129" t="str">
        <f t="shared" ref="DE188:DE197" si="280">IF((DD188)="", "", $C$14)</f>
        <v/>
      </c>
      <c r="DF188" s="161" t="str">
        <f t="shared" ref="DF188:DF207" si="281">IF($AZ188="", "", ((BB188*$CW188)+(CN188*$CX188))/$CZ188)</f>
        <v/>
      </c>
      <c r="DG188" s="161" t="str">
        <f t="shared" ref="DG188:DG207" si="282">IF($AZ188="", "", ((BC188*$CW188)+(CO188*$CX188))/$CZ188)</f>
        <v/>
      </c>
      <c r="DH188" s="161" t="str">
        <f t="shared" ref="DH188:DH207" si="283">IF($AZ188="", "", ((BD188*$CW188)+(CP188*$CX188))/$CZ188)</f>
        <v/>
      </c>
      <c r="DI188" s="161" t="str">
        <f t="shared" ref="DI188:DI207" si="284">IF($AZ188="", "", ((BE188*$CW188)+(CQ188*$CX188))/$CZ188)</f>
        <v/>
      </c>
      <c r="DJ188" s="161" t="str">
        <f t="shared" ref="DJ188:DJ207" si="285">IF($AZ188="", "", ((BF188*$CW188)+(CR188*$CX188))/$CZ188)</f>
        <v/>
      </c>
      <c r="DK188" s="161" t="str">
        <f t="shared" ref="DK188:DK207" si="286">IF($AZ188="", "", ((BG188*$CW188)+(CS188*$CX188))/$CZ188)</f>
        <v/>
      </c>
      <c r="DL188" s="161" t="str">
        <f t="shared" ref="DL188:DL207" si="287">IF($AZ188="", "", ((BH188*$CW188)+(CT188*$CX188))/$CZ188)</f>
        <v/>
      </c>
      <c r="DM188" s="161" t="str">
        <f t="shared" ref="DM188:DM207" si="288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9">IF($AZ188="", "", (BK187*$CW188)/$CZ188)</f>
        <v/>
      </c>
      <c r="DP188" s="161" t="str">
        <f t="shared" ref="DP188:DP193" si="290">IF($AZ188="", "", (BL187*$CW188)/$CZ188)</f>
        <v/>
      </c>
      <c r="DQ188" s="161" t="str">
        <f t="shared" ref="DQ188:DQ193" si="291">IF($AZ188="", "", (BM187*$CW188)/$CZ188)</f>
        <v/>
      </c>
      <c r="DR188" s="161" t="str">
        <f t="shared" ref="DR188:DR193" si="292">IF($AZ188="", "", (BN187*$CW188)/$CZ188)</f>
        <v/>
      </c>
      <c r="DS188" s="161" t="str">
        <f t="shared" ref="DS188:DS193" si="293">IF($AZ188="", "", (BO187*$CW188)/$CZ188)</f>
        <v/>
      </c>
      <c r="DT188" s="161" t="str">
        <f t="shared" ref="DT188:DT193" si="294">IF($AZ188="", "", (BP187*$CW188)/$CZ188)</f>
        <v/>
      </c>
      <c r="DU188" s="161" t="str">
        <f t="shared" ref="DU188:DU193" si="295">IF($AZ188="", "", (BQ187*$CW188)/$CZ188)</f>
        <v/>
      </c>
      <c r="DV188" s="161" t="str">
        <f t="shared" ref="DV188:DV193" si="296">IF($AZ188="", "", (BR187*$CW188)/$CZ188)</f>
        <v/>
      </c>
      <c r="DW188" s="161" t="str">
        <f t="shared" ref="DW188:DW193" si="297">IF($AZ188="", "", (BS187*$CW188)/$CZ188)</f>
        <v/>
      </c>
      <c r="DX188" s="161" t="str">
        <f t="shared" ref="DX188:DX193" si="298">IF($AZ188="", "", (BT187*$CW188)/$CZ188)</f>
        <v/>
      </c>
      <c r="DY188" s="161" t="str">
        <f t="shared" ref="DY188:DY193" si="299">IF($AZ188="", "", (BU187*$CW188)/$CZ188)</f>
        <v/>
      </c>
      <c r="DZ188" s="161" t="str">
        <f t="shared" ref="DZ188:DZ193" si="300">IF($AZ188="", "", (BV187*$CW188)/$CZ188)</f>
        <v/>
      </c>
      <c r="EA188" s="161" t="str">
        <f t="shared" ref="EA188:EA193" si="301">IF($AZ188="", "", (BW187*$CW188)/$CZ188)</f>
        <v/>
      </c>
      <c r="EB188" s="161" t="str">
        <f t="shared" ref="EB188:EB193" si="302">IF($AZ188="", "", (BX187*$CW188)/$CZ188)</f>
        <v/>
      </c>
      <c r="EC188" s="161" t="str">
        <f t="shared" ref="EC188:EC193" si="303">IF($AZ188="", "", (BY187*$CW188)/$CZ188)</f>
        <v/>
      </c>
      <c r="ED188" s="161" t="str">
        <f t="shared" ref="ED188:ED193" si="304">IF($AZ188="", "", (BZ187*$CW188)/$CZ188)</f>
        <v/>
      </c>
      <c r="EE188" s="161" t="str">
        <f t="shared" ref="EE188:EE193" si="305">IF($AZ188="", "", (CA187*$CW188)/$CZ188)</f>
        <v/>
      </c>
      <c r="EF188" s="161" t="str">
        <f t="shared" ref="EF188:EF193" si="306">IF($AZ188="", "", (CB187*$CW188)/$CZ188)</f>
        <v/>
      </c>
      <c r="EG188" s="161" t="str">
        <f t="shared" ref="EG188:EG193" si="307">IF($AZ188="", "", (CC187*$CW188)/$CZ188)</f>
        <v/>
      </c>
      <c r="EH188" s="161" t="str">
        <f t="shared" ref="EH188:EH193" si="308">IF($AZ188="", "", (CD187*$CW188)/$CZ188)</f>
        <v/>
      </c>
      <c r="EI188" s="161" t="str">
        <f t="shared" ref="EI188:EI193" si="309">IF($AZ188="", "", (CE187*$CW188)/$CZ188)</f>
        <v/>
      </c>
      <c r="EJ188" s="161" t="str">
        <f t="shared" ref="EJ188:EJ193" si="310">IF($AZ188="", "", (CF187*$CW188)/$CZ188)</f>
        <v/>
      </c>
      <c r="EK188" s="147" t="str">
        <f t="shared" si="247"/>
        <v/>
      </c>
      <c r="EL188" s="149"/>
      <c r="EN188" s="146"/>
      <c r="EO188" s="146"/>
      <c r="EP188" s="139" t="str">
        <f t="shared" si="248"/>
        <v/>
      </c>
      <c r="EQ188" s="139" t="str">
        <f t="shared" si="249"/>
        <v/>
      </c>
      <c r="ER188" s="139" t="str">
        <f t="shared" si="250"/>
        <v/>
      </c>
      <c r="ES188" s="139" t="str">
        <f t="shared" si="251"/>
        <v/>
      </c>
      <c r="ET188" s="139" t="str">
        <f t="shared" si="252"/>
        <v/>
      </c>
      <c r="EU188" s="139" t="str">
        <f t="shared" si="253"/>
        <v/>
      </c>
      <c r="EV188" s="139" t="str">
        <f t="shared" si="254"/>
        <v/>
      </c>
      <c r="EW188" s="139" t="str">
        <f t="shared" si="255"/>
        <v/>
      </c>
      <c r="EX188" s="139" t="str">
        <f t="shared" si="256"/>
        <v/>
      </c>
      <c r="EY188" s="139" t="str">
        <f t="shared" si="257"/>
        <v/>
      </c>
      <c r="EZ188" s="139" t="str">
        <f t="shared" si="258"/>
        <v/>
      </c>
      <c r="FA188" s="139" t="str">
        <f t="shared" si="259"/>
        <v/>
      </c>
      <c r="FB188" s="139" t="str">
        <f t="shared" si="260"/>
        <v/>
      </c>
      <c r="FC188" s="139" t="str">
        <f t="shared" si="261"/>
        <v/>
      </c>
      <c r="FD188" s="139" t="str">
        <f t="shared" si="262"/>
        <v/>
      </c>
      <c r="FE188" s="139" t="str">
        <f t="shared" si="263"/>
        <v/>
      </c>
      <c r="FF188" s="139" t="str">
        <f t="shared" si="264"/>
        <v/>
      </c>
      <c r="FG188" s="139" t="str">
        <f t="shared" si="265"/>
        <v/>
      </c>
      <c r="FH188" s="139" t="str">
        <f t="shared" si="266"/>
        <v/>
      </c>
      <c r="FI188" s="139" t="str">
        <f t="shared" si="267"/>
        <v/>
      </c>
      <c r="FJ188" s="139" t="str">
        <f t="shared" si="268"/>
        <v/>
      </c>
      <c r="FK188" s="139" t="str">
        <f t="shared" si="269"/>
        <v/>
      </c>
      <c r="FL188" s="139" t="str">
        <f t="shared" si="270"/>
        <v/>
      </c>
      <c r="FM188" s="139" t="str">
        <f t="shared" si="271"/>
        <v/>
      </c>
      <c r="FN188" s="139" t="str">
        <f t="shared" si="272"/>
        <v/>
      </c>
      <c r="FO188" s="139" t="str">
        <f t="shared" si="273"/>
        <v/>
      </c>
      <c r="FP188" s="139" t="str">
        <f t="shared" si="274"/>
        <v/>
      </c>
      <c r="FQ188" s="139" t="str">
        <f t="shared" si="275"/>
        <v/>
      </c>
      <c r="FR188" s="139" t="str">
        <f t="shared" si="276"/>
        <v/>
      </c>
      <c r="FS188" s="139" t="str">
        <f t="shared" si="277"/>
        <v/>
      </c>
      <c r="FT188" s="139" t="str">
        <f t="shared" si="278"/>
        <v/>
      </c>
      <c r="FU188" s="148" t="str">
        <f t="shared" si="279"/>
        <v/>
      </c>
      <c r="FV188" s="149"/>
      <c r="FY188" s="212">
        <v>183</v>
      </c>
      <c r="FZ188">
        <v>1.8432088103727695</v>
      </c>
      <c r="GA188">
        <v>23.739074445592578</v>
      </c>
      <c r="GB188">
        <v>18.045421633000117</v>
      </c>
      <c r="GC188">
        <v>5.7567023259977042</v>
      </c>
      <c r="GD188">
        <v>1.2752086963361693</v>
      </c>
      <c r="GE188">
        <v>0</v>
      </c>
      <c r="GF188">
        <v>0.80138167652982462</v>
      </c>
      <c r="GG188">
        <v>3.5759117604405652</v>
      </c>
      <c r="GH188">
        <v>1.6229601285312325</v>
      </c>
      <c r="GI188">
        <v>11.354254035620135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7.1874999999999982</v>
      </c>
      <c r="AO189">
        <v>40.155138609704615</v>
      </c>
      <c r="AP189">
        <v>616.14163026523647</v>
      </c>
      <c r="AQ189">
        <v>50.578180422135411</v>
      </c>
      <c r="AR189">
        <v>36.538651735468619</v>
      </c>
      <c r="AS189">
        <v>156.19835022361147</v>
      </c>
      <c r="AT189" t="e">
        <v>#DIV/0!</v>
      </c>
      <c r="AU189" t="e">
        <v>#DIV/0!</v>
      </c>
      <c r="AV189"/>
      <c r="AW189"/>
      <c r="AX189" s="146"/>
      <c r="AY189" s="76" t="str">
        <f t="shared" ca="1" si="170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5"/>
        <v/>
      </c>
      <c r="CL189" s="179" t="str">
        <f t="shared" si="206"/>
        <v/>
      </c>
      <c r="CM189" s="180" t="str">
        <f t="shared" si="207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8"/>
        <v/>
      </c>
      <c r="DB189" s="146"/>
      <c r="DC189" s="76" t="str">
        <f t="shared" ca="1" si="171"/>
        <v/>
      </c>
      <c r="DD189" t="str">
        <f t="shared" si="209"/>
        <v/>
      </c>
      <c r="DE189" s="129" t="str">
        <f t="shared" si="280"/>
        <v/>
      </c>
      <c r="DF189" s="161" t="str">
        <f t="shared" si="281"/>
        <v/>
      </c>
      <c r="DG189" s="161" t="str">
        <f t="shared" si="282"/>
        <v/>
      </c>
      <c r="DH189" s="161" t="str">
        <f t="shared" si="283"/>
        <v/>
      </c>
      <c r="DI189" s="161" t="str">
        <f t="shared" si="284"/>
        <v/>
      </c>
      <c r="DJ189" s="161" t="str">
        <f t="shared" si="285"/>
        <v/>
      </c>
      <c r="DK189" s="161" t="str">
        <f t="shared" si="286"/>
        <v/>
      </c>
      <c r="DL189" s="161" t="str">
        <f t="shared" si="287"/>
        <v/>
      </c>
      <c r="DM189" s="161" t="str">
        <f t="shared" si="288"/>
        <v/>
      </c>
      <c r="DN189" s="161" t="str">
        <f>IF($AZ189="", "", (BJ189*$CW189)/$CZ189)</f>
        <v/>
      </c>
      <c r="DO189" s="161" t="str">
        <f t="shared" si="289"/>
        <v/>
      </c>
      <c r="DP189" s="161" t="str">
        <f t="shared" si="290"/>
        <v/>
      </c>
      <c r="DQ189" s="161" t="str">
        <f t="shared" si="291"/>
        <v/>
      </c>
      <c r="DR189" s="161" t="str">
        <f t="shared" si="292"/>
        <v/>
      </c>
      <c r="DS189" s="161" t="str">
        <f t="shared" si="293"/>
        <v/>
      </c>
      <c r="DT189" s="161" t="str">
        <f t="shared" si="294"/>
        <v/>
      </c>
      <c r="DU189" s="161" t="str">
        <f t="shared" si="295"/>
        <v/>
      </c>
      <c r="DV189" s="161" t="str">
        <f t="shared" si="296"/>
        <v/>
      </c>
      <c r="DW189" s="161" t="str">
        <f t="shared" si="297"/>
        <v/>
      </c>
      <c r="DX189" s="161" t="str">
        <f t="shared" si="298"/>
        <v/>
      </c>
      <c r="DY189" s="161" t="str">
        <f t="shared" si="299"/>
        <v/>
      </c>
      <c r="DZ189" s="161" t="str">
        <f t="shared" si="300"/>
        <v/>
      </c>
      <c r="EA189" s="161" t="str">
        <f t="shared" si="301"/>
        <v/>
      </c>
      <c r="EB189" s="161" t="str">
        <f t="shared" si="302"/>
        <v/>
      </c>
      <c r="EC189" s="161" t="str">
        <f t="shared" si="303"/>
        <v/>
      </c>
      <c r="ED189" s="161" t="str">
        <f t="shared" si="304"/>
        <v/>
      </c>
      <c r="EE189" s="161" t="str">
        <f t="shared" si="305"/>
        <v/>
      </c>
      <c r="EF189" s="161" t="str">
        <f t="shared" si="306"/>
        <v/>
      </c>
      <c r="EG189" s="161" t="str">
        <f t="shared" si="307"/>
        <v/>
      </c>
      <c r="EH189" s="161" t="str">
        <f t="shared" si="308"/>
        <v/>
      </c>
      <c r="EI189" s="161" t="str">
        <f t="shared" si="309"/>
        <v/>
      </c>
      <c r="EJ189" s="161" t="str">
        <f t="shared" si="310"/>
        <v/>
      </c>
      <c r="EK189" s="147" t="str">
        <f t="shared" si="247"/>
        <v/>
      </c>
      <c r="EL189" s="149"/>
      <c r="EN189" s="146"/>
      <c r="EO189" s="146"/>
      <c r="EP189" s="139" t="str">
        <f t="shared" si="248"/>
        <v/>
      </c>
      <c r="EQ189" s="139" t="str">
        <f t="shared" si="249"/>
        <v/>
      </c>
      <c r="ER189" s="139" t="str">
        <f t="shared" si="250"/>
        <v/>
      </c>
      <c r="ES189" s="139" t="str">
        <f t="shared" si="251"/>
        <v/>
      </c>
      <c r="ET189" s="139" t="str">
        <f t="shared" si="252"/>
        <v/>
      </c>
      <c r="EU189" s="139" t="str">
        <f t="shared" si="253"/>
        <v/>
      </c>
      <c r="EV189" s="139" t="str">
        <f t="shared" si="254"/>
        <v/>
      </c>
      <c r="EW189" s="139" t="str">
        <f t="shared" si="255"/>
        <v/>
      </c>
      <c r="EX189" s="139" t="str">
        <f t="shared" si="256"/>
        <v/>
      </c>
      <c r="EY189" s="139" t="str">
        <f t="shared" si="257"/>
        <v/>
      </c>
      <c r="EZ189" s="139" t="str">
        <f t="shared" si="258"/>
        <v/>
      </c>
      <c r="FA189" s="139" t="str">
        <f t="shared" si="259"/>
        <v/>
      </c>
      <c r="FB189" s="139" t="str">
        <f t="shared" si="260"/>
        <v/>
      </c>
      <c r="FC189" s="139" t="str">
        <f t="shared" si="261"/>
        <v/>
      </c>
      <c r="FD189" s="139" t="str">
        <f t="shared" si="262"/>
        <v/>
      </c>
      <c r="FE189" s="139" t="str">
        <f t="shared" si="263"/>
        <v/>
      </c>
      <c r="FF189" s="139" t="str">
        <f t="shared" si="264"/>
        <v/>
      </c>
      <c r="FG189" s="139" t="str">
        <f t="shared" si="265"/>
        <v/>
      </c>
      <c r="FH189" s="139" t="str">
        <f t="shared" si="266"/>
        <v/>
      </c>
      <c r="FI189" s="139" t="str">
        <f t="shared" si="267"/>
        <v/>
      </c>
      <c r="FJ189" s="139" t="str">
        <f t="shared" si="268"/>
        <v/>
      </c>
      <c r="FK189" s="139" t="str">
        <f t="shared" si="269"/>
        <v/>
      </c>
      <c r="FL189" s="139" t="str">
        <f t="shared" si="270"/>
        <v/>
      </c>
      <c r="FM189" s="139" t="str">
        <f t="shared" si="271"/>
        <v/>
      </c>
      <c r="FN189" s="139" t="str">
        <f t="shared" si="272"/>
        <v/>
      </c>
      <c r="FO189" s="139" t="str">
        <f t="shared" si="273"/>
        <v/>
      </c>
      <c r="FP189" s="139" t="str">
        <f t="shared" si="274"/>
        <v/>
      </c>
      <c r="FQ189" s="139" t="str">
        <f t="shared" si="275"/>
        <v/>
      </c>
      <c r="FR189" s="139" t="str">
        <f t="shared" si="276"/>
        <v/>
      </c>
      <c r="FS189" s="139" t="str">
        <f t="shared" si="277"/>
        <v/>
      </c>
      <c r="FT189" s="139" t="str">
        <f t="shared" si="278"/>
        <v/>
      </c>
      <c r="FU189" s="148" t="str">
        <f t="shared" si="279"/>
        <v/>
      </c>
      <c r="FV189" s="149"/>
      <c r="FY189" s="212">
        <v>184</v>
      </c>
      <c r="FZ189">
        <v>2.962572674570759</v>
      </c>
      <c r="GA189">
        <v>20.957158360503417</v>
      </c>
      <c r="GB189">
        <v>16.384691947176638</v>
      </c>
      <c r="GC189">
        <v>4.7197396837128673</v>
      </c>
      <c r="GD189">
        <v>0.34715888665180128</v>
      </c>
      <c r="GE189">
        <v>0</v>
      </c>
      <c r="GF189">
        <v>0</v>
      </c>
      <c r="GG189">
        <v>1.4097971424648157</v>
      </c>
      <c r="GH189">
        <v>1.6229601285312325</v>
      </c>
      <c r="GI189">
        <v>8.922044230445394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12.447303921568627</v>
      </c>
      <c r="AO190">
        <v>32.475145477698959</v>
      </c>
      <c r="AP190">
        <v>391.1556656300213</v>
      </c>
      <c r="AQ190">
        <v>61.961976588232488</v>
      </c>
      <c r="AR190">
        <v>29.522859525180863</v>
      </c>
      <c r="AS190">
        <v>161.20568832451124</v>
      </c>
      <c r="AT190" t="e">
        <v>#DIV/0!</v>
      </c>
      <c r="AU190" t="e">
        <v>#DIV/0!</v>
      </c>
      <c r="AV190"/>
      <c r="AW190"/>
      <c r="AX190" s="146"/>
      <c r="AY190" s="76" t="str">
        <f t="shared" ca="1" si="170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5"/>
        <v/>
      </c>
      <c r="CL190" s="179" t="str">
        <f t="shared" si="206"/>
        <v/>
      </c>
      <c r="CM190" s="180" t="str">
        <f t="shared" si="207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8"/>
        <v/>
      </c>
      <c r="DB190" s="146"/>
      <c r="DC190" s="76" t="str">
        <f t="shared" ca="1" si="171"/>
        <v/>
      </c>
      <c r="DD190" t="str">
        <f t="shared" si="209"/>
        <v/>
      </c>
      <c r="DE190" s="129" t="str">
        <f t="shared" si="280"/>
        <v/>
      </c>
      <c r="DF190" s="161" t="str">
        <f t="shared" si="281"/>
        <v/>
      </c>
      <c r="DG190" s="161" t="str">
        <f t="shared" si="282"/>
        <v/>
      </c>
      <c r="DH190" s="161" t="str">
        <f t="shared" si="283"/>
        <v/>
      </c>
      <c r="DI190" s="161" t="str">
        <f t="shared" si="284"/>
        <v/>
      </c>
      <c r="DJ190" s="161" t="str">
        <f t="shared" si="285"/>
        <v/>
      </c>
      <c r="DK190" s="161" t="str">
        <f t="shared" si="286"/>
        <v/>
      </c>
      <c r="DL190" s="161" t="str">
        <f t="shared" si="287"/>
        <v/>
      </c>
      <c r="DM190" s="161" t="str">
        <f t="shared" si="288"/>
        <v/>
      </c>
      <c r="DN190" s="161" t="str">
        <f>IF($AZ190="", "", (BJ190*$CW190)/$CZ190)</f>
        <v/>
      </c>
      <c r="DO190" s="161" t="str">
        <f t="shared" si="289"/>
        <v/>
      </c>
      <c r="DP190" s="161" t="str">
        <f t="shared" si="290"/>
        <v/>
      </c>
      <c r="DQ190" s="161" t="str">
        <f t="shared" si="291"/>
        <v/>
      </c>
      <c r="DR190" s="161" t="str">
        <f t="shared" si="292"/>
        <v/>
      </c>
      <c r="DS190" s="161" t="str">
        <f t="shared" si="293"/>
        <v/>
      </c>
      <c r="DT190" s="161" t="str">
        <f t="shared" si="294"/>
        <v/>
      </c>
      <c r="DU190" s="161" t="str">
        <f t="shared" si="295"/>
        <v/>
      </c>
      <c r="DV190" s="161" t="str">
        <f t="shared" si="296"/>
        <v/>
      </c>
      <c r="DW190" s="161" t="str">
        <f t="shared" si="297"/>
        <v/>
      </c>
      <c r="DX190" s="161" t="str">
        <f t="shared" si="298"/>
        <v/>
      </c>
      <c r="DY190" s="161" t="str">
        <f t="shared" si="299"/>
        <v/>
      </c>
      <c r="DZ190" s="161" t="str">
        <f t="shared" si="300"/>
        <v/>
      </c>
      <c r="EA190" s="161" t="str">
        <f t="shared" si="301"/>
        <v/>
      </c>
      <c r="EB190" s="161" t="str">
        <f t="shared" si="302"/>
        <v/>
      </c>
      <c r="EC190" s="161" t="str">
        <f t="shared" si="303"/>
        <v/>
      </c>
      <c r="ED190" s="161" t="str">
        <f t="shared" si="304"/>
        <v/>
      </c>
      <c r="EE190" s="161" t="str">
        <f t="shared" si="305"/>
        <v/>
      </c>
      <c r="EF190" s="161" t="str">
        <f t="shared" si="306"/>
        <v/>
      </c>
      <c r="EG190" s="161" t="str">
        <f t="shared" si="307"/>
        <v/>
      </c>
      <c r="EH190" s="161" t="str">
        <f t="shared" si="308"/>
        <v/>
      </c>
      <c r="EI190" s="161" t="str">
        <f t="shared" si="309"/>
        <v/>
      </c>
      <c r="EJ190" s="161" t="str">
        <f t="shared" si="310"/>
        <v/>
      </c>
      <c r="EK190" s="147" t="str">
        <f t="shared" si="247"/>
        <v/>
      </c>
      <c r="EL190" s="149"/>
      <c r="EN190" s="146"/>
      <c r="EO190" s="146"/>
      <c r="EP190" s="139" t="str">
        <f t="shared" si="248"/>
        <v/>
      </c>
      <c r="EQ190" s="139" t="str">
        <f t="shared" si="249"/>
        <v/>
      </c>
      <c r="ER190" s="139" t="str">
        <f t="shared" si="250"/>
        <v/>
      </c>
      <c r="ES190" s="139" t="str">
        <f t="shared" si="251"/>
        <v/>
      </c>
      <c r="ET190" s="139" t="str">
        <f t="shared" si="252"/>
        <v/>
      </c>
      <c r="EU190" s="139" t="str">
        <f t="shared" si="253"/>
        <v/>
      </c>
      <c r="EV190" s="139" t="str">
        <f t="shared" si="254"/>
        <v/>
      </c>
      <c r="EW190" s="139" t="str">
        <f t="shared" si="255"/>
        <v/>
      </c>
      <c r="EX190" s="139" t="str">
        <f t="shared" si="256"/>
        <v/>
      </c>
      <c r="EY190" s="139" t="str">
        <f t="shared" si="257"/>
        <v/>
      </c>
      <c r="EZ190" s="139" t="str">
        <f t="shared" si="258"/>
        <v/>
      </c>
      <c r="FA190" s="139" t="str">
        <f t="shared" si="259"/>
        <v/>
      </c>
      <c r="FB190" s="139" t="str">
        <f t="shared" si="260"/>
        <v/>
      </c>
      <c r="FC190" s="139" t="str">
        <f t="shared" si="261"/>
        <v/>
      </c>
      <c r="FD190" s="139" t="str">
        <f t="shared" si="262"/>
        <v/>
      </c>
      <c r="FE190" s="139" t="str">
        <f t="shared" si="263"/>
        <v/>
      </c>
      <c r="FF190" s="139" t="str">
        <f t="shared" si="264"/>
        <v/>
      </c>
      <c r="FG190" s="139" t="str">
        <f t="shared" si="265"/>
        <v/>
      </c>
      <c r="FH190" s="139" t="str">
        <f t="shared" si="266"/>
        <v/>
      </c>
      <c r="FI190" s="139" t="str">
        <f t="shared" si="267"/>
        <v/>
      </c>
      <c r="FJ190" s="139" t="str">
        <f t="shared" si="268"/>
        <v/>
      </c>
      <c r="FK190" s="139" t="str">
        <f t="shared" si="269"/>
        <v/>
      </c>
      <c r="FL190" s="139" t="str">
        <f t="shared" si="270"/>
        <v/>
      </c>
      <c r="FM190" s="139" t="str">
        <f t="shared" si="271"/>
        <v/>
      </c>
      <c r="FN190" s="139" t="str">
        <f t="shared" si="272"/>
        <v/>
      </c>
      <c r="FO190" s="139" t="str">
        <f t="shared" si="273"/>
        <v/>
      </c>
      <c r="FP190" s="139" t="str">
        <f t="shared" si="274"/>
        <v/>
      </c>
      <c r="FQ190" s="139" t="str">
        <f t="shared" si="275"/>
        <v/>
      </c>
      <c r="FR190" s="139" t="str">
        <f t="shared" si="276"/>
        <v/>
      </c>
      <c r="FS190" s="139" t="str">
        <f t="shared" si="277"/>
        <v/>
      </c>
      <c r="FT190" s="139" t="str">
        <f t="shared" si="278"/>
        <v/>
      </c>
      <c r="FU190" s="148" t="str">
        <f t="shared" si="279"/>
        <v/>
      </c>
      <c r="FV190" s="149"/>
      <c r="FY190" s="212">
        <v>185</v>
      </c>
      <c r="FZ190">
        <v>0.1709068907158674</v>
      </c>
      <c r="GA190">
        <v>12.749559045306764</v>
      </c>
      <c r="GB190">
        <v>14.676080315123835</v>
      </c>
      <c r="GC190">
        <v>4.9186353039472346</v>
      </c>
      <c r="GD190">
        <v>0.70042568175865372</v>
      </c>
      <c r="GE190">
        <v>0.35947809610506914</v>
      </c>
      <c r="GF190">
        <v>0</v>
      </c>
      <c r="GG190">
        <v>0.57818975631584713</v>
      </c>
      <c r="GH190">
        <v>0</v>
      </c>
      <c r="GI190">
        <v>8.1487024086619595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11.920526960784311</v>
      </c>
      <c r="AO191">
        <v>34.46674546844141</v>
      </c>
      <c r="AP191">
        <v>876.7141508180332</v>
      </c>
      <c r="AQ191">
        <v>76.022444643335092</v>
      </c>
      <c r="AR191">
        <v>31.401365515511955</v>
      </c>
      <c r="AS191">
        <v>169.38404995583707</v>
      </c>
      <c r="AT191" t="e">
        <v>#DIV/0!</v>
      </c>
      <c r="AU191" t="e">
        <v>#DIV/0!</v>
      </c>
      <c r="AV191"/>
      <c r="AW191"/>
      <c r="AX191" s="146"/>
      <c r="AY191" s="76" t="str">
        <f t="shared" ca="1" si="170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5"/>
        <v/>
      </c>
      <c r="CL191" s="179" t="str">
        <f t="shared" si="206"/>
        <v/>
      </c>
      <c r="CM191" s="180" t="str">
        <f t="shared" si="207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8"/>
        <v/>
      </c>
      <c r="DB191" s="146"/>
      <c r="DC191" s="76" t="str">
        <f t="shared" ca="1" si="171"/>
        <v/>
      </c>
      <c r="DD191" t="str">
        <f t="shared" si="209"/>
        <v/>
      </c>
      <c r="DE191" s="129" t="str">
        <f t="shared" si="280"/>
        <v/>
      </c>
      <c r="DF191" s="161" t="str">
        <f t="shared" si="281"/>
        <v/>
      </c>
      <c r="DG191" s="161" t="str">
        <f t="shared" si="282"/>
        <v/>
      </c>
      <c r="DH191" s="161" t="str">
        <f t="shared" si="283"/>
        <v/>
      </c>
      <c r="DI191" s="161" t="str">
        <f t="shared" si="284"/>
        <v/>
      </c>
      <c r="DJ191" s="161" t="str">
        <f t="shared" si="285"/>
        <v/>
      </c>
      <c r="DK191" s="161" t="str">
        <f t="shared" si="286"/>
        <v/>
      </c>
      <c r="DL191" s="161" t="str">
        <f t="shared" si="287"/>
        <v/>
      </c>
      <c r="DM191" s="161" t="str">
        <f t="shared" si="288"/>
        <v/>
      </c>
      <c r="DN191" s="161" t="str">
        <f>IF($AZ191="", "", (BJ191*$CW191)/$CZ191)</f>
        <v/>
      </c>
      <c r="DO191" s="161" t="str">
        <f t="shared" si="289"/>
        <v/>
      </c>
      <c r="DP191" s="161" t="str">
        <f t="shared" si="290"/>
        <v/>
      </c>
      <c r="DQ191" s="161" t="str">
        <f t="shared" si="291"/>
        <v/>
      </c>
      <c r="DR191" s="161" t="str">
        <f t="shared" si="292"/>
        <v/>
      </c>
      <c r="DS191" s="161" t="str">
        <f t="shared" si="293"/>
        <v/>
      </c>
      <c r="DT191" s="161" t="str">
        <f t="shared" si="294"/>
        <v/>
      </c>
      <c r="DU191" s="161" t="str">
        <f t="shared" si="295"/>
        <v/>
      </c>
      <c r="DV191" s="161" t="str">
        <f t="shared" si="296"/>
        <v/>
      </c>
      <c r="DW191" s="161" t="str">
        <f t="shared" si="297"/>
        <v/>
      </c>
      <c r="DX191" s="161" t="str">
        <f t="shared" si="298"/>
        <v/>
      </c>
      <c r="DY191" s="161" t="str">
        <f t="shared" si="299"/>
        <v/>
      </c>
      <c r="DZ191" s="161" t="str">
        <f t="shared" si="300"/>
        <v/>
      </c>
      <c r="EA191" s="161" t="str">
        <f t="shared" si="301"/>
        <v/>
      </c>
      <c r="EB191" s="161" t="str">
        <f t="shared" si="302"/>
        <v/>
      </c>
      <c r="EC191" s="161" t="str">
        <f t="shared" si="303"/>
        <v/>
      </c>
      <c r="ED191" s="161" t="str">
        <f t="shared" si="304"/>
        <v/>
      </c>
      <c r="EE191" s="161" t="str">
        <f t="shared" si="305"/>
        <v/>
      </c>
      <c r="EF191" s="161" t="str">
        <f t="shared" si="306"/>
        <v/>
      </c>
      <c r="EG191" s="161" t="str">
        <f t="shared" si="307"/>
        <v/>
      </c>
      <c r="EH191" s="161" t="str">
        <f t="shared" si="308"/>
        <v/>
      </c>
      <c r="EI191" s="161" t="str">
        <f t="shared" si="309"/>
        <v/>
      </c>
      <c r="EJ191" s="161" t="str">
        <f t="shared" si="310"/>
        <v/>
      </c>
      <c r="EK191" s="147" t="str">
        <f t="shared" si="247"/>
        <v/>
      </c>
      <c r="EL191" s="149"/>
      <c r="EN191" s="146"/>
      <c r="EO191" s="146"/>
      <c r="EP191" s="139" t="str">
        <f t="shared" si="248"/>
        <v/>
      </c>
      <c r="EQ191" s="139" t="str">
        <f t="shared" si="249"/>
        <v/>
      </c>
      <c r="ER191" s="139" t="str">
        <f t="shared" si="250"/>
        <v/>
      </c>
      <c r="ES191" s="139" t="str">
        <f t="shared" si="251"/>
        <v/>
      </c>
      <c r="ET191" s="139" t="str">
        <f t="shared" si="252"/>
        <v/>
      </c>
      <c r="EU191" s="139" t="str">
        <f t="shared" si="253"/>
        <v/>
      </c>
      <c r="EV191" s="139" t="str">
        <f t="shared" si="254"/>
        <v/>
      </c>
      <c r="EW191" s="139" t="str">
        <f t="shared" si="255"/>
        <v/>
      </c>
      <c r="EX191" s="139" t="str">
        <f t="shared" si="256"/>
        <v/>
      </c>
      <c r="EY191" s="139" t="str">
        <f t="shared" si="257"/>
        <v/>
      </c>
      <c r="EZ191" s="139" t="str">
        <f t="shared" si="258"/>
        <v/>
      </c>
      <c r="FA191" s="139" t="str">
        <f t="shared" si="259"/>
        <v/>
      </c>
      <c r="FB191" s="139" t="str">
        <f t="shared" si="260"/>
        <v/>
      </c>
      <c r="FC191" s="139" t="str">
        <f t="shared" si="261"/>
        <v/>
      </c>
      <c r="FD191" s="139" t="str">
        <f t="shared" si="262"/>
        <v/>
      </c>
      <c r="FE191" s="139" t="str">
        <f t="shared" si="263"/>
        <v/>
      </c>
      <c r="FF191" s="139" t="str">
        <f t="shared" si="264"/>
        <v/>
      </c>
      <c r="FG191" s="139" t="str">
        <f t="shared" si="265"/>
        <v/>
      </c>
      <c r="FH191" s="139" t="str">
        <f t="shared" si="266"/>
        <v/>
      </c>
      <c r="FI191" s="139" t="str">
        <f t="shared" si="267"/>
        <v/>
      </c>
      <c r="FJ191" s="139" t="str">
        <f t="shared" si="268"/>
        <v/>
      </c>
      <c r="FK191" s="139" t="str">
        <f t="shared" si="269"/>
        <v/>
      </c>
      <c r="FL191" s="139" t="str">
        <f t="shared" si="270"/>
        <v/>
      </c>
      <c r="FM191" s="139" t="str">
        <f t="shared" si="271"/>
        <v/>
      </c>
      <c r="FN191" s="139" t="str">
        <f t="shared" si="272"/>
        <v/>
      </c>
      <c r="FO191" s="139" t="str">
        <f t="shared" si="273"/>
        <v/>
      </c>
      <c r="FP191" s="139" t="str">
        <f t="shared" si="274"/>
        <v/>
      </c>
      <c r="FQ191" s="139" t="str">
        <f t="shared" si="275"/>
        <v/>
      </c>
      <c r="FR191" s="139" t="str">
        <f t="shared" si="276"/>
        <v/>
      </c>
      <c r="FS191" s="139" t="str">
        <f t="shared" si="277"/>
        <v/>
      </c>
      <c r="FT191" s="139" t="str">
        <f t="shared" si="278"/>
        <v/>
      </c>
      <c r="FU191" s="148" t="str">
        <f t="shared" si="279"/>
        <v/>
      </c>
      <c r="FV191" s="149"/>
      <c r="FY191" s="212">
        <v>186</v>
      </c>
      <c r="FZ191">
        <v>1.6353950055333373</v>
      </c>
      <c r="GA191">
        <v>23.281289148171602</v>
      </c>
      <c r="GB191">
        <v>18.319491567689692</v>
      </c>
      <c r="GC191">
        <v>5.1573765516479204</v>
      </c>
      <c r="GD191">
        <v>0.89058640308963888</v>
      </c>
      <c r="GE191">
        <v>0.35947809610506914</v>
      </c>
      <c r="GF191">
        <v>0</v>
      </c>
      <c r="GG191">
        <v>2.241404528613784</v>
      </c>
      <c r="GH191">
        <v>3.245920257062465</v>
      </c>
      <c r="GI191">
        <v>13.68331836195914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4.5760416666666668</v>
      </c>
      <c r="AO192">
        <v>22.559684731838367</v>
      </c>
      <c r="AP192">
        <v>616.4270060666986</v>
      </c>
      <c r="AQ192">
        <v>32.47590228527438</v>
      </c>
      <c r="AR192">
        <v>20.542784573772035</v>
      </c>
      <c r="AS192">
        <v>119.52857501754639</v>
      </c>
      <c r="AT192" t="e">
        <v>#DIV/0!</v>
      </c>
      <c r="AU192" t="e">
        <v>#DIV/0!</v>
      </c>
      <c r="AV192"/>
      <c r="AW192"/>
      <c r="AX192" s="146"/>
      <c r="AY192" s="76" t="str">
        <f t="shared" ca="1" si="170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5"/>
        <v/>
      </c>
      <c r="CL192" s="179" t="str">
        <f t="shared" si="206"/>
        <v/>
      </c>
      <c r="CM192" s="180" t="str">
        <f t="shared" si="207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8"/>
        <v/>
      </c>
      <c r="DB192" s="146"/>
      <c r="DC192" s="76" t="str">
        <f t="shared" ca="1" si="171"/>
        <v/>
      </c>
      <c r="DD192" t="str">
        <f t="shared" si="209"/>
        <v/>
      </c>
      <c r="DE192" s="129" t="str">
        <f t="shared" si="280"/>
        <v/>
      </c>
      <c r="DF192" s="161" t="str">
        <f t="shared" si="281"/>
        <v/>
      </c>
      <c r="DG192" s="161" t="str">
        <f t="shared" si="282"/>
        <v/>
      </c>
      <c r="DH192" s="161" t="str">
        <f t="shared" si="283"/>
        <v/>
      </c>
      <c r="DI192" s="161" t="str">
        <f t="shared" si="284"/>
        <v/>
      </c>
      <c r="DJ192" s="161" t="str">
        <f t="shared" si="285"/>
        <v/>
      </c>
      <c r="DK192" s="161" t="str">
        <f t="shared" si="286"/>
        <v/>
      </c>
      <c r="DL192" s="161" t="str">
        <f t="shared" si="287"/>
        <v/>
      </c>
      <c r="DM192" s="161" t="str">
        <f t="shared" si="288"/>
        <v/>
      </c>
      <c r="DN192" s="161" t="str">
        <f>IF($AZ192="", "", (BJ192*$CW192)/$CZ192)</f>
        <v/>
      </c>
      <c r="DO192" s="161" t="str">
        <f t="shared" si="289"/>
        <v/>
      </c>
      <c r="DP192" s="161" t="str">
        <f t="shared" si="290"/>
        <v/>
      </c>
      <c r="DQ192" s="161" t="str">
        <f t="shared" si="291"/>
        <v/>
      </c>
      <c r="DR192" s="161" t="str">
        <f t="shared" si="292"/>
        <v/>
      </c>
      <c r="DS192" s="161" t="str">
        <f t="shared" si="293"/>
        <v/>
      </c>
      <c r="DT192" s="161" t="str">
        <f t="shared" si="294"/>
        <v/>
      </c>
      <c r="DU192" s="161" t="str">
        <f t="shared" si="295"/>
        <v/>
      </c>
      <c r="DV192" s="161" t="str">
        <f t="shared" si="296"/>
        <v/>
      </c>
      <c r="DW192" s="161" t="str">
        <f t="shared" si="297"/>
        <v/>
      </c>
      <c r="DX192" s="161" t="str">
        <f t="shared" si="298"/>
        <v/>
      </c>
      <c r="DY192" s="161" t="str">
        <f t="shared" si="299"/>
        <v/>
      </c>
      <c r="DZ192" s="161" t="str">
        <f t="shared" si="300"/>
        <v/>
      </c>
      <c r="EA192" s="161" t="str">
        <f t="shared" si="301"/>
        <v/>
      </c>
      <c r="EB192" s="161" t="str">
        <f t="shared" si="302"/>
        <v/>
      </c>
      <c r="EC192" s="161" t="str">
        <f t="shared" si="303"/>
        <v/>
      </c>
      <c r="ED192" s="161" t="str">
        <f t="shared" si="304"/>
        <v/>
      </c>
      <c r="EE192" s="161" t="str">
        <f t="shared" si="305"/>
        <v/>
      </c>
      <c r="EF192" s="161" t="str">
        <f t="shared" si="306"/>
        <v/>
      </c>
      <c r="EG192" s="161" t="str">
        <f t="shared" si="307"/>
        <v/>
      </c>
      <c r="EH192" s="161" t="str">
        <f t="shared" si="308"/>
        <v/>
      </c>
      <c r="EI192" s="161" t="str">
        <f t="shared" si="309"/>
        <v/>
      </c>
      <c r="EJ192" s="161" t="str">
        <f t="shared" si="310"/>
        <v/>
      </c>
      <c r="EK192" s="147" t="str">
        <f t="shared" si="247"/>
        <v/>
      </c>
      <c r="EL192" s="149"/>
      <c r="EN192" s="146"/>
      <c r="EO192" s="146"/>
      <c r="EP192" s="139" t="str">
        <f t="shared" si="248"/>
        <v/>
      </c>
      <c r="EQ192" s="139" t="str">
        <f t="shared" si="249"/>
        <v/>
      </c>
      <c r="ER192" s="139" t="str">
        <f t="shared" si="250"/>
        <v/>
      </c>
      <c r="ES192" s="139" t="str">
        <f t="shared" si="251"/>
        <v/>
      </c>
      <c r="ET192" s="139" t="str">
        <f t="shared" si="252"/>
        <v/>
      </c>
      <c r="EU192" s="139" t="str">
        <f t="shared" si="253"/>
        <v/>
      </c>
      <c r="EV192" s="139" t="str">
        <f t="shared" si="254"/>
        <v/>
      </c>
      <c r="EW192" s="139" t="str">
        <f t="shared" si="255"/>
        <v/>
      </c>
      <c r="EX192" s="139" t="str">
        <f t="shared" si="256"/>
        <v/>
      </c>
      <c r="EY192" s="139" t="str">
        <f t="shared" si="257"/>
        <v/>
      </c>
      <c r="EZ192" s="139" t="str">
        <f t="shared" si="258"/>
        <v/>
      </c>
      <c r="FA192" s="139" t="str">
        <f t="shared" si="259"/>
        <v/>
      </c>
      <c r="FB192" s="139" t="str">
        <f t="shared" si="260"/>
        <v/>
      </c>
      <c r="FC192" s="139" t="str">
        <f t="shared" si="261"/>
        <v/>
      </c>
      <c r="FD192" s="139" t="str">
        <f t="shared" si="262"/>
        <v/>
      </c>
      <c r="FE192" s="139" t="str">
        <f t="shared" si="263"/>
        <v/>
      </c>
      <c r="FF192" s="139" t="str">
        <f t="shared" si="264"/>
        <v/>
      </c>
      <c r="FG192" s="139" t="str">
        <f t="shared" si="265"/>
        <v/>
      </c>
      <c r="FH192" s="139" t="str">
        <f t="shared" si="266"/>
        <v/>
      </c>
      <c r="FI192" s="139" t="str">
        <f t="shared" si="267"/>
        <v/>
      </c>
      <c r="FJ192" s="139" t="str">
        <f t="shared" si="268"/>
        <v/>
      </c>
      <c r="FK192" s="139" t="str">
        <f t="shared" si="269"/>
        <v/>
      </c>
      <c r="FL192" s="139" t="str">
        <f t="shared" si="270"/>
        <v/>
      </c>
      <c r="FM192" s="139" t="str">
        <f t="shared" si="271"/>
        <v/>
      </c>
      <c r="FN192" s="139" t="str">
        <f t="shared" si="272"/>
        <v/>
      </c>
      <c r="FO192" s="139" t="str">
        <f t="shared" si="273"/>
        <v/>
      </c>
      <c r="FP192" s="139" t="str">
        <f t="shared" si="274"/>
        <v/>
      </c>
      <c r="FQ192" s="139" t="str">
        <f t="shared" si="275"/>
        <v/>
      </c>
      <c r="FR192" s="139" t="str">
        <f t="shared" si="276"/>
        <v/>
      </c>
      <c r="FS192" s="139" t="str">
        <f t="shared" si="277"/>
        <v/>
      </c>
      <c r="FT192" s="139" t="str">
        <f t="shared" si="278"/>
        <v/>
      </c>
      <c r="FU192" s="148" t="str">
        <f t="shared" si="279"/>
        <v/>
      </c>
      <c r="FV192" s="149"/>
      <c r="FY192" s="212">
        <v>187</v>
      </c>
      <c r="FZ192">
        <v>2.20513128346016</v>
      </c>
      <c r="GA192">
        <v>23.568018086750779</v>
      </c>
      <c r="GB192">
        <v>15.682111178228235</v>
      </c>
      <c r="GC192">
        <v>3.8943794895598729</v>
      </c>
      <c r="GD192">
        <v>0.92574869451032449</v>
      </c>
      <c r="GE192">
        <v>0.35947809610506914</v>
      </c>
      <c r="GF192">
        <v>1.6027633530596492</v>
      </c>
      <c r="GG192">
        <v>7.1518235208811305</v>
      </c>
      <c r="GH192">
        <v>3.245920257062465</v>
      </c>
      <c r="GI192">
        <v>10.460626652624317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7.3694852941176476</v>
      </c>
      <c r="AO193">
        <v>26.543415695474966</v>
      </c>
      <c r="AP193">
        <v>969.82397102306686</v>
      </c>
      <c r="AQ193">
        <v>33.614013850234628</v>
      </c>
      <c r="AR193">
        <v>24.164358177078032</v>
      </c>
      <c r="AS193">
        <v>126.15996423306134</v>
      </c>
      <c r="AT193" t="e">
        <v>#DIV/0!</v>
      </c>
      <c r="AU193" t="e">
        <v>#DIV/0!</v>
      </c>
      <c r="AV193"/>
      <c r="AW193"/>
      <c r="AX193" s="146"/>
      <c r="AY193" s="76" t="str">
        <f t="shared" ca="1" si="170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5"/>
        <v/>
      </c>
      <c r="CL193" s="179" t="str">
        <f t="shared" si="206"/>
        <v/>
      </c>
      <c r="CM193" s="180" t="str">
        <f t="shared" si="207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8"/>
        <v/>
      </c>
      <c r="DB193" s="146"/>
      <c r="DC193" s="76" t="str">
        <f t="shared" ca="1" si="171"/>
        <v/>
      </c>
      <c r="DD193" t="str">
        <f t="shared" si="209"/>
        <v/>
      </c>
      <c r="DE193" s="129" t="str">
        <f t="shared" si="280"/>
        <v/>
      </c>
      <c r="DF193" s="161" t="str">
        <f t="shared" si="281"/>
        <v/>
      </c>
      <c r="DG193" s="161" t="str">
        <f t="shared" si="282"/>
        <v/>
      </c>
      <c r="DH193" s="161" t="str">
        <f t="shared" si="283"/>
        <v/>
      </c>
      <c r="DI193" s="161" t="str">
        <f t="shared" si="284"/>
        <v/>
      </c>
      <c r="DJ193" s="161" t="str">
        <f t="shared" si="285"/>
        <v/>
      </c>
      <c r="DK193" s="161" t="str">
        <f t="shared" si="286"/>
        <v/>
      </c>
      <c r="DL193" s="161" t="str">
        <f t="shared" si="287"/>
        <v/>
      </c>
      <c r="DM193" s="161" t="str">
        <f t="shared" si="288"/>
        <v/>
      </c>
      <c r="DN193" s="161" t="str">
        <f t="shared" ref="DN193:DN207" si="311">IF($AZ193="", "", (BJ193*$CW193)/$CZ193)</f>
        <v/>
      </c>
      <c r="DO193" s="161" t="str">
        <f t="shared" si="289"/>
        <v/>
      </c>
      <c r="DP193" s="161" t="str">
        <f t="shared" si="290"/>
        <v/>
      </c>
      <c r="DQ193" s="161" t="str">
        <f t="shared" si="291"/>
        <v/>
      </c>
      <c r="DR193" s="161" t="str">
        <f t="shared" si="292"/>
        <v/>
      </c>
      <c r="DS193" s="161" t="str">
        <f t="shared" si="293"/>
        <v/>
      </c>
      <c r="DT193" s="161" t="str">
        <f t="shared" si="294"/>
        <v/>
      </c>
      <c r="DU193" s="161" t="str">
        <f t="shared" si="295"/>
        <v/>
      </c>
      <c r="DV193" s="161" t="str">
        <f t="shared" si="296"/>
        <v/>
      </c>
      <c r="DW193" s="161" t="str">
        <f t="shared" si="297"/>
        <v/>
      </c>
      <c r="DX193" s="161" t="str">
        <f t="shared" si="298"/>
        <v/>
      </c>
      <c r="DY193" s="161" t="str">
        <f t="shared" si="299"/>
        <v/>
      </c>
      <c r="DZ193" s="161" t="str">
        <f t="shared" si="300"/>
        <v/>
      </c>
      <c r="EA193" s="161" t="str">
        <f t="shared" si="301"/>
        <v/>
      </c>
      <c r="EB193" s="161" t="str">
        <f t="shared" si="302"/>
        <v/>
      </c>
      <c r="EC193" s="161" t="str">
        <f t="shared" si="303"/>
        <v/>
      </c>
      <c r="ED193" s="161" t="str">
        <f t="shared" si="304"/>
        <v/>
      </c>
      <c r="EE193" s="161" t="str">
        <f t="shared" si="305"/>
        <v/>
      </c>
      <c r="EF193" s="161" t="str">
        <f t="shared" si="306"/>
        <v/>
      </c>
      <c r="EG193" s="161" t="str">
        <f t="shared" si="307"/>
        <v/>
      </c>
      <c r="EH193" s="161" t="str">
        <f t="shared" si="308"/>
        <v/>
      </c>
      <c r="EI193" s="161" t="str">
        <f t="shared" si="309"/>
        <v/>
      </c>
      <c r="EJ193" s="161" t="str">
        <f t="shared" si="310"/>
        <v/>
      </c>
      <c r="EK193" s="147" t="str">
        <f t="shared" si="247"/>
        <v/>
      </c>
      <c r="EL193" s="149"/>
      <c r="EN193" s="146"/>
      <c r="EO193" s="146"/>
      <c r="EP193" s="139" t="str">
        <f t="shared" si="248"/>
        <v/>
      </c>
      <c r="EQ193" s="139" t="str">
        <f t="shared" si="249"/>
        <v/>
      </c>
      <c r="ER193" s="139" t="str">
        <f t="shared" si="250"/>
        <v/>
      </c>
      <c r="ES193" s="139" t="str">
        <f t="shared" si="251"/>
        <v/>
      </c>
      <c r="ET193" s="139" t="str">
        <f t="shared" si="252"/>
        <v/>
      </c>
      <c r="EU193" s="139" t="str">
        <f t="shared" si="253"/>
        <v/>
      </c>
      <c r="EV193" s="139" t="str">
        <f t="shared" si="254"/>
        <v/>
      </c>
      <c r="EW193" s="139" t="str">
        <f t="shared" si="255"/>
        <v/>
      </c>
      <c r="EX193" s="139" t="str">
        <f t="shared" si="256"/>
        <v/>
      </c>
      <c r="EY193" s="139" t="str">
        <f t="shared" si="257"/>
        <v/>
      </c>
      <c r="EZ193" s="139" t="str">
        <f t="shared" si="258"/>
        <v/>
      </c>
      <c r="FA193" s="139" t="str">
        <f t="shared" si="259"/>
        <v/>
      </c>
      <c r="FB193" s="139" t="str">
        <f t="shared" si="260"/>
        <v/>
      </c>
      <c r="FC193" s="139" t="str">
        <f t="shared" si="261"/>
        <v/>
      </c>
      <c r="FD193" s="139" t="str">
        <f t="shared" si="262"/>
        <v/>
      </c>
      <c r="FE193" s="139" t="str">
        <f t="shared" si="263"/>
        <v/>
      </c>
      <c r="FF193" s="139" t="str">
        <f t="shared" si="264"/>
        <v/>
      </c>
      <c r="FG193" s="139" t="str">
        <f t="shared" si="265"/>
        <v/>
      </c>
      <c r="FH193" s="139" t="str">
        <f t="shared" si="266"/>
        <v/>
      </c>
      <c r="FI193" s="139" t="str">
        <f t="shared" si="267"/>
        <v/>
      </c>
      <c r="FJ193" s="139" t="str">
        <f t="shared" si="268"/>
        <v/>
      </c>
      <c r="FK193" s="139" t="str">
        <f t="shared" si="269"/>
        <v/>
      </c>
      <c r="FL193" s="139" t="str">
        <f t="shared" si="270"/>
        <v/>
      </c>
      <c r="FM193" s="139" t="str">
        <f t="shared" si="271"/>
        <v/>
      </c>
      <c r="FN193" s="139" t="str">
        <f t="shared" si="272"/>
        <v/>
      </c>
      <c r="FO193" s="139" t="str">
        <f t="shared" si="273"/>
        <v/>
      </c>
      <c r="FP193" s="139" t="str">
        <f t="shared" si="274"/>
        <v/>
      </c>
      <c r="FQ193" s="139" t="str">
        <f t="shared" si="275"/>
        <v/>
      </c>
      <c r="FR193" s="139" t="str">
        <f t="shared" si="276"/>
        <v/>
      </c>
      <c r="FS193" s="139" t="str">
        <f t="shared" si="277"/>
        <v/>
      </c>
      <c r="FT193" s="139" t="str">
        <f t="shared" si="278"/>
        <v/>
      </c>
      <c r="FU193" s="148" t="str">
        <f t="shared" si="279"/>
        <v/>
      </c>
      <c r="FV193" s="149"/>
      <c r="FY193" s="212">
        <v>188</v>
      </c>
      <c r="FZ193">
        <v>1.4812863372853795</v>
      </c>
      <c r="GA193">
        <v>17.466350256143183</v>
      </c>
      <c r="GB193">
        <v>13.992592327589783</v>
      </c>
      <c r="GC193">
        <v>5.1289726272825042</v>
      </c>
      <c r="GD193">
        <v>1.8418648550707344</v>
      </c>
      <c r="GE193">
        <v>1.0784342883152076</v>
      </c>
      <c r="GF193">
        <v>0.80138167652982462</v>
      </c>
      <c r="GG193">
        <v>2.7443043742915965</v>
      </c>
      <c r="GH193">
        <v>0</v>
      </c>
      <c r="GI193">
        <v>10.002768539068011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9.3965686274509785</v>
      </c>
      <c r="AO194">
        <v>29.50421756932797</v>
      </c>
      <c r="AP194">
        <v>477.41028523183786</v>
      </c>
      <c r="AQ194">
        <v>48.441057463960618</v>
      </c>
      <c r="AR194">
        <v>26.855996244217128</v>
      </c>
      <c r="AS194">
        <v>139.71087445084859</v>
      </c>
      <c r="AT194" t="e">
        <v>#DIV/0!</v>
      </c>
      <c r="AU194" t="e">
        <v>#DIV/0!</v>
      </c>
      <c r="AV194"/>
      <c r="AW194"/>
      <c r="AX194" s="146"/>
      <c r="AY194" s="76" t="str">
        <f t="shared" ca="1" si="170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5"/>
        <v/>
      </c>
      <c r="CL194" s="179" t="str">
        <f t="shared" si="206"/>
        <v/>
      </c>
      <c r="CM194" s="180" t="str">
        <f t="shared" si="207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8"/>
        <v/>
      </c>
      <c r="DB194" s="146"/>
      <c r="DC194" s="76" t="str">
        <f t="shared" ca="1" si="171"/>
        <v/>
      </c>
      <c r="DD194" t="str">
        <f t="shared" si="209"/>
        <v/>
      </c>
      <c r="DE194" s="129" t="str">
        <f t="shared" si="280"/>
        <v/>
      </c>
      <c r="DF194" s="161" t="str">
        <f t="shared" si="281"/>
        <v/>
      </c>
      <c r="DG194" s="161" t="str">
        <f t="shared" si="282"/>
        <v/>
      </c>
      <c r="DH194" s="161" t="str">
        <f t="shared" si="283"/>
        <v/>
      </c>
      <c r="DI194" s="161" t="str">
        <f t="shared" si="284"/>
        <v/>
      </c>
      <c r="DJ194" s="161" t="str">
        <f t="shared" si="285"/>
        <v/>
      </c>
      <c r="DK194" s="161" t="str">
        <f t="shared" si="286"/>
        <v/>
      </c>
      <c r="DL194" s="161" t="str">
        <f t="shared" si="287"/>
        <v/>
      </c>
      <c r="DM194" s="161" t="str">
        <f t="shared" si="288"/>
        <v/>
      </c>
      <c r="DN194" s="161" t="str">
        <f t="shared" si="311"/>
        <v/>
      </c>
      <c r="DO194" s="161" t="str">
        <f t="shared" ref="DO194:DO206" si="312">IF($AZ194="", "", (BK193*$CW194)/$CZ194)</f>
        <v/>
      </c>
      <c r="DP194" s="161" t="str">
        <f t="shared" ref="DP194:DP206" si="313">IF($AZ194="", "", (BL193*$CW194)/$CZ194)</f>
        <v/>
      </c>
      <c r="DQ194" s="161" t="str">
        <f t="shared" ref="DQ194:DQ206" si="314">IF($AZ194="", "", (BM193*$CW194)/$CZ194)</f>
        <v/>
      </c>
      <c r="DR194" s="161" t="str">
        <f t="shared" ref="DR194:DR206" si="315">IF($AZ194="", "", (BN193*$CW194)/$CZ194)</f>
        <v/>
      </c>
      <c r="DS194" s="161" t="str">
        <f t="shared" ref="DS194:DS206" si="316">IF($AZ194="", "", (BO193*$CW194)/$CZ194)</f>
        <v/>
      </c>
      <c r="DT194" s="161" t="str">
        <f t="shared" ref="DT194:DT206" si="317">IF($AZ194="", "", (BP193*$CW194)/$CZ194)</f>
        <v/>
      </c>
      <c r="DU194" s="161" t="str">
        <f t="shared" ref="DU194:DU206" si="318">IF($AZ194="", "", (BQ193*$CW194)/$CZ194)</f>
        <v/>
      </c>
      <c r="DV194" s="161" t="str">
        <f t="shared" ref="DV194:DV206" si="319">IF($AZ194="", "", (BR193*$CW194)/$CZ194)</f>
        <v/>
      </c>
      <c r="DW194" s="161" t="str">
        <f t="shared" ref="DW194:DW206" si="320">IF($AZ194="", "", (BS193*$CW194)/$CZ194)</f>
        <v/>
      </c>
      <c r="DX194" s="161" t="str">
        <f t="shared" ref="DX194:DX206" si="321">IF($AZ194="", "", (BT193*$CW194)/$CZ194)</f>
        <v/>
      </c>
      <c r="DY194" s="161" t="str">
        <f t="shared" ref="DY194:DY206" si="322">IF($AZ194="", "", (BU193*$CW194)/$CZ194)</f>
        <v/>
      </c>
      <c r="DZ194" s="161" t="str">
        <f t="shared" ref="DZ194:DZ206" si="323">IF($AZ194="", "", (BV193*$CW194)/$CZ194)</f>
        <v/>
      </c>
      <c r="EA194" s="161" t="str">
        <f t="shared" ref="EA194:EA206" si="324">IF($AZ194="", "", (BW193*$CW194)/$CZ194)</f>
        <v/>
      </c>
      <c r="EB194" s="161" t="str">
        <f t="shared" ref="EB194:EB206" si="325">IF($AZ194="", "", (BX193*$CW194)/$CZ194)</f>
        <v/>
      </c>
      <c r="EC194" s="161" t="str">
        <f t="shared" ref="EC194:EC206" si="326">IF($AZ194="", "", (BY193*$CW194)/$CZ194)</f>
        <v/>
      </c>
      <c r="ED194" s="161" t="str">
        <f t="shared" ref="ED194:ED206" si="327">IF($AZ194="", "", (BZ193*$CW194)/$CZ194)</f>
        <v/>
      </c>
      <c r="EE194" s="161" t="str">
        <f t="shared" ref="EE194:EE206" si="328">IF($AZ194="", "", (CA193*$CW194)/$CZ194)</f>
        <v/>
      </c>
      <c r="EF194" s="161" t="str">
        <f t="shared" ref="EF194:EF206" si="329">IF($AZ194="", "", (CB193*$CW194)/$CZ194)</f>
        <v/>
      </c>
      <c r="EG194" s="161" t="str">
        <f t="shared" ref="EG194:EG206" si="330">IF($AZ194="", "", (CC193*$CW194)/$CZ194)</f>
        <v/>
      </c>
      <c r="EH194" s="161" t="str">
        <f t="shared" ref="EH194:EH206" si="331">IF($AZ194="", "", (CD193*$CW194)/$CZ194)</f>
        <v/>
      </c>
      <c r="EI194" s="161" t="str">
        <f t="shared" ref="EI194:EI206" si="332">IF($AZ194="", "", (CE193*$CW194)/$CZ194)</f>
        <v/>
      </c>
      <c r="EJ194" s="161" t="str">
        <f t="shared" ref="EJ194:EJ206" si="333">IF($AZ194="", "", (CF193*$CW194)/$CZ194)</f>
        <v/>
      </c>
      <c r="EK194" s="147" t="str">
        <f t="shared" si="247"/>
        <v/>
      </c>
      <c r="EL194" s="149"/>
      <c r="EN194" s="146"/>
      <c r="EO194" s="146"/>
      <c r="EP194" s="139" t="str">
        <f t="shared" si="248"/>
        <v/>
      </c>
      <c r="EQ194" s="139" t="str">
        <f t="shared" si="249"/>
        <v/>
      </c>
      <c r="ER194" s="139" t="str">
        <f t="shared" si="250"/>
        <v/>
      </c>
      <c r="ES194" s="139" t="str">
        <f t="shared" si="251"/>
        <v/>
      </c>
      <c r="ET194" s="139" t="str">
        <f t="shared" si="252"/>
        <v/>
      </c>
      <c r="EU194" s="139" t="str">
        <f t="shared" si="253"/>
        <v/>
      </c>
      <c r="EV194" s="139" t="str">
        <f t="shared" si="254"/>
        <v/>
      </c>
      <c r="EW194" s="139" t="str">
        <f t="shared" si="255"/>
        <v/>
      </c>
      <c r="EX194" s="139" t="str">
        <f t="shared" si="256"/>
        <v/>
      </c>
      <c r="EY194" s="139" t="str">
        <f t="shared" si="257"/>
        <v/>
      </c>
      <c r="EZ194" s="139" t="str">
        <f t="shared" si="258"/>
        <v/>
      </c>
      <c r="FA194" s="139" t="str">
        <f t="shared" si="259"/>
        <v/>
      </c>
      <c r="FB194" s="139" t="str">
        <f t="shared" si="260"/>
        <v/>
      </c>
      <c r="FC194" s="139" t="str">
        <f t="shared" si="261"/>
        <v/>
      </c>
      <c r="FD194" s="139" t="str">
        <f t="shared" si="262"/>
        <v/>
      </c>
      <c r="FE194" s="139" t="str">
        <f t="shared" si="263"/>
        <v/>
      </c>
      <c r="FF194" s="139" t="str">
        <f t="shared" si="264"/>
        <v/>
      </c>
      <c r="FG194" s="139" t="str">
        <f t="shared" si="265"/>
        <v/>
      </c>
      <c r="FH194" s="139" t="str">
        <f t="shared" si="266"/>
        <v/>
      </c>
      <c r="FI194" s="139" t="str">
        <f t="shared" si="267"/>
        <v/>
      </c>
      <c r="FJ194" s="139" t="str">
        <f t="shared" si="268"/>
        <v/>
      </c>
      <c r="FK194" s="139" t="str">
        <f t="shared" si="269"/>
        <v/>
      </c>
      <c r="FL194" s="139" t="str">
        <f t="shared" si="270"/>
        <v/>
      </c>
      <c r="FM194" s="139" t="str">
        <f t="shared" si="271"/>
        <v/>
      </c>
      <c r="FN194" s="139" t="str">
        <f t="shared" si="272"/>
        <v/>
      </c>
      <c r="FO194" s="139" t="str">
        <f t="shared" si="273"/>
        <v/>
      </c>
      <c r="FP194" s="139" t="str">
        <f t="shared" si="274"/>
        <v/>
      </c>
      <c r="FQ194" s="139" t="str">
        <f t="shared" si="275"/>
        <v/>
      </c>
      <c r="FR194" s="139" t="str">
        <f t="shared" si="276"/>
        <v/>
      </c>
      <c r="FS194" s="139" t="str">
        <f t="shared" si="277"/>
        <v/>
      </c>
      <c r="FT194" s="139" t="str">
        <f t="shared" si="278"/>
        <v/>
      </c>
      <c r="FU194" s="148" t="str">
        <f t="shared" si="279"/>
        <v/>
      </c>
      <c r="FV194" s="149"/>
      <c r="FY194" s="212">
        <v>189</v>
      </c>
      <c r="FZ194">
        <v>1.4443794231618146</v>
      </c>
      <c r="GA194">
        <v>12.380718169075069</v>
      </c>
      <c r="GB194">
        <v>13.264795061385781</v>
      </c>
      <c r="GC194">
        <v>4.6335966467974155</v>
      </c>
      <c r="GD194">
        <v>0.65429315101143248</v>
      </c>
      <c r="GE194">
        <v>0.35947809610506914</v>
      </c>
      <c r="GF194">
        <v>0</v>
      </c>
      <c r="GG194">
        <v>1.9879868987806626</v>
      </c>
      <c r="GH194">
        <v>1.6229601285312325</v>
      </c>
      <c r="GI194">
        <v>6.3232999444125424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9.0184436274509814</v>
      </c>
      <c r="AO195">
        <v>17.50399757316281</v>
      </c>
      <c r="AP195">
        <v>491.86487477411782</v>
      </c>
      <c r="AQ195">
        <v>58.035868730200541</v>
      </c>
      <c r="AR195">
        <v>15.946705338612437</v>
      </c>
      <c r="AS195">
        <v>99.63763879260847</v>
      </c>
      <c r="AT195" t="e">
        <v>#DIV/0!</v>
      </c>
      <c r="AU195" t="e">
        <v>#DIV/0!</v>
      </c>
      <c r="AV195"/>
      <c r="AW195"/>
      <c r="AX195" s="146"/>
      <c r="AY195" s="76" t="str">
        <f t="shared" ca="1" si="170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5"/>
        <v/>
      </c>
      <c r="CL195" s="179" t="str">
        <f t="shared" si="206"/>
        <v/>
      </c>
      <c r="CM195" s="180" t="str">
        <f t="shared" si="207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8"/>
        <v/>
      </c>
      <c r="DB195" s="146"/>
      <c r="DC195" s="76" t="str">
        <f t="shared" ca="1" si="171"/>
        <v/>
      </c>
      <c r="DD195" t="str">
        <f t="shared" si="209"/>
        <v/>
      </c>
      <c r="DE195" s="129" t="str">
        <f t="shared" si="280"/>
        <v/>
      </c>
      <c r="DF195" s="161" t="str">
        <f t="shared" si="281"/>
        <v/>
      </c>
      <c r="DG195" s="161" t="str">
        <f t="shared" si="282"/>
        <v/>
      </c>
      <c r="DH195" s="161" t="str">
        <f t="shared" si="283"/>
        <v/>
      </c>
      <c r="DI195" s="161" t="str">
        <f t="shared" si="284"/>
        <v/>
      </c>
      <c r="DJ195" s="161" t="str">
        <f t="shared" si="285"/>
        <v/>
      </c>
      <c r="DK195" s="161" t="str">
        <f t="shared" si="286"/>
        <v/>
      </c>
      <c r="DL195" s="161" t="str">
        <f t="shared" si="287"/>
        <v/>
      </c>
      <c r="DM195" s="161" t="str">
        <f t="shared" si="288"/>
        <v/>
      </c>
      <c r="DN195" s="161" t="str">
        <f t="shared" si="311"/>
        <v/>
      </c>
      <c r="DO195" s="161" t="str">
        <f t="shared" si="312"/>
        <v/>
      </c>
      <c r="DP195" s="161" t="str">
        <f t="shared" si="313"/>
        <v/>
      </c>
      <c r="DQ195" s="161" t="str">
        <f t="shared" si="314"/>
        <v/>
      </c>
      <c r="DR195" s="161" t="str">
        <f t="shared" si="315"/>
        <v/>
      </c>
      <c r="DS195" s="161" t="str">
        <f t="shared" si="316"/>
        <v/>
      </c>
      <c r="DT195" s="161" t="str">
        <f t="shared" si="317"/>
        <v/>
      </c>
      <c r="DU195" s="161" t="str">
        <f t="shared" si="318"/>
        <v/>
      </c>
      <c r="DV195" s="161" t="str">
        <f t="shared" si="319"/>
        <v/>
      </c>
      <c r="DW195" s="161" t="str">
        <f t="shared" si="320"/>
        <v/>
      </c>
      <c r="DX195" s="161" t="str">
        <f t="shared" si="321"/>
        <v/>
      </c>
      <c r="DY195" s="161" t="str">
        <f t="shared" si="322"/>
        <v/>
      </c>
      <c r="DZ195" s="161" t="str">
        <f t="shared" si="323"/>
        <v/>
      </c>
      <c r="EA195" s="161" t="str">
        <f t="shared" si="324"/>
        <v/>
      </c>
      <c r="EB195" s="161" t="str">
        <f t="shared" si="325"/>
        <v/>
      </c>
      <c r="EC195" s="161" t="str">
        <f t="shared" si="326"/>
        <v/>
      </c>
      <c r="ED195" s="161" t="str">
        <f t="shared" si="327"/>
        <v/>
      </c>
      <c r="EE195" s="161" t="str">
        <f t="shared" si="328"/>
        <v/>
      </c>
      <c r="EF195" s="161" t="str">
        <f t="shared" si="329"/>
        <v/>
      </c>
      <c r="EG195" s="161" t="str">
        <f t="shared" si="330"/>
        <v/>
      </c>
      <c r="EH195" s="161" t="str">
        <f t="shared" si="331"/>
        <v/>
      </c>
      <c r="EI195" s="161" t="str">
        <f t="shared" si="332"/>
        <v/>
      </c>
      <c r="EJ195" s="161" t="str">
        <f t="shared" si="333"/>
        <v/>
      </c>
      <c r="EK195" s="147" t="str">
        <f t="shared" si="247"/>
        <v/>
      </c>
      <c r="EL195" s="149"/>
      <c r="EN195" s="146"/>
      <c r="EO195" s="146"/>
      <c r="EP195" s="139" t="str">
        <f t="shared" si="248"/>
        <v/>
      </c>
      <c r="EQ195" s="139" t="str">
        <f t="shared" si="249"/>
        <v/>
      </c>
      <c r="ER195" s="139" t="str">
        <f t="shared" si="250"/>
        <v/>
      </c>
      <c r="ES195" s="139" t="str">
        <f t="shared" si="251"/>
        <v/>
      </c>
      <c r="ET195" s="139" t="str">
        <f t="shared" si="252"/>
        <v/>
      </c>
      <c r="EU195" s="139" t="str">
        <f t="shared" si="253"/>
        <v/>
      </c>
      <c r="EV195" s="139" t="str">
        <f t="shared" si="254"/>
        <v/>
      </c>
      <c r="EW195" s="139" t="str">
        <f t="shared" si="255"/>
        <v/>
      </c>
      <c r="EX195" s="139" t="str">
        <f t="shared" si="256"/>
        <v/>
      </c>
      <c r="EY195" s="139" t="str">
        <f t="shared" si="257"/>
        <v/>
      </c>
      <c r="EZ195" s="139" t="str">
        <f t="shared" si="258"/>
        <v/>
      </c>
      <c r="FA195" s="139" t="str">
        <f t="shared" si="259"/>
        <v/>
      </c>
      <c r="FB195" s="139" t="str">
        <f t="shared" si="260"/>
        <v/>
      </c>
      <c r="FC195" s="139" t="str">
        <f t="shared" si="261"/>
        <v/>
      </c>
      <c r="FD195" s="139" t="str">
        <f t="shared" si="262"/>
        <v/>
      </c>
      <c r="FE195" s="139" t="str">
        <f t="shared" si="263"/>
        <v/>
      </c>
      <c r="FF195" s="139" t="str">
        <f t="shared" si="264"/>
        <v/>
      </c>
      <c r="FG195" s="139" t="str">
        <f t="shared" si="265"/>
        <v/>
      </c>
      <c r="FH195" s="139" t="str">
        <f t="shared" si="266"/>
        <v/>
      </c>
      <c r="FI195" s="139" t="str">
        <f t="shared" si="267"/>
        <v/>
      </c>
      <c r="FJ195" s="139" t="str">
        <f t="shared" si="268"/>
        <v/>
      </c>
      <c r="FK195" s="139" t="str">
        <f t="shared" si="269"/>
        <v/>
      </c>
      <c r="FL195" s="139" t="str">
        <f t="shared" si="270"/>
        <v/>
      </c>
      <c r="FM195" s="139" t="str">
        <f t="shared" si="271"/>
        <v/>
      </c>
      <c r="FN195" s="139" t="str">
        <f t="shared" si="272"/>
        <v/>
      </c>
      <c r="FO195" s="139" t="str">
        <f t="shared" si="273"/>
        <v/>
      </c>
      <c r="FP195" s="139" t="str">
        <f t="shared" si="274"/>
        <v/>
      </c>
      <c r="FQ195" s="139" t="str">
        <f t="shared" si="275"/>
        <v/>
      </c>
      <c r="FR195" s="139" t="str">
        <f t="shared" si="276"/>
        <v/>
      </c>
      <c r="FS195" s="139" t="str">
        <f t="shared" si="277"/>
        <v/>
      </c>
      <c r="FT195" s="139" t="str">
        <f t="shared" si="278"/>
        <v/>
      </c>
      <c r="FU195" s="148" t="str">
        <f t="shared" si="279"/>
        <v/>
      </c>
      <c r="FV195" s="149"/>
      <c r="FY195" s="212">
        <v>190</v>
      </c>
      <c r="FZ195">
        <v>0.1709068907158674</v>
      </c>
      <c r="GA195">
        <v>14.255828331866594</v>
      </c>
      <c r="GB195">
        <v>18.503681901636064</v>
      </c>
      <c r="GC195">
        <v>7.8301058613045207</v>
      </c>
      <c r="GD195">
        <v>2.0168015634368075</v>
      </c>
      <c r="GE195">
        <v>1.4379123844202766</v>
      </c>
      <c r="GF195">
        <v>0</v>
      </c>
      <c r="GG195">
        <v>1.6632147722979369</v>
      </c>
      <c r="GH195">
        <v>3.245920257062465</v>
      </c>
      <c r="GI195">
        <v>14.686377038572513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11.795526960784313</v>
      </c>
      <c r="AO196">
        <v>33.704070884746017</v>
      </c>
      <c r="AP196">
        <v>687.72979994728564</v>
      </c>
      <c r="AQ196">
        <v>81.937201783620807</v>
      </c>
      <c r="AR196">
        <v>30.640064440678191</v>
      </c>
      <c r="AS196">
        <v>170.71235599218593</v>
      </c>
      <c r="AT196" t="e">
        <v>#DIV/0!</v>
      </c>
      <c r="AU196" t="e">
        <v>#DIV/0!</v>
      </c>
      <c r="AV196"/>
      <c r="AW196"/>
      <c r="AX196" s="146"/>
      <c r="AY196" s="76" t="str">
        <f t="shared" ca="1" si="170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5"/>
        <v/>
      </c>
      <c r="CL196" s="179" t="str">
        <f t="shared" si="206"/>
        <v/>
      </c>
      <c r="CM196" s="180" t="str">
        <f t="shared" si="207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8"/>
        <v/>
      </c>
      <c r="DB196" s="146"/>
      <c r="DC196" s="76" t="str">
        <f t="shared" ca="1" si="171"/>
        <v/>
      </c>
      <c r="DD196" t="str">
        <f t="shared" si="209"/>
        <v/>
      </c>
      <c r="DE196" s="129" t="str">
        <f t="shared" si="280"/>
        <v/>
      </c>
      <c r="DF196" s="161" t="str">
        <f t="shared" si="281"/>
        <v/>
      </c>
      <c r="DG196" s="161" t="str">
        <f t="shared" si="282"/>
        <v/>
      </c>
      <c r="DH196" s="161" t="str">
        <f t="shared" si="283"/>
        <v/>
      </c>
      <c r="DI196" s="161" t="str">
        <f t="shared" si="284"/>
        <v/>
      </c>
      <c r="DJ196" s="161" t="str">
        <f t="shared" si="285"/>
        <v/>
      </c>
      <c r="DK196" s="161" t="str">
        <f t="shared" si="286"/>
        <v/>
      </c>
      <c r="DL196" s="161" t="str">
        <f t="shared" si="287"/>
        <v/>
      </c>
      <c r="DM196" s="161" t="str">
        <f t="shared" si="288"/>
        <v/>
      </c>
      <c r="DN196" s="161" t="str">
        <f t="shared" si="311"/>
        <v/>
      </c>
      <c r="DO196" s="161" t="str">
        <f t="shared" si="312"/>
        <v/>
      </c>
      <c r="DP196" s="161" t="str">
        <f t="shared" si="313"/>
        <v/>
      </c>
      <c r="DQ196" s="161" t="str">
        <f t="shared" si="314"/>
        <v/>
      </c>
      <c r="DR196" s="161" t="str">
        <f t="shared" si="315"/>
        <v/>
      </c>
      <c r="DS196" s="161" t="str">
        <f t="shared" si="316"/>
        <v/>
      </c>
      <c r="DT196" s="161" t="str">
        <f t="shared" si="317"/>
        <v/>
      </c>
      <c r="DU196" s="161" t="str">
        <f t="shared" si="318"/>
        <v/>
      </c>
      <c r="DV196" s="161" t="str">
        <f t="shared" si="319"/>
        <v/>
      </c>
      <c r="DW196" s="161" t="str">
        <f t="shared" si="320"/>
        <v/>
      </c>
      <c r="DX196" s="161" t="str">
        <f t="shared" si="321"/>
        <v/>
      </c>
      <c r="DY196" s="161" t="str">
        <f t="shared" si="322"/>
        <v/>
      </c>
      <c r="DZ196" s="161" t="str">
        <f t="shared" si="323"/>
        <v/>
      </c>
      <c r="EA196" s="161" t="str">
        <f t="shared" si="324"/>
        <v/>
      </c>
      <c r="EB196" s="161" t="str">
        <f t="shared" si="325"/>
        <v/>
      </c>
      <c r="EC196" s="161" t="str">
        <f t="shared" si="326"/>
        <v/>
      </c>
      <c r="ED196" s="161" t="str">
        <f t="shared" si="327"/>
        <v/>
      </c>
      <c r="EE196" s="161" t="str">
        <f t="shared" si="328"/>
        <v/>
      </c>
      <c r="EF196" s="161" t="str">
        <f t="shared" si="329"/>
        <v/>
      </c>
      <c r="EG196" s="161" t="str">
        <f t="shared" si="330"/>
        <v/>
      </c>
      <c r="EH196" s="161" t="str">
        <f t="shared" si="331"/>
        <v/>
      </c>
      <c r="EI196" s="161" t="str">
        <f t="shared" si="332"/>
        <v/>
      </c>
      <c r="EJ196" s="161" t="str">
        <f t="shared" si="333"/>
        <v/>
      </c>
      <c r="EK196" s="147" t="str">
        <f t="shared" si="247"/>
        <v/>
      </c>
      <c r="EL196" s="149"/>
      <c r="EN196" s="146"/>
      <c r="EO196" s="146"/>
      <c r="EP196" s="139" t="str">
        <f t="shared" si="248"/>
        <v/>
      </c>
      <c r="EQ196" s="139" t="str">
        <f t="shared" si="249"/>
        <v/>
      </c>
      <c r="ER196" s="139" t="str">
        <f t="shared" si="250"/>
        <v/>
      </c>
      <c r="ES196" s="139" t="str">
        <f t="shared" si="251"/>
        <v/>
      </c>
      <c r="ET196" s="139" t="str">
        <f t="shared" si="252"/>
        <v/>
      </c>
      <c r="EU196" s="139" t="str">
        <f t="shared" si="253"/>
        <v/>
      </c>
      <c r="EV196" s="139" t="str">
        <f t="shared" si="254"/>
        <v/>
      </c>
      <c r="EW196" s="139" t="str">
        <f t="shared" si="255"/>
        <v/>
      </c>
      <c r="EX196" s="139" t="str">
        <f t="shared" si="256"/>
        <v/>
      </c>
      <c r="EY196" s="139" t="str">
        <f t="shared" si="257"/>
        <v/>
      </c>
      <c r="EZ196" s="139" t="str">
        <f t="shared" si="258"/>
        <v/>
      </c>
      <c r="FA196" s="139" t="str">
        <f t="shared" si="259"/>
        <v/>
      </c>
      <c r="FB196" s="139" t="str">
        <f t="shared" si="260"/>
        <v/>
      </c>
      <c r="FC196" s="139" t="str">
        <f t="shared" si="261"/>
        <v/>
      </c>
      <c r="FD196" s="139" t="str">
        <f t="shared" si="262"/>
        <v/>
      </c>
      <c r="FE196" s="139" t="str">
        <f t="shared" si="263"/>
        <v/>
      </c>
      <c r="FF196" s="139" t="str">
        <f t="shared" si="264"/>
        <v/>
      </c>
      <c r="FG196" s="139" t="str">
        <f t="shared" si="265"/>
        <v/>
      </c>
      <c r="FH196" s="139" t="str">
        <f t="shared" si="266"/>
        <v/>
      </c>
      <c r="FI196" s="139" t="str">
        <f t="shared" si="267"/>
        <v/>
      </c>
      <c r="FJ196" s="139" t="str">
        <f t="shared" si="268"/>
        <v/>
      </c>
      <c r="FK196" s="139" t="str">
        <f t="shared" si="269"/>
        <v/>
      </c>
      <c r="FL196" s="139" t="str">
        <f t="shared" si="270"/>
        <v/>
      </c>
      <c r="FM196" s="139" t="str">
        <f t="shared" si="271"/>
        <v/>
      </c>
      <c r="FN196" s="139" t="str">
        <f t="shared" si="272"/>
        <v/>
      </c>
      <c r="FO196" s="139" t="str">
        <f t="shared" si="273"/>
        <v/>
      </c>
      <c r="FP196" s="139" t="str">
        <f t="shared" si="274"/>
        <v/>
      </c>
      <c r="FQ196" s="139" t="str">
        <f t="shared" si="275"/>
        <v/>
      </c>
      <c r="FR196" s="139" t="str">
        <f t="shared" si="276"/>
        <v/>
      </c>
      <c r="FS196" s="139" t="str">
        <f t="shared" si="277"/>
        <v/>
      </c>
      <c r="FT196" s="139" t="str">
        <f t="shared" si="278"/>
        <v/>
      </c>
      <c r="FU196" s="148" t="str">
        <f t="shared" si="279"/>
        <v/>
      </c>
      <c r="FV196" s="149"/>
      <c r="FY196" s="212">
        <v>191</v>
      </c>
      <c r="FZ196">
        <v>1.0857674192621707</v>
      </c>
      <c r="GA196">
        <v>8.8226470151336365</v>
      </c>
      <c r="GB196">
        <v>10.646153317668755</v>
      </c>
      <c r="GC196">
        <v>4.7799028054309396</v>
      </c>
      <c r="GD196">
        <v>1.4482161830644662</v>
      </c>
      <c r="GE196">
        <v>0.35947809610506914</v>
      </c>
      <c r="GF196">
        <v>1.6027633530596492</v>
      </c>
      <c r="GG196">
        <v>7.7300132771969778</v>
      </c>
      <c r="GH196">
        <v>3.245920257062465</v>
      </c>
      <c r="GI196">
        <v>10.747786813261893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8.5778186274509789</v>
      </c>
      <c r="AO197">
        <v>18.930554401187862</v>
      </c>
      <c r="AP197">
        <v>207.71492355264871</v>
      </c>
      <c r="AQ197">
        <v>51.825789026457201</v>
      </c>
      <c r="AR197">
        <v>17.209594910170782</v>
      </c>
      <c r="AS197">
        <v>156.95714457836988</v>
      </c>
      <c r="AT197" t="e">
        <v>#DIV/0!</v>
      </c>
      <c r="AU197" t="e">
        <v>#DIV/0!</v>
      </c>
      <c r="AV197"/>
      <c r="AW197"/>
      <c r="AX197" s="146"/>
      <c r="AY197" s="76" t="str">
        <f t="shared" ca="1" si="170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5"/>
        <v/>
      </c>
      <c r="CL197" s="179" t="str">
        <f t="shared" si="206"/>
        <v/>
      </c>
      <c r="CM197" s="180" t="str">
        <f t="shared" si="207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8"/>
        <v/>
      </c>
      <c r="DB197" s="146"/>
      <c r="DC197" s="76" t="str">
        <f t="shared" ca="1" si="171"/>
        <v/>
      </c>
      <c r="DD197" t="str">
        <f t="shared" si="209"/>
        <v/>
      </c>
      <c r="DE197" s="129" t="str">
        <f t="shared" si="280"/>
        <v/>
      </c>
      <c r="DF197" s="161" t="str">
        <f t="shared" si="281"/>
        <v/>
      </c>
      <c r="DG197" s="161" t="str">
        <f t="shared" si="282"/>
        <v/>
      </c>
      <c r="DH197" s="161" t="str">
        <f t="shared" si="283"/>
        <v/>
      </c>
      <c r="DI197" s="161" t="str">
        <f t="shared" si="284"/>
        <v/>
      </c>
      <c r="DJ197" s="161" t="str">
        <f t="shared" si="285"/>
        <v/>
      </c>
      <c r="DK197" s="161" t="str">
        <f t="shared" si="286"/>
        <v/>
      </c>
      <c r="DL197" s="161" t="str">
        <f t="shared" si="287"/>
        <v/>
      </c>
      <c r="DM197" s="161" t="str">
        <f t="shared" si="288"/>
        <v/>
      </c>
      <c r="DN197" s="161" t="str">
        <f t="shared" si="311"/>
        <v/>
      </c>
      <c r="DO197" s="161" t="str">
        <f t="shared" si="312"/>
        <v/>
      </c>
      <c r="DP197" s="161" t="str">
        <f t="shared" si="313"/>
        <v/>
      </c>
      <c r="DQ197" s="161" t="str">
        <f t="shared" si="314"/>
        <v/>
      </c>
      <c r="DR197" s="161" t="str">
        <f t="shared" si="315"/>
        <v/>
      </c>
      <c r="DS197" s="161" t="str">
        <f t="shared" si="316"/>
        <v/>
      </c>
      <c r="DT197" s="161" t="str">
        <f t="shared" si="317"/>
        <v/>
      </c>
      <c r="DU197" s="161" t="str">
        <f t="shared" si="318"/>
        <v/>
      </c>
      <c r="DV197" s="161" t="str">
        <f t="shared" si="319"/>
        <v/>
      </c>
      <c r="DW197" s="161" t="str">
        <f t="shared" si="320"/>
        <v/>
      </c>
      <c r="DX197" s="161" t="str">
        <f t="shared" si="321"/>
        <v/>
      </c>
      <c r="DY197" s="161" t="str">
        <f t="shared" si="322"/>
        <v/>
      </c>
      <c r="DZ197" s="161" t="str">
        <f t="shared" si="323"/>
        <v/>
      </c>
      <c r="EA197" s="161" t="str">
        <f t="shared" si="324"/>
        <v/>
      </c>
      <c r="EB197" s="161" t="str">
        <f t="shared" si="325"/>
        <v/>
      </c>
      <c r="EC197" s="161" t="str">
        <f t="shared" si="326"/>
        <v/>
      </c>
      <c r="ED197" s="161" t="str">
        <f t="shared" si="327"/>
        <v/>
      </c>
      <c r="EE197" s="161" t="str">
        <f t="shared" si="328"/>
        <v/>
      </c>
      <c r="EF197" s="161" t="str">
        <f t="shared" si="329"/>
        <v/>
      </c>
      <c r="EG197" s="161" t="str">
        <f t="shared" si="330"/>
        <v/>
      </c>
      <c r="EH197" s="161" t="str">
        <f t="shared" si="331"/>
        <v/>
      </c>
      <c r="EI197" s="161" t="str">
        <f t="shared" si="332"/>
        <v/>
      </c>
      <c r="EJ197" s="161" t="str">
        <f t="shared" si="333"/>
        <v/>
      </c>
      <c r="EK197" s="147" t="str">
        <f t="shared" si="247"/>
        <v/>
      </c>
      <c r="EL197" s="149"/>
      <c r="EN197" s="146"/>
      <c r="EO197" s="146"/>
      <c r="EP197" s="139" t="str">
        <f t="shared" si="248"/>
        <v/>
      </c>
      <c r="EQ197" s="139" t="str">
        <f t="shared" si="249"/>
        <v/>
      </c>
      <c r="ER197" s="139" t="str">
        <f t="shared" si="250"/>
        <v/>
      </c>
      <c r="ES197" s="139" t="str">
        <f t="shared" si="251"/>
        <v/>
      </c>
      <c r="ET197" s="139" t="str">
        <f t="shared" si="252"/>
        <v/>
      </c>
      <c r="EU197" s="139" t="str">
        <f t="shared" si="253"/>
        <v/>
      </c>
      <c r="EV197" s="139" t="str">
        <f t="shared" si="254"/>
        <v/>
      </c>
      <c r="EW197" s="139" t="str">
        <f t="shared" si="255"/>
        <v/>
      </c>
      <c r="EX197" s="139" t="str">
        <f t="shared" si="256"/>
        <v/>
      </c>
      <c r="EY197" s="139" t="str">
        <f t="shared" si="257"/>
        <v/>
      </c>
      <c r="EZ197" s="139" t="str">
        <f t="shared" si="258"/>
        <v/>
      </c>
      <c r="FA197" s="139" t="str">
        <f t="shared" si="259"/>
        <v/>
      </c>
      <c r="FB197" s="139" t="str">
        <f t="shared" si="260"/>
        <v/>
      </c>
      <c r="FC197" s="139" t="str">
        <f t="shared" si="261"/>
        <v/>
      </c>
      <c r="FD197" s="139" t="str">
        <f t="shared" si="262"/>
        <v/>
      </c>
      <c r="FE197" s="139" t="str">
        <f t="shared" si="263"/>
        <v/>
      </c>
      <c r="FF197" s="139" t="str">
        <f t="shared" si="264"/>
        <v/>
      </c>
      <c r="FG197" s="139" t="str">
        <f t="shared" si="265"/>
        <v/>
      </c>
      <c r="FH197" s="139" t="str">
        <f t="shared" si="266"/>
        <v/>
      </c>
      <c r="FI197" s="139" t="str">
        <f t="shared" si="267"/>
        <v/>
      </c>
      <c r="FJ197" s="139" t="str">
        <f t="shared" si="268"/>
        <v/>
      </c>
      <c r="FK197" s="139" t="str">
        <f t="shared" si="269"/>
        <v/>
      </c>
      <c r="FL197" s="139" t="str">
        <f t="shared" si="270"/>
        <v/>
      </c>
      <c r="FM197" s="139" t="str">
        <f t="shared" si="271"/>
        <v/>
      </c>
      <c r="FN197" s="139" t="str">
        <f t="shared" si="272"/>
        <v/>
      </c>
      <c r="FO197" s="139" t="str">
        <f t="shared" si="273"/>
        <v/>
      </c>
      <c r="FP197" s="139" t="str">
        <f t="shared" si="274"/>
        <v/>
      </c>
      <c r="FQ197" s="139" t="str">
        <f t="shared" si="275"/>
        <v/>
      </c>
      <c r="FR197" s="139" t="str">
        <f t="shared" si="276"/>
        <v/>
      </c>
      <c r="FS197" s="139" t="str">
        <f t="shared" si="277"/>
        <v/>
      </c>
      <c r="FT197" s="139" t="str">
        <f t="shared" si="278"/>
        <v/>
      </c>
      <c r="FU197" s="148" t="str">
        <f t="shared" si="279"/>
        <v/>
      </c>
      <c r="FV197" s="149"/>
      <c r="FY197" s="212">
        <v>192</v>
      </c>
      <c r="FZ197">
        <v>0.91155005935855693</v>
      </c>
      <c r="GA197">
        <v>17.68118354859315</v>
      </c>
      <c r="GB197">
        <v>13.645836787851426</v>
      </c>
      <c r="GC197">
        <v>3.4302692890754702</v>
      </c>
      <c r="GD197">
        <v>0.54698457994986294</v>
      </c>
      <c r="GE197">
        <v>0.71895619221013829</v>
      </c>
      <c r="GF197">
        <v>1.6027633530596492</v>
      </c>
      <c r="GG197">
        <v>6.0667985048990403</v>
      </c>
      <c r="GH197">
        <v>0</v>
      </c>
      <c r="GI197">
        <v>11.20653389355382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8.2291666666666679</v>
      </c>
      <c r="AO198">
        <v>30.125508876430786</v>
      </c>
      <c r="AP198">
        <v>440.75394138014667</v>
      </c>
      <c r="AQ198">
        <v>52.492708021661144</v>
      </c>
      <c r="AR198">
        <v>27.420806523401506</v>
      </c>
      <c r="AS198">
        <v>178.13951096183982</v>
      </c>
      <c r="AT198" t="e">
        <v>#DIV/0!</v>
      </c>
      <c r="AU198" t="e">
        <v>#DIV/0!</v>
      </c>
      <c r="AV198"/>
      <c r="AW198"/>
      <c r="AX198" s="128"/>
      <c r="AY198" s="76" t="str">
        <f t="shared" ca="1" si="170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5"/>
        <v/>
      </c>
      <c r="CL198" s="179" t="str">
        <f t="shared" si="206"/>
        <v/>
      </c>
      <c r="CM198" s="180" t="str">
        <f t="shared" si="207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8"/>
        <v/>
      </c>
      <c r="DB198" s="128"/>
      <c r="DC198" s="76" t="str">
        <f t="shared" ca="1" si="171"/>
        <v/>
      </c>
      <c r="DD198" t="str">
        <f t="shared" si="209"/>
        <v/>
      </c>
      <c r="DE198" s="129" t="str">
        <f t="shared" ref="DE198:DE207" si="334">IF((DD198)="", "", $C$15)</f>
        <v/>
      </c>
      <c r="DF198" s="161" t="str">
        <f t="shared" si="281"/>
        <v/>
      </c>
      <c r="DG198" s="161" t="str">
        <f t="shared" si="282"/>
        <v/>
      </c>
      <c r="DH198" s="161" t="str">
        <f t="shared" si="283"/>
        <v/>
      </c>
      <c r="DI198" s="161" t="str">
        <f t="shared" si="284"/>
        <v/>
      </c>
      <c r="DJ198" s="161" t="str">
        <f t="shared" si="285"/>
        <v/>
      </c>
      <c r="DK198" s="161" t="str">
        <f t="shared" si="286"/>
        <v/>
      </c>
      <c r="DL198" s="161" t="str">
        <f t="shared" si="287"/>
        <v/>
      </c>
      <c r="DM198" s="161" t="str">
        <f t="shared" si="288"/>
        <v/>
      </c>
      <c r="DN198" s="161" t="str">
        <f t="shared" si="311"/>
        <v/>
      </c>
      <c r="DO198" s="161" t="str">
        <f t="shared" si="312"/>
        <v/>
      </c>
      <c r="DP198" s="161" t="str">
        <f t="shared" si="313"/>
        <v/>
      </c>
      <c r="DQ198" s="161" t="str">
        <f t="shared" si="314"/>
        <v/>
      </c>
      <c r="DR198" s="161" t="str">
        <f t="shared" si="315"/>
        <v/>
      </c>
      <c r="DS198" s="161" t="str">
        <f t="shared" si="316"/>
        <v/>
      </c>
      <c r="DT198" s="161" t="str">
        <f t="shared" si="317"/>
        <v/>
      </c>
      <c r="DU198" s="161" t="str">
        <f t="shared" si="318"/>
        <v/>
      </c>
      <c r="DV198" s="161" t="str">
        <f t="shared" si="319"/>
        <v/>
      </c>
      <c r="DW198" s="161" t="str">
        <f t="shared" si="320"/>
        <v/>
      </c>
      <c r="DX198" s="161" t="str">
        <f t="shared" si="321"/>
        <v/>
      </c>
      <c r="DY198" s="161" t="str">
        <f t="shared" si="322"/>
        <v/>
      </c>
      <c r="DZ198" s="161" t="str">
        <f t="shared" si="323"/>
        <v/>
      </c>
      <c r="EA198" s="161" t="str">
        <f t="shared" si="324"/>
        <v/>
      </c>
      <c r="EB198" s="161" t="str">
        <f t="shared" si="325"/>
        <v/>
      </c>
      <c r="EC198" s="161" t="str">
        <f t="shared" si="326"/>
        <v/>
      </c>
      <c r="ED198" s="161" t="str">
        <f t="shared" si="327"/>
        <v/>
      </c>
      <c r="EE198" s="161" t="str">
        <f t="shared" si="328"/>
        <v/>
      </c>
      <c r="EF198" s="161" t="str">
        <f t="shared" si="329"/>
        <v/>
      </c>
      <c r="EG198" s="161" t="str">
        <f t="shared" si="330"/>
        <v/>
      </c>
      <c r="EH198" s="161" t="str">
        <f t="shared" si="331"/>
        <v/>
      </c>
      <c r="EI198" s="161" t="str">
        <f t="shared" si="332"/>
        <v/>
      </c>
      <c r="EJ198" s="161" t="str">
        <f t="shared" si="333"/>
        <v/>
      </c>
      <c r="EK198" s="147" t="str">
        <f t="shared" si="247"/>
        <v/>
      </c>
      <c r="EL198" s="149"/>
      <c r="EN198" s="146"/>
      <c r="EO198" s="146"/>
      <c r="EP198" s="139" t="str">
        <f t="shared" si="248"/>
        <v/>
      </c>
      <c r="EQ198" s="139" t="str">
        <f t="shared" si="249"/>
        <v/>
      </c>
      <c r="ER198" s="139" t="str">
        <f t="shared" si="250"/>
        <v/>
      </c>
      <c r="ES198" s="139" t="str">
        <f t="shared" si="251"/>
        <v/>
      </c>
      <c r="ET198" s="139" t="str">
        <f t="shared" si="252"/>
        <v/>
      </c>
      <c r="EU198" s="139" t="str">
        <f t="shared" si="253"/>
        <v/>
      </c>
      <c r="EV198" s="139" t="str">
        <f t="shared" si="254"/>
        <v/>
      </c>
      <c r="EW198" s="139" t="str">
        <f t="shared" si="255"/>
        <v/>
      </c>
      <c r="EX198" s="139" t="str">
        <f t="shared" si="256"/>
        <v/>
      </c>
      <c r="EY198" s="139" t="str">
        <f t="shared" si="257"/>
        <v/>
      </c>
      <c r="EZ198" s="139" t="str">
        <f t="shared" si="258"/>
        <v/>
      </c>
      <c r="FA198" s="139" t="str">
        <f t="shared" si="259"/>
        <v/>
      </c>
      <c r="FB198" s="139" t="str">
        <f t="shared" si="260"/>
        <v/>
      </c>
      <c r="FC198" s="139" t="str">
        <f t="shared" si="261"/>
        <v/>
      </c>
      <c r="FD198" s="139" t="str">
        <f t="shared" si="262"/>
        <v/>
      </c>
      <c r="FE198" s="139" t="str">
        <f t="shared" si="263"/>
        <v/>
      </c>
      <c r="FF198" s="139" t="str">
        <f t="shared" si="264"/>
        <v/>
      </c>
      <c r="FG198" s="139" t="str">
        <f t="shared" si="265"/>
        <v/>
      </c>
      <c r="FH198" s="139" t="str">
        <f t="shared" si="266"/>
        <v/>
      </c>
      <c r="FI198" s="139" t="str">
        <f t="shared" si="267"/>
        <v/>
      </c>
      <c r="FJ198" s="139" t="str">
        <f t="shared" si="268"/>
        <v/>
      </c>
      <c r="FK198" s="139" t="str">
        <f t="shared" si="269"/>
        <v/>
      </c>
      <c r="FL198" s="139" t="str">
        <f t="shared" si="270"/>
        <v/>
      </c>
      <c r="FM198" s="139" t="str">
        <f t="shared" si="271"/>
        <v/>
      </c>
      <c r="FN198" s="139" t="str">
        <f t="shared" si="272"/>
        <v/>
      </c>
      <c r="FO198" s="139" t="str">
        <f t="shared" si="273"/>
        <v/>
      </c>
      <c r="FP198" s="139" t="str">
        <f t="shared" si="274"/>
        <v/>
      </c>
      <c r="FQ198" s="139" t="str">
        <f t="shared" si="275"/>
        <v/>
      </c>
      <c r="FR198" s="139" t="str">
        <f t="shared" si="276"/>
        <v/>
      </c>
      <c r="FS198" s="139" t="str">
        <f t="shared" si="277"/>
        <v/>
      </c>
      <c r="FT198" s="139" t="str">
        <f t="shared" si="278"/>
        <v/>
      </c>
      <c r="FU198" s="148" t="str">
        <f t="shared" si="279"/>
        <v/>
      </c>
      <c r="FV198" s="149"/>
      <c r="FY198" s="212">
        <v>193</v>
      </c>
      <c r="FZ198">
        <v>0.1709068907158674</v>
      </c>
      <c r="GA198">
        <v>23.993033881360915</v>
      </c>
      <c r="GB198">
        <v>13.750920698028965</v>
      </c>
      <c r="GC198">
        <v>2.1784850776281783</v>
      </c>
      <c r="GD198">
        <v>0.66331501946665905</v>
      </c>
      <c r="GE198">
        <v>0.35947809610506914</v>
      </c>
      <c r="GF198">
        <v>0</v>
      </c>
      <c r="GG198">
        <v>1.1563795126316943</v>
      </c>
      <c r="GH198">
        <v>0</v>
      </c>
      <c r="GI198">
        <v>5.22739830712871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12.398345588235292</v>
      </c>
      <c r="AO199">
        <v>28.874965868290651</v>
      </c>
      <c r="AP199">
        <v>328.98639613125192</v>
      </c>
      <c r="AQ199">
        <v>68.014123512421094</v>
      </c>
      <c r="AR199">
        <v>26.283949243274115</v>
      </c>
      <c r="AS199">
        <v>188.80553959839136</v>
      </c>
      <c r="AT199" t="e">
        <v>#DIV/0!</v>
      </c>
      <c r="AU199" t="e">
        <v>#DIV/0!</v>
      </c>
      <c r="AV199"/>
      <c r="AW199"/>
      <c r="AX199" s="146"/>
      <c r="AY199" s="76" t="str">
        <f t="shared" ca="1" si="170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5"/>
        <v/>
      </c>
      <c r="CL199" s="179" t="str">
        <f t="shared" si="206"/>
        <v/>
      </c>
      <c r="CM199" s="180" t="str">
        <f t="shared" si="207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8"/>
        <v/>
      </c>
      <c r="DB199" s="146"/>
      <c r="DC199" s="76" t="str">
        <f t="shared" ca="1" si="171"/>
        <v/>
      </c>
      <c r="DD199" t="str">
        <f t="shared" si="209"/>
        <v/>
      </c>
      <c r="DE199" s="129" t="str">
        <f t="shared" si="334"/>
        <v/>
      </c>
      <c r="DF199" s="161" t="str">
        <f t="shared" si="281"/>
        <v/>
      </c>
      <c r="DG199" s="161" t="str">
        <f t="shared" si="282"/>
        <v/>
      </c>
      <c r="DH199" s="161" t="str">
        <f t="shared" si="283"/>
        <v/>
      </c>
      <c r="DI199" s="161" t="str">
        <f t="shared" si="284"/>
        <v/>
      </c>
      <c r="DJ199" s="161" t="str">
        <f t="shared" si="285"/>
        <v/>
      </c>
      <c r="DK199" s="161" t="str">
        <f t="shared" si="286"/>
        <v/>
      </c>
      <c r="DL199" s="161" t="str">
        <f t="shared" si="287"/>
        <v/>
      </c>
      <c r="DM199" s="161" t="str">
        <f t="shared" si="288"/>
        <v/>
      </c>
      <c r="DN199" s="161" t="str">
        <f t="shared" si="311"/>
        <v/>
      </c>
      <c r="DO199" s="161" t="str">
        <f t="shared" si="312"/>
        <v/>
      </c>
      <c r="DP199" s="161" t="str">
        <f t="shared" si="313"/>
        <v/>
      </c>
      <c r="DQ199" s="161" t="str">
        <f t="shared" si="314"/>
        <v/>
      </c>
      <c r="DR199" s="161" t="str">
        <f t="shared" si="315"/>
        <v/>
      </c>
      <c r="DS199" s="161" t="str">
        <f t="shared" si="316"/>
        <v/>
      </c>
      <c r="DT199" s="161" t="str">
        <f t="shared" si="317"/>
        <v/>
      </c>
      <c r="DU199" s="161" t="str">
        <f t="shared" si="318"/>
        <v/>
      </c>
      <c r="DV199" s="161" t="str">
        <f t="shared" si="319"/>
        <v/>
      </c>
      <c r="DW199" s="161" t="str">
        <f t="shared" si="320"/>
        <v/>
      </c>
      <c r="DX199" s="161" t="str">
        <f t="shared" si="321"/>
        <v/>
      </c>
      <c r="DY199" s="161" t="str">
        <f t="shared" si="322"/>
        <v/>
      </c>
      <c r="DZ199" s="161" t="str">
        <f t="shared" si="323"/>
        <v/>
      </c>
      <c r="EA199" s="161" t="str">
        <f t="shared" si="324"/>
        <v/>
      </c>
      <c r="EB199" s="161" t="str">
        <f t="shared" si="325"/>
        <v/>
      </c>
      <c r="EC199" s="161" t="str">
        <f t="shared" si="326"/>
        <v/>
      </c>
      <c r="ED199" s="161" t="str">
        <f t="shared" si="327"/>
        <v/>
      </c>
      <c r="EE199" s="161" t="str">
        <f t="shared" si="328"/>
        <v/>
      </c>
      <c r="EF199" s="161" t="str">
        <f t="shared" si="329"/>
        <v/>
      </c>
      <c r="EG199" s="161" t="str">
        <f t="shared" si="330"/>
        <v/>
      </c>
      <c r="EH199" s="161" t="str">
        <f t="shared" si="331"/>
        <v/>
      </c>
      <c r="EI199" s="161" t="str">
        <f t="shared" si="332"/>
        <v/>
      </c>
      <c r="EJ199" s="161" t="str">
        <f t="shared" si="333"/>
        <v/>
      </c>
      <c r="EK199" s="147" t="str">
        <f t="shared" si="247"/>
        <v/>
      </c>
      <c r="EL199" s="149"/>
      <c r="EN199" s="146"/>
      <c r="EO199" s="146"/>
      <c r="EP199" s="139" t="str">
        <f t="shared" si="248"/>
        <v/>
      </c>
      <c r="EQ199" s="139" t="str">
        <f t="shared" si="249"/>
        <v/>
      </c>
      <c r="ER199" s="139" t="str">
        <f t="shared" si="250"/>
        <v/>
      </c>
      <c r="ES199" s="139" t="str">
        <f t="shared" si="251"/>
        <v/>
      </c>
      <c r="ET199" s="139" t="str">
        <f t="shared" si="252"/>
        <v/>
      </c>
      <c r="EU199" s="139" t="str">
        <f t="shared" si="253"/>
        <v/>
      </c>
      <c r="EV199" s="139" t="str">
        <f t="shared" si="254"/>
        <v/>
      </c>
      <c r="EW199" s="139" t="str">
        <f t="shared" si="255"/>
        <v/>
      </c>
      <c r="EX199" s="139" t="str">
        <f t="shared" si="256"/>
        <v/>
      </c>
      <c r="EY199" s="139" t="str">
        <f t="shared" si="257"/>
        <v/>
      </c>
      <c r="EZ199" s="139" t="str">
        <f t="shared" si="258"/>
        <v/>
      </c>
      <c r="FA199" s="139" t="str">
        <f t="shared" si="259"/>
        <v/>
      </c>
      <c r="FB199" s="139" t="str">
        <f t="shared" si="260"/>
        <v/>
      </c>
      <c r="FC199" s="139" t="str">
        <f t="shared" si="261"/>
        <v/>
      </c>
      <c r="FD199" s="139" t="str">
        <f t="shared" si="262"/>
        <v/>
      </c>
      <c r="FE199" s="139" t="str">
        <f t="shared" si="263"/>
        <v/>
      </c>
      <c r="FF199" s="139" t="str">
        <f t="shared" si="264"/>
        <v/>
      </c>
      <c r="FG199" s="139" t="str">
        <f t="shared" si="265"/>
        <v/>
      </c>
      <c r="FH199" s="139" t="str">
        <f t="shared" si="266"/>
        <v/>
      </c>
      <c r="FI199" s="139" t="str">
        <f t="shared" si="267"/>
        <v/>
      </c>
      <c r="FJ199" s="139" t="str">
        <f t="shared" si="268"/>
        <v/>
      </c>
      <c r="FK199" s="139" t="str">
        <f t="shared" si="269"/>
        <v/>
      </c>
      <c r="FL199" s="139" t="str">
        <f t="shared" si="270"/>
        <v/>
      </c>
      <c r="FM199" s="139" t="str">
        <f t="shared" si="271"/>
        <v/>
      </c>
      <c r="FN199" s="139" t="str">
        <f t="shared" si="272"/>
        <v/>
      </c>
      <c r="FO199" s="139" t="str">
        <f t="shared" si="273"/>
        <v/>
      </c>
      <c r="FP199" s="139" t="str">
        <f t="shared" si="274"/>
        <v/>
      </c>
      <c r="FQ199" s="139" t="str">
        <f t="shared" si="275"/>
        <v/>
      </c>
      <c r="FR199" s="139" t="str">
        <f t="shared" si="276"/>
        <v/>
      </c>
      <c r="FS199" s="139" t="str">
        <f t="shared" si="277"/>
        <v/>
      </c>
      <c r="FT199" s="139" t="str">
        <f t="shared" si="278"/>
        <v/>
      </c>
      <c r="FU199" s="148" t="str">
        <f t="shared" si="279"/>
        <v/>
      </c>
      <c r="FV199" s="149"/>
      <c r="FY199" s="212">
        <v>194</v>
      </c>
      <c r="FZ199">
        <v>1.46448811481747</v>
      </c>
      <c r="GA199">
        <v>8.6385018682517725</v>
      </c>
      <c r="GB199">
        <v>10.496538638069023</v>
      </c>
      <c r="GC199">
        <v>5.1026171447079607</v>
      </c>
      <c r="GD199">
        <v>1.4339769084619536</v>
      </c>
      <c r="GE199">
        <v>0.35947809610506914</v>
      </c>
      <c r="GF199">
        <v>0.80138167652982462</v>
      </c>
      <c r="GG199">
        <v>3.3224941306074438</v>
      </c>
      <c r="GH199">
        <v>0</v>
      </c>
      <c r="GI199">
        <v>7.6478787830436037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15.988357843137255</v>
      </c>
      <c r="AO200">
        <v>23.870534152924904</v>
      </c>
      <c r="AP200">
        <v>428.06156825533986</v>
      </c>
      <c r="AQ200">
        <v>57.326123054056929</v>
      </c>
      <c r="AR200">
        <v>21.700485593568089</v>
      </c>
      <c r="AS200">
        <v>224.74548144062769</v>
      </c>
      <c r="AT200" t="e">
        <v>#DIV/0!</v>
      </c>
      <c r="AU200" t="e">
        <v>#DIV/0!</v>
      </c>
      <c r="AV200"/>
      <c r="AW200"/>
      <c r="AX200" s="146"/>
      <c r="AY200" s="76" t="str">
        <f t="shared" ca="1" si="170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5"/>
        <v/>
      </c>
      <c r="CL200" s="179" t="str">
        <f t="shared" si="206"/>
        <v/>
      </c>
      <c r="CM200" s="180" t="str">
        <f t="shared" si="207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8"/>
        <v/>
      </c>
      <c r="DB200" s="146"/>
      <c r="DC200" s="76" t="str">
        <f t="shared" ca="1" si="171"/>
        <v/>
      </c>
      <c r="DD200" t="str">
        <f t="shared" si="209"/>
        <v/>
      </c>
      <c r="DE200" s="129" t="str">
        <f t="shared" si="334"/>
        <v/>
      </c>
      <c r="DF200" s="161" t="str">
        <f t="shared" si="281"/>
        <v/>
      </c>
      <c r="DG200" s="161" t="str">
        <f t="shared" si="282"/>
        <v/>
      </c>
      <c r="DH200" s="161" t="str">
        <f t="shared" si="283"/>
        <v/>
      </c>
      <c r="DI200" s="161" t="str">
        <f t="shared" si="284"/>
        <v/>
      </c>
      <c r="DJ200" s="161" t="str">
        <f t="shared" si="285"/>
        <v/>
      </c>
      <c r="DK200" s="161" t="str">
        <f t="shared" si="286"/>
        <v/>
      </c>
      <c r="DL200" s="161" t="str">
        <f t="shared" si="287"/>
        <v/>
      </c>
      <c r="DM200" s="161" t="str">
        <f t="shared" si="288"/>
        <v/>
      </c>
      <c r="DN200" s="161" t="str">
        <f t="shared" si="311"/>
        <v/>
      </c>
      <c r="DO200" s="161" t="str">
        <f t="shared" si="312"/>
        <v/>
      </c>
      <c r="DP200" s="161" t="str">
        <f t="shared" si="313"/>
        <v/>
      </c>
      <c r="DQ200" s="161" t="str">
        <f t="shared" si="314"/>
        <v/>
      </c>
      <c r="DR200" s="161" t="str">
        <f t="shared" si="315"/>
        <v/>
      </c>
      <c r="DS200" s="161" t="str">
        <f t="shared" si="316"/>
        <v/>
      </c>
      <c r="DT200" s="161" t="str">
        <f t="shared" si="317"/>
        <v/>
      </c>
      <c r="DU200" s="161" t="str">
        <f t="shared" si="318"/>
        <v/>
      </c>
      <c r="DV200" s="161" t="str">
        <f t="shared" si="319"/>
        <v/>
      </c>
      <c r="DW200" s="161" t="str">
        <f t="shared" si="320"/>
        <v/>
      </c>
      <c r="DX200" s="161" t="str">
        <f t="shared" si="321"/>
        <v/>
      </c>
      <c r="DY200" s="161" t="str">
        <f t="shared" si="322"/>
        <v/>
      </c>
      <c r="DZ200" s="161" t="str">
        <f t="shared" si="323"/>
        <v/>
      </c>
      <c r="EA200" s="161" t="str">
        <f t="shared" si="324"/>
        <v/>
      </c>
      <c r="EB200" s="161" t="str">
        <f t="shared" si="325"/>
        <v/>
      </c>
      <c r="EC200" s="161" t="str">
        <f t="shared" si="326"/>
        <v/>
      </c>
      <c r="ED200" s="161" t="str">
        <f t="shared" si="327"/>
        <v/>
      </c>
      <c r="EE200" s="161" t="str">
        <f t="shared" si="328"/>
        <v/>
      </c>
      <c r="EF200" s="161" t="str">
        <f t="shared" si="329"/>
        <v/>
      </c>
      <c r="EG200" s="161" t="str">
        <f t="shared" si="330"/>
        <v/>
      </c>
      <c r="EH200" s="161" t="str">
        <f t="shared" si="331"/>
        <v/>
      </c>
      <c r="EI200" s="161" t="str">
        <f t="shared" si="332"/>
        <v/>
      </c>
      <c r="EJ200" s="161" t="str">
        <f t="shared" si="333"/>
        <v/>
      </c>
      <c r="EK200" s="147" t="str">
        <f t="shared" si="247"/>
        <v/>
      </c>
      <c r="EL200" s="149"/>
      <c r="EN200" s="146"/>
      <c r="EO200" s="146"/>
      <c r="EP200" s="139" t="str">
        <f t="shared" si="248"/>
        <v/>
      </c>
      <c r="EQ200" s="139" t="str">
        <f t="shared" si="249"/>
        <v/>
      </c>
      <c r="ER200" s="139" t="str">
        <f t="shared" si="250"/>
        <v/>
      </c>
      <c r="ES200" s="139" t="str">
        <f t="shared" si="251"/>
        <v/>
      </c>
      <c r="ET200" s="139" t="str">
        <f t="shared" si="252"/>
        <v/>
      </c>
      <c r="EU200" s="139" t="str">
        <f t="shared" si="253"/>
        <v/>
      </c>
      <c r="EV200" s="139" t="str">
        <f t="shared" si="254"/>
        <v/>
      </c>
      <c r="EW200" s="139" t="str">
        <f t="shared" si="255"/>
        <v/>
      </c>
      <c r="EX200" s="139" t="str">
        <f t="shared" si="256"/>
        <v/>
      </c>
      <c r="EY200" s="139" t="str">
        <f t="shared" si="257"/>
        <v/>
      </c>
      <c r="EZ200" s="139" t="str">
        <f t="shared" si="258"/>
        <v/>
      </c>
      <c r="FA200" s="139" t="str">
        <f t="shared" si="259"/>
        <v/>
      </c>
      <c r="FB200" s="139" t="str">
        <f t="shared" si="260"/>
        <v/>
      </c>
      <c r="FC200" s="139" t="str">
        <f t="shared" si="261"/>
        <v/>
      </c>
      <c r="FD200" s="139" t="str">
        <f t="shared" si="262"/>
        <v/>
      </c>
      <c r="FE200" s="139" t="str">
        <f t="shared" si="263"/>
        <v/>
      </c>
      <c r="FF200" s="139" t="str">
        <f t="shared" si="264"/>
        <v/>
      </c>
      <c r="FG200" s="139" t="str">
        <f t="shared" si="265"/>
        <v/>
      </c>
      <c r="FH200" s="139" t="str">
        <f t="shared" si="266"/>
        <v/>
      </c>
      <c r="FI200" s="139" t="str">
        <f t="shared" si="267"/>
        <v/>
      </c>
      <c r="FJ200" s="139" t="str">
        <f t="shared" si="268"/>
        <v/>
      </c>
      <c r="FK200" s="139" t="str">
        <f t="shared" si="269"/>
        <v/>
      </c>
      <c r="FL200" s="139" t="str">
        <f t="shared" si="270"/>
        <v/>
      </c>
      <c r="FM200" s="139" t="str">
        <f t="shared" si="271"/>
        <v/>
      </c>
      <c r="FN200" s="139" t="str">
        <f t="shared" si="272"/>
        <v/>
      </c>
      <c r="FO200" s="139" t="str">
        <f t="shared" si="273"/>
        <v/>
      </c>
      <c r="FP200" s="139" t="str">
        <f t="shared" si="274"/>
        <v/>
      </c>
      <c r="FQ200" s="139" t="str">
        <f t="shared" si="275"/>
        <v/>
      </c>
      <c r="FR200" s="139" t="str">
        <f t="shared" si="276"/>
        <v/>
      </c>
      <c r="FS200" s="139" t="str">
        <f t="shared" si="277"/>
        <v/>
      </c>
      <c r="FT200" s="139" t="str">
        <f t="shared" si="278"/>
        <v/>
      </c>
      <c r="FU200" s="148" t="str">
        <f t="shared" si="279"/>
        <v/>
      </c>
      <c r="FV200" s="149"/>
      <c r="FY200" s="212">
        <v>195</v>
      </c>
      <c r="FZ200">
        <v>1.9973174786207277</v>
      </c>
      <c r="GA200">
        <v>19.421645585162249</v>
      </c>
      <c r="GB200">
        <v>12.39449672346152</v>
      </c>
      <c r="GC200">
        <v>3.5581373684133779</v>
      </c>
      <c r="GD200">
        <v>1.4008513635173074</v>
      </c>
      <c r="GE200">
        <v>0.71895619221013829</v>
      </c>
      <c r="GF200">
        <v>0.80138167652982462</v>
      </c>
      <c r="GG200">
        <v>3.9006838869232907</v>
      </c>
      <c r="GH200">
        <v>0</v>
      </c>
      <c r="GI200">
        <v>12.475691065839305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6.2187499999999991</v>
      </c>
      <c r="AO201">
        <v>19.609503306086115</v>
      </c>
      <c r="AP201">
        <v>321.83529358315405</v>
      </c>
      <c r="AQ201">
        <v>42.301977497935233</v>
      </c>
      <c r="AR201">
        <v>17.826821187351008</v>
      </c>
      <c r="AS201">
        <v>178.29411103816065</v>
      </c>
      <c r="AT201" t="e">
        <v>#DIV/0!</v>
      </c>
      <c r="AU201" t="e">
        <v>#DIV/0!</v>
      </c>
      <c r="AV201"/>
      <c r="AW201"/>
      <c r="AX201" s="146"/>
      <c r="AY201" s="76" t="str">
        <f t="shared" ca="1" si="170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5"/>
        <v/>
      </c>
      <c r="CL201" s="179" t="str">
        <f t="shared" si="206"/>
        <v/>
      </c>
      <c r="CM201" s="180" t="str">
        <f t="shared" si="207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8"/>
        <v/>
      </c>
      <c r="DB201" s="146"/>
      <c r="DC201" s="76" t="str">
        <f t="shared" ca="1" si="171"/>
        <v/>
      </c>
      <c r="DD201" t="str">
        <f t="shared" si="209"/>
        <v/>
      </c>
      <c r="DE201" s="129" t="str">
        <f t="shared" si="334"/>
        <v/>
      </c>
      <c r="DF201" s="161" t="str">
        <f t="shared" si="281"/>
        <v/>
      </c>
      <c r="DG201" s="161" t="str">
        <f t="shared" si="282"/>
        <v/>
      </c>
      <c r="DH201" s="161" t="str">
        <f t="shared" si="283"/>
        <v/>
      </c>
      <c r="DI201" s="161" t="str">
        <f t="shared" si="284"/>
        <v/>
      </c>
      <c r="DJ201" s="161" t="str">
        <f t="shared" si="285"/>
        <v/>
      </c>
      <c r="DK201" s="161" t="str">
        <f t="shared" si="286"/>
        <v/>
      </c>
      <c r="DL201" s="161" t="str">
        <f t="shared" si="287"/>
        <v/>
      </c>
      <c r="DM201" s="161" t="str">
        <f t="shared" si="288"/>
        <v/>
      </c>
      <c r="DN201" s="161" t="str">
        <f t="shared" si="311"/>
        <v/>
      </c>
      <c r="DO201" s="161" t="str">
        <f t="shared" si="312"/>
        <v/>
      </c>
      <c r="DP201" s="161" t="str">
        <f t="shared" si="313"/>
        <v/>
      </c>
      <c r="DQ201" s="161" t="str">
        <f t="shared" si="314"/>
        <v/>
      </c>
      <c r="DR201" s="161" t="str">
        <f t="shared" si="315"/>
        <v/>
      </c>
      <c r="DS201" s="161" t="str">
        <f t="shared" si="316"/>
        <v/>
      </c>
      <c r="DT201" s="161" t="str">
        <f t="shared" si="317"/>
        <v/>
      </c>
      <c r="DU201" s="161" t="str">
        <f t="shared" si="318"/>
        <v/>
      </c>
      <c r="DV201" s="161" t="str">
        <f t="shared" si="319"/>
        <v/>
      </c>
      <c r="DW201" s="161" t="str">
        <f t="shared" si="320"/>
        <v/>
      </c>
      <c r="DX201" s="161" t="str">
        <f t="shared" si="321"/>
        <v/>
      </c>
      <c r="DY201" s="161" t="str">
        <f t="shared" si="322"/>
        <v/>
      </c>
      <c r="DZ201" s="161" t="str">
        <f t="shared" si="323"/>
        <v/>
      </c>
      <c r="EA201" s="161" t="str">
        <f t="shared" si="324"/>
        <v/>
      </c>
      <c r="EB201" s="161" t="str">
        <f t="shared" si="325"/>
        <v/>
      </c>
      <c r="EC201" s="161" t="str">
        <f t="shared" si="326"/>
        <v/>
      </c>
      <c r="ED201" s="161" t="str">
        <f t="shared" si="327"/>
        <v/>
      </c>
      <c r="EE201" s="161" t="str">
        <f t="shared" si="328"/>
        <v/>
      </c>
      <c r="EF201" s="161" t="str">
        <f t="shared" si="329"/>
        <v/>
      </c>
      <c r="EG201" s="161" t="str">
        <f t="shared" si="330"/>
        <v/>
      </c>
      <c r="EH201" s="161" t="str">
        <f t="shared" si="331"/>
        <v/>
      </c>
      <c r="EI201" s="161" t="str">
        <f t="shared" si="332"/>
        <v/>
      </c>
      <c r="EJ201" s="161" t="str">
        <f t="shared" si="333"/>
        <v/>
      </c>
      <c r="EK201" s="147" t="str">
        <f t="shared" si="247"/>
        <v/>
      </c>
      <c r="EL201" s="149"/>
      <c r="EN201" s="146"/>
      <c r="EO201" s="146"/>
      <c r="EP201" s="139" t="str">
        <f t="shared" si="248"/>
        <v/>
      </c>
      <c r="EQ201" s="139" t="str">
        <f t="shared" si="249"/>
        <v/>
      </c>
      <c r="ER201" s="139" t="str">
        <f t="shared" si="250"/>
        <v/>
      </c>
      <c r="ES201" s="139" t="str">
        <f t="shared" si="251"/>
        <v/>
      </c>
      <c r="ET201" s="139" t="str">
        <f t="shared" si="252"/>
        <v/>
      </c>
      <c r="EU201" s="139" t="str">
        <f t="shared" si="253"/>
        <v/>
      </c>
      <c r="EV201" s="139" t="str">
        <f t="shared" si="254"/>
        <v/>
      </c>
      <c r="EW201" s="139" t="str">
        <f t="shared" si="255"/>
        <v/>
      </c>
      <c r="EX201" s="139" t="str">
        <f t="shared" si="256"/>
        <v/>
      </c>
      <c r="EY201" s="139" t="str">
        <f t="shared" si="257"/>
        <v/>
      </c>
      <c r="EZ201" s="139" t="str">
        <f t="shared" si="258"/>
        <v/>
      </c>
      <c r="FA201" s="139" t="str">
        <f t="shared" si="259"/>
        <v/>
      </c>
      <c r="FB201" s="139" t="str">
        <f t="shared" si="260"/>
        <v/>
      </c>
      <c r="FC201" s="139" t="str">
        <f t="shared" si="261"/>
        <v/>
      </c>
      <c r="FD201" s="139" t="str">
        <f t="shared" si="262"/>
        <v/>
      </c>
      <c r="FE201" s="139" t="str">
        <f t="shared" si="263"/>
        <v/>
      </c>
      <c r="FF201" s="139" t="str">
        <f t="shared" si="264"/>
        <v/>
      </c>
      <c r="FG201" s="139" t="str">
        <f t="shared" si="265"/>
        <v/>
      </c>
      <c r="FH201" s="139" t="str">
        <f t="shared" si="266"/>
        <v/>
      </c>
      <c r="FI201" s="139" t="str">
        <f t="shared" si="267"/>
        <v/>
      </c>
      <c r="FJ201" s="139" t="str">
        <f t="shared" si="268"/>
        <v/>
      </c>
      <c r="FK201" s="139" t="str">
        <f t="shared" si="269"/>
        <v/>
      </c>
      <c r="FL201" s="139" t="str">
        <f t="shared" si="270"/>
        <v/>
      </c>
      <c r="FM201" s="139" t="str">
        <f t="shared" si="271"/>
        <v/>
      </c>
      <c r="FN201" s="139" t="str">
        <f t="shared" si="272"/>
        <v/>
      </c>
      <c r="FO201" s="139" t="str">
        <f t="shared" si="273"/>
        <v/>
      </c>
      <c r="FP201" s="139" t="str">
        <f t="shared" si="274"/>
        <v/>
      </c>
      <c r="FQ201" s="139" t="str">
        <f t="shared" si="275"/>
        <v/>
      </c>
      <c r="FR201" s="139" t="str">
        <f t="shared" si="276"/>
        <v/>
      </c>
      <c r="FS201" s="139" t="str">
        <f t="shared" si="277"/>
        <v/>
      </c>
      <c r="FT201" s="139" t="str">
        <f t="shared" si="278"/>
        <v/>
      </c>
      <c r="FU201" s="148" t="str">
        <f t="shared" si="279"/>
        <v/>
      </c>
      <c r="FV201" s="149"/>
      <c r="FY201" s="212">
        <v>196</v>
      </c>
      <c r="FZ201">
        <v>1.8432088103727695</v>
      </c>
      <c r="GA201">
        <v>12.681605192455773</v>
      </c>
      <c r="GB201">
        <v>10.14923590331941</v>
      </c>
      <c r="GC201">
        <v>3.9727179482940209</v>
      </c>
      <c r="GD201">
        <v>1.3037969497109021</v>
      </c>
      <c r="GE201">
        <v>0.71895619221013829</v>
      </c>
      <c r="GF201">
        <v>0.80138167652982462</v>
      </c>
      <c r="GG201">
        <v>4.9857089029053814</v>
      </c>
      <c r="GH201">
        <v>3.245920257062465</v>
      </c>
      <c r="GI201">
        <v>12.184586110924776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12.817401960784313</v>
      </c>
      <c r="AO202">
        <v>50.428335685488733</v>
      </c>
      <c r="AP202">
        <v>574.97529556588199</v>
      </c>
      <c r="AQ202">
        <v>68.814259919872654</v>
      </c>
      <c r="AR202">
        <v>45.91190207646406</v>
      </c>
      <c r="AS202">
        <v>228.08374463012083</v>
      </c>
      <c r="AT202" t="e">
        <v>#DIV/0!</v>
      </c>
      <c r="AU202" t="e">
        <v>#DIV/0!</v>
      </c>
      <c r="AV202"/>
      <c r="AW202"/>
      <c r="AX202" s="146"/>
      <c r="AY202" s="76" t="str">
        <f t="shared" ca="1" si="170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5"/>
        <v/>
      </c>
      <c r="CL202" s="179" t="str">
        <f t="shared" si="206"/>
        <v/>
      </c>
      <c r="CM202" s="180" t="str">
        <f t="shared" si="207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8"/>
        <v/>
      </c>
      <c r="DB202" s="146"/>
      <c r="DC202" s="76" t="str">
        <f t="shared" ca="1" si="171"/>
        <v/>
      </c>
      <c r="DD202" t="str">
        <f t="shared" si="209"/>
        <v/>
      </c>
      <c r="DE202" s="129" t="str">
        <f t="shared" si="334"/>
        <v/>
      </c>
      <c r="DF202" s="161" t="str">
        <f t="shared" si="281"/>
        <v/>
      </c>
      <c r="DG202" s="161" t="str">
        <f t="shared" si="282"/>
        <v/>
      </c>
      <c r="DH202" s="161" t="str">
        <f t="shared" si="283"/>
        <v/>
      </c>
      <c r="DI202" s="161" t="str">
        <f t="shared" si="284"/>
        <v/>
      </c>
      <c r="DJ202" s="161" t="str">
        <f t="shared" si="285"/>
        <v/>
      </c>
      <c r="DK202" s="161" t="str">
        <f t="shared" si="286"/>
        <v/>
      </c>
      <c r="DL202" s="161" t="str">
        <f t="shared" si="287"/>
        <v/>
      </c>
      <c r="DM202" s="161" t="str">
        <f t="shared" si="288"/>
        <v/>
      </c>
      <c r="DN202" s="161" t="str">
        <f t="shared" si="311"/>
        <v/>
      </c>
      <c r="DO202" s="161" t="str">
        <f t="shared" si="312"/>
        <v/>
      </c>
      <c r="DP202" s="161" t="str">
        <f t="shared" si="313"/>
        <v/>
      </c>
      <c r="DQ202" s="161" t="str">
        <f t="shared" si="314"/>
        <v/>
      </c>
      <c r="DR202" s="161" t="str">
        <f t="shared" si="315"/>
        <v/>
      </c>
      <c r="DS202" s="161" t="str">
        <f t="shared" si="316"/>
        <v/>
      </c>
      <c r="DT202" s="161" t="str">
        <f t="shared" si="317"/>
        <v/>
      </c>
      <c r="DU202" s="161" t="str">
        <f t="shared" si="318"/>
        <v/>
      </c>
      <c r="DV202" s="161" t="str">
        <f t="shared" si="319"/>
        <v/>
      </c>
      <c r="DW202" s="161" t="str">
        <f t="shared" si="320"/>
        <v/>
      </c>
      <c r="DX202" s="161" t="str">
        <f t="shared" si="321"/>
        <v/>
      </c>
      <c r="DY202" s="161" t="str">
        <f t="shared" si="322"/>
        <v/>
      </c>
      <c r="DZ202" s="161" t="str">
        <f t="shared" si="323"/>
        <v/>
      </c>
      <c r="EA202" s="161" t="str">
        <f t="shared" si="324"/>
        <v/>
      </c>
      <c r="EB202" s="161" t="str">
        <f t="shared" si="325"/>
        <v/>
      </c>
      <c r="EC202" s="161" t="str">
        <f t="shared" si="326"/>
        <v/>
      </c>
      <c r="ED202" s="161" t="str">
        <f t="shared" si="327"/>
        <v/>
      </c>
      <c r="EE202" s="161" t="str">
        <f t="shared" si="328"/>
        <v/>
      </c>
      <c r="EF202" s="161" t="str">
        <f t="shared" si="329"/>
        <v/>
      </c>
      <c r="EG202" s="161" t="str">
        <f t="shared" si="330"/>
        <v/>
      </c>
      <c r="EH202" s="161" t="str">
        <f t="shared" si="331"/>
        <v/>
      </c>
      <c r="EI202" s="161" t="str">
        <f t="shared" si="332"/>
        <v/>
      </c>
      <c r="EJ202" s="161" t="str">
        <f t="shared" si="333"/>
        <v/>
      </c>
      <c r="EK202" s="147" t="str">
        <f t="shared" si="247"/>
        <v/>
      </c>
      <c r="EL202" s="149"/>
      <c r="EN202" s="146"/>
      <c r="EO202" s="146"/>
      <c r="EP202" s="139" t="str">
        <f t="shared" si="248"/>
        <v/>
      </c>
      <c r="EQ202" s="139" t="str">
        <f t="shared" si="249"/>
        <v/>
      </c>
      <c r="ER202" s="139" t="str">
        <f t="shared" si="250"/>
        <v/>
      </c>
      <c r="ES202" s="139" t="str">
        <f t="shared" si="251"/>
        <v/>
      </c>
      <c r="ET202" s="139" t="str">
        <f t="shared" si="252"/>
        <v/>
      </c>
      <c r="EU202" s="139" t="str">
        <f t="shared" si="253"/>
        <v/>
      </c>
      <c r="EV202" s="139" t="str">
        <f t="shared" si="254"/>
        <v/>
      </c>
      <c r="EW202" s="139" t="str">
        <f t="shared" si="255"/>
        <v/>
      </c>
      <c r="EX202" s="139" t="str">
        <f t="shared" si="256"/>
        <v/>
      </c>
      <c r="EY202" s="139" t="str">
        <f t="shared" si="257"/>
        <v/>
      </c>
      <c r="EZ202" s="139" t="str">
        <f t="shared" si="258"/>
        <v/>
      </c>
      <c r="FA202" s="139" t="str">
        <f t="shared" si="259"/>
        <v/>
      </c>
      <c r="FB202" s="139" t="str">
        <f t="shared" si="260"/>
        <v/>
      </c>
      <c r="FC202" s="139" t="str">
        <f t="shared" si="261"/>
        <v/>
      </c>
      <c r="FD202" s="139" t="str">
        <f t="shared" si="262"/>
        <v/>
      </c>
      <c r="FE202" s="139" t="str">
        <f t="shared" si="263"/>
        <v/>
      </c>
      <c r="FF202" s="139" t="str">
        <f t="shared" si="264"/>
        <v/>
      </c>
      <c r="FG202" s="139" t="str">
        <f t="shared" si="265"/>
        <v/>
      </c>
      <c r="FH202" s="139" t="str">
        <f t="shared" si="266"/>
        <v/>
      </c>
      <c r="FI202" s="139" t="str">
        <f t="shared" si="267"/>
        <v/>
      </c>
      <c r="FJ202" s="139" t="str">
        <f t="shared" si="268"/>
        <v/>
      </c>
      <c r="FK202" s="139" t="str">
        <f t="shared" si="269"/>
        <v/>
      </c>
      <c r="FL202" s="139" t="str">
        <f t="shared" si="270"/>
        <v/>
      </c>
      <c r="FM202" s="139" t="str">
        <f t="shared" si="271"/>
        <v/>
      </c>
      <c r="FN202" s="139" t="str">
        <f t="shared" si="272"/>
        <v/>
      </c>
      <c r="FO202" s="139" t="str">
        <f t="shared" si="273"/>
        <v/>
      </c>
      <c r="FP202" s="139" t="str">
        <f t="shared" si="274"/>
        <v/>
      </c>
      <c r="FQ202" s="139" t="str">
        <f t="shared" si="275"/>
        <v/>
      </c>
      <c r="FR202" s="139" t="str">
        <f t="shared" si="276"/>
        <v/>
      </c>
      <c r="FS202" s="139" t="str">
        <f t="shared" si="277"/>
        <v/>
      </c>
      <c r="FT202" s="139" t="str">
        <f t="shared" si="278"/>
        <v/>
      </c>
      <c r="FU202" s="148" t="str">
        <f t="shared" si="279"/>
        <v/>
      </c>
      <c r="FV202" s="149"/>
      <c r="FY202" s="212">
        <v>197</v>
      </c>
      <c r="FZ202">
        <v>0.1709068907158674</v>
      </c>
      <c r="GA202">
        <v>17.344957589354536</v>
      </c>
      <c r="GB202">
        <v>11.266983989212756</v>
      </c>
      <c r="GC202">
        <v>3.599344104267157</v>
      </c>
      <c r="GD202">
        <v>1.7079832969038713</v>
      </c>
      <c r="GE202">
        <v>0.35947809610506914</v>
      </c>
      <c r="GF202">
        <v>0</v>
      </c>
      <c r="GG202">
        <v>2.4948221584469064</v>
      </c>
      <c r="GH202">
        <v>4.8688803855936991</v>
      </c>
      <c r="GI202">
        <v>8.5270228490163333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12.016053921568627</v>
      </c>
      <c r="AO203">
        <v>32.413274941439212</v>
      </c>
      <c r="AP203">
        <v>568.58772461241756</v>
      </c>
      <c r="AQ203">
        <v>69.096000612242008</v>
      </c>
      <c r="AR203">
        <v>29.534574127328142</v>
      </c>
      <c r="AS203">
        <v>164.55055636044375</v>
      </c>
      <c r="AT203" t="e">
        <v>#DIV/0!</v>
      </c>
      <c r="AU203" t="e">
        <v>#DIV/0!</v>
      </c>
      <c r="AV203"/>
      <c r="AW203"/>
      <c r="AX203" s="146"/>
      <c r="AY203" s="76" t="str">
        <f t="shared" ca="1" si="170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5"/>
        <v/>
      </c>
      <c r="CL203" s="179" t="str">
        <f t="shared" si="206"/>
        <v/>
      </c>
      <c r="CM203" s="180" t="str">
        <f t="shared" si="207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8"/>
        <v/>
      </c>
      <c r="DB203" s="146"/>
      <c r="DC203" s="76" t="str">
        <f t="shared" ca="1" si="171"/>
        <v/>
      </c>
      <c r="DD203" t="str">
        <f t="shared" si="209"/>
        <v/>
      </c>
      <c r="DE203" s="129" t="str">
        <f t="shared" si="334"/>
        <v/>
      </c>
      <c r="DF203" s="161" t="str">
        <f t="shared" si="281"/>
        <v/>
      </c>
      <c r="DG203" s="161" t="str">
        <f t="shared" si="282"/>
        <v/>
      </c>
      <c r="DH203" s="161" t="str">
        <f t="shared" si="283"/>
        <v/>
      </c>
      <c r="DI203" s="161" t="str">
        <f t="shared" si="284"/>
        <v/>
      </c>
      <c r="DJ203" s="161" t="str">
        <f t="shared" si="285"/>
        <v/>
      </c>
      <c r="DK203" s="161" t="str">
        <f t="shared" si="286"/>
        <v/>
      </c>
      <c r="DL203" s="161" t="str">
        <f t="shared" si="287"/>
        <v/>
      </c>
      <c r="DM203" s="161" t="str">
        <f t="shared" si="288"/>
        <v/>
      </c>
      <c r="DN203" s="161" t="str">
        <f t="shared" si="311"/>
        <v/>
      </c>
      <c r="DO203" s="161" t="str">
        <f t="shared" si="312"/>
        <v/>
      </c>
      <c r="DP203" s="161" t="str">
        <f t="shared" si="313"/>
        <v/>
      </c>
      <c r="DQ203" s="161" t="str">
        <f t="shared" si="314"/>
        <v/>
      </c>
      <c r="DR203" s="161" t="str">
        <f t="shared" si="315"/>
        <v/>
      </c>
      <c r="DS203" s="161" t="str">
        <f t="shared" si="316"/>
        <v/>
      </c>
      <c r="DT203" s="161" t="str">
        <f t="shared" si="317"/>
        <v/>
      </c>
      <c r="DU203" s="161" t="str">
        <f t="shared" si="318"/>
        <v/>
      </c>
      <c r="DV203" s="161" t="str">
        <f t="shared" si="319"/>
        <v/>
      </c>
      <c r="DW203" s="161" t="str">
        <f t="shared" si="320"/>
        <v/>
      </c>
      <c r="DX203" s="161" t="str">
        <f t="shared" si="321"/>
        <v/>
      </c>
      <c r="DY203" s="161" t="str">
        <f t="shared" si="322"/>
        <v/>
      </c>
      <c r="DZ203" s="161" t="str">
        <f t="shared" si="323"/>
        <v/>
      </c>
      <c r="EA203" s="161" t="str">
        <f t="shared" si="324"/>
        <v/>
      </c>
      <c r="EB203" s="161" t="str">
        <f t="shared" si="325"/>
        <v/>
      </c>
      <c r="EC203" s="161" t="str">
        <f t="shared" si="326"/>
        <v/>
      </c>
      <c r="ED203" s="161" t="str">
        <f t="shared" si="327"/>
        <v/>
      </c>
      <c r="EE203" s="161" t="str">
        <f t="shared" si="328"/>
        <v/>
      </c>
      <c r="EF203" s="161" t="str">
        <f t="shared" si="329"/>
        <v/>
      </c>
      <c r="EG203" s="161" t="str">
        <f t="shared" si="330"/>
        <v/>
      </c>
      <c r="EH203" s="161" t="str">
        <f t="shared" si="331"/>
        <v/>
      </c>
      <c r="EI203" s="161" t="str">
        <f t="shared" si="332"/>
        <v/>
      </c>
      <c r="EJ203" s="161" t="str">
        <f t="shared" si="333"/>
        <v/>
      </c>
      <c r="EK203" s="147" t="str">
        <f t="shared" si="247"/>
        <v/>
      </c>
      <c r="EL203" s="149"/>
      <c r="EN203" s="146"/>
      <c r="EO203" s="146"/>
      <c r="EP203" s="139" t="str">
        <f t="shared" si="248"/>
        <v/>
      </c>
      <c r="EQ203" s="139" t="str">
        <f t="shared" si="249"/>
        <v/>
      </c>
      <c r="ER203" s="139" t="str">
        <f t="shared" si="250"/>
        <v/>
      </c>
      <c r="ES203" s="139" t="str">
        <f t="shared" si="251"/>
        <v/>
      </c>
      <c r="ET203" s="139" t="str">
        <f t="shared" si="252"/>
        <v/>
      </c>
      <c r="EU203" s="139" t="str">
        <f t="shared" si="253"/>
        <v/>
      </c>
      <c r="EV203" s="139" t="str">
        <f t="shared" si="254"/>
        <v/>
      </c>
      <c r="EW203" s="139" t="str">
        <f t="shared" si="255"/>
        <v/>
      </c>
      <c r="EX203" s="139" t="str">
        <f t="shared" si="256"/>
        <v/>
      </c>
      <c r="EY203" s="139" t="str">
        <f t="shared" si="257"/>
        <v/>
      </c>
      <c r="EZ203" s="139" t="str">
        <f t="shared" si="258"/>
        <v/>
      </c>
      <c r="FA203" s="139" t="str">
        <f t="shared" si="259"/>
        <v/>
      </c>
      <c r="FB203" s="139" t="str">
        <f t="shared" si="260"/>
        <v/>
      </c>
      <c r="FC203" s="139" t="str">
        <f t="shared" si="261"/>
        <v/>
      </c>
      <c r="FD203" s="139" t="str">
        <f t="shared" si="262"/>
        <v/>
      </c>
      <c r="FE203" s="139" t="str">
        <f t="shared" si="263"/>
        <v/>
      </c>
      <c r="FF203" s="139" t="str">
        <f t="shared" si="264"/>
        <v/>
      </c>
      <c r="FG203" s="139" t="str">
        <f t="shared" si="265"/>
        <v/>
      </c>
      <c r="FH203" s="139" t="str">
        <f t="shared" si="266"/>
        <v/>
      </c>
      <c r="FI203" s="139" t="str">
        <f t="shared" si="267"/>
        <v/>
      </c>
      <c r="FJ203" s="139" t="str">
        <f t="shared" si="268"/>
        <v/>
      </c>
      <c r="FK203" s="139" t="str">
        <f t="shared" si="269"/>
        <v/>
      </c>
      <c r="FL203" s="139" t="str">
        <f t="shared" si="270"/>
        <v/>
      </c>
      <c r="FM203" s="139" t="str">
        <f t="shared" si="271"/>
        <v/>
      </c>
      <c r="FN203" s="139" t="str">
        <f t="shared" si="272"/>
        <v/>
      </c>
      <c r="FO203" s="139" t="str">
        <f t="shared" si="273"/>
        <v/>
      </c>
      <c r="FP203" s="139" t="str">
        <f t="shared" si="274"/>
        <v/>
      </c>
      <c r="FQ203" s="139" t="str">
        <f t="shared" si="275"/>
        <v/>
      </c>
      <c r="FR203" s="139" t="str">
        <f t="shared" si="276"/>
        <v/>
      </c>
      <c r="FS203" s="139" t="str">
        <f t="shared" si="277"/>
        <v/>
      </c>
      <c r="FT203" s="139" t="str">
        <f t="shared" si="278"/>
        <v/>
      </c>
      <c r="FU203" s="148" t="str">
        <f t="shared" si="279"/>
        <v/>
      </c>
      <c r="FV203" s="149"/>
      <c r="FY203" s="212">
        <v>198</v>
      </c>
      <c r="FZ203">
        <v>0</v>
      </c>
      <c r="GA203">
        <v>20.329174178904147</v>
      </c>
      <c r="GB203">
        <v>12.653104380982558</v>
      </c>
      <c r="GC203">
        <v>3.1519135803256866</v>
      </c>
      <c r="GD203">
        <v>1.335421326853095</v>
      </c>
      <c r="GE203">
        <v>0.35947809610506914</v>
      </c>
      <c r="GF203">
        <v>0.80138167652982462</v>
      </c>
      <c r="GG203">
        <v>5.5638986592212287</v>
      </c>
      <c r="GH203">
        <v>3.245920257062465</v>
      </c>
      <c r="GI203">
        <v>10.058936340802337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12.033762254901958</v>
      </c>
      <c r="AO204">
        <v>21.188052250472985</v>
      </c>
      <c r="AP204">
        <v>312.61630959060147</v>
      </c>
      <c r="AQ204">
        <v>54.537955281576217</v>
      </c>
      <c r="AR204">
        <v>19.261865682248171</v>
      </c>
      <c r="AS204">
        <v>143.97733415283199</v>
      </c>
      <c r="AT204" t="e">
        <v>#DIV/0!</v>
      </c>
      <c r="AU204" t="e">
        <v>#DIV/0!</v>
      </c>
      <c r="AV204"/>
      <c r="AW204"/>
      <c r="AX204" s="146"/>
      <c r="AY204" s="76" t="str">
        <f t="shared" ca="1" si="170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5"/>
        <v/>
      </c>
      <c r="CL204" s="179" t="str">
        <f t="shared" si="206"/>
        <v/>
      </c>
      <c r="CM204" s="180" t="str">
        <f t="shared" si="207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8"/>
        <v/>
      </c>
      <c r="DB204" s="146"/>
      <c r="DC204" s="76" t="str">
        <f t="shared" ca="1" si="171"/>
        <v/>
      </c>
      <c r="DD204" t="str">
        <f t="shared" si="209"/>
        <v/>
      </c>
      <c r="DE204" s="129" t="str">
        <f t="shared" si="334"/>
        <v/>
      </c>
      <c r="DF204" s="161" t="str">
        <f t="shared" si="281"/>
        <v/>
      </c>
      <c r="DG204" s="161" t="str">
        <f t="shared" si="282"/>
        <v/>
      </c>
      <c r="DH204" s="161" t="str">
        <f t="shared" si="283"/>
        <v/>
      </c>
      <c r="DI204" s="161" t="str">
        <f t="shared" si="284"/>
        <v/>
      </c>
      <c r="DJ204" s="161" t="str">
        <f t="shared" si="285"/>
        <v/>
      </c>
      <c r="DK204" s="161" t="str">
        <f t="shared" si="286"/>
        <v/>
      </c>
      <c r="DL204" s="161" t="str">
        <f t="shared" si="287"/>
        <v/>
      </c>
      <c r="DM204" s="161" t="str">
        <f t="shared" si="288"/>
        <v/>
      </c>
      <c r="DN204" s="161" t="str">
        <f t="shared" si="311"/>
        <v/>
      </c>
      <c r="DO204" s="161" t="str">
        <f t="shared" si="312"/>
        <v/>
      </c>
      <c r="DP204" s="161" t="str">
        <f t="shared" si="313"/>
        <v/>
      </c>
      <c r="DQ204" s="161" t="str">
        <f t="shared" si="314"/>
        <v/>
      </c>
      <c r="DR204" s="161" t="str">
        <f t="shared" si="315"/>
        <v/>
      </c>
      <c r="DS204" s="161" t="str">
        <f t="shared" si="316"/>
        <v/>
      </c>
      <c r="DT204" s="161" t="str">
        <f t="shared" si="317"/>
        <v/>
      </c>
      <c r="DU204" s="161" t="str">
        <f t="shared" si="318"/>
        <v/>
      </c>
      <c r="DV204" s="161" t="str">
        <f t="shared" si="319"/>
        <v/>
      </c>
      <c r="DW204" s="161" t="str">
        <f t="shared" si="320"/>
        <v/>
      </c>
      <c r="DX204" s="161" t="str">
        <f t="shared" si="321"/>
        <v/>
      </c>
      <c r="DY204" s="161" t="str">
        <f t="shared" si="322"/>
        <v/>
      </c>
      <c r="DZ204" s="161" t="str">
        <f t="shared" si="323"/>
        <v/>
      </c>
      <c r="EA204" s="161" t="str">
        <f t="shared" si="324"/>
        <v/>
      </c>
      <c r="EB204" s="161" t="str">
        <f t="shared" si="325"/>
        <v/>
      </c>
      <c r="EC204" s="161" t="str">
        <f t="shared" si="326"/>
        <v/>
      </c>
      <c r="ED204" s="161" t="str">
        <f t="shared" si="327"/>
        <v/>
      </c>
      <c r="EE204" s="161" t="str">
        <f t="shared" si="328"/>
        <v/>
      </c>
      <c r="EF204" s="161" t="str">
        <f t="shared" si="329"/>
        <v/>
      </c>
      <c r="EG204" s="161" t="str">
        <f t="shared" si="330"/>
        <v/>
      </c>
      <c r="EH204" s="161" t="str">
        <f t="shared" si="331"/>
        <v/>
      </c>
      <c r="EI204" s="161" t="str">
        <f t="shared" si="332"/>
        <v/>
      </c>
      <c r="EJ204" s="161" t="str">
        <f t="shared" si="333"/>
        <v/>
      </c>
      <c r="EK204" s="147" t="str">
        <f t="shared" si="247"/>
        <v/>
      </c>
      <c r="EL204" s="149"/>
      <c r="EN204" s="146"/>
      <c r="EO204" s="146"/>
      <c r="EP204" s="139" t="str">
        <f t="shared" si="248"/>
        <v/>
      </c>
      <c r="EQ204" s="139" t="str">
        <f t="shared" si="249"/>
        <v/>
      </c>
      <c r="ER204" s="139" t="str">
        <f t="shared" si="250"/>
        <v/>
      </c>
      <c r="ES204" s="139" t="str">
        <f t="shared" si="251"/>
        <v/>
      </c>
      <c r="ET204" s="139" t="str">
        <f t="shared" si="252"/>
        <v/>
      </c>
      <c r="EU204" s="139" t="str">
        <f t="shared" si="253"/>
        <v/>
      </c>
      <c r="EV204" s="139" t="str">
        <f t="shared" si="254"/>
        <v/>
      </c>
      <c r="EW204" s="139" t="str">
        <f t="shared" si="255"/>
        <v/>
      </c>
      <c r="EX204" s="139" t="str">
        <f t="shared" si="256"/>
        <v/>
      </c>
      <c r="EY204" s="139" t="str">
        <f t="shared" si="257"/>
        <v/>
      </c>
      <c r="EZ204" s="139" t="str">
        <f t="shared" si="258"/>
        <v/>
      </c>
      <c r="FA204" s="139" t="str">
        <f t="shared" si="259"/>
        <v/>
      </c>
      <c r="FB204" s="139" t="str">
        <f t="shared" si="260"/>
        <v/>
      </c>
      <c r="FC204" s="139" t="str">
        <f t="shared" si="261"/>
        <v/>
      </c>
      <c r="FD204" s="139" t="str">
        <f t="shared" si="262"/>
        <v/>
      </c>
      <c r="FE204" s="139" t="str">
        <f t="shared" si="263"/>
        <v/>
      </c>
      <c r="FF204" s="139" t="str">
        <f t="shared" si="264"/>
        <v/>
      </c>
      <c r="FG204" s="139" t="str">
        <f t="shared" si="265"/>
        <v/>
      </c>
      <c r="FH204" s="139" t="str">
        <f t="shared" si="266"/>
        <v/>
      </c>
      <c r="FI204" s="139" t="str">
        <f t="shared" si="267"/>
        <v/>
      </c>
      <c r="FJ204" s="139" t="str">
        <f t="shared" si="268"/>
        <v/>
      </c>
      <c r="FK204" s="139" t="str">
        <f t="shared" si="269"/>
        <v/>
      </c>
      <c r="FL204" s="139" t="str">
        <f t="shared" si="270"/>
        <v/>
      </c>
      <c r="FM204" s="139" t="str">
        <f t="shared" si="271"/>
        <v/>
      </c>
      <c r="FN204" s="139" t="str">
        <f t="shared" si="272"/>
        <v/>
      </c>
      <c r="FO204" s="139" t="str">
        <f t="shared" si="273"/>
        <v/>
      </c>
      <c r="FP204" s="139" t="str">
        <f t="shared" si="274"/>
        <v/>
      </c>
      <c r="FQ204" s="139" t="str">
        <f t="shared" si="275"/>
        <v/>
      </c>
      <c r="FR204" s="139" t="str">
        <f t="shared" si="276"/>
        <v/>
      </c>
      <c r="FS204" s="139" t="str">
        <f t="shared" si="277"/>
        <v/>
      </c>
      <c r="FT204" s="139" t="str">
        <f t="shared" si="278"/>
        <v/>
      </c>
      <c r="FU204" s="148" t="str">
        <f t="shared" si="279"/>
        <v/>
      </c>
      <c r="FV204" s="149"/>
      <c r="FY204" s="212">
        <v>199</v>
      </c>
      <c r="FZ204">
        <v>0.72384494617478023</v>
      </c>
      <c r="GA204">
        <v>7.781359638007288</v>
      </c>
      <c r="GB204">
        <v>9.4812453339289195</v>
      </c>
      <c r="GC204">
        <v>3.6026881298418902</v>
      </c>
      <c r="GD204">
        <v>0.69686861824662838</v>
      </c>
      <c r="GE204">
        <v>0</v>
      </c>
      <c r="GF204">
        <v>0</v>
      </c>
      <c r="GG204">
        <v>0.57818975631584713</v>
      </c>
      <c r="GH204">
        <v>0</v>
      </c>
      <c r="GI204">
        <v>6.1247308749348859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7.942401960784311</v>
      </c>
      <c r="AO205">
        <v>21.752517679237933</v>
      </c>
      <c r="AP205">
        <v>542.06448829993144</v>
      </c>
      <c r="AQ205">
        <v>42.671507519261013</v>
      </c>
      <c r="AR205">
        <v>19.808996344135277</v>
      </c>
      <c r="AS205">
        <v>98.737855050814858</v>
      </c>
      <c r="AT205" t="e">
        <v>#DIV/0!</v>
      </c>
      <c r="AU205" t="e">
        <v>#DIV/0!</v>
      </c>
      <c r="AV205"/>
      <c r="AW205"/>
      <c r="AX205" s="146"/>
      <c r="AY205" s="76" t="str">
        <f t="shared" ca="1" si="170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5"/>
        <v/>
      </c>
      <c r="CL205" s="179" t="str">
        <f t="shared" si="206"/>
        <v/>
      </c>
      <c r="CM205" s="180" t="str">
        <f t="shared" si="207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8"/>
        <v/>
      </c>
      <c r="DB205" s="146"/>
      <c r="DC205" s="76" t="str">
        <f t="shared" ca="1" si="171"/>
        <v/>
      </c>
      <c r="DD205" t="str">
        <f t="shared" si="209"/>
        <v/>
      </c>
      <c r="DE205" s="129" t="str">
        <f t="shared" si="334"/>
        <v/>
      </c>
      <c r="DF205" s="161" t="str">
        <f t="shared" si="281"/>
        <v/>
      </c>
      <c r="DG205" s="161" t="str">
        <f t="shared" si="282"/>
        <v/>
      </c>
      <c r="DH205" s="161" t="str">
        <f t="shared" si="283"/>
        <v/>
      </c>
      <c r="DI205" s="161" t="str">
        <f t="shared" si="284"/>
        <v/>
      </c>
      <c r="DJ205" s="161" t="str">
        <f t="shared" si="285"/>
        <v/>
      </c>
      <c r="DK205" s="161" t="str">
        <f t="shared" si="286"/>
        <v/>
      </c>
      <c r="DL205" s="161" t="str">
        <f t="shared" si="287"/>
        <v/>
      </c>
      <c r="DM205" s="161" t="str">
        <f t="shared" si="288"/>
        <v/>
      </c>
      <c r="DN205" s="161" t="str">
        <f t="shared" si="311"/>
        <v/>
      </c>
      <c r="DO205" s="161" t="str">
        <f t="shared" si="312"/>
        <v/>
      </c>
      <c r="DP205" s="161" t="str">
        <f t="shared" si="313"/>
        <v/>
      </c>
      <c r="DQ205" s="161" t="str">
        <f t="shared" si="314"/>
        <v/>
      </c>
      <c r="DR205" s="161" t="str">
        <f t="shared" si="315"/>
        <v/>
      </c>
      <c r="DS205" s="161" t="str">
        <f t="shared" si="316"/>
        <v/>
      </c>
      <c r="DT205" s="161" t="str">
        <f t="shared" si="317"/>
        <v/>
      </c>
      <c r="DU205" s="161" t="str">
        <f t="shared" si="318"/>
        <v/>
      </c>
      <c r="DV205" s="161" t="str">
        <f t="shared" si="319"/>
        <v/>
      </c>
      <c r="DW205" s="161" t="str">
        <f t="shared" si="320"/>
        <v/>
      </c>
      <c r="DX205" s="161" t="str">
        <f t="shared" si="321"/>
        <v/>
      </c>
      <c r="DY205" s="161" t="str">
        <f t="shared" si="322"/>
        <v/>
      </c>
      <c r="DZ205" s="161" t="str">
        <f t="shared" si="323"/>
        <v/>
      </c>
      <c r="EA205" s="161" t="str">
        <f t="shared" si="324"/>
        <v/>
      </c>
      <c r="EB205" s="161" t="str">
        <f t="shared" si="325"/>
        <v/>
      </c>
      <c r="EC205" s="161" t="str">
        <f t="shared" si="326"/>
        <v/>
      </c>
      <c r="ED205" s="161" t="str">
        <f t="shared" si="327"/>
        <v/>
      </c>
      <c r="EE205" s="161" t="str">
        <f t="shared" si="328"/>
        <v/>
      </c>
      <c r="EF205" s="161" t="str">
        <f t="shared" si="329"/>
        <v/>
      </c>
      <c r="EG205" s="161" t="str">
        <f t="shared" si="330"/>
        <v/>
      </c>
      <c r="EH205" s="161" t="str">
        <f t="shared" si="331"/>
        <v/>
      </c>
      <c r="EI205" s="161" t="str">
        <f t="shared" si="332"/>
        <v/>
      </c>
      <c r="EJ205" s="161" t="str">
        <f t="shared" si="333"/>
        <v/>
      </c>
      <c r="EK205" s="147" t="str">
        <f t="shared" si="247"/>
        <v/>
      </c>
      <c r="EL205" s="149"/>
      <c r="EN205" s="146"/>
      <c r="EO205" s="146"/>
      <c r="EP205" s="139" t="str">
        <f t="shared" si="248"/>
        <v/>
      </c>
      <c r="EQ205" s="139" t="str">
        <f t="shared" si="249"/>
        <v/>
      </c>
      <c r="ER205" s="139" t="str">
        <f t="shared" si="250"/>
        <v/>
      </c>
      <c r="ES205" s="139" t="str">
        <f t="shared" si="251"/>
        <v/>
      </c>
      <c r="ET205" s="139" t="str">
        <f t="shared" si="252"/>
        <v/>
      </c>
      <c r="EU205" s="139" t="str">
        <f t="shared" si="253"/>
        <v/>
      </c>
      <c r="EV205" s="139" t="str">
        <f t="shared" si="254"/>
        <v/>
      </c>
      <c r="EW205" s="139" t="str">
        <f t="shared" si="255"/>
        <v/>
      </c>
      <c r="EX205" s="139" t="str">
        <f t="shared" si="256"/>
        <v/>
      </c>
      <c r="EY205" s="139" t="str">
        <f t="shared" si="257"/>
        <v/>
      </c>
      <c r="EZ205" s="139" t="str">
        <f t="shared" si="258"/>
        <v/>
      </c>
      <c r="FA205" s="139" t="str">
        <f t="shared" si="259"/>
        <v/>
      </c>
      <c r="FB205" s="139" t="str">
        <f t="shared" si="260"/>
        <v/>
      </c>
      <c r="FC205" s="139" t="str">
        <f t="shared" si="261"/>
        <v/>
      </c>
      <c r="FD205" s="139" t="str">
        <f t="shared" si="262"/>
        <v/>
      </c>
      <c r="FE205" s="139" t="str">
        <f t="shared" si="263"/>
        <v/>
      </c>
      <c r="FF205" s="139" t="str">
        <f t="shared" si="264"/>
        <v/>
      </c>
      <c r="FG205" s="139" t="str">
        <f t="shared" si="265"/>
        <v/>
      </c>
      <c r="FH205" s="139" t="str">
        <f t="shared" si="266"/>
        <v/>
      </c>
      <c r="FI205" s="139" t="str">
        <f t="shared" si="267"/>
        <v/>
      </c>
      <c r="FJ205" s="139" t="str">
        <f t="shared" si="268"/>
        <v/>
      </c>
      <c r="FK205" s="139" t="str">
        <f t="shared" si="269"/>
        <v/>
      </c>
      <c r="FL205" s="139" t="str">
        <f t="shared" si="270"/>
        <v/>
      </c>
      <c r="FM205" s="139" t="str">
        <f t="shared" si="271"/>
        <v/>
      </c>
      <c r="FN205" s="139" t="str">
        <f t="shared" si="272"/>
        <v/>
      </c>
      <c r="FO205" s="139" t="str">
        <f t="shared" si="273"/>
        <v/>
      </c>
      <c r="FP205" s="139" t="str">
        <f t="shared" si="274"/>
        <v/>
      </c>
      <c r="FQ205" s="139" t="str">
        <f t="shared" si="275"/>
        <v/>
      </c>
      <c r="FR205" s="139" t="str">
        <f t="shared" si="276"/>
        <v/>
      </c>
      <c r="FS205" s="139" t="str">
        <f t="shared" si="277"/>
        <v/>
      </c>
      <c r="FT205" s="139" t="str">
        <f t="shared" si="278"/>
        <v/>
      </c>
      <c r="FU205" s="148" t="str">
        <f t="shared" si="279"/>
        <v/>
      </c>
      <c r="FV205" s="149"/>
      <c r="FY205" s="212">
        <v>200</v>
      </c>
      <c r="FZ205">
        <v>1.9772087869650721</v>
      </c>
      <c r="GA205">
        <v>10.689753153165412</v>
      </c>
      <c r="GB205">
        <v>16.891225170063326</v>
      </c>
      <c r="GC205">
        <v>7.5979664495626977</v>
      </c>
      <c r="GD205">
        <v>1.1465490546211037</v>
      </c>
      <c r="GE205">
        <v>0.35947809610506914</v>
      </c>
      <c r="GF205">
        <v>0</v>
      </c>
      <c r="GG205">
        <v>0</v>
      </c>
      <c r="GH205">
        <v>0</v>
      </c>
      <c r="GI205">
        <v>12.418879600341032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10.21875</v>
      </c>
      <c r="AO206">
        <v>35.269329529675254</v>
      </c>
      <c r="AP206">
        <v>313.03231139786749</v>
      </c>
      <c r="AQ206">
        <v>63.810749001313042</v>
      </c>
      <c r="AR206">
        <v>32.063026845159321</v>
      </c>
      <c r="AS206">
        <v>209.92998876374455</v>
      </c>
      <c r="AT206" t="e">
        <v>#DIV/0!</v>
      </c>
      <c r="AU206" t="e">
        <v>#DIV/0!</v>
      </c>
      <c r="AV206"/>
      <c r="AW206"/>
      <c r="AX206" s="146"/>
      <c r="AY206" s="76" t="str">
        <f t="shared" ca="1" si="170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5"/>
        <v/>
      </c>
      <c r="CL206" s="179" t="str">
        <f t="shared" si="206"/>
        <v/>
      </c>
      <c r="CM206" s="180" t="str">
        <f t="shared" si="207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8"/>
        <v/>
      </c>
      <c r="DB206" s="146"/>
      <c r="DC206" s="76" t="str">
        <f t="shared" ca="1" si="171"/>
        <v/>
      </c>
      <c r="DD206" t="str">
        <f t="shared" si="209"/>
        <v/>
      </c>
      <c r="DE206" s="129" t="str">
        <f t="shared" si="334"/>
        <v/>
      </c>
      <c r="DF206" s="161" t="str">
        <f t="shared" si="281"/>
        <v/>
      </c>
      <c r="DG206" s="161" t="str">
        <f t="shared" si="282"/>
        <v/>
      </c>
      <c r="DH206" s="161" t="str">
        <f t="shared" si="283"/>
        <v/>
      </c>
      <c r="DI206" s="161" t="str">
        <f t="shared" si="284"/>
        <v/>
      </c>
      <c r="DJ206" s="161" t="str">
        <f t="shared" si="285"/>
        <v/>
      </c>
      <c r="DK206" s="161" t="str">
        <f t="shared" si="286"/>
        <v/>
      </c>
      <c r="DL206" s="161" t="str">
        <f t="shared" si="287"/>
        <v/>
      </c>
      <c r="DM206" s="161" t="str">
        <f t="shared" si="288"/>
        <v/>
      </c>
      <c r="DN206" s="161" t="str">
        <f t="shared" si="311"/>
        <v/>
      </c>
      <c r="DO206" s="161" t="str">
        <f t="shared" si="312"/>
        <v/>
      </c>
      <c r="DP206" s="161" t="str">
        <f t="shared" si="313"/>
        <v/>
      </c>
      <c r="DQ206" s="161" t="str">
        <f t="shared" si="314"/>
        <v/>
      </c>
      <c r="DR206" s="161" t="str">
        <f t="shared" si="315"/>
        <v/>
      </c>
      <c r="DS206" s="161" t="str">
        <f t="shared" si="316"/>
        <v/>
      </c>
      <c r="DT206" s="161" t="str">
        <f t="shared" si="317"/>
        <v/>
      </c>
      <c r="DU206" s="161" t="str">
        <f t="shared" si="318"/>
        <v/>
      </c>
      <c r="DV206" s="161" t="str">
        <f t="shared" si="319"/>
        <v/>
      </c>
      <c r="DW206" s="161" t="str">
        <f t="shared" si="320"/>
        <v/>
      </c>
      <c r="DX206" s="161" t="str">
        <f t="shared" si="321"/>
        <v/>
      </c>
      <c r="DY206" s="161" t="str">
        <f t="shared" si="322"/>
        <v/>
      </c>
      <c r="DZ206" s="161" t="str">
        <f t="shared" si="323"/>
        <v/>
      </c>
      <c r="EA206" s="161" t="str">
        <f t="shared" si="324"/>
        <v/>
      </c>
      <c r="EB206" s="161" t="str">
        <f t="shared" si="325"/>
        <v/>
      </c>
      <c r="EC206" s="161" t="str">
        <f t="shared" si="326"/>
        <v/>
      </c>
      <c r="ED206" s="161" t="str">
        <f t="shared" si="327"/>
        <v/>
      </c>
      <c r="EE206" s="161" t="str">
        <f t="shared" si="328"/>
        <v/>
      </c>
      <c r="EF206" s="161" t="str">
        <f t="shared" si="329"/>
        <v/>
      </c>
      <c r="EG206" s="161" t="str">
        <f t="shared" si="330"/>
        <v/>
      </c>
      <c r="EH206" s="161" t="str">
        <f t="shared" si="331"/>
        <v/>
      </c>
      <c r="EI206" s="161" t="str">
        <f t="shared" si="332"/>
        <v/>
      </c>
      <c r="EJ206" s="161" t="str">
        <f t="shared" si="333"/>
        <v/>
      </c>
      <c r="EK206" s="147" t="str">
        <f t="shared" si="247"/>
        <v/>
      </c>
      <c r="EL206" s="149"/>
      <c r="EN206" s="146"/>
      <c r="EO206" s="146"/>
      <c r="EP206" s="139" t="str">
        <f t="shared" si="248"/>
        <v/>
      </c>
      <c r="EQ206" s="139" t="str">
        <f t="shared" si="249"/>
        <v/>
      </c>
      <c r="ER206" s="139" t="str">
        <f t="shared" si="250"/>
        <v/>
      </c>
      <c r="ES206" s="139" t="str">
        <f t="shared" si="251"/>
        <v/>
      </c>
      <c r="ET206" s="139" t="str">
        <f t="shared" si="252"/>
        <v/>
      </c>
      <c r="EU206" s="139" t="str">
        <f t="shared" si="253"/>
        <v/>
      </c>
      <c r="EV206" s="139" t="str">
        <f t="shared" si="254"/>
        <v/>
      </c>
      <c r="EW206" s="139" t="str">
        <f t="shared" si="255"/>
        <v/>
      </c>
      <c r="EX206" s="139" t="str">
        <f t="shared" si="256"/>
        <v/>
      </c>
      <c r="EY206" s="139" t="str">
        <f t="shared" si="257"/>
        <v/>
      </c>
      <c r="EZ206" s="139" t="str">
        <f t="shared" si="258"/>
        <v/>
      </c>
      <c r="FA206" s="139" t="str">
        <f t="shared" si="259"/>
        <v/>
      </c>
      <c r="FB206" s="139" t="str">
        <f t="shared" si="260"/>
        <v/>
      </c>
      <c r="FC206" s="139" t="str">
        <f t="shared" si="261"/>
        <v/>
      </c>
      <c r="FD206" s="139" t="str">
        <f t="shared" si="262"/>
        <v/>
      </c>
      <c r="FE206" s="139" t="str">
        <f t="shared" si="263"/>
        <v/>
      </c>
      <c r="FF206" s="139" t="str">
        <f t="shared" si="264"/>
        <v/>
      </c>
      <c r="FG206" s="139" t="str">
        <f t="shared" si="265"/>
        <v/>
      </c>
      <c r="FH206" s="139" t="str">
        <f t="shared" si="266"/>
        <v/>
      </c>
      <c r="FI206" s="139" t="str">
        <f t="shared" si="267"/>
        <v/>
      </c>
      <c r="FJ206" s="139" t="str">
        <f t="shared" si="268"/>
        <v/>
      </c>
      <c r="FK206" s="139" t="str">
        <f t="shared" si="269"/>
        <v/>
      </c>
      <c r="FL206" s="139" t="str">
        <f t="shared" si="270"/>
        <v/>
      </c>
      <c r="FM206" s="139" t="str">
        <f t="shared" si="271"/>
        <v/>
      </c>
      <c r="FN206" s="139" t="str">
        <f t="shared" si="272"/>
        <v/>
      </c>
      <c r="FO206" s="139" t="str">
        <f t="shared" si="273"/>
        <v/>
      </c>
      <c r="FP206" s="139" t="str">
        <f t="shared" si="274"/>
        <v/>
      </c>
      <c r="FQ206" s="139" t="str">
        <f t="shared" si="275"/>
        <v/>
      </c>
      <c r="FR206" s="139" t="str">
        <f t="shared" si="276"/>
        <v/>
      </c>
      <c r="FS206" s="139" t="str">
        <f t="shared" si="277"/>
        <v/>
      </c>
      <c r="FT206" s="139" t="str">
        <f t="shared" si="278"/>
        <v/>
      </c>
      <c r="FU206" s="148" t="str">
        <f t="shared" si="279"/>
        <v/>
      </c>
      <c r="FV206" s="149"/>
      <c r="FY206" s="212">
        <v>201</v>
      </c>
      <c r="FZ206">
        <v>0.74064316864268975</v>
      </c>
      <c r="GA206">
        <v>18.967418169945237</v>
      </c>
      <c r="GB206">
        <v>25.422212271006234</v>
      </c>
      <c r="GC206">
        <v>8.5906453070771978</v>
      </c>
      <c r="GD206">
        <v>0.37397709322156591</v>
      </c>
      <c r="GE206">
        <v>0.35947809610506914</v>
      </c>
      <c r="GF206">
        <v>0.80138167652982462</v>
      </c>
      <c r="GG206">
        <v>4.407519146589534</v>
      </c>
      <c r="GH206">
        <v>3.245920257062465</v>
      </c>
      <c r="GI206">
        <v>14.000092043739558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7.0374999999999996</v>
      </c>
      <c r="AO207">
        <v>42.189708538577889</v>
      </c>
      <c r="AP207">
        <v>890.40786279437634</v>
      </c>
      <c r="AQ207">
        <v>50.468648537246025</v>
      </c>
      <c r="AR207">
        <v>38.456221305918639</v>
      </c>
      <c r="AS207">
        <v>181.91726085331314</v>
      </c>
      <c r="AT207" t="e">
        <v>#DIV/0!</v>
      </c>
      <c r="AU207" t="e">
        <v>#DIV/0!</v>
      </c>
      <c r="AV207"/>
      <c r="AW207"/>
      <c r="AX207" s="146"/>
      <c r="AY207" s="76" t="str">
        <f t="shared" ca="1" si="170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5"/>
        <v/>
      </c>
      <c r="CL207" s="179" t="str">
        <f t="shared" si="206"/>
        <v/>
      </c>
      <c r="CM207" s="180" t="str">
        <f t="shared" si="207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8"/>
        <v/>
      </c>
      <c r="DB207" s="146"/>
      <c r="DC207" s="76" t="str">
        <f t="shared" ca="1" si="171"/>
        <v/>
      </c>
      <c r="DD207" t="str">
        <f t="shared" si="209"/>
        <v/>
      </c>
      <c r="DE207" s="129" t="str">
        <f t="shared" si="334"/>
        <v/>
      </c>
      <c r="DF207" s="161" t="str">
        <f t="shared" si="281"/>
        <v/>
      </c>
      <c r="DG207" s="161" t="str">
        <f t="shared" si="282"/>
        <v/>
      </c>
      <c r="DH207" s="161" t="str">
        <f t="shared" si="283"/>
        <v/>
      </c>
      <c r="DI207" s="161" t="str">
        <f t="shared" si="284"/>
        <v/>
      </c>
      <c r="DJ207" s="161" t="str">
        <f t="shared" si="285"/>
        <v/>
      </c>
      <c r="DK207" s="161" t="str">
        <f t="shared" si="286"/>
        <v/>
      </c>
      <c r="DL207" s="161" t="str">
        <f t="shared" si="287"/>
        <v/>
      </c>
      <c r="DM207" s="161" t="str">
        <f t="shared" si="288"/>
        <v/>
      </c>
      <c r="DN207" s="161" t="str">
        <f t="shared" si="311"/>
        <v/>
      </c>
      <c r="DO207" s="161" t="str">
        <f t="shared" ref="DO207:EJ207" si="335">IF($AZ207="", "", (BK207*$CW207)/$CZ207)</f>
        <v/>
      </c>
      <c r="DP207" s="161" t="str">
        <f t="shared" si="335"/>
        <v/>
      </c>
      <c r="DQ207" s="161" t="str">
        <f t="shared" si="335"/>
        <v/>
      </c>
      <c r="DR207" s="161" t="str">
        <f t="shared" si="335"/>
        <v/>
      </c>
      <c r="DS207" s="161" t="str">
        <f t="shared" si="335"/>
        <v/>
      </c>
      <c r="DT207" s="161" t="str">
        <f t="shared" si="335"/>
        <v/>
      </c>
      <c r="DU207" s="161" t="str">
        <f t="shared" si="335"/>
        <v/>
      </c>
      <c r="DV207" s="161" t="str">
        <f t="shared" si="335"/>
        <v/>
      </c>
      <c r="DW207" s="161" t="str">
        <f t="shared" si="335"/>
        <v/>
      </c>
      <c r="DX207" s="161" t="str">
        <f t="shared" si="335"/>
        <v/>
      </c>
      <c r="DY207" s="161" t="str">
        <f t="shared" si="335"/>
        <v/>
      </c>
      <c r="DZ207" s="161" t="str">
        <f t="shared" si="335"/>
        <v/>
      </c>
      <c r="EA207" s="161" t="str">
        <f t="shared" si="335"/>
        <v/>
      </c>
      <c r="EB207" s="161" t="str">
        <f t="shared" si="335"/>
        <v/>
      </c>
      <c r="EC207" s="161" t="str">
        <f t="shared" si="335"/>
        <v/>
      </c>
      <c r="ED207" s="161" t="str">
        <f t="shared" si="335"/>
        <v/>
      </c>
      <c r="EE207" s="161" t="str">
        <f t="shared" si="335"/>
        <v/>
      </c>
      <c r="EF207" s="161" t="str">
        <f t="shared" si="335"/>
        <v/>
      </c>
      <c r="EG207" s="161" t="str">
        <f t="shared" si="335"/>
        <v/>
      </c>
      <c r="EH207" s="161" t="str">
        <f t="shared" si="335"/>
        <v/>
      </c>
      <c r="EI207" s="161" t="str">
        <f t="shared" si="335"/>
        <v/>
      </c>
      <c r="EJ207" s="161" t="str">
        <f t="shared" si="335"/>
        <v/>
      </c>
      <c r="EK207" s="147" t="str">
        <f t="shared" si="247"/>
        <v/>
      </c>
      <c r="EL207" s="149"/>
      <c r="EN207" s="146"/>
      <c r="EO207" s="146"/>
      <c r="EP207" s="139" t="str">
        <f t="shared" si="248"/>
        <v/>
      </c>
      <c r="EQ207" s="139" t="str">
        <f t="shared" si="249"/>
        <v/>
      </c>
      <c r="ER207" s="139" t="str">
        <f t="shared" si="250"/>
        <v/>
      </c>
      <c r="ES207" s="139" t="str">
        <f t="shared" si="251"/>
        <v/>
      </c>
      <c r="ET207" s="139" t="str">
        <f t="shared" si="252"/>
        <v/>
      </c>
      <c r="EU207" s="139" t="str">
        <f t="shared" si="253"/>
        <v/>
      </c>
      <c r="EV207" s="139" t="str">
        <f t="shared" si="254"/>
        <v/>
      </c>
      <c r="EW207" s="139" t="str">
        <f t="shared" si="255"/>
        <v/>
      </c>
      <c r="EX207" s="139" t="str">
        <f t="shared" si="256"/>
        <v/>
      </c>
      <c r="EY207" s="139" t="str">
        <f t="shared" si="257"/>
        <v/>
      </c>
      <c r="EZ207" s="139" t="str">
        <f t="shared" si="258"/>
        <v/>
      </c>
      <c r="FA207" s="139" t="str">
        <f t="shared" si="259"/>
        <v/>
      </c>
      <c r="FB207" s="139" t="str">
        <f t="shared" si="260"/>
        <v/>
      </c>
      <c r="FC207" s="139" t="str">
        <f t="shared" si="261"/>
        <v/>
      </c>
      <c r="FD207" s="139" t="str">
        <f t="shared" si="262"/>
        <v/>
      </c>
      <c r="FE207" s="139" t="str">
        <f t="shared" si="263"/>
        <v/>
      </c>
      <c r="FF207" s="139" t="str">
        <f t="shared" si="264"/>
        <v/>
      </c>
      <c r="FG207" s="139" t="str">
        <f t="shared" si="265"/>
        <v/>
      </c>
      <c r="FH207" s="139" t="str">
        <f t="shared" si="266"/>
        <v/>
      </c>
      <c r="FI207" s="139" t="str">
        <f t="shared" si="267"/>
        <v/>
      </c>
      <c r="FJ207" s="139" t="str">
        <f t="shared" si="268"/>
        <v/>
      </c>
      <c r="FK207" s="139" t="str">
        <f t="shared" si="269"/>
        <v/>
      </c>
      <c r="FL207" s="139" t="str">
        <f t="shared" si="270"/>
        <v/>
      </c>
      <c r="FM207" s="139" t="str">
        <f t="shared" si="271"/>
        <v/>
      </c>
      <c r="FN207" s="139" t="str">
        <f t="shared" si="272"/>
        <v/>
      </c>
      <c r="FO207" s="139" t="str">
        <f t="shared" si="273"/>
        <v/>
      </c>
      <c r="FP207" s="139" t="str">
        <f t="shared" si="274"/>
        <v/>
      </c>
      <c r="FQ207" s="139" t="str">
        <f t="shared" si="275"/>
        <v/>
      </c>
      <c r="FR207" s="139" t="str">
        <f t="shared" si="276"/>
        <v/>
      </c>
      <c r="FS207" s="139" t="str">
        <f t="shared" si="277"/>
        <v/>
      </c>
      <c r="FT207" s="139" t="str">
        <f t="shared" si="278"/>
        <v/>
      </c>
      <c r="FU207" s="148" t="str">
        <f t="shared" si="279"/>
        <v/>
      </c>
      <c r="FV207" s="149"/>
      <c r="FY207" s="212">
        <v>202</v>
      </c>
      <c r="FZ207">
        <v>3.4786038159061068</v>
      </c>
      <c r="GA207">
        <v>13.758782087907999</v>
      </c>
      <c r="GB207">
        <v>14.113658765352719</v>
      </c>
      <c r="GC207">
        <v>5.5901360548590935</v>
      </c>
      <c r="GD207">
        <v>0.63133338771722014</v>
      </c>
      <c r="GE207">
        <v>0</v>
      </c>
      <c r="GF207">
        <v>0</v>
      </c>
      <c r="GG207">
        <v>0.83160738614896845</v>
      </c>
      <c r="GH207">
        <v>1.6229601285312325</v>
      </c>
      <c r="GI207">
        <v>12.265982827100837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10.219485294117646</v>
      </c>
      <c r="AO208">
        <v>43.215912351105644</v>
      </c>
      <c r="AP208">
        <v>823.00227140124002</v>
      </c>
      <c r="AQ208">
        <v>55.810876208551115</v>
      </c>
      <c r="AR208">
        <v>39.287193046459677</v>
      </c>
      <c r="AS208">
        <v>205.12946069158261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2">
        <v>203</v>
      </c>
      <c r="FZ208">
        <v>1.0824569500744243</v>
      </c>
      <c r="GA208">
        <v>25.178649458780971</v>
      </c>
      <c r="GB208">
        <v>20.861772984912939</v>
      </c>
      <c r="GC208">
        <v>5.3710857464855177</v>
      </c>
      <c r="GD208">
        <v>0.41460418958545275</v>
      </c>
      <c r="GE208">
        <v>0</v>
      </c>
      <c r="GF208">
        <v>0.80138167652982462</v>
      </c>
      <c r="GG208">
        <v>3.9006838869232907</v>
      </c>
      <c r="GH208">
        <v>0</v>
      </c>
      <c r="GI208">
        <v>8.8261672964306896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4.8125</v>
      </c>
      <c r="AO209">
        <v>14.402963342609549</v>
      </c>
      <c r="AP209">
        <v>528.08068284315596</v>
      </c>
      <c r="AQ209">
        <v>47.499917483066064</v>
      </c>
      <c r="AR209">
        <v>13.093603038735955</v>
      </c>
      <c r="AS209">
        <v>81.720354393944675</v>
      </c>
      <c r="AT209" t="e">
        <v>#DIV/0!</v>
      </c>
      <c r="AU209" t="e">
        <v>#DIV/0!</v>
      </c>
      <c r="AV209"/>
      <c r="AW209"/>
      <c r="FY209" s="212">
        <v>204</v>
      </c>
      <c r="FZ209">
        <v>1.6521932280012464</v>
      </c>
      <c r="GA209">
        <v>22.497686054610121</v>
      </c>
      <c r="GB209">
        <v>11.579792432933267</v>
      </c>
      <c r="GC209">
        <v>2.4604709025392384</v>
      </c>
      <c r="GD209">
        <v>1.1907332144970155</v>
      </c>
      <c r="GE209">
        <v>0.35947809610506914</v>
      </c>
      <c r="GF209">
        <v>0.80138167652982462</v>
      </c>
      <c r="GG209">
        <v>5.5638986592212287</v>
      </c>
      <c r="GH209">
        <v>3.245920257062465</v>
      </c>
      <c r="GI209">
        <v>10.336755087090815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8.4246936274509796</v>
      </c>
      <c r="AO210">
        <v>30.713985537653901</v>
      </c>
      <c r="AP210">
        <v>549.98310100136587</v>
      </c>
      <c r="AQ210">
        <v>39.267355360594117</v>
      </c>
      <c r="AR210">
        <v>27.989765578432408</v>
      </c>
      <c r="AS210">
        <v>191.8234441105227</v>
      </c>
      <c r="AT210" t="e">
        <v>#DIV/0!</v>
      </c>
      <c r="AU210" t="e">
        <v>#DIV/0!</v>
      </c>
      <c r="AV210"/>
      <c r="AW210"/>
      <c r="FY210" s="212">
        <v>205</v>
      </c>
      <c r="FZ210">
        <v>1.10256564173008</v>
      </c>
      <c r="GA210">
        <v>14.14071175217976</v>
      </c>
      <c r="GB210">
        <v>10.086073535172483</v>
      </c>
      <c r="GC210">
        <v>3.3159359426922919</v>
      </c>
      <c r="GD210">
        <v>0.84268382553744958</v>
      </c>
      <c r="GE210">
        <v>0</v>
      </c>
      <c r="GF210">
        <v>0.80138167652982462</v>
      </c>
      <c r="GG210">
        <v>2.7443043742915965</v>
      </c>
      <c r="GH210">
        <v>0</v>
      </c>
      <c r="GI210">
        <v>9.2479905966535458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10.73719362745098</v>
      </c>
      <c r="AO211">
        <v>49.620763949992508</v>
      </c>
      <c r="AP211">
        <v>919.52068987331404</v>
      </c>
      <c r="AQ211">
        <v>56.669161340677732</v>
      </c>
      <c r="AR211">
        <v>45.211726225386471</v>
      </c>
      <c r="AS211">
        <v>234.43904281654949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2">
        <v>206</v>
      </c>
      <c r="FZ211">
        <v>1.065658727606515</v>
      </c>
      <c r="GA211">
        <v>20.8117235776912</v>
      </c>
      <c r="GB211">
        <v>16.346221262132477</v>
      </c>
      <c r="GC211">
        <v>4.2962743793770271</v>
      </c>
      <c r="GD211">
        <v>1.2001314867930208</v>
      </c>
      <c r="GE211">
        <v>1.0784342883152076</v>
      </c>
      <c r="GF211">
        <v>2.4041450295894737</v>
      </c>
      <c r="GG211">
        <v>8.8111028791906367</v>
      </c>
      <c r="GH211">
        <v>0</v>
      </c>
      <c r="GI211">
        <v>10.292458010950392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13.210845588235292</v>
      </c>
      <c r="AO212">
        <v>51.9745456608807</v>
      </c>
      <c r="AP212">
        <v>704.78402380941134</v>
      </c>
      <c r="AQ212">
        <v>51.887117943785462</v>
      </c>
      <c r="AR212">
        <v>47.283567236537799</v>
      </c>
      <c r="AS212">
        <v>223.80989111838315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" si="336">AVERAGE(DF88:DF97)</f>
        <v>0</v>
      </c>
      <c r="DG212" s="182">
        <f t="shared" ref="DG212:EJ212" si="337">AVERAGE(DG88:DG97)</f>
        <v>0</v>
      </c>
      <c r="DH212" s="182">
        <f t="shared" si="337"/>
        <v>0</v>
      </c>
      <c r="DI212" s="182">
        <f t="shared" si="337"/>
        <v>0</v>
      </c>
      <c r="DJ212" s="182">
        <f t="shared" si="337"/>
        <v>0</v>
      </c>
      <c r="DK212" s="182">
        <f t="shared" si="337"/>
        <v>0</v>
      </c>
      <c r="DL212" s="182">
        <f t="shared" si="337"/>
        <v>1.0416666666666665</v>
      </c>
      <c r="DM212" s="182">
        <f t="shared" si="337"/>
        <v>0</v>
      </c>
      <c r="DN212" s="182">
        <f t="shared" si="337"/>
        <v>0</v>
      </c>
      <c r="DO212" s="182">
        <f t="shared" si="337"/>
        <v>0</v>
      </c>
      <c r="DP212" s="182">
        <f t="shared" si="337"/>
        <v>0</v>
      </c>
      <c r="DQ212" s="182">
        <f t="shared" si="337"/>
        <v>0</v>
      </c>
      <c r="DR212" s="182">
        <f t="shared" si="337"/>
        <v>0</v>
      </c>
      <c r="DS212" s="182">
        <f t="shared" si="337"/>
        <v>0</v>
      </c>
      <c r="DT212" s="182">
        <f t="shared" si="337"/>
        <v>0</v>
      </c>
      <c r="DU212" s="182">
        <f t="shared" si="337"/>
        <v>0</v>
      </c>
      <c r="DV212" s="182">
        <f t="shared" si="337"/>
        <v>0</v>
      </c>
      <c r="DW212" s="182">
        <f t="shared" si="337"/>
        <v>0</v>
      </c>
      <c r="DX212" s="182">
        <f t="shared" si="337"/>
        <v>0</v>
      </c>
      <c r="DY212" s="182">
        <f t="shared" si="337"/>
        <v>0</v>
      </c>
      <c r="DZ212" s="182">
        <f t="shared" si="337"/>
        <v>0</v>
      </c>
      <c r="EA212" s="182">
        <f t="shared" si="337"/>
        <v>0</v>
      </c>
      <c r="EB212" s="182">
        <f t="shared" si="337"/>
        <v>0</v>
      </c>
      <c r="EC212" s="182">
        <f t="shared" si="337"/>
        <v>0</v>
      </c>
      <c r="ED212" s="182">
        <f t="shared" si="337"/>
        <v>0</v>
      </c>
      <c r="EE212" s="182">
        <f t="shared" si="337"/>
        <v>0</v>
      </c>
      <c r="EF212" s="182">
        <f t="shared" si="337"/>
        <v>0</v>
      </c>
      <c r="EG212" s="182">
        <f t="shared" si="337"/>
        <v>0</v>
      </c>
      <c r="EH212" s="182">
        <f t="shared" si="337"/>
        <v>0</v>
      </c>
      <c r="EI212" s="182">
        <f t="shared" si="337"/>
        <v>0</v>
      </c>
      <c r="EJ212" s="182">
        <f t="shared" si="337"/>
        <v>0</v>
      </c>
      <c r="FY212" s="212">
        <v>207</v>
      </c>
      <c r="FZ212">
        <v>3.1166813428187163</v>
      </c>
      <c r="GA212">
        <v>30.857667656776492</v>
      </c>
      <c r="GB212">
        <v>22.320691295694356</v>
      </c>
      <c r="GC212">
        <v>6.1052091538462658</v>
      </c>
      <c r="GD212">
        <v>1.336922494655548</v>
      </c>
      <c r="GE212">
        <v>0.35947809610506914</v>
      </c>
      <c r="GF212">
        <v>0</v>
      </c>
      <c r="GG212">
        <v>1.9879868987806626</v>
      </c>
      <c r="GH212">
        <v>1.6229601285312325</v>
      </c>
      <c r="GI212">
        <v>9.0386442905458981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6.5624999999999982</v>
      </c>
      <c r="AO213">
        <v>28.14173999470275</v>
      </c>
      <c r="AP213">
        <v>369.12949111856722</v>
      </c>
      <c r="AQ213">
        <v>50.340379359616193</v>
      </c>
      <c r="AR213">
        <v>25.583399995184326</v>
      </c>
      <c r="AS213">
        <v>213.85872895576924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DG213" si="338">AVERAGE(DF98:DF107)</f>
        <v>0</v>
      </c>
      <c r="DG213" s="185">
        <f t="shared" si="338"/>
        <v>7.1486928104575158</v>
      </c>
      <c r="DH213" s="185">
        <f t="shared" ref="DH213:EJ213" si="339">AVERAGE(DH98:DH107)</f>
        <v>0</v>
      </c>
      <c r="DI213" s="185">
        <f t="shared" si="339"/>
        <v>15.339052287581698</v>
      </c>
      <c r="DJ213" s="185">
        <f t="shared" si="339"/>
        <v>1.0416666666666665</v>
      </c>
      <c r="DK213" s="185">
        <f t="shared" si="339"/>
        <v>0</v>
      </c>
      <c r="DL213" s="185">
        <f t="shared" si="339"/>
        <v>0</v>
      </c>
      <c r="DM213" s="185">
        <f t="shared" si="339"/>
        <v>0</v>
      </c>
      <c r="DN213" s="185">
        <f t="shared" si="339"/>
        <v>0</v>
      </c>
      <c r="DO213" s="185">
        <f t="shared" si="339"/>
        <v>0</v>
      </c>
      <c r="DP213" s="185">
        <f t="shared" si="339"/>
        <v>0</v>
      </c>
      <c r="DQ213" s="185">
        <f t="shared" si="339"/>
        <v>0</v>
      </c>
      <c r="DR213" s="185">
        <f t="shared" si="339"/>
        <v>0</v>
      </c>
      <c r="DS213" s="185">
        <f t="shared" si="339"/>
        <v>0</v>
      </c>
      <c r="DT213" s="185">
        <f t="shared" si="339"/>
        <v>0</v>
      </c>
      <c r="DU213" s="185">
        <f t="shared" si="339"/>
        <v>0</v>
      </c>
      <c r="DV213" s="185">
        <f t="shared" si="339"/>
        <v>0</v>
      </c>
      <c r="DW213" s="185">
        <f t="shared" si="339"/>
        <v>0</v>
      </c>
      <c r="DX213" s="185">
        <f t="shared" si="339"/>
        <v>0</v>
      </c>
      <c r="DY213" s="185">
        <f t="shared" si="339"/>
        <v>0</v>
      </c>
      <c r="DZ213" s="185">
        <f t="shared" si="339"/>
        <v>0</v>
      </c>
      <c r="EA213" s="185">
        <f t="shared" si="339"/>
        <v>0</v>
      </c>
      <c r="EB213" s="185">
        <f t="shared" si="339"/>
        <v>0</v>
      </c>
      <c r="EC213" s="185">
        <f t="shared" si="339"/>
        <v>0</v>
      </c>
      <c r="ED213" s="185">
        <f t="shared" si="339"/>
        <v>0</v>
      </c>
      <c r="EE213" s="185">
        <f t="shared" si="339"/>
        <v>0</v>
      </c>
      <c r="EF213" s="185">
        <f t="shared" si="339"/>
        <v>0</v>
      </c>
      <c r="EG213" s="185">
        <f t="shared" si="339"/>
        <v>0</v>
      </c>
      <c r="EH213" s="185">
        <f t="shared" si="339"/>
        <v>0</v>
      </c>
      <c r="EI213" s="185">
        <f t="shared" si="339"/>
        <v>0</v>
      </c>
      <c r="EJ213" s="185">
        <f t="shared" si="339"/>
        <v>0</v>
      </c>
      <c r="FY213" s="212">
        <v>208</v>
      </c>
      <c r="FZ213">
        <v>0.70373625451912492</v>
      </c>
      <c r="GA213">
        <v>19.770436200564852</v>
      </c>
      <c r="GB213">
        <v>18.015427224301423</v>
      </c>
      <c r="GC213">
        <v>4.6384116289471633</v>
      </c>
      <c r="GD213">
        <v>0.12333704170258343</v>
      </c>
      <c r="GE213">
        <v>0</v>
      </c>
      <c r="GF213">
        <v>0.80138167652982462</v>
      </c>
      <c r="GG213">
        <v>3.5759117604405652</v>
      </c>
      <c r="GH213">
        <v>1.6229601285312325</v>
      </c>
      <c r="GI213">
        <v>6.8971562414276137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7.0447916666666668</v>
      </c>
      <c r="AO214">
        <v>31.303731384592169</v>
      </c>
      <c r="AP214">
        <v>990.03168060732844</v>
      </c>
      <c r="AQ214">
        <v>57.499228496786415</v>
      </c>
      <c r="AR214">
        <v>28.457937622356518</v>
      </c>
      <c r="AS214">
        <v>144.27003228306103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" si="340">AVERAGE(DF108:DF117)</f>
        <v>0</v>
      </c>
      <c r="DG214" s="182">
        <f t="shared" ref="DG214:EJ214" si="341">AVERAGE(DG108:DG117)</f>
        <v>0</v>
      </c>
      <c r="DH214" s="182">
        <f t="shared" si="341"/>
        <v>0</v>
      </c>
      <c r="DI214" s="182">
        <f t="shared" si="341"/>
        <v>0</v>
      </c>
      <c r="DJ214" s="182">
        <f t="shared" si="341"/>
        <v>0</v>
      </c>
      <c r="DK214" s="182">
        <f t="shared" si="341"/>
        <v>1.0416666666666665</v>
      </c>
      <c r="DL214" s="182">
        <f t="shared" si="341"/>
        <v>2.083333333333333</v>
      </c>
      <c r="DM214" s="182">
        <f t="shared" si="341"/>
        <v>4.1666666666666661</v>
      </c>
      <c r="DN214" s="182">
        <f t="shared" si="341"/>
        <v>1.0416666666666665</v>
      </c>
      <c r="DO214" s="182">
        <f t="shared" si="341"/>
        <v>4.1666666666666661</v>
      </c>
      <c r="DP214" s="182">
        <f t="shared" si="341"/>
        <v>1.0416666666666665</v>
      </c>
      <c r="DQ214" s="182">
        <f t="shared" si="341"/>
        <v>2.083333333333333</v>
      </c>
      <c r="DR214" s="182">
        <f t="shared" si="341"/>
        <v>1.0416666666666665</v>
      </c>
      <c r="DS214" s="182">
        <f t="shared" si="341"/>
        <v>0</v>
      </c>
      <c r="DT214" s="182">
        <f t="shared" si="341"/>
        <v>0</v>
      </c>
      <c r="DU214" s="182">
        <f t="shared" si="341"/>
        <v>0</v>
      </c>
      <c r="DV214" s="182">
        <f t="shared" si="341"/>
        <v>0</v>
      </c>
      <c r="DW214" s="182">
        <f t="shared" si="341"/>
        <v>0</v>
      </c>
      <c r="DX214" s="182">
        <f t="shared" si="341"/>
        <v>0</v>
      </c>
      <c r="DY214" s="182">
        <f t="shared" si="341"/>
        <v>0</v>
      </c>
      <c r="DZ214" s="182">
        <f t="shared" si="341"/>
        <v>0</v>
      </c>
      <c r="EA214" s="182">
        <f t="shared" si="341"/>
        <v>0</v>
      </c>
      <c r="EB214" s="182">
        <f t="shared" si="341"/>
        <v>0</v>
      </c>
      <c r="EC214" s="182">
        <f t="shared" si="341"/>
        <v>0</v>
      </c>
      <c r="ED214" s="182">
        <f t="shared" si="341"/>
        <v>0</v>
      </c>
      <c r="EE214" s="182">
        <f t="shared" si="341"/>
        <v>0</v>
      </c>
      <c r="EF214" s="182">
        <f t="shared" si="341"/>
        <v>0</v>
      </c>
      <c r="EG214" s="182">
        <f t="shared" si="341"/>
        <v>0</v>
      </c>
      <c r="EH214" s="182">
        <f t="shared" si="341"/>
        <v>0</v>
      </c>
      <c r="EI214" s="182">
        <f t="shared" si="341"/>
        <v>0</v>
      </c>
      <c r="EJ214" s="182">
        <f t="shared" si="341"/>
        <v>0</v>
      </c>
      <c r="FY214" s="212">
        <v>209</v>
      </c>
      <c r="FZ214">
        <v>1.5783793997541171</v>
      </c>
      <c r="GA214">
        <v>18.482960193475002</v>
      </c>
      <c r="GB214">
        <v>13.555789027859703</v>
      </c>
      <c r="GC214">
        <v>3.5100154264791232</v>
      </c>
      <c r="GD214">
        <v>0.68059492814114353</v>
      </c>
      <c r="GE214">
        <v>0.35947809610506914</v>
      </c>
      <c r="GF214">
        <v>0</v>
      </c>
      <c r="GG214">
        <v>1.4097971424648157</v>
      </c>
      <c r="GH214">
        <v>1.6229601285312325</v>
      </c>
      <c r="GI214">
        <v>7.8611343957856725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4.6041666666666661</v>
      </c>
      <c r="AO215">
        <v>15.443342043190151</v>
      </c>
      <c r="AP215">
        <v>366.1931871384495</v>
      </c>
      <c r="AQ215">
        <v>28.988927297450243</v>
      </c>
      <c r="AR215">
        <v>14.107362401647174</v>
      </c>
      <c r="AS215">
        <v>128.20642730349127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" si="342">AVERAGE(DF118:DF127)</f>
        <v>0</v>
      </c>
      <c r="DG215" s="182">
        <f t="shared" ref="DG215:EJ215" si="343">AVERAGE(DG118:DG127)</f>
        <v>0</v>
      </c>
      <c r="DH215" s="182">
        <f t="shared" si="343"/>
        <v>0</v>
      </c>
      <c r="DI215" s="182">
        <f t="shared" si="343"/>
        <v>0</v>
      </c>
      <c r="DJ215" s="182">
        <f t="shared" si="343"/>
        <v>0</v>
      </c>
      <c r="DK215" s="182">
        <f t="shared" si="343"/>
        <v>2.8409090909090908</v>
      </c>
      <c r="DL215" s="182">
        <f t="shared" si="343"/>
        <v>0</v>
      </c>
      <c r="DM215" s="182">
        <f t="shared" si="343"/>
        <v>4.9242424242424239</v>
      </c>
      <c r="DN215" s="182">
        <f t="shared" si="343"/>
        <v>4.6875</v>
      </c>
      <c r="DO215" s="182">
        <f t="shared" si="343"/>
        <v>2.604166666666667</v>
      </c>
      <c r="DP215" s="182">
        <f t="shared" si="343"/>
        <v>2.8409090909090908</v>
      </c>
      <c r="DQ215" s="182">
        <f t="shared" si="343"/>
        <v>1.0416666666666665</v>
      </c>
      <c r="DR215" s="182">
        <f t="shared" si="343"/>
        <v>0</v>
      </c>
      <c r="DS215" s="182">
        <f t="shared" si="343"/>
        <v>0</v>
      </c>
      <c r="DT215" s="182">
        <f t="shared" si="343"/>
        <v>0</v>
      </c>
      <c r="DU215" s="182">
        <f t="shared" si="343"/>
        <v>0</v>
      </c>
      <c r="DV215" s="182">
        <f t="shared" si="343"/>
        <v>1.0416666666666665</v>
      </c>
      <c r="DW215" s="182">
        <f t="shared" si="343"/>
        <v>0</v>
      </c>
      <c r="DX215" s="182">
        <f t="shared" si="343"/>
        <v>0</v>
      </c>
      <c r="DY215" s="182">
        <f t="shared" si="343"/>
        <v>0</v>
      </c>
      <c r="DZ215" s="182">
        <f t="shared" si="343"/>
        <v>0</v>
      </c>
      <c r="EA215" s="182">
        <f t="shared" si="343"/>
        <v>0</v>
      </c>
      <c r="EB215" s="182">
        <f t="shared" si="343"/>
        <v>0</v>
      </c>
      <c r="EC215" s="182">
        <f t="shared" si="343"/>
        <v>0</v>
      </c>
      <c r="ED215" s="182">
        <f t="shared" si="343"/>
        <v>1.0416666666666665</v>
      </c>
      <c r="EE215" s="182">
        <f t="shared" si="343"/>
        <v>0</v>
      </c>
      <c r="EF215" s="182">
        <f t="shared" si="343"/>
        <v>0</v>
      </c>
      <c r="EG215" s="182">
        <f t="shared" si="343"/>
        <v>0</v>
      </c>
      <c r="EH215" s="182">
        <f t="shared" si="343"/>
        <v>0</v>
      </c>
      <c r="EI215" s="182">
        <f t="shared" si="343"/>
        <v>0</v>
      </c>
      <c r="EJ215" s="182">
        <f t="shared" si="343"/>
        <v>0</v>
      </c>
      <c r="FY215" s="212">
        <v>210</v>
      </c>
      <c r="FZ215">
        <v>2.7547588697313263</v>
      </c>
      <c r="GA215">
        <v>18.543527151595409</v>
      </c>
      <c r="GB215">
        <v>14.797893172911415</v>
      </c>
      <c r="GC215">
        <v>4.8671870315780517</v>
      </c>
      <c r="GD215">
        <v>1.2048324635002534</v>
      </c>
      <c r="GE215">
        <v>0.71895619221013829</v>
      </c>
      <c r="GF215">
        <v>0.80138167652982462</v>
      </c>
      <c r="GG215">
        <v>3.5759117604405652</v>
      </c>
      <c r="GH215">
        <v>1.6229601285312325</v>
      </c>
      <c r="GI215">
        <v>9.6522395275707389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12.504901960784313</v>
      </c>
      <c r="AO216">
        <v>32.841654858184086</v>
      </c>
      <c r="AP216">
        <v>299.17281525844402</v>
      </c>
      <c r="AQ216">
        <v>51.081060310823716</v>
      </c>
      <c r="AR216">
        <v>29.924010415278026</v>
      </c>
      <c r="AS216">
        <v>188.16041449768312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" si="344">AVERAGE(DF128:DF137)</f>
        <v>0</v>
      </c>
      <c r="DG216" s="182">
        <f t="shared" ref="DG216:EJ216" si="345">AVERAGE(DG128:DG137)</f>
        <v>0</v>
      </c>
      <c r="DH216" s="182">
        <f t="shared" si="345"/>
        <v>0</v>
      </c>
      <c r="DI216" s="182">
        <f t="shared" si="345"/>
        <v>0</v>
      </c>
      <c r="DJ216" s="182">
        <f t="shared" si="345"/>
        <v>4.5138888888888884</v>
      </c>
      <c r="DK216" s="182">
        <f t="shared" si="345"/>
        <v>1.0416666666666665</v>
      </c>
      <c r="DL216" s="182">
        <f t="shared" si="345"/>
        <v>0</v>
      </c>
      <c r="DM216" s="182">
        <f t="shared" si="345"/>
        <v>2.4621212121212119</v>
      </c>
      <c r="DN216" s="182">
        <f t="shared" si="345"/>
        <v>1.0416666666666665</v>
      </c>
      <c r="DO216" s="182">
        <f t="shared" si="345"/>
        <v>1.4204545454545454</v>
      </c>
      <c r="DP216" s="182">
        <f t="shared" si="345"/>
        <v>0</v>
      </c>
      <c r="DQ216" s="182">
        <f t="shared" si="345"/>
        <v>0</v>
      </c>
      <c r="DR216" s="182">
        <f t="shared" si="345"/>
        <v>0</v>
      </c>
      <c r="DS216" s="182">
        <f t="shared" si="345"/>
        <v>3.4722222222222223</v>
      </c>
      <c r="DT216" s="182">
        <f t="shared" si="345"/>
        <v>4.8926767676767673</v>
      </c>
      <c r="DU216" s="182">
        <f t="shared" si="345"/>
        <v>0</v>
      </c>
      <c r="DV216" s="182">
        <f t="shared" si="345"/>
        <v>0</v>
      </c>
      <c r="DW216" s="182">
        <f t="shared" si="345"/>
        <v>0</v>
      </c>
      <c r="DX216" s="182">
        <f t="shared" si="345"/>
        <v>0</v>
      </c>
      <c r="DY216" s="182">
        <f t="shared" si="345"/>
        <v>0</v>
      </c>
      <c r="DZ216" s="182">
        <f t="shared" si="345"/>
        <v>0</v>
      </c>
      <c r="EA216" s="182">
        <f t="shared" si="345"/>
        <v>0</v>
      </c>
      <c r="EB216" s="182">
        <f t="shared" si="345"/>
        <v>0</v>
      </c>
      <c r="EC216" s="182">
        <f t="shared" si="345"/>
        <v>0</v>
      </c>
      <c r="ED216" s="182">
        <f t="shared" si="345"/>
        <v>0</v>
      </c>
      <c r="EE216" s="182">
        <f t="shared" si="345"/>
        <v>0</v>
      </c>
      <c r="EF216" s="182">
        <f t="shared" si="345"/>
        <v>0</v>
      </c>
      <c r="EG216" s="182">
        <f t="shared" si="345"/>
        <v>0</v>
      </c>
      <c r="EH216" s="182">
        <f t="shared" si="345"/>
        <v>0</v>
      </c>
      <c r="EI216" s="182">
        <f t="shared" si="345"/>
        <v>0</v>
      </c>
      <c r="EJ216" s="182">
        <f t="shared" si="345"/>
        <v>0</v>
      </c>
      <c r="FY216" s="212">
        <v>211</v>
      </c>
      <c r="FZ216">
        <v>0.70373625451912492</v>
      </c>
      <c r="GA216">
        <v>21.602894206008507</v>
      </c>
      <c r="GB216">
        <v>19.685346611348137</v>
      </c>
      <c r="GC216">
        <v>6.7620194496605768</v>
      </c>
      <c r="GD216">
        <v>1.6176666062807379</v>
      </c>
      <c r="GE216">
        <v>0.35947809610506914</v>
      </c>
      <c r="GF216">
        <v>0.80138167652982462</v>
      </c>
      <c r="GG216">
        <v>4.407519146589534</v>
      </c>
      <c r="GH216">
        <v>3.245920257062465</v>
      </c>
      <c r="GI216">
        <v>11.699756555283411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12.445526960784314</v>
      </c>
      <c r="AO217">
        <v>32.780678500397428</v>
      </c>
      <c r="AP217">
        <v>406.41268441283557</v>
      </c>
      <c r="AQ217">
        <v>76.909287229919386</v>
      </c>
      <c r="AR217">
        <v>29.800616818543109</v>
      </c>
      <c r="AS217">
        <v>196.70251876672464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" si="346">AVERAGE(DF138:DF147)</f>
        <v>0</v>
      </c>
      <c r="DG217" s="182">
        <f t="shared" ref="DG217:EJ217" si="347">AVERAGE(DG138:DG147)</f>
        <v>0</v>
      </c>
      <c r="DH217" s="182">
        <f t="shared" si="347"/>
        <v>0</v>
      </c>
      <c r="DI217" s="182">
        <f t="shared" si="347"/>
        <v>0</v>
      </c>
      <c r="DJ217" s="182">
        <f t="shared" si="347"/>
        <v>0</v>
      </c>
      <c r="DK217" s="182">
        <f t="shared" si="347"/>
        <v>0</v>
      </c>
      <c r="DL217" s="182">
        <f t="shared" si="347"/>
        <v>0</v>
      </c>
      <c r="DM217" s="182">
        <f t="shared" si="347"/>
        <v>0</v>
      </c>
      <c r="DN217" s="182">
        <f t="shared" si="347"/>
        <v>0</v>
      </c>
      <c r="DO217" s="182">
        <f t="shared" si="347"/>
        <v>0</v>
      </c>
      <c r="DP217" s="182">
        <f t="shared" si="347"/>
        <v>0</v>
      </c>
      <c r="DQ217" s="182">
        <f t="shared" si="347"/>
        <v>1.0416666666666665</v>
      </c>
      <c r="DR217" s="182">
        <f t="shared" si="347"/>
        <v>0</v>
      </c>
      <c r="DS217" s="182">
        <f t="shared" si="347"/>
        <v>0</v>
      </c>
      <c r="DT217" s="182">
        <f t="shared" si="347"/>
        <v>1.0416666666666665</v>
      </c>
      <c r="DU217" s="182">
        <f t="shared" si="347"/>
        <v>0</v>
      </c>
      <c r="DV217" s="182">
        <f t="shared" si="347"/>
        <v>0</v>
      </c>
      <c r="DW217" s="182">
        <f t="shared" si="347"/>
        <v>0</v>
      </c>
      <c r="DX217" s="182">
        <f t="shared" si="347"/>
        <v>0</v>
      </c>
      <c r="DY217" s="182">
        <f t="shared" si="347"/>
        <v>0</v>
      </c>
      <c r="DZ217" s="182">
        <f t="shared" si="347"/>
        <v>0</v>
      </c>
      <c r="EA217" s="182">
        <f t="shared" si="347"/>
        <v>1.0416666666666665</v>
      </c>
      <c r="EB217" s="182">
        <f t="shared" si="347"/>
        <v>0</v>
      </c>
      <c r="EC217" s="182">
        <f t="shared" si="347"/>
        <v>0</v>
      </c>
      <c r="ED217" s="182">
        <f t="shared" si="347"/>
        <v>0</v>
      </c>
      <c r="EE217" s="182">
        <f t="shared" si="347"/>
        <v>0</v>
      </c>
      <c r="EF217" s="182">
        <f t="shared" si="347"/>
        <v>0</v>
      </c>
      <c r="EG217" s="182">
        <f t="shared" si="347"/>
        <v>0</v>
      </c>
      <c r="EH217" s="182">
        <f t="shared" si="347"/>
        <v>0</v>
      </c>
      <c r="EI217" s="182">
        <f t="shared" si="347"/>
        <v>0</v>
      </c>
      <c r="EJ217" s="182">
        <f t="shared" si="347"/>
        <v>0</v>
      </c>
      <c r="FY217" s="212">
        <v>212</v>
      </c>
      <c r="FZ217">
        <v>0.53282936380325752</v>
      </c>
      <c r="GA217">
        <v>19.103709786721463</v>
      </c>
      <c r="GB217">
        <v>14.688499267461706</v>
      </c>
      <c r="GC217">
        <v>3.64608720097584</v>
      </c>
      <c r="GD217">
        <v>0.70537638823486859</v>
      </c>
      <c r="GE217">
        <v>0.35947809610506914</v>
      </c>
      <c r="GF217">
        <v>0</v>
      </c>
      <c r="GG217">
        <v>1.4097971424648157</v>
      </c>
      <c r="GH217">
        <v>1.6229601285312325</v>
      </c>
      <c r="GI217">
        <v>10.090644770331656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15.879289215686276</v>
      </c>
      <c r="AO218">
        <v>32.410264195796373</v>
      </c>
      <c r="AP218">
        <v>204.54074698613252</v>
      </c>
      <c r="AQ218">
        <v>52.293064453524174</v>
      </c>
      <c r="AR218">
        <v>29.565817357935437</v>
      </c>
      <c r="AS218">
        <v>315.60024539327139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" si="348">AVERAGE(DF148:DF157)</f>
        <v>0</v>
      </c>
      <c r="DG218" s="182">
        <f t="shared" ref="DG218:EJ218" si="349">AVERAGE(DG148:DG157)</f>
        <v>0</v>
      </c>
      <c r="DH218" s="182">
        <f t="shared" si="349"/>
        <v>0</v>
      </c>
      <c r="DI218" s="182">
        <f t="shared" si="349"/>
        <v>0</v>
      </c>
      <c r="DJ218" s="182">
        <f t="shared" si="349"/>
        <v>0</v>
      </c>
      <c r="DK218" s="182">
        <f t="shared" si="349"/>
        <v>0</v>
      </c>
      <c r="DL218" s="182">
        <f t="shared" si="349"/>
        <v>0</v>
      </c>
      <c r="DM218" s="182">
        <f t="shared" si="349"/>
        <v>0</v>
      </c>
      <c r="DN218" s="182">
        <f t="shared" si="349"/>
        <v>0</v>
      </c>
      <c r="DO218" s="182">
        <f t="shared" si="349"/>
        <v>0</v>
      </c>
      <c r="DP218" s="182">
        <f t="shared" si="349"/>
        <v>0</v>
      </c>
      <c r="DQ218" s="182">
        <f t="shared" si="349"/>
        <v>0</v>
      </c>
      <c r="DR218" s="182">
        <f t="shared" si="349"/>
        <v>0</v>
      </c>
      <c r="DS218" s="182">
        <f t="shared" si="349"/>
        <v>0</v>
      </c>
      <c r="DT218" s="182">
        <f t="shared" si="349"/>
        <v>0</v>
      </c>
      <c r="DU218" s="182">
        <f t="shared" si="349"/>
        <v>0</v>
      </c>
      <c r="DV218" s="182">
        <f t="shared" si="349"/>
        <v>0</v>
      </c>
      <c r="DW218" s="182">
        <f t="shared" si="349"/>
        <v>0</v>
      </c>
      <c r="DX218" s="182">
        <f t="shared" si="349"/>
        <v>0</v>
      </c>
      <c r="DY218" s="182">
        <f t="shared" si="349"/>
        <v>0</v>
      </c>
      <c r="DZ218" s="182">
        <f t="shared" si="349"/>
        <v>0</v>
      </c>
      <c r="EA218" s="182">
        <f t="shared" si="349"/>
        <v>0</v>
      </c>
      <c r="EB218" s="182">
        <f t="shared" si="349"/>
        <v>0</v>
      </c>
      <c r="EC218" s="182">
        <f t="shared" si="349"/>
        <v>0</v>
      </c>
      <c r="ED218" s="182">
        <f t="shared" si="349"/>
        <v>0</v>
      </c>
      <c r="EE218" s="182">
        <f t="shared" si="349"/>
        <v>0</v>
      </c>
      <c r="EF218" s="182">
        <f t="shared" si="349"/>
        <v>0</v>
      </c>
      <c r="EG218" s="182">
        <f t="shared" si="349"/>
        <v>0</v>
      </c>
      <c r="EH218" s="182">
        <f t="shared" si="349"/>
        <v>0</v>
      </c>
      <c r="EI218" s="182">
        <f t="shared" si="349"/>
        <v>0</v>
      </c>
      <c r="EJ218" s="182">
        <f t="shared" si="349"/>
        <v>0</v>
      </c>
      <c r="FY218" s="212">
        <v>213</v>
      </c>
      <c r="FZ218">
        <v>0.91155005935855693</v>
      </c>
      <c r="GA218">
        <v>12.896438484905744</v>
      </c>
      <c r="GB218">
        <v>12.063991266876263</v>
      </c>
      <c r="GC218">
        <v>4.1706867565187835</v>
      </c>
      <c r="GD218">
        <v>0.71768644119960523</v>
      </c>
      <c r="GE218">
        <v>0.35947809610506914</v>
      </c>
      <c r="GF218">
        <v>1.6027633530596492</v>
      </c>
      <c r="GG218">
        <v>7.1518235208811305</v>
      </c>
      <c r="GH218">
        <v>3.245920257062465</v>
      </c>
      <c r="GI218">
        <v>9.0715650754800023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10.362193627450978</v>
      </c>
      <c r="AO219">
        <v>24.792713048806018</v>
      </c>
      <c r="AP219">
        <v>804.30654183050387</v>
      </c>
      <c r="AQ219">
        <v>66.436802189723096</v>
      </c>
      <c r="AR219">
        <v>22.538830044369107</v>
      </c>
      <c r="AS219">
        <v>161.22603788836312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" si="350">AVERAGE(DF158:DF167)</f>
        <v>0</v>
      </c>
      <c r="DG219" s="182">
        <f t="shared" ref="DG219:EJ219" si="351">AVERAGE(DG158:DG167)</f>
        <v>0</v>
      </c>
      <c r="DH219" s="182">
        <f t="shared" si="351"/>
        <v>0</v>
      </c>
      <c r="DI219" s="182">
        <f t="shared" si="351"/>
        <v>0</v>
      </c>
      <c r="DJ219" s="182">
        <f t="shared" si="351"/>
        <v>0</v>
      </c>
      <c r="DK219" s="182">
        <f t="shared" si="351"/>
        <v>0</v>
      </c>
      <c r="DL219" s="182">
        <f t="shared" si="351"/>
        <v>0</v>
      </c>
      <c r="DM219" s="182">
        <f t="shared" si="351"/>
        <v>0</v>
      </c>
      <c r="DN219" s="182">
        <f t="shared" si="351"/>
        <v>0</v>
      </c>
      <c r="DO219" s="182">
        <f t="shared" si="351"/>
        <v>0</v>
      </c>
      <c r="DP219" s="182">
        <f t="shared" si="351"/>
        <v>0</v>
      </c>
      <c r="DQ219" s="182">
        <f t="shared" si="351"/>
        <v>0</v>
      </c>
      <c r="DR219" s="182">
        <f t="shared" si="351"/>
        <v>0</v>
      </c>
      <c r="DS219" s="182">
        <f t="shared" si="351"/>
        <v>3.4375</v>
      </c>
      <c r="DT219" s="182">
        <f t="shared" si="351"/>
        <v>1.0416666666666665</v>
      </c>
      <c r="DU219" s="182">
        <f t="shared" si="351"/>
        <v>0</v>
      </c>
      <c r="DV219" s="182">
        <f t="shared" si="351"/>
        <v>0</v>
      </c>
      <c r="DW219" s="182">
        <f t="shared" si="351"/>
        <v>0</v>
      </c>
      <c r="DX219" s="182">
        <f t="shared" si="351"/>
        <v>0</v>
      </c>
      <c r="DY219" s="182">
        <f t="shared" si="351"/>
        <v>1.0416666666666665</v>
      </c>
      <c r="DZ219" s="182">
        <f t="shared" si="351"/>
        <v>0</v>
      </c>
      <c r="EA219" s="182">
        <f t="shared" si="351"/>
        <v>0</v>
      </c>
      <c r="EB219" s="182">
        <f t="shared" si="351"/>
        <v>0</v>
      </c>
      <c r="EC219" s="182">
        <f t="shared" si="351"/>
        <v>0</v>
      </c>
      <c r="ED219" s="182">
        <f t="shared" si="351"/>
        <v>0</v>
      </c>
      <c r="EE219" s="182">
        <f t="shared" si="351"/>
        <v>0</v>
      </c>
      <c r="EF219" s="182">
        <f t="shared" si="351"/>
        <v>0</v>
      </c>
      <c r="EG219" s="182">
        <f t="shared" si="351"/>
        <v>0</v>
      </c>
      <c r="EH219" s="182">
        <f t="shared" si="351"/>
        <v>0</v>
      </c>
      <c r="EI219" s="182">
        <f t="shared" si="351"/>
        <v>0</v>
      </c>
      <c r="EJ219" s="182">
        <f t="shared" si="351"/>
        <v>0</v>
      </c>
      <c r="FY219" s="212">
        <v>214</v>
      </c>
      <c r="FZ219">
        <v>2.0141157010886368</v>
      </c>
      <c r="GA219">
        <v>15.83563675510943</v>
      </c>
      <c r="GB219">
        <v>10.2808518378401</v>
      </c>
      <c r="GC219">
        <v>2.7638922651688658</v>
      </c>
      <c r="GD219">
        <v>0.98799807150329011</v>
      </c>
      <c r="GE219">
        <v>1.0784342883152076</v>
      </c>
      <c r="GF219">
        <v>0.80138167652982462</v>
      </c>
      <c r="GG219">
        <v>3.3224941306074438</v>
      </c>
      <c r="GH219">
        <v>0</v>
      </c>
      <c r="GI219">
        <v>7.8882973762412965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12.210845588235292</v>
      </c>
      <c r="AO220">
        <v>36.869389000867073</v>
      </c>
      <c r="AP220">
        <v>881.18136680501061</v>
      </c>
      <c r="AQ220">
        <v>59.688309608590288</v>
      </c>
      <c r="AR220">
        <v>33.517626364424615</v>
      </c>
      <c r="AS220">
        <v>168.12735104028215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" si="352">AVERAGE(DF168:DF177)</f>
        <v>0</v>
      </c>
      <c r="DG220" s="182">
        <f t="shared" ref="DG220:EJ220" si="353">AVERAGE(DG168:DG177)</f>
        <v>0</v>
      </c>
      <c r="DH220" s="182">
        <f t="shared" si="353"/>
        <v>0</v>
      </c>
      <c r="DI220" s="182">
        <f t="shared" si="353"/>
        <v>0</v>
      </c>
      <c r="DJ220" s="182">
        <f t="shared" si="353"/>
        <v>0</v>
      </c>
      <c r="DK220" s="182">
        <f t="shared" si="353"/>
        <v>0</v>
      </c>
      <c r="DL220" s="182">
        <f t="shared" si="353"/>
        <v>0</v>
      </c>
      <c r="DM220" s="182">
        <f t="shared" si="353"/>
        <v>0</v>
      </c>
      <c r="DN220" s="182">
        <f t="shared" si="353"/>
        <v>0</v>
      </c>
      <c r="DO220" s="182">
        <f t="shared" si="353"/>
        <v>0</v>
      </c>
      <c r="DP220" s="182">
        <f t="shared" si="353"/>
        <v>0</v>
      </c>
      <c r="DQ220" s="182">
        <f t="shared" si="353"/>
        <v>0</v>
      </c>
      <c r="DR220" s="182">
        <f t="shared" si="353"/>
        <v>0</v>
      </c>
      <c r="DS220" s="182">
        <f t="shared" si="353"/>
        <v>1.0416666666666665</v>
      </c>
      <c r="DT220" s="182">
        <f t="shared" si="353"/>
        <v>0</v>
      </c>
      <c r="DU220" s="182">
        <f t="shared" si="353"/>
        <v>0</v>
      </c>
      <c r="DV220" s="182">
        <f t="shared" si="353"/>
        <v>0</v>
      </c>
      <c r="DW220" s="182">
        <f t="shared" si="353"/>
        <v>0</v>
      </c>
      <c r="DX220" s="182">
        <f t="shared" si="353"/>
        <v>0</v>
      </c>
      <c r="DY220" s="182">
        <f t="shared" si="353"/>
        <v>0</v>
      </c>
      <c r="DZ220" s="182">
        <f t="shared" si="353"/>
        <v>0</v>
      </c>
      <c r="EA220" s="182">
        <f t="shared" si="353"/>
        <v>0</v>
      </c>
      <c r="EB220" s="182">
        <f t="shared" si="353"/>
        <v>0</v>
      </c>
      <c r="EC220" s="182">
        <f t="shared" si="353"/>
        <v>0</v>
      </c>
      <c r="ED220" s="182">
        <f t="shared" si="353"/>
        <v>0</v>
      </c>
      <c r="EE220" s="182">
        <f t="shared" si="353"/>
        <v>0</v>
      </c>
      <c r="EF220" s="182">
        <f t="shared" si="353"/>
        <v>0</v>
      </c>
      <c r="EG220" s="182">
        <f t="shared" si="353"/>
        <v>0</v>
      </c>
      <c r="EH220" s="182">
        <f t="shared" si="353"/>
        <v>0</v>
      </c>
      <c r="EI220" s="182">
        <f t="shared" si="353"/>
        <v>0</v>
      </c>
      <c r="EJ220" s="182">
        <f t="shared" si="353"/>
        <v>0</v>
      </c>
      <c r="FY220" s="212">
        <v>215</v>
      </c>
      <c r="FZ220">
        <v>2.3928363966439363</v>
      </c>
      <c r="GA220">
        <v>26.97973393296931</v>
      </c>
      <c r="GB220">
        <v>18.112688641540508</v>
      </c>
      <c r="GC220">
        <v>4.8059294159935053</v>
      </c>
      <c r="GD220">
        <v>1.2120842851505116</v>
      </c>
      <c r="GE220">
        <v>0.35947809610506914</v>
      </c>
      <c r="GF220">
        <v>0.80138167652982462</v>
      </c>
      <c r="GG220">
        <v>3.3224941306074438</v>
      </c>
      <c r="GH220">
        <v>0</v>
      </c>
      <c r="GI220">
        <v>11.258276724304636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8.7580269607843135</v>
      </c>
      <c r="AO221">
        <v>31.198909887176569</v>
      </c>
      <c r="AP221">
        <v>389.28121459571594</v>
      </c>
      <c r="AQ221">
        <v>42.281647344787032</v>
      </c>
      <c r="AR221">
        <v>28.396625624079498</v>
      </c>
      <c r="AS221">
        <v>155.25449378131873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" si="354">AVERAGE(DF178:DF187)</f>
        <v>0</v>
      </c>
      <c r="DG221" s="182">
        <f t="shared" ref="DG221:EJ221" si="355">AVERAGE(DG178:DG187)</f>
        <v>0</v>
      </c>
      <c r="DH221" s="182">
        <f t="shared" si="355"/>
        <v>0</v>
      </c>
      <c r="DI221" s="182">
        <f t="shared" si="355"/>
        <v>0</v>
      </c>
      <c r="DJ221" s="182">
        <f t="shared" si="355"/>
        <v>0</v>
      </c>
      <c r="DK221" s="182">
        <f t="shared" si="355"/>
        <v>0</v>
      </c>
      <c r="DL221" s="182">
        <f t="shared" si="355"/>
        <v>0</v>
      </c>
      <c r="DM221" s="182">
        <f t="shared" si="355"/>
        <v>0</v>
      </c>
      <c r="DN221" s="182">
        <f t="shared" si="355"/>
        <v>0</v>
      </c>
      <c r="DO221" s="182">
        <f t="shared" si="355"/>
        <v>0</v>
      </c>
      <c r="DP221" s="182">
        <f t="shared" si="355"/>
        <v>0</v>
      </c>
      <c r="DQ221" s="182">
        <f t="shared" si="355"/>
        <v>0</v>
      </c>
      <c r="DR221" s="182">
        <f t="shared" si="355"/>
        <v>0</v>
      </c>
      <c r="DS221" s="182">
        <f t="shared" si="355"/>
        <v>0</v>
      </c>
      <c r="DT221" s="182">
        <f t="shared" si="355"/>
        <v>0</v>
      </c>
      <c r="DU221" s="182">
        <f t="shared" si="355"/>
        <v>0</v>
      </c>
      <c r="DV221" s="182">
        <f t="shared" si="355"/>
        <v>0</v>
      </c>
      <c r="DW221" s="182">
        <f t="shared" si="355"/>
        <v>0</v>
      </c>
      <c r="DX221" s="182">
        <f t="shared" si="355"/>
        <v>0</v>
      </c>
      <c r="DY221" s="182">
        <f t="shared" si="355"/>
        <v>0</v>
      </c>
      <c r="DZ221" s="182">
        <f t="shared" si="355"/>
        <v>0</v>
      </c>
      <c r="EA221" s="182">
        <f t="shared" si="355"/>
        <v>0</v>
      </c>
      <c r="EB221" s="182">
        <f t="shared" si="355"/>
        <v>0</v>
      </c>
      <c r="EC221" s="182">
        <f t="shared" si="355"/>
        <v>0</v>
      </c>
      <c r="ED221" s="182">
        <f t="shared" si="355"/>
        <v>0</v>
      </c>
      <c r="EE221" s="182">
        <f t="shared" si="355"/>
        <v>0</v>
      </c>
      <c r="EF221" s="182">
        <f t="shared" si="355"/>
        <v>0</v>
      </c>
      <c r="EG221" s="182">
        <f t="shared" si="355"/>
        <v>0</v>
      </c>
      <c r="EH221" s="182">
        <f t="shared" si="355"/>
        <v>0</v>
      </c>
      <c r="EI221" s="182">
        <f t="shared" si="355"/>
        <v>0</v>
      </c>
      <c r="EJ221" s="182">
        <f t="shared" si="355"/>
        <v>0</v>
      </c>
      <c r="FY221" s="212">
        <v>216</v>
      </c>
      <c r="FZ221">
        <v>1.10256564173008</v>
      </c>
      <c r="GA221">
        <v>11.977229160255257</v>
      </c>
      <c r="GB221">
        <v>13.465818995404303</v>
      </c>
      <c r="GC221">
        <v>6.7296863534065174</v>
      </c>
      <c r="GD221">
        <v>2.1258948202323671</v>
      </c>
      <c r="GE221">
        <v>0.35947809610506914</v>
      </c>
      <c r="GF221">
        <v>0</v>
      </c>
      <c r="GG221">
        <v>0.57818975631584713</v>
      </c>
      <c r="GH221">
        <v>0</v>
      </c>
      <c r="GI221">
        <v>7.6228288843544458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7.7072916666666673</v>
      </c>
      <c r="AO222">
        <v>28.321847632762815</v>
      </c>
      <c r="AP222">
        <v>849.55545874547306</v>
      </c>
      <c r="AQ222">
        <v>66.306149641645945</v>
      </c>
      <c r="AR222">
        <v>25.815094755804143</v>
      </c>
      <c r="AS222">
        <v>136.78393088285017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2">
        <v>217</v>
      </c>
      <c r="FZ222">
        <v>1.065658727606515</v>
      </c>
      <c r="GA222">
        <v>11.118845544273013</v>
      </c>
      <c r="GB222">
        <v>10.212091122079661</v>
      </c>
      <c r="GC222">
        <v>4.2138537552908746</v>
      </c>
      <c r="GD222">
        <v>1.0548363900607134</v>
      </c>
      <c r="GE222">
        <v>0</v>
      </c>
      <c r="GF222">
        <v>2.4041450295894737</v>
      </c>
      <c r="GG222">
        <v>9.8961278951727252</v>
      </c>
      <c r="GH222">
        <v>3.245920257062465</v>
      </c>
      <c r="GI222">
        <v>12.920048549781292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15.504289215686274</v>
      </c>
      <c r="AO223">
        <v>21.06276548408426</v>
      </c>
      <c r="AP223">
        <v>570.17787391732884</v>
      </c>
      <c r="AQ223">
        <v>76.746241357754243</v>
      </c>
      <c r="AR223">
        <v>19.215929166096362</v>
      </c>
      <c r="AS223">
        <v>168.41260108837477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2">
        <v>218</v>
      </c>
      <c r="FZ223">
        <v>1.4443794231618146</v>
      </c>
      <c r="GA223">
        <v>16.842159390170206</v>
      </c>
      <c r="GB223">
        <v>14.339655285133892</v>
      </c>
      <c r="GC223">
        <v>3.7680776403750698</v>
      </c>
      <c r="GD223">
        <v>0.24667408340516686</v>
      </c>
      <c r="GE223">
        <v>0</v>
      </c>
      <c r="GF223">
        <v>0.80138167652982462</v>
      </c>
      <c r="GG223">
        <v>3.5759117604405652</v>
      </c>
      <c r="GH223">
        <v>1.6229601285312325</v>
      </c>
      <c r="GI223">
        <v>7.151532579489392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5.7322916666666668</v>
      </c>
      <c r="AO224">
        <v>13.315915999220815</v>
      </c>
      <c r="AP224">
        <v>235.85624916601432</v>
      </c>
      <c r="AQ224">
        <v>56.148758156964384</v>
      </c>
      <c r="AR224">
        <v>12.139358453210626</v>
      </c>
      <c r="AS224">
        <v>93.596975963865319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2">
        <v>219</v>
      </c>
      <c r="FZ224">
        <v>2.0141157010886368</v>
      </c>
      <c r="GA224">
        <v>24.408685735727527</v>
      </c>
      <c r="GB224">
        <v>13.091930411610248</v>
      </c>
      <c r="GC224">
        <v>2.2438485358105824</v>
      </c>
      <c r="GD224">
        <v>1.1697776969178313</v>
      </c>
      <c r="GE224">
        <v>1.0784342883152076</v>
      </c>
      <c r="GF224">
        <v>0</v>
      </c>
      <c r="GG224">
        <v>0</v>
      </c>
      <c r="GH224">
        <v>0</v>
      </c>
      <c r="GI224">
        <v>7.6719348312910487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7.34375</v>
      </c>
      <c r="AO225">
        <v>34.710309909831814</v>
      </c>
      <c r="AP225">
        <v>446.31339583135258</v>
      </c>
      <c r="AQ225">
        <v>49.061108738595877</v>
      </c>
      <c r="AR225">
        <v>31.622787734957768</v>
      </c>
      <c r="AS225">
        <v>178.39819762860253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0.71766334676873855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2">
        <v>220</v>
      </c>
      <c r="FZ225">
        <v>1.273472532445947</v>
      </c>
      <c r="GA225">
        <v>27.571155296131437</v>
      </c>
      <c r="GB225">
        <v>25.227238818585814</v>
      </c>
      <c r="GC225">
        <v>7.86013589912152</v>
      </c>
      <c r="GD225">
        <v>1.1873028250567867</v>
      </c>
      <c r="GE225">
        <v>0.35947809610506914</v>
      </c>
      <c r="GF225">
        <v>0.80138167652982462</v>
      </c>
      <c r="GG225">
        <v>5.8173162890543502</v>
      </c>
      <c r="GH225">
        <v>4.8688803855936991</v>
      </c>
      <c r="GI225">
        <v>11.618674296001512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14.424080882352944</v>
      </c>
      <c r="AO226">
        <v>27.650122491242495</v>
      </c>
      <c r="AP226">
        <v>328.87100114427443</v>
      </c>
      <c r="AQ226">
        <v>58.53964797459895</v>
      </c>
      <c r="AR226">
        <v>25.17045526413942</v>
      </c>
      <c r="AS226">
        <v>139.92115050858609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56">((DG213*$H$372)+(DH213*$I$372)+(DI213*$J$372)+(DJ213*$K$372)+(DK213*$L$372)+(DL213*$M$372)+(DM213*$N$372)+(DN213*$O$372)+(DO213*$P$372)+(DP213*$Q$372)+(DQ213*$R$372)+(DR213*$S$372)+(DS213*$T$372)+(DT213*$U$372))/SUM(DG213:DT213)</f>
        <v>7.7563086276652066E-2</v>
      </c>
      <c r="DH226" s="205">
        <f>(LN(DG226/DG225))/(DE213-DE212)</f>
        <v>-8.2404035593487454E-2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2">
        <v>221</v>
      </c>
      <c r="FZ226">
        <v>1.46448811481747</v>
      </c>
      <c r="GA226">
        <v>8.4857356702078057</v>
      </c>
      <c r="GB226">
        <v>16.623782032257107</v>
      </c>
      <c r="GC226">
        <v>7.697225725761192</v>
      </c>
      <c r="GD226">
        <v>0.98215453174624279</v>
      </c>
      <c r="GE226">
        <v>0</v>
      </c>
      <c r="GF226">
        <v>1.6027633530596492</v>
      </c>
      <c r="GG226">
        <v>8.8863927898286725</v>
      </c>
      <c r="GH226">
        <v>3.245920257062465</v>
      </c>
      <c r="GI226">
        <v>12.180702808975878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9.4406250000000007</v>
      </c>
      <c r="AO227">
        <v>27.284401265670187</v>
      </c>
      <c r="AP227">
        <v>350.47151866219508</v>
      </c>
      <c r="AQ227">
        <v>70.885718859387381</v>
      </c>
      <c r="AR227">
        <v>24.837981422710047</v>
      </c>
      <c r="AS227">
        <v>148.67288275878829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356"/>
        <v>2.0629581606163088</v>
      </c>
      <c r="DH227" s="205">
        <f t="shared" ref="DH227:DH234" si="357">(LN(DG227/DG226))/(DE214-DE213)</f>
        <v>8.0019624641947895E-2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2">
        <v>222</v>
      </c>
      <c r="FZ227">
        <v>1.8432088103727695</v>
      </c>
      <c r="GA227">
        <v>24.842979499592897</v>
      </c>
      <c r="GB227">
        <v>17.52970659044723</v>
      </c>
      <c r="GC227">
        <v>5.0843265505775967</v>
      </c>
      <c r="GD227">
        <v>1.7002173767866267</v>
      </c>
      <c r="GE227">
        <v>1.0784342883152076</v>
      </c>
      <c r="GF227">
        <v>2.4041450295894737</v>
      </c>
      <c r="GG227">
        <v>9.9674823918223314</v>
      </c>
      <c r="GH227">
        <v>0</v>
      </c>
      <c r="GI227">
        <v>14.045624138891732</v>
      </c>
      <c r="GJ227"/>
      <c r="GK227"/>
      <c r="GL227"/>
      <c r="GM227"/>
    </row>
    <row r="228" spans="1:195" s="7" customFormat="1">
      <c r="A228" s="9" t="s">
        <v>60</v>
      </c>
      <c r="B228">
        <v>6.9859217677338048E-2</v>
      </c>
      <c r="C228">
        <v>4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7.3958333333333313</v>
      </c>
      <c r="AO228">
        <v>31.997036394297346</v>
      </c>
      <c r="AP228">
        <v>404.72794404234236</v>
      </c>
      <c r="AQ228">
        <v>52.159382144629916</v>
      </c>
      <c r="AR228">
        <v>29.12219517600747</v>
      </c>
      <c r="AS228">
        <v>162.02369483692328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6"/>
        <v>1.7371838600212637</v>
      </c>
      <c r="DH228" s="205">
        <f t="shared" si="357"/>
        <v>-5.208352187982622E-3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2">
        <v>223</v>
      </c>
      <c r="FZ228">
        <v>1.2566743099780382</v>
      </c>
      <c r="GA228">
        <v>14.741985278389462</v>
      </c>
      <c r="GB228">
        <v>14.315185207902935</v>
      </c>
      <c r="GC228">
        <v>5.2716038387001536</v>
      </c>
      <c r="GD228">
        <v>1.4926692219428936</v>
      </c>
      <c r="GE228">
        <v>0.71895619221013829</v>
      </c>
      <c r="GF228">
        <v>0</v>
      </c>
      <c r="GG228">
        <v>3.9046193009117207</v>
      </c>
      <c r="GH228">
        <v>6.49184051412493</v>
      </c>
      <c r="GI228">
        <v>8.7176932434879646</v>
      </c>
      <c r="GJ228"/>
      <c r="GK228"/>
      <c r="GL228"/>
      <c r="GM228"/>
    </row>
    <row r="229" spans="1:195" s="7" customFormat="1">
      <c r="A229" s="90"/>
      <c r="B229">
        <v>0.59518031274014671</v>
      </c>
      <c r="C229">
        <v>9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8.6361519607843142</v>
      </c>
      <c r="AO229">
        <v>24.361092414864665</v>
      </c>
      <c r="AP229">
        <v>430.64235609577975</v>
      </c>
      <c r="AQ229">
        <v>52.191903311447263</v>
      </c>
      <c r="AR229">
        <v>22.146447649876976</v>
      </c>
      <c r="AS229">
        <v>116.62085819964065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6"/>
        <v>3.6956915893956657</v>
      </c>
      <c r="DH229" s="205">
        <f t="shared" si="357"/>
        <v>2.6960799108406076E-2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2">
        <v>224</v>
      </c>
      <c r="FZ229">
        <v>0.53282936380325752</v>
      </c>
      <c r="GA229">
        <v>24.739876993602088</v>
      </c>
      <c r="GB229">
        <v>16.036060412830302</v>
      </c>
      <c r="GC229">
        <v>3.6390246950486898</v>
      </c>
      <c r="GD229">
        <v>1.2647762150146642</v>
      </c>
      <c r="GE229">
        <v>0.71895619221013829</v>
      </c>
      <c r="GF229">
        <v>1.6027633530596492</v>
      </c>
      <c r="GG229">
        <v>6.3202161347321617</v>
      </c>
      <c r="GH229">
        <v>1.6229601285312325</v>
      </c>
      <c r="GI229">
        <v>8.6934516421111212</v>
      </c>
      <c r="GJ229"/>
      <c r="GK229"/>
      <c r="GL229"/>
      <c r="GM229"/>
    </row>
    <row r="230" spans="1:195" s="7" customFormat="1">
      <c r="A230" s="77"/>
      <c r="B230">
        <v>0.93784691724927605</v>
      </c>
      <c r="C230">
        <v>2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10.679595588235292</v>
      </c>
      <c r="AO230">
        <v>26.614228444353198</v>
      </c>
      <c r="AP230">
        <v>526.53472692962168</v>
      </c>
      <c r="AQ230">
        <v>44.973102102404098</v>
      </c>
      <c r="AR230">
        <v>24.22873340333097</v>
      </c>
      <c r="AS230">
        <v>131.72058271678881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6"/>
        <v>5.9143634232404967</v>
      </c>
      <c r="DH230" s="205">
        <f t="shared" si="357"/>
        <v>1.9592340208946329E-2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2">
        <v>225</v>
      </c>
      <c r="FZ230">
        <v>1.10256564173008</v>
      </c>
      <c r="GA230">
        <v>17.22747484766964</v>
      </c>
      <c r="GB230">
        <v>20.053463211463544</v>
      </c>
      <c r="GC230">
        <v>6.8409632395381745</v>
      </c>
      <c r="GD230">
        <v>1.0072932464472137</v>
      </c>
      <c r="GE230">
        <v>0.71895619221013829</v>
      </c>
      <c r="GF230">
        <v>1.6027633530596492</v>
      </c>
      <c r="GG230">
        <v>6.3202161347321617</v>
      </c>
      <c r="GH230">
        <v>1.6229601285312325</v>
      </c>
      <c r="GI230">
        <v>9.2606682591435234</v>
      </c>
      <c r="GJ230"/>
      <c r="GK230"/>
      <c r="GL230"/>
      <c r="GM230"/>
    </row>
    <row r="231" spans="1:195" s="7" customFormat="1">
      <c r="A231" s="77"/>
      <c r="B231">
        <v>0.19213025302983611</v>
      </c>
      <c r="C231">
        <v>10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15.653247549019605</v>
      </c>
      <c r="AO231">
        <v>39.2888598709823</v>
      </c>
      <c r="AP231">
        <v>681.47734765022517</v>
      </c>
      <c r="AQ231">
        <v>69.244903299844736</v>
      </c>
      <c r="AR231">
        <v>35.717145337256639</v>
      </c>
      <c r="AS231">
        <v>199.82616854721721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 t="e">
        <f t="shared" si="356"/>
        <v>#DIV/0!</v>
      </c>
      <c r="DH231" s="205" t="e">
        <f t="shared" si="357"/>
        <v>#DIV/0!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2">
        <v>226</v>
      </c>
      <c r="FZ231">
        <v>0.3418137814317348</v>
      </c>
      <c r="GA231">
        <v>17.472996285687717</v>
      </c>
      <c r="GB231">
        <v>14.654645681166512</v>
      </c>
      <c r="GC231">
        <v>4.3930603581817831</v>
      </c>
      <c r="GD231">
        <v>0.89272834343087448</v>
      </c>
      <c r="GE231">
        <v>0.35947809610506914</v>
      </c>
      <c r="GF231">
        <v>1.6027633530596492</v>
      </c>
      <c r="GG231">
        <v>5.4886087485831929</v>
      </c>
      <c r="GH231">
        <v>0</v>
      </c>
      <c r="GI231">
        <v>8.2405310377078553</v>
      </c>
      <c r="GJ231"/>
      <c r="GK231"/>
      <c r="GL231"/>
      <c r="GM231"/>
    </row>
    <row r="232" spans="1:195" s="7" customFormat="1">
      <c r="A232" s="77"/>
      <c r="B232">
        <v>0.40993278874417882</v>
      </c>
      <c r="C232">
        <v>8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8.1924019607843146</v>
      </c>
      <c r="AO232">
        <v>17.491301013834665</v>
      </c>
      <c r="AP232">
        <v>298.94051097025817</v>
      </c>
      <c r="AQ232">
        <v>43.961691707803887</v>
      </c>
      <c r="AR232">
        <v>15.935163011950484</v>
      </c>
      <c r="AS232">
        <v>137.64314932919208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6"/>
        <v>6.7157562643719704</v>
      </c>
      <c r="DH232" s="205" t="e">
        <f t="shared" si="357"/>
        <v>#DIV/0!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2">
        <v>227</v>
      </c>
      <c r="FZ232">
        <v>0.91155005935855693</v>
      </c>
      <c r="GA232">
        <v>10.115207785503797</v>
      </c>
      <c r="GB232">
        <v>18.671407306259074</v>
      </c>
      <c r="GC232">
        <v>7.6856522247039836</v>
      </c>
      <c r="GD232">
        <v>0.40903185980398815</v>
      </c>
      <c r="GE232">
        <v>0</v>
      </c>
      <c r="GF232">
        <v>0.80138167652982462</v>
      </c>
      <c r="GG232">
        <v>2.7443043742915965</v>
      </c>
      <c r="GH232">
        <v>0</v>
      </c>
      <c r="GI232">
        <v>10.660251291864974</v>
      </c>
      <c r="GJ232"/>
      <c r="GK232"/>
      <c r="GL232"/>
      <c r="GM232"/>
    </row>
    <row r="233" spans="1:195" s="7" customFormat="1">
      <c r="A233" s="77"/>
      <c r="B233">
        <v>0.75207760368416676</v>
      </c>
      <c r="C233">
        <v>1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8.2697916666666664</v>
      </c>
      <c r="AO233">
        <v>42.107684711948352</v>
      </c>
      <c r="AP233">
        <v>755.69831003967829</v>
      </c>
      <c r="AQ233">
        <v>56.131527270916735</v>
      </c>
      <c r="AR233">
        <v>38.347673918700089</v>
      </c>
      <c r="AS233">
        <v>198.96014615548873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6"/>
        <v>6.3708541374943737</v>
      </c>
      <c r="DH233" s="205">
        <f t="shared" si="357"/>
        <v>-1.3518691963551785E-3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2">
        <v>228</v>
      </c>
      <c r="FZ233">
        <v>1.10256564173008</v>
      </c>
      <c r="GA233">
        <v>5.0843907013303511</v>
      </c>
      <c r="GB233">
        <v>15.912953959675425</v>
      </c>
      <c r="GC233">
        <v>8.1103468394709743</v>
      </c>
      <c r="GD233">
        <v>1.1674720714392763</v>
      </c>
      <c r="GE233">
        <v>0.35947809610506914</v>
      </c>
      <c r="GF233">
        <v>0</v>
      </c>
      <c r="GG233">
        <v>0.57818975631584713</v>
      </c>
      <c r="GH233">
        <v>0</v>
      </c>
      <c r="GI233">
        <v>6.7845575685616808</v>
      </c>
      <c r="GJ233"/>
      <c r="GK233"/>
      <c r="GL233"/>
      <c r="GM233"/>
    </row>
    <row r="234" spans="1:195" s="7" customFormat="1">
      <c r="A234" s="77"/>
      <c r="B234">
        <v>0.48127229165449847</v>
      </c>
      <c r="C234">
        <v>1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8.2059436274509778</v>
      </c>
      <c r="AO234">
        <v>26.992818924027357</v>
      </c>
      <c r="AP234">
        <v>374.31092077121627</v>
      </c>
      <c r="AQ234">
        <v>49.792731967237167</v>
      </c>
      <c r="AR234">
        <v>24.572906566671119</v>
      </c>
      <c r="AS234">
        <v>124.57486297783687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 t="e">
        <f t="shared" si="356"/>
        <v>#DIV/0!</v>
      </c>
      <c r="DH234" s="205" t="e">
        <f t="shared" si="357"/>
        <v>#DIV/0!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2">
        <v>229</v>
      </c>
      <c r="FZ234">
        <v>0</v>
      </c>
      <c r="GA234">
        <v>9.1907970880955396</v>
      </c>
      <c r="GB234">
        <v>8.4894716841741467</v>
      </c>
      <c r="GC234">
        <v>3.3093090781208647</v>
      </c>
      <c r="GD234">
        <v>0.84153758136917489</v>
      </c>
      <c r="GE234">
        <v>0</v>
      </c>
      <c r="GF234">
        <v>0.80138167652982462</v>
      </c>
      <c r="GG234">
        <v>3.3224941306074438</v>
      </c>
      <c r="GH234">
        <v>0</v>
      </c>
      <c r="GI234">
        <v>5.2310843230685968</v>
      </c>
      <c r="GJ234"/>
      <c r="GK234"/>
      <c r="GL234"/>
      <c r="GM234"/>
    </row>
    <row r="235" spans="1:195" s="7" customFormat="1">
      <c r="A235" s="77"/>
      <c r="B235">
        <v>0.74365281228734603</v>
      </c>
      <c r="C235">
        <v>6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10.405637254901958</v>
      </c>
      <c r="AO235">
        <v>15.777623002617565</v>
      </c>
      <c r="AP235">
        <v>111.47785659433352</v>
      </c>
      <c r="AQ235">
        <v>51.678727200761088</v>
      </c>
      <c r="AR235">
        <v>14.377273910844032</v>
      </c>
      <c r="AS235">
        <v>129.31563727161171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2">
        <v>230</v>
      </c>
      <c r="FZ235">
        <v>1.6353950055333373</v>
      </c>
      <c r="GA235">
        <v>24.213619129036619</v>
      </c>
      <c r="GB235">
        <v>20.820639541203153</v>
      </c>
      <c r="GC235">
        <v>6.0107919957123146</v>
      </c>
      <c r="GD235">
        <v>0.48473520295689748</v>
      </c>
      <c r="GE235">
        <v>0</v>
      </c>
      <c r="GF235">
        <v>1.6027633530596492</v>
      </c>
      <c r="GG235">
        <v>6.6449882612148876</v>
      </c>
      <c r="GH235">
        <v>0</v>
      </c>
      <c r="GI235">
        <v>13.206817621356556</v>
      </c>
      <c r="GJ235"/>
      <c r="GK235"/>
      <c r="GL235"/>
      <c r="GM235"/>
    </row>
    <row r="236" spans="1:195" s="7" customFormat="1">
      <c r="A236" s="77"/>
      <c r="B236">
        <v>0.71970163935383669</v>
      </c>
      <c r="C236">
        <v>3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10.416666666666666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11.435110294117647</v>
      </c>
      <c r="AO236">
        <v>28.056291217609591</v>
      </c>
      <c r="AP236">
        <v>564.2516007390534</v>
      </c>
      <c r="AQ236">
        <v>86.585036114625964</v>
      </c>
      <c r="AR236">
        <v>25.53969956083678</v>
      </c>
      <c r="AS236">
        <v>177.98979931220947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2">
        <v>231</v>
      </c>
      <c r="FZ236">
        <v>2.0141157010886364</v>
      </c>
      <c r="GA236">
        <v>17.515328562509119</v>
      </c>
      <c r="GB236">
        <v>18.955033472997378</v>
      </c>
      <c r="GC236">
        <v>7.7385763551042688</v>
      </c>
      <c r="GD236">
        <v>1.7445607114953467</v>
      </c>
      <c r="GE236">
        <v>0.71895619221013829</v>
      </c>
      <c r="GF236">
        <v>0.80138167652982462</v>
      </c>
      <c r="GG236">
        <v>4.9857089029053814</v>
      </c>
      <c r="GH236">
        <v>3.245920257062465</v>
      </c>
      <c r="GI236">
        <v>12.138545363415771</v>
      </c>
      <c r="GJ236"/>
      <c r="GK236"/>
      <c r="GL236"/>
      <c r="GM236"/>
    </row>
    <row r="237" spans="1:195" s="7" customFormat="1">
      <c r="A237" s="77"/>
      <c r="B237">
        <v>0.96176750239404529</v>
      </c>
      <c r="C237">
        <v>7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11.17781862745098</v>
      </c>
      <c r="AO237">
        <v>43.477730336417963</v>
      </c>
      <c r="AP237">
        <v>1194.0218066467385</v>
      </c>
      <c r="AQ237">
        <v>61.169165283716481</v>
      </c>
      <c r="AR237">
        <v>39.593169940945188</v>
      </c>
      <c r="AS237">
        <v>210.06841449085815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2">
        <v>232</v>
      </c>
      <c r="FZ237">
        <v>0.53282936380325752</v>
      </c>
      <c r="GA237">
        <v>12.7678492061046</v>
      </c>
      <c r="GB237">
        <v>8.8814581493344971</v>
      </c>
      <c r="GC237">
        <v>2.7676883239595664</v>
      </c>
      <c r="GD237">
        <v>1.1674720714392763</v>
      </c>
      <c r="GE237">
        <v>0.35947809610506914</v>
      </c>
      <c r="GF237">
        <v>2.4041450295894737</v>
      </c>
      <c r="GG237">
        <v>9.3892926355064841</v>
      </c>
      <c r="GH237">
        <v>0</v>
      </c>
      <c r="GI237">
        <v>8.4182593529678744</v>
      </c>
      <c r="GJ237"/>
      <c r="GK237"/>
      <c r="GL237"/>
      <c r="GM237"/>
    </row>
    <row r="238" spans="1:195" s="7" customFormat="1">
      <c r="A238" s="77"/>
      <c r="B238">
        <v>0.72803386875082898</v>
      </c>
      <c r="C238">
        <v>4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14.196262254901962</v>
      </c>
      <c r="AO238">
        <v>46.538127346186613</v>
      </c>
      <c r="AP238">
        <v>1381.1502925241659</v>
      </c>
      <c r="AQ238">
        <v>78.496124676395851</v>
      </c>
      <c r="AR238">
        <v>42.341368768634077</v>
      </c>
      <c r="AS238">
        <v>249.32591716217556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2">
        <v>233</v>
      </c>
      <c r="FZ238">
        <v>0.1709068907158674</v>
      </c>
      <c r="GA238">
        <v>13.619790063591312</v>
      </c>
      <c r="GB238">
        <v>12.153612112027343</v>
      </c>
      <c r="GC238">
        <v>3.2325168660036203</v>
      </c>
      <c r="GD238">
        <v>0.62978056992022258</v>
      </c>
      <c r="GE238">
        <v>0.71895619221013829</v>
      </c>
      <c r="GF238">
        <v>0.80138167652982462</v>
      </c>
      <c r="GG238">
        <v>4.7322912730722599</v>
      </c>
      <c r="GH238">
        <v>1.6229601285312325</v>
      </c>
      <c r="GI238">
        <v>6.3142402852043213</v>
      </c>
      <c r="GJ238"/>
      <c r="GK238"/>
      <c r="GL238"/>
      <c r="GM238"/>
    </row>
    <row r="239" spans="1:195" s="7" customFormat="1">
      <c r="A239" s="77" t="s">
        <v>61</v>
      </c>
      <c r="B239">
        <v>0.36741778468990471</v>
      </c>
      <c r="C239">
        <v>1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7.5833333333333313</v>
      </c>
      <c r="AO239">
        <v>27.694665544808394</v>
      </c>
      <c r="AP239">
        <v>351.61255973960044</v>
      </c>
      <c r="AQ239">
        <v>56.91122710764823</v>
      </c>
      <c r="AR239">
        <v>25.27890949340091</v>
      </c>
      <c r="AS239">
        <v>158.96826002853695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2">
        <v>234</v>
      </c>
      <c r="FZ239">
        <v>1.4812863372853795</v>
      </c>
      <c r="GA239">
        <v>14.280389162183662</v>
      </c>
      <c r="GB239">
        <v>9.8261961457819638</v>
      </c>
      <c r="GC239">
        <v>3.6959535976812785</v>
      </c>
      <c r="GD239">
        <v>1.5084288135813921</v>
      </c>
      <c r="GE239">
        <v>0.71895619221013829</v>
      </c>
      <c r="GF239">
        <v>1.6027633530596492</v>
      </c>
      <c r="GG239">
        <v>7.9834309070300984</v>
      </c>
      <c r="GH239">
        <v>4.8688803855936991</v>
      </c>
      <c r="GI239">
        <v>10.044670540658972</v>
      </c>
      <c r="GJ239"/>
      <c r="GK239"/>
      <c r="GL239"/>
      <c r="GM239"/>
    </row>
    <row r="240" spans="1:195" s="7" customFormat="1">
      <c r="A240" s="77" t="s">
        <v>62</v>
      </c>
      <c r="B240">
        <v>0.85419083644873361</v>
      </c>
      <c r="C240">
        <v>9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6.9229166666666675</v>
      </c>
      <c r="AO240">
        <v>20.280033069397767</v>
      </c>
      <c r="AP240">
        <v>462.09409844689537</v>
      </c>
      <c r="AQ240">
        <v>65.170915130943314</v>
      </c>
      <c r="AR240">
        <v>18.470373971553308</v>
      </c>
      <c r="AS240">
        <v>113.29437405590936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0</v>
      </c>
      <c r="DI240" s="182">
        <v>0</v>
      </c>
      <c r="DJ240" s="182">
        <v>0</v>
      </c>
      <c r="DK240" s="182">
        <v>0</v>
      </c>
      <c r="DL240" s="182">
        <v>1.0416666666666665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2">
        <v>235</v>
      </c>
      <c r="FZ240">
        <v>3.1334795652866263</v>
      </c>
      <c r="GA240">
        <v>12.741504958630754</v>
      </c>
      <c r="GB240">
        <v>12.379882271331661</v>
      </c>
      <c r="GC240">
        <v>4.5267352594252586</v>
      </c>
      <c r="GD240">
        <v>0.37001112510775036</v>
      </c>
      <c r="GE240">
        <v>0</v>
      </c>
      <c r="GF240">
        <v>3.2055267061192985</v>
      </c>
      <c r="GG240">
        <v>11.555407253482233</v>
      </c>
      <c r="GH240">
        <v>0</v>
      </c>
      <c r="GI240">
        <v>9.6188732933529515</v>
      </c>
      <c r="GJ240"/>
      <c r="GK240"/>
      <c r="GL240"/>
      <c r="GM240"/>
    </row>
    <row r="241" spans="1:195" s="7" customFormat="1">
      <c r="A241" s="77"/>
      <c r="B241">
        <v>0.70329454047842432</v>
      </c>
      <c r="C241">
        <v>3</v>
      </c>
      <c r="D241">
        <v>39673</v>
      </c>
      <c r="E241">
        <v>0</v>
      </c>
      <c r="F241">
        <v>71.486928104575156</v>
      </c>
      <c r="G241">
        <v>0</v>
      </c>
      <c r="H241">
        <v>142.97385620915031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9.8861519607843107</v>
      </c>
      <c r="AO241">
        <v>17.979486833322294</v>
      </c>
      <c r="AP241">
        <v>428.52106561087942</v>
      </c>
      <c r="AQ241">
        <v>65.757324254525358</v>
      </c>
      <c r="AR241">
        <v>16.37896830239379</v>
      </c>
      <c r="AS241">
        <v>112.44242128211327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7.1486928104575158</v>
      </c>
      <c r="DH241" s="185">
        <v>0</v>
      </c>
      <c r="DI241" s="185">
        <v>15.339052287581698</v>
      </c>
      <c r="DJ241" s="185">
        <v>1.0416666666666665</v>
      </c>
      <c r="DK241" s="185">
        <v>0</v>
      </c>
      <c r="DL241" s="185">
        <v>0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2">
        <v>236</v>
      </c>
      <c r="FZ241">
        <v>1.4443794231618146</v>
      </c>
      <c r="GA241">
        <v>15.566679263034587</v>
      </c>
      <c r="GB241">
        <v>11.55085780816197</v>
      </c>
      <c r="GC241">
        <v>3.4654160451394009</v>
      </c>
      <c r="GD241">
        <v>1.1429594903480664</v>
      </c>
      <c r="GE241">
        <v>0.71895619221013829</v>
      </c>
      <c r="GF241">
        <v>1.6027633530596492</v>
      </c>
      <c r="GG241">
        <v>8.8863927898286725</v>
      </c>
      <c r="GH241">
        <v>3.245920257062465</v>
      </c>
      <c r="GI241">
        <v>9.6520965601067683</v>
      </c>
      <c r="GJ241"/>
      <c r="GK241"/>
      <c r="GL241"/>
      <c r="GM241"/>
    </row>
    <row r="242" spans="1:195" s="7" customFormat="1">
      <c r="A242" s="1"/>
      <c r="B242">
        <v>0.66558763586431802</v>
      </c>
      <c r="C242">
        <v>7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6.2666666666666675</v>
      </c>
      <c r="AO242">
        <v>24.704473703887686</v>
      </c>
      <c r="AP242">
        <v>487.55301450682612</v>
      </c>
      <c r="AQ242">
        <v>53.446625685354391</v>
      </c>
      <c r="AR242">
        <v>22.458612458079713</v>
      </c>
      <c r="AS242">
        <v>115.73635863443124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0</v>
      </c>
      <c r="DI242" s="182">
        <v>0</v>
      </c>
      <c r="DJ242" s="182">
        <v>0</v>
      </c>
      <c r="DK242" s="182">
        <v>1.0416666666666665</v>
      </c>
      <c r="DL242" s="182">
        <v>2.083333333333333</v>
      </c>
      <c r="DM242" s="182">
        <v>4.1666666666666661</v>
      </c>
      <c r="DN242" s="182">
        <v>1.0416666666666665</v>
      </c>
      <c r="DO242" s="182">
        <v>4.1666666666666661</v>
      </c>
      <c r="DP242" s="182">
        <v>1.0416666666666665</v>
      </c>
      <c r="DQ242" s="182">
        <v>2.083333333333333</v>
      </c>
      <c r="DR242" s="182">
        <v>1.0416666666666665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2">
        <v>237</v>
      </c>
      <c r="FZ242">
        <v>0.87464314523499231</v>
      </c>
      <c r="GA242">
        <v>15.684680719012981</v>
      </c>
      <c r="GB242">
        <v>13.819676042526904</v>
      </c>
      <c r="GC242">
        <v>4.8780007652413024</v>
      </c>
      <c r="GD242">
        <v>1.4429987769171801</v>
      </c>
      <c r="GE242">
        <v>0.35947809610506914</v>
      </c>
      <c r="GF242">
        <v>1.6027633530596492</v>
      </c>
      <c r="GG242">
        <v>6.3202161347321617</v>
      </c>
      <c r="GH242">
        <v>1.6229601285312325</v>
      </c>
      <c r="GI242">
        <v>8.5235289672678967</v>
      </c>
      <c r="GJ242"/>
      <c r="GK242"/>
      <c r="GL242"/>
      <c r="GM242"/>
    </row>
    <row r="243" spans="1:195" s="7" customFormat="1">
      <c r="A243" s="1"/>
      <c r="B243">
        <v>3.881264788430272E-2</v>
      </c>
      <c r="C243">
        <v>8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10.435110294117646</v>
      </c>
      <c r="AO243">
        <v>22.690768207953557</v>
      </c>
      <c r="AP243">
        <v>284.02386847968171</v>
      </c>
      <c r="AQ243">
        <v>51.998786578315794</v>
      </c>
      <c r="AR243">
        <v>20.627971098139597</v>
      </c>
      <c r="AS243">
        <v>141.66680824394732</v>
      </c>
      <c r="AT243" t="e">
        <v>#DIV/0!</v>
      </c>
      <c r="AU243" t="e">
        <v>#DIV/0!</v>
      </c>
      <c r="AV243"/>
      <c r="AW243"/>
      <c r="DE243" s="187">
        <v>39747</v>
      </c>
      <c r="DF243" s="182">
        <v>0</v>
      </c>
      <c r="DG243" s="182">
        <v>0</v>
      </c>
      <c r="DH243" s="182">
        <v>0</v>
      </c>
      <c r="DI243" s="182">
        <v>0</v>
      </c>
      <c r="DJ243" s="182">
        <v>0</v>
      </c>
      <c r="DK243" s="182">
        <v>2.8409090909090908</v>
      </c>
      <c r="DL243" s="182">
        <v>0</v>
      </c>
      <c r="DM243" s="182">
        <v>4.9242424242424239</v>
      </c>
      <c r="DN243" s="182">
        <v>4.6875</v>
      </c>
      <c r="DO243" s="182">
        <v>2.604166666666667</v>
      </c>
      <c r="DP243" s="182">
        <v>2.8409090909090908</v>
      </c>
      <c r="DQ243" s="182">
        <v>1.0416666666666665</v>
      </c>
      <c r="DR243" s="182">
        <v>0</v>
      </c>
      <c r="DS243" s="182">
        <v>0</v>
      </c>
      <c r="DT243" s="182">
        <v>0</v>
      </c>
      <c r="DU243" s="182">
        <v>0</v>
      </c>
      <c r="DV243" s="182">
        <v>1.0416666666666665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1.0416666666666665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2">
        <v>238</v>
      </c>
      <c r="FZ243">
        <v>0.91155005935855693</v>
      </c>
      <c r="GA243">
        <v>12.896438484905744</v>
      </c>
      <c r="GB243">
        <v>13.442471086558061</v>
      </c>
      <c r="GC243">
        <v>5.8555777483418314</v>
      </c>
      <c r="GD243">
        <v>1.4729976431581915</v>
      </c>
      <c r="GE243">
        <v>0.35947809610506914</v>
      </c>
      <c r="GF243">
        <v>0</v>
      </c>
      <c r="GG243">
        <v>0</v>
      </c>
      <c r="GH243">
        <v>0</v>
      </c>
      <c r="GI243">
        <v>10.665369688032666</v>
      </c>
      <c r="GJ243"/>
      <c r="GK243"/>
      <c r="GL243"/>
      <c r="GM243"/>
    </row>
    <row r="244" spans="1:195" s="7" customFormat="1">
      <c r="A244" s="1"/>
      <c r="B244">
        <v>0.28856619096397917</v>
      </c>
      <c r="C244">
        <v>8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8.3174019607843128</v>
      </c>
      <c r="AO244">
        <v>22.649778643433041</v>
      </c>
      <c r="AP244">
        <v>293.64821682811316</v>
      </c>
      <c r="AQ244">
        <v>39.099954634628702</v>
      </c>
      <c r="AR244">
        <v>20.624688129767193</v>
      </c>
      <c r="AS244">
        <v>114.27016313737737</v>
      </c>
      <c r="AT244" t="e">
        <v>#DIV/0!</v>
      </c>
      <c r="AU244" t="e">
        <v>#DIV/0!</v>
      </c>
      <c r="AV244"/>
      <c r="AW244"/>
      <c r="DE244" s="187">
        <v>39775</v>
      </c>
      <c r="DF244" s="182">
        <v>0</v>
      </c>
      <c r="DG244" s="182">
        <v>0</v>
      </c>
      <c r="DH244" s="182">
        <v>0</v>
      </c>
      <c r="DI244" s="182">
        <v>0</v>
      </c>
      <c r="DJ244" s="182">
        <v>4.5138888888888884</v>
      </c>
      <c r="DK244" s="182">
        <v>1.0416666666666665</v>
      </c>
      <c r="DL244" s="182">
        <v>0</v>
      </c>
      <c r="DM244" s="182">
        <v>2.4621212121212119</v>
      </c>
      <c r="DN244" s="182">
        <v>1.0416666666666665</v>
      </c>
      <c r="DO244" s="182">
        <v>1.4204545454545454</v>
      </c>
      <c r="DP244" s="182">
        <v>0</v>
      </c>
      <c r="DQ244" s="182">
        <v>0</v>
      </c>
      <c r="DR244" s="182">
        <v>0</v>
      </c>
      <c r="DS244" s="182">
        <v>3.4722222222222223</v>
      </c>
      <c r="DT244" s="182">
        <v>4.8926767676767673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2">
        <v>239</v>
      </c>
      <c r="FZ244">
        <v>2.7379606472634173</v>
      </c>
      <c r="GA244">
        <v>13.942927234789865</v>
      </c>
      <c r="GB244">
        <v>13.550282867725659</v>
      </c>
      <c r="GC244">
        <v>4.6764124359280395</v>
      </c>
      <c r="GD244">
        <v>0.83784282323094184</v>
      </c>
      <c r="GE244">
        <v>0.71895619221013829</v>
      </c>
      <c r="GF244">
        <v>0</v>
      </c>
      <c r="GG244">
        <v>0.83160738614896845</v>
      </c>
      <c r="GH244">
        <v>1.6229601285312325</v>
      </c>
      <c r="GI244">
        <v>5.2356657208068391</v>
      </c>
      <c r="GJ244"/>
      <c r="GK244"/>
      <c r="GL244"/>
      <c r="GM244"/>
    </row>
    <row r="245" spans="1:195" s="7" customFormat="1">
      <c r="A245" s="1"/>
      <c r="B245">
        <v>0.41124371448752495</v>
      </c>
      <c r="C245">
        <v>9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4.6281249999999998</v>
      </c>
      <c r="AO245">
        <v>17.873158120082934</v>
      </c>
      <c r="AP245">
        <v>594.83407845406134</v>
      </c>
      <c r="AQ245">
        <v>31.186075561965591</v>
      </c>
      <c r="AR245">
        <v>16.248325563711759</v>
      </c>
      <c r="AS245">
        <v>85.795016635248743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0</v>
      </c>
      <c r="DH245" s="182">
        <v>0</v>
      </c>
      <c r="DI245" s="182">
        <v>0</v>
      </c>
      <c r="DJ245" s="182">
        <v>0</v>
      </c>
      <c r="DK245" s="182">
        <v>0</v>
      </c>
      <c r="DL245" s="182">
        <v>0</v>
      </c>
      <c r="DM245" s="182">
        <v>0</v>
      </c>
      <c r="DN245" s="182">
        <v>0</v>
      </c>
      <c r="DO245" s="182">
        <v>0</v>
      </c>
      <c r="DP245" s="182">
        <v>0</v>
      </c>
      <c r="DQ245" s="182">
        <v>1.0416666666666665</v>
      </c>
      <c r="DR245" s="182">
        <v>0</v>
      </c>
      <c r="DS245" s="182">
        <v>0</v>
      </c>
      <c r="DT245" s="182">
        <v>1.0416666666666665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1.0416666666666665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2">
        <v>240</v>
      </c>
      <c r="FZ245">
        <v>0.3418137814317348</v>
      </c>
      <c r="GA245">
        <v>19.13439793228957</v>
      </c>
      <c r="GB245">
        <v>16.252501508089271</v>
      </c>
      <c r="GC245">
        <v>4.9730245941350697</v>
      </c>
      <c r="GD245">
        <v>1.2846069686321744</v>
      </c>
      <c r="GE245">
        <v>0.71895619221013829</v>
      </c>
      <c r="GF245">
        <v>1.6027633530596492</v>
      </c>
      <c r="GG245">
        <v>7.7300132771969778</v>
      </c>
      <c r="GH245">
        <v>3.245920257062465</v>
      </c>
      <c r="GI245">
        <v>9.8730403147782102</v>
      </c>
      <c r="GJ245"/>
      <c r="GK245"/>
      <c r="GL245"/>
      <c r="GM245"/>
    </row>
    <row r="246" spans="1:195" s="7" customFormat="1">
      <c r="A246" s="1"/>
      <c r="B246">
        <v>0.77250228598264159</v>
      </c>
      <c r="C246">
        <v>4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12.906985294117643</v>
      </c>
      <c r="AO246">
        <v>44.235227082171377</v>
      </c>
      <c r="AP246">
        <v>1131.5718092692375</v>
      </c>
      <c r="AQ246">
        <v>74.619750110073426</v>
      </c>
      <c r="AR246">
        <v>40.281803346175565</v>
      </c>
      <c r="AS246">
        <v>342.14530676168039</v>
      </c>
      <c r="AT246" t="e">
        <v>#DIV/0!</v>
      </c>
      <c r="AU246" t="e">
        <v>#DIV/0!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0</v>
      </c>
      <c r="DJ246" s="182">
        <v>0</v>
      </c>
      <c r="DK246" s="182">
        <v>0</v>
      </c>
      <c r="DL246" s="182">
        <v>0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2">
        <v>241</v>
      </c>
      <c r="FZ246">
        <v>1.0824569500744243</v>
      </c>
      <c r="GA246">
        <v>14.715257119841372</v>
      </c>
      <c r="GB246">
        <v>16.628731859158169</v>
      </c>
      <c r="GC246">
        <v>6.1011773278469672</v>
      </c>
      <c r="GD246">
        <v>0.86085423651969883</v>
      </c>
      <c r="GE246">
        <v>0.35947809610506914</v>
      </c>
      <c r="GF246">
        <v>0.80138167652982462</v>
      </c>
      <c r="GG246">
        <v>4.9857089029053814</v>
      </c>
      <c r="GH246">
        <v>3.245920257062465</v>
      </c>
      <c r="GI246">
        <v>10.410154787591759</v>
      </c>
      <c r="GJ246"/>
      <c r="GK246"/>
      <c r="GL246"/>
      <c r="GM246"/>
    </row>
    <row r="247" spans="1:195" s="7" customFormat="1">
      <c r="A247" s="77" t="s">
        <v>61</v>
      </c>
      <c r="B247">
        <v>0.1582066155726749</v>
      </c>
      <c r="C247">
        <v>3</v>
      </c>
      <c r="D247">
        <v>39673</v>
      </c>
      <c r="E247">
        <v>0</v>
      </c>
      <c r="F247">
        <v>71.486928104575156</v>
      </c>
      <c r="G247">
        <v>0</v>
      </c>
      <c r="H247">
        <v>142.97385620915031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13.929595588235292</v>
      </c>
      <c r="AO247">
        <v>32.255296357518986</v>
      </c>
      <c r="AP247">
        <v>508.13973212658306</v>
      </c>
      <c r="AQ247">
        <v>69.858127195318318</v>
      </c>
      <c r="AR247">
        <v>29.356976960754405</v>
      </c>
      <c r="AS247">
        <v>163.68830272048689</v>
      </c>
      <c r="AT247" t="e">
        <v>#DIV/0!</v>
      </c>
      <c r="AU247" t="e">
        <v>#DIV/0!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0</v>
      </c>
      <c r="DJ247" s="182">
        <v>0</v>
      </c>
      <c r="DK247" s="182">
        <v>0</v>
      </c>
      <c r="DL247" s="182">
        <v>0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3.4375</v>
      </c>
      <c r="DT247" s="182">
        <v>1.0416666666666665</v>
      </c>
      <c r="DU247" s="182">
        <v>0</v>
      </c>
      <c r="DV247" s="182">
        <v>0</v>
      </c>
      <c r="DW247" s="182">
        <v>0</v>
      </c>
      <c r="DX247" s="182">
        <v>0</v>
      </c>
      <c r="DY247" s="182">
        <v>1.0416666666666665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2">
        <v>242</v>
      </c>
      <c r="FZ247">
        <v>1.4812863372853795</v>
      </c>
      <c r="GA247">
        <v>25.481902644159735</v>
      </c>
      <c r="GB247">
        <v>13.61409814617458</v>
      </c>
      <c r="GC247">
        <v>2.6710945177543923</v>
      </c>
      <c r="GD247">
        <v>1.2082628529404826</v>
      </c>
      <c r="GE247">
        <v>0.71895619221013829</v>
      </c>
      <c r="GF247">
        <v>1.6027633530596492</v>
      </c>
      <c r="GG247">
        <v>6.8984058910480091</v>
      </c>
      <c r="GH247">
        <v>1.6229601285312325</v>
      </c>
      <c r="GI247">
        <v>12.102618792623707</v>
      </c>
      <c r="GJ247"/>
      <c r="GK247"/>
      <c r="GL247"/>
      <c r="GM247"/>
    </row>
    <row r="248" spans="1:195" s="7" customFormat="1">
      <c r="A248" s="77" t="s">
        <v>62</v>
      </c>
      <c r="B248">
        <v>0.32613588147703076</v>
      </c>
      <c r="C248">
        <v>3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5.9260416666666673</v>
      </c>
      <c r="AO248">
        <v>30.407988782885049</v>
      </c>
      <c r="AP248">
        <v>1093.5081200290629</v>
      </c>
      <c r="AQ248">
        <v>46.688472228810099</v>
      </c>
      <c r="AR248">
        <v>27.677606438359927</v>
      </c>
      <c r="AS248">
        <v>142.528857985923</v>
      </c>
      <c r="AT248" t="e">
        <v>#DIV/0!</v>
      </c>
      <c r="AU248" t="e">
        <v>#DIV/0!</v>
      </c>
      <c r="AV248"/>
      <c r="AW248"/>
      <c r="DE248" s="187">
        <v>39949</v>
      </c>
      <c r="DF248" s="182">
        <v>0</v>
      </c>
      <c r="DG248" s="182">
        <v>0</v>
      </c>
      <c r="DH248" s="182">
        <v>0</v>
      </c>
      <c r="DI248" s="182">
        <v>0</v>
      </c>
      <c r="DJ248" s="182">
        <v>0</v>
      </c>
      <c r="DK248" s="182">
        <v>0</v>
      </c>
      <c r="DL248" s="182">
        <v>0</v>
      </c>
      <c r="DM248" s="182">
        <v>0</v>
      </c>
      <c r="DN248" s="182">
        <v>0</v>
      </c>
      <c r="DO248" s="182">
        <v>0</v>
      </c>
      <c r="DP248" s="182">
        <v>0</v>
      </c>
      <c r="DQ248" s="182">
        <v>0</v>
      </c>
      <c r="DR248" s="182">
        <v>0</v>
      </c>
      <c r="DS248" s="182">
        <v>1.0416666666666665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2">
        <v>243</v>
      </c>
      <c r="FZ248">
        <v>1.8063018962492046</v>
      </c>
      <c r="GA248">
        <v>16.205602407601425</v>
      </c>
      <c r="GB248">
        <v>9.0310331045546164</v>
      </c>
      <c r="GC248">
        <v>1.7442099721059694</v>
      </c>
      <c r="GD248">
        <v>0.79365866335502977</v>
      </c>
      <c r="GE248">
        <v>0.71895619221013829</v>
      </c>
      <c r="GF248">
        <v>1.6027633530596492</v>
      </c>
      <c r="GG248">
        <v>6.3202161347321617</v>
      </c>
      <c r="GH248">
        <v>1.6229601285312325</v>
      </c>
      <c r="GI248">
        <v>10.565041322373144</v>
      </c>
      <c r="GJ248"/>
      <c r="GK248"/>
      <c r="GL248"/>
      <c r="GM248"/>
    </row>
    <row r="249" spans="1:195" s="7" customFormat="1">
      <c r="A249" s="1"/>
      <c r="B249">
        <v>6.4334982675117836E-2</v>
      </c>
      <c r="C249">
        <v>1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5.117708333333332</v>
      </c>
      <c r="AO249">
        <v>17.213110483218347</v>
      </c>
      <c r="AP249">
        <v>670.73210795477189</v>
      </c>
      <c r="AQ249">
        <v>43.996436057806143</v>
      </c>
      <c r="AR249">
        <v>15.648282257471225</v>
      </c>
      <c r="AS249">
        <v>97.60791747076928</v>
      </c>
      <c r="AT249" t="e">
        <v>#DIV/0!</v>
      </c>
      <c r="AU249" t="e">
        <v>#DIV/0!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0</v>
      </c>
      <c r="DJ249" s="182">
        <v>0</v>
      </c>
      <c r="DK249" s="182">
        <v>0</v>
      </c>
      <c r="DL249" s="182">
        <v>0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2">
        <v>244</v>
      </c>
      <c r="FZ249">
        <v>0.72384494617478023</v>
      </c>
      <c r="GA249">
        <v>13.43633571997924</v>
      </c>
      <c r="GB249">
        <v>18.778126248708169</v>
      </c>
      <c r="GC249">
        <v>7.1614884659991089</v>
      </c>
      <c r="GD249">
        <v>0.94150828614882309</v>
      </c>
      <c r="GE249">
        <v>0.35947809610506914</v>
      </c>
      <c r="GF249">
        <v>0</v>
      </c>
      <c r="GG249">
        <v>1.1563795126316943</v>
      </c>
      <c r="GH249">
        <v>0</v>
      </c>
      <c r="GI249">
        <v>11.349307294338788</v>
      </c>
      <c r="GJ249"/>
      <c r="GK249"/>
      <c r="GL249"/>
      <c r="GM249"/>
    </row>
    <row r="250" spans="1:195" s="7" customFormat="1">
      <c r="A250" s="1"/>
      <c r="B250">
        <v>0.44273975570621626</v>
      </c>
      <c r="C250">
        <v>10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10.416666666666666</v>
      </c>
      <c r="M250">
        <v>0</v>
      </c>
      <c r="N250">
        <v>10.416666666666666</v>
      </c>
      <c r="O250">
        <v>10.416666666666666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11.224387254901959</v>
      </c>
      <c r="AO250">
        <v>24.898750650131323</v>
      </c>
      <c r="AP250">
        <v>512.64230568387313</v>
      </c>
      <c r="AQ250">
        <v>56.010955435066229</v>
      </c>
      <c r="AR250">
        <v>22.635227863755748</v>
      </c>
      <c r="AS250">
        <v>135.27970458588172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2">
        <v>245</v>
      </c>
      <c r="FZ250">
        <v>1.10256564173008</v>
      </c>
      <c r="GA250">
        <v>21.28366695991371</v>
      </c>
      <c r="GB250">
        <v>19.790624349035287</v>
      </c>
      <c r="GC250">
        <v>6.2932910404173805</v>
      </c>
      <c r="GD250">
        <v>1.0318249767719563</v>
      </c>
      <c r="GE250">
        <v>0.35947809610506914</v>
      </c>
      <c r="GF250">
        <v>0</v>
      </c>
      <c r="GG250">
        <v>2.5661766550965104</v>
      </c>
      <c r="GH250">
        <v>1.6229601285312325</v>
      </c>
      <c r="GI250">
        <v>10.561877557177761</v>
      </c>
      <c r="GJ250"/>
      <c r="GK250"/>
      <c r="GL250"/>
      <c r="GM250"/>
    </row>
    <row r="251" spans="1:195" s="7" customFormat="1">
      <c r="A251" s="1"/>
      <c r="B251">
        <v>0.66121076597366013</v>
      </c>
      <c r="C251">
        <v>3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15.896691176470586</v>
      </c>
      <c r="AO251">
        <v>35.147471879667478</v>
      </c>
      <c r="AP251">
        <v>1127.4755492988647</v>
      </c>
      <c r="AQ251">
        <v>57.531420432736539</v>
      </c>
      <c r="AR251">
        <v>31.952247163334079</v>
      </c>
      <c r="AS251">
        <v>152.56206118997102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2">
        <v>246</v>
      </c>
      <c r="FZ251">
        <v>0.91155005935855693</v>
      </c>
      <c r="GA251">
        <v>15.212687274874211</v>
      </c>
      <c r="GB251">
        <v>14.192677565378061</v>
      </c>
      <c r="GC251">
        <v>5.5745943059477998</v>
      </c>
      <c r="GD251">
        <v>1.4744988109606445</v>
      </c>
      <c r="GE251">
        <v>0.35947809610506914</v>
      </c>
      <c r="GF251">
        <v>0.80138167652982462</v>
      </c>
      <c r="GG251">
        <v>4.407519146589534</v>
      </c>
      <c r="GH251">
        <v>3.245920257062465</v>
      </c>
      <c r="GI251">
        <v>9.9252802717417286</v>
      </c>
      <c r="GJ251"/>
      <c r="GK251"/>
      <c r="GL251"/>
      <c r="GM251"/>
    </row>
    <row r="252" spans="1:195" s="7" customFormat="1">
      <c r="A252" s="1"/>
      <c r="B252">
        <v>4.9419232292032156E-2</v>
      </c>
      <c r="C252">
        <v>10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10.416666666666666</v>
      </c>
      <c r="M252">
        <v>0</v>
      </c>
      <c r="N252">
        <v>10.416666666666666</v>
      </c>
      <c r="O252">
        <v>10.416666666666666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9.3757352941176499</v>
      </c>
      <c r="AO252">
        <v>47.44472852925783</v>
      </c>
      <c r="AP252">
        <v>1300.6117444492406</v>
      </c>
      <c r="AQ252">
        <v>57.276421182113538</v>
      </c>
      <c r="AR252">
        <v>43.16555166233519</v>
      </c>
      <c r="AS252">
        <v>194.68985602716782</v>
      </c>
      <c r="AT252" t="e">
        <v>#DIV/0!</v>
      </c>
      <c r="AU252" t="e">
        <v>#DIV/0!</v>
      </c>
      <c r="AV252"/>
      <c r="AW252"/>
      <c r="FY252" s="212">
        <v>247</v>
      </c>
      <c r="FZ252">
        <v>1.273472532445947</v>
      </c>
      <c r="GA252">
        <v>24.960980955571287</v>
      </c>
      <c r="GB252">
        <v>19.999548758830684</v>
      </c>
      <c r="GC252">
        <v>5.3805874991431626</v>
      </c>
      <c r="GD252">
        <v>0.96843168658378376</v>
      </c>
      <c r="GE252">
        <v>0.35947809610506914</v>
      </c>
      <c r="GF252">
        <v>2.4041450295894737</v>
      </c>
      <c r="GG252">
        <v>10.220900021655453</v>
      </c>
      <c r="GH252">
        <v>1.6229601285312325</v>
      </c>
      <c r="GI252">
        <v>11.749041075946545</v>
      </c>
      <c r="GJ252"/>
      <c r="GK252"/>
      <c r="GL252"/>
      <c r="GM252"/>
    </row>
    <row r="253" spans="1:195" s="7" customFormat="1">
      <c r="A253" s="1"/>
      <c r="B253">
        <v>0.49920470290219487</v>
      </c>
      <c r="C253">
        <v>10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10.416666666666666</v>
      </c>
      <c r="M253">
        <v>0</v>
      </c>
      <c r="N253">
        <v>10.416666666666666</v>
      </c>
      <c r="O253">
        <v>10.416666666666666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7.5062499999999988</v>
      </c>
      <c r="AO253">
        <v>24.97452836555648</v>
      </c>
      <c r="AP253">
        <v>487.55683628248431</v>
      </c>
      <c r="AQ253">
        <v>55.128946128629366</v>
      </c>
      <c r="AR253">
        <v>22.738096968061228</v>
      </c>
      <c r="AS253">
        <v>120.7514678940974</v>
      </c>
      <c r="AT253" t="e">
        <v>#DIV/0!</v>
      </c>
      <c r="AU253" t="e">
        <v>#DIV/0!</v>
      </c>
      <c r="AV253"/>
      <c r="AW253"/>
      <c r="FY253" s="212">
        <v>248</v>
      </c>
      <c r="FZ253">
        <v>0.53282936380325752</v>
      </c>
      <c r="GA253">
        <v>17.82874837387935</v>
      </c>
      <c r="GB253">
        <v>11.012760323441054</v>
      </c>
      <c r="GC253">
        <v>2.455654766091703</v>
      </c>
      <c r="GD253">
        <v>0.90998910287182588</v>
      </c>
      <c r="GE253">
        <v>0.35947809610506914</v>
      </c>
      <c r="GF253">
        <v>0</v>
      </c>
      <c r="GG253">
        <v>0.57818975631584713</v>
      </c>
      <c r="GH253">
        <v>0</v>
      </c>
      <c r="GI253">
        <v>4.8255291618456697</v>
      </c>
      <c r="GJ253"/>
      <c r="GK253"/>
      <c r="GL253"/>
      <c r="GM253"/>
    </row>
    <row r="254" spans="1:195" s="7" customFormat="1">
      <c r="A254" s="1"/>
      <c r="B254">
        <v>6.8709824521706153E-2</v>
      </c>
      <c r="C254">
        <v>7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10.306985294117645</v>
      </c>
      <c r="AO254">
        <v>31.309725137474594</v>
      </c>
      <c r="AP254">
        <v>190.11259615419092</v>
      </c>
      <c r="AQ254">
        <v>45.60388280646012</v>
      </c>
      <c r="AR254">
        <v>28.463386488613263</v>
      </c>
      <c r="AS254">
        <v>225.2663498489444</v>
      </c>
      <c r="AT254" t="e">
        <v>#DIV/0!</v>
      </c>
      <c r="AU254" t="e">
        <v>#DIV/0!</v>
      </c>
      <c r="AV254"/>
      <c r="AW254"/>
      <c r="FY254" s="212">
        <v>249</v>
      </c>
      <c r="FZ254">
        <v>2.1850225918045041</v>
      </c>
      <c r="GA254">
        <v>13.445497079757025</v>
      </c>
      <c r="GB254">
        <v>9.7411730822734857</v>
      </c>
      <c r="GC254">
        <v>3.2237670183485414</v>
      </c>
      <c r="GD254">
        <v>0.86580494299591371</v>
      </c>
      <c r="GE254">
        <v>0.35947809610506914</v>
      </c>
      <c r="GF254">
        <v>0.80138167652982462</v>
      </c>
      <c r="GG254">
        <v>4.9857089029053814</v>
      </c>
      <c r="GH254">
        <v>3.245920257062465</v>
      </c>
      <c r="GI254">
        <v>10.57568348883564</v>
      </c>
      <c r="GJ254"/>
      <c r="GK254"/>
      <c r="GL254"/>
      <c r="GM254"/>
    </row>
    <row r="255" spans="1:195" s="7" customFormat="1">
      <c r="A255" s="1"/>
      <c r="B255">
        <v>0.26219357932275522</v>
      </c>
      <c r="C255">
        <v>2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20.833333333333332</v>
      </c>
      <c r="O255">
        <v>0</v>
      </c>
      <c r="P255">
        <v>10.416666666666666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9.7181372549019578</v>
      </c>
      <c r="AO255">
        <v>20.416254132378455</v>
      </c>
      <c r="AP255">
        <v>272.83583184840376</v>
      </c>
      <c r="AQ255">
        <v>44.154615436635098</v>
      </c>
      <c r="AR255">
        <v>18.662171845737333</v>
      </c>
      <c r="AS255">
        <v>118.77261275558998</v>
      </c>
      <c r="AT255" t="e">
        <v>#DIV/0!</v>
      </c>
      <c r="AU255" t="e">
        <v>#DIV/0!</v>
      </c>
      <c r="AV255"/>
      <c r="AW255"/>
      <c r="FY255" s="212">
        <v>250</v>
      </c>
      <c r="FZ255">
        <v>1.273472532445947</v>
      </c>
      <c r="GA255">
        <v>12.178973664665163</v>
      </c>
      <c r="GB255">
        <v>20.023394786619079</v>
      </c>
      <c r="GC255">
        <v>8.8563296156830056</v>
      </c>
      <c r="GD255">
        <v>1.8418648550707344</v>
      </c>
      <c r="GE255">
        <v>1.0784342883152076</v>
      </c>
      <c r="GF255">
        <v>0.80138167652982462</v>
      </c>
      <c r="GG255">
        <v>4.1541015167564126</v>
      </c>
      <c r="GH255">
        <v>1.6229601285312325</v>
      </c>
      <c r="GI255">
        <v>12.571269340592172</v>
      </c>
      <c r="GJ255"/>
      <c r="GK255"/>
      <c r="GL255"/>
      <c r="GM255"/>
    </row>
    <row r="256" spans="1:195" s="7" customFormat="1">
      <c r="A256" s="1"/>
      <c r="B256">
        <v>0.67125823453883782</v>
      </c>
      <c r="C256">
        <v>7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7.0791666666666675</v>
      </c>
      <c r="AO256">
        <v>22.80638776959022</v>
      </c>
      <c r="AP256">
        <v>647.90599182890355</v>
      </c>
      <c r="AQ256">
        <v>65.157038178885259</v>
      </c>
      <c r="AR256">
        <v>20.733079790536561</v>
      </c>
      <c r="AS256">
        <v>121.22707706215361</v>
      </c>
      <c r="AT256" t="e">
        <v>#DIV/0!</v>
      </c>
      <c r="AU256" t="e">
        <v>#DIV/0!</v>
      </c>
      <c r="AV256"/>
      <c r="AW256"/>
      <c r="FY256" s="212">
        <v>251</v>
      </c>
      <c r="FZ256">
        <v>1.273472532445947</v>
      </c>
      <c r="GA256">
        <v>21.38806091355854</v>
      </c>
      <c r="GB256">
        <v>17.146401033635279</v>
      </c>
      <c r="GC256">
        <v>6.3668616364527759</v>
      </c>
      <c r="GD256">
        <v>1.8097195381839764</v>
      </c>
      <c r="GE256">
        <v>0</v>
      </c>
      <c r="GF256">
        <v>1.6027633530596492</v>
      </c>
      <c r="GG256">
        <v>5.4886087485831929</v>
      </c>
      <c r="GH256">
        <v>0</v>
      </c>
      <c r="GI256">
        <v>10.427980787648579</v>
      </c>
      <c r="GJ256"/>
      <c r="GK256"/>
      <c r="GL256"/>
      <c r="GM256"/>
    </row>
    <row r="257" spans="1:195" s="7" customFormat="1">
      <c r="A257" s="1"/>
      <c r="B257">
        <v>0.78198268148782235</v>
      </c>
      <c r="C257">
        <v>3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9.8517769607843135</v>
      </c>
      <c r="AO257">
        <v>29.027542490563082</v>
      </c>
      <c r="AP257">
        <v>516.03032627356674</v>
      </c>
      <c r="AQ257">
        <v>59.191121213635128</v>
      </c>
      <c r="AR257">
        <v>26.388674991420981</v>
      </c>
      <c r="AS257">
        <v>162.35979897865712</v>
      </c>
      <c r="AT257" t="e">
        <v>#DIV/0!</v>
      </c>
      <c r="AU257" t="e">
        <v>#DIV/0!</v>
      </c>
      <c r="AV257"/>
      <c r="AW257"/>
      <c r="FY257" s="212">
        <v>252</v>
      </c>
      <c r="FZ257">
        <v>0.70373625451912492</v>
      </c>
      <c r="GA257">
        <v>18.666531146564537</v>
      </c>
      <c r="GB257">
        <v>9.1417075463671242</v>
      </c>
      <c r="GC257">
        <v>2.4989617258762089</v>
      </c>
      <c r="GD257">
        <v>1.4075676064939791</v>
      </c>
      <c r="GE257">
        <v>0</v>
      </c>
      <c r="GF257">
        <v>0</v>
      </c>
      <c r="GG257">
        <v>0.83160738614896845</v>
      </c>
      <c r="GH257">
        <v>1.6229601285312325</v>
      </c>
      <c r="GI257">
        <v>8.0590320528771358</v>
      </c>
      <c r="GJ257"/>
      <c r="GK257"/>
      <c r="GL257"/>
      <c r="GM257"/>
    </row>
    <row r="258" spans="1:195" s="7" customFormat="1">
      <c r="A258" s="1"/>
      <c r="B258">
        <v>0.44111744784934648</v>
      </c>
      <c r="C258">
        <v>2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26.041666666666668</v>
      </c>
      <c r="N258">
        <v>26.041666666666668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13.151470588235293</v>
      </c>
      <c r="AO258">
        <v>31.866056917628278</v>
      </c>
      <c r="AP258">
        <v>783.81793664552038</v>
      </c>
      <c r="AQ258">
        <v>67.402348855787309</v>
      </c>
      <c r="AR258">
        <v>28.969142652389344</v>
      </c>
      <c r="AS258">
        <v>161.73792036878393</v>
      </c>
      <c r="AT258" t="e">
        <v>#DIV/0!</v>
      </c>
      <c r="AU258" t="e">
        <v>#DIV/0!</v>
      </c>
      <c r="AV258"/>
      <c r="AW258"/>
      <c r="FY258" s="212">
        <v>253</v>
      </c>
      <c r="FZ258">
        <v>0.36192247308739012</v>
      </c>
      <c r="GA258">
        <v>10.079318267177921</v>
      </c>
      <c r="GB258">
        <v>8.6999531434026807</v>
      </c>
      <c r="GC258">
        <v>2.4536946884919715</v>
      </c>
      <c r="GD258">
        <v>0.63880243837544914</v>
      </c>
      <c r="GE258">
        <v>0.71895619221013829</v>
      </c>
      <c r="GF258">
        <v>0.80138167652982462</v>
      </c>
      <c r="GG258">
        <v>3.9006838869232907</v>
      </c>
      <c r="GH258">
        <v>0</v>
      </c>
      <c r="GI258">
        <v>5.9407177931815882</v>
      </c>
      <c r="GJ258"/>
      <c r="GK258"/>
      <c r="GL258"/>
      <c r="GM258"/>
    </row>
    <row r="259" spans="1:195" s="7" customFormat="1">
      <c r="A259" s="90"/>
      <c r="B259">
        <v>0.59973814595825625</v>
      </c>
      <c r="C259">
        <v>3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9.4278186274509785</v>
      </c>
      <c r="AO259">
        <v>28.815731354362374</v>
      </c>
      <c r="AP259">
        <v>471.10684791749077</v>
      </c>
      <c r="AQ259">
        <v>50.410743174772577</v>
      </c>
      <c r="AR259">
        <v>26.264079957258293</v>
      </c>
      <c r="AS259">
        <v>153.7794218250946</v>
      </c>
      <c r="AT259" t="e">
        <v>#DIV/0!</v>
      </c>
      <c r="AU259" t="e">
        <v>#DIV/0!</v>
      </c>
      <c r="AV259"/>
      <c r="AW259"/>
      <c r="FY259" s="212">
        <v>254</v>
      </c>
      <c r="FZ259">
        <v>1.10256564173008</v>
      </c>
      <c r="GA259">
        <v>15.163190254214776</v>
      </c>
      <c r="GB259">
        <v>15.299100774627096</v>
      </c>
      <c r="GC259">
        <v>6.666686022278232</v>
      </c>
      <c r="GD259">
        <v>1.7938547526802817</v>
      </c>
      <c r="GE259">
        <v>0.35947809610506914</v>
      </c>
      <c r="GF259">
        <v>0</v>
      </c>
      <c r="GG259">
        <v>1.9879868987806626</v>
      </c>
      <c r="GH259">
        <v>1.6229601285312325</v>
      </c>
      <c r="GI259">
        <v>12.005498681343946</v>
      </c>
      <c r="GJ259"/>
      <c r="GK259"/>
      <c r="GL259"/>
      <c r="GM259"/>
    </row>
    <row r="260" spans="1:195" s="7" customFormat="1">
      <c r="A260" s="77" t="s">
        <v>61</v>
      </c>
      <c r="B260">
        <v>0.25738250896154691</v>
      </c>
      <c r="C260">
        <v>5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9.1249999999999964</v>
      </c>
      <c r="AO260">
        <v>36.222761803383811</v>
      </c>
      <c r="AP260">
        <v>787.19490161921954</v>
      </c>
      <c r="AQ260">
        <v>53.906468570085671</v>
      </c>
      <c r="AR260">
        <v>32.997744001823229</v>
      </c>
      <c r="AS260">
        <v>239.87076306395122</v>
      </c>
      <c r="AT260" t="e">
        <v>#DIV/0!</v>
      </c>
      <c r="AU260" t="e">
        <v>#DIV/0!</v>
      </c>
      <c r="AV260"/>
      <c r="AW260"/>
      <c r="FY260" s="212">
        <v>255</v>
      </c>
      <c r="FZ260">
        <v>1.46448811481747</v>
      </c>
      <c r="GA260">
        <v>25.008834485676932</v>
      </c>
      <c r="GB260">
        <v>15.30462557490161</v>
      </c>
      <c r="GC260">
        <v>3.095546517398315</v>
      </c>
      <c r="GD260">
        <v>0.67360747518888897</v>
      </c>
      <c r="GE260">
        <v>0</v>
      </c>
      <c r="GF260">
        <v>0</v>
      </c>
      <c r="GG260">
        <v>1.1563795126316943</v>
      </c>
      <c r="GH260">
        <v>0</v>
      </c>
      <c r="GI260">
        <v>6.0541691148015753</v>
      </c>
      <c r="GJ260"/>
      <c r="GK260"/>
      <c r="GL260"/>
      <c r="GM260"/>
    </row>
    <row r="261" spans="1:195" s="7" customFormat="1">
      <c r="A261" s="77" t="s">
        <v>62</v>
      </c>
      <c r="B261">
        <v>0.43295381279680267</v>
      </c>
      <c r="C261">
        <v>10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20.833333333333332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10.609068627450977</v>
      </c>
      <c r="AO261">
        <v>33.271513812855119</v>
      </c>
      <c r="AP261">
        <v>789.9702081049536</v>
      </c>
      <c r="AQ261">
        <v>64.612465404779002</v>
      </c>
      <c r="AR261">
        <v>30.280811011059981</v>
      </c>
      <c r="AS261">
        <v>215.25622338632209</v>
      </c>
      <c r="AT261" t="e">
        <v>#DIV/0!</v>
      </c>
      <c r="AU261" t="e">
        <v>#DIV/0!</v>
      </c>
      <c r="AV261"/>
      <c r="AW261"/>
      <c r="FY261" s="212">
        <v>256</v>
      </c>
      <c r="FZ261">
        <v>0.91155005935855693</v>
      </c>
      <c r="GA261">
        <v>4.4159041874557099</v>
      </c>
      <c r="GB261">
        <v>8.8449635082662041</v>
      </c>
      <c r="GC261">
        <v>4.6873594680078119</v>
      </c>
      <c r="GD261">
        <v>0.78833155303803626</v>
      </c>
      <c r="GE261">
        <v>0</v>
      </c>
      <c r="GF261">
        <v>1.6027633530596492</v>
      </c>
      <c r="GG261">
        <v>6.3202161347321617</v>
      </c>
      <c r="GH261">
        <v>1.6229601285312325</v>
      </c>
      <c r="GI261">
        <v>10.877772187747444</v>
      </c>
      <c r="GJ261"/>
      <c r="GK261"/>
      <c r="GL261"/>
      <c r="GM261"/>
    </row>
    <row r="262" spans="1:195" s="7" customFormat="1" ht="12.75" customHeight="1">
      <c r="A262" s="77"/>
      <c r="B262">
        <v>0.22573118847338414</v>
      </c>
      <c r="C262">
        <v>5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9.9871936274509796</v>
      </c>
      <c r="AO262">
        <v>28.728045047968862</v>
      </c>
      <c r="AP262">
        <v>339.31527863759686</v>
      </c>
      <c r="AQ262">
        <v>56.105587464547895</v>
      </c>
      <c r="AR262">
        <v>26.116404589062604</v>
      </c>
      <c r="AS262">
        <v>136.43334026775233</v>
      </c>
      <c r="AT262" t="e">
        <v>#DIV/0!</v>
      </c>
      <c r="AU262" t="e">
        <v>#DIV/0!</v>
      </c>
      <c r="AV262"/>
      <c r="AW262"/>
      <c r="FY262" s="212">
        <v>257</v>
      </c>
      <c r="FZ262">
        <v>1.10256564173008</v>
      </c>
      <c r="GA262">
        <v>8.2520616344920352</v>
      </c>
      <c r="GB262">
        <v>8.0527618941667178</v>
      </c>
      <c r="GC262">
        <v>3.5771371020956328</v>
      </c>
      <c r="GD262">
        <v>0.91724092452208428</v>
      </c>
      <c r="GE262">
        <v>0</v>
      </c>
      <c r="GF262">
        <v>0</v>
      </c>
      <c r="GG262">
        <v>1.4097971424648157</v>
      </c>
      <c r="GH262">
        <v>1.6229601285312325</v>
      </c>
      <c r="GI262">
        <v>4.6727780049733063</v>
      </c>
      <c r="GJ262"/>
      <c r="GK262"/>
      <c r="GL262"/>
      <c r="GM262"/>
    </row>
    <row r="263" spans="1:195" s="7" customFormat="1">
      <c r="A263" s="77"/>
      <c r="B263">
        <v>0.27646438713364319</v>
      </c>
      <c r="C263">
        <v>3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11.149693627450979</v>
      </c>
      <c r="AO263">
        <v>38.227701018828917</v>
      </c>
      <c r="AP263">
        <v>1157.9009367945825</v>
      </c>
      <c r="AQ263">
        <v>78.93954578440264</v>
      </c>
      <c r="AR263">
        <v>34.786435743763441</v>
      </c>
      <c r="AS263">
        <v>173.07727180934407</v>
      </c>
      <c r="AT263" t="e">
        <v>#DIV/0!</v>
      </c>
      <c r="AU263" t="e">
        <v>#DIV/0!</v>
      </c>
      <c r="AV263"/>
      <c r="AW263"/>
      <c r="FY263" s="212">
        <v>258</v>
      </c>
      <c r="FZ263">
        <v>3.1166813428187163</v>
      </c>
      <c r="GA263">
        <v>16.075030877876468</v>
      </c>
      <c r="GB263">
        <v>10.076837615834283</v>
      </c>
      <c r="GC263">
        <v>3.1145639462203749</v>
      </c>
      <c r="GD263">
        <v>1.0704176576328712</v>
      </c>
      <c r="GE263">
        <v>0.35947809610506914</v>
      </c>
      <c r="GF263">
        <v>1.6027633530596492</v>
      </c>
      <c r="GG263">
        <v>5.4886087485831929</v>
      </c>
      <c r="GH263">
        <v>0</v>
      </c>
      <c r="GI263">
        <v>6.4319276761749711</v>
      </c>
      <c r="GJ263"/>
      <c r="GK263"/>
      <c r="GL263"/>
      <c r="GM263"/>
    </row>
    <row r="264" spans="1:195" s="7" customFormat="1">
      <c r="A264" s="77"/>
      <c r="B264">
        <v>0.4848210570239142</v>
      </c>
      <c r="C264">
        <v>7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10.416666666666666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4.8749999999999991</v>
      </c>
      <c r="AO264">
        <v>19.995260323436312</v>
      </c>
      <c r="AP264">
        <v>425.39406903653719</v>
      </c>
      <c r="AQ264">
        <v>38.503178944353778</v>
      </c>
      <c r="AR264">
        <v>18.211489657042893</v>
      </c>
      <c r="AS264">
        <v>88.958805783744282</v>
      </c>
      <c r="AT264" t="e">
        <v>#DIV/0!</v>
      </c>
      <c r="AU264" t="e">
        <v>#DIV/0!</v>
      </c>
      <c r="AV264"/>
      <c r="AW264"/>
      <c r="FY264" s="212">
        <v>259</v>
      </c>
      <c r="FZ264">
        <v>1.46448811481747</v>
      </c>
      <c r="GA264">
        <v>5.4891210958879233</v>
      </c>
      <c r="GB264">
        <v>6.4414930426705386</v>
      </c>
      <c r="GC264">
        <v>3.067435131346739</v>
      </c>
      <c r="GD264">
        <v>0.74439712293110649</v>
      </c>
      <c r="GE264">
        <v>0.35947809610506914</v>
      </c>
      <c r="GF264">
        <v>0</v>
      </c>
      <c r="GG264">
        <v>1.6632147722979369</v>
      </c>
      <c r="GH264">
        <v>3.245920257062465</v>
      </c>
      <c r="GI264">
        <v>11.73358621981623</v>
      </c>
      <c r="GJ264"/>
      <c r="GK264"/>
      <c r="GL264"/>
      <c r="GM264"/>
    </row>
    <row r="265" spans="1:195" s="7" customFormat="1">
      <c r="A265" s="77"/>
      <c r="B265">
        <v>0.42052596881429127</v>
      </c>
      <c r="C265">
        <v>1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12.512928921568628</v>
      </c>
      <c r="AO265">
        <v>41.294085693807986</v>
      </c>
      <c r="AP265">
        <v>639.38248910827622</v>
      </c>
      <c r="AQ265">
        <v>49.42943713661785</v>
      </c>
      <c r="AR265">
        <v>37.574058175562598</v>
      </c>
      <c r="AS265">
        <v>180.95435964257226</v>
      </c>
      <c r="AT265" t="e">
        <v>#DIV/0!</v>
      </c>
      <c r="AU265" t="e">
        <v>#DIV/0!</v>
      </c>
      <c r="AV265"/>
      <c r="AW265"/>
      <c r="FY265" s="212">
        <v>260</v>
      </c>
      <c r="FZ265">
        <v>0.74064316864268975</v>
      </c>
      <c r="GA265">
        <v>23.562816713993008</v>
      </c>
      <c r="GB265">
        <v>17.335595448632532</v>
      </c>
      <c r="GC265">
        <v>4.4724497776458643</v>
      </c>
      <c r="GD265">
        <v>0.74246790129333029</v>
      </c>
      <c r="GE265">
        <v>0.35947809610506914</v>
      </c>
      <c r="GF265">
        <v>0.80138167652982462</v>
      </c>
      <c r="GG265">
        <v>4.9857089029053814</v>
      </c>
      <c r="GH265">
        <v>3.245920257062465</v>
      </c>
      <c r="GI265">
        <v>11.977145377646201</v>
      </c>
      <c r="GJ265"/>
      <c r="GK265"/>
      <c r="GL265"/>
      <c r="GM265"/>
    </row>
    <row r="266" spans="1:195" s="7" customFormat="1">
      <c r="A266" s="1"/>
      <c r="B266">
        <v>0.24228814192021275</v>
      </c>
      <c r="C266">
        <v>10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20.833333333333332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12.29969362745098</v>
      </c>
      <c r="AO266">
        <v>33.341668919162117</v>
      </c>
      <c r="AP266">
        <v>503.50105545609455</v>
      </c>
      <c r="AQ266">
        <v>64.402182405208762</v>
      </c>
      <c r="AR266">
        <v>30.34458838042999</v>
      </c>
      <c r="AS266">
        <v>214.1723048987337</v>
      </c>
      <c r="AT266" t="e">
        <v>#DIV/0!</v>
      </c>
      <c r="AU266" t="e">
        <v>#DIV/0!</v>
      </c>
      <c r="AV266"/>
      <c r="AW266"/>
      <c r="FY266" s="212">
        <v>261</v>
      </c>
      <c r="FZ266">
        <v>1.6353950055333373</v>
      </c>
      <c r="GA266">
        <v>17.276453154035579</v>
      </c>
      <c r="GB266">
        <v>10.402679240838951</v>
      </c>
      <c r="GC266">
        <v>2.2276579802923657</v>
      </c>
      <c r="GD266">
        <v>0.52182671601535924</v>
      </c>
      <c r="GE266">
        <v>0</v>
      </c>
      <c r="GF266">
        <v>1.6027633530596492</v>
      </c>
      <c r="GG266">
        <v>7.9834309070300984</v>
      </c>
      <c r="GH266">
        <v>4.8688803855936991</v>
      </c>
      <c r="GI266">
        <v>11.847664417781546</v>
      </c>
      <c r="GJ266"/>
      <c r="GK266"/>
      <c r="GL266"/>
      <c r="GM266"/>
    </row>
    <row r="267" spans="1:195" s="7" customFormat="1">
      <c r="A267" s="1"/>
      <c r="B267">
        <v>0.64135531454994066</v>
      </c>
      <c r="C267">
        <v>4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28.409090909090907</v>
      </c>
      <c r="K267">
        <v>0</v>
      </c>
      <c r="L267">
        <v>28.409090909090907</v>
      </c>
      <c r="M267">
        <v>0</v>
      </c>
      <c r="N267">
        <v>0</v>
      </c>
      <c r="O267">
        <v>28.409090909090907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10.313235294117646</v>
      </c>
      <c r="AO267">
        <v>29.114515904685799</v>
      </c>
      <c r="AP267">
        <v>532.89005839440642</v>
      </c>
      <c r="AQ267">
        <v>65.503868543567947</v>
      </c>
      <c r="AR267">
        <v>26.50172200363334</v>
      </c>
      <c r="AS267">
        <v>160.0869144661591</v>
      </c>
      <c r="AT267" t="e">
        <v>#DIV/0!</v>
      </c>
      <c r="AU267" t="e">
        <v>#DIV/0!</v>
      </c>
      <c r="AV267"/>
      <c r="AW267"/>
      <c r="FY267" s="212">
        <v>262</v>
      </c>
      <c r="FZ267">
        <v>1.46448811481747</v>
      </c>
      <c r="GA267">
        <v>17.613915081429376</v>
      </c>
      <c r="GB267">
        <v>15.344530984706703</v>
      </c>
      <c r="GC267">
        <v>5.294107727824338</v>
      </c>
      <c r="GD267">
        <v>1.2720280366649224</v>
      </c>
      <c r="GE267">
        <v>0.35947809610506914</v>
      </c>
      <c r="GF267">
        <v>1.6027633530596492</v>
      </c>
      <c r="GG267">
        <v>7.7300132771969778</v>
      </c>
      <c r="GH267">
        <v>3.245920257062465</v>
      </c>
      <c r="GI267">
        <v>9.580870861561408</v>
      </c>
      <c r="GJ267"/>
      <c r="GK267"/>
      <c r="GL267"/>
      <c r="GM267"/>
    </row>
    <row r="268" spans="1:195" s="7" customFormat="1">
      <c r="A268" s="1"/>
      <c r="B268">
        <v>3.9755549089819375E-2</v>
      </c>
      <c r="C268">
        <v>1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6.3854166666666661</v>
      </c>
      <c r="AO268">
        <v>35.016774463726151</v>
      </c>
      <c r="AP268">
        <v>378.32450795298496</v>
      </c>
      <c r="AQ268">
        <v>42.932103847378315</v>
      </c>
      <c r="AR268">
        <v>31.867411602760921</v>
      </c>
      <c r="AS268">
        <v>188.36788718197147</v>
      </c>
      <c r="AT268" t="e">
        <v>#DIV/0!</v>
      </c>
      <c r="AU268" t="e">
        <v>#DIV/0!</v>
      </c>
      <c r="AV268"/>
      <c r="AW268"/>
      <c r="FY268" s="212">
        <v>263</v>
      </c>
      <c r="FZ268">
        <v>2.1850225918045041</v>
      </c>
      <c r="GA268">
        <v>21.118936750089976</v>
      </c>
      <c r="GB268">
        <v>18.119443065766244</v>
      </c>
      <c r="GC268">
        <v>5.1934218818204405</v>
      </c>
      <c r="GD268">
        <v>0.66483533650264492</v>
      </c>
      <c r="GE268">
        <v>0.35947809610506914</v>
      </c>
      <c r="GF268">
        <v>0.80138167652982462</v>
      </c>
      <c r="GG268">
        <v>3.3224941306074438</v>
      </c>
      <c r="GH268">
        <v>0</v>
      </c>
      <c r="GI268">
        <v>8.463668962299348</v>
      </c>
      <c r="GJ268"/>
      <c r="GK268"/>
      <c r="GL268"/>
      <c r="GM268"/>
    </row>
    <row r="269" spans="1:195" s="7" customFormat="1">
      <c r="A269" s="1"/>
      <c r="B269">
        <v>0.34527513635527729</v>
      </c>
      <c r="C269">
        <v>7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14.204545454545453</v>
      </c>
      <c r="M269">
        <v>0</v>
      </c>
      <c r="N269">
        <v>14.204545454545453</v>
      </c>
      <c r="O269">
        <v>0</v>
      </c>
      <c r="P269">
        <v>0</v>
      </c>
      <c r="Q269">
        <v>0</v>
      </c>
      <c r="R269">
        <v>0</v>
      </c>
      <c r="S269">
        <v>14.204545454545453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4.6802083333333337</v>
      </c>
      <c r="AO269">
        <v>24.729209886759431</v>
      </c>
      <c r="AP269">
        <v>902.73921430142025</v>
      </c>
      <c r="AQ269">
        <v>33.595430559380254</v>
      </c>
      <c r="AR269">
        <v>22.515080169154821</v>
      </c>
      <c r="AS269">
        <v>134.67249847318575</v>
      </c>
      <c r="AT269" t="e">
        <v>#DIV/0!</v>
      </c>
      <c r="AU269" t="e">
        <v>#DIV/0!</v>
      </c>
      <c r="AV269"/>
      <c r="AW269"/>
      <c r="FY269" s="212">
        <v>264</v>
      </c>
      <c r="FZ269">
        <v>0.89475183689064763</v>
      </c>
      <c r="GA269">
        <v>17.081386547344675</v>
      </c>
      <c r="GB269">
        <v>13.238935414680231</v>
      </c>
      <c r="GC269">
        <v>3.8359135423181403</v>
      </c>
      <c r="GD269">
        <v>0.54467895447130821</v>
      </c>
      <c r="GE269">
        <v>0</v>
      </c>
      <c r="GF269">
        <v>0</v>
      </c>
      <c r="GG269">
        <v>0.57818975631584713</v>
      </c>
      <c r="GH269">
        <v>0</v>
      </c>
      <c r="GI269">
        <v>7.5503323628426404</v>
      </c>
      <c r="GJ269"/>
      <c r="GK269"/>
      <c r="GL269"/>
      <c r="GM269"/>
    </row>
    <row r="270" spans="1:195" s="7" customFormat="1">
      <c r="A270" s="1"/>
      <c r="B270">
        <v>0.10755990021888717</v>
      </c>
      <c r="C270">
        <v>8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34.722222222222221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34.722222222222221</v>
      </c>
      <c r="S270">
        <v>34.722222222222221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11.286151960784315</v>
      </c>
      <c r="AO270">
        <v>38.289930458125369</v>
      </c>
      <c r="AP270">
        <v>657.0676338369824</v>
      </c>
      <c r="AQ270">
        <v>56.001321250291376</v>
      </c>
      <c r="AR270">
        <v>34.843007961305673</v>
      </c>
      <c r="AS270">
        <v>321.11998319762398</v>
      </c>
      <c r="AT270" t="e">
        <v>#DIV/0!</v>
      </c>
      <c r="AU270" t="e">
        <v>#DIV/0!</v>
      </c>
      <c r="AV270"/>
      <c r="AW270"/>
      <c r="FY270" s="212">
        <v>265</v>
      </c>
      <c r="FZ270">
        <v>0.53282936380325752</v>
      </c>
      <c r="GA270">
        <v>26.632586513921648</v>
      </c>
      <c r="GB270">
        <v>15.406872003602579</v>
      </c>
      <c r="GC270">
        <v>2.6650345379645439</v>
      </c>
      <c r="GD270">
        <v>0.64516375771794265</v>
      </c>
      <c r="GE270">
        <v>0</v>
      </c>
      <c r="GF270">
        <v>0</v>
      </c>
      <c r="GG270">
        <v>0.57818975631584713</v>
      </c>
      <c r="GH270">
        <v>0</v>
      </c>
      <c r="GI270">
        <v>10.417017266474463</v>
      </c>
      <c r="GJ270"/>
      <c r="GK270"/>
      <c r="GL270"/>
      <c r="GM270"/>
    </row>
    <row r="271" spans="1:195" s="7" customFormat="1">
      <c r="A271" s="77"/>
      <c r="B271">
        <v>0.66000563613332863</v>
      </c>
      <c r="C271">
        <v>3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10.416666666666666</v>
      </c>
      <c r="J271">
        <v>10.416666666666666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7.7861519607843137</v>
      </c>
      <c r="AO271">
        <v>21.521536649037103</v>
      </c>
      <c r="AP271">
        <v>627.81616251919945</v>
      </c>
      <c r="AQ271">
        <v>52.757650795416481</v>
      </c>
      <c r="AR271">
        <v>19.632993861508041</v>
      </c>
      <c r="AS271">
        <v>130.64314788622013</v>
      </c>
      <c r="AT271" t="e">
        <v>#DIV/0!</v>
      </c>
      <c r="AU271" t="e">
        <v>#DIV/0!</v>
      </c>
      <c r="AV271"/>
      <c r="AW271"/>
      <c r="FY271" s="212">
        <v>266</v>
      </c>
      <c r="FZ271">
        <v>0.3418137814317348</v>
      </c>
      <c r="GA271">
        <v>16.989205501162903</v>
      </c>
      <c r="GB271">
        <v>15.695725892199693</v>
      </c>
      <c r="GC271">
        <v>5.7051408044450902</v>
      </c>
      <c r="GD271">
        <v>1.7819211035563238</v>
      </c>
      <c r="GE271">
        <v>1.0784342883152076</v>
      </c>
      <c r="GF271">
        <v>1.6027633530596492</v>
      </c>
      <c r="GG271">
        <v>6.0667985048990403</v>
      </c>
      <c r="GH271">
        <v>0</v>
      </c>
      <c r="GI271">
        <v>14.216518864883982</v>
      </c>
      <c r="GJ271"/>
      <c r="GK271"/>
      <c r="GL271"/>
      <c r="GM271"/>
    </row>
    <row r="272" spans="1:195" s="7" customFormat="1">
      <c r="A272" s="77"/>
      <c r="B272">
        <v>9.657723120939421E-2</v>
      </c>
      <c r="C272">
        <v>9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9.4694852941176464</v>
      </c>
      <c r="AO272">
        <v>30.063988653872237</v>
      </c>
      <c r="AP272">
        <v>452.34447023450957</v>
      </c>
      <c r="AQ272">
        <v>40.071820580196814</v>
      </c>
      <c r="AR272">
        <v>27.330898776247491</v>
      </c>
      <c r="AS272">
        <v>173.50019518972562</v>
      </c>
      <c r="AT272" t="e">
        <v>#DIV/0!</v>
      </c>
      <c r="AU272" t="e">
        <v>#DIV/0!</v>
      </c>
      <c r="AV272"/>
      <c r="AW272"/>
      <c r="FY272" s="212">
        <v>267</v>
      </c>
      <c r="FZ272">
        <v>0.53282936380325752</v>
      </c>
      <c r="GA272">
        <v>14.741985278389462</v>
      </c>
      <c r="GB272">
        <v>17.598962865931576</v>
      </c>
      <c r="GC272">
        <v>6.658147658319975</v>
      </c>
      <c r="GD272">
        <v>1.2790154896171768</v>
      </c>
      <c r="GE272">
        <v>0.71895619221013829</v>
      </c>
      <c r="GF272">
        <v>2.4041450295894737</v>
      </c>
      <c r="GG272">
        <v>10.474317651488573</v>
      </c>
      <c r="GH272">
        <v>3.245920257062465</v>
      </c>
      <c r="GI272">
        <v>13.039842081669731</v>
      </c>
      <c r="GJ272"/>
      <c r="GK272"/>
      <c r="GL272"/>
      <c r="GM272"/>
    </row>
    <row r="273" spans="1:195" s="7" customFormat="1">
      <c r="A273" s="1"/>
      <c r="B273">
        <v>0.11659511536928857</v>
      </c>
      <c r="C273">
        <v>2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6.4424019607843137</v>
      </c>
      <c r="AO273">
        <v>23.965111799956421</v>
      </c>
      <c r="AP273">
        <v>390.15883861122524</v>
      </c>
      <c r="AQ273">
        <v>29.607302472975903</v>
      </c>
      <c r="AR273">
        <v>21.820445544788448</v>
      </c>
      <c r="AS273">
        <v>99.461732516134646</v>
      </c>
      <c r="AT273" t="e">
        <v>#DIV/0!</v>
      </c>
      <c r="AU273" t="e">
        <v>#DIV/0!</v>
      </c>
      <c r="AV273"/>
      <c r="AW273"/>
      <c r="FY273" s="212">
        <v>268</v>
      </c>
      <c r="FZ273">
        <v>1.9772087869650721</v>
      </c>
      <c r="GA273">
        <v>10.132256560563873</v>
      </c>
      <c r="GB273">
        <v>19.007906352394791</v>
      </c>
      <c r="GC273">
        <v>8.69583635142369</v>
      </c>
      <c r="GD273">
        <v>1.1162813093775772</v>
      </c>
      <c r="GE273">
        <v>0</v>
      </c>
      <c r="GF273">
        <v>0</v>
      </c>
      <c r="GG273">
        <v>0.83160738614896845</v>
      </c>
      <c r="GH273">
        <v>1.6229601285312325</v>
      </c>
      <c r="GI273">
        <v>7.9954174064546164</v>
      </c>
      <c r="GJ273"/>
      <c r="GK273"/>
      <c r="GL273"/>
      <c r="GM273"/>
    </row>
    <row r="274" spans="1:195" s="7" customFormat="1">
      <c r="A274" s="1"/>
      <c r="B274">
        <v>0.55181951605587809</v>
      </c>
      <c r="C274">
        <v>7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14.204545454545453</v>
      </c>
      <c r="M274">
        <v>0</v>
      </c>
      <c r="N274">
        <v>14.204545454545453</v>
      </c>
      <c r="O274">
        <v>0</v>
      </c>
      <c r="P274">
        <v>0</v>
      </c>
      <c r="Q274">
        <v>0</v>
      </c>
      <c r="R274">
        <v>0</v>
      </c>
      <c r="S274">
        <v>14.204545454545453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12.33345588235294</v>
      </c>
      <c r="AO274">
        <v>20.233115799568118</v>
      </c>
      <c r="AP274">
        <v>496.559335138797</v>
      </c>
      <c r="AQ274">
        <v>47.336309314305602</v>
      </c>
      <c r="AR274">
        <v>18.461702180172605</v>
      </c>
      <c r="AS274">
        <v>105.93218254644728</v>
      </c>
      <c r="AT274" t="e">
        <v>#DIV/0!</v>
      </c>
      <c r="AU274" t="e">
        <v>#DIV/0!</v>
      </c>
      <c r="AV274"/>
      <c r="AW274"/>
      <c r="FY274" s="212">
        <v>269</v>
      </c>
      <c r="FZ274">
        <v>0.36192247308739012</v>
      </c>
      <c r="GA274">
        <v>24.286168292678575</v>
      </c>
      <c r="GB274">
        <v>18.856748255492555</v>
      </c>
      <c r="GC274">
        <v>5.031116128297425</v>
      </c>
      <c r="GD274">
        <v>1.2419239765587151</v>
      </c>
      <c r="GE274">
        <v>0.71895619221013829</v>
      </c>
      <c r="GF274">
        <v>1.6027633530596492</v>
      </c>
      <c r="GG274">
        <v>6.8984058910480091</v>
      </c>
      <c r="GH274">
        <v>1.6229601285312325</v>
      </c>
      <c r="GI274">
        <v>12.693260583820505</v>
      </c>
      <c r="GJ274"/>
      <c r="GK274"/>
      <c r="GL274"/>
      <c r="GM274"/>
    </row>
    <row r="275" spans="1:195" s="7" customFormat="1">
      <c r="A275" s="1"/>
      <c r="B275">
        <v>2.7463146811186334E-2</v>
      </c>
      <c r="C275">
        <v>4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10.416666666666666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10.181985294117649</v>
      </c>
      <c r="AO275">
        <v>33.881638032345947</v>
      </c>
      <c r="AP275">
        <v>413.10711356205377</v>
      </c>
      <c r="AQ275">
        <v>34.20913385293548</v>
      </c>
      <c r="AR275">
        <v>30.869449664516083</v>
      </c>
      <c r="AS275">
        <v>173.78397018723064</v>
      </c>
      <c r="AT275" t="e">
        <v>#DIV/0!</v>
      </c>
      <c r="AU275" t="e">
        <v>#DIV/0!</v>
      </c>
      <c r="AV275"/>
      <c r="AW275"/>
      <c r="FY275" s="212">
        <v>270</v>
      </c>
      <c r="FZ275">
        <v>1.6521932280012464</v>
      </c>
      <c r="GA275">
        <v>11.455622085979597</v>
      </c>
      <c r="GB275">
        <v>6.0239342483682954</v>
      </c>
      <c r="GC275">
        <v>2.1622498763739415</v>
      </c>
      <c r="GD275">
        <v>0.88563569661342401</v>
      </c>
      <c r="GE275">
        <v>0.35947809610506914</v>
      </c>
      <c r="GF275">
        <v>1.6027633530596492</v>
      </c>
      <c r="GG275">
        <v>8.3082030335128252</v>
      </c>
      <c r="GH275">
        <v>3.245920257062465</v>
      </c>
      <c r="GI275">
        <v>11.726178870209081</v>
      </c>
      <c r="GJ275"/>
      <c r="GK275"/>
      <c r="GL275"/>
      <c r="GM275"/>
    </row>
    <row r="276" spans="1:195" s="7" customFormat="1">
      <c r="A276" s="1"/>
      <c r="B276">
        <v>0.1974282604306179</v>
      </c>
      <c r="C276">
        <v>1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10.778860294117646</v>
      </c>
      <c r="AO276">
        <v>34.144276578936065</v>
      </c>
      <c r="AP276">
        <v>664.18572468166337</v>
      </c>
      <c r="AQ276">
        <v>68.223607320456367</v>
      </c>
      <c r="AR276">
        <v>31.040251435396421</v>
      </c>
      <c r="AS276">
        <v>166.98055339163972</v>
      </c>
      <c r="AT276" t="e">
        <v>#DIV/0!</v>
      </c>
      <c r="AU276" t="e">
        <v>#DIV/0!</v>
      </c>
      <c r="AV276"/>
      <c r="AW276"/>
      <c r="FY276" s="212">
        <v>271</v>
      </c>
      <c r="FZ276">
        <v>1.6152863138776818</v>
      </c>
      <c r="GA276">
        <v>24.896603178666066</v>
      </c>
      <c r="GB276">
        <v>23.892301113263045</v>
      </c>
      <c r="GC276">
        <v>7.5391801234410325</v>
      </c>
      <c r="GD276">
        <v>1.0849258112378992</v>
      </c>
      <c r="GE276">
        <v>0.71895619221013829</v>
      </c>
      <c r="GF276">
        <v>0</v>
      </c>
      <c r="GG276">
        <v>2.241404528613784</v>
      </c>
      <c r="GH276">
        <v>3.245920257062465</v>
      </c>
      <c r="GI276">
        <v>13.380429937477345</v>
      </c>
      <c r="GJ276"/>
      <c r="GK276"/>
      <c r="GL276"/>
      <c r="GM276"/>
    </row>
    <row r="277" spans="1:195" s="7" customFormat="1">
      <c r="A277" s="1"/>
      <c r="B277">
        <v>0.93628365164318872</v>
      </c>
      <c r="C277">
        <v>5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9.3132352941176464</v>
      </c>
      <c r="AO277">
        <v>35.048952531727451</v>
      </c>
      <c r="AP277">
        <v>538.32330793517497</v>
      </c>
      <c r="AQ277">
        <v>58.366751160180584</v>
      </c>
      <c r="AR277">
        <v>31.93064466395381</v>
      </c>
      <c r="AS277">
        <v>167.63931552934824</v>
      </c>
      <c r="AT277" t="e">
        <v>#DIV/0!</v>
      </c>
      <c r="AU277" t="e">
        <v>#DIV/0!</v>
      </c>
      <c r="AV277"/>
      <c r="AW277"/>
      <c r="FY277" s="212">
        <v>272</v>
      </c>
      <c r="FZ277">
        <v>2.5469450648918941</v>
      </c>
      <c r="GA277">
        <v>27.391660939539378</v>
      </c>
      <c r="GB277">
        <v>17.35153742402581</v>
      </c>
      <c r="GC277">
        <v>4.285883678704363</v>
      </c>
      <c r="GD277">
        <v>0.8359652515877104</v>
      </c>
      <c r="GE277">
        <v>0</v>
      </c>
      <c r="GF277">
        <v>2.4041450295894737</v>
      </c>
      <c r="GG277">
        <v>8.2329131228747894</v>
      </c>
      <c r="GH277">
        <v>0</v>
      </c>
      <c r="GI277">
        <v>14.281933861773457</v>
      </c>
      <c r="GJ277"/>
      <c r="GK277"/>
      <c r="GL277"/>
      <c r="GM277"/>
    </row>
    <row r="278" spans="1:195" s="7" customFormat="1">
      <c r="A278" s="1"/>
      <c r="B278">
        <v>0.49919158463111746</v>
      </c>
      <c r="C278">
        <v>10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10.416666666666666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9.1049019607843142</v>
      </c>
      <c r="AO278">
        <v>27.620187412090626</v>
      </c>
      <c r="AP278">
        <v>722.54939529270143</v>
      </c>
      <c r="AQ278">
        <v>63.508115790428377</v>
      </c>
      <c r="AR278">
        <v>25.177221827920341</v>
      </c>
      <c r="AS278">
        <v>151.86277897991619</v>
      </c>
      <c r="AT278" t="e">
        <v>#DIV/0!</v>
      </c>
      <c r="AU278" t="e">
        <v>#DIV/0!</v>
      </c>
      <c r="AV278"/>
      <c r="AW278"/>
      <c r="FY278" s="212">
        <v>273</v>
      </c>
      <c r="FZ278">
        <v>1.4812863372853795</v>
      </c>
      <c r="GA278">
        <v>12.253203604617964</v>
      </c>
      <c r="GB278">
        <v>12.003819271984757</v>
      </c>
      <c r="GC278">
        <v>4.9438319021503139</v>
      </c>
      <c r="GD278">
        <v>1.4111246700060045</v>
      </c>
      <c r="GE278">
        <v>0.35947809610506914</v>
      </c>
      <c r="GF278">
        <v>1.6027633530596492</v>
      </c>
      <c r="GG278">
        <v>5.4886087485831929</v>
      </c>
      <c r="GH278">
        <v>0</v>
      </c>
      <c r="GI278">
        <v>9.5833943812167384</v>
      </c>
      <c r="GJ278"/>
      <c r="GK278"/>
      <c r="GL278"/>
      <c r="GM278"/>
    </row>
    <row r="279" spans="1:195" s="7" customFormat="1">
      <c r="A279" s="1"/>
      <c r="B279">
        <v>0.27956883969278179</v>
      </c>
      <c r="C279">
        <v>9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10.416666666666666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12.304595588235294</v>
      </c>
      <c r="AO279">
        <v>31.314226912051833</v>
      </c>
      <c r="AP279">
        <v>615.05897517244853</v>
      </c>
      <c r="AQ279">
        <v>60.228682491525504</v>
      </c>
      <c r="AR279">
        <v>28.501459283057006</v>
      </c>
      <c r="AS279">
        <v>148.72858622980905</v>
      </c>
      <c r="AT279" t="e">
        <v>#DIV/0!</v>
      </c>
      <c r="AU279" t="e">
        <v>#DIV/0!</v>
      </c>
      <c r="AV279"/>
      <c r="AW279"/>
      <c r="FY279" s="212">
        <v>274</v>
      </c>
      <c r="FZ279">
        <v>0.74064316864268975</v>
      </c>
      <c r="GA279">
        <v>15.970803595625354</v>
      </c>
      <c r="GB279">
        <v>9.6461258049668555</v>
      </c>
      <c r="GC279">
        <v>2.7087631911232708</v>
      </c>
      <c r="GD279">
        <v>1.1764939398945029</v>
      </c>
      <c r="GE279">
        <v>0.35947809610506914</v>
      </c>
      <c r="GF279">
        <v>0.80138167652982462</v>
      </c>
      <c r="GG279">
        <v>4.1541015167564126</v>
      </c>
      <c r="GH279">
        <v>1.6229601285312325</v>
      </c>
      <c r="GI279">
        <v>6.1094895380225607</v>
      </c>
      <c r="GJ279"/>
      <c r="GK279"/>
      <c r="GL279"/>
      <c r="GM279"/>
    </row>
    <row r="280" spans="1:195" s="7" customFormat="1">
      <c r="A280" s="1"/>
      <c r="B280">
        <v>0.95879607775925191</v>
      </c>
      <c r="C280">
        <v>2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5.9687499999999991</v>
      </c>
      <c r="AO280">
        <v>27.813969245710759</v>
      </c>
      <c r="AP280">
        <v>378.98454620901043</v>
      </c>
      <c r="AQ280">
        <v>43.724188414863484</v>
      </c>
      <c r="AR280">
        <v>25.353387131211367</v>
      </c>
      <c r="AS280">
        <v>168.84544590683416</v>
      </c>
      <c r="AT280" t="e">
        <v>#DIV/0!</v>
      </c>
      <c r="AU280" t="e">
        <v>#DIV/0!</v>
      </c>
      <c r="AV280"/>
      <c r="AW280"/>
      <c r="FY280" s="212">
        <v>275</v>
      </c>
      <c r="FZ280">
        <v>0.1709068907158674</v>
      </c>
      <c r="GA280">
        <v>21.364569380002933</v>
      </c>
      <c r="GB280">
        <v>20.969779765604095</v>
      </c>
      <c r="GC280">
        <v>6.7318679082953317</v>
      </c>
      <c r="GD280">
        <v>1.0303046597359706</v>
      </c>
      <c r="GE280">
        <v>0.35947809610506914</v>
      </c>
      <c r="GF280">
        <v>0.80138167652982462</v>
      </c>
      <c r="GG280">
        <v>4.1541015167564126</v>
      </c>
      <c r="GH280">
        <v>1.6229601285312325</v>
      </c>
      <c r="GI280">
        <v>10.823134233438774</v>
      </c>
      <c r="GJ280"/>
      <c r="GK280"/>
      <c r="GL280"/>
      <c r="GM280"/>
    </row>
    <row r="281" spans="1:195" s="7" customFormat="1">
      <c r="A281" s="1"/>
      <c r="B281">
        <v>0.29820535333474218</v>
      </c>
      <c r="C281">
        <v>7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7.8541666666666661</v>
      </c>
      <c r="AO281">
        <v>47.013698097620292</v>
      </c>
      <c r="AP281">
        <v>660.22060098394149</v>
      </c>
      <c r="AQ281">
        <v>56.877693199800277</v>
      </c>
      <c r="AR281">
        <v>42.773705815391963</v>
      </c>
      <c r="AS281">
        <v>211.54945748107772</v>
      </c>
      <c r="AT281" t="e">
        <v>#DIV/0!</v>
      </c>
      <c r="AU281" t="e">
        <v>#DIV/0!</v>
      </c>
      <c r="AV281"/>
      <c r="AW281"/>
      <c r="FY281" s="212">
        <v>276</v>
      </c>
      <c r="FZ281">
        <v>0.53282936380325752</v>
      </c>
      <c r="GA281">
        <v>15.299481870991002</v>
      </c>
      <c r="GB281">
        <v>20.036286917822434</v>
      </c>
      <c r="GC281">
        <v>7.282288242622398</v>
      </c>
      <c r="GD281">
        <v>0.96284020756878619</v>
      </c>
      <c r="GE281">
        <v>0.35947809610506914</v>
      </c>
      <c r="GF281">
        <v>1.6027633530596492</v>
      </c>
      <c r="GG281">
        <v>6.6449882612148876</v>
      </c>
      <c r="GH281">
        <v>0</v>
      </c>
      <c r="GI281">
        <v>11.022759188855286</v>
      </c>
      <c r="GJ281"/>
      <c r="GK281"/>
      <c r="GL281"/>
      <c r="GM281"/>
    </row>
    <row r="282" spans="1:195" s="7" customFormat="1">
      <c r="A282" s="1"/>
      <c r="B282">
        <v>0.49046715011661224</v>
      </c>
      <c r="C282">
        <v>2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10.214583333333334</v>
      </c>
      <c r="AO282">
        <v>43.532938830525346</v>
      </c>
      <c r="AP282">
        <v>705.80652029251553</v>
      </c>
      <c r="AQ282">
        <v>63.478322093953622</v>
      </c>
      <c r="AR282">
        <v>39.575398936841225</v>
      </c>
      <c r="AS282">
        <v>200.10043175588282</v>
      </c>
      <c r="AT282" t="e">
        <v>#DIV/0!</v>
      </c>
      <c r="AU282" t="e">
        <v>#DIV/0!</v>
      </c>
      <c r="AV282"/>
      <c r="AW282"/>
      <c r="FY282" s="212">
        <v>277</v>
      </c>
      <c r="FZ282">
        <v>1.273472532445947</v>
      </c>
      <c r="GA282">
        <v>22.678946325200428</v>
      </c>
      <c r="GB282">
        <v>16.92843451234269</v>
      </c>
      <c r="GC282">
        <v>5.3057026711796569</v>
      </c>
      <c r="GD282">
        <v>1.940420436679593</v>
      </c>
      <c r="GE282">
        <v>1.0784342883152076</v>
      </c>
      <c r="GF282">
        <v>0.80138167652982462</v>
      </c>
      <c r="GG282">
        <v>4.9857089029053814</v>
      </c>
      <c r="GH282">
        <v>3.245920257062465</v>
      </c>
      <c r="GI282">
        <v>10.067497872686328</v>
      </c>
      <c r="GJ282"/>
      <c r="GK282"/>
      <c r="GL282"/>
      <c r="GM282"/>
    </row>
    <row r="283" spans="1:195" s="7" customFormat="1">
      <c r="A283" s="1"/>
      <c r="B283">
        <v>0.26364402758809113</v>
      </c>
      <c r="C283">
        <v>6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9.3635416666666664</v>
      </c>
      <c r="AO283">
        <v>40.694457079490313</v>
      </c>
      <c r="AP283">
        <v>905.56441000786265</v>
      </c>
      <c r="AQ283">
        <v>70.694121868081822</v>
      </c>
      <c r="AR283">
        <v>37.028941253455613</v>
      </c>
      <c r="AS283">
        <v>197.23663462008105</v>
      </c>
      <c r="AT283" t="e">
        <v>#DIV/0!</v>
      </c>
      <c r="AU283" t="e">
        <v>#DIV/0!</v>
      </c>
      <c r="AV283"/>
      <c r="AW283"/>
      <c r="FY283" s="212">
        <v>278</v>
      </c>
      <c r="FZ283">
        <v>1.273472532445947</v>
      </c>
      <c r="GA283">
        <v>6.5610966185823756</v>
      </c>
      <c r="GB283">
        <v>14.043404342372233</v>
      </c>
      <c r="GC283">
        <v>6.6649227180694561</v>
      </c>
      <c r="GD283">
        <v>1.0318249767719563</v>
      </c>
      <c r="GE283">
        <v>0.35947809610506914</v>
      </c>
      <c r="GF283">
        <v>0</v>
      </c>
      <c r="GG283">
        <v>1.6632147722979369</v>
      </c>
      <c r="GH283">
        <v>3.245920257062465</v>
      </c>
      <c r="GI283">
        <v>9.5785561895180482</v>
      </c>
      <c r="GJ283"/>
      <c r="GK283"/>
      <c r="GL283"/>
      <c r="GM283"/>
    </row>
    <row r="284" spans="1:195" s="7" customFormat="1">
      <c r="A284" s="1"/>
      <c r="B284">
        <v>0.89535404200258828</v>
      </c>
      <c r="C284">
        <v>5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9.6194852941176432</v>
      </c>
      <c r="AO284">
        <v>22.83702490493895</v>
      </c>
      <c r="AP284">
        <v>169.54068051058718</v>
      </c>
      <c r="AQ284">
        <v>51.379474281859821</v>
      </c>
      <c r="AR284">
        <v>20.828892275964265</v>
      </c>
      <c r="AS284">
        <v>139.44025379932717</v>
      </c>
      <c r="AT284" t="e">
        <v>#DIV/0!</v>
      </c>
      <c r="AU284" t="e">
        <v>#DIV/0!</v>
      </c>
      <c r="AV284"/>
      <c r="AW284"/>
      <c r="FY284" s="212">
        <v>279</v>
      </c>
      <c r="FZ284">
        <v>2.20513128346016</v>
      </c>
      <c r="GA284">
        <v>19.842850560987557</v>
      </c>
      <c r="GB284">
        <v>16.709912849499659</v>
      </c>
      <c r="GC284">
        <v>5.6230529822854267</v>
      </c>
      <c r="GD284">
        <v>1.1238020100303505</v>
      </c>
      <c r="GE284">
        <v>0</v>
      </c>
      <c r="GF284">
        <v>1.6027633530596492</v>
      </c>
      <c r="GG284">
        <v>6.6449882612148876</v>
      </c>
      <c r="GH284">
        <v>0</v>
      </c>
      <c r="GI284">
        <v>12.013668341434608</v>
      </c>
      <c r="GJ284"/>
      <c r="GK284"/>
      <c r="GL284"/>
      <c r="GM284"/>
    </row>
    <row r="285" spans="1:195" s="7" customFormat="1">
      <c r="A285" s="1"/>
      <c r="B285">
        <v>0.66251512083324582</v>
      </c>
      <c r="C285">
        <v>10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10.416666666666666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8.8708333333333318</v>
      </c>
      <c r="AO285">
        <v>39.027869710234334</v>
      </c>
      <c r="AP285">
        <v>1036.4291902904829</v>
      </c>
      <c r="AQ285">
        <v>73.314225274784192</v>
      </c>
      <c r="AR285">
        <v>35.513861826859284</v>
      </c>
      <c r="AS285">
        <v>177.55810203944336</v>
      </c>
      <c r="AT285" t="e">
        <v>#DIV/0!</v>
      </c>
      <c r="AU285" t="e">
        <v>#DIV/0!</v>
      </c>
      <c r="AV285"/>
      <c r="AW285"/>
      <c r="FY285" s="212">
        <v>280</v>
      </c>
      <c r="FZ285">
        <v>0</v>
      </c>
      <c r="GA285">
        <v>19.519713389789004</v>
      </c>
      <c r="GB285">
        <v>16.354067657905965</v>
      </c>
      <c r="GC285">
        <v>4.9449730913819732</v>
      </c>
      <c r="GD285">
        <v>0.95585275461653196</v>
      </c>
      <c r="GE285">
        <v>0</v>
      </c>
      <c r="GF285">
        <v>0.80138167652982462</v>
      </c>
      <c r="GG285">
        <v>2.7443043742915965</v>
      </c>
      <c r="GH285">
        <v>0</v>
      </c>
      <c r="GI285">
        <v>6.707303049354274</v>
      </c>
      <c r="GJ285"/>
      <c r="GK285"/>
      <c r="GL285"/>
      <c r="GM285"/>
    </row>
    <row r="286" spans="1:195" s="7" customFormat="1">
      <c r="A286" s="1"/>
      <c r="B286">
        <v>0.13824627620656549</v>
      </c>
      <c r="C286">
        <v>6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11.901470588235293</v>
      </c>
      <c r="AO286">
        <v>41.95414192623177</v>
      </c>
      <c r="AP286">
        <v>978.04522880295417</v>
      </c>
      <c r="AQ286">
        <v>47.422178745285592</v>
      </c>
      <c r="AR286">
        <v>38.140129023847059</v>
      </c>
      <c r="AS286">
        <v>375.33883079550236</v>
      </c>
      <c r="AT286" t="e">
        <v>#DIV/0!</v>
      </c>
      <c r="AU286" t="e">
        <v>#DIV/0!</v>
      </c>
      <c r="AV286"/>
      <c r="AW286"/>
      <c r="FY286" s="212">
        <v>281</v>
      </c>
      <c r="FZ286">
        <v>0.89475183689064763</v>
      </c>
      <c r="GA286">
        <v>16.787460996752994</v>
      </c>
      <c r="GB286">
        <v>19.803470262123678</v>
      </c>
      <c r="GC286">
        <v>6.9810776204255438</v>
      </c>
      <c r="GD286">
        <v>1.0586431833417209</v>
      </c>
      <c r="GE286">
        <v>0.71895619221013829</v>
      </c>
      <c r="GF286">
        <v>0.80138167652982462</v>
      </c>
      <c r="GG286">
        <v>5.5638986592212287</v>
      </c>
      <c r="GH286">
        <v>3.245920257062465</v>
      </c>
      <c r="GI286">
        <v>13.937562619923733</v>
      </c>
      <c r="GJ286"/>
      <c r="GK286"/>
      <c r="GL286"/>
      <c r="GM286"/>
    </row>
    <row r="287" spans="1:195" s="7" customFormat="1">
      <c r="A287" s="1"/>
      <c r="B287">
        <v>0.87621858937808783</v>
      </c>
      <c r="C287">
        <v>1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13.921568627450981</v>
      </c>
      <c r="AO287">
        <v>40.553750611433642</v>
      </c>
      <c r="AP287">
        <v>464.53544068498201</v>
      </c>
      <c r="AQ287">
        <v>78.615007455849451</v>
      </c>
      <c r="AR287">
        <v>36.901026282495017</v>
      </c>
      <c r="AS287">
        <v>197.40636086764007</v>
      </c>
      <c r="AT287" t="e">
        <v>#DIV/0!</v>
      </c>
      <c r="AU287" t="e">
        <v>#DIV/0!</v>
      </c>
      <c r="AV287"/>
      <c r="AW287"/>
      <c r="FY287" s="212">
        <v>282</v>
      </c>
      <c r="FZ287">
        <v>2.3928363966439363</v>
      </c>
      <c r="GA287">
        <v>18.390760953551435</v>
      </c>
      <c r="GB287">
        <v>13.446855078307395</v>
      </c>
      <c r="GC287">
        <v>3.8817587749310327</v>
      </c>
      <c r="GD287">
        <v>0.92256803483907768</v>
      </c>
      <c r="GE287">
        <v>0.71895619221013829</v>
      </c>
      <c r="GF287">
        <v>0</v>
      </c>
      <c r="GG287">
        <v>2.8195942849296314</v>
      </c>
      <c r="GH287">
        <v>3.245920257062465</v>
      </c>
      <c r="GI287">
        <v>7.1022963382470694</v>
      </c>
      <c r="GJ287"/>
      <c r="GK287"/>
      <c r="GL287"/>
      <c r="GM287"/>
    </row>
    <row r="288" spans="1:195" s="7" customFormat="1">
      <c r="A288" s="1"/>
      <c r="B288">
        <v>0.92959233069785263</v>
      </c>
      <c r="C288">
        <v>8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14.467095588235292</v>
      </c>
      <c r="AO288">
        <v>39.30461612081784</v>
      </c>
      <c r="AP288">
        <v>748.76205213562741</v>
      </c>
      <c r="AQ288">
        <v>77.330984372986876</v>
      </c>
      <c r="AR288">
        <v>35.79942974494508</v>
      </c>
      <c r="AS288">
        <v>205.59891814421468</v>
      </c>
      <c r="AT288" t="e">
        <v>#DIV/0!</v>
      </c>
      <c r="AU288" t="e">
        <v>#DIV/0!</v>
      </c>
      <c r="AV288"/>
      <c r="AW288"/>
      <c r="FY288" s="212">
        <v>283</v>
      </c>
      <c r="FZ288">
        <v>1.46448811481747</v>
      </c>
      <c r="GA288">
        <v>9.9134632810938914</v>
      </c>
      <c r="GB288">
        <v>14.20552347846645</v>
      </c>
      <c r="GC288">
        <v>6.3196288278521191</v>
      </c>
      <c r="GD288">
        <v>1.0405779662246677</v>
      </c>
      <c r="GE288">
        <v>0</v>
      </c>
      <c r="GF288">
        <v>0.80138167652982462</v>
      </c>
      <c r="GG288">
        <v>3.3224941306074438</v>
      </c>
      <c r="GH288">
        <v>0</v>
      </c>
      <c r="GI288">
        <v>7.778735153143522</v>
      </c>
      <c r="GJ288"/>
      <c r="GK288"/>
      <c r="GL288"/>
      <c r="GM288"/>
    </row>
    <row r="289" spans="1:195" s="7" customFormat="1">
      <c r="A289" s="1"/>
      <c r="B289">
        <v>0.48797839813055899</v>
      </c>
      <c r="C289">
        <v>6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10.880637254901959</v>
      </c>
      <c r="AO289">
        <v>20.638226765822658</v>
      </c>
      <c r="AP289">
        <v>440.08112809159127</v>
      </c>
      <c r="AQ289">
        <v>49.127510365009073</v>
      </c>
      <c r="AR289">
        <v>18.762024332566057</v>
      </c>
      <c r="AS289">
        <v>115.51243666044165</v>
      </c>
      <c r="AT289" t="e">
        <v>#DIV/0!</v>
      </c>
      <c r="AU289" t="e">
        <v>#DIV/0!</v>
      </c>
      <c r="AV289"/>
      <c r="AW289"/>
      <c r="FY289" s="212">
        <v>284</v>
      </c>
      <c r="FZ289">
        <v>1.46448811481747</v>
      </c>
      <c r="GA289">
        <v>17.226956133376145</v>
      </c>
      <c r="GB289">
        <v>8.0668473226190152</v>
      </c>
      <c r="GC289">
        <v>2.9101818829603729</v>
      </c>
      <c r="GD289">
        <v>1.7868672997280273</v>
      </c>
      <c r="GE289">
        <v>0</v>
      </c>
      <c r="GF289">
        <v>1.6027633530596492</v>
      </c>
      <c r="GG289">
        <v>5.4886087485831929</v>
      </c>
      <c r="GH289">
        <v>0</v>
      </c>
      <c r="GI289">
        <v>9.453135981715846</v>
      </c>
      <c r="GJ289"/>
      <c r="GK289"/>
      <c r="GL289"/>
      <c r="GM289"/>
    </row>
    <row r="290" spans="1:195" s="7" customFormat="1">
      <c r="A290" s="1"/>
      <c r="B290">
        <v>0.33213199529220461</v>
      </c>
      <c r="C290">
        <v>1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6.8726102941176466</v>
      </c>
      <c r="AO290">
        <v>17.605960507344655</v>
      </c>
      <c r="AP290">
        <v>520.03139572209307</v>
      </c>
      <c r="AQ290">
        <v>43.290240656197767</v>
      </c>
      <c r="AR290">
        <v>16.005418643040599</v>
      </c>
      <c r="AS290">
        <v>82.952809943690482</v>
      </c>
      <c r="AT290" t="e">
        <v>#DIV/0!</v>
      </c>
      <c r="AU290" t="e">
        <v>#DIV/0!</v>
      </c>
      <c r="AV290"/>
      <c r="AW290"/>
      <c r="FY290" s="212">
        <v>285</v>
      </c>
      <c r="FZ290">
        <v>1.10256564173008</v>
      </c>
      <c r="GA290">
        <v>23.347432839075076</v>
      </c>
      <c r="GB290">
        <v>15.193963233584336</v>
      </c>
      <c r="GC290">
        <v>3.1000694108807121</v>
      </c>
      <c r="GD290">
        <v>0.5289193628328096</v>
      </c>
      <c r="GE290">
        <v>0</v>
      </c>
      <c r="GF290">
        <v>1.6027633530596492</v>
      </c>
      <c r="GG290">
        <v>5.4886087485831929</v>
      </c>
      <c r="GH290">
        <v>0</v>
      </c>
      <c r="GI290">
        <v>7.3908103346580347</v>
      </c>
      <c r="GJ290"/>
      <c r="GK290"/>
      <c r="GL290"/>
      <c r="GM290"/>
    </row>
    <row r="291" spans="1:195" s="7" customFormat="1">
      <c r="A291" s="1"/>
      <c r="B291">
        <v>0.9219955781547915</v>
      </c>
      <c r="C291">
        <v>4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9.138541666666665</v>
      </c>
      <c r="AO291">
        <v>27.328384065482389</v>
      </c>
      <c r="AP291">
        <v>569.70045626294041</v>
      </c>
      <c r="AQ291">
        <v>68.028484255715497</v>
      </c>
      <c r="AR291">
        <v>24.843985514074898</v>
      </c>
      <c r="AS291">
        <v>148.66543805094432</v>
      </c>
      <c r="AT291" t="e">
        <v>#DIV/0!</v>
      </c>
      <c r="AU291" t="e">
        <v>#DIV/0!</v>
      </c>
      <c r="AV291"/>
      <c r="AW291"/>
      <c r="FY291" s="212">
        <v>286</v>
      </c>
      <c r="FZ291">
        <v>1.6353950055333373</v>
      </c>
      <c r="GA291">
        <v>15.36545347291818</v>
      </c>
      <c r="GB291">
        <v>15.788952590261893</v>
      </c>
      <c r="GC291">
        <v>5.2132581990105731</v>
      </c>
      <c r="GD291">
        <v>1.1463898797882957</v>
      </c>
      <c r="GE291">
        <v>0.71895619221013829</v>
      </c>
      <c r="GF291">
        <v>0.80138167652982462</v>
      </c>
      <c r="GG291">
        <v>5.8173162890543502</v>
      </c>
      <c r="GH291">
        <v>4.8688803855936991</v>
      </c>
      <c r="GI291">
        <v>10.020641420993494</v>
      </c>
      <c r="GJ291"/>
      <c r="GK291"/>
      <c r="GL291"/>
      <c r="GM291"/>
    </row>
    <row r="292" spans="1:195" s="7" customFormat="1">
      <c r="A292" s="1"/>
      <c r="B292">
        <v>0.75064368215818522</v>
      </c>
      <c r="C292">
        <v>9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8.8812499999999979</v>
      </c>
      <c r="AO292">
        <v>27.047238106463062</v>
      </c>
      <c r="AP292">
        <v>870.71792980262546</v>
      </c>
      <c r="AQ292">
        <v>63.743715502042775</v>
      </c>
      <c r="AR292">
        <v>24.62237855070358</v>
      </c>
      <c r="AS292">
        <v>147.82314529565554</v>
      </c>
      <c r="AT292" t="e">
        <v>#DIV/0!</v>
      </c>
      <c r="AU292" t="e">
        <v>#DIV/0!</v>
      </c>
      <c r="AV292"/>
      <c r="AW292"/>
      <c r="FY292" s="212">
        <v>287</v>
      </c>
      <c r="FZ292">
        <v>0.87464314523499231</v>
      </c>
      <c r="GA292">
        <v>11.878086641284458</v>
      </c>
      <c r="GB292">
        <v>13.694998079378376</v>
      </c>
      <c r="GC292">
        <v>5.4803536332044844</v>
      </c>
      <c r="GD292">
        <v>1.3053172667468877</v>
      </c>
      <c r="GE292">
        <v>0.71895619221013829</v>
      </c>
      <c r="GF292">
        <v>0.80138167652982462</v>
      </c>
      <c r="GG292">
        <v>4.407519146589534</v>
      </c>
      <c r="GH292">
        <v>3.245920257062465</v>
      </c>
      <c r="GI292">
        <v>12.092988978900411</v>
      </c>
      <c r="GJ292"/>
      <c r="GK292"/>
      <c r="GL292"/>
      <c r="GM292"/>
    </row>
    <row r="293" spans="1:195" s="7" customFormat="1">
      <c r="A293" s="1"/>
      <c r="B293">
        <v>0.2144412954891628</v>
      </c>
      <c r="C293">
        <v>3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9.6017769607843118</v>
      </c>
      <c r="AO293">
        <v>27.436423192855433</v>
      </c>
      <c r="AP293">
        <v>524.50409287506886</v>
      </c>
      <c r="AQ293">
        <v>68.305919475347523</v>
      </c>
      <c r="AR293">
        <v>24.97618317469664</v>
      </c>
      <c r="AS293">
        <v>142.04041961749326</v>
      </c>
      <c r="AT293" t="e">
        <v>#DIV/0!</v>
      </c>
      <c r="AU293" t="e">
        <v>#DIV/0!</v>
      </c>
      <c r="AV293"/>
      <c r="AW293"/>
      <c r="FY293" s="212">
        <v>288</v>
      </c>
      <c r="FZ293">
        <v>1.4812863372853795</v>
      </c>
      <c r="GA293">
        <v>13.722892569582125</v>
      </c>
      <c r="GB293">
        <v>14.412053572619017</v>
      </c>
      <c r="GC293">
        <v>5.0787506467361023</v>
      </c>
      <c r="GD293">
        <v>0.49182784977434785</v>
      </c>
      <c r="GE293">
        <v>0</v>
      </c>
      <c r="GF293">
        <v>0</v>
      </c>
      <c r="GG293">
        <v>0.57818975631584713</v>
      </c>
      <c r="GH293">
        <v>0</v>
      </c>
      <c r="GI293">
        <v>5.189781492716369</v>
      </c>
      <c r="GJ293"/>
      <c r="GK293"/>
      <c r="GL293"/>
      <c r="GM293"/>
    </row>
    <row r="294" spans="1:195" s="7" customFormat="1">
      <c r="A294" s="1"/>
      <c r="B294">
        <v>0.23706375925667333</v>
      </c>
      <c r="C294">
        <v>8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9.2132352941176485</v>
      </c>
      <c r="AO294">
        <v>20.927834625693674</v>
      </c>
      <c r="AP294">
        <v>205.83190296579878</v>
      </c>
      <c r="AQ294">
        <v>44.421890503225484</v>
      </c>
      <c r="AR294">
        <v>19.059284477276861</v>
      </c>
      <c r="AS294">
        <v>190.29342790286012</v>
      </c>
      <c r="AT294" t="e">
        <v>#DIV/0!</v>
      </c>
      <c r="AU294" t="e">
        <v>#DIV/0!</v>
      </c>
      <c r="AV294"/>
      <c r="AW294"/>
      <c r="FY294" s="212">
        <v>289</v>
      </c>
      <c r="FZ294">
        <v>1.9772087869650721</v>
      </c>
      <c r="GA294">
        <v>20.382631186583595</v>
      </c>
      <c r="GB294">
        <v>16.285306942145525</v>
      </c>
      <c r="GC294">
        <v>4.3609052060802664</v>
      </c>
      <c r="GD294">
        <v>0.5274181950303567</v>
      </c>
      <c r="GE294">
        <v>0</v>
      </c>
      <c r="GF294">
        <v>1.6027633530596492</v>
      </c>
      <c r="GG294">
        <v>7.9834309070300984</v>
      </c>
      <c r="GH294">
        <v>4.8688803855936991</v>
      </c>
      <c r="GI294">
        <v>11.519952407931225</v>
      </c>
      <c r="GJ294"/>
      <c r="GK294"/>
      <c r="GL294"/>
      <c r="GM294"/>
    </row>
    <row r="295" spans="1:195" s="7" customFormat="1">
      <c r="A295" s="1"/>
      <c r="B295">
        <v>2.2787781140490404E-2</v>
      </c>
      <c r="C295">
        <v>3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13.338970588235295</v>
      </c>
      <c r="AO295">
        <v>42.760236731184719</v>
      </c>
      <c r="AP295">
        <v>1037.3277621554889</v>
      </c>
      <c r="AQ295">
        <v>65.766169641972311</v>
      </c>
      <c r="AR295">
        <v>38.940903027096788</v>
      </c>
      <c r="AS295">
        <v>182.31992965767665</v>
      </c>
      <c r="AT295" t="e">
        <v>#DIV/0!</v>
      </c>
      <c r="AU295" t="e">
        <v>#DIV/0!</v>
      </c>
      <c r="AV295"/>
      <c r="AW295"/>
      <c r="FY295" s="212">
        <v>290</v>
      </c>
      <c r="FZ295">
        <v>0.53282936380325752</v>
      </c>
      <c r="GA295">
        <v>22.253090559085315</v>
      </c>
      <c r="GB295">
        <v>17.524328526462348</v>
      </c>
      <c r="GC295">
        <v>5.5023841499853736</v>
      </c>
      <c r="GD295">
        <v>1.5860613783720776</v>
      </c>
      <c r="GE295">
        <v>0.71895619221013829</v>
      </c>
      <c r="GF295">
        <v>0</v>
      </c>
      <c r="GG295">
        <v>0.83160738614896845</v>
      </c>
      <c r="GH295">
        <v>1.6229601285312325</v>
      </c>
      <c r="GI295">
        <v>15.158998127749649</v>
      </c>
      <c r="GJ295"/>
      <c r="GK295"/>
      <c r="GL295"/>
      <c r="GM295"/>
    </row>
    <row r="296" spans="1:195" s="7" customFormat="1">
      <c r="A296" s="1"/>
      <c r="B296">
        <v>5.6130534277366806E-2</v>
      </c>
      <c r="C296">
        <v>1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5.680208333333332</v>
      </c>
      <c r="AO296">
        <v>18.51030913616604</v>
      </c>
      <c r="AP296">
        <v>565.24592286088875</v>
      </c>
      <c r="AQ296">
        <v>52.027595993869163</v>
      </c>
      <c r="AR296">
        <v>16.827553760150948</v>
      </c>
      <c r="AS296">
        <v>91.877222483945658</v>
      </c>
      <c r="AT296" t="e">
        <v>#DIV/0!</v>
      </c>
      <c r="AU296" t="e">
        <v>#DIV/0!</v>
      </c>
      <c r="AV296"/>
      <c r="AW296"/>
      <c r="FY296" s="212">
        <v>291</v>
      </c>
      <c r="FZ296">
        <v>2.3928363966439363</v>
      </c>
      <c r="GA296">
        <v>13.758782087907999</v>
      </c>
      <c r="GB296">
        <v>13.25394383241373</v>
      </c>
      <c r="GC296">
        <v>5.7112279201497342</v>
      </c>
      <c r="GD296">
        <v>1.0811190179568912</v>
      </c>
      <c r="GE296">
        <v>0</v>
      </c>
      <c r="GF296">
        <v>0.80138167652982462</v>
      </c>
      <c r="GG296">
        <v>5.5638986592212287</v>
      </c>
      <c r="GH296">
        <v>3.245920257062465</v>
      </c>
      <c r="GI296">
        <v>12.152610070506215</v>
      </c>
      <c r="GJ296"/>
      <c r="GK296"/>
      <c r="GL296"/>
      <c r="GM296"/>
    </row>
    <row r="297" spans="1:195" s="7" customFormat="1">
      <c r="A297" s="1"/>
      <c r="B297">
        <v>0.9973718970925618</v>
      </c>
      <c r="C297">
        <v>6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10.659375000000001</v>
      </c>
      <c r="AO297">
        <v>47.089634130005706</v>
      </c>
      <c r="AP297">
        <v>805.50101227069069</v>
      </c>
      <c r="AQ297">
        <v>69.793123304481981</v>
      </c>
      <c r="AR297">
        <v>42.876718844206778</v>
      </c>
      <c r="AS297">
        <v>217.00714394162642</v>
      </c>
      <c r="AT297" t="e">
        <v>#DIV/0!</v>
      </c>
      <c r="AU297" t="e">
        <v>#DIV/0!</v>
      </c>
      <c r="AV297"/>
      <c r="AW297"/>
      <c r="FY297" s="212">
        <v>292</v>
      </c>
      <c r="FZ297">
        <v>0.70373625451912492</v>
      </c>
      <c r="GA297">
        <v>16.118974482878357</v>
      </c>
      <c r="GB297">
        <v>14.171662056524106</v>
      </c>
      <c r="GC297">
        <v>4.4278503963061411</v>
      </c>
      <c r="GD297">
        <v>1.1185869348561317</v>
      </c>
      <c r="GE297">
        <v>0.71895619221013829</v>
      </c>
      <c r="GF297">
        <v>0</v>
      </c>
      <c r="GG297">
        <v>0</v>
      </c>
      <c r="GH297">
        <v>0</v>
      </c>
      <c r="GI297">
        <v>7.567189654477712</v>
      </c>
      <c r="GJ297"/>
      <c r="GK297"/>
      <c r="GL297"/>
      <c r="GM297"/>
    </row>
    <row r="298" spans="1:195" s="7" customFormat="1">
      <c r="A298" s="1"/>
      <c r="B298">
        <v>0.54208103446395395</v>
      </c>
      <c r="C298">
        <v>9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34.375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13.285539215686274</v>
      </c>
      <c r="AO298">
        <v>23.363255809636286</v>
      </c>
      <c r="AP298">
        <v>608.48790269600136</v>
      </c>
      <c r="AQ298">
        <v>52.921546310722185</v>
      </c>
      <c r="AR298">
        <v>21.239323463305716</v>
      </c>
      <c r="AS298">
        <v>119.10822594561047</v>
      </c>
      <c r="AT298" t="e">
        <v>#DIV/0!</v>
      </c>
      <c r="AU298" t="e">
        <v>#DIV/0!</v>
      </c>
      <c r="AV298"/>
      <c r="AW298"/>
      <c r="FY298" s="212">
        <v>293</v>
      </c>
      <c r="FZ298">
        <v>1.8432088103727695</v>
      </c>
      <c r="GA298">
        <v>17.545410646110422</v>
      </c>
      <c r="GB298">
        <v>12.574928397986058</v>
      </c>
      <c r="GC298">
        <v>4.0175713934626618</v>
      </c>
      <c r="GD298">
        <v>1.1659517544032907</v>
      </c>
      <c r="GE298">
        <v>0.35947809610506914</v>
      </c>
      <c r="GF298">
        <v>0.80138167652982462</v>
      </c>
      <c r="GG298">
        <v>4.1541015167564126</v>
      </c>
      <c r="GH298">
        <v>1.6229601285312325</v>
      </c>
      <c r="GI298">
        <v>7.707903383824422</v>
      </c>
      <c r="GJ298"/>
      <c r="GK298"/>
      <c r="GL298"/>
      <c r="GM298"/>
    </row>
    <row r="299" spans="1:195" s="7" customFormat="1">
      <c r="A299" s="1"/>
      <c r="B299">
        <v>0.40097236488501675</v>
      </c>
      <c r="C299">
        <v>10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9.3309436274509814</v>
      </c>
      <c r="AO299">
        <v>30.332136304571844</v>
      </c>
      <c r="AP299">
        <v>564.0592608398415</v>
      </c>
      <c r="AQ299">
        <v>44.846292628735391</v>
      </c>
      <c r="AR299">
        <v>27.642629911994174</v>
      </c>
      <c r="AS299">
        <v>154.45580320593257</v>
      </c>
      <c r="AT299" t="e">
        <v>#DIV/0!</v>
      </c>
      <c r="AU299" t="e">
        <v>#DIV/0!</v>
      </c>
      <c r="AV299"/>
      <c r="AW299"/>
      <c r="FY299" s="212">
        <v>294</v>
      </c>
      <c r="FZ299">
        <v>1.10256564173008</v>
      </c>
      <c r="GA299">
        <v>15.315956452258744</v>
      </c>
      <c r="GB299">
        <v>12.542394499307131</v>
      </c>
      <c r="GC299">
        <v>3.5645612185213933</v>
      </c>
      <c r="GD299">
        <v>0.64198309804669584</v>
      </c>
      <c r="GE299">
        <v>0.35947809610506914</v>
      </c>
      <c r="GF299">
        <v>0</v>
      </c>
      <c r="GG299">
        <v>1.9879868987806626</v>
      </c>
      <c r="GH299">
        <v>1.6229601285312325</v>
      </c>
      <c r="GI299">
        <v>7.4877893759142387</v>
      </c>
      <c r="GJ299"/>
      <c r="GK299"/>
      <c r="GL299"/>
      <c r="GM299"/>
    </row>
    <row r="300" spans="1:195" s="7" customFormat="1">
      <c r="A300" s="1"/>
      <c r="B300">
        <v>0.19438478360702849</v>
      </c>
      <c r="C300">
        <v>3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8.7715686274509785</v>
      </c>
      <c r="AO300">
        <v>34.369501371279014</v>
      </c>
      <c r="AP300">
        <v>650.80787893165893</v>
      </c>
      <c r="AQ300">
        <v>47.999848836859712</v>
      </c>
      <c r="AR300">
        <v>31.312961790818875</v>
      </c>
      <c r="AS300">
        <v>261.14778739253535</v>
      </c>
      <c r="AT300" t="e">
        <v>#DIV/0!</v>
      </c>
      <c r="AU300" t="e">
        <v>#DIV/0!</v>
      </c>
      <c r="AV300"/>
      <c r="AW300"/>
      <c r="FY300" s="212">
        <v>295</v>
      </c>
      <c r="FZ300">
        <v>1.6521932280012468</v>
      </c>
      <c r="GA300">
        <v>9.0979306562265485</v>
      </c>
      <c r="GB300">
        <v>7.3980763403256091</v>
      </c>
      <c r="GC300">
        <v>2.7486379624352431</v>
      </c>
      <c r="GD300">
        <v>0.93832762647757639</v>
      </c>
      <c r="GE300">
        <v>0.71895619221013829</v>
      </c>
      <c r="GF300">
        <v>0</v>
      </c>
      <c r="GG300">
        <v>1.6632147722979369</v>
      </c>
      <c r="GH300">
        <v>3.245920257062465</v>
      </c>
      <c r="GI300">
        <v>6.0698125640572806</v>
      </c>
      <c r="GJ300"/>
      <c r="GK300"/>
      <c r="GL300"/>
      <c r="GM300"/>
    </row>
    <row r="301" spans="1:195" s="7" customFormat="1">
      <c r="A301" s="1"/>
      <c r="B301">
        <v>0.51276753227797345</v>
      </c>
      <c r="C301">
        <v>2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7.4174019607843125</v>
      </c>
      <c r="AO301">
        <v>24.221415037482664</v>
      </c>
      <c r="AP301">
        <v>532.38198272976695</v>
      </c>
      <c r="AQ301">
        <v>57.755132924403888</v>
      </c>
      <c r="AR301">
        <v>22.053448487994128</v>
      </c>
      <c r="AS301">
        <v>133.92937739759483</v>
      </c>
      <c r="AT301" t="e">
        <v>#DIV/0!</v>
      </c>
      <c r="AU301" t="e">
        <v>#DIV/0!</v>
      </c>
      <c r="AV301"/>
      <c r="AW301"/>
      <c r="FY301" s="212">
        <v>296</v>
      </c>
      <c r="FZ301">
        <v>1.4812863372853795</v>
      </c>
      <c r="GA301">
        <v>19.359059776462747</v>
      </c>
      <c r="GB301">
        <v>8.3773932582364079</v>
      </c>
      <c r="GC301">
        <v>1.7540660106865189</v>
      </c>
      <c r="GD301">
        <v>1.0177257277687186</v>
      </c>
      <c r="GE301">
        <v>0</v>
      </c>
      <c r="GF301">
        <v>0</v>
      </c>
      <c r="GG301">
        <v>1.4097971424648157</v>
      </c>
      <c r="GH301">
        <v>1.6229601285312325</v>
      </c>
      <c r="GI301">
        <v>6.7710766586435094</v>
      </c>
      <c r="GJ301"/>
      <c r="GK301"/>
      <c r="GL301"/>
      <c r="GM301"/>
    </row>
    <row r="302" spans="1:195" s="7" customFormat="1">
      <c r="A302" s="1"/>
      <c r="B302">
        <v>0.39309603520153491</v>
      </c>
      <c r="C302">
        <v>8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9.7580269607843135</v>
      </c>
      <c r="AO302">
        <v>25.945481655327711</v>
      </c>
      <c r="AP302">
        <v>522.43400554798063</v>
      </c>
      <c r="AQ302">
        <v>61.37662511189378</v>
      </c>
      <c r="AR302">
        <v>23.654762049044958</v>
      </c>
      <c r="AS302">
        <v>136.60015533267941</v>
      </c>
      <c r="AT302" t="e">
        <v>#DIV/0!</v>
      </c>
      <c r="AU302" t="e">
        <v>#DIV/0!</v>
      </c>
      <c r="AV302"/>
      <c r="AW302"/>
      <c r="FY302" s="212">
        <v>297</v>
      </c>
      <c r="FZ302">
        <v>2.0141157010886368</v>
      </c>
      <c r="GA302">
        <v>15.19959848683415</v>
      </c>
      <c r="GB302">
        <v>11.329299848608903</v>
      </c>
      <c r="GC302">
        <v>3.5506228292702597</v>
      </c>
      <c r="GD302">
        <v>1.1641862179028339</v>
      </c>
      <c r="GE302">
        <v>1.0784342883152076</v>
      </c>
      <c r="GF302">
        <v>0.80138167652982462</v>
      </c>
      <c r="GG302">
        <v>3.9006838869232907</v>
      </c>
      <c r="GH302">
        <v>0</v>
      </c>
      <c r="GI302">
        <v>10.981072028745777</v>
      </c>
      <c r="GJ302"/>
      <c r="GK302"/>
      <c r="GL302"/>
      <c r="GM302"/>
    </row>
    <row r="303" spans="1:195" s="7" customFormat="1">
      <c r="A303" s="1"/>
      <c r="B303">
        <v>0.6026815756766708</v>
      </c>
      <c r="C303">
        <v>2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8.5864583333333364</v>
      </c>
      <c r="AO303">
        <v>34.590607052026897</v>
      </c>
      <c r="AP303">
        <v>316.46489489176088</v>
      </c>
      <c r="AQ303">
        <v>54.500165017141569</v>
      </c>
      <c r="AR303">
        <v>31.47998668303434</v>
      </c>
      <c r="AS303">
        <v>192.67374842053087</v>
      </c>
      <c r="AT303" t="e">
        <v>#DIV/0!</v>
      </c>
      <c r="AU303" t="e">
        <v>#DIV/0!</v>
      </c>
      <c r="AV303"/>
      <c r="AW303"/>
      <c r="FY303" s="212">
        <v>298</v>
      </c>
      <c r="FZ303">
        <v>0.70373625451912492</v>
      </c>
      <c r="GA303">
        <v>19.520838166049309</v>
      </c>
      <c r="GB303">
        <v>22.495532458252534</v>
      </c>
      <c r="GC303">
        <v>7.2043712384952414</v>
      </c>
      <c r="GD303">
        <v>0.46897561131839888</v>
      </c>
      <c r="GE303">
        <v>0</v>
      </c>
      <c r="GF303">
        <v>0.80138167652982462</v>
      </c>
      <c r="GG303">
        <v>3.5759117604405652</v>
      </c>
      <c r="GH303">
        <v>1.6229601285312325</v>
      </c>
      <c r="GI303">
        <v>10.955356615503844</v>
      </c>
      <c r="GJ303"/>
      <c r="GK303"/>
      <c r="GL303"/>
      <c r="GM303"/>
    </row>
    <row r="304" spans="1:195" s="7" customFormat="1">
      <c r="A304" s="1"/>
      <c r="B304">
        <v>0.2104886705135407</v>
      </c>
      <c r="C304">
        <v>3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9.5514705882352935</v>
      </c>
      <c r="AO304">
        <v>11.763160686135262</v>
      </c>
      <c r="AP304">
        <v>305.62032228781635</v>
      </c>
      <c r="AQ304">
        <v>40.954782225029184</v>
      </c>
      <c r="AR304">
        <v>10.693782441941147</v>
      </c>
      <c r="AS304">
        <v>73.571950505217615</v>
      </c>
      <c r="AT304" t="e">
        <v>#DIV/0!</v>
      </c>
      <c r="AU304" t="e">
        <v>#DIV/0!</v>
      </c>
      <c r="AV304"/>
      <c r="AW304"/>
      <c r="FY304" s="212">
        <v>299</v>
      </c>
      <c r="FZ304">
        <v>1.46448811481747</v>
      </c>
      <c r="GA304">
        <v>10.549501549369172</v>
      </c>
      <c r="GB304">
        <v>11.776447688582012</v>
      </c>
      <c r="GC304">
        <v>4.476245836436564</v>
      </c>
      <c r="GD304">
        <v>0.87343316848695074</v>
      </c>
      <c r="GE304">
        <v>0.71895619221013829</v>
      </c>
      <c r="GF304">
        <v>0.80138167652982462</v>
      </c>
      <c r="GG304">
        <v>3.3224941306074438</v>
      </c>
      <c r="GH304">
        <v>0</v>
      </c>
      <c r="GI304">
        <v>8.8156552459519837</v>
      </c>
      <c r="GJ304"/>
      <c r="GK304"/>
      <c r="GL304"/>
      <c r="GM304"/>
    </row>
    <row r="305" spans="1:195" s="7" customFormat="1">
      <c r="A305" s="1"/>
      <c r="B305">
        <v>0.23991158368355769</v>
      </c>
      <c r="C305">
        <v>4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10.354901960784312</v>
      </c>
      <c r="AO305">
        <v>35.440987692114966</v>
      </c>
      <c r="AP305">
        <v>542.94428864135659</v>
      </c>
      <c r="AQ305">
        <v>69.508497370419491</v>
      </c>
      <c r="AR305">
        <v>32.287040264306093</v>
      </c>
      <c r="AS305">
        <v>194.85909980097219</v>
      </c>
      <c r="AT305" t="e">
        <v>#DIV/0!</v>
      </c>
      <c r="AU305" t="e">
        <v>#DIV/0!</v>
      </c>
      <c r="AV305"/>
      <c r="AW305"/>
      <c r="FY305" s="212">
        <v>300</v>
      </c>
      <c r="FZ305">
        <v>1.6353950055333373</v>
      </c>
      <c r="GA305">
        <v>14.089973345782564</v>
      </c>
      <c r="GB305">
        <v>14.794236961046256</v>
      </c>
      <c r="GC305">
        <v>5.2521343766621262</v>
      </c>
      <c r="GD305">
        <v>0.60807224465948084</v>
      </c>
      <c r="GE305">
        <v>0</v>
      </c>
      <c r="GF305">
        <v>0.80138167652982462</v>
      </c>
      <c r="GG305">
        <v>4.1541015167564126</v>
      </c>
      <c r="GH305">
        <v>1.6229601285312325</v>
      </c>
      <c r="GI305">
        <v>10.869291928501305</v>
      </c>
      <c r="GJ305"/>
      <c r="GK305"/>
      <c r="GL305"/>
      <c r="GM305"/>
    </row>
    <row r="306" spans="1:195" s="7" customFormat="1">
      <c r="A306" s="1"/>
      <c r="B306">
        <v>0.35488841262389581</v>
      </c>
      <c r="C306">
        <v>8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10.64583333333333</v>
      </c>
      <c r="AO306">
        <v>48.642607574658406</v>
      </c>
      <c r="AP306">
        <v>281.95480907566599</v>
      </c>
      <c r="AQ306">
        <v>65.731215812348367</v>
      </c>
      <c r="AR306">
        <v>44.254532612699336</v>
      </c>
      <c r="AS306">
        <v>283.5223637295457</v>
      </c>
      <c r="AT306" t="e">
        <v>#DIV/0!</v>
      </c>
      <c r="AU306" t="e">
        <v>#DIV/0!</v>
      </c>
      <c r="AV306"/>
      <c r="AW306"/>
      <c r="FY306" s="212">
        <v>301</v>
      </c>
      <c r="FZ306">
        <v>1.8063018962492046</v>
      </c>
      <c r="GA306">
        <v>20.645868591607165</v>
      </c>
      <c r="GB306">
        <v>18.195858898825957</v>
      </c>
      <c r="GC306">
        <v>5.7444360409120412</v>
      </c>
      <c r="GD306">
        <v>0.89590900310212118</v>
      </c>
      <c r="GE306">
        <v>0</v>
      </c>
      <c r="GF306">
        <v>1.6027633530596492</v>
      </c>
      <c r="GG306">
        <v>6.6449882612148876</v>
      </c>
      <c r="GH306">
        <v>0</v>
      </c>
      <c r="GI306">
        <v>11.783896191918325</v>
      </c>
      <c r="GJ306"/>
      <c r="GK306"/>
      <c r="GL306"/>
      <c r="GM306"/>
    </row>
    <row r="307" spans="1:195" s="7" customFormat="1">
      <c r="A307" s="1"/>
      <c r="B307">
        <v>9.4807800194969261E-2</v>
      </c>
      <c r="C307">
        <v>10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15.965747549019607</v>
      </c>
      <c r="AO307">
        <v>43.930942960325453</v>
      </c>
      <c r="AP307">
        <v>906.52056915903586</v>
      </c>
      <c r="AQ307">
        <v>57.961719918392021</v>
      </c>
      <c r="AR307">
        <v>39.937220873023136</v>
      </c>
      <c r="AS307">
        <v>336.96575158406222</v>
      </c>
      <c r="AT307" t="e">
        <v>#DIV/0!</v>
      </c>
      <c r="AU307" t="e">
        <v>#DIV/0!</v>
      </c>
      <c r="AV307"/>
      <c r="AW307"/>
      <c r="FY307" s="212">
        <v>302</v>
      </c>
      <c r="FZ307">
        <v>0.91155005935855693</v>
      </c>
      <c r="GA307">
        <v>17.278819316033637</v>
      </c>
      <c r="GB307">
        <v>12.490592153007087</v>
      </c>
      <c r="GC307">
        <v>3.5012084657807891</v>
      </c>
      <c r="GD307">
        <v>0.98419127822228236</v>
      </c>
      <c r="GE307">
        <v>0.35947809610506914</v>
      </c>
      <c r="GF307">
        <v>1.6027633530596492</v>
      </c>
      <c r="GG307">
        <v>6.3202161347321617</v>
      </c>
      <c r="GH307">
        <v>1.6229601285312325</v>
      </c>
      <c r="GI307">
        <v>10.385294831311377</v>
      </c>
      <c r="GJ307"/>
      <c r="GK307"/>
      <c r="GL307"/>
      <c r="GM307"/>
    </row>
    <row r="308" spans="1:195" s="7" customFormat="1">
      <c r="A308" s="1"/>
      <c r="B308">
        <v>0.93664917234509915</v>
      </c>
      <c r="C308">
        <v>7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6.625</v>
      </c>
      <c r="AO308">
        <v>21.12946484789402</v>
      </c>
      <c r="AP308">
        <v>161.99071740754306</v>
      </c>
      <c r="AQ308">
        <v>44.82695597177171</v>
      </c>
      <c r="AR308">
        <v>19.242584679277172</v>
      </c>
      <c r="AS308">
        <v>131.20340469185331</v>
      </c>
      <c r="AT308" t="e">
        <v>#DIV/0!</v>
      </c>
      <c r="AU308" t="e">
        <v>#DIV/0!</v>
      </c>
      <c r="AV308"/>
      <c r="AW308"/>
      <c r="FY308" s="212">
        <v>303</v>
      </c>
      <c r="FZ308">
        <v>0.53282936380325752</v>
      </c>
      <c r="GA308">
        <v>9.2397753944614784</v>
      </c>
      <c r="GB308">
        <v>9.2578704212538465</v>
      </c>
      <c r="GC308">
        <v>3.5196465450764078</v>
      </c>
      <c r="GD308">
        <v>0.75124003997957456</v>
      </c>
      <c r="GE308">
        <v>0</v>
      </c>
      <c r="GF308">
        <v>1.6027633530596492</v>
      </c>
      <c r="GG308">
        <v>5.4886087485831929</v>
      </c>
      <c r="GH308">
        <v>0</v>
      </c>
      <c r="GI308">
        <v>10.696266574653547</v>
      </c>
      <c r="GJ308"/>
      <c r="GK308"/>
      <c r="GL308"/>
      <c r="GM308"/>
    </row>
    <row r="309" spans="1:195" s="7" customFormat="1">
      <c r="A309" s="1"/>
      <c r="B309">
        <v>0.60384142044178035</v>
      </c>
      <c r="C309">
        <v>1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10.34626225490196</v>
      </c>
      <c r="AO309">
        <v>30.383753489669708</v>
      </c>
      <c r="AP309">
        <v>582.18730005872408</v>
      </c>
      <c r="AQ309">
        <v>51.792895804082157</v>
      </c>
      <c r="AR309">
        <v>27.655574353618711</v>
      </c>
      <c r="AS309">
        <v>129.99018057244896</v>
      </c>
      <c r="AT309" t="e">
        <v>#DIV/0!</v>
      </c>
      <c r="AU309" t="e">
        <v>#DIV/0!</v>
      </c>
      <c r="AV309"/>
      <c r="AW309"/>
      <c r="FY309" s="212">
        <v>304</v>
      </c>
      <c r="FZ309">
        <v>0.1709068907158674</v>
      </c>
      <c r="GA309">
        <v>15.128425512149201</v>
      </c>
      <c r="GB309">
        <v>17.672976463050553</v>
      </c>
      <c r="GC309">
        <v>6.0219387166206344</v>
      </c>
      <c r="GD309">
        <v>0.69686861824662838</v>
      </c>
      <c r="GE309">
        <v>0</v>
      </c>
      <c r="GF309">
        <v>0</v>
      </c>
      <c r="GG309">
        <v>2.241404528613784</v>
      </c>
      <c r="GH309">
        <v>3.245920257062465</v>
      </c>
      <c r="GI309">
        <v>9.4337925308470982</v>
      </c>
      <c r="GJ309"/>
      <c r="GK309"/>
      <c r="GL309"/>
      <c r="GM309"/>
    </row>
    <row r="310" spans="1:195" s="7" customFormat="1">
      <c r="A310" s="1"/>
      <c r="B310">
        <v>0.9169213848429536</v>
      </c>
      <c r="C310">
        <v>9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8.3799019607843146</v>
      </c>
      <c r="AO310">
        <v>36.260978669095451</v>
      </c>
      <c r="AP310">
        <v>691.93723337706001</v>
      </c>
      <c r="AQ310">
        <v>44.625675409195246</v>
      </c>
      <c r="AR310">
        <v>32.998506334914836</v>
      </c>
      <c r="AS310">
        <v>176.79569317640582</v>
      </c>
      <c r="AT310" t="e">
        <v>#DIV/0!</v>
      </c>
      <c r="AU310" t="e">
        <v>#DIV/0!</v>
      </c>
      <c r="AV310"/>
      <c r="AW310"/>
      <c r="FY310" s="212">
        <v>305</v>
      </c>
      <c r="FZ310">
        <v>1.8063018962492046</v>
      </c>
      <c r="GA310">
        <v>20.861252466525105</v>
      </c>
      <c r="GB310">
        <v>19.353006030307174</v>
      </c>
      <c r="GC310">
        <v>5.6826872546736142</v>
      </c>
      <c r="GD310">
        <v>0.66331501946665905</v>
      </c>
      <c r="GE310">
        <v>0.35947809610506914</v>
      </c>
      <c r="GF310">
        <v>0.80138167652982462</v>
      </c>
      <c r="GG310">
        <v>4.1541015167564126</v>
      </c>
      <c r="GH310">
        <v>1.6229601285312325</v>
      </c>
      <c r="GI310">
        <v>8.5078856242343512</v>
      </c>
      <c r="GJ310"/>
      <c r="GK310"/>
      <c r="GL310"/>
      <c r="GM310"/>
    </row>
    <row r="311" spans="1:195" s="7" customFormat="1">
      <c r="A311" s="1"/>
      <c r="B311">
        <v>0.94101623907054699</v>
      </c>
      <c r="C311">
        <v>6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9.3014705882352935</v>
      </c>
      <c r="AO311">
        <v>17.679464285883657</v>
      </c>
      <c r="AP311">
        <v>211.62200763613237</v>
      </c>
      <c r="AQ311">
        <v>33.533069599094048</v>
      </c>
      <c r="AR311">
        <v>16.072240259894233</v>
      </c>
      <c r="AS311">
        <v>91.613179720563181</v>
      </c>
      <c r="AT311" t="e">
        <v>#DIV/0!</v>
      </c>
      <c r="AU311" t="e">
        <v>#DIV/0!</v>
      </c>
      <c r="AV311"/>
      <c r="AW311"/>
      <c r="FY311" s="212">
        <v>306</v>
      </c>
      <c r="FZ311">
        <v>1.6353950055333373</v>
      </c>
      <c r="GA311">
        <v>19.979142177763784</v>
      </c>
      <c r="GB311">
        <v>13.828784334522718</v>
      </c>
      <c r="GC311">
        <v>3.8239275510315522</v>
      </c>
      <c r="GD311">
        <v>1.3727625696805392</v>
      </c>
      <c r="GE311">
        <v>0.71895619221013829</v>
      </c>
      <c r="GF311">
        <v>0.80138167652982462</v>
      </c>
      <c r="GG311">
        <v>3.3224941306074438</v>
      </c>
      <c r="GH311">
        <v>0</v>
      </c>
      <c r="GI311">
        <v>9.7290271986675627</v>
      </c>
      <c r="GJ311"/>
      <c r="GK311"/>
      <c r="GL311"/>
      <c r="GM311"/>
    </row>
    <row r="312" spans="1:195" s="7" customFormat="1">
      <c r="A312" s="1"/>
      <c r="B312">
        <v>0.37117572457613845</v>
      </c>
      <c r="C312">
        <v>6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9.7702205882352935</v>
      </c>
      <c r="AO312">
        <v>19.944938967230698</v>
      </c>
      <c r="AP312">
        <v>433.85942585235784</v>
      </c>
      <c r="AQ312">
        <v>41.79336504007933</v>
      </c>
      <c r="AR312">
        <v>18.131762697482451</v>
      </c>
      <c r="AS312">
        <v>176.32443181341668</v>
      </c>
      <c r="AT312" t="e">
        <v>#DIV/0!</v>
      </c>
      <c r="AU312" t="e">
        <v>#DIV/0!</v>
      </c>
      <c r="AV312"/>
      <c r="AW312"/>
      <c r="FY312" s="212">
        <v>307</v>
      </c>
      <c r="FZ312">
        <v>0.74064316864268975</v>
      </c>
      <c r="GA312">
        <v>22.056547427433181</v>
      </c>
      <c r="GB312">
        <v>16.626495807174063</v>
      </c>
      <c r="GC312">
        <v>4.680912125972525</v>
      </c>
      <c r="GD312">
        <v>1.5467762749778358</v>
      </c>
      <c r="GE312">
        <v>1.4379123844202766</v>
      </c>
      <c r="GF312">
        <v>1.6027633530596492</v>
      </c>
      <c r="GG312">
        <v>7.7300132771969778</v>
      </c>
      <c r="GH312">
        <v>3.245920257062465</v>
      </c>
      <c r="GI312">
        <v>14.162141241639842</v>
      </c>
      <c r="GJ312"/>
      <c r="GK312"/>
      <c r="GL312"/>
      <c r="GM312"/>
    </row>
    <row r="313" spans="1:195" s="7" customFormat="1">
      <c r="A313" s="1"/>
      <c r="B313">
        <v>7.0036700686833209E-2</v>
      </c>
      <c r="C313">
        <v>3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10.416666666666666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12.398345588235291</v>
      </c>
      <c r="AO313">
        <v>36.576513894730489</v>
      </c>
      <c r="AP313">
        <v>765.11134510174247</v>
      </c>
      <c r="AQ313">
        <v>50.019394964218876</v>
      </c>
      <c r="AR313">
        <v>33.285356540037604</v>
      </c>
      <c r="AS313">
        <v>171.7549380208624</v>
      </c>
      <c r="AT313" t="e">
        <v>#DIV/0!</v>
      </c>
      <c r="AU313" t="e">
        <v>#DIV/0!</v>
      </c>
      <c r="AV313"/>
      <c r="AW313"/>
      <c r="FY313" s="212">
        <v>308</v>
      </c>
      <c r="FZ313">
        <v>2.2219295059280695</v>
      </c>
      <c r="GA313">
        <v>13.170597349738358</v>
      </c>
      <c r="GB313">
        <v>14.216673994936755</v>
      </c>
      <c r="GC313">
        <v>5.9780358664676685</v>
      </c>
      <c r="GD313">
        <v>0.99446458471097932</v>
      </c>
      <c r="GE313">
        <v>0</v>
      </c>
      <c r="GF313">
        <v>0.80138167652982462</v>
      </c>
      <c r="GG313">
        <v>2.7443043742915965</v>
      </c>
      <c r="GH313">
        <v>0</v>
      </c>
      <c r="GI313">
        <v>6.4768588069310784</v>
      </c>
      <c r="GJ313"/>
      <c r="GK313"/>
      <c r="GL313"/>
      <c r="GM313"/>
    </row>
    <row r="314" spans="1:195" s="7" customFormat="1">
      <c r="A314" s="1"/>
      <c r="B314">
        <v>0.71326374828366834</v>
      </c>
      <c r="C314">
        <v>7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9.8052083333333311</v>
      </c>
      <c r="AO314">
        <v>33.005712123736167</v>
      </c>
      <c r="AP314">
        <v>362.50734484143129</v>
      </c>
      <c r="AQ314">
        <v>67.34906390964008</v>
      </c>
      <c r="AR314">
        <v>30.039173111860947</v>
      </c>
      <c r="AS314">
        <v>161.40925589644652</v>
      </c>
      <c r="AT314" t="e">
        <v>#DIV/0!</v>
      </c>
      <c r="AU314" t="e">
        <v>#DIV/0!</v>
      </c>
      <c r="AV314"/>
      <c r="AW314"/>
      <c r="FY314" s="212">
        <v>309</v>
      </c>
      <c r="FZ314">
        <v>0.53282936380325752</v>
      </c>
      <c r="GA314">
        <v>16.616404637911195</v>
      </c>
      <c r="GB314">
        <v>15.971410621806465</v>
      </c>
      <c r="GC314">
        <v>5.7403593838581441</v>
      </c>
      <c r="GD314">
        <v>1.0990205499366255</v>
      </c>
      <c r="GE314">
        <v>0</v>
      </c>
      <c r="GF314">
        <v>2.4041450295894737</v>
      </c>
      <c r="GG314">
        <v>9.6427102653396055</v>
      </c>
      <c r="GH314">
        <v>1.6229601285312325</v>
      </c>
      <c r="GI314">
        <v>9.8371037393367402</v>
      </c>
      <c r="GJ314"/>
      <c r="GK314"/>
      <c r="GL314"/>
      <c r="GM314"/>
    </row>
    <row r="315" spans="1:195" s="7" customFormat="1">
      <c r="A315" s="1"/>
      <c r="B315">
        <v>0.96314219529365364</v>
      </c>
      <c r="C315">
        <v>8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8.2788602941176475</v>
      </c>
      <c r="AO315">
        <v>21.45942395849125</v>
      </c>
      <c r="AP315">
        <v>496.11841949591491</v>
      </c>
      <c r="AQ315">
        <v>42.798603602991562</v>
      </c>
      <c r="AR315">
        <v>19.576527779193629</v>
      </c>
      <c r="AS315">
        <v>142.21445816940914</v>
      </c>
      <c r="AT315" t="e">
        <v>#DIV/0!</v>
      </c>
      <c r="AU315" t="e">
        <v>#DIV/0!</v>
      </c>
      <c r="AV315"/>
      <c r="AW315"/>
      <c r="FY315" s="212">
        <v>310</v>
      </c>
      <c r="FZ315">
        <v>1.8432088103727695</v>
      </c>
      <c r="GA315">
        <v>21.65701840563338</v>
      </c>
      <c r="GB315">
        <v>12.30858377137282</v>
      </c>
      <c r="GC315">
        <v>2.1867217054892505</v>
      </c>
      <c r="GD315">
        <v>0.7531176116228061</v>
      </c>
      <c r="GE315">
        <v>0.71895619221013829</v>
      </c>
      <c r="GF315">
        <v>0.80138167652982462</v>
      </c>
      <c r="GG315">
        <v>4.1541015167564126</v>
      </c>
      <c r="GH315">
        <v>1.6229601285312325</v>
      </c>
      <c r="GI315">
        <v>6.6559044311506197</v>
      </c>
      <c r="GJ315"/>
      <c r="GK315"/>
      <c r="GL315"/>
      <c r="GM315"/>
    </row>
    <row r="316" spans="1:195" s="7" customFormat="1">
      <c r="A316" s="1"/>
      <c r="B316">
        <v>0.73401438451913714</v>
      </c>
      <c r="C316">
        <v>6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10.35177696078431</v>
      </c>
      <c r="AO316">
        <v>26.153877067616925</v>
      </c>
      <c r="AP316">
        <v>553.62891917977811</v>
      </c>
      <c r="AQ316">
        <v>53.827547184002533</v>
      </c>
      <c r="AR316">
        <v>23.844212423853332</v>
      </c>
      <c r="AS316">
        <v>248.99528209599444</v>
      </c>
      <c r="AT316" t="e">
        <v>#DIV/0!</v>
      </c>
      <c r="AU316" t="e">
        <v>#DIV/0!</v>
      </c>
      <c r="AV316"/>
      <c r="AW316"/>
      <c r="FY316" s="212">
        <v>311</v>
      </c>
      <c r="FZ316">
        <v>2.5469450648918945</v>
      </c>
      <c r="GA316">
        <v>17.233800996687712</v>
      </c>
      <c r="GB316">
        <v>17.120757621539042</v>
      </c>
      <c r="GC316">
        <v>5.1545943240800973</v>
      </c>
      <c r="GD316">
        <v>0.53122498831136433</v>
      </c>
      <c r="GE316">
        <v>0.71895619221013829</v>
      </c>
      <c r="GF316">
        <v>0</v>
      </c>
      <c r="GG316">
        <v>0.57818975631584713</v>
      </c>
      <c r="GH316">
        <v>0</v>
      </c>
      <c r="GI316">
        <v>8.6201382345320532</v>
      </c>
      <c r="GJ316"/>
      <c r="GK316"/>
      <c r="GL316"/>
      <c r="GM316"/>
    </row>
    <row r="317" spans="1:195" s="7" customFormat="1">
      <c r="A317" s="1"/>
      <c r="B317">
        <v>0.33741033891757</v>
      </c>
      <c r="C317">
        <v>7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11.198651960784309</v>
      </c>
      <c r="AO317">
        <v>34.418089716014364</v>
      </c>
      <c r="AP317">
        <v>924.52169703215702</v>
      </c>
      <c r="AQ317">
        <v>67.320022236889358</v>
      </c>
      <c r="AR317">
        <v>31.357133013305553</v>
      </c>
      <c r="AS317">
        <v>166.55998046316955</v>
      </c>
      <c r="AT317" t="e">
        <v>#DIV/0!</v>
      </c>
      <c r="AU317" t="e">
        <v>#DIV/0!</v>
      </c>
      <c r="AV317"/>
      <c r="AW317"/>
      <c r="FY317" s="212">
        <v>312</v>
      </c>
      <c r="FZ317">
        <v>0.91155005935855693</v>
      </c>
      <c r="GA317">
        <v>23.72023370232678</v>
      </c>
      <c r="GB317">
        <v>18.882701366010874</v>
      </c>
      <c r="GC317">
        <v>6.2961885250994927</v>
      </c>
      <c r="GD317">
        <v>1.7994462316952791</v>
      </c>
      <c r="GE317">
        <v>0.35947809610506914</v>
      </c>
      <c r="GF317">
        <v>0</v>
      </c>
      <c r="GG317">
        <v>1.6632147722979369</v>
      </c>
      <c r="GH317">
        <v>3.245920257062465</v>
      </c>
      <c r="GI317">
        <v>11.352185441107181</v>
      </c>
      <c r="GJ317"/>
      <c r="GK317"/>
      <c r="GL317"/>
      <c r="GM317"/>
    </row>
    <row r="318" spans="1:195" s="7" customFormat="1">
      <c r="A318" s="1"/>
      <c r="B318">
        <v>0.88016695082375862</v>
      </c>
      <c r="C318">
        <v>9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9.7924019607843142</v>
      </c>
      <c r="AO318">
        <v>35.302073143637912</v>
      </c>
      <c r="AP318">
        <v>576.11190297624591</v>
      </c>
      <c r="AQ318">
        <v>55.45707381614185</v>
      </c>
      <c r="AR318">
        <v>32.092793766943558</v>
      </c>
      <c r="AS318">
        <v>158.63961901541947</v>
      </c>
      <c r="AT318" t="e">
        <v>#DIV/0!</v>
      </c>
      <c r="AU318" t="e">
        <v>#DIV/0!</v>
      </c>
      <c r="AV318"/>
      <c r="AW318"/>
      <c r="FY318" s="212">
        <v>313</v>
      </c>
      <c r="FZ318">
        <v>0.74064316864268975</v>
      </c>
      <c r="GA318">
        <v>8.8278483878914074</v>
      </c>
      <c r="GB318">
        <v>14.071104484795985</v>
      </c>
      <c r="GC318">
        <v>5.6095231507867869</v>
      </c>
      <c r="GD318">
        <v>0.46897561131839888</v>
      </c>
      <c r="GE318">
        <v>0</v>
      </c>
      <c r="GF318">
        <v>0.80138167652982462</v>
      </c>
      <c r="GG318">
        <v>3.5759117604405652</v>
      </c>
      <c r="GH318">
        <v>1.6229601285312325</v>
      </c>
      <c r="GI318">
        <v>8.8069580248292159</v>
      </c>
      <c r="GJ318"/>
      <c r="GK318"/>
      <c r="GL318"/>
      <c r="GM318"/>
    </row>
    <row r="319" spans="1:195" s="7" customFormat="1">
      <c r="A319" s="1"/>
      <c r="B319">
        <v>0.9955068208196769</v>
      </c>
      <c r="C319">
        <v>10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6.7874999999999996</v>
      </c>
      <c r="AO319">
        <v>32.537059063294997</v>
      </c>
      <c r="AP319">
        <v>507.21969955030369</v>
      </c>
      <c r="AQ319">
        <v>41.089000440870954</v>
      </c>
      <c r="AR319">
        <v>29.613124875096247</v>
      </c>
      <c r="AS319">
        <v>161.03055990707716</v>
      </c>
      <c r="AT319" t="e">
        <v>#DIV/0!</v>
      </c>
      <c r="AU319" t="e">
        <v>#DIV/0!</v>
      </c>
      <c r="AV319"/>
      <c r="AW319"/>
      <c r="FY319" s="212">
        <v>314</v>
      </c>
      <c r="FZ319">
        <v>2.5469450648918945</v>
      </c>
      <c r="GA319">
        <v>18.353630049487805</v>
      </c>
      <c r="GB319">
        <v>14.347295857221892</v>
      </c>
      <c r="GC319">
        <v>4.3946637178419419</v>
      </c>
      <c r="GD319">
        <v>0.54660817610908441</v>
      </c>
      <c r="GE319">
        <v>0</v>
      </c>
      <c r="GF319">
        <v>0</v>
      </c>
      <c r="GG319">
        <v>0</v>
      </c>
      <c r="GH319">
        <v>0</v>
      </c>
      <c r="GI319">
        <v>12.09819348656838</v>
      </c>
      <c r="GJ319"/>
      <c r="GK319"/>
      <c r="GL319"/>
      <c r="GM319"/>
    </row>
    <row r="320" spans="1:195" s="7" customFormat="1">
      <c r="A320" s="1"/>
      <c r="B320">
        <v>0.92630554805853382</v>
      </c>
      <c r="C320">
        <v>8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8.1874999999999982</v>
      </c>
      <c r="AO320">
        <v>32.51309984576519</v>
      </c>
      <c r="AP320">
        <v>418.16272632861103</v>
      </c>
      <c r="AQ320">
        <v>54.61223351730623</v>
      </c>
      <c r="AR320">
        <v>29.557363496150167</v>
      </c>
      <c r="AS320">
        <v>177.43701173086379</v>
      </c>
      <c r="AT320" t="e">
        <v>#DIV/0!</v>
      </c>
      <c r="AU320" t="e">
        <v>#DIV/0!</v>
      </c>
      <c r="AV320"/>
      <c r="AW320"/>
      <c r="FY320" s="212">
        <v>315</v>
      </c>
      <c r="FZ320">
        <v>0.70373625451912492</v>
      </c>
      <c r="GA320">
        <v>17.14197169920687</v>
      </c>
      <c r="GB320">
        <v>14.230739975722051</v>
      </c>
      <c r="GC320">
        <v>3.9677991577358314</v>
      </c>
      <c r="GD320">
        <v>0.71768644119960523</v>
      </c>
      <c r="GE320">
        <v>0.35947809610506914</v>
      </c>
      <c r="GF320">
        <v>0</v>
      </c>
      <c r="GG320">
        <v>0.83160738614896845</v>
      </c>
      <c r="GH320">
        <v>1.6229601285312325</v>
      </c>
      <c r="GI320">
        <v>7.570545545707561</v>
      </c>
      <c r="GJ320"/>
      <c r="GK320"/>
      <c r="GL320"/>
      <c r="GM320"/>
    </row>
    <row r="321" spans="1:195" s="7" customFormat="1">
      <c r="A321" s="1"/>
      <c r="B321">
        <v>5.4921109015485303E-2</v>
      </c>
      <c r="C321">
        <v>1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10.008026960784312</v>
      </c>
      <c r="AO321">
        <v>28.228623643866985</v>
      </c>
      <c r="AP321">
        <v>551.20255108136348</v>
      </c>
      <c r="AQ321">
        <v>63.812369709378643</v>
      </c>
      <c r="AR321">
        <v>25.730345674989753</v>
      </c>
      <c r="AS321">
        <v>131.96557029634715</v>
      </c>
      <c r="AT321" t="e">
        <v>#DIV/0!</v>
      </c>
      <c r="AU321" t="e">
        <v>#DIV/0!</v>
      </c>
      <c r="AV321"/>
      <c r="AW321"/>
      <c r="FY321" s="212">
        <v>316</v>
      </c>
      <c r="FZ321">
        <v>0.74064316864268975</v>
      </c>
      <c r="GA321">
        <v>18.967418169945237</v>
      </c>
      <c r="GB321">
        <v>15.058691087198486</v>
      </c>
      <c r="GC321">
        <v>4.4338656886616628</v>
      </c>
      <c r="GD321">
        <v>0.85729717300767361</v>
      </c>
      <c r="GE321">
        <v>0</v>
      </c>
      <c r="GF321">
        <v>0</v>
      </c>
      <c r="GG321">
        <v>1.6632147722979369</v>
      </c>
      <c r="GH321">
        <v>3.245920257062465</v>
      </c>
      <c r="GI321">
        <v>8.7408864087353049</v>
      </c>
      <c r="GJ321"/>
      <c r="GK321"/>
      <c r="GL321"/>
      <c r="GM321"/>
    </row>
    <row r="322" spans="1:195" s="7" customFormat="1">
      <c r="A322" s="1"/>
      <c r="B322">
        <v>0.28779907709932351</v>
      </c>
      <c r="C322">
        <v>3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9.7476102941176457</v>
      </c>
      <c r="AO322">
        <v>25.82266376484899</v>
      </c>
      <c r="AP322">
        <v>549.11333568205748</v>
      </c>
      <c r="AQ322">
        <v>55.211870836546893</v>
      </c>
      <c r="AR322">
        <v>23.543109421337036</v>
      </c>
      <c r="AS322">
        <v>166.21385297609828</v>
      </c>
      <c r="AT322" t="e">
        <v>#DIV/0!</v>
      </c>
      <c r="AU322" t="e">
        <v>#DIV/0!</v>
      </c>
      <c r="AV322"/>
      <c r="AW322"/>
      <c r="FY322" s="212">
        <v>317</v>
      </c>
      <c r="FZ322">
        <v>2.20513128346016</v>
      </c>
      <c r="GA322">
        <v>27.795785272130146</v>
      </c>
      <c r="GB322">
        <v>18.962025993179708</v>
      </c>
      <c r="GC322">
        <v>4.712871358316157</v>
      </c>
      <c r="GD322">
        <v>1.1115994819038773</v>
      </c>
      <c r="GE322">
        <v>0.35947809610506914</v>
      </c>
      <c r="GF322">
        <v>0</v>
      </c>
      <c r="GG322">
        <v>1.9879868987806626</v>
      </c>
      <c r="GH322">
        <v>1.6229601285312325</v>
      </c>
      <c r="GI322">
        <v>9.2715897125887548</v>
      </c>
      <c r="GJ322"/>
      <c r="GK322"/>
      <c r="GL322"/>
      <c r="GM322"/>
    </row>
    <row r="323" spans="1:195" s="7" customFormat="1">
      <c r="A323" s="1"/>
      <c r="B323">
        <v>0.60103491337778081</v>
      </c>
      <c r="C323">
        <v>8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11.59448529411765</v>
      </c>
      <c r="AO323">
        <v>42.91115409824782</v>
      </c>
      <c r="AP323">
        <v>762.90662764617332</v>
      </c>
      <c r="AQ323">
        <v>73.830125317579515</v>
      </c>
      <c r="AR323">
        <v>39.010140089316202</v>
      </c>
      <c r="AS323">
        <v>215.74454856304675</v>
      </c>
      <c r="AT323" t="e">
        <v>#DIV/0!</v>
      </c>
      <c r="AU323" t="e">
        <v>#DIV/0!</v>
      </c>
      <c r="AV323"/>
      <c r="AW323"/>
      <c r="FY323" s="212">
        <v>318</v>
      </c>
      <c r="FZ323">
        <v>1.10256564173008</v>
      </c>
      <c r="GA323">
        <v>20.952642373432862</v>
      </c>
      <c r="GB323">
        <v>16.193695553717177</v>
      </c>
      <c r="GC323">
        <v>4.2695621788629108</v>
      </c>
      <c r="GD323">
        <v>0.56946041456503327</v>
      </c>
      <c r="GE323">
        <v>0</v>
      </c>
      <c r="GF323">
        <v>3.2055267061192985</v>
      </c>
      <c r="GG323">
        <v>10.977217497166386</v>
      </c>
      <c r="GH323">
        <v>0</v>
      </c>
      <c r="GI323">
        <v>13.745271795573995</v>
      </c>
      <c r="GJ323"/>
      <c r="GK323"/>
      <c r="GL323"/>
      <c r="GM323"/>
    </row>
    <row r="324" spans="1:195" s="7" customFormat="1">
      <c r="A324" s="1"/>
      <c r="B324">
        <v>0.24611774066887993</v>
      </c>
      <c r="C324">
        <v>9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12.184497549019607</v>
      </c>
      <c r="AO324">
        <v>18.030327765520315</v>
      </c>
      <c r="AP324">
        <v>339.89935734524738</v>
      </c>
      <c r="AQ324">
        <v>46.604246159534327</v>
      </c>
      <c r="AR324">
        <v>16.391207059563918</v>
      </c>
      <c r="AS324">
        <v>99.979373054075751</v>
      </c>
      <c r="AT324" t="e">
        <v>#DIV/0!</v>
      </c>
      <c r="AU324" t="e">
        <v>#DIV/0!</v>
      </c>
      <c r="AV324"/>
      <c r="AW324"/>
      <c r="FY324" s="212">
        <v>319</v>
      </c>
      <c r="FZ324">
        <v>2.1850225918045041</v>
      </c>
      <c r="GA324">
        <v>19.376108551522819</v>
      </c>
      <c r="GB324">
        <v>16.385259104571549</v>
      </c>
      <c r="GC324">
        <v>5.3266387517671392</v>
      </c>
      <c r="GD324">
        <v>0.91164944550708682</v>
      </c>
      <c r="GE324">
        <v>0</v>
      </c>
      <c r="GF324">
        <v>0</v>
      </c>
      <c r="GG324">
        <v>1.6632147722979369</v>
      </c>
      <c r="GH324">
        <v>3.245920257062465</v>
      </c>
      <c r="GI324">
        <v>8.5503548346485214</v>
      </c>
      <c r="GJ324"/>
      <c r="GK324"/>
      <c r="GL324"/>
      <c r="GM324"/>
    </row>
    <row r="325" spans="1:195" s="7" customFormat="1">
      <c r="A325" s="1"/>
      <c r="B325">
        <v>0.40187342998862197</v>
      </c>
      <c r="C325">
        <v>7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7.1968750000000004</v>
      </c>
      <c r="AO325">
        <v>22.696659409825081</v>
      </c>
      <c r="AP325">
        <v>801.73170832678079</v>
      </c>
      <c r="AQ325">
        <v>63.466943720112738</v>
      </c>
      <c r="AR325">
        <v>20.667307008305411</v>
      </c>
      <c r="AS325">
        <v>123.13475064131656</v>
      </c>
      <c r="AT325" t="e">
        <v>#DIV/0!</v>
      </c>
      <c r="AU325" t="e">
        <v>#DIV/0!</v>
      </c>
      <c r="AV325"/>
      <c r="AW325"/>
      <c r="FY325" s="212">
        <v>320</v>
      </c>
      <c r="FZ325">
        <v>1.8063018962492046</v>
      </c>
      <c r="GA325">
        <v>2.5538828127042494</v>
      </c>
      <c r="GB325">
        <v>5.9471795930182134</v>
      </c>
      <c r="GC325">
        <v>4.3220328172853231</v>
      </c>
      <c r="GD325">
        <v>1.8261052634322359</v>
      </c>
      <c r="GE325">
        <v>1.0784342883152076</v>
      </c>
      <c r="GF325">
        <v>1.6027633530596492</v>
      </c>
      <c r="GG325">
        <v>7.1518235208811305</v>
      </c>
      <c r="GH325">
        <v>3.245920257062465</v>
      </c>
      <c r="GI325">
        <v>6.9719395140982794</v>
      </c>
      <c r="GJ325"/>
      <c r="GK325"/>
      <c r="GL325"/>
      <c r="GM325"/>
    </row>
    <row r="326" spans="1:195" s="7" customFormat="1">
      <c r="A326" s="1"/>
      <c r="B326">
        <v>0.74333177472884415</v>
      </c>
      <c r="C326">
        <v>10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9.7629289215686281</v>
      </c>
      <c r="AO326">
        <v>24.936367322589241</v>
      </c>
      <c r="AP326">
        <v>584.98252100750824</v>
      </c>
      <c r="AQ326">
        <v>52.701954249669242</v>
      </c>
      <c r="AR326">
        <v>22.703405110818288</v>
      </c>
      <c r="AS326">
        <v>110.51811624479527</v>
      </c>
      <c r="AT326" t="e">
        <v>#DIV/0!</v>
      </c>
      <c r="AU326" t="e">
        <v>#DIV/0!</v>
      </c>
      <c r="AV326"/>
      <c r="AW326"/>
      <c r="FY326" s="212">
        <v>321</v>
      </c>
      <c r="FZ326">
        <v>1.4443794231618146</v>
      </c>
      <c r="GA326">
        <v>19.775637573322619</v>
      </c>
      <c r="GB326">
        <v>11.774691823298033</v>
      </c>
      <c r="GC326">
        <v>3.0373988470957833</v>
      </c>
      <c r="GD326">
        <v>1.1323097800185908</v>
      </c>
      <c r="GE326">
        <v>0.35947809610506914</v>
      </c>
      <c r="GF326">
        <v>0</v>
      </c>
      <c r="GG326">
        <v>3.3977840412454787</v>
      </c>
      <c r="GH326">
        <v>3.245920257062465</v>
      </c>
      <c r="GI326">
        <v>11.191856513746043</v>
      </c>
      <c r="GJ326"/>
      <c r="GK326"/>
      <c r="GL326"/>
      <c r="GM326"/>
    </row>
    <row r="327" spans="1:195" s="7" customFormat="1">
      <c r="A327" s="1"/>
      <c r="B327">
        <v>0.57018842168704298</v>
      </c>
      <c r="C327">
        <v>7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12.082720588235295</v>
      </c>
      <c r="AO327">
        <v>24.39624117598435</v>
      </c>
      <c r="AP327">
        <v>341.69750330961131</v>
      </c>
      <c r="AQ327">
        <v>52.504607178568136</v>
      </c>
      <c r="AR327">
        <v>22.24636161327826</v>
      </c>
      <c r="AS327">
        <v>156.63160905418948</v>
      </c>
      <c r="AT327" t="e">
        <v>#DIV/0!</v>
      </c>
      <c r="AU327" t="e">
        <v>#DIV/0!</v>
      </c>
      <c r="AV327"/>
      <c r="AW327"/>
      <c r="FY327" s="212">
        <v>322</v>
      </c>
      <c r="FZ327">
        <v>0.36192247308739012</v>
      </c>
      <c r="GA327">
        <v>22.62713280807478</v>
      </c>
      <c r="GB327">
        <v>10.956897156056352</v>
      </c>
      <c r="GC327">
        <v>1.5926765264118976</v>
      </c>
      <c r="GD327">
        <v>0.98612049986005845</v>
      </c>
      <c r="GE327">
        <v>0.35947809610506914</v>
      </c>
      <c r="GF327">
        <v>0</v>
      </c>
      <c r="GG327">
        <v>0.83160738614896845</v>
      </c>
      <c r="GH327">
        <v>1.6229601285312325</v>
      </c>
      <c r="GI327">
        <v>12.531771751973324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10.661151960784315</v>
      </c>
      <c r="AO328">
        <v>36.163183520782347</v>
      </c>
      <c r="AP328">
        <v>360.03009711005848</v>
      </c>
      <c r="AQ328">
        <v>68.230918451063644</v>
      </c>
      <c r="AR328">
        <v>32.875621382529403</v>
      </c>
      <c r="AS328">
        <v>200.01866439845688</v>
      </c>
      <c r="AT328" t="e">
        <v>#DIV/0!</v>
      </c>
      <c r="AU328" t="e">
        <v>#DIV/0!</v>
      </c>
      <c r="AV328"/>
      <c r="AW328"/>
      <c r="FY328" s="212">
        <v>323</v>
      </c>
      <c r="FZ328">
        <v>1.4443794231618146</v>
      </c>
      <c r="GA328">
        <v>25.025883260737004</v>
      </c>
      <c r="GB328">
        <v>17.290984437748286</v>
      </c>
      <c r="GC328">
        <v>4.8030240689199992</v>
      </c>
      <c r="GD328">
        <v>1.0597870965369283</v>
      </c>
      <c r="GE328">
        <v>0</v>
      </c>
      <c r="GF328">
        <v>0</v>
      </c>
      <c r="GG328">
        <v>0.57818975631584713</v>
      </c>
      <c r="GH328">
        <v>0</v>
      </c>
      <c r="GI328">
        <v>14.329328253367368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9.2163602941176457</v>
      </c>
      <c r="AO329">
        <v>28.446851598002077</v>
      </c>
      <c r="AP329">
        <v>301.17939027958244</v>
      </c>
      <c r="AQ329">
        <v>44.525306393766101</v>
      </c>
      <c r="AR329">
        <v>25.860774180001883</v>
      </c>
      <c r="AS329">
        <v>121.65204343963791</v>
      </c>
      <c r="AT329" t="e">
        <v>#DIV/0!</v>
      </c>
      <c r="AU329" t="e">
        <v>#DIV/0!</v>
      </c>
      <c r="AV329"/>
      <c r="AW329"/>
      <c r="FY329" s="212">
        <v>324</v>
      </c>
      <c r="FZ329">
        <v>1.8432088103727695</v>
      </c>
      <c r="GA329">
        <v>4.9185357152463212</v>
      </c>
      <c r="GB329">
        <v>9.1543555566853101</v>
      </c>
      <c r="GC329">
        <v>4.0098104920381692</v>
      </c>
      <c r="GD329">
        <v>0.43392084473597664</v>
      </c>
      <c r="GE329">
        <v>0.35947809610506914</v>
      </c>
      <c r="GF329">
        <v>0</v>
      </c>
      <c r="GG329">
        <v>2.3127590252633885</v>
      </c>
      <c r="GH329">
        <v>0</v>
      </c>
      <c r="GI329">
        <v>7.4766509480712227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13.457720588235293</v>
      </c>
      <c r="AO330">
        <v>36.940133402791332</v>
      </c>
      <c r="AP330">
        <v>182.46353089386332</v>
      </c>
      <c r="AQ330">
        <v>52.287336352121002</v>
      </c>
      <c r="AR330">
        <v>33.649900001284607</v>
      </c>
      <c r="AS330">
        <v>208.31911338679498</v>
      </c>
      <c r="AT330" t="e">
        <v>#DIV/0!</v>
      </c>
      <c r="AU330" t="e">
        <v>#DIV/0!</v>
      </c>
      <c r="AV330"/>
      <c r="AW330"/>
      <c r="FY330" s="212">
        <v>325</v>
      </c>
      <c r="FZ330">
        <v>1.4812863372853795</v>
      </c>
      <c r="GA330">
        <v>17.545410646110422</v>
      </c>
      <c r="GB330">
        <v>18.187170174499023</v>
      </c>
      <c r="GC330">
        <v>5.6522942524830855</v>
      </c>
      <c r="GD330">
        <v>0.26091335800767962</v>
      </c>
      <c r="GE330">
        <v>0</v>
      </c>
      <c r="GF330">
        <v>0.80138167652982462</v>
      </c>
      <c r="GG330">
        <v>2.7443043742915965</v>
      </c>
      <c r="GH330">
        <v>0</v>
      </c>
      <c r="GI330">
        <v>9.2477873890399191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6.864583333333333</v>
      </c>
      <c r="AO331">
        <v>30.731384307924962</v>
      </c>
      <c r="AP331">
        <v>256.56625713288099</v>
      </c>
      <c r="AQ331">
        <v>47.146524684876312</v>
      </c>
      <c r="AR331">
        <v>27.971602370214402</v>
      </c>
      <c r="AS331">
        <v>145.84583922257193</v>
      </c>
      <c r="AT331" t="e">
        <v>#DIV/0!</v>
      </c>
      <c r="AU331" t="e">
        <v>#DIV/0!</v>
      </c>
      <c r="AV331"/>
      <c r="AW331"/>
      <c r="FY331" s="212">
        <v>326</v>
      </c>
      <c r="FZ331">
        <v>0.91155005935855693</v>
      </c>
      <c r="GA331">
        <v>16.871722759478011</v>
      </c>
      <c r="GB331">
        <v>10.797689048777702</v>
      </c>
      <c r="GC331">
        <v>3.7154155017920347</v>
      </c>
      <c r="GD331">
        <v>1.3932231380262703</v>
      </c>
      <c r="GE331">
        <v>0.35947809610506914</v>
      </c>
      <c r="GF331">
        <v>2.4041450295894737</v>
      </c>
      <c r="GG331">
        <v>8.8111028791906367</v>
      </c>
      <c r="GH331">
        <v>0</v>
      </c>
      <c r="GI331">
        <v>15.130219422158413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8.6924019607843128</v>
      </c>
      <c r="AO332">
        <v>23.434863511836681</v>
      </c>
      <c r="AP332">
        <v>249.58591558999828</v>
      </c>
      <c r="AQ332">
        <v>53.707936725551455</v>
      </c>
      <c r="AR332">
        <v>21.304421374396981</v>
      </c>
      <c r="AS332">
        <v>120.18399341931033</v>
      </c>
      <c r="AT332" t="e">
        <v>#DIV/0!</v>
      </c>
      <c r="AU332" t="e">
        <v>#DIV/0!</v>
      </c>
      <c r="AV332"/>
      <c r="AW332"/>
      <c r="FY332" s="212">
        <v>327</v>
      </c>
      <c r="FZ332">
        <v>2.3760381741760268</v>
      </c>
      <c r="GA332">
        <v>11.143406374590082</v>
      </c>
      <c r="GB332">
        <v>9.045346737550819</v>
      </c>
      <c r="GC332">
        <v>5.2258000319215698</v>
      </c>
      <c r="GD332">
        <v>2.1320969647420527</v>
      </c>
      <c r="GE332">
        <v>0</v>
      </c>
      <c r="GF332">
        <v>0.80138167652982462</v>
      </c>
      <c r="GG332">
        <v>3.3224941306074438</v>
      </c>
      <c r="GH332">
        <v>0</v>
      </c>
      <c r="GI332">
        <v>7.8567492253498408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11.759803921568627</v>
      </c>
      <c r="AO333">
        <v>30.650210080202363</v>
      </c>
      <c r="AP333">
        <v>638.88972830629666</v>
      </c>
      <c r="AQ333">
        <v>68.029428224995769</v>
      </c>
      <c r="AR333">
        <v>27.931787889840088</v>
      </c>
      <c r="AS333">
        <v>241.0502054114346</v>
      </c>
      <c r="AT333" t="e">
        <v>#DIV/0!</v>
      </c>
      <c r="AU333" t="e">
        <v>#DIV/0!</v>
      </c>
      <c r="AV333"/>
      <c r="AW333"/>
      <c r="FY333" s="212">
        <v>328</v>
      </c>
      <c r="FZ333">
        <v>1.10256564173008</v>
      </c>
      <c r="GA333">
        <v>9.9134632810938914</v>
      </c>
      <c r="GB333">
        <v>10.11973331362667</v>
      </c>
      <c r="GC333">
        <v>4.1960221614364936</v>
      </c>
      <c r="GD333">
        <v>0.92547981550780911</v>
      </c>
      <c r="GE333">
        <v>0</v>
      </c>
      <c r="GF333">
        <v>0.80138167652982462</v>
      </c>
      <c r="GG333">
        <v>3.5759117604405652</v>
      </c>
      <c r="GH333">
        <v>1.6229601285312325</v>
      </c>
      <c r="GI333">
        <v>6.0453284175949289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11.538235294117646</v>
      </c>
      <c r="AO334">
        <v>38.234646142499464</v>
      </c>
      <c r="AP334">
        <v>899.0862050176579</v>
      </c>
      <c r="AQ334">
        <v>71.015942161167757</v>
      </c>
      <c r="AR334">
        <v>34.792749492554854</v>
      </c>
      <c r="AS334">
        <v>186.91838696613414</v>
      </c>
      <c r="AT334" t="e">
        <v>#DIV/0!</v>
      </c>
      <c r="AU334" t="e">
        <v>#DIV/0!</v>
      </c>
      <c r="AV334"/>
      <c r="AW334"/>
      <c r="FY334" s="212">
        <v>329</v>
      </c>
      <c r="FZ334">
        <v>2.0141157010886364</v>
      </c>
      <c r="GA334">
        <v>27.109008597457667</v>
      </c>
      <c r="GB334">
        <v>14.916542106646565</v>
      </c>
      <c r="GC334">
        <v>2.9587326706474433</v>
      </c>
      <c r="GD334">
        <v>1.0212827912807441</v>
      </c>
      <c r="GE334">
        <v>0.35947809610506914</v>
      </c>
      <c r="GF334">
        <v>2.4041450295894737</v>
      </c>
      <c r="GG334">
        <v>9.8961278951727252</v>
      </c>
      <c r="GH334">
        <v>3.245920257062465</v>
      </c>
      <c r="GI334">
        <v>11.708326882287126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12.041053921568627</v>
      </c>
      <c r="AO335">
        <v>24.93062182562042</v>
      </c>
      <c r="AP335">
        <v>287.28276655151285</v>
      </c>
      <c r="AQ335">
        <v>57.644168309182028</v>
      </c>
      <c r="AR335">
        <v>22.698181931755716</v>
      </c>
      <c r="AS335">
        <v>121.98561498521616</v>
      </c>
      <c r="AT335" t="e">
        <v>#DIV/0!</v>
      </c>
      <c r="AU335" t="e">
        <v>#DIV/0!</v>
      </c>
      <c r="AV335"/>
      <c r="AW335"/>
      <c r="FY335" s="212">
        <v>330</v>
      </c>
      <c r="FZ335">
        <v>1.273472532445947</v>
      </c>
      <c r="GA335">
        <v>14.324166095791831</v>
      </c>
      <c r="GB335">
        <v>12.460394778577051</v>
      </c>
      <c r="GC335">
        <v>4.218002235693894</v>
      </c>
      <c r="GD335">
        <v>0.75822749293182889</v>
      </c>
      <c r="GE335">
        <v>0.35947809610506914</v>
      </c>
      <c r="GF335">
        <v>0</v>
      </c>
      <c r="GG335">
        <v>3.3977840412454787</v>
      </c>
      <c r="GH335">
        <v>3.245920257062465</v>
      </c>
      <c r="GI335">
        <v>12.967873754047623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7.7299019607843125</v>
      </c>
      <c r="AO336">
        <v>20.295244414490206</v>
      </c>
      <c r="AP336">
        <v>444.51382049103154</v>
      </c>
      <c r="AQ336">
        <v>36.506383316105961</v>
      </c>
      <c r="AR336">
        <v>18.518182739192682</v>
      </c>
      <c r="AS336">
        <v>96.560464779262958</v>
      </c>
      <c r="AT336" t="e">
        <v>#DIV/0!</v>
      </c>
      <c r="AU336" t="e">
        <v>#DIV/0!</v>
      </c>
      <c r="AV336"/>
      <c r="AW336"/>
      <c r="FY336" s="212">
        <v>331</v>
      </c>
      <c r="FZ336">
        <v>0.91155005935855693</v>
      </c>
      <c r="GA336">
        <v>9.962441587459832</v>
      </c>
      <c r="GB336">
        <v>13.485366784350449</v>
      </c>
      <c r="GC336">
        <v>4.9121017050230371</v>
      </c>
      <c r="GD336">
        <v>0.16945042321627168</v>
      </c>
      <c r="GE336">
        <v>0</v>
      </c>
      <c r="GF336">
        <v>0.80138167652982462</v>
      </c>
      <c r="GG336">
        <v>3.3224941306074438</v>
      </c>
      <c r="GH336">
        <v>0</v>
      </c>
      <c r="GI336">
        <v>6.1825339251597651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10.338235294117647</v>
      </c>
      <c r="AO337">
        <v>36.818905284350606</v>
      </c>
      <c r="AP337">
        <v>824.37387171783871</v>
      </c>
      <c r="AQ337">
        <v>55.359456355055897</v>
      </c>
      <c r="AR337">
        <v>33.505712348783156</v>
      </c>
      <c r="AS337">
        <v>242.01316509772104</v>
      </c>
      <c r="AT337" t="e">
        <v>#DIV/0!</v>
      </c>
      <c r="AU337" t="e">
        <v>#DIV/0!</v>
      </c>
      <c r="AV337"/>
      <c r="AW337"/>
      <c r="FY337" s="212">
        <v>332</v>
      </c>
      <c r="FZ337">
        <v>0.74064316864268975</v>
      </c>
      <c r="GA337">
        <v>17.29009252454361</v>
      </c>
      <c r="GB337">
        <v>14.461362407962127</v>
      </c>
      <c r="GC337">
        <v>4.9955227896425676</v>
      </c>
      <c r="GD337">
        <v>1.3725128399115567</v>
      </c>
      <c r="GE337">
        <v>0.35947809610506914</v>
      </c>
      <c r="GF337">
        <v>1.6027633530596492</v>
      </c>
      <c r="GG337">
        <v>6.6449882612148876</v>
      </c>
      <c r="GH337">
        <v>0</v>
      </c>
      <c r="GI337">
        <v>11.817461306051054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8.4374999999999982</v>
      </c>
      <c r="AO338">
        <v>48.424348322605702</v>
      </c>
      <c r="AP338">
        <v>701.51212568025028</v>
      </c>
      <c r="AQ338">
        <v>51.870566826249075</v>
      </c>
      <c r="AR338">
        <v>44.056115110833247</v>
      </c>
      <c r="AS338">
        <v>227.43195281827386</v>
      </c>
      <c r="AT338" t="e">
        <v>#DIV/0!</v>
      </c>
      <c r="AU338" t="e">
        <v>#DIV/0!</v>
      </c>
      <c r="AV338"/>
      <c r="AW338"/>
      <c r="FY338" s="212">
        <v>333</v>
      </c>
      <c r="FZ338">
        <v>1.10256564173008</v>
      </c>
      <c r="GA338">
        <v>26.651945971480949</v>
      </c>
      <c r="GB338">
        <v>15.239414338315589</v>
      </c>
      <c r="GC338">
        <v>2.8435608241342347</v>
      </c>
      <c r="GD338">
        <v>0.70181932472284325</v>
      </c>
      <c r="GE338">
        <v>0</v>
      </c>
      <c r="GF338">
        <v>0.80138167652982462</v>
      </c>
      <c r="GG338">
        <v>3.3224941306074438</v>
      </c>
      <c r="GH338">
        <v>0</v>
      </c>
      <c r="GI338">
        <v>10.321786794389137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12.056985294117647</v>
      </c>
      <c r="AO339">
        <v>37.829170804097018</v>
      </c>
      <c r="AP339">
        <v>497.76387270124218</v>
      </c>
      <c r="AQ339">
        <v>64.531576296787236</v>
      </c>
      <c r="AR339">
        <v>34.424135548552627</v>
      </c>
      <c r="AS339">
        <v>330.96375495316624</v>
      </c>
      <c r="AT339" t="e">
        <v>#DIV/0!</v>
      </c>
      <c r="AU339" t="e">
        <v>#DIV/0!</v>
      </c>
      <c r="AV339"/>
      <c r="AW339"/>
      <c r="FY339" s="212">
        <v>334</v>
      </c>
      <c r="FZ339">
        <v>1.10256564173008</v>
      </c>
      <c r="GA339">
        <v>10.720557908210974</v>
      </c>
      <c r="GB339">
        <v>18.709812410172024</v>
      </c>
      <c r="GC339">
        <v>7.4384293020024845</v>
      </c>
      <c r="GD339">
        <v>0.83977204486871804</v>
      </c>
      <c r="GE339">
        <v>0.71895619221013829</v>
      </c>
      <c r="GF339">
        <v>0.80138167652982462</v>
      </c>
      <c r="GG339">
        <v>3.3224941306074438</v>
      </c>
      <c r="GH339">
        <v>0</v>
      </c>
      <c r="GI339">
        <v>13.152687580681922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9.9577205882352935</v>
      </c>
      <c r="AO340">
        <v>35.041803605076886</v>
      </c>
      <c r="AP340">
        <v>998.29747854403263</v>
      </c>
      <c r="AQ340">
        <v>30.508719488518224</v>
      </c>
      <c r="AR340">
        <v>31.890165367625247</v>
      </c>
      <c r="AS340">
        <v>232.53653318927724</v>
      </c>
      <c r="AT340" t="e">
        <v>#DIV/0!</v>
      </c>
      <c r="AU340" t="e">
        <v>#DIV/0!</v>
      </c>
      <c r="AV340"/>
      <c r="AW340"/>
      <c r="FY340" s="212">
        <v>335</v>
      </c>
      <c r="FZ340">
        <v>2.3559294825203718</v>
      </c>
      <c r="GA340">
        <v>19.175488823373215</v>
      </c>
      <c r="GB340">
        <v>13.47336738001284</v>
      </c>
      <c r="GC340">
        <v>4.7363058066082475</v>
      </c>
      <c r="GD340">
        <v>1.6989614284486447</v>
      </c>
      <c r="GE340">
        <v>0.35947809610506914</v>
      </c>
      <c r="GF340">
        <v>0</v>
      </c>
      <c r="GG340">
        <v>2.241404528613784</v>
      </c>
      <c r="GH340">
        <v>3.245920257062465</v>
      </c>
      <c r="GI340">
        <v>8.3534777500858954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11.096262254901962</v>
      </c>
      <c r="AO341">
        <v>22.212257648309794</v>
      </c>
      <c r="AP341">
        <v>353.18382222804649</v>
      </c>
      <c r="AQ341">
        <v>55.920548208246927</v>
      </c>
      <c r="AR341">
        <v>20.192961498463447</v>
      </c>
      <c r="AS341">
        <v>127.31537555280781</v>
      </c>
      <c r="AT341" t="e">
        <v>#DIV/0!</v>
      </c>
      <c r="AU341" t="e">
        <v>#DIV/0!</v>
      </c>
      <c r="AV341"/>
      <c r="AW341"/>
      <c r="FY341" s="212">
        <v>336</v>
      </c>
      <c r="FZ341">
        <v>1.4812863372853795</v>
      </c>
      <c r="GA341">
        <v>16.272815395266363</v>
      </c>
      <c r="GB341">
        <v>11.329299848608903</v>
      </c>
      <c r="GC341">
        <v>4.7842335680120627</v>
      </c>
      <c r="GD341">
        <v>2.2141770953525279</v>
      </c>
      <c r="GE341">
        <v>0.71895619221013829</v>
      </c>
      <c r="GF341">
        <v>1.6027633530596492</v>
      </c>
      <c r="GG341">
        <v>7.4765956473638564</v>
      </c>
      <c r="GH341">
        <v>1.6229601285312325</v>
      </c>
      <c r="GI341">
        <v>9.9288679867126355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11.868443627450979</v>
      </c>
      <c r="AO342">
        <v>50.94537790781915</v>
      </c>
      <c r="AP342">
        <v>1021.0715246772686</v>
      </c>
      <c r="AQ342">
        <v>60.39454593447617</v>
      </c>
      <c r="AR342">
        <v>46.313979916199223</v>
      </c>
      <c r="AS342">
        <v>216.83940123450239</v>
      </c>
      <c r="AT342" t="e">
        <v>#DIV/0!</v>
      </c>
      <c r="AU342" t="e">
        <v>#DIV/0!</v>
      </c>
      <c r="AV342"/>
      <c r="AW342"/>
      <c r="FY342" s="212">
        <v>337</v>
      </c>
      <c r="FZ342">
        <v>0</v>
      </c>
      <c r="GA342">
        <v>16.801100367261025</v>
      </c>
      <c r="GB342">
        <v>14.105057116176043</v>
      </c>
      <c r="GC342">
        <v>5.5322015498077626</v>
      </c>
      <c r="GD342">
        <v>1.6223675829879707</v>
      </c>
      <c r="GE342">
        <v>0</v>
      </c>
      <c r="GF342">
        <v>0.80138167652982462</v>
      </c>
      <c r="GG342">
        <v>4.7322912730722599</v>
      </c>
      <c r="GH342">
        <v>1.6229601285312325</v>
      </c>
      <c r="GI342">
        <v>12.369615963808629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10.981678921568626</v>
      </c>
      <c r="AO343">
        <v>33.83653885612955</v>
      </c>
      <c r="AP343">
        <v>638.98784519430023</v>
      </c>
      <c r="AQ343">
        <v>41.903313315467656</v>
      </c>
      <c r="AR343">
        <v>30.82845041341027</v>
      </c>
      <c r="AS343">
        <v>200.64117509978246</v>
      </c>
      <c r="AT343" t="e">
        <v>#DIV/0!</v>
      </c>
      <c r="AU343" t="e">
        <v>#DIV/0!</v>
      </c>
      <c r="AV343"/>
      <c r="AW343"/>
      <c r="FY343" s="212">
        <v>338</v>
      </c>
      <c r="FZ343">
        <v>1.4443794231618146</v>
      </c>
      <c r="GA343">
        <v>26.048880477065516</v>
      </c>
      <c r="GB343">
        <v>20.80747344596486</v>
      </c>
      <c r="GC343">
        <v>5.5406593087954894</v>
      </c>
      <c r="GD343">
        <v>0.71069898824735089</v>
      </c>
      <c r="GE343">
        <v>0</v>
      </c>
      <c r="GF343">
        <v>0</v>
      </c>
      <c r="GG343">
        <v>2.8195942849296314</v>
      </c>
      <c r="GH343">
        <v>3.245920257062465</v>
      </c>
      <c r="GI343">
        <v>9.1480710784358354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7.4038602941176466</v>
      </c>
      <c r="AO344">
        <v>29.304515568289283</v>
      </c>
      <c r="AP344">
        <v>397.50330309717668</v>
      </c>
      <c r="AQ344">
        <v>38.302846196491494</v>
      </c>
      <c r="AR344">
        <v>26.674448970545587</v>
      </c>
      <c r="AS344">
        <v>115.79836532391579</v>
      </c>
      <c r="AT344" t="e">
        <v>#DIV/0!</v>
      </c>
      <c r="AU344" t="e">
        <v>#DIV/0!</v>
      </c>
      <c r="AV344"/>
      <c r="AW344"/>
      <c r="FY344" s="212">
        <v>339</v>
      </c>
      <c r="FZ344">
        <v>1.065658727606515</v>
      </c>
      <c r="GA344">
        <v>5.0171777136654168</v>
      </c>
      <c r="GB344">
        <v>7.3012079756095263</v>
      </c>
      <c r="GC344">
        <v>4.1693205036835872</v>
      </c>
      <c r="GD344">
        <v>1.1395616016688492</v>
      </c>
      <c r="GE344">
        <v>0</v>
      </c>
      <c r="GF344">
        <v>0.80138167652982462</v>
      </c>
      <c r="GG344">
        <v>5.5638986592212287</v>
      </c>
      <c r="GH344">
        <v>3.245920257062465</v>
      </c>
      <c r="GI344">
        <v>10.812036574808703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12.47751225490196</v>
      </c>
      <c r="AO345">
        <v>35.681620361209646</v>
      </c>
      <c r="AP345">
        <v>747.68503268090717</v>
      </c>
      <c r="AQ345">
        <v>75.633680027337917</v>
      </c>
      <c r="AR345">
        <v>32.471816964109557</v>
      </c>
      <c r="AS345">
        <v>169.57549372692134</v>
      </c>
      <c r="AT345" t="e">
        <v>#DIV/0!</v>
      </c>
      <c r="AU345" t="e">
        <v>#DIV/0!</v>
      </c>
      <c r="AV345"/>
      <c r="AW345"/>
      <c r="FY345" s="212">
        <v>340</v>
      </c>
      <c r="FZ345">
        <v>2.3760381741760268</v>
      </c>
      <c r="GA345">
        <v>17.649804599755253</v>
      </c>
      <c r="GB345">
        <v>15.271566862069848</v>
      </c>
      <c r="GC345">
        <v>4.8071568621140726</v>
      </c>
      <c r="GD345">
        <v>0.86085423651969883</v>
      </c>
      <c r="GE345">
        <v>0.35947809610506914</v>
      </c>
      <c r="GF345">
        <v>0.80138167652982462</v>
      </c>
      <c r="GG345">
        <v>5.8173162890543502</v>
      </c>
      <c r="GH345">
        <v>4.8688803855936991</v>
      </c>
      <c r="GI345">
        <v>10.742643762517488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11.015318627450981</v>
      </c>
      <c r="AO346">
        <v>39.618172746796091</v>
      </c>
      <c r="AP346">
        <v>901.2568497923744</v>
      </c>
      <c r="AQ346">
        <v>53.005319283901194</v>
      </c>
      <c r="AR346">
        <v>36.050500951006327</v>
      </c>
      <c r="AS346">
        <v>270.11401139715474</v>
      </c>
      <c r="AT346" t="e">
        <v>#DIV/0!</v>
      </c>
      <c r="AU346" t="e">
        <v>#DIV/0!</v>
      </c>
      <c r="AV346"/>
      <c r="AW346"/>
      <c r="FY346" s="212">
        <v>341</v>
      </c>
      <c r="FZ346">
        <v>0.53282936380325752</v>
      </c>
      <c r="GA346">
        <v>24.55053047396245</v>
      </c>
      <c r="GB346">
        <v>20.435339300274865</v>
      </c>
      <c r="GC346">
        <v>6.2175783073966224</v>
      </c>
      <c r="GD346">
        <v>1.2293450445914633</v>
      </c>
      <c r="GE346">
        <v>0.35947809610506914</v>
      </c>
      <c r="GF346">
        <v>0</v>
      </c>
      <c r="GG346">
        <v>1.4097971424648157</v>
      </c>
      <c r="GH346">
        <v>1.6229601285312325</v>
      </c>
      <c r="GI346">
        <v>9.8581388377206025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8.0288602941176475</v>
      </c>
      <c r="AO347">
        <v>22.289012959274849</v>
      </c>
      <c r="AP347">
        <v>553.0919773645536</v>
      </c>
      <c r="AQ347">
        <v>39.747320291705179</v>
      </c>
      <c r="AR347">
        <v>20.262739053886229</v>
      </c>
      <c r="AS347">
        <v>124.37650716672408</v>
      </c>
      <c r="AT347" t="e">
        <v>#DIV/0!</v>
      </c>
      <c r="AU347" t="e">
        <v>#DIV/0!</v>
      </c>
      <c r="AV347"/>
      <c r="AW347"/>
      <c r="FY347" s="212">
        <v>342</v>
      </c>
      <c r="FZ347">
        <v>0.72384494617478023</v>
      </c>
      <c r="GA347">
        <v>30.836894033919883</v>
      </c>
      <c r="GB347">
        <v>19.410814171725761</v>
      </c>
      <c r="GC347">
        <v>3.3443241798487606</v>
      </c>
      <c r="GD347">
        <v>0.42134191276872479</v>
      </c>
      <c r="GE347">
        <v>0</v>
      </c>
      <c r="GF347">
        <v>0.80138167652982462</v>
      </c>
      <c r="GG347">
        <v>3.3224941306074438</v>
      </c>
      <c r="GH347">
        <v>0</v>
      </c>
      <c r="GI347">
        <v>10.519368715680582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10.24031862745098</v>
      </c>
      <c r="AO348">
        <v>41.105666340878457</v>
      </c>
      <c r="AP348">
        <v>1012.3924254055185</v>
      </c>
      <c r="AQ348">
        <v>59.284824747133214</v>
      </c>
      <c r="AR348">
        <v>37.368787582616775</v>
      </c>
      <c r="AS348">
        <v>197.81884690638668</v>
      </c>
      <c r="AT348" t="e">
        <v>#DIV/0!</v>
      </c>
      <c r="AU348" t="e">
        <v>#DIV/0!</v>
      </c>
      <c r="AV348"/>
      <c r="AW348"/>
      <c r="FY348" s="212">
        <v>343</v>
      </c>
      <c r="FZ348">
        <v>0.74064316864268975</v>
      </c>
      <c r="GA348">
        <v>16.825110615110127</v>
      </c>
      <c r="GB348">
        <v>15.418746225313839</v>
      </c>
      <c r="GC348">
        <v>4.6449899153056862</v>
      </c>
      <c r="GD348">
        <v>1.0464406552152479</v>
      </c>
      <c r="GE348">
        <v>1.0784342883152076</v>
      </c>
      <c r="GF348">
        <v>2.4041450295894737</v>
      </c>
      <c r="GG348">
        <v>9.0645205090237582</v>
      </c>
      <c r="GH348">
        <v>1.6229601285312325</v>
      </c>
      <c r="GI348">
        <v>11.788056140393261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10.36219362745098</v>
      </c>
      <c r="AO349">
        <v>24.669812618370976</v>
      </c>
      <c r="AP349">
        <v>541.70337178954787</v>
      </c>
      <c r="AQ349">
        <v>60.984968701910105</v>
      </c>
      <c r="AR349">
        <v>22.461082652438044</v>
      </c>
      <c r="AS349">
        <v>136.81056308714247</v>
      </c>
      <c r="AT349" t="e">
        <v>#DIV/0!</v>
      </c>
      <c r="AU349" t="e">
        <v>#DIV/0!</v>
      </c>
      <c r="AV349"/>
      <c r="AW349"/>
      <c r="FY349" s="212">
        <v>344</v>
      </c>
      <c r="FZ349">
        <v>2.0141157010886364</v>
      </c>
      <c r="GA349">
        <v>19.79499703088192</v>
      </c>
      <c r="GB349">
        <v>16.292807786395908</v>
      </c>
      <c r="GC349">
        <v>4.7993055885675826</v>
      </c>
      <c r="GD349">
        <v>0.86784168947195328</v>
      </c>
      <c r="GE349">
        <v>0.71895619221013829</v>
      </c>
      <c r="GF349">
        <v>0</v>
      </c>
      <c r="GG349">
        <v>2.4948221584469064</v>
      </c>
      <c r="GH349">
        <v>4.8688803855936991</v>
      </c>
      <c r="GI349">
        <v>10.978325761209671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11.799693627450981</v>
      </c>
      <c r="AO350">
        <v>36.036547749510582</v>
      </c>
      <c r="AP350">
        <v>521.67673676214531</v>
      </c>
      <c r="AQ350">
        <v>56.806656887013602</v>
      </c>
      <c r="AR350">
        <v>32.794478226201328</v>
      </c>
      <c r="AS350">
        <v>207.67659925530515</v>
      </c>
      <c r="AT350" t="e">
        <v>#DIV/0!</v>
      </c>
      <c r="AU350" t="e">
        <v>#DIV/0!</v>
      </c>
      <c r="AV350"/>
      <c r="AW350"/>
      <c r="FY350" s="212">
        <v>345</v>
      </c>
      <c r="FZ350">
        <v>0.53282936380325752</v>
      </c>
      <c r="GA350">
        <v>11.303541273622843</v>
      </c>
      <c r="GB350">
        <v>11.220825999248971</v>
      </c>
      <c r="GC350">
        <v>4.6481288608130829</v>
      </c>
      <c r="GD350">
        <v>1.2699912901888832</v>
      </c>
      <c r="GE350">
        <v>0</v>
      </c>
      <c r="GF350">
        <v>0.80138167652982462</v>
      </c>
      <c r="GG350">
        <v>4.4788736432391385</v>
      </c>
      <c r="GH350">
        <v>0</v>
      </c>
      <c r="GI350">
        <v>7.2700023960376043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11.572303921568626</v>
      </c>
      <c r="AO351">
        <v>27.001183722390397</v>
      </c>
      <c r="AP351">
        <v>409.03224517985092</v>
      </c>
      <c r="AQ351">
        <v>55.64033355283054</v>
      </c>
      <c r="AR351">
        <v>24.580510928819336</v>
      </c>
      <c r="AS351">
        <v>144.8046886160966</v>
      </c>
      <c r="AT351" t="e">
        <v>#DIV/0!</v>
      </c>
      <c r="AU351" t="e">
        <v>#DIV/0!</v>
      </c>
      <c r="AV351"/>
      <c r="AW351"/>
      <c r="FY351" s="212">
        <v>346</v>
      </c>
      <c r="FZ351">
        <v>1.10256564173008</v>
      </c>
      <c r="GA351">
        <v>9.6797892453781209</v>
      </c>
      <c r="GB351">
        <v>10.258864637609017</v>
      </c>
      <c r="GC351">
        <v>4.2144331048173163</v>
      </c>
      <c r="GD351">
        <v>0.85729717300767361</v>
      </c>
      <c r="GE351">
        <v>0</v>
      </c>
      <c r="GF351">
        <v>0</v>
      </c>
      <c r="GG351">
        <v>0.83160738614896845</v>
      </c>
      <c r="GH351">
        <v>1.6229601285312325</v>
      </c>
      <c r="GI351">
        <v>6.9952673958911182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11.495220588235295</v>
      </c>
      <c r="AO352">
        <v>28.500379466264867</v>
      </c>
      <c r="AP352">
        <v>951.43547837390884</v>
      </c>
      <c r="AQ352">
        <v>57.431955552402741</v>
      </c>
      <c r="AR352">
        <v>25.909435878422606</v>
      </c>
      <c r="AS352">
        <v>140.77935066254884</v>
      </c>
      <c r="AT352" t="e">
        <v>#DIV/0!</v>
      </c>
      <c r="AU352" t="e">
        <v>#DIV/0!</v>
      </c>
      <c r="AV352"/>
      <c r="AW352"/>
      <c r="FY352" s="212">
        <v>347</v>
      </c>
      <c r="FZ352">
        <v>1.8432088103727695</v>
      </c>
      <c r="GA352">
        <v>10.402455438376473</v>
      </c>
      <c r="GB352">
        <v>17.715045614475816</v>
      </c>
      <c r="GC352">
        <v>7.1258254112973605</v>
      </c>
      <c r="GD352">
        <v>0.37042002970954052</v>
      </c>
      <c r="GE352">
        <v>0</v>
      </c>
      <c r="GF352">
        <v>0</v>
      </c>
      <c r="GG352">
        <v>0.57818975631584713</v>
      </c>
      <c r="GH352">
        <v>0</v>
      </c>
      <c r="GI352">
        <v>10.209116033036659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8.8989583333333311</v>
      </c>
      <c r="AO353">
        <v>32.25899218984636</v>
      </c>
      <c r="AP353">
        <v>1009.2973506533519</v>
      </c>
      <c r="AQ353">
        <v>57.586975658174751</v>
      </c>
      <c r="AR353">
        <v>29.326356536223965</v>
      </c>
      <c r="AS353">
        <v>194.04235519873927</v>
      </c>
      <c r="AT353" t="e">
        <v>#DIV/0!</v>
      </c>
      <c r="AU353" t="e">
        <v>#DIV/0!</v>
      </c>
      <c r="AV353"/>
      <c r="AW353"/>
      <c r="FY353" s="212">
        <v>348</v>
      </c>
      <c r="FZ353">
        <v>1.4812863372853795</v>
      </c>
      <c r="GA353">
        <v>26.352133662444285</v>
      </c>
      <c r="GB353">
        <v>18.220915705860293</v>
      </c>
      <c r="GC353">
        <v>4.0929006967148629</v>
      </c>
      <c r="GD353">
        <v>0.36139816125431401</v>
      </c>
      <c r="GE353">
        <v>0</v>
      </c>
      <c r="GF353">
        <v>0.80138167652982462</v>
      </c>
      <c r="GG353">
        <v>4.1541015167564126</v>
      </c>
      <c r="GH353">
        <v>1.6229601285312325</v>
      </c>
      <c r="GI353">
        <v>11.859744232805525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9.6715686274509789</v>
      </c>
      <c r="AO354">
        <v>30.219165214257242</v>
      </c>
      <c r="AP354">
        <v>615.99837920907908</v>
      </c>
      <c r="AQ354">
        <v>69.765677263662965</v>
      </c>
      <c r="AR354">
        <v>27.505948648698283</v>
      </c>
      <c r="AS354">
        <v>215.31302937240969</v>
      </c>
      <c r="AT354" t="e">
        <v>#DIV/0!</v>
      </c>
      <c r="AU354" t="e">
        <v>#DIV/0!</v>
      </c>
      <c r="AV354"/>
      <c r="AW354"/>
      <c r="FY354" s="212">
        <v>349</v>
      </c>
      <c r="FZ354">
        <v>2.20513128346016</v>
      </c>
      <c r="GA354">
        <v>17.95014104066799</v>
      </c>
      <c r="GB354">
        <v>16.876783909724736</v>
      </c>
      <c r="GC354">
        <v>5.1952017268712343</v>
      </c>
      <c r="GD354">
        <v>0.58203934653228517</v>
      </c>
      <c r="GE354">
        <v>0.35947809610506914</v>
      </c>
      <c r="GF354">
        <v>0</v>
      </c>
      <c r="GG354">
        <v>1.4097971424648157</v>
      </c>
      <c r="GH354">
        <v>1.6229601285312325</v>
      </c>
      <c r="GI354">
        <v>10.896217408321741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7.5343749999999989</v>
      </c>
      <c r="AO355">
        <v>29.815389632575922</v>
      </c>
      <c r="AP355">
        <v>762.71381530824374</v>
      </c>
      <c r="AQ355">
        <v>39.116163689856116</v>
      </c>
      <c r="AR355">
        <v>27.172860210179696</v>
      </c>
      <c r="AS355">
        <v>166.83789239161291</v>
      </c>
      <c r="AT355" t="e">
        <v>#DIV/0!</v>
      </c>
      <c r="AU355" t="e">
        <v>#DIV/0!</v>
      </c>
      <c r="AV355"/>
      <c r="AW355"/>
      <c r="FY355" s="212">
        <v>350</v>
      </c>
      <c r="FZ355">
        <v>1.0824569500744243</v>
      </c>
      <c r="GA355">
        <v>21.437039219924475</v>
      </c>
      <c r="GB355">
        <v>17.371578354221093</v>
      </c>
      <c r="GC355">
        <v>5.6101264163263131</v>
      </c>
      <c r="GD355">
        <v>1.1548931394720245</v>
      </c>
      <c r="GE355">
        <v>0</v>
      </c>
      <c r="GF355">
        <v>0</v>
      </c>
      <c r="GG355">
        <v>1.9879868987806626</v>
      </c>
      <c r="GH355">
        <v>1.6229601285312325</v>
      </c>
      <c r="GI355">
        <v>7.7636981679623718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12.127512254901958</v>
      </c>
      <c r="AO356">
        <v>28.217817938355317</v>
      </c>
      <c r="AP356">
        <v>550.74144765199298</v>
      </c>
      <c r="AQ356">
        <v>63.55512094443533</v>
      </c>
      <c r="AR356">
        <v>25.720522306342776</v>
      </c>
      <c r="AS356">
        <v>149.53501419823394</v>
      </c>
      <c r="AT356" t="e">
        <v>#DIV/0!</v>
      </c>
      <c r="AU356" t="e">
        <v>#DIV/0!</v>
      </c>
      <c r="AV356"/>
      <c r="AW356"/>
      <c r="FY356" s="212">
        <v>351</v>
      </c>
      <c r="FZ356">
        <v>2.3760381741760268</v>
      </c>
      <c r="GA356">
        <v>15.586038720593885</v>
      </c>
      <c r="GB356">
        <v>7.5703519206545806</v>
      </c>
      <c r="GC356">
        <v>1.548350643268344</v>
      </c>
      <c r="GD356">
        <v>0.71768644119960523</v>
      </c>
      <c r="GE356">
        <v>0.35947809610506914</v>
      </c>
      <c r="GF356">
        <v>0.80138167652982462</v>
      </c>
      <c r="GG356">
        <v>5.5638986592212287</v>
      </c>
      <c r="GH356">
        <v>3.245920257062465</v>
      </c>
      <c r="GI356">
        <v>7.706652068565127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8.3229166666666661</v>
      </c>
      <c r="AO357">
        <v>22.065679379607062</v>
      </c>
      <c r="AP357">
        <v>337.68095160037194</v>
      </c>
      <c r="AQ357">
        <v>66.215996694850389</v>
      </c>
      <c r="AR357">
        <v>20.093688799016299</v>
      </c>
      <c r="AS357">
        <v>176.5080091829584</v>
      </c>
      <c r="AT357" t="e">
        <v>#DIV/0!</v>
      </c>
      <c r="AU357" t="e">
        <v>#DIV/0!</v>
      </c>
      <c r="AV357"/>
      <c r="AW357"/>
      <c r="FY357" s="212">
        <v>352</v>
      </c>
      <c r="FZ357">
        <v>0.91155005935855693</v>
      </c>
      <c r="GA357">
        <v>25.42596286500477</v>
      </c>
      <c r="GB357">
        <v>23.559960532222078</v>
      </c>
      <c r="GC357">
        <v>6.9077967589642153</v>
      </c>
      <c r="GD357">
        <v>1.1098147961698877</v>
      </c>
      <c r="GE357">
        <v>1.0784342883152076</v>
      </c>
      <c r="GF357">
        <v>0.80138167652982462</v>
      </c>
      <c r="GG357">
        <v>2.7443043742915965</v>
      </c>
      <c r="GH357">
        <v>0</v>
      </c>
      <c r="GI357">
        <v>11.207299402242647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7.7218749999999998</v>
      </c>
      <c r="AO358">
        <v>36.92285367837637</v>
      </c>
      <c r="AP358">
        <v>1046.0680924697408</v>
      </c>
      <c r="AQ358">
        <v>69.380463767255762</v>
      </c>
      <c r="AR358">
        <v>33.634191160907385</v>
      </c>
      <c r="AS358">
        <v>161.84085838301337</v>
      </c>
      <c r="AT358" t="e">
        <v>#DIV/0!</v>
      </c>
      <c r="AU358" t="e">
        <v>#DIV/0!</v>
      </c>
      <c r="AV358"/>
      <c r="AW358"/>
      <c r="FY358" s="212">
        <v>353</v>
      </c>
      <c r="FZ358">
        <v>0.91155005935855693</v>
      </c>
      <c r="GA358">
        <v>10.286264144345598</v>
      </c>
      <c r="GB358">
        <v>15.835136587206522</v>
      </c>
      <c r="GC358">
        <v>6.5563653105187472</v>
      </c>
      <c r="GD358">
        <v>0.82719311290146613</v>
      </c>
      <c r="GE358">
        <v>0.35947809610506914</v>
      </c>
      <c r="GF358">
        <v>1.6027633530596492</v>
      </c>
      <c r="GG358">
        <v>6.8984058910480091</v>
      </c>
      <c r="GH358">
        <v>1.6229601285312325</v>
      </c>
      <c r="GI358">
        <v>11.859379353129121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10.285110294117647</v>
      </c>
      <c r="AO359">
        <v>37.804750509308938</v>
      </c>
      <c r="AP359">
        <v>706.96736261878209</v>
      </c>
      <c r="AQ359">
        <v>64.63404667544053</v>
      </c>
      <c r="AR359">
        <v>34.367955008462673</v>
      </c>
      <c r="AS359">
        <v>173.58524470947148</v>
      </c>
      <c r="AT359" t="e">
        <v>#DIV/0!</v>
      </c>
      <c r="AU359" t="e">
        <v>#DIV/0!</v>
      </c>
      <c r="AV359"/>
      <c r="AW359"/>
      <c r="FY359" s="212">
        <v>354</v>
      </c>
      <c r="FZ359">
        <v>0.3418137814317348</v>
      </c>
      <c r="GA359">
        <v>10.482807275997732</v>
      </c>
      <c r="GB359">
        <v>6.3694481226870536</v>
      </c>
      <c r="GC359">
        <v>3.2428550585488702</v>
      </c>
      <c r="GD359">
        <v>1.9227832733978625</v>
      </c>
      <c r="GE359">
        <v>0.35947809610506914</v>
      </c>
      <c r="GF359">
        <v>0.80138167652982462</v>
      </c>
      <c r="GG359">
        <v>3.5759117604405652</v>
      </c>
      <c r="GH359">
        <v>1.6229601285312325</v>
      </c>
      <c r="GI359">
        <v>8.5402457243683969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12.707720588235292</v>
      </c>
      <c r="AO360">
        <v>28.308675249431843</v>
      </c>
      <c r="AP360">
        <v>279.89454470621541</v>
      </c>
      <c r="AQ360">
        <v>62.830052293866416</v>
      </c>
      <c r="AR360">
        <v>25.769139589766102</v>
      </c>
      <c r="AS360">
        <v>145.29557677427752</v>
      </c>
      <c r="AT360" t="e">
        <v>#DIV/0!</v>
      </c>
      <c r="AU360" t="e">
        <v>#DIV/0!</v>
      </c>
      <c r="AV360"/>
      <c r="AW360"/>
      <c r="FY360" s="212">
        <v>355</v>
      </c>
      <c r="FZ360">
        <v>2.7379606472634173</v>
      </c>
      <c r="GA360">
        <v>14.095693432833832</v>
      </c>
      <c r="GB360">
        <v>12.689573862551121</v>
      </c>
      <c r="GC360">
        <v>4.6218666438857703</v>
      </c>
      <c r="GD360">
        <v>0.93805874747506113</v>
      </c>
      <c r="GE360">
        <v>0.35947809610506914</v>
      </c>
      <c r="GF360">
        <v>0.80138167652982462</v>
      </c>
      <c r="GG360">
        <v>4.407519146589534</v>
      </c>
      <c r="GH360">
        <v>3.245920257062465</v>
      </c>
      <c r="GI360">
        <v>6.2391478823119755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5.8468749999999989</v>
      </c>
      <c r="AO361">
        <v>21.968383060982489</v>
      </c>
      <c r="AP361">
        <v>907.73151934460248</v>
      </c>
      <c r="AQ361">
        <v>41.525574503483604</v>
      </c>
      <c r="AR361">
        <v>20.005237600266693</v>
      </c>
      <c r="AS361">
        <v>165.94608561398931</v>
      </c>
      <c r="AT361" t="e">
        <v>#DIV/0!</v>
      </c>
      <c r="AU361" t="e">
        <v>#DIV/0!</v>
      </c>
      <c r="AV361"/>
      <c r="AW361"/>
      <c r="FY361" s="212">
        <v>356</v>
      </c>
      <c r="FZ361">
        <v>1.10256564173008</v>
      </c>
      <c r="GA361">
        <v>20.970932534230691</v>
      </c>
      <c r="GB361">
        <v>12.814189910049109</v>
      </c>
      <c r="GC361">
        <v>3.7427848155894554</v>
      </c>
      <c r="GD361">
        <v>1.6948902664696335</v>
      </c>
      <c r="GE361">
        <v>0.35947809610506914</v>
      </c>
      <c r="GF361">
        <v>0</v>
      </c>
      <c r="GG361">
        <v>0.83160738614896845</v>
      </c>
      <c r="GH361">
        <v>1.6229601285312325</v>
      </c>
      <c r="GI361">
        <v>8.5738724693599764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8.181985294117645</v>
      </c>
      <c r="AO362">
        <v>28.318746719187907</v>
      </c>
      <c r="AP362">
        <v>251.75269698374376</v>
      </c>
      <c r="AQ362">
        <v>35.56278471311353</v>
      </c>
      <c r="AR362">
        <v>25.778295471362522</v>
      </c>
      <c r="AS362">
        <v>149.35761993956868</v>
      </c>
      <c r="AT362" t="e">
        <v>#DIV/0!</v>
      </c>
      <c r="AU362" t="e">
        <v>#DIV/0!</v>
      </c>
      <c r="AV362"/>
      <c r="AW362"/>
      <c r="FY362" s="212">
        <v>357</v>
      </c>
      <c r="FZ362">
        <v>0.74064316864268975</v>
      </c>
      <c r="GA362">
        <v>16.401571345461225</v>
      </c>
      <c r="GB362">
        <v>10.847883947332315</v>
      </c>
      <c r="GC362">
        <v>3.8589641367558634</v>
      </c>
      <c r="GD362">
        <v>1.4074624126287834</v>
      </c>
      <c r="GE362">
        <v>0.35947809610506914</v>
      </c>
      <c r="GF362">
        <v>0</v>
      </c>
      <c r="GG362">
        <v>2.8195942849296314</v>
      </c>
      <c r="GH362">
        <v>3.245920257062465</v>
      </c>
      <c r="GI362">
        <v>15.398079900839488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12.999387254901961</v>
      </c>
      <c r="AO363">
        <v>24.125177024162205</v>
      </c>
      <c r="AP363">
        <v>375.99415504713545</v>
      </c>
      <c r="AQ363">
        <v>48.244261093584463</v>
      </c>
      <c r="AR363">
        <v>21.965959384975523</v>
      </c>
      <c r="AS363">
        <v>219.19004310378213</v>
      </c>
      <c r="AT363" t="e">
        <v>#DIV/0!</v>
      </c>
      <c r="AU363" t="e">
        <v>#DIV/0!</v>
      </c>
      <c r="AV363"/>
      <c r="AW363"/>
      <c r="FY363" s="212">
        <v>358</v>
      </c>
      <c r="FZ363">
        <v>0.91155005935855693</v>
      </c>
      <c r="GA363">
        <v>23.065386558960164</v>
      </c>
      <c r="GB363">
        <v>11.879914184979885</v>
      </c>
      <c r="GC363">
        <v>1.8308496879734106</v>
      </c>
      <c r="GD363">
        <v>0.84509464488120034</v>
      </c>
      <c r="GE363">
        <v>0.35947809610506914</v>
      </c>
      <c r="GF363">
        <v>0.80138167652982462</v>
      </c>
      <c r="GG363">
        <v>4.9857089029053814</v>
      </c>
      <c r="GH363">
        <v>3.245920257062465</v>
      </c>
      <c r="GI363">
        <v>6.5784969479711277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13.252512254901958</v>
      </c>
      <c r="AO364">
        <v>35.678447557899268</v>
      </c>
      <c r="AP364">
        <v>648.88937264719675</v>
      </c>
      <c r="AQ364">
        <v>68.946822118182126</v>
      </c>
      <c r="AR364">
        <v>32.434952325362971</v>
      </c>
      <c r="AS364">
        <v>166.08966270639891</v>
      </c>
      <c r="AT364" t="e">
        <v>#DIV/0!</v>
      </c>
      <c r="AU364" t="e">
        <v>#DIV/0!</v>
      </c>
      <c r="AV364"/>
      <c r="AW364"/>
      <c r="FY364" s="212">
        <v>359</v>
      </c>
      <c r="FZ364">
        <v>1.4443794231618146</v>
      </c>
      <c r="GA364">
        <v>18.734868910489773</v>
      </c>
      <c r="GB364">
        <v>16.269805429072765</v>
      </c>
      <c r="GC364">
        <v>5.4418179788129137</v>
      </c>
      <c r="GD364">
        <v>1.0019661361302201</v>
      </c>
      <c r="GE364">
        <v>0</v>
      </c>
      <c r="GF364">
        <v>0.80138167652982462</v>
      </c>
      <c r="GG364">
        <v>3.5759117604405652</v>
      </c>
      <c r="GH364">
        <v>1.6229601285312325</v>
      </c>
      <c r="GI364">
        <v>7.1885535873086113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12.676470588235293</v>
      </c>
      <c r="AO365">
        <v>33.372509375144304</v>
      </c>
      <c r="AP365">
        <v>409.45531750955774</v>
      </c>
      <c r="AQ365">
        <v>57.097750082679262</v>
      </c>
      <c r="AR365">
        <v>30.406605430696402</v>
      </c>
      <c r="AS365">
        <v>174.44727478928291</v>
      </c>
      <c r="AT365" t="e">
        <v>#DIV/0!</v>
      </c>
      <c r="AU365" t="e">
        <v>#DIV/0!</v>
      </c>
      <c r="AV365"/>
      <c r="AW365"/>
      <c r="FY365" s="212">
        <v>360</v>
      </c>
      <c r="FZ365">
        <v>1.10256564173008</v>
      </c>
      <c r="GA365">
        <v>16.015131111701489</v>
      </c>
      <c r="GB365">
        <v>10.518893751013021</v>
      </c>
      <c r="GC365">
        <v>3.5400737021971374</v>
      </c>
      <c r="GD365">
        <v>1.7115403604158965</v>
      </c>
      <c r="GE365">
        <v>0.71895619221013829</v>
      </c>
      <c r="GF365">
        <v>0.80138167652982462</v>
      </c>
      <c r="GG365">
        <v>2.7443043742915965</v>
      </c>
      <c r="GH365">
        <v>0</v>
      </c>
      <c r="GI365">
        <v>7.2890555507129031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9.9736519607843128</v>
      </c>
      <c r="AO366">
        <v>27.154617731399025</v>
      </c>
      <c r="AP366">
        <v>618.75567206622236</v>
      </c>
      <c r="AQ366">
        <v>58.030739275292589</v>
      </c>
      <c r="AR366">
        <v>24.686016119453658</v>
      </c>
      <c r="AS366">
        <v>128.08733947736275</v>
      </c>
      <c r="AT366" t="e">
        <v>#DIV/0!</v>
      </c>
      <c r="AU366" t="e">
        <v>#DIV/0!</v>
      </c>
      <c r="AV366"/>
      <c r="AW366"/>
      <c r="FY366" s="212">
        <v>361</v>
      </c>
      <c r="FZ366">
        <v>2.7178519556077618</v>
      </c>
      <c r="GA366">
        <v>7.8400180184445061</v>
      </c>
      <c r="GB366">
        <v>7.8778968943519985</v>
      </c>
      <c r="GC366">
        <v>4.0008470294854011</v>
      </c>
      <c r="GD366">
        <v>1.6937463532744259</v>
      </c>
      <c r="GE366">
        <v>1.0784342883152076</v>
      </c>
      <c r="GF366">
        <v>0.80138167652982462</v>
      </c>
      <c r="GG366">
        <v>4.1541015167564126</v>
      </c>
      <c r="GH366">
        <v>1.6229601285312325</v>
      </c>
      <c r="GI366">
        <v>6.9455847590902273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10.033762254901962</v>
      </c>
      <c r="AO367">
        <v>21.49081766176419</v>
      </c>
      <c r="AP367">
        <v>717.31155706383186</v>
      </c>
      <c r="AQ367">
        <v>45.475796657376151</v>
      </c>
      <c r="AR367">
        <v>19.60506750944176</v>
      </c>
      <c r="AS367">
        <v>104.76222776386943</v>
      </c>
      <c r="AT367" t="e">
        <v>#DIV/0!</v>
      </c>
      <c r="AU367" t="e">
        <v>#DIV/0!</v>
      </c>
      <c r="AV367"/>
      <c r="AW367"/>
      <c r="FY367" s="212">
        <v>362</v>
      </c>
      <c r="FZ367">
        <v>1.46448811481747</v>
      </c>
      <c r="GA367">
        <v>9.9134632810938914</v>
      </c>
      <c r="GB367">
        <v>10.979448246565658</v>
      </c>
      <c r="GC367">
        <v>5.643996438043974</v>
      </c>
      <c r="GD367">
        <v>2.1454612051518733</v>
      </c>
      <c r="GE367">
        <v>1.0784342883152076</v>
      </c>
      <c r="GF367">
        <v>0.80138167652982462</v>
      </c>
      <c r="GG367">
        <v>3.3224941306074438</v>
      </c>
      <c r="GH367">
        <v>0</v>
      </c>
      <c r="GI367">
        <v>10.081355763808601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11.716360294117646</v>
      </c>
      <c r="AO368">
        <v>28.150654612826436</v>
      </c>
      <c r="AP368">
        <v>383.14544901953872</v>
      </c>
      <c r="AQ368">
        <v>73.746504753098776</v>
      </c>
      <c r="AR368">
        <v>25.591504193478578</v>
      </c>
      <c r="AS368">
        <v>154.06800252461517</v>
      </c>
      <c r="AT368" t="e">
        <v>#DIV/0!</v>
      </c>
      <c r="AU368" t="e">
        <v>#DIV/0!</v>
      </c>
      <c r="AV368"/>
      <c r="AW368"/>
      <c r="FY368" s="212">
        <v>363</v>
      </c>
      <c r="FZ368">
        <v>0.89475183689064763</v>
      </c>
      <c r="GA368">
        <v>19.739748054996745</v>
      </c>
      <c r="GB368">
        <v>18.660669758785545</v>
      </c>
      <c r="GC368">
        <v>5.4253162464225229</v>
      </c>
      <c r="GD368">
        <v>0.80116021477427057</v>
      </c>
      <c r="GE368">
        <v>0.71895619221013829</v>
      </c>
      <c r="GF368">
        <v>2.4041450295894737</v>
      </c>
      <c r="GG368">
        <v>11.630697164120267</v>
      </c>
      <c r="GH368">
        <v>3.245920257062465</v>
      </c>
      <c r="GI368">
        <v>15.860805587627498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11.750735294117648</v>
      </c>
      <c r="AO369">
        <v>42.230021251562718</v>
      </c>
      <c r="AP369">
        <v>876.45626204233201</v>
      </c>
      <c r="AQ369">
        <v>56.759496036203977</v>
      </c>
      <c r="AR369">
        <v>38.390928410511556</v>
      </c>
      <c r="AS369">
        <v>191.17524638043793</v>
      </c>
      <c r="AT369" t="e">
        <v>#DIV/0!</v>
      </c>
      <c r="AU369" t="e">
        <v>#DIV/0!</v>
      </c>
      <c r="AV369"/>
      <c r="AW369"/>
      <c r="FY369" s="212">
        <v>364</v>
      </c>
      <c r="FZ369">
        <v>3.4786038159061068</v>
      </c>
      <c r="GA369">
        <v>20.74897109759798</v>
      </c>
      <c r="GB369">
        <v>11.569729452511284</v>
      </c>
      <c r="GC369">
        <v>4.2178924292046442</v>
      </c>
      <c r="GD369">
        <v>1.9724537184235762</v>
      </c>
      <c r="GE369">
        <v>0.71895619221013829</v>
      </c>
      <c r="GF369">
        <v>1.6027633530596492</v>
      </c>
      <c r="GG369">
        <v>8.8863927898286725</v>
      </c>
      <c r="GH369">
        <v>3.245920257062465</v>
      </c>
      <c r="GI369">
        <v>13.555527784795165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6.2531249999999998</v>
      </c>
      <c r="AO370">
        <v>31.68769311253795</v>
      </c>
      <c r="AP370">
        <v>410.21420051937025</v>
      </c>
      <c r="AQ370">
        <v>37.259684898038344</v>
      </c>
      <c r="AR370">
        <v>28.806993738670869</v>
      </c>
      <c r="AS370">
        <v>137.42560449735552</v>
      </c>
      <c r="AT370" t="e">
        <v>#DIV/0!</v>
      </c>
      <c r="AU370" t="e">
        <v>#DIV/0!</v>
      </c>
      <c r="AV370"/>
      <c r="AW370"/>
      <c r="FY370" s="212">
        <v>365</v>
      </c>
      <c r="FZ370">
        <v>1.10256564173008</v>
      </c>
      <c r="GA370">
        <v>23.116124965357365</v>
      </c>
      <c r="GB370">
        <v>14.393453847185679</v>
      </c>
      <c r="GC370">
        <v>2.7157394401615131</v>
      </c>
      <c r="GD370">
        <v>0.43938564967917781</v>
      </c>
      <c r="GE370">
        <v>0</v>
      </c>
      <c r="GF370">
        <v>0</v>
      </c>
      <c r="GG370">
        <v>1.9879868987806626</v>
      </c>
      <c r="GH370">
        <v>1.6229601285312325</v>
      </c>
      <c r="GI370">
        <v>7.9515878962123754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9.8670955882352924</v>
      </c>
      <c r="AO371">
        <v>17.249805183044494</v>
      </c>
      <c r="AP371">
        <v>297.37717962533281</v>
      </c>
      <c r="AQ371">
        <v>50.136600392608074</v>
      </c>
      <c r="AR371">
        <v>15.783581891797372</v>
      </c>
      <c r="AS371">
        <v>111.94275087218365</v>
      </c>
      <c r="AT371" t="e">
        <v>#DIV/0!</v>
      </c>
      <c r="AU371" t="e">
        <v>#DIV/0!</v>
      </c>
      <c r="AV371"/>
      <c r="AW371"/>
      <c r="FY371" s="212">
        <v>366</v>
      </c>
      <c r="FZ371">
        <v>1.273472532445947</v>
      </c>
      <c r="GA371">
        <v>16.406222135751033</v>
      </c>
      <c r="GB371">
        <v>18.686261535594436</v>
      </c>
      <c r="GC371">
        <v>6.6308736181006438</v>
      </c>
      <c r="GD371">
        <v>0.58522000620353187</v>
      </c>
      <c r="GE371">
        <v>0</v>
      </c>
      <c r="GF371">
        <v>1.6027633530596492</v>
      </c>
      <c r="GG371">
        <v>7.4765956473638564</v>
      </c>
      <c r="GH371">
        <v>1.6229601285312325</v>
      </c>
      <c r="GI371">
        <v>15.194159256882905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6.4315096741458951E-4</v>
      </c>
      <c r="H372" s="59">
        <f t="shared" ref="H372:AK372" si="358">+H36</f>
        <v>4.5543000000000007E-3</v>
      </c>
      <c r="I372" s="59">
        <f t="shared" si="358"/>
        <v>3.2250046320196971E-2</v>
      </c>
      <c r="J372" s="59">
        <f t="shared" si="358"/>
        <v>0.10134727087638197</v>
      </c>
      <c r="K372" s="59">
        <f t="shared" si="358"/>
        <v>0.22836999926549642</v>
      </c>
      <c r="L372" s="59">
        <f t="shared" si="358"/>
        <v>0.42885741869833771</v>
      </c>
      <c r="M372" s="59">
        <f t="shared" si="358"/>
        <v>0.71766334676873855</v>
      </c>
      <c r="N372" s="59">
        <f t="shared" si="358"/>
        <v>1.1091199062457131</v>
      </c>
      <c r="O372" s="59">
        <f t="shared" si="358"/>
        <v>1.6171405165350552</v>
      </c>
      <c r="P372" s="59">
        <f t="shared" si="358"/>
        <v>2.2552904538767184</v>
      </c>
      <c r="Q372" s="59">
        <f t="shared" si="358"/>
        <v>3.0368380690295989</v>
      </c>
      <c r="R372" s="59">
        <f t="shared" si="358"/>
        <v>3.9747935634129594</v>
      </c>
      <c r="S372" s="59">
        <f t="shared" si="358"/>
        <v>5.0819393047448367</v>
      </c>
      <c r="T372" s="59">
        <f t="shared" si="358"/>
        <v>6.3708541374943737</v>
      </c>
      <c r="U372" s="59">
        <f t="shared" si="358"/>
        <v>7.8539332830680344</v>
      </c>
      <c r="V372" s="59">
        <f t="shared" si="358"/>
        <v>9.5434049096823621</v>
      </c>
      <c r="W372" s="59">
        <f t="shared" si="358"/>
        <v>11.451344128520917</v>
      </c>
      <c r="X372" s="59">
        <f t="shared" si="358"/>
        <v>13.58968496155188</v>
      </c>
      <c r="Y372" s="59">
        <f t="shared" si="358"/>
        <v>15.970230683754279</v>
      </c>
      <c r="Z372" s="59">
        <f t="shared" si="358"/>
        <v>18.604662843430042</v>
      </c>
      <c r="AA372" s="59">
        <f t="shared" si="358"/>
        <v>21.504549193760191</v>
      </c>
      <c r="AB372" s="59">
        <f t="shared" si="358"/>
        <v>24.681350717491501</v>
      </c>
      <c r="AC372" s="59">
        <f t="shared" si="358"/>
        <v>28.146427888652209</v>
      </c>
      <c r="AD372" s="59">
        <f t="shared" si="358"/>
        <v>31.911046286581225</v>
      </c>
      <c r="AE372" s="59">
        <f t="shared" si="358"/>
        <v>35.986381655677192</v>
      </c>
      <c r="AF372" s="59">
        <f t="shared" si="358"/>
        <v>40.383524487319967</v>
      </c>
      <c r="AG372" s="59">
        <f t="shared" si="358"/>
        <v>45.113484187122538</v>
      </c>
      <c r="AH372" s="59">
        <f t="shared" si="358"/>
        <v>50.187192880126901</v>
      </c>
      <c r="AI372" s="59">
        <f t="shared" si="358"/>
        <v>55.615508898114115</v>
      </c>
      <c r="AJ372" s="59">
        <f t="shared" si="358"/>
        <v>61.409219986371809</v>
      </c>
      <c r="AK372" s="59">
        <f t="shared" si="358"/>
        <v>67.579046261698053</v>
      </c>
      <c r="AL372" s="78"/>
      <c r="AM372" s="43">
        <v>356</v>
      </c>
      <c r="AN372">
        <v>8.4007352941176467</v>
      </c>
      <c r="AO372">
        <v>22.77443571340909</v>
      </c>
      <c r="AP372">
        <v>191.2100358647659</v>
      </c>
      <c r="AQ372">
        <v>51.713281248214216</v>
      </c>
      <c r="AR372">
        <v>20.738012738836328</v>
      </c>
      <c r="AS372">
        <v>158.16237390068844</v>
      </c>
      <c r="AT372" t="e">
        <v>#DIV/0!</v>
      </c>
      <c r="AU372" t="e">
        <v>#DIV/0!</v>
      </c>
      <c r="AV372"/>
      <c r="AW372"/>
      <c r="FY372" s="212">
        <v>367</v>
      </c>
      <c r="FZ372">
        <v>1.6521932280012464</v>
      </c>
      <c r="GA372">
        <v>31.956371338019043</v>
      </c>
      <c r="GB372">
        <v>21.520595745463236</v>
      </c>
      <c r="GC372">
        <v>6.3792787297761855</v>
      </c>
      <c r="GD372">
        <v>1.8999310349419134</v>
      </c>
      <c r="GE372">
        <v>0.35947809610506914</v>
      </c>
      <c r="GF372">
        <v>0</v>
      </c>
      <c r="GG372">
        <v>0.57818975631584713</v>
      </c>
      <c r="GH372">
        <v>0</v>
      </c>
      <c r="GI372">
        <v>14.029202989590702</v>
      </c>
      <c r="GJ372"/>
      <c r="GK372"/>
      <c r="GL372"/>
      <c r="GM372"/>
    </row>
    <row r="373" spans="1:195" s="7" customFormat="1">
      <c r="A373" s="95"/>
      <c r="B373" s="71">
        <f t="shared" ref="B373:B378" si="359">+C4</f>
        <v>39646</v>
      </c>
      <c r="C373" s="18">
        <f t="shared" ref="C373:C382" si="360">+D70</f>
        <v>1.0416666666666665</v>
      </c>
      <c r="D373" s="18">
        <f t="shared" ref="D373:D382" si="361">SUM(G373:AK373)</f>
        <v>0.74756598621743586</v>
      </c>
      <c r="E373" s="19">
        <f t="shared" ref="E373:E382" si="362">IF(C373&lt;1, 0.000001, D373/C373)</f>
        <v>0.71766334676873855</v>
      </c>
      <c r="F373" s="19"/>
      <c r="G373" s="18">
        <f>AVERAGE(E228:E237)*G$372</f>
        <v>0</v>
      </c>
      <c r="H373" s="18">
        <f t="shared" ref="H373:AK373" si="363">AVERAGE(F228:F237)*H$372</f>
        <v>0</v>
      </c>
      <c r="I373" s="18">
        <f t="shared" si="363"/>
        <v>0</v>
      </c>
      <c r="J373" s="18">
        <f t="shared" si="363"/>
        <v>0</v>
      </c>
      <c r="K373" s="18">
        <f t="shared" si="363"/>
        <v>0</v>
      </c>
      <c r="L373" s="18">
        <f t="shared" si="363"/>
        <v>0</v>
      </c>
      <c r="M373" s="18">
        <f t="shared" si="363"/>
        <v>0.74756598621743586</v>
      </c>
      <c r="N373" s="18">
        <f t="shared" si="363"/>
        <v>0</v>
      </c>
      <c r="O373" s="18">
        <f t="shared" si="363"/>
        <v>0</v>
      </c>
      <c r="P373" s="18">
        <f t="shared" si="363"/>
        <v>0</v>
      </c>
      <c r="Q373" s="18">
        <f t="shared" si="363"/>
        <v>0</v>
      </c>
      <c r="R373" s="18">
        <f t="shared" si="363"/>
        <v>0</v>
      </c>
      <c r="S373" s="18">
        <f t="shared" si="363"/>
        <v>0</v>
      </c>
      <c r="T373" s="18">
        <f t="shared" si="363"/>
        <v>0</v>
      </c>
      <c r="U373" s="18">
        <f t="shared" si="363"/>
        <v>0</v>
      </c>
      <c r="V373" s="18">
        <f t="shared" si="363"/>
        <v>0</v>
      </c>
      <c r="W373" s="18">
        <f t="shared" si="363"/>
        <v>0</v>
      </c>
      <c r="X373" s="18">
        <f t="shared" si="363"/>
        <v>0</v>
      </c>
      <c r="Y373" s="18">
        <f t="shared" si="363"/>
        <v>0</v>
      </c>
      <c r="Z373" s="18">
        <f t="shared" si="363"/>
        <v>0</v>
      </c>
      <c r="AA373" s="18">
        <f t="shared" si="363"/>
        <v>0</v>
      </c>
      <c r="AB373" s="18">
        <f t="shared" si="363"/>
        <v>0</v>
      </c>
      <c r="AC373" s="18">
        <f t="shared" si="363"/>
        <v>0</v>
      </c>
      <c r="AD373" s="18">
        <f t="shared" si="363"/>
        <v>0</v>
      </c>
      <c r="AE373" s="18">
        <f t="shared" si="363"/>
        <v>0</v>
      </c>
      <c r="AF373" s="18">
        <f t="shared" si="363"/>
        <v>0</v>
      </c>
      <c r="AG373" s="18">
        <f t="shared" si="363"/>
        <v>0</v>
      </c>
      <c r="AH373" s="18">
        <f t="shared" si="363"/>
        <v>0</v>
      </c>
      <c r="AI373" s="18">
        <f t="shared" si="363"/>
        <v>0</v>
      </c>
      <c r="AJ373" s="18">
        <f t="shared" si="363"/>
        <v>0</v>
      </c>
      <c r="AK373" s="18">
        <f t="shared" si="363"/>
        <v>0</v>
      </c>
      <c r="AL373" s="78"/>
      <c r="AM373" s="43">
        <v>357</v>
      </c>
      <c r="AN373">
        <v>12.702818627450981</v>
      </c>
      <c r="AO373">
        <v>56.262377223422945</v>
      </c>
      <c r="AP373">
        <v>782.60856212572526</v>
      </c>
      <c r="AQ373">
        <v>55.079597549757537</v>
      </c>
      <c r="AR373">
        <v>51.147615657657212</v>
      </c>
      <c r="AS373">
        <v>294.90829720448767</v>
      </c>
      <c r="AT373" t="e">
        <v>#DIV/0!</v>
      </c>
      <c r="AU373" t="e">
        <v>#DIV/0!</v>
      </c>
      <c r="AV373"/>
      <c r="AW373"/>
      <c r="FY373" s="212">
        <v>368</v>
      </c>
      <c r="FZ373">
        <v>0.91155005935855693</v>
      </c>
      <c r="GA373">
        <v>15.131260722908911</v>
      </c>
      <c r="GB373">
        <v>22.772051700434215</v>
      </c>
      <c r="GC373">
        <v>9.3501488067899814</v>
      </c>
      <c r="GD373">
        <v>0.98215453174624279</v>
      </c>
      <c r="GE373">
        <v>0</v>
      </c>
      <c r="GF373">
        <v>0.80138167652982462</v>
      </c>
      <c r="GG373">
        <v>3.5759117604405652</v>
      </c>
      <c r="GH373">
        <v>1.6229601285312325</v>
      </c>
      <c r="GI373">
        <v>11.514804385222172</v>
      </c>
      <c r="GJ373"/>
      <c r="GK373"/>
      <c r="GL373"/>
      <c r="GM373"/>
    </row>
    <row r="374" spans="1:195" s="7" customFormat="1">
      <c r="A374" s="95"/>
      <c r="B374" s="71">
        <f t="shared" si="359"/>
        <v>39673</v>
      </c>
      <c r="C374" s="18">
        <f t="shared" si="360"/>
        <v>42.892156862745097</v>
      </c>
      <c r="D374" s="18">
        <f t="shared" si="361"/>
        <v>2.9631166100272623</v>
      </c>
      <c r="E374" s="19">
        <f t="shared" si="362"/>
        <v>6.9082947250921317E-2</v>
      </c>
      <c r="F374" s="19">
        <f>IF(F388&lt;0,0,F388)</f>
        <v>0</v>
      </c>
      <c r="G374" s="18">
        <f>AVERAGE(E238:E247)*G$372</f>
        <v>0</v>
      </c>
      <c r="H374" s="18">
        <f t="shared" ref="H374:AK374" si="364">AVERAGE(F238:F247)*H$372</f>
        <v>6.5114583333333337E-2</v>
      </c>
      <c r="I374" s="18">
        <f t="shared" si="364"/>
        <v>0</v>
      </c>
      <c r="J374" s="18">
        <f t="shared" si="364"/>
        <v>2.8980020266939288</v>
      </c>
      <c r="K374" s="18">
        <f t="shared" si="364"/>
        <v>0</v>
      </c>
      <c r="L374" s="18">
        <f t="shared" si="364"/>
        <v>0</v>
      </c>
      <c r="M374" s="18">
        <f t="shared" si="364"/>
        <v>0</v>
      </c>
      <c r="N374" s="18">
        <f t="shared" si="364"/>
        <v>0</v>
      </c>
      <c r="O374" s="18">
        <f t="shared" si="364"/>
        <v>0</v>
      </c>
      <c r="P374" s="18">
        <f t="shared" si="364"/>
        <v>0</v>
      </c>
      <c r="Q374" s="18">
        <f t="shared" si="364"/>
        <v>0</v>
      </c>
      <c r="R374" s="18">
        <f t="shared" si="364"/>
        <v>0</v>
      </c>
      <c r="S374" s="18">
        <f t="shared" si="364"/>
        <v>0</v>
      </c>
      <c r="T374" s="18">
        <f t="shared" si="364"/>
        <v>0</v>
      </c>
      <c r="U374" s="18">
        <f t="shared" si="364"/>
        <v>0</v>
      </c>
      <c r="V374" s="18">
        <f t="shared" si="364"/>
        <v>0</v>
      </c>
      <c r="W374" s="18">
        <f t="shared" si="364"/>
        <v>0</v>
      </c>
      <c r="X374" s="18">
        <f t="shared" si="364"/>
        <v>0</v>
      </c>
      <c r="Y374" s="18">
        <f t="shared" si="364"/>
        <v>0</v>
      </c>
      <c r="Z374" s="18">
        <f t="shared" si="364"/>
        <v>0</v>
      </c>
      <c r="AA374" s="18">
        <f t="shared" si="364"/>
        <v>0</v>
      </c>
      <c r="AB374" s="18">
        <f t="shared" si="364"/>
        <v>0</v>
      </c>
      <c r="AC374" s="18">
        <f t="shared" si="364"/>
        <v>0</v>
      </c>
      <c r="AD374" s="18">
        <f t="shared" si="364"/>
        <v>0</v>
      </c>
      <c r="AE374" s="18">
        <f t="shared" si="364"/>
        <v>0</v>
      </c>
      <c r="AF374" s="18">
        <f t="shared" si="364"/>
        <v>0</v>
      </c>
      <c r="AG374" s="18">
        <f t="shared" si="364"/>
        <v>0</v>
      </c>
      <c r="AH374" s="18">
        <f t="shared" si="364"/>
        <v>0</v>
      </c>
      <c r="AI374" s="18">
        <f t="shared" si="364"/>
        <v>0</v>
      </c>
      <c r="AJ374" s="18">
        <f t="shared" si="364"/>
        <v>0</v>
      </c>
      <c r="AK374" s="18">
        <f t="shared" si="364"/>
        <v>0</v>
      </c>
      <c r="AL374" s="78"/>
      <c r="AM374" s="43">
        <v>358</v>
      </c>
      <c r="AN374">
        <v>7.2163602941176466</v>
      </c>
      <c r="AO374">
        <v>18.40462623242508</v>
      </c>
      <c r="AP374">
        <v>529.12255350355952</v>
      </c>
      <c r="AQ374">
        <v>54.503781016727082</v>
      </c>
      <c r="AR374">
        <v>16.731478393113711</v>
      </c>
      <c r="AS374">
        <v>90.654431448495387</v>
      </c>
      <c r="AT374" t="e">
        <v>#DIV/0!</v>
      </c>
      <c r="AU374" t="e">
        <v>#DIV/0!</v>
      </c>
      <c r="AV374"/>
      <c r="AW374"/>
      <c r="FY374" s="212">
        <v>369</v>
      </c>
      <c r="FZ374">
        <v>1.0824569500744243</v>
      </c>
      <c r="GA374">
        <v>18.098311927920989</v>
      </c>
      <c r="GB374">
        <v>12.112191481314538</v>
      </c>
      <c r="GC374">
        <v>3.2316182918950309</v>
      </c>
      <c r="GD374">
        <v>0.94557944812783468</v>
      </c>
      <c r="GE374">
        <v>0.35947809610506914</v>
      </c>
      <c r="GF374">
        <v>0</v>
      </c>
      <c r="GG374">
        <v>0.83160738614896845</v>
      </c>
      <c r="GH374">
        <v>1.6229601285312325</v>
      </c>
      <c r="GI374">
        <v>7.1750171764811306</v>
      </c>
      <c r="GJ374"/>
      <c r="GK374"/>
      <c r="GL374"/>
      <c r="GM374"/>
    </row>
    <row r="375" spans="1:195" s="7" customFormat="1">
      <c r="A375" s="95"/>
      <c r="B375" s="71">
        <f t="shared" si="359"/>
        <v>39714</v>
      </c>
      <c r="C375" s="18">
        <f t="shared" si="360"/>
        <v>12.499999999999998</v>
      </c>
      <c r="D375" s="18">
        <f t="shared" si="361"/>
        <v>28.842833081898423</v>
      </c>
      <c r="E375" s="19">
        <f t="shared" si="362"/>
        <v>2.3074266465518742</v>
      </c>
      <c r="F375" s="19">
        <f>IF(F389&lt;0,0,F389)</f>
        <v>8.5575128293767344E-2</v>
      </c>
      <c r="G375" s="18">
        <f>AVERAGE(E248:E257)*G$372</f>
        <v>0</v>
      </c>
      <c r="H375" s="18">
        <f t="shared" ref="H375:AK375" si="365">AVERAGE(F248:F257)*H$372</f>
        <v>0</v>
      </c>
      <c r="I375" s="18">
        <f t="shared" si="365"/>
        <v>0</v>
      </c>
      <c r="J375" s="18">
        <f t="shared" si="365"/>
        <v>0</v>
      </c>
      <c r="K375" s="18">
        <f t="shared" si="365"/>
        <v>0</v>
      </c>
      <c r="L375" s="18">
        <f t="shared" si="365"/>
        <v>0</v>
      </c>
      <c r="M375" s="18">
        <f t="shared" si="365"/>
        <v>0</v>
      </c>
      <c r="N375" s="18">
        <f t="shared" si="365"/>
        <v>3.4659997070178536</v>
      </c>
      <c r="O375" s="18">
        <f t="shared" si="365"/>
        <v>0</v>
      </c>
      <c r="P375" s="18">
        <f t="shared" si="365"/>
        <v>11.746304447274575</v>
      </c>
      <c r="Q375" s="18">
        <f t="shared" si="365"/>
        <v>9.490118965717496</v>
      </c>
      <c r="R375" s="18">
        <f t="shared" si="365"/>
        <v>4.1404099618884986</v>
      </c>
      <c r="S375" s="18">
        <f t="shared" si="365"/>
        <v>0</v>
      </c>
      <c r="T375" s="18">
        <f t="shared" si="365"/>
        <v>0</v>
      </c>
      <c r="U375" s="18">
        <f t="shared" si="365"/>
        <v>0</v>
      </c>
      <c r="V375" s="18">
        <f t="shared" si="365"/>
        <v>0</v>
      </c>
      <c r="W375" s="18">
        <f t="shared" si="365"/>
        <v>0</v>
      </c>
      <c r="X375" s="18">
        <f t="shared" si="365"/>
        <v>0</v>
      </c>
      <c r="Y375" s="18">
        <f t="shared" si="365"/>
        <v>0</v>
      </c>
      <c r="Z375" s="18">
        <f t="shared" si="365"/>
        <v>0</v>
      </c>
      <c r="AA375" s="18">
        <f t="shared" si="365"/>
        <v>0</v>
      </c>
      <c r="AB375" s="18">
        <f t="shared" si="365"/>
        <v>0</v>
      </c>
      <c r="AC375" s="18">
        <f t="shared" si="365"/>
        <v>0</v>
      </c>
      <c r="AD375" s="18">
        <f t="shared" si="365"/>
        <v>0</v>
      </c>
      <c r="AE375" s="18">
        <f t="shared" si="365"/>
        <v>0</v>
      </c>
      <c r="AF375" s="18">
        <f t="shared" si="365"/>
        <v>0</v>
      </c>
      <c r="AG375" s="18">
        <f t="shared" si="365"/>
        <v>0</v>
      </c>
      <c r="AH375" s="18">
        <f t="shared" si="365"/>
        <v>0</v>
      </c>
      <c r="AI375" s="18">
        <f t="shared" si="365"/>
        <v>0</v>
      </c>
      <c r="AJ375" s="18">
        <f t="shared" si="365"/>
        <v>0</v>
      </c>
      <c r="AK375" s="18">
        <f t="shared" si="365"/>
        <v>0</v>
      </c>
      <c r="AL375" s="78"/>
      <c r="AM375" s="43">
        <v>359</v>
      </c>
      <c r="AN375">
        <v>9.13302696078431</v>
      </c>
      <c r="AO375">
        <v>16.562891146383436</v>
      </c>
      <c r="AP375">
        <v>298.81820820285856</v>
      </c>
      <c r="AQ375">
        <v>56.081645030477709</v>
      </c>
      <c r="AR375">
        <v>15.091154041540275</v>
      </c>
      <c r="AS375">
        <v>99.403506182443181</v>
      </c>
      <c r="AT375" t="e">
        <v>#DIV/0!</v>
      </c>
      <c r="AU375" t="e">
        <v>#DIV/0!</v>
      </c>
      <c r="AV375"/>
      <c r="AW375"/>
      <c r="FY375" s="212">
        <v>370</v>
      </c>
      <c r="FZ375">
        <v>1.273472532445947</v>
      </c>
      <c r="GA375">
        <v>8.6874801746177113</v>
      </c>
      <c r="GB375">
        <v>12.179852409548689</v>
      </c>
      <c r="GC375">
        <v>4.7558473964595187</v>
      </c>
      <c r="GD375">
        <v>0.54149829480006151</v>
      </c>
      <c r="GE375">
        <v>0.35947809610506914</v>
      </c>
      <c r="GF375">
        <v>0</v>
      </c>
      <c r="GG375">
        <v>0.57818975631584713</v>
      </c>
      <c r="GH375">
        <v>0</v>
      </c>
      <c r="GI375">
        <v>6.1123047260951555</v>
      </c>
      <c r="GJ375"/>
      <c r="GK375"/>
      <c r="GL375"/>
      <c r="GM375"/>
    </row>
    <row r="376" spans="1:195" s="7" customFormat="1">
      <c r="A376" s="95"/>
      <c r="B376" s="71">
        <f t="shared" si="359"/>
        <v>39747</v>
      </c>
      <c r="C376" s="18">
        <f t="shared" si="360"/>
        <v>18.939393939393938</v>
      </c>
      <c r="D376" s="18">
        <f t="shared" si="361"/>
        <v>29.386944608165741</v>
      </c>
      <c r="E376" s="19">
        <f t="shared" si="362"/>
        <v>1.5516306753111513</v>
      </c>
      <c r="F376" s="19">
        <f>IF(F390&lt;0,0,F390)</f>
        <v>0</v>
      </c>
      <c r="G376" s="18">
        <f>AVERAGE(E258:E267)*G$372</f>
        <v>0</v>
      </c>
      <c r="H376" s="18">
        <f t="shared" ref="H376:AK376" si="366">AVERAGE(F258:F267)*H$372</f>
        <v>0</v>
      </c>
      <c r="I376" s="18">
        <f t="shared" si="366"/>
        <v>0</v>
      </c>
      <c r="J376" s="18">
        <f t="shared" si="366"/>
        <v>0</v>
      </c>
      <c r="K376" s="18">
        <f t="shared" si="366"/>
        <v>0</v>
      </c>
      <c r="L376" s="18">
        <f t="shared" si="366"/>
        <v>1.2183449394839139</v>
      </c>
      <c r="M376" s="18">
        <f t="shared" si="366"/>
        <v>0</v>
      </c>
      <c r="N376" s="18">
        <f t="shared" si="366"/>
        <v>7.7722417672521544</v>
      </c>
      <c r="O376" s="18">
        <f t="shared" si="366"/>
        <v>5.8958247998673894</v>
      </c>
      <c r="P376" s="18">
        <f t="shared" si="366"/>
        <v>5.8731522236372884</v>
      </c>
      <c r="Q376" s="18">
        <f t="shared" si="366"/>
        <v>8.6273808779249972</v>
      </c>
      <c r="R376" s="18">
        <f t="shared" si="366"/>
        <v>0</v>
      </c>
      <c r="S376" s="18">
        <f t="shared" si="366"/>
        <v>0</v>
      </c>
      <c r="T376" s="18">
        <f t="shared" si="366"/>
        <v>0</v>
      </c>
      <c r="U376" s="18">
        <f t="shared" si="366"/>
        <v>0</v>
      </c>
      <c r="V376" s="18">
        <f t="shared" si="366"/>
        <v>0</v>
      </c>
      <c r="W376" s="18">
        <f t="shared" si="366"/>
        <v>0</v>
      </c>
      <c r="X376" s="18">
        <f t="shared" si="366"/>
        <v>0</v>
      </c>
      <c r="Y376" s="18">
        <f t="shared" si="366"/>
        <v>0</v>
      </c>
      <c r="Z376" s="18">
        <f t="shared" si="366"/>
        <v>0</v>
      </c>
      <c r="AA376" s="18">
        <f t="shared" si="366"/>
        <v>0</v>
      </c>
      <c r="AB376" s="18">
        <f t="shared" si="366"/>
        <v>0</v>
      </c>
      <c r="AC376" s="18">
        <f t="shared" si="366"/>
        <v>0</v>
      </c>
      <c r="AD376" s="18">
        <f t="shared" si="366"/>
        <v>0</v>
      </c>
      <c r="AE376" s="18">
        <f t="shared" si="366"/>
        <v>0</v>
      </c>
      <c r="AF376" s="18">
        <f t="shared" si="366"/>
        <v>0</v>
      </c>
      <c r="AG376" s="18">
        <f t="shared" si="366"/>
        <v>0</v>
      </c>
      <c r="AH376" s="18">
        <f t="shared" si="366"/>
        <v>0</v>
      </c>
      <c r="AI376" s="18">
        <f t="shared" si="366"/>
        <v>0</v>
      </c>
      <c r="AJ376" s="18">
        <f t="shared" si="366"/>
        <v>0</v>
      </c>
      <c r="AK376" s="18">
        <f t="shared" si="366"/>
        <v>0</v>
      </c>
      <c r="AL376" s="78"/>
      <c r="AM376" s="43">
        <v>360</v>
      </c>
      <c r="AN376">
        <v>7.6434436274509805</v>
      </c>
      <c r="AO376">
        <v>28.474977148730979</v>
      </c>
      <c r="AP376">
        <v>398.89689416770909</v>
      </c>
      <c r="AQ376">
        <v>44.441902360802082</v>
      </c>
      <c r="AR376">
        <v>25.920323134583498</v>
      </c>
      <c r="AS376">
        <v>137.12583210981231</v>
      </c>
      <c r="AT376" t="e">
        <v>#DIV/0!</v>
      </c>
      <c r="AU376" t="e">
        <v>#DIV/0!</v>
      </c>
      <c r="AV376"/>
      <c r="AW376"/>
      <c r="FY376" s="212">
        <v>371</v>
      </c>
      <c r="FZ376">
        <v>0.74064316864268975</v>
      </c>
      <c r="GA376">
        <v>23.484275038319264</v>
      </c>
      <c r="GB376">
        <v>18.958616137523542</v>
      </c>
      <c r="GC376">
        <v>6.1277036021954592</v>
      </c>
      <c r="GD376">
        <v>1.8154555531027601</v>
      </c>
      <c r="GE376">
        <v>0.71895619221013829</v>
      </c>
      <c r="GF376">
        <v>0.80138167652982462</v>
      </c>
      <c r="GG376">
        <v>3.5759117604405652</v>
      </c>
      <c r="GH376">
        <v>1.6229601285312325</v>
      </c>
      <c r="GI376">
        <v>13.509851130328926</v>
      </c>
      <c r="GJ376"/>
      <c r="GK376"/>
      <c r="GL376"/>
      <c r="GM376"/>
    </row>
    <row r="377" spans="1:195" s="7" customFormat="1">
      <c r="A377" s="95"/>
      <c r="B377" s="71">
        <f t="shared" si="359"/>
        <v>39775</v>
      </c>
      <c r="C377" s="18">
        <f t="shared" si="360"/>
        <v>22.064393939393938</v>
      </c>
      <c r="D377" s="18">
        <f t="shared" si="361"/>
        <v>84.424002080387453</v>
      </c>
      <c r="E377" s="19">
        <f t="shared" si="362"/>
        <v>3.8262552015832259</v>
      </c>
      <c r="F377" s="19">
        <f>IF(F391&lt;0,0,F391)</f>
        <v>3.2235005150700921E-2</v>
      </c>
      <c r="G377" s="18">
        <f>AVERAGE(E268:E277)*G$372</f>
        <v>0</v>
      </c>
      <c r="H377" s="18">
        <f t="shared" ref="H377:AK377" si="367">AVERAGE(F268:F277)*H$372</f>
        <v>0</v>
      </c>
      <c r="I377" s="18">
        <f t="shared" si="367"/>
        <v>0</v>
      </c>
      <c r="J377" s="18">
        <f t="shared" si="367"/>
        <v>0</v>
      </c>
      <c r="K377" s="18">
        <f t="shared" si="367"/>
        <v>1.030836802240088</v>
      </c>
      <c r="L377" s="18">
        <f t="shared" si="367"/>
        <v>0.44672647781076841</v>
      </c>
      <c r="M377" s="18">
        <f t="shared" si="367"/>
        <v>0</v>
      </c>
      <c r="N377" s="18">
        <f t="shared" si="367"/>
        <v>3.150908824561685</v>
      </c>
      <c r="O377" s="18">
        <f t="shared" si="367"/>
        <v>1.6845213713906824</v>
      </c>
      <c r="P377" s="18">
        <f t="shared" si="367"/>
        <v>6.4070751530588588</v>
      </c>
      <c r="Q377" s="18">
        <f t="shared" si="367"/>
        <v>0</v>
      </c>
      <c r="R377" s="18">
        <f t="shared" si="367"/>
        <v>0</v>
      </c>
      <c r="S377" s="18">
        <f t="shared" si="367"/>
        <v>0</v>
      </c>
      <c r="T377" s="18">
        <f t="shared" si="367"/>
        <v>22.121021310744354</v>
      </c>
      <c r="U377" s="18">
        <f t="shared" si="367"/>
        <v>49.582912140581023</v>
      </c>
      <c r="V377" s="18">
        <f t="shared" si="367"/>
        <v>0</v>
      </c>
      <c r="W377" s="18">
        <f t="shared" si="367"/>
        <v>0</v>
      </c>
      <c r="X377" s="18">
        <f t="shared" si="367"/>
        <v>0</v>
      </c>
      <c r="Y377" s="18">
        <f t="shared" si="367"/>
        <v>0</v>
      </c>
      <c r="Z377" s="18">
        <f t="shared" si="367"/>
        <v>0</v>
      </c>
      <c r="AA377" s="18">
        <f t="shared" si="367"/>
        <v>0</v>
      </c>
      <c r="AB377" s="18">
        <f t="shared" si="367"/>
        <v>0</v>
      </c>
      <c r="AC377" s="18">
        <f t="shared" si="367"/>
        <v>0</v>
      </c>
      <c r="AD377" s="18">
        <f t="shared" si="367"/>
        <v>0</v>
      </c>
      <c r="AE377" s="18">
        <f t="shared" si="367"/>
        <v>0</v>
      </c>
      <c r="AF377" s="18">
        <f t="shared" si="367"/>
        <v>0</v>
      </c>
      <c r="AG377" s="18">
        <f t="shared" si="367"/>
        <v>0</v>
      </c>
      <c r="AH377" s="18">
        <f t="shared" si="367"/>
        <v>0</v>
      </c>
      <c r="AI377" s="18">
        <f t="shared" si="367"/>
        <v>0</v>
      </c>
      <c r="AJ377" s="18">
        <f t="shared" si="367"/>
        <v>0</v>
      </c>
      <c r="AK377" s="18">
        <f t="shared" si="367"/>
        <v>0</v>
      </c>
      <c r="AL377" s="78"/>
      <c r="AM377" s="43">
        <v>361</v>
      </c>
      <c r="AN377">
        <v>10.075428921568626</v>
      </c>
      <c r="AO377">
        <v>24.143555187934975</v>
      </c>
      <c r="AP377">
        <v>494.08039825047183</v>
      </c>
      <c r="AQ377">
        <v>38.732822620386997</v>
      </c>
      <c r="AR377">
        <v>22.016647078687924</v>
      </c>
      <c r="AS377">
        <v>111.64612544733782</v>
      </c>
      <c r="AT377" t="e">
        <v>#DIV/0!</v>
      </c>
      <c r="AU377" t="e">
        <v>#DIV/0!</v>
      </c>
      <c r="AV377"/>
      <c r="AW377"/>
      <c r="FY377" s="212">
        <v>372</v>
      </c>
      <c r="FZ377">
        <v>0.89475183689064763</v>
      </c>
      <c r="GA377">
        <v>21.480210091565841</v>
      </c>
      <c r="GB377">
        <v>17.73376183345194</v>
      </c>
      <c r="GC377">
        <v>4.7423552436368848</v>
      </c>
      <c r="GD377">
        <v>0.5289193628328096</v>
      </c>
      <c r="GE377">
        <v>0</v>
      </c>
      <c r="GF377">
        <v>0</v>
      </c>
      <c r="GG377">
        <v>1.4097971424648157</v>
      </c>
      <c r="GH377">
        <v>1.6229601285312325</v>
      </c>
      <c r="GI377">
        <v>7.4872712525737413</v>
      </c>
      <c r="GJ377"/>
      <c r="GK377"/>
      <c r="GL377"/>
      <c r="GM377"/>
    </row>
    <row r="378" spans="1:195" s="7" customFormat="1">
      <c r="A378" s="95"/>
      <c r="B378" s="71">
        <f t="shared" si="359"/>
        <v>39799</v>
      </c>
      <c r="C378" s="18">
        <f t="shared" si="360"/>
        <v>3.1249999999999996</v>
      </c>
      <c r="D378" s="18">
        <f t="shared" si="361"/>
        <v>20.502770968280235</v>
      </c>
      <c r="E378" s="19">
        <f t="shared" si="362"/>
        <v>6.5608867098496759</v>
      </c>
      <c r="F378" s="19">
        <f t="shared" ref="F378:F382" si="368">IF(F392&lt;0,0,F392)</f>
        <v>2.2468299678438813E-2</v>
      </c>
      <c r="G378" s="18">
        <f>AVERAGE(E278:E287)*G$372</f>
        <v>0</v>
      </c>
      <c r="H378" s="18">
        <f t="shared" ref="H378:AK378" si="369">AVERAGE(F278:F287)*H$372</f>
        <v>0</v>
      </c>
      <c r="I378" s="18">
        <f t="shared" si="369"/>
        <v>0</v>
      </c>
      <c r="J378" s="18">
        <f t="shared" si="369"/>
        <v>0</v>
      </c>
      <c r="K378" s="18">
        <f t="shared" si="369"/>
        <v>0</v>
      </c>
      <c r="L378" s="18">
        <f t="shared" si="369"/>
        <v>0</v>
      </c>
      <c r="M378" s="18">
        <f t="shared" si="369"/>
        <v>0</v>
      </c>
      <c r="N378" s="18">
        <f t="shared" si="369"/>
        <v>0</v>
      </c>
      <c r="O378" s="18">
        <f t="shared" si="369"/>
        <v>0</v>
      </c>
      <c r="P378" s="18">
        <f t="shared" si="369"/>
        <v>0</v>
      </c>
      <c r="Q378" s="18">
        <f t="shared" si="369"/>
        <v>0</v>
      </c>
      <c r="R378" s="18">
        <f t="shared" si="369"/>
        <v>4.1404099618884986</v>
      </c>
      <c r="S378" s="18">
        <f t="shared" si="369"/>
        <v>0</v>
      </c>
      <c r="T378" s="18">
        <f t="shared" si="369"/>
        <v>0</v>
      </c>
      <c r="U378" s="18">
        <f t="shared" si="369"/>
        <v>16.362361006391737</v>
      </c>
      <c r="V378" s="18">
        <f t="shared" si="369"/>
        <v>0</v>
      </c>
      <c r="W378" s="18">
        <f t="shared" si="369"/>
        <v>0</v>
      </c>
      <c r="X378" s="18">
        <f t="shared" si="369"/>
        <v>0</v>
      </c>
      <c r="Y378" s="18">
        <f t="shared" si="369"/>
        <v>0</v>
      </c>
      <c r="Z378" s="18">
        <f t="shared" si="369"/>
        <v>0</v>
      </c>
      <c r="AA378" s="18">
        <f t="shared" si="369"/>
        <v>0</v>
      </c>
      <c r="AB378" s="18">
        <f t="shared" si="369"/>
        <v>0</v>
      </c>
      <c r="AC378" s="18">
        <f t="shared" si="369"/>
        <v>0</v>
      </c>
      <c r="AD378" s="18">
        <f t="shared" si="369"/>
        <v>0</v>
      </c>
      <c r="AE378" s="18">
        <f t="shared" si="369"/>
        <v>0</v>
      </c>
      <c r="AF378" s="18">
        <f t="shared" si="369"/>
        <v>0</v>
      </c>
      <c r="AG378" s="18">
        <f t="shared" si="369"/>
        <v>0</v>
      </c>
      <c r="AH378" s="18">
        <f t="shared" si="369"/>
        <v>0</v>
      </c>
      <c r="AI378" s="18">
        <f t="shared" si="369"/>
        <v>0</v>
      </c>
      <c r="AJ378" s="18">
        <f t="shared" si="369"/>
        <v>0</v>
      </c>
      <c r="AK378" s="18">
        <f t="shared" si="369"/>
        <v>0</v>
      </c>
      <c r="AL378" s="78"/>
      <c r="AM378" s="43">
        <v>362</v>
      </c>
      <c r="AN378">
        <v>9.6746936274509796</v>
      </c>
      <c r="AO378">
        <v>28.7748061817909</v>
      </c>
      <c r="AP378">
        <v>468.84645199719591</v>
      </c>
      <c r="AQ378">
        <v>45.430523144933943</v>
      </c>
      <c r="AR378">
        <v>26.226875254920586</v>
      </c>
      <c r="AS378">
        <v>170.12462936914284</v>
      </c>
      <c r="AT378" t="e">
        <v>#DIV/0!</v>
      </c>
      <c r="AU378" t="e">
        <v>#DIV/0!</v>
      </c>
      <c r="AV378"/>
      <c r="AW378"/>
      <c r="FY378" s="212">
        <v>373</v>
      </c>
      <c r="FZ378">
        <v>2.0141157010886364</v>
      </c>
      <c r="GA378">
        <v>7.8229692433844304</v>
      </c>
      <c r="GB378">
        <v>8.0416113776964142</v>
      </c>
      <c r="GC378">
        <v>3.5873338075564369</v>
      </c>
      <c r="GD378">
        <v>0.71069898824735089</v>
      </c>
      <c r="GE378">
        <v>0</v>
      </c>
      <c r="GF378">
        <v>0.80138167652982462</v>
      </c>
      <c r="GG378">
        <v>3.3224941306074438</v>
      </c>
      <c r="GH378">
        <v>0</v>
      </c>
      <c r="GI378">
        <v>5.6878119314663245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0">+C10</f>
        <v>39847</v>
      </c>
      <c r="C379" s="18">
        <f t="shared" si="360"/>
        <v>0</v>
      </c>
      <c r="D379" s="18">
        <f t="shared" si="361"/>
        <v>0</v>
      </c>
      <c r="E379" s="19">
        <f t="shared" si="362"/>
        <v>9.9999999999999995E-7</v>
      </c>
      <c r="F379" s="19">
        <f t="shared" si="368"/>
        <v>0</v>
      </c>
      <c r="G379" s="18">
        <f>AVERAGE(E288:E297)*G$372</f>
        <v>0</v>
      </c>
      <c r="H379" s="18">
        <f t="shared" ref="H379:AK379" si="371">AVERAGE(F288:F297)*H$372</f>
        <v>0</v>
      </c>
      <c r="I379" s="18">
        <f t="shared" si="371"/>
        <v>0</v>
      </c>
      <c r="J379" s="18">
        <f t="shared" si="371"/>
        <v>0</v>
      </c>
      <c r="K379" s="18">
        <f t="shared" si="371"/>
        <v>0</v>
      </c>
      <c r="L379" s="18">
        <f t="shared" si="371"/>
        <v>0</v>
      </c>
      <c r="M379" s="18">
        <f t="shared" si="371"/>
        <v>0</v>
      </c>
      <c r="N379" s="18">
        <f t="shared" si="371"/>
        <v>0</v>
      </c>
      <c r="O379" s="18">
        <f t="shared" si="371"/>
        <v>0</v>
      </c>
      <c r="P379" s="18">
        <f t="shared" si="371"/>
        <v>0</v>
      </c>
      <c r="Q379" s="18">
        <f t="shared" si="371"/>
        <v>0</v>
      </c>
      <c r="R379" s="18">
        <f t="shared" si="371"/>
        <v>0</v>
      </c>
      <c r="S379" s="18">
        <f t="shared" si="371"/>
        <v>0</v>
      </c>
      <c r="T379" s="18">
        <f t="shared" si="371"/>
        <v>0</v>
      </c>
      <c r="U379" s="18">
        <f t="shared" si="371"/>
        <v>0</v>
      </c>
      <c r="V379" s="18">
        <f t="shared" si="371"/>
        <v>0</v>
      </c>
      <c r="W379" s="18">
        <f t="shared" si="371"/>
        <v>0</v>
      </c>
      <c r="X379" s="18">
        <f t="shared" si="371"/>
        <v>0</v>
      </c>
      <c r="Y379" s="18">
        <f t="shared" si="371"/>
        <v>0</v>
      </c>
      <c r="Z379" s="18">
        <f t="shared" si="371"/>
        <v>0</v>
      </c>
      <c r="AA379" s="18">
        <f t="shared" si="371"/>
        <v>0</v>
      </c>
      <c r="AB379" s="18">
        <f t="shared" si="371"/>
        <v>0</v>
      </c>
      <c r="AC379" s="18">
        <f t="shared" si="371"/>
        <v>0</v>
      </c>
      <c r="AD379" s="18">
        <f t="shared" si="371"/>
        <v>0</v>
      </c>
      <c r="AE379" s="18">
        <f t="shared" si="371"/>
        <v>0</v>
      </c>
      <c r="AF379" s="18">
        <f t="shared" si="371"/>
        <v>0</v>
      </c>
      <c r="AG379" s="18">
        <f t="shared" si="371"/>
        <v>0</v>
      </c>
      <c r="AH379" s="18">
        <f t="shared" si="371"/>
        <v>0</v>
      </c>
      <c r="AI379" s="18">
        <f t="shared" si="371"/>
        <v>0</v>
      </c>
      <c r="AJ379" s="18">
        <f t="shared" si="371"/>
        <v>0</v>
      </c>
      <c r="AK379" s="18">
        <f t="shared" si="371"/>
        <v>0</v>
      </c>
      <c r="AL379" s="78"/>
      <c r="AM379" s="43">
        <v>363</v>
      </c>
      <c r="AN379">
        <v>11.748958333333333</v>
      </c>
      <c r="AO379">
        <v>66.602207498658331</v>
      </c>
      <c r="AP379">
        <v>1499.450891780953</v>
      </c>
      <c r="AQ379">
        <v>79.382170342479569</v>
      </c>
      <c r="AR379">
        <v>60.615421906618245</v>
      </c>
      <c r="AS379">
        <v>298.41438896934716</v>
      </c>
      <c r="AT379" t="e">
        <v>#DIV/0!</v>
      </c>
      <c r="AU379" t="e">
        <v>#DIV/0!</v>
      </c>
      <c r="AV379"/>
      <c r="AW379"/>
      <c r="FY379" s="212">
        <v>374</v>
      </c>
      <c r="FZ379">
        <v>0.53282936380325752</v>
      </c>
      <c r="GA379">
        <v>19.955131929914682</v>
      </c>
      <c r="GB379">
        <v>20.713280044249391</v>
      </c>
      <c r="GC379">
        <v>6.4032770833774197</v>
      </c>
      <c r="GD379">
        <v>0.46897561131839888</v>
      </c>
      <c r="GE379">
        <v>0</v>
      </c>
      <c r="GF379">
        <v>2.4041450295894737</v>
      </c>
      <c r="GG379">
        <v>10.474317651488573</v>
      </c>
      <c r="GH379">
        <v>3.245920257062465</v>
      </c>
      <c r="GI379">
        <v>12.487933372123351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0"/>
        <v>39910</v>
      </c>
      <c r="C380" s="18">
        <f t="shared" si="360"/>
        <v>3.4375</v>
      </c>
      <c r="D380" s="18">
        <f t="shared" si="361"/>
        <v>21.89981109763691</v>
      </c>
      <c r="E380" s="19">
        <f t="shared" si="362"/>
        <v>6.3708541374943737</v>
      </c>
      <c r="F380" s="19">
        <f t="shared" si="368"/>
        <v>0.24868641438219299</v>
      </c>
      <c r="G380" s="18">
        <f>AVERAGE(E298:E307)*G$372</f>
        <v>0</v>
      </c>
      <c r="H380" s="18">
        <f t="shared" ref="H380:AK380" si="372">AVERAGE(F298:F307)*H$372</f>
        <v>0</v>
      </c>
      <c r="I380" s="18">
        <f t="shared" si="372"/>
        <v>0</v>
      </c>
      <c r="J380" s="18">
        <f t="shared" si="372"/>
        <v>0</v>
      </c>
      <c r="K380" s="18">
        <f t="shared" si="372"/>
        <v>0</v>
      </c>
      <c r="L380" s="18">
        <f t="shared" si="372"/>
        <v>0</v>
      </c>
      <c r="M380" s="18">
        <f t="shared" si="372"/>
        <v>0</v>
      </c>
      <c r="N380" s="18">
        <f t="shared" si="372"/>
        <v>0</v>
      </c>
      <c r="O380" s="18">
        <f t="shared" si="372"/>
        <v>0</v>
      </c>
      <c r="P380" s="18">
        <f t="shared" si="372"/>
        <v>0</v>
      </c>
      <c r="Q380" s="18">
        <f t="shared" si="372"/>
        <v>0</v>
      </c>
      <c r="R380" s="18">
        <f t="shared" si="372"/>
        <v>0</v>
      </c>
      <c r="S380" s="18">
        <f t="shared" si="372"/>
        <v>0</v>
      </c>
      <c r="T380" s="18">
        <f t="shared" si="372"/>
        <v>21.89981109763691</v>
      </c>
      <c r="U380" s="18">
        <f t="shared" si="372"/>
        <v>0</v>
      </c>
      <c r="V380" s="18">
        <f t="shared" si="372"/>
        <v>0</v>
      </c>
      <c r="W380" s="18">
        <f t="shared" si="372"/>
        <v>0</v>
      </c>
      <c r="X380" s="18">
        <f t="shared" si="372"/>
        <v>0</v>
      </c>
      <c r="Y380" s="18">
        <f t="shared" si="372"/>
        <v>0</v>
      </c>
      <c r="Z380" s="18">
        <f t="shared" si="372"/>
        <v>0</v>
      </c>
      <c r="AA380" s="18">
        <f t="shared" si="372"/>
        <v>0</v>
      </c>
      <c r="AB380" s="18">
        <f t="shared" si="372"/>
        <v>0</v>
      </c>
      <c r="AC380" s="18">
        <f t="shared" si="372"/>
        <v>0</v>
      </c>
      <c r="AD380" s="18">
        <f t="shared" si="372"/>
        <v>0</v>
      </c>
      <c r="AE380" s="18">
        <f t="shared" si="372"/>
        <v>0</v>
      </c>
      <c r="AF380" s="18">
        <f t="shared" si="372"/>
        <v>0</v>
      </c>
      <c r="AG380" s="18">
        <f t="shared" si="372"/>
        <v>0</v>
      </c>
      <c r="AH380" s="18">
        <f t="shared" si="372"/>
        <v>0</v>
      </c>
      <c r="AI380" s="18">
        <f t="shared" si="372"/>
        <v>0</v>
      </c>
      <c r="AJ380" s="18">
        <f t="shared" si="372"/>
        <v>0</v>
      </c>
      <c r="AK380" s="18">
        <f t="shared" si="372"/>
        <v>0</v>
      </c>
      <c r="AL380" s="78"/>
      <c r="AM380" s="43">
        <v>364</v>
      </c>
      <c r="AN380">
        <v>16.073039215686272</v>
      </c>
      <c r="AO380">
        <v>56.901028567143577</v>
      </c>
      <c r="AP380">
        <v>1343.9208894936319</v>
      </c>
      <c r="AQ380">
        <v>69.997210890599675</v>
      </c>
      <c r="AR380">
        <v>51.830148604614735</v>
      </c>
      <c r="AS380">
        <v>243.99216444087202</v>
      </c>
      <c r="AT380" t="e">
        <v>#DIV/0!</v>
      </c>
      <c r="AU380" t="e">
        <v>#DIV/0!</v>
      </c>
      <c r="AV380"/>
      <c r="AW380"/>
      <c r="FY380" s="212">
        <v>375</v>
      </c>
      <c r="FZ380">
        <v>0.53282936380325752</v>
      </c>
      <c r="GA380">
        <v>29.800776161376838</v>
      </c>
      <c r="GB380">
        <v>19.536698674759926</v>
      </c>
      <c r="GC380">
        <v>4.6295105489685264</v>
      </c>
      <c r="GD380">
        <v>1.2968094967586477</v>
      </c>
      <c r="GE380">
        <v>0.35947809610506914</v>
      </c>
      <c r="GF380">
        <v>0.80138167652982462</v>
      </c>
      <c r="GG380">
        <v>5.5638986592212287</v>
      </c>
      <c r="GH380">
        <v>3.245920257062465</v>
      </c>
      <c r="GI380">
        <v>13.53833517382779</v>
      </c>
      <c r="GJ380"/>
      <c r="GK380"/>
      <c r="GL380"/>
      <c r="GM380"/>
    </row>
    <row r="381" spans="1:195" s="7" customFormat="1">
      <c r="A381" s="1"/>
      <c r="B381" s="71">
        <f t="shared" si="370"/>
        <v>39949</v>
      </c>
      <c r="C381" s="18">
        <f t="shared" si="360"/>
        <v>1.0416666666666665</v>
      </c>
      <c r="D381" s="18">
        <f t="shared" si="361"/>
        <v>6.6363063932233048</v>
      </c>
      <c r="E381" s="19">
        <f t="shared" si="362"/>
        <v>6.3708541374943737</v>
      </c>
      <c r="F381" s="19">
        <f t="shared" si="368"/>
        <v>0</v>
      </c>
      <c r="G381" s="18">
        <f>AVERAGE(E308:E317)*G$372</f>
        <v>0</v>
      </c>
      <c r="H381" s="18">
        <f t="shared" ref="H381:AK381" si="373">AVERAGE(F308:F317)*H$372</f>
        <v>0</v>
      </c>
      <c r="I381" s="18">
        <f t="shared" si="373"/>
        <v>0</v>
      </c>
      <c r="J381" s="18">
        <f t="shared" si="373"/>
        <v>0</v>
      </c>
      <c r="K381" s="18">
        <f t="shared" si="373"/>
        <v>0</v>
      </c>
      <c r="L381" s="18">
        <f t="shared" si="373"/>
        <v>0</v>
      </c>
      <c r="M381" s="18">
        <f t="shared" si="373"/>
        <v>0</v>
      </c>
      <c r="N381" s="18">
        <f t="shared" si="373"/>
        <v>0</v>
      </c>
      <c r="O381" s="18">
        <f t="shared" si="373"/>
        <v>0</v>
      </c>
      <c r="P381" s="18">
        <f t="shared" si="373"/>
        <v>0</v>
      </c>
      <c r="Q381" s="18">
        <f t="shared" si="373"/>
        <v>0</v>
      </c>
      <c r="R381" s="18">
        <f t="shared" si="373"/>
        <v>0</v>
      </c>
      <c r="S381" s="18">
        <f t="shared" si="373"/>
        <v>0</v>
      </c>
      <c r="T381" s="18">
        <f t="shared" si="373"/>
        <v>6.6363063932233048</v>
      </c>
      <c r="U381" s="18">
        <f t="shared" si="373"/>
        <v>0</v>
      </c>
      <c r="V381" s="18">
        <f t="shared" si="373"/>
        <v>0</v>
      </c>
      <c r="W381" s="18">
        <f t="shared" si="373"/>
        <v>0</v>
      </c>
      <c r="X381" s="18">
        <f t="shared" si="373"/>
        <v>0</v>
      </c>
      <c r="Y381" s="18">
        <f t="shared" si="373"/>
        <v>0</v>
      </c>
      <c r="Z381" s="18">
        <f t="shared" si="373"/>
        <v>0</v>
      </c>
      <c r="AA381" s="18">
        <f t="shared" si="373"/>
        <v>0</v>
      </c>
      <c r="AB381" s="18">
        <f t="shared" si="373"/>
        <v>0</v>
      </c>
      <c r="AC381" s="18">
        <f t="shared" si="373"/>
        <v>0</v>
      </c>
      <c r="AD381" s="18">
        <f t="shared" si="373"/>
        <v>0</v>
      </c>
      <c r="AE381" s="18">
        <f t="shared" si="373"/>
        <v>0</v>
      </c>
      <c r="AF381" s="18">
        <f t="shared" si="373"/>
        <v>0</v>
      </c>
      <c r="AG381" s="18">
        <f t="shared" si="373"/>
        <v>0</v>
      </c>
      <c r="AH381" s="18">
        <f t="shared" si="373"/>
        <v>0</v>
      </c>
      <c r="AI381" s="18">
        <f t="shared" si="373"/>
        <v>0</v>
      </c>
      <c r="AJ381" s="18">
        <f t="shared" si="373"/>
        <v>0</v>
      </c>
      <c r="AK381" s="18">
        <f t="shared" si="373"/>
        <v>0</v>
      </c>
      <c r="AL381" s="78"/>
      <c r="AM381" s="43">
        <v>365</v>
      </c>
      <c r="AN381">
        <v>9.4319852941176467</v>
      </c>
      <c r="AO381">
        <v>33.4103708195194</v>
      </c>
      <c r="AP381">
        <v>713.86411052499875</v>
      </c>
      <c r="AQ381">
        <v>53.329804467638084</v>
      </c>
      <c r="AR381">
        <v>30.407044653482071</v>
      </c>
      <c r="AS381">
        <v>159.16279846294691</v>
      </c>
      <c r="AT381" t="e">
        <v>#DIV/0!</v>
      </c>
      <c r="AU381" t="e">
        <v>#DIV/0!</v>
      </c>
      <c r="AV381"/>
      <c r="AW381"/>
      <c r="FY381" s="212">
        <v>376</v>
      </c>
      <c r="FZ381">
        <v>0</v>
      </c>
      <c r="GA381">
        <v>7.763069477209454</v>
      </c>
      <c r="GB381">
        <v>8.2190857593805351</v>
      </c>
      <c r="GC381">
        <v>3.5969649261537207</v>
      </c>
      <c r="GD381">
        <v>0.95435158681407883</v>
      </c>
      <c r="GE381">
        <v>0</v>
      </c>
      <c r="GF381">
        <v>1.6027633530596492</v>
      </c>
      <c r="GG381">
        <v>6.8984058910480091</v>
      </c>
      <c r="GH381">
        <v>1.6229601285312325</v>
      </c>
      <c r="GI381">
        <v>9.7104085570914069</v>
      </c>
      <c r="GJ381"/>
      <c r="GK381"/>
      <c r="GL381"/>
      <c r="GM381"/>
    </row>
    <row r="382" spans="1:195" s="7" customFormat="1">
      <c r="A382" s="1"/>
      <c r="B382" s="71">
        <f t="shared" si="370"/>
        <v>39987</v>
      </c>
      <c r="C382" s="18">
        <f t="shared" si="360"/>
        <v>0</v>
      </c>
      <c r="D382" s="18">
        <f t="shared" si="361"/>
        <v>0</v>
      </c>
      <c r="E382" s="19">
        <f t="shared" si="362"/>
        <v>9.9999999999999995E-7</v>
      </c>
      <c r="F382" s="19">
        <f t="shared" si="368"/>
        <v>0</v>
      </c>
      <c r="G382" s="18">
        <f>AVERAGE(E318:E327)*G$372</f>
        <v>0</v>
      </c>
      <c r="H382" s="18">
        <f t="shared" ref="H382:AK382" si="374">AVERAGE(F318:F327)*H$372</f>
        <v>0</v>
      </c>
      <c r="I382" s="18">
        <f t="shared" si="374"/>
        <v>0</v>
      </c>
      <c r="J382" s="18">
        <f t="shared" si="374"/>
        <v>0</v>
      </c>
      <c r="K382" s="18">
        <f t="shared" si="374"/>
        <v>0</v>
      </c>
      <c r="L382" s="18">
        <f t="shared" si="374"/>
        <v>0</v>
      </c>
      <c r="M382" s="18">
        <f t="shared" si="374"/>
        <v>0</v>
      </c>
      <c r="N382" s="18">
        <f t="shared" si="374"/>
        <v>0</v>
      </c>
      <c r="O382" s="18">
        <f t="shared" si="374"/>
        <v>0</v>
      </c>
      <c r="P382" s="18">
        <f t="shared" si="374"/>
        <v>0</v>
      </c>
      <c r="Q382" s="18">
        <f t="shared" si="374"/>
        <v>0</v>
      </c>
      <c r="R382" s="18">
        <f t="shared" si="374"/>
        <v>0</v>
      </c>
      <c r="S382" s="18">
        <f t="shared" si="374"/>
        <v>0</v>
      </c>
      <c r="T382" s="18">
        <f t="shared" si="374"/>
        <v>0</v>
      </c>
      <c r="U382" s="18">
        <f t="shared" si="374"/>
        <v>0</v>
      </c>
      <c r="V382" s="18">
        <f t="shared" si="374"/>
        <v>0</v>
      </c>
      <c r="W382" s="18">
        <f t="shared" si="374"/>
        <v>0</v>
      </c>
      <c r="X382" s="18">
        <f t="shared" si="374"/>
        <v>0</v>
      </c>
      <c r="Y382" s="18">
        <f t="shared" si="374"/>
        <v>0</v>
      </c>
      <c r="Z382" s="18">
        <f t="shared" si="374"/>
        <v>0</v>
      </c>
      <c r="AA382" s="18">
        <f t="shared" si="374"/>
        <v>0</v>
      </c>
      <c r="AB382" s="18">
        <f t="shared" si="374"/>
        <v>0</v>
      </c>
      <c r="AC382" s="18">
        <f t="shared" si="374"/>
        <v>0</v>
      </c>
      <c r="AD382" s="18">
        <f t="shared" si="374"/>
        <v>0</v>
      </c>
      <c r="AE382" s="18">
        <f t="shared" si="374"/>
        <v>0</v>
      </c>
      <c r="AF382" s="18">
        <f t="shared" si="374"/>
        <v>0</v>
      </c>
      <c r="AG382" s="18">
        <f t="shared" si="374"/>
        <v>0</v>
      </c>
      <c r="AH382" s="18">
        <f t="shared" si="374"/>
        <v>0</v>
      </c>
      <c r="AI382" s="18">
        <f t="shared" si="374"/>
        <v>0</v>
      </c>
      <c r="AJ382" s="18">
        <f t="shared" si="374"/>
        <v>0</v>
      </c>
      <c r="AK382" s="18">
        <f t="shared" si="374"/>
        <v>0</v>
      </c>
      <c r="AL382" s="78"/>
      <c r="AM382" s="43">
        <v>366</v>
      </c>
      <c r="AN382">
        <v>12.844485294117646</v>
      </c>
      <c r="AO382">
        <v>44.219819773256184</v>
      </c>
      <c r="AP382">
        <v>1101.4793089785123</v>
      </c>
      <c r="AQ382">
        <v>69.478528213933231</v>
      </c>
      <c r="AR382">
        <v>40.233816429606414</v>
      </c>
      <c r="AS382">
        <v>215.11167058206675</v>
      </c>
      <c r="AT382" t="e">
        <v>#DIV/0!</v>
      </c>
      <c r="AU382" t="e">
        <v>#DIV/0!</v>
      </c>
      <c r="AV382"/>
      <c r="AW382"/>
      <c r="FY382" s="212">
        <v>377</v>
      </c>
      <c r="FZ382">
        <v>1.273472532445947</v>
      </c>
      <c r="GA382">
        <v>17.276453154035579</v>
      </c>
      <c r="GB382">
        <v>19.061926520318384</v>
      </c>
      <c r="GC382">
        <v>7.036265815445252</v>
      </c>
      <c r="GD382">
        <v>1.3353161329878991</v>
      </c>
      <c r="GE382">
        <v>0.71895619221013829</v>
      </c>
      <c r="GF382">
        <v>0.80138167652982462</v>
      </c>
      <c r="GG382">
        <v>2.7443043742915965</v>
      </c>
      <c r="GH382">
        <v>0</v>
      </c>
      <c r="GI382">
        <v>16.677445984769154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15.42647058823529</v>
      </c>
      <c r="AO383">
        <v>39.949979879508668</v>
      </c>
      <c r="AP383">
        <v>511.39582201923872</v>
      </c>
      <c r="AQ383">
        <v>78.375240918213251</v>
      </c>
      <c r="AR383">
        <v>36.318163526826062</v>
      </c>
      <c r="AS383">
        <v>291.63888327983005</v>
      </c>
      <c r="AT383" t="e">
        <v>#DIV/0!</v>
      </c>
      <c r="AU383" t="e">
        <v>#DIV/0!</v>
      </c>
      <c r="AV383"/>
      <c r="AW383"/>
      <c r="FY383" s="212">
        <v>378</v>
      </c>
      <c r="FZ383">
        <v>2.5838519790154595</v>
      </c>
      <c r="GA383">
        <v>11.835384422020329</v>
      </c>
      <c r="GB383">
        <v>10.778769864070233</v>
      </c>
      <c r="GC383">
        <v>4.9827041473249833</v>
      </c>
      <c r="GD383">
        <v>1.5171818030341035</v>
      </c>
      <c r="GE383">
        <v>0.35947809610506914</v>
      </c>
      <c r="GF383">
        <v>1.6027633530596492</v>
      </c>
      <c r="GG383">
        <v>5.4886087485831929</v>
      </c>
      <c r="GH383">
        <v>0</v>
      </c>
      <c r="GI383">
        <v>7.3781429580613622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11.747610294117644</v>
      </c>
      <c r="AO384">
        <v>26.499960307827298</v>
      </c>
      <c r="AP384">
        <v>365.6887770174385</v>
      </c>
      <c r="AQ384">
        <v>66.662223771961706</v>
      </c>
      <c r="AR384">
        <v>24.090873007115722</v>
      </c>
      <c r="AS384">
        <v>142.0809423084246</v>
      </c>
      <c r="AT384" t="e">
        <v>#DIV/0!</v>
      </c>
      <c r="AU384" t="e">
        <v>#DIV/0!</v>
      </c>
      <c r="AV384"/>
      <c r="AW384"/>
      <c r="FY384" s="212">
        <v>379</v>
      </c>
      <c r="FZ384">
        <v>0.36192247308739012</v>
      </c>
      <c r="GA384">
        <v>18.649482371504458</v>
      </c>
      <c r="GB384">
        <v>13.143033838885549</v>
      </c>
      <c r="GC384">
        <v>4.7492847396368747</v>
      </c>
      <c r="GD384">
        <v>2.1115503517646586</v>
      </c>
      <c r="GE384">
        <v>0.71895619221013829</v>
      </c>
      <c r="GF384">
        <v>0.80138167652982462</v>
      </c>
      <c r="GG384">
        <v>3.5759117604405652</v>
      </c>
      <c r="GH384">
        <v>1.6229601285312325</v>
      </c>
      <c r="GI384">
        <v>12.830950998722871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8.4632352941176432</v>
      </c>
      <c r="AO385">
        <v>17.897090740691752</v>
      </c>
      <c r="AP385">
        <v>221.31676825376692</v>
      </c>
      <c r="AQ385">
        <v>45.459220886599226</v>
      </c>
      <c r="AR385">
        <v>16.270082491537956</v>
      </c>
      <c r="AS385">
        <v>98.035542742454552</v>
      </c>
      <c r="AT385" t="e">
        <v>#DIV/0!</v>
      </c>
      <c r="AU385" t="e">
        <v>#DIV/0!</v>
      </c>
      <c r="AV385"/>
      <c r="AW385"/>
      <c r="FY385" s="212">
        <v>380</v>
      </c>
      <c r="FZ385">
        <v>0.53282936380325752</v>
      </c>
      <c r="GA385">
        <v>13.214540954740244</v>
      </c>
      <c r="GB385">
        <v>15.389370140490628</v>
      </c>
      <c r="GC385">
        <v>6.6412196730372868</v>
      </c>
      <c r="GD385">
        <v>1.4233271981324778</v>
      </c>
      <c r="GE385">
        <v>0</v>
      </c>
      <c r="GF385">
        <v>0</v>
      </c>
      <c r="GG385">
        <v>0.57818975631584713</v>
      </c>
      <c r="GH385">
        <v>0</v>
      </c>
      <c r="GI385">
        <v>11.354651311777831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8.1924019607843128</v>
      </c>
      <c r="AO386">
        <v>36.481947483642571</v>
      </c>
      <c r="AP386">
        <v>485.4835905156076</v>
      </c>
      <c r="AQ386">
        <v>34.488123386387997</v>
      </c>
      <c r="AR386">
        <v>33.199387075412226</v>
      </c>
      <c r="AS386">
        <v>133.74213425512974</v>
      </c>
      <c r="AT386" t="e">
        <v>#DIV/0!</v>
      </c>
      <c r="AU386" t="e">
        <v>#DIV/0!</v>
      </c>
      <c r="AV386"/>
      <c r="AW386"/>
      <c r="FY386" s="212">
        <v>381</v>
      </c>
      <c r="FZ386">
        <v>1.2533638407902918</v>
      </c>
      <c r="GA386">
        <v>22.490724581821095</v>
      </c>
      <c r="GB386">
        <v>14.567025231964495</v>
      </c>
      <c r="GC386">
        <v>3.5700632910829073</v>
      </c>
      <c r="GD386">
        <v>0.80586119148150304</v>
      </c>
      <c r="GE386">
        <v>0.35947809610506914</v>
      </c>
      <c r="GF386">
        <v>0</v>
      </c>
      <c r="GG386">
        <v>0.57818975631584713</v>
      </c>
      <c r="GH386">
        <v>0</v>
      </c>
      <c r="GI386">
        <v>12.048615697725529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12.174693627450978</v>
      </c>
      <c r="AO387">
        <v>32.140925507386996</v>
      </c>
      <c r="AP387">
        <v>405.90313349595101</v>
      </c>
      <c r="AQ387">
        <v>71.355754387824391</v>
      </c>
      <c r="AR387">
        <v>29.219023188533644</v>
      </c>
      <c r="AS387">
        <v>163.19257586538032</v>
      </c>
      <c r="AT387" t="e">
        <v>#DIV/0!</v>
      </c>
      <c r="AU387" t="e">
        <v>#DIV/0!</v>
      </c>
      <c r="AV387"/>
      <c r="AW387"/>
      <c r="FY387" s="212">
        <v>382</v>
      </c>
      <c r="FZ387">
        <v>0.74064316864268975</v>
      </c>
      <c r="GA387">
        <v>19.375033440794368</v>
      </c>
      <c r="GB387">
        <v>16.241350991618965</v>
      </c>
      <c r="GC387">
        <v>4.7835836071073521</v>
      </c>
      <c r="GD387">
        <v>0.92424752670787158</v>
      </c>
      <c r="GE387">
        <v>0.35947809610506914</v>
      </c>
      <c r="GF387">
        <v>0.80138167652982462</v>
      </c>
      <c r="GG387">
        <v>4.7322912730722599</v>
      </c>
      <c r="GH387">
        <v>1.6229601285312325</v>
      </c>
      <c r="GI387">
        <v>13.061499700676736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5">IF(C374&lt;1,0,LN(E374/E373)/E21)</f>
        <v>-8.6692320964470077E-2</v>
      </c>
      <c r="G388" s="13"/>
      <c r="H388" s="19">
        <f>IF(G406&lt;0,0,G406)</f>
        <v>5.0083745493670138E-2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6.447916666666667</v>
      </c>
      <c r="AO388">
        <v>35.87284051315693</v>
      </c>
      <c r="AP388">
        <v>464.61755417854795</v>
      </c>
      <c r="AQ388">
        <v>55.900026891947917</v>
      </c>
      <c r="AR388">
        <v>32.679633737980616</v>
      </c>
      <c r="AS388">
        <v>180.87993765585563</v>
      </c>
      <c r="AT388" t="e">
        <v>#DIV/0!</v>
      </c>
      <c r="AU388" t="e">
        <v>#DIV/0!</v>
      </c>
      <c r="AV388"/>
      <c r="AW388"/>
      <c r="FY388" s="212">
        <v>383</v>
      </c>
      <c r="FZ388">
        <v>0.89475183689064763</v>
      </c>
      <c r="GA388">
        <v>24.316856438246681</v>
      </c>
      <c r="GB388">
        <v>24.060741219097121</v>
      </c>
      <c r="GC388">
        <v>7.3922966232119229</v>
      </c>
      <c r="GD388">
        <v>0.77409227843552342</v>
      </c>
      <c r="GE388">
        <v>0</v>
      </c>
      <c r="GF388">
        <v>0.80138167652982462</v>
      </c>
      <c r="GG388">
        <v>5.8173162890543502</v>
      </c>
      <c r="GH388">
        <v>4.8688803855936991</v>
      </c>
      <c r="GI388">
        <v>12.772914734043155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5"/>
        <v>8.5575128293767344E-2</v>
      </c>
      <c r="G389" s="13"/>
      <c r="H389" s="19">
        <f t="shared" ref="H389:H398" si="376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9.4295955882352942</v>
      </c>
      <c r="AO389">
        <v>19.932606614625175</v>
      </c>
      <c r="AP389">
        <v>510.13405563443041</v>
      </c>
      <c r="AQ389">
        <v>31.988416856576865</v>
      </c>
      <c r="AR389">
        <v>18.154531739941859</v>
      </c>
      <c r="AS389">
        <v>125.14128727353679</v>
      </c>
      <c r="AT389" t="e">
        <v>#DIV/0!</v>
      </c>
      <c r="AU389" t="e">
        <v>#DIV/0!</v>
      </c>
      <c r="AV389"/>
      <c r="AW389"/>
      <c r="FY389" s="212">
        <v>384</v>
      </c>
      <c r="FZ389">
        <v>0.6836275628634696</v>
      </c>
      <c r="GA389">
        <v>15.731292863380858</v>
      </c>
      <c r="GB389">
        <v>9.3465906579821478</v>
      </c>
      <c r="GC389">
        <v>2.4855636923338777</v>
      </c>
      <c r="GD389">
        <v>1.3033880451091115</v>
      </c>
      <c r="GE389">
        <v>0.71895619221013829</v>
      </c>
      <c r="GF389">
        <v>1.6027633530596492</v>
      </c>
      <c r="GG389">
        <v>7.7300132771969778</v>
      </c>
      <c r="GH389">
        <v>3.245920257062465</v>
      </c>
      <c r="GI389">
        <v>9.073922378380022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5"/>
        <v>-1.2025044583108798E-2</v>
      </c>
      <c r="G390" s="13"/>
      <c r="H390" s="19">
        <f t="shared" si="376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8.7802083333333325</v>
      </c>
      <c r="AO390">
        <v>28.766452017089705</v>
      </c>
      <c r="AP390">
        <v>850.75328409659596</v>
      </c>
      <c r="AQ390">
        <v>76.685810342927013</v>
      </c>
      <c r="AR390">
        <v>26.185300287636881</v>
      </c>
      <c r="AS390">
        <v>157.29757958421189</v>
      </c>
      <c r="AT390" t="e">
        <v>#DIV/0!</v>
      </c>
      <c r="AU390" t="e">
        <v>#DIV/0!</v>
      </c>
      <c r="AV390"/>
      <c r="AW390"/>
      <c r="FY390" s="212">
        <v>385</v>
      </c>
      <c r="FZ390">
        <v>2.0141157010886368</v>
      </c>
      <c r="GA390">
        <v>22.092436945759058</v>
      </c>
      <c r="GB390">
        <v>12.412079995800887</v>
      </c>
      <c r="GC390">
        <v>3.1972727290593688</v>
      </c>
      <c r="GD390">
        <v>1.381020609899797</v>
      </c>
      <c r="GE390">
        <v>0.71895619221013829</v>
      </c>
      <c r="GF390">
        <v>1.6027633530596492</v>
      </c>
      <c r="GG390">
        <v>6.0667985048990403</v>
      </c>
      <c r="GH390">
        <v>0</v>
      </c>
      <c r="GI390">
        <v>12.146822237737606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5"/>
        <v>3.2235005150700921E-2</v>
      </c>
      <c r="G391" s="13"/>
      <c r="H391" s="19">
        <f t="shared" si="376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9.9927083333333329</v>
      </c>
      <c r="AO391">
        <v>51.148406385844147</v>
      </c>
      <c r="AP391">
        <v>926.25816565869366</v>
      </c>
      <c r="AQ391">
        <v>79.305638108413575</v>
      </c>
      <c r="AR391">
        <v>46.532531531959108</v>
      </c>
      <c r="AS391">
        <v>259.61249556649057</v>
      </c>
      <c r="AT391" t="e">
        <v>#DIV/0!</v>
      </c>
      <c r="AU391" t="e">
        <v>#DIV/0!</v>
      </c>
      <c r="AV391"/>
      <c r="AW391"/>
      <c r="FY391" s="212">
        <v>386</v>
      </c>
      <c r="FZ391">
        <v>1.4443794231618146</v>
      </c>
      <c r="GA391">
        <v>11.591913702755823</v>
      </c>
      <c r="GB391">
        <v>5.0633665904903813</v>
      </c>
      <c r="GC391">
        <v>1.2883738928400652</v>
      </c>
      <c r="GD391">
        <v>0.96843168658378376</v>
      </c>
      <c r="GE391">
        <v>0.35947809610506914</v>
      </c>
      <c r="GF391">
        <v>0</v>
      </c>
      <c r="GG391">
        <v>3.3264295445958738</v>
      </c>
      <c r="GH391">
        <v>6.49184051412493</v>
      </c>
      <c r="GI391">
        <v>4.9366565540686995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5"/>
        <v>2.2468299678438813E-2</v>
      </c>
      <c r="G392" s="13"/>
      <c r="H392" s="19">
        <f t="shared" si="376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6.2979166666666666</v>
      </c>
      <c r="AO392">
        <v>38.959053291992745</v>
      </c>
      <c r="AP392">
        <v>853.75372992871246</v>
      </c>
      <c r="AQ392">
        <v>40.368009679288086</v>
      </c>
      <c r="AR392">
        <v>35.417321174538856</v>
      </c>
      <c r="AS392">
        <v>163.26181599848439</v>
      </c>
      <c r="AT392" t="e">
        <v>#DIV/0!</v>
      </c>
      <c r="AU392" t="e">
        <v>#DIV/0!</v>
      </c>
      <c r="AV392"/>
      <c r="AW392"/>
      <c r="FY392" s="212">
        <v>387</v>
      </c>
      <c r="FZ392">
        <v>1.4812863372853795</v>
      </c>
      <c r="GA392">
        <v>25.308480123319875</v>
      </c>
      <c r="GB392">
        <v>16.205401081177278</v>
      </c>
      <c r="GC392">
        <v>4.1163174498671493</v>
      </c>
      <c r="GD392">
        <v>1.0812265427951546</v>
      </c>
      <c r="GE392">
        <v>0.35947809610506914</v>
      </c>
      <c r="GF392">
        <v>0.80138167652982462</v>
      </c>
      <c r="GG392">
        <v>3.9006838869232907</v>
      </c>
      <c r="GH392">
        <v>0</v>
      </c>
      <c r="GI392">
        <v>8.1078385756342328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5"/>
        <v>0</v>
      </c>
      <c r="G393" s="13"/>
      <c r="H393" s="19" t="e">
        <f t="shared" si="376"/>
        <v>#DIV/0!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13.643443627450981</v>
      </c>
      <c r="AO393">
        <v>42.499934717993646</v>
      </c>
      <c r="AP393">
        <v>316.76805511419798</v>
      </c>
      <c r="AQ393">
        <v>66.925522383033766</v>
      </c>
      <c r="AR393">
        <v>38.670284561185923</v>
      </c>
      <c r="AS393">
        <v>229.90500529941093</v>
      </c>
      <c r="AT393" t="e">
        <v>#DIV/0!</v>
      </c>
      <c r="AU393" t="e">
        <v>#DIV/0!</v>
      </c>
      <c r="AV393"/>
      <c r="AW393"/>
      <c r="FY393" s="212">
        <v>388</v>
      </c>
      <c r="FZ393">
        <v>0.3418137814317348</v>
      </c>
      <c r="GA393">
        <v>22.238932474283786</v>
      </c>
      <c r="GB393">
        <v>19.027497940981128</v>
      </c>
      <c r="GC393">
        <v>5.678493233203195</v>
      </c>
      <c r="GD393">
        <v>0.93300051616058288</v>
      </c>
      <c r="GE393">
        <v>0</v>
      </c>
      <c r="GF393">
        <v>0</v>
      </c>
      <c r="GG393">
        <v>0.57818975631584713</v>
      </c>
      <c r="GH393">
        <v>0</v>
      </c>
      <c r="GI393">
        <v>9.1507828831945091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5"/>
        <v>0.24868641438219299</v>
      </c>
      <c r="G394" s="13"/>
      <c r="H394" s="19">
        <f t="shared" si="376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12.979289215686276</v>
      </c>
      <c r="AO394">
        <v>23.314901358021871</v>
      </c>
      <c r="AP394">
        <v>515.42136546589791</v>
      </c>
      <c r="AQ394">
        <v>46.526885371274389</v>
      </c>
      <c r="AR394">
        <v>21.229345143029768</v>
      </c>
      <c r="AS394">
        <v>118.05302622377978</v>
      </c>
      <c r="AT394" t="e">
        <v>#DIV/0!</v>
      </c>
      <c r="AU394" t="e">
        <v>#DIV/0!</v>
      </c>
      <c r="AV394"/>
      <c r="AW394"/>
      <c r="FY394" s="212">
        <v>389</v>
      </c>
      <c r="FZ394">
        <v>2.2219295059280695</v>
      </c>
      <c r="GA394">
        <v>20.468684917514334</v>
      </c>
      <c r="GB394">
        <v>17.904771422629388</v>
      </c>
      <c r="GC394">
        <v>5.5735919234307705</v>
      </c>
      <c r="GD394">
        <v>0.78515089336678956</v>
      </c>
      <c r="GE394">
        <v>0.35947809610506914</v>
      </c>
      <c r="GF394">
        <v>0.80138167652982462</v>
      </c>
      <c r="GG394">
        <v>3.9006838869232907</v>
      </c>
      <c r="GH394">
        <v>0</v>
      </c>
      <c r="GI394">
        <v>10.137269579075262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5"/>
        <v>0</v>
      </c>
      <c r="G395" s="13"/>
      <c r="H395" s="19">
        <f t="shared" si="376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8.513541666666665</v>
      </c>
      <c r="AO395">
        <v>36.455818665425362</v>
      </c>
      <c r="AP395">
        <v>581.25256182560838</v>
      </c>
      <c r="AQ395">
        <v>58.565434531313556</v>
      </c>
      <c r="AR395">
        <v>33.175633604305666</v>
      </c>
      <c r="AS395">
        <v>192.66505420826724</v>
      </c>
      <c r="AT395" t="e">
        <v>#DIV/0!</v>
      </c>
      <c r="AU395" t="e">
        <v>#DIV/0!</v>
      </c>
      <c r="AV395"/>
      <c r="AW395"/>
      <c r="FY395" s="212">
        <v>390</v>
      </c>
      <c r="FZ395">
        <v>3.6495107066219754</v>
      </c>
      <c r="GA395">
        <v>31.122548552353869</v>
      </c>
      <c r="GB395">
        <v>17.374112866508312</v>
      </c>
      <c r="GC395">
        <v>2.9802897119142573</v>
      </c>
      <c r="GD395">
        <v>0.5095166630506226</v>
      </c>
      <c r="GE395">
        <v>0</v>
      </c>
      <c r="GF395">
        <v>1.6027633530596492</v>
      </c>
      <c r="GG395">
        <v>6.8984058910480091</v>
      </c>
      <c r="GH395">
        <v>1.6229601285312325</v>
      </c>
      <c r="GI395">
        <v>15.894449632034599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5"/>
        <v>0</v>
      </c>
      <c r="G396" s="13"/>
      <c r="H396" s="19" t="e">
        <f t="shared" si="376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9.1979166666666679</v>
      </c>
      <c r="AO396">
        <v>35.925716716528498</v>
      </c>
      <c r="AP396">
        <v>521.44039728487724</v>
      </c>
      <c r="AQ396">
        <v>49.134128398297563</v>
      </c>
      <c r="AR396">
        <v>32.693722741672147</v>
      </c>
      <c r="AS396">
        <v>357.32666874491463</v>
      </c>
      <c r="AT396" t="e">
        <v>#DIV/0!</v>
      </c>
      <c r="AU396" t="e">
        <v>#DIV/0!</v>
      </c>
      <c r="AV396"/>
      <c r="AW396"/>
      <c r="FY396" s="212">
        <v>391</v>
      </c>
      <c r="FZ396">
        <v>2.3928363966439363</v>
      </c>
      <c r="GA396">
        <v>10.762167513588118</v>
      </c>
      <c r="GB396">
        <v>7.9825520986389371</v>
      </c>
      <c r="GC396">
        <v>2.6642570754307799</v>
      </c>
      <c r="GD396">
        <v>0.36849080807176443</v>
      </c>
      <c r="GE396">
        <v>0</v>
      </c>
      <c r="GF396">
        <v>0.80138167652982462</v>
      </c>
      <c r="GG396">
        <v>3.9006838869232907</v>
      </c>
      <c r="GH396">
        <v>0</v>
      </c>
      <c r="GI396">
        <v>4.4043114454752423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5"/>
        <v>0</v>
      </c>
      <c r="G397" s="13"/>
      <c r="H397" s="19">
        <f t="shared" si="376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11.640318627450979</v>
      </c>
      <c r="AO397">
        <v>39.959954495242435</v>
      </c>
      <c r="AP397">
        <v>501.32481023986827</v>
      </c>
      <c r="AQ397">
        <v>55.673321687286744</v>
      </c>
      <c r="AR397">
        <v>36.327231359311305</v>
      </c>
      <c r="AS397">
        <v>218.01818308580684</v>
      </c>
      <c r="AT397" t="e">
        <v>#DIV/0!</v>
      </c>
      <c r="AU397" t="e">
        <v>#DIV/0!</v>
      </c>
      <c r="AV397"/>
      <c r="AW397"/>
      <c r="FY397" s="212">
        <v>392</v>
      </c>
      <c r="FZ397">
        <v>0</v>
      </c>
      <c r="GA397">
        <v>20.310884018106314</v>
      </c>
      <c r="GB397">
        <v>20.584005877003548</v>
      </c>
      <c r="GC397">
        <v>6.3834437510212254</v>
      </c>
      <c r="GD397">
        <v>0.65967191132297065</v>
      </c>
      <c r="GE397">
        <v>0.35947809610506914</v>
      </c>
      <c r="GF397">
        <v>1.6027633530596492</v>
      </c>
      <c r="GG397">
        <v>6.3202161347321617</v>
      </c>
      <c r="GH397">
        <v>1.6229601285312325</v>
      </c>
      <c r="GI397">
        <v>17.693866976473174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5"/>
        <v>0</v>
      </c>
      <c r="G398" s="13"/>
      <c r="H398" s="19">
        <f t="shared" si="376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11.36219362745098</v>
      </c>
      <c r="AO398">
        <v>38.545914648723098</v>
      </c>
      <c r="AP398">
        <v>785.838796031161</v>
      </c>
      <c r="AQ398">
        <v>62.642469609786374</v>
      </c>
      <c r="AR398">
        <v>35.041740589748272</v>
      </c>
      <c r="AS398">
        <v>213.97063602522564</v>
      </c>
      <c r="AT398" t="e">
        <v>#DIV/0!</v>
      </c>
      <c r="AU398" t="e">
        <v>#DIV/0!</v>
      </c>
      <c r="AV398"/>
      <c r="AW398"/>
      <c r="FY398" s="212">
        <v>393</v>
      </c>
      <c r="FZ398">
        <v>0.1709068907158674</v>
      </c>
      <c r="GA398">
        <v>12.578502686464963</v>
      </c>
      <c r="GB398">
        <v>10.861324595790114</v>
      </c>
      <c r="GC398">
        <v>3.8763821383946473</v>
      </c>
      <c r="GD398">
        <v>0.85172484322620901</v>
      </c>
      <c r="GE398">
        <v>0</v>
      </c>
      <c r="GF398">
        <v>0</v>
      </c>
      <c r="GG398">
        <v>2.241404528613784</v>
      </c>
      <c r="GH398">
        <v>3.245920257062465</v>
      </c>
      <c r="GI398">
        <v>12.095567784285661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9.9718750000000007</v>
      </c>
      <c r="AO399">
        <v>34.565335531362265</v>
      </c>
      <c r="AP399">
        <v>612.95818326916674</v>
      </c>
      <c r="AQ399">
        <v>81.699231481102913</v>
      </c>
      <c r="AR399">
        <v>31.490992845440012</v>
      </c>
      <c r="AS399">
        <v>171.57765234879693</v>
      </c>
      <c r="AT399" t="e">
        <v>#DIV/0!</v>
      </c>
      <c r="AU399" t="e">
        <v>#DIV/0!</v>
      </c>
      <c r="AV399"/>
      <c r="AW399"/>
      <c r="FY399" s="212">
        <v>394</v>
      </c>
      <c r="FZ399">
        <v>2.3760381741760268</v>
      </c>
      <c r="GA399">
        <v>22.747284089125667</v>
      </c>
      <c r="GB399">
        <v>15.924210191436467</v>
      </c>
      <c r="GC399">
        <v>4.4453522228171662</v>
      </c>
      <c r="GD399">
        <v>0.86746528563117464</v>
      </c>
      <c r="GE399">
        <v>0</v>
      </c>
      <c r="GF399">
        <v>1.6027633530596492</v>
      </c>
      <c r="GG399">
        <v>6.0667985048990403</v>
      </c>
      <c r="GH399">
        <v>0</v>
      </c>
      <c r="GI399">
        <v>14.796269740910411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6.3812499999999988</v>
      </c>
      <c r="AO400">
        <v>39.462121417606689</v>
      </c>
      <c r="AP400">
        <v>838.83421210061465</v>
      </c>
      <c r="AQ400">
        <v>51.922038279578715</v>
      </c>
      <c r="AR400">
        <v>35.874655834187891</v>
      </c>
      <c r="AS400">
        <v>163.53983502408548</v>
      </c>
      <c r="AT400" t="e">
        <v>#DIV/0!</v>
      </c>
      <c r="AU400" t="e">
        <v>#DIV/0!</v>
      </c>
      <c r="AV400"/>
      <c r="AW400"/>
      <c r="FY400" s="212">
        <v>395</v>
      </c>
      <c r="FZ400">
        <v>0.36192247308739012</v>
      </c>
      <c r="GA400">
        <v>26.817800957564984</v>
      </c>
      <c r="GB400">
        <v>19.508244237306123</v>
      </c>
      <c r="GC400">
        <v>4.4820632011033421</v>
      </c>
      <c r="GD400">
        <v>0.95815838009508658</v>
      </c>
      <c r="GE400">
        <v>0.71895619221013829</v>
      </c>
      <c r="GF400">
        <v>0</v>
      </c>
      <c r="GG400">
        <v>0.57818975631584713</v>
      </c>
      <c r="GH400">
        <v>0</v>
      </c>
      <c r="GI400">
        <v>9.4424464219658422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13.224387254901961</v>
      </c>
      <c r="AO401">
        <v>39.714323478905932</v>
      </c>
      <c r="AP401">
        <v>806.5506589699969</v>
      </c>
      <c r="AQ401">
        <v>61.63226626951419</v>
      </c>
      <c r="AR401">
        <v>36.137910707469821</v>
      </c>
      <c r="AS401">
        <v>201.30385376983423</v>
      </c>
      <c r="AT401" t="e">
        <v>#DIV/0!</v>
      </c>
      <c r="AU401" t="e">
        <v>#DIV/0!</v>
      </c>
      <c r="AV401"/>
      <c r="AW401"/>
      <c r="FY401" s="212">
        <v>396</v>
      </c>
      <c r="FZ401">
        <v>0</v>
      </c>
      <c r="GA401">
        <v>15.310755079500971</v>
      </c>
      <c r="GB401">
        <v>9.0804476748570693</v>
      </c>
      <c r="GC401">
        <v>2.4515995513359146</v>
      </c>
      <c r="GD401">
        <v>1.1090294877273186</v>
      </c>
      <c r="GE401">
        <v>0.35947809610506914</v>
      </c>
      <c r="GF401">
        <v>0.80138167652982462</v>
      </c>
      <c r="GG401">
        <v>4.7322912730722599</v>
      </c>
      <c r="GH401">
        <v>1.6229601285312325</v>
      </c>
      <c r="GI401">
        <v>6.4786222800148714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6.5569852941176467</v>
      </c>
      <c r="AO402">
        <v>22.914311532404092</v>
      </c>
      <c r="AP402">
        <v>438.730491059727</v>
      </c>
      <c r="AQ402">
        <v>35.470870004726443</v>
      </c>
      <c r="AR402">
        <v>20.86517257428633</v>
      </c>
      <c r="AS402">
        <v>102.39380368128201</v>
      </c>
      <c r="AT402" t="e">
        <v>#DIV/0!</v>
      </c>
      <c r="AU402" t="e">
        <v>#DIV/0!</v>
      </c>
      <c r="AV402"/>
      <c r="AW402"/>
      <c r="FY402" s="212">
        <v>397</v>
      </c>
      <c r="FZ402">
        <v>0.53282936380325752</v>
      </c>
      <c r="GA402">
        <v>14.72369511759163</v>
      </c>
      <c r="GB402">
        <v>12.797941976951703</v>
      </c>
      <c r="GC402">
        <v>5.6567973852217524</v>
      </c>
      <c r="GD402">
        <v>2.0087599230394688</v>
      </c>
      <c r="GE402">
        <v>0</v>
      </c>
      <c r="GF402">
        <v>0.80138167652982462</v>
      </c>
      <c r="GG402">
        <v>3.9006838869232907</v>
      </c>
      <c r="GH402">
        <v>0</v>
      </c>
      <c r="GI402">
        <v>8.3264740296917665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10.72126225490196</v>
      </c>
      <c r="AO403">
        <v>26.34710596184134</v>
      </c>
      <c r="AP403">
        <v>815.57325788208311</v>
      </c>
      <c r="AQ403">
        <v>61.362093769637255</v>
      </c>
      <c r="AR403">
        <v>23.951914510764858</v>
      </c>
      <c r="AS403">
        <v>153.618153146976</v>
      </c>
      <c r="AT403" t="e">
        <v>#DIV/0!</v>
      </c>
      <c r="AU403" t="e">
        <v>#DIV/0!</v>
      </c>
      <c r="AV403"/>
      <c r="AW403"/>
      <c r="FY403" s="212">
        <v>398</v>
      </c>
      <c r="FZ403">
        <v>1.273472532445947</v>
      </c>
      <c r="GA403">
        <v>14.324166095791831</v>
      </c>
      <c r="GB403">
        <v>9.3776410545669329</v>
      </c>
      <c r="GC403">
        <v>2.3946669015450217</v>
      </c>
      <c r="GD403">
        <v>1.0093299929232531</v>
      </c>
      <c r="GE403">
        <v>1.0784342883152076</v>
      </c>
      <c r="GF403">
        <v>0</v>
      </c>
      <c r="GG403">
        <v>0</v>
      </c>
      <c r="GH403">
        <v>0</v>
      </c>
      <c r="GI403">
        <v>4.7459392303859369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7.7083333333333339</v>
      </c>
      <c r="AO404">
        <v>25.71722518835649</v>
      </c>
      <c r="AP404">
        <v>325.91097620999528</v>
      </c>
      <c r="AQ404">
        <v>57.94871058557078</v>
      </c>
      <c r="AR404">
        <v>23.379295625778628</v>
      </c>
      <c r="AS404">
        <v>162.12762483633992</v>
      </c>
      <c r="AT404" t="e">
        <v>#DIV/0!</v>
      </c>
      <c r="AU404" t="e">
        <v>#DIV/0!</v>
      </c>
      <c r="AV404"/>
      <c r="AW404"/>
      <c r="FY404" s="212">
        <v>399</v>
      </c>
      <c r="FZ404">
        <v>0.1709068907158674</v>
      </c>
      <c r="GA404">
        <v>11.32183143442068</v>
      </c>
      <c r="GB404">
        <v>9.2612062607642383</v>
      </c>
      <c r="GC404">
        <v>2.922940250006056</v>
      </c>
      <c r="GD404">
        <v>0.84661496191718599</v>
      </c>
      <c r="GE404">
        <v>0.35947809610506914</v>
      </c>
      <c r="GF404">
        <v>0.80138167652982462</v>
      </c>
      <c r="GG404">
        <v>3.5759117604405652</v>
      </c>
      <c r="GH404">
        <v>1.6229601285312325</v>
      </c>
      <c r="GI404">
        <v>5.9145403598029844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7">+C4</f>
        <v>39646</v>
      </c>
      <c r="C405" s="61">
        <v>0</v>
      </c>
      <c r="D405" s="61">
        <f t="shared" ref="D405:D414" si="378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6</v>
      </c>
      <c r="E405" s="108">
        <f t="shared" ref="E405:E414" si="379">IF(D405=0,0.00000001,(1-$A$43/100)*($A$39*(D405^($A$41))))</f>
        <v>0.71766334676873855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14.590747549019607</v>
      </c>
      <c r="AO405">
        <v>25.543736565171947</v>
      </c>
      <c r="AP405">
        <v>760.10824822679479</v>
      </c>
      <c r="AQ405">
        <v>62.1529419015028</v>
      </c>
      <c r="AR405">
        <v>23.221578695610862</v>
      </c>
      <c r="AS405">
        <v>143.70601217630178</v>
      </c>
      <c r="AT405" t="e">
        <v>#DIV/0!</v>
      </c>
      <c r="AU405" t="e">
        <v>#DIV/0!</v>
      </c>
      <c r="AV405"/>
      <c r="AW405"/>
      <c r="FY405" s="212">
        <v>400</v>
      </c>
      <c r="FZ405">
        <v>1.10256564173008</v>
      </c>
      <c r="GA405">
        <v>23.097834804559529</v>
      </c>
      <c r="GB405">
        <v>16.049233706108097</v>
      </c>
      <c r="GC405">
        <v>3.9699357207261974</v>
      </c>
      <c r="GD405">
        <v>1.0917687282863671</v>
      </c>
      <c r="GE405">
        <v>0.35947809610506914</v>
      </c>
      <c r="GF405">
        <v>0.80138167652982462</v>
      </c>
      <c r="GG405">
        <v>6.0707339188874716</v>
      </c>
      <c r="GH405">
        <v>6.49184051412493</v>
      </c>
      <c r="GI405">
        <v>8.7351385111935844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7"/>
        <v>39673</v>
      </c>
      <c r="C406" s="61">
        <f>B406-B405</f>
        <v>27</v>
      </c>
      <c r="D406" s="61">
        <f t="shared" si="378"/>
        <v>2.3333333333333335</v>
      </c>
      <c r="E406" s="108">
        <f t="shared" si="379"/>
        <v>4.9841152557291074E-2</v>
      </c>
      <c r="F406" s="19">
        <f t="shared" ref="F406:F414" si="380">IF(C374&lt;1,0,LN(E406/E405)/E21)</f>
        <v>-9.8783688272835693E-2</v>
      </c>
      <c r="G406" s="19">
        <f t="shared" ref="G406:G414" si="381">IF(D406=0, 0, 0.051-(0.068*LN(D406))+(0.006*A406))</f>
        <v>5.0083745493670138E-2</v>
      </c>
      <c r="H406" s="19">
        <f t="shared" ref="H406:H414" si="382">+IF((G406&gt;0),G406,0)</f>
        <v>5.0083745493670138E-2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18.354289215686276</v>
      </c>
      <c r="AO406">
        <v>64.581598828778894</v>
      </c>
      <c r="AP406">
        <v>1117.4625763569252</v>
      </c>
      <c r="AQ406">
        <v>81.654557505122526</v>
      </c>
      <c r="AR406">
        <v>58.812485206101371</v>
      </c>
      <c r="AS406">
        <v>260.72088905535048</v>
      </c>
      <c r="AT406" t="e">
        <v>#DIV/0!</v>
      </c>
      <c r="AU406" t="e">
        <v>#DIV/0!</v>
      </c>
      <c r="AV406"/>
      <c r="AW406"/>
      <c r="FY406" s="212">
        <v>401</v>
      </c>
      <c r="FZ406">
        <v>2.3928363966439363</v>
      </c>
      <c r="GA406">
        <v>10.204670920986578</v>
      </c>
      <c r="GB406">
        <v>9.077752540080585</v>
      </c>
      <c r="GC406">
        <v>3.5215475017020252</v>
      </c>
      <c r="GD406">
        <v>0.64350341508268183</v>
      </c>
      <c r="GE406">
        <v>0.35947809610506914</v>
      </c>
      <c r="GF406">
        <v>1.6027633530596492</v>
      </c>
      <c r="GG406">
        <v>6.0667985048990403</v>
      </c>
      <c r="GH406">
        <v>0</v>
      </c>
      <c r="GI406">
        <v>8.4642335062823779</v>
      </c>
      <c r="GJ406"/>
      <c r="GK406"/>
      <c r="GL406"/>
      <c r="GM406"/>
    </row>
    <row r="407" spans="1:195" s="7" customFormat="1">
      <c r="A407" s="189">
        <v>4.03</v>
      </c>
      <c r="B407" s="71">
        <f t="shared" si="377"/>
        <v>39714</v>
      </c>
      <c r="C407" s="61">
        <f>B407-$B$405</f>
        <v>68</v>
      </c>
      <c r="D407" s="61">
        <f t="shared" si="378"/>
        <v>8.9166666666666679</v>
      </c>
      <c r="E407" s="108">
        <f t="shared" si="379"/>
        <v>2.1968155009611725</v>
      </c>
      <c r="F407" s="19">
        <f t="shared" si="380"/>
        <v>9.233958760452797E-2</v>
      </c>
      <c r="G407" s="19">
        <f t="shared" si="381"/>
        <v>-7.3598708557825604E-2</v>
      </c>
      <c r="H407" s="19">
        <f t="shared" si="382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10.663664215686273</v>
      </c>
      <c r="AO407">
        <v>13.070158343529741</v>
      </c>
      <c r="AP407">
        <v>682.19443499010993</v>
      </c>
      <c r="AQ407">
        <v>33.276680901301894</v>
      </c>
      <c r="AR407">
        <v>11.881962130481583</v>
      </c>
      <c r="AS407">
        <v>82.600470786961182</v>
      </c>
      <c r="AT407" t="e">
        <v>#DIV/0!</v>
      </c>
      <c r="AU407" t="e">
        <v>#DIV/0!</v>
      </c>
      <c r="AV407"/>
      <c r="AW407"/>
      <c r="FY407" s="212">
        <v>402</v>
      </c>
      <c r="FZ407">
        <v>0.72384494617478023</v>
      </c>
      <c r="GA407">
        <v>7.3766292434497167</v>
      </c>
      <c r="GB407">
        <v>14.134119263216874</v>
      </c>
      <c r="GC407">
        <v>5.9363575194103984</v>
      </c>
      <c r="GD407">
        <v>0.51165860339185809</v>
      </c>
      <c r="GE407">
        <v>0</v>
      </c>
      <c r="GF407">
        <v>0</v>
      </c>
      <c r="GG407">
        <v>1.9879868987806626</v>
      </c>
      <c r="GH407">
        <v>1.6229601285312325</v>
      </c>
      <c r="GI407">
        <v>6.3145620589216591</v>
      </c>
      <c r="GJ407"/>
      <c r="GK407"/>
      <c r="GL407"/>
      <c r="GM407"/>
    </row>
    <row r="408" spans="1:195" s="7" customFormat="1">
      <c r="A408" s="189">
        <v>0.78</v>
      </c>
      <c r="B408" s="71">
        <f t="shared" si="377"/>
        <v>39747</v>
      </c>
      <c r="C408" s="61">
        <f t="shared" ref="C408:C414" si="383">B408-$B$405</f>
        <v>101</v>
      </c>
      <c r="D408" s="61">
        <f t="shared" si="378"/>
        <v>7.6174999999999997</v>
      </c>
      <c r="E408" s="108">
        <f t="shared" si="379"/>
        <v>1.4081860256027436</v>
      </c>
      <c r="F408" s="19">
        <f t="shared" si="380"/>
        <v>-1.3475952808982096E-2</v>
      </c>
      <c r="G408" s="19">
        <f t="shared" si="381"/>
        <v>-8.2390479767685446E-2</v>
      </c>
      <c r="H408" s="19">
        <f t="shared" si="382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11.777083333333332</v>
      </c>
      <c r="AO408">
        <v>45.205936685229368</v>
      </c>
      <c r="AP408">
        <v>773.57781610190602</v>
      </c>
      <c r="AQ408">
        <v>75.537290246355354</v>
      </c>
      <c r="AR408">
        <v>41.096306077481245</v>
      </c>
      <c r="AS408">
        <v>215.6546214937793</v>
      </c>
      <c r="AT408" t="e">
        <v>#DIV/0!</v>
      </c>
      <c r="AU408" t="e">
        <v>#DIV/0!</v>
      </c>
      <c r="AV408"/>
      <c r="AW408"/>
      <c r="FY408" s="212">
        <v>403</v>
      </c>
      <c r="FZ408">
        <v>1.10256564173008</v>
      </c>
      <c r="GA408">
        <v>24.372796217401646</v>
      </c>
      <c r="GB408">
        <v>17.323650143966919</v>
      </c>
      <c r="GC408">
        <v>4.3753997414199297</v>
      </c>
      <c r="GD408">
        <v>1.0689164898304182</v>
      </c>
      <c r="GE408">
        <v>0.35947809610506914</v>
      </c>
      <c r="GF408">
        <v>1.6027633530596492</v>
      </c>
      <c r="GG408">
        <v>8.3082030335128252</v>
      </c>
      <c r="GH408">
        <v>3.245920257062465</v>
      </c>
      <c r="GI408">
        <v>12.178422733585029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7"/>
        <v>39775</v>
      </c>
      <c r="C409" s="61">
        <f t="shared" si="383"/>
        <v>129</v>
      </c>
      <c r="D409" s="61">
        <f t="shared" si="378"/>
        <v>9.5436337625178815</v>
      </c>
      <c r="E409" s="108">
        <f t="shared" si="379"/>
        <v>2.6615418971177478</v>
      </c>
      <c r="F409" s="19">
        <f t="shared" si="380"/>
        <v>2.2735830212881791E-2</v>
      </c>
      <c r="G409" s="19">
        <f t="shared" si="381"/>
        <v>-0.10155945311234797</v>
      </c>
      <c r="H409" s="19">
        <f t="shared" si="382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8.2604166666666679</v>
      </c>
      <c r="AO409">
        <v>41.115403385751286</v>
      </c>
      <c r="AP409">
        <v>455.11639532775899</v>
      </c>
      <c r="AQ409">
        <v>45.921733724553711</v>
      </c>
      <c r="AR409">
        <v>37.377639441592066</v>
      </c>
      <c r="AS409">
        <v>233.43217811596361</v>
      </c>
      <c r="AT409" t="e">
        <v>#DIV/0!</v>
      </c>
      <c r="AU409" t="e">
        <v>#DIV/0!</v>
      </c>
      <c r="AV409"/>
      <c r="AW409"/>
      <c r="FY409" s="212">
        <v>404</v>
      </c>
      <c r="FZ409">
        <v>0.53282936380325752</v>
      </c>
      <c r="GA409">
        <v>23.833065653721874</v>
      </c>
      <c r="GB409">
        <v>24.346062821811767</v>
      </c>
      <c r="GC409">
        <v>9.0162411763225947</v>
      </c>
      <c r="GD409">
        <v>2.0659510687179563</v>
      </c>
      <c r="GE409">
        <v>0.35947809610506914</v>
      </c>
      <c r="GF409">
        <v>0.80138167652982462</v>
      </c>
      <c r="GG409">
        <v>4.1541015167564126</v>
      </c>
      <c r="GH409">
        <v>1.6229601285312325</v>
      </c>
      <c r="GI409">
        <v>14.240119519477302</v>
      </c>
      <c r="GJ409"/>
      <c r="GK409"/>
      <c r="GL409"/>
      <c r="GM409"/>
    </row>
    <row r="410" spans="1:195" s="7" customFormat="1">
      <c r="A410" s="189">
        <v>0.21</v>
      </c>
      <c r="B410" s="71">
        <f t="shared" si="377"/>
        <v>39799</v>
      </c>
      <c r="C410" s="61">
        <f t="shared" si="383"/>
        <v>153</v>
      </c>
      <c r="D410" s="61">
        <f t="shared" si="378"/>
        <v>13.000000000000002</v>
      </c>
      <c r="E410" s="108">
        <f t="shared" si="379"/>
        <v>6.3708541374943737</v>
      </c>
      <c r="F410" s="19">
        <f t="shared" si="380"/>
        <v>3.636783052866617E-2</v>
      </c>
      <c r="G410" s="19">
        <f t="shared" si="381"/>
        <v>-0.12215655630738452</v>
      </c>
      <c r="H410" s="19">
        <f t="shared" si="382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14.786887254901959</v>
      </c>
      <c r="AO410">
        <v>50.856465386664091</v>
      </c>
      <c r="AP410">
        <v>898.81974224526141</v>
      </c>
      <c r="AQ410">
        <v>68.826181562055609</v>
      </c>
      <c r="AR410">
        <v>46.301110895714402</v>
      </c>
      <c r="AS410">
        <v>230.50006174655593</v>
      </c>
      <c r="AT410" t="e">
        <v>#DIV/0!</v>
      </c>
      <c r="AU410" t="e">
        <v>#DIV/0!</v>
      </c>
      <c r="AV410"/>
      <c r="AW410"/>
      <c r="FY410" s="212">
        <v>405</v>
      </c>
      <c r="FZ410">
        <v>2.1850225918045041</v>
      </c>
      <c r="GA410">
        <v>16.676304404086174</v>
      </c>
      <c r="GB410">
        <v>14.162627780674063</v>
      </c>
      <c r="GC410">
        <v>4.2685597963458815</v>
      </c>
      <c r="GD410">
        <v>0.44764368989843573</v>
      </c>
      <c r="GE410">
        <v>0</v>
      </c>
      <c r="GF410">
        <v>1.6027633530596492</v>
      </c>
      <c r="GG410">
        <v>6.8984058910480091</v>
      </c>
      <c r="GH410">
        <v>1.6229601285312325</v>
      </c>
      <c r="GI410">
        <v>11.657168082157819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3"/>
        <v>201</v>
      </c>
      <c r="D411" s="61" t="e">
        <f t="shared" si="378"/>
        <v>#DIV/0!</v>
      </c>
      <c r="E411" s="108" t="e">
        <f t="shared" si="379"/>
        <v>#DIV/0!</v>
      </c>
      <c r="F411" s="19">
        <f t="shared" si="380"/>
        <v>0</v>
      </c>
      <c r="G411" s="19" t="e">
        <f t="shared" si="381"/>
        <v>#DIV/0!</v>
      </c>
      <c r="H411" s="19" t="e">
        <f t="shared" si="382"/>
        <v>#DIV/0!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7.770833333333333</v>
      </c>
      <c r="AO411">
        <v>28.972379077227867</v>
      </c>
      <c r="AP411">
        <v>720.09676730762044</v>
      </c>
      <c r="AQ411">
        <v>62.867781619648746</v>
      </c>
      <c r="AR411">
        <v>26.372506705944303</v>
      </c>
      <c r="AS411">
        <v>182.92118931350808</v>
      </c>
      <c r="AT411" t="e">
        <v>#DIV/0!</v>
      </c>
      <c r="AU411" t="e">
        <v>#DIV/0!</v>
      </c>
      <c r="AV411"/>
      <c r="AW411"/>
      <c r="FY411" s="212">
        <v>406</v>
      </c>
      <c r="FZ411">
        <v>0</v>
      </c>
      <c r="GA411">
        <v>9.9265520691339546</v>
      </c>
      <c r="GB411">
        <v>11.135515618176836</v>
      </c>
      <c r="GC411">
        <v>4.7422164369222557</v>
      </c>
      <c r="GD411">
        <v>1.266436557649925</v>
      </c>
      <c r="GE411">
        <v>0.35947809610506914</v>
      </c>
      <c r="GF411">
        <v>1.6027633530596492</v>
      </c>
      <c r="GG411">
        <v>5.4886087485831929</v>
      </c>
      <c r="GH411">
        <v>0</v>
      </c>
      <c r="GI411">
        <v>10.044303821167034</v>
      </c>
      <c r="GJ411"/>
      <c r="GK411"/>
      <c r="GL411"/>
      <c r="GM411"/>
    </row>
    <row r="412" spans="1:195" s="7" customFormat="1">
      <c r="A412" s="189">
        <v>4</v>
      </c>
      <c r="B412" s="71">
        <f t="shared" si="377"/>
        <v>39910</v>
      </c>
      <c r="C412" s="61">
        <f t="shared" si="383"/>
        <v>264</v>
      </c>
      <c r="D412" s="61">
        <f t="shared" si="378"/>
        <v>13</v>
      </c>
      <c r="E412" s="108">
        <f t="shared" si="379"/>
        <v>6.3708541374943737</v>
      </c>
      <c r="F412" s="19" t="e">
        <f t="shared" si="380"/>
        <v>#DIV/0!</v>
      </c>
      <c r="G412" s="19">
        <f t="shared" si="381"/>
        <v>-9.9416556307384524E-2</v>
      </c>
      <c r="H412" s="19">
        <f t="shared" si="382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5.3052083333333329</v>
      </c>
      <c r="AO412">
        <v>35.18075909315845</v>
      </c>
      <c r="AP412">
        <v>1069.0248221838381</v>
      </c>
      <c r="AQ412">
        <v>41.946565247674528</v>
      </c>
      <c r="AR412">
        <v>31.982508266507683</v>
      </c>
      <c r="AS412">
        <v>134.00066445317356</v>
      </c>
      <c r="AT412" t="e">
        <v>#DIV/0!</v>
      </c>
      <c r="AU412" t="e">
        <v>#DIV/0!</v>
      </c>
      <c r="AV412"/>
      <c r="AW412"/>
      <c r="FY412" s="212">
        <v>407</v>
      </c>
      <c r="FZ412">
        <v>1.8231001187171139</v>
      </c>
      <c r="GA412">
        <v>15.554109189288024</v>
      </c>
      <c r="GB412">
        <v>12.462010088210903</v>
      </c>
      <c r="GC412">
        <v>3.8767188727980191</v>
      </c>
      <c r="GD412">
        <v>0.78107973138777786</v>
      </c>
      <c r="GE412">
        <v>0.35947809610506914</v>
      </c>
      <c r="GF412">
        <v>0.80138167652982462</v>
      </c>
      <c r="GG412">
        <v>6.0707339188874716</v>
      </c>
      <c r="GH412">
        <v>6.49184051412493</v>
      </c>
      <c r="GI412">
        <v>11.34416176620198</v>
      </c>
      <c r="GJ412"/>
      <c r="GK412"/>
      <c r="GL412"/>
      <c r="GM412"/>
    </row>
    <row r="413" spans="1:195" s="7" customFormat="1">
      <c r="A413" s="190">
        <v>7.33</v>
      </c>
      <c r="B413" s="71">
        <f t="shared" si="377"/>
        <v>39949</v>
      </c>
      <c r="C413" s="61">
        <f t="shared" si="383"/>
        <v>303</v>
      </c>
      <c r="D413" s="61">
        <f t="shared" si="378"/>
        <v>13</v>
      </c>
      <c r="E413" s="108">
        <f t="shared" si="379"/>
        <v>6.3708541374943737</v>
      </c>
      <c r="F413" s="19">
        <f t="shared" si="380"/>
        <v>0</v>
      </c>
      <c r="G413" s="19">
        <f t="shared" si="381"/>
        <v>-7.9436556307384526E-2</v>
      </c>
      <c r="H413" s="19">
        <f t="shared" si="382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6.7739583333333329</v>
      </c>
      <c r="AO413">
        <v>32.033751047868364</v>
      </c>
      <c r="AP413">
        <v>819.85330599598171</v>
      </c>
      <c r="AQ413">
        <v>48.748563359752687</v>
      </c>
      <c r="AR413">
        <v>29.155572133799303</v>
      </c>
      <c r="AS413">
        <v>209.0545708741295</v>
      </c>
      <c r="AT413" t="e">
        <v>#DIV/0!</v>
      </c>
      <c r="AU413" t="e">
        <v>#DIV/0!</v>
      </c>
      <c r="AV413"/>
      <c r="AW413"/>
      <c r="FY413" s="212">
        <v>408</v>
      </c>
      <c r="FZ413">
        <v>2.0141157010886364</v>
      </c>
      <c r="GA413">
        <v>8.4590075116597117</v>
      </c>
      <c r="GB413">
        <v>8.7311445900682667</v>
      </c>
      <c r="GC413">
        <v>4.3322472178859321</v>
      </c>
      <c r="GD413">
        <v>1.4008513635173074</v>
      </c>
      <c r="GE413">
        <v>0.71895619221013829</v>
      </c>
      <c r="GF413">
        <v>1.6027633530596492</v>
      </c>
      <c r="GG413">
        <v>5.4886087485831929</v>
      </c>
      <c r="GH413">
        <v>0</v>
      </c>
      <c r="GI413">
        <v>11.559020633420012</v>
      </c>
      <c r="GJ413"/>
      <c r="GK413"/>
      <c r="GL413"/>
      <c r="GM413"/>
    </row>
    <row r="414" spans="1:195" s="7" customFormat="1">
      <c r="A414" s="189">
        <v>10.51</v>
      </c>
      <c r="B414" s="71">
        <f t="shared" si="377"/>
        <v>39987</v>
      </c>
      <c r="C414" s="61">
        <f t="shared" si="383"/>
        <v>341</v>
      </c>
      <c r="D414" s="61" t="e">
        <f t="shared" si="378"/>
        <v>#DIV/0!</v>
      </c>
      <c r="E414" s="108" t="e">
        <f t="shared" si="379"/>
        <v>#DIV/0!</v>
      </c>
      <c r="F414" s="19">
        <f t="shared" si="380"/>
        <v>0</v>
      </c>
      <c r="G414" s="19" t="e">
        <f t="shared" si="381"/>
        <v>#DIV/0!</v>
      </c>
      <c r="H414" s="19" t="e">
        <f t="shared" si="382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6.6611519607843137</v>
      </c>
      <c r="AO414">
        <v>16.79402833858558</v>
      </c>
      <c r="AP414">
        <v>170.44348774862851</v>
      </c>
      <c r="AQ414">
        <v>34.203650095974133</v>
      </c>
      <c r="AR414">
        <v>15.301278761724047</v>
      </c>
      <c r="AS414">
        <v>85.683448540901622</v>
      </c>
      <c r="AT414" t="e">
        <v>#DIV/0!</v>
      </c>
      <c r="AU414" t="e">
        <v>#DIV/0!</v>
      </c>
      <c r="AV414"/>
      <c r="AW414"/>
      <c r="FY414" s="212">
        <v>409</v>
      </c>
      <c r="FZ414">
        <v>1.10256564173008</v>
      </c>
      <c r="GA414">
        <v>22.77401224767376</v>
      </c>
      <c r="GB414">
        <v>15.192208196112865</v>
      </c>
      <c r="GC414">
        <v>4.2580086613419006</v>
      </c>
      <c r="GD414">
        <v>1.2769787431411372</v>
      </c>
      <c r="GE414">
        <v>0.35947809610506914</v>
      </c>
      <c r="GF414">
        <v>0</v>
      </c>
      <c r="GG414">
        <v>2.5661766550965104</v>
      </c>
      <c r="GH414">
        <v>1.6229601285312325</v>
      </c>
      <c r="GI414">
        <v>10.359692346345991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4.5135416666666668</v>
      </c>
      <c r="AO415">
        <v>24.755340830558573</v>
      </c>
      <c r="AP415">
        <v>345.7121623792118</v>
      </c>
      <c r="AQ415">
        <v>36.797771819233702</v>
      </c>
      <c r="AR415">
        <v>22.504855300507796</v>
      </c>
      <c r="AS415">
        <v>115.10404857660708</v>
      </c>
      <c r="AT415" t="e">
        <v>#DIV/0!</v>
      </c>
      <c r="AU415" t="e">
        <v>#DIV/0!</v>
      </c>
      <c r="AV415"/>
      <c r="AW415"/>
      <c r="FY415" s="212">
        <v>410</v>
      </c>
      <c r="FZ415">
        <v>0.36192247308739012</v>
      </c>
      <c r="GA415">
        <v>33.305909021932315</v>
      </c>
      <c r="GB415">
        <v>23.284647810257425</v>
      </c>
      <c r="GC415">
        <v>4.9199744208676357</v>
      </c>
      <c r="GD415">
        <v>0.81268495929643825</v>
      </c>
      <c r="GE415">
        <v>0</v>
      </c>
      <c r="GF415">
        <v>0</v>
      </c>
      <c r="GG415">
        <v>0</v>
      </c>
      <c r="GH415">
        <v>0</v>
      </c>
      <c r="GI415">
        <v>8.4752095896475605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9.13302696078431</v>
      </c>
      <c r="AO416">
        <v>32.745726356723424</v>
      </c>
      <c r="AP416">
        <v>430.85543552222146</v>
      </c>
      <c r="AQ416">
        <v>67.769911318251147</v>
      </c>
      <c r="AR416">
        <v>29.802822414576635</v>
      </c>
      <c r="AS416">
        <v>141.59234278953005</v>
      </c>
      <c r="AT416" t="e">
        <v>#DIV/0!</v>
      </c>
      <c r="AU416" t="e">
        <v>#DIV/0!</v>
      </c>
      <c r="AV416"/>
      <c r="AW416"/>
      <c r="FY416" s="212">
        <v>411</v>
      </c>
      <c r="FZ416">
        <v>1.46448811481747</v>
      </c>
      <c r="GA416">
        <v>11.995519321053093</v>
      </c>
      <c r="GB416">
        <v>11.446348871357886</v>
      </c>
      <c r="GC416">
        <v>3.4160843522243844</v>
      </c>
      <c r="GD416">
        <v>0.48155454328565073</v>
      </c>
      <c r="GE416">
        <v>0.35947809610506914</v>
      </c>
      <c r="GF416">
        <v>0</v>
      </c>
      <c r="GG416">
        <v>0</v>
      </c>
      <c r="GH416">
        <v>0</v>
      </c>
      <c r="GI416">
        <v>6.4654300277659287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12.552205882352943</v>
      </c>
      <c r="AO417">
        <v>23.849430551779253</v>
      </c>
      <c r="AP417">
        <v>716.07674767563299</v>
      </c>
      <c r="AQ417">
        <v>42.333584234841936</v>
      </c>
      <c r="AR417">
        <v>21.6813005016175</v>
      </c>
      <c r="AS417">
        <v>117.36708543238976</v>
      </c>
      <c r="AT417" t="e">
        <v>#DIV/0!</v>
      </c>
      <c r="AU417" t="e">
        <v>#DIV/0!</v>
      </c>
      <c r="AV417"/>
      <c r="AW417"/>
      <c r="FY417" s="212">
        <v>412</v>
      </c>
      <c r="FZ417">
        <v>1.273472532445947</v>
      </c>
      <c r="GA417">
        <v>11.963589789747228</v>
      </c>
      <c r="GB417">
        <v>14.119157109508222</v>
      </c>
      <c r="GC417">
        <v>5.9030320342315692</v>
      </c>
      <c r="GD417">
        <v>1.109457541562642</v>
      </c>
      <c r="GE417">
        <v>0.35947809610506914</v>
      </c>
      <c r="GF417">
        <v>1.6027633530596492</v>
      </c>
      <c r="GG417">
        <v>7.7300132771969778</v>
      </c>
      <c r="GH417">
        <v>3.245920257062465</v>
      </c>
      <c r="GI417">
        <v>14.476809732578591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5.6770833333333339</v>
      </c>
      <c r="AO418">
        <v>29.252267147667645</v>
      </c>
      <c r="AP418">
        <v>664.47048705919281</v>
      </c>
      <c r="AQ418">
        <v>38.608118661877185</v>
      </c>
      <c r="AR418">
        <v>26.660930678444895</v>
      </c>
      <c r="AS418">
        <v>122.80818961365992</v>
      </c>
      <c r="AT418" t="e">
        <v>#DIV/0!</v>
      </c>
      <c r="AU418" t="e">
        <v>#DIV/0!</v>
      </c>
      <c r="AV418"/>
      <c r="AW418"/>
      <c r="FY418" s="212">
        <v>413</v>
      </c>
      <c r="FZ418">
        <v>0.3418137814317348</v>
      </c>
      <c r="GA418">
        <v>24.73398481757452</v>
      </c>
      <c r="GB418">
        <v>20.681541402572549</v>
      </c>
      <c r="GC418">
        <v>5.1791699616038471</v>
      </c>
      <c r="GD418">
        <v>0.50288646470561393</v>
      </c>
      <c r="GE418">
        <v>0.35947809610506914</v>
      </c>
      <c r="GF418">
        <v>1.6027633530596492</v>
      </c>
      <c r="GG418">
        <v>6.8984058910480091</v>
      </c>
      <c r="GH418">
        <v>1.6229601285312325</v>
      </c>
      <c r="GI418">
        <v>9.5850914535631571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11.000735294117643</v>
      </c>
      <c r="AO419">
        <v>41.084267759521126</v>
      </c>
      <c r="AP419">
        <v>1018.7952572370235</v>
      </c>
      <c r="AQ419">
        <v>73.938115707674044</v>
      </c>
      <c r="AR419">
        <v>37.383314598938178</v>
      </c>
      <c r="AS419">
        <v>184.47100760839973</v>
      </c>
      <c r="AT419" t="e">
        <v>#DIV/0!</v>
      </c>
      <c r="AU419" t="e">
        <v>#DIV/0!</v>
      </c>
      <c r="AV419"/>
      <c r="AW419"/>
      <c r="FY419" s="212">
        <v>414</v>
      </c>
      <c r="FZ419">
        <v>0.91155005935855693</v>
      </c>
      <c r="GA419">
        <v>16.640414885760297</v>
      </c>
      <c r="GB419">
        <v>14.716460609576245</v>
      </c>
      <c r="GC419">
        <v>5.4472350924035791</v>
      </c>
      <c r="GD419">
        <v>1.2344549259004862</v>
      </c>
      <c r="GE419">
        <v>0</v>
      </c>
      <c r="GF419">
        <v>0.80138167652982462</v>
      </c>
      <c r="GG419">
        <v>6.648923675203319</v>
      </c>
      <c r="GH419">
        <v>6.49184051412493</v>
      </c>
      <c r="GI419">
        <v>16.904074841987622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11.065625000000001</v>
      </c>
      <c r="AO420">
        <v>34.978441009443785</v>
      </c>
      <c r="AP420">
        <v>611.77101757827359</v>
      </c>
      <c r="AQ420">
        <v>80.972191021777306</v>
      </c>
      <c r="AR420">
        <v>31.832563007958782</v>
      </c>
      <c r="AS420">
        <v>232.21571942640088</v>
      </c>
      <c r="AT420" t="e">
        <v>#DIV/0!</v>
      </c>
      <c r="AU420" t="e">
        <v>#DIV/0!</v>
      </c>
      <c r="AV420"/>
      <c r="AW420"/>
      <c r="FY420" s="212">
        <v>415</v>
      </c>
      <c r="FZ420">
        <v>0.72384494617478023</v>
      </c>
      <c r="GA420">
        <v>16.879642042934769</v>
      </c>
      <c r="GB420">
        <v>9.9749640023019559</v>
      </c>
      <c r="GC420">
        <v>2.0908264384016899</v>
      </c>
      <c r="GD420">
        <v>0.68059492814114353</v>
      </c>
      <c r="GE420">
        <v>0.35947809610506914</v>
      </c>
      <c r="GF420">
        <v>0</v>
      </c>
      <c r="GG420">
        <v>1.4097971424648157</v>
      </c>
      <c r="GH420">
        <v>1.6229601285312325</v>
      </c>
      <c r="GI420">
        <v>6.3280194179027749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12.911887254901961</v>
      </c>
      <c r="AO421">
        <v>28.208819117032299</v>
      </c>
      <c r="AP421">
        <v>719.71162596595013</v>
      </c>
      <c r="AQ421">
        <v>59.521455717605768</v>
      </c>
      <c r="AR421">
        <v>25.678361287584696</v>
      </c>
      <c r="AS421">
        <v>154.86785105897022</v>
      </c>
      <c r="AT421" t="e">
        <v>#DIV/0!</v>
      </c>
      <c r="AU421" t="e">
        <v>#DIV/0!</v>
      </c>
      <c r="AV421"/>
      <c r="AW421"/>
      <c r="FY421" s="212">
        <v>416</v>
      </c>
      <c r="FZ421">
        <v>0.89475183689064763</v>
      </c>
      <c r="GA421">
        <v>17.173901230512733</v>
      </c>
      <c r="GB421">
        <v>18.22830299917279</v>
      </c>
      <c r="GC421">
        <v>6.7771620815943647</v>
      </c>
      <c r="GD421">
        <v>1.3511809184915937</v>
      </c>
      <c r="GE421">
        <v>0.35947809610506914</v>
      </c>
      <c r="GF421">
        <v>3.2055267061192985</v>
      </c>
      <c r="GG421">
        <v>12.965204395947051</v>
      </c>
      <c r="GH421">
        <v>1.6229601285312325</v>
      </c>
      <c r="GI421">
        <v>16.463865797760949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6.4315096741458951E-4</v>
      </c>
      <c r="H422" s="44">
        <f t="shared" ref="H422:AK422" si="384">H372</f>
        <v>4.5543000000000007E-3</v>
      </c>
      <c r="I422" s="44">
        <f t="shared" si="384"/>
        <v>3.2250046320196971E-2</v>
      </c>
      <c r="J422" s="44">
        <f t="shared" si="384"/>
        <v>0.10134727087638197</v>
      </c>
      <c r="K422" s="44">
        <f t="shared" si="384"/>
        <v>0.22836999926549642</v>
      </c>
      <c r="L422" s="44">
        <f t="shared" si="384"/>
        <v>0.42885741869833771</v>
      </c>
      <c r="M422" s="44">
        <f t="shared" si="384"/>
        <v>0.71766334676873855</v>
      </c>
      <c r="N422" s="44">
        <f t="shared" si="384"/>
        <v>1.1091199062457131</v>
      </c>
      <c r="O422" s="44">
        <f t="shared" si="384"/>
        <v>1.6171405165350552</v>
      </c>
      <c r="P422" s="44">
        <f t="shared" si="384"/>
        <v>2.2552904538767184</v>
      </c>
      <c r="Q422" s="44">
        <f t="shared" si="384"/>
        <v>3.0368380690295989</v>
      </c>
      <c r="R422" s="44">
        <f t="shared" si="384"/>
        <v>3.9747935634129594</v>
      </c>
      <c r="S422" s="44">
        <f t="shared" si="384"/>
        <v>5.0819393047448367</v>
      </c>
      <c r="T422" s="44">
        <f t="shared" si="384"/>
        <v>6.3708541374943737</v>
      </c>
      <c r="U422" s="44">
        <f t="shared" si="384"/>
        <v>7.8539332830680344</v>
      </c>
      <c r="V422" s="44">
        <f t="shared" si="384"/>
        <v>9.5434049096823621</v>
      </c>
      <c r="W422" s="44">
        <f t="shared" si="384"/>
        <v>11.451344128520917</v>
      </c>
      <c r="X422" s="44">
        <f t="shared" si="384"/>
        <v>13.58968496155188</v>
      </c>
      <c r="Y422" s="44">
        <f t="shared" si="384"/>
        <v>15.970230683754279</v>
      </c>
      <c r="Z422" s="44">
        <f t="shared" si="384"/>
        <v>18.604662843430042</v>
      </c>
      <c r="AA422" s="44">
        <f t="shared" si="384"/>
        <v>21.504549193760191</v>
      </c>
      <c r="AB422" s="44">
        <f t="shared" si="384"/>
        <v>24.681350717491501</v>
      </c>
      <c r="AC422" s="44">
        <f t="shared" si="384"/>
        <v>28.146427888652209</v>
      </c>
      <c r="AD422" s="44">
        <f t="shared" si="384"/>
        <v>31.911046286581225</v>
      </c>
      <c r="AE422" s="44">
        <f t="shared" si="384"/>
        <v>35.986381655677192</v>
      </c>
      <c r="AF422" s="44">
        <f t="shared" si="384"/>
        <v>40.383524487319967</v>
      </c>
      <c r="AG422" s="44">
        <f t="shared" si="384"/>
        <v>45.113484187122538</v>
      </c>
      <c r="AH422" s="44">
        <f t="shared" si="384"/>
        <v>50.187192880126901</v>
      </c>
      <c r="AI422" s="44">
        <f t="shared" si="384"/>
        <v>55.615508898114115</v>
      </c>
      <c r="AJ422" s="44">
        <f t="shared" si="384"/>
        <v>61.409219986371809</v>
      </c>
      <c r="AK422" s="44">
        <f t="shared" si="384"/>
        <v>67.579046261698053</v>
      </c>
      <c r="AL422" s="4"/>
      <c r="AM422" s="43">
        <v>406</v>
      </c>
      <c r="AN422">
        <v>6.8395833333333327</v>
      </c>
      <c r="AO422">
        <v>39.498171235889131</v>
      </c>
      <c r="AP422">
        <v>702.28934383115165</v>
      </c>
      <c r="AQ422">
        <v>44.56587470079792</v>
      </c>
      <c r="AR422">
        <v>35.907428396262837</v>
      </c>
      <c r="AS422">
        <v>162.31602561244162</v>
      </c>
      <c r="AT422" t="e">
        <v>#DIV/0!</v>
      </c>
      <c r="AU422" t="e">
        <v>#DIV/0!</v>
      </c>
      <c r="AV422"/>
      <c r="AW422"/>
      <c r="FY422" s="212">
        <v>417</v>
      </c>
      <c r="FZ422">
        <v>1.273472532445947</v>
      </c>
      <c r="GA422">
        <v>13.049204682949712</v>
      </c>
      <c r="GB422">
        <v>12.963217689926582</v>
      </c>
      <c r="GC422">
        <v>4.3640064729116572</v>
      </c>
      <c r="GD422">
        <v>0.87493433628940365</v>
      </c>
      <c r="GE422">
        <v>0.71895619221013829</v>
      </c>
      <c r="GF422">
        <v>1.6027633530596492</v>
      </c>
      <c r="GG422">
        <v>6.8984058910480091</v>
      </c>
      <c r="GH422">
        <v>1.6229601285312325</v>
      </c>
      <c r="GI422">
        <v>7.863887775318938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5">SUM(G423:AK423)</f>
        <v>1.8432088103727695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6">(($A$453+$A$455*(H$422)+($A$457*$D423))*($E21*H37))</f>
        <v>3.2708534779247837E-2</v>
      </c>
      <c r="I423" s="107">
        <f t="shared" si="386"/>
        <v>0</v>
      </c>
      <c r="J423" s="107">
        <f t="shared" si="386"/>
        <v>1.4485778025061318</v>
      </c>
      <c r="K423" s="107">
        <f t="shared" si="386"/>
        <v>0</v>
      </c>
      <c r="L423" s="107">
        <f t="shared" si="386"/>
        <v>0</v>
      </c>
      <c r="M423" s="107">
        <f t="shared" si="386"/>
        <v>0.36192247308739012</v>
      </c>
      <c r="N423" s="107">
        <f t="shared" si="386"/>
        <v>0</v>
      </c>
      <c r="O423" s="107">
        <f t="shared" si="386"/>
        <v>0</v>
      </c>
      <c r="P423" s="107">
        <f t="shared" si="386"/>
        <v>0</v>
      </c>
      <c r="Q423" s="107">
        <f t="shared" si="386"/>
        <v>0</v>
      </c>
      <c r="R423" s="107">
        <f t="shared" si="386"/>
        <v>0</v>
      </c>
      <c r="S423" s="107">
        <f t="shared" si="386"/>
        <v>0</v>
      </c>
      <c r="T423" s="107">
        <f t="shared" si="386"/>
        <v>0</v>
      </c>
      <c r="U423" s="107">
        <f t="shared" si="386"/>
        <v>0</v>
      </c>
      <c r="V423" s="107">
        <f t="shared" si="386"/>
        <v>0</v>
      </c>
      <c r="W423" s="107">
        <f t="shared" si="386"/>
        <v>0</v>
      </c>
      <c r="X423" s="107">
        <f t="shared" si="386"/>
        <v>0</v>
      </c>
      <c r="Y423" s="107">
        <f t="shared" si="386"/>
        <v>0</v>
      </c>
      <c r="Z423" s="107">
        <f t="shared" si="386"/>
        <v>0</v>
      </c>
      <c r="AA423" s="107">
        <f t="shared" si="386"/>
        <v>0</v>
      </c>
      <c r="AB423" s="107">
        <f t="shared" si="386"/>
        <v>0</v>
      </c>
      <c r="AC423" s="107">
        <f t="shared" si="386"/>
        <v>0</v>
      </c>
      <c r="AD423" s="107">
        <f t="shared" si="386"/>
        <v>0</v>
      </c>
      <c r="AE423" s="107">
        <f t="shared" si="386"/>
        <v>0</v>
      </c>
      <c r="AF423" s="107">
        <f t="shared" si="386"/>
        <v>0</v>
      </c>
      <c r="AG423" s="107">
        <f t="shared" si="386"/>
        <v>0</v>
      </c>
      <c r="AH423" s="107">
        <f t="shared" si="386"/>
        <v>0</v>
      </c>
      <c r="AI423" s="107">
        <f t="shared" si="386"/>
        <v>0</v>
      </c>
      <c r="AJ423" s="107">
        <f t="shared" si="386"/>
        <v>0</v>
      </c>
      <c r="AK423" s="107">
        <f t="shared" si="386"/>
        <v>0</v>
      </c>
      <c r="AL423" s="4"/>
      <c r="AM423" s="43">
        <v>407</v>
      </c>
      <c r="AN423">
        <v>12.335845588235292</v>
      </c>
      <c r="AO423">
        <v>30.185416280151617</v>
      </c>
      <c r="AP423">
        <v>301.18861400104549</v>
      </c>
      <c r="AQ423">
        <v>59.564613972251109</v>
      </c>
      <c r="AR423">
        <v>27.441287527410562</v>
      </c>
      <c r="AS423">
        <v>151.60384167270834</v>
      </c>
      <c r="AT423" t="e">
        <v>#DIV/0!</v>
      </c>
      <c r="AU423" t="e">
        <v>#DIV/0!</v>
      </c>
      <c r="AV423"/>
      <c r="AW423"/>
      <c r="FY423" s="212">
        <v>418</v>
      </c>
      <c r="FZ423">
        <v>0.53282936380325752</v>
      </c>
      <c r="GA423">
        <v>18.356347960186795</v>
      </c>
      <c r="GB423">
        <v>17.179363169398027</v>
      </c>
      <c r="GC423">
        <v>6.6958068909138646</v>
      </c>
      <c r="GD423">
        <v>1.6740724435166563</v>
      </c>
      <c r="GE423">
        <v>0</v>
      </c>
      <c r="GF423">
        <v>0.80138167652982462</v>
      </c>
      <c r="GG423">
        <v>3.9006838869232907</v>
      </c>
      <c r="GH423">
        <v>0</v>
      </c>
      <c r="GI423">
        <v>11.500376153075026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5"/>
        <v>15.976004968383126</v>
      </c>
      <c r="D424" s="191">
        <f>$A$406</f>
        <v>9.4499999999999993</v>
      </c>
      <c r="E424" s="8"/>
      <c r="F424" s="124"/>
      <c r="G424" s="107">
        <f t="shared" ref="G424:V432" si="387">(($A$453+$A$455*(G$422)+($A$457*$D424))*($E22*G38))</f>
        <v>0</v>
      </c>
      <c r="H424" s="107">
        <f t="shared" si="387"/>
        <v>3.8714051102353195E-2</v>
      </c>
      <c r="I424" s="107">
        <f t="shared" si="387"/>
        <v>0</v>
      </c>
      <c r="J424" s="107">
        <f t="shared" si="387"/>
        <v>1.7121507309822845</v>
      </c>
      <c r="K424" s="107">
        <f t="shared" si="387"/>
        <v>0</v>
      </c>
      <c r="L424" s="107">
        <f t="shared" si="387"/>
        <v>0</v>
      </c>
      <c r="M424" s="107">
        <f t="shared" si="387"/>
        <v>0</v>
      </c>
      <c r="N424" s="107">
        <f t="shared" si="387"/>
        <v>1.9124421192631782</v>
      </c>
      <c r="O424" s="107">
        <f t="shared" si="387"/>
        <v>0</v>
      </c>
      <c r="P424" s="107">
        <f t="shared" si="387"/>
        <v>5.9598425614567923</v>
      </c>
      <c r="Q424" s="107">
        <f t="shared" si="387"/>
        <v>4.5278342198732027</v>
      </c>
      <c r="R424" s="107">
        <f t="shared" si="387"/>
        <v>1.8250212857053159</v>
      </c>
      <c r="S424" s="107">
        <f t="shared" si="387"/>
        <v>0</v>
      </c>
      <c r="T424" s="107">
        <f t="shared" si="387"/>
        <v>0</v>
      </c>
      <c r="U424" s="107">
        <f t="shared" si="387"/>
        <v>0</v>
      </c>
      <c r="V424" s="107">
        <f t="shared" si="387"/>
        <v>0</v>
      </c>
      <c r="W424" s="107">
        <f t="shared" si="386"/>
        <v>0</v>
      </c>
      <c r="X424" s="107">
        <f t="shared" si="386"/>
        <v>0</v>
      </c>
      <c r="Y424" s="107">
        <f t="shared" si="386"/>
        <v>0</v>
      </c>
      <c r="Z424" s="107">
        <f t="shared" si="386"/>
        <v>0</v>
      </c>
      <c r="AA424" s="107">
        <f t="shared" si="386"/>
        <v>0</v>
      </c>
      <c r="AB424" s="107">
        <f t="shared" si="386"/>
        <v>0</v>
      </c>
      <c r="AC424" s="107">
        <f t="shared" si="386"/>
        <v>0</v>
      </c>
      <c r="AD424" s="107">
        <f t="shared" si="386"/>
        <v>0</v>
      </c>
      <c r="AE424" s="107">
        <f t="shared" si="386"/>
        <v>0</v>
      </c>
      <c r="AF424" s="107">
        <f t="shared" si="386"/>
        <v>0</v>
      </c>
      <c r="AG424" s="107">
        <f t="shared" si="386"/>
        <v>0</v>
      </c>
      <c r="AH424" s="107">
        <f t="shared" si="386"/>
        <v>0</v>
      </c>
      <c r="AI424" s="107">
        <f t="shared" si="386"/>
        <v>0</v>
      </c>
      <c r="AJ424" s="107">
        <f t="shared" si="386"/>
        <v>0</v>
      </c>
      <c r="AK424" s="107">
        <f t="shared" si="386"/>
        <v>0</v>
      </c>
      <c r="AL424" s="4"/>
      <c r="AM424" s="43">
        <v>408</v>
      </c>
      <c r="AN424">
        <v>12.109803921568624</v>
      </c>
      <c r="AO424">
        <v>34.136455386021098</v>
      </c>
      <c r="AP424">
        <v>478.90877518805451</v>
      </c>
      <c r="AQ424">
        <v>44.306715311492852</v>
      </c>
      <c r="AR424">
        <v>31.067121532119959</v>
      </c>
      <c r="AS424">
        <v>161.14873470244146</v>
      </c>
      <c r="AT424" t="e">
        <v>#DIV/0!</v>
      </c>
      <c r="AU424" t="e">
        <v>#DIV/0!</v>
      </c>
      <c r="AV424"/>
      <c r="AW424"/>
      <c r="FY424" s="212">
        <v>419</v>
      </c>
      <c r="FZ424">
        <v>2.5670537565475504</v>
      </c>
      <c r="GA424">
        <v>20.481773705554396</v>
      </c>
      <c r="GB424">
        <v>16.699662895542261</v>
      </c>
      <c r="GC424">
        <v>4.7564683571388482</v>
      </c>
      <c r="GD424">
        <v>0.5274181950303567</v>
      </c>
      <c r="GE424">
        <v>0</v>
      </c>
      <c r="GF424">
        <v>0</v>
      </c>
      <c r="GG424">
        <v>0</v>
      </c>
      <c r="GH424">
        <v>0</v>
      </c>
      <c r="GI424">
        <v>8.1884536577783447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5"/>
        <v>13.625590079880542</v>
      </c>
      <c r="D425" s="191">
        <f>A$407</f>
        <v>4.03</v>
      </c>
      <c r="E425" s="8"/>
      <c r="F425" s="124"/>
      <c r="G425" s="107">
        <f t="shared" si="387"/>
        <v>0</v>
      </c>
      <c r="H425" s="107">
        <f t="shared" si="386"/>
        <v>0</v>
      </c>
      <c r="I425" s="107">
        <f t="shared" si="386"/>
        <v>0</v>
      </c>
      <c r="J425" s="107">
        <f t="shared" si="386"/>
        <v>0</v>
      </c>
      <c r="K425" s="107">
        <f t="shared" si="386"/>
        <v>0</v>
      </c>
      <c r="L425" s="107">
        <f t="shared" si="386"/>
        <v>0.35602921394841569</v>
      </c>
      <c r="M425" s="107">
        <f t="shared" si="386"/>
        <v>0</v>
      </c>
      <c r="N425" s="107">
        <f t="shared" si="386"/>
        <v>3.0457604297019159</v>
      </c>
      <c r="O425" s="107">
        <f t="shared" si="386"/>
        <v>1.5045011326432298</v>
      </c>
      <c r="P425" s="107">
        <f t="shared" si="386"/>
        <v>4.1456368243472133</v>
      </c>
      <c r="Q425" s="107">
        <f t="shared" si="386"/>
        <v>3.8214137759452789</v>
      </c>
      <c r="R425" s="107">
        <f t="shared" si="386"/>
        <v>0.75224870329448901</v>
      </c>
      <c r="S425" s="107">
        <f t="shared" si="386"/>
        <v>0</v>
      </c>
      <c r="T425" s="107">
        <f t="shared" si="386"/>
        <v>0</v>
      </c>
      <c r="U425" s="107">
        <f t="shared" si="386"/>
        <v>0</v>
      </c>
      <c r="V425" s="107">
        <f t="shared" si="386"/>
        <v>0</v>
      </c>
      <c r="W425" s="107">
        <f t="shared" si="386"/>
        <v>0</v>
      </c>
      <c r="X425" s="107">
        <f t="shared" si="386"/>
        <v>0</v>
      </c>
      <c r="Y425" s="107">
        <f t="shared" si="386"/>
        <v>0</v>
      </c>
      <c r="Z425" s="107">
        <f t="shared" si="386"/>
        <v>0</v>
      </c>
      <c r="AA425" s="107">
        <f t="shared" si="386"/>
        <v>0</v>
      </c>
      <c r="AB425" s="107">
        <f t="shared" si="386"/>
        <v>0</v>
      </c>
      <c r="AC425" s="107">
        <f t="shared" si="386"/>
        <v>0</v>
      </c>
      <c r="AD425" s="107">
        <f t="shared" si="386"/>
        <v>0</v>
      </c>
      <c r="AE425" s="107">
        <f t="shared" si="386"/>
        <v>0</v>
      </c>
      <c r="AF425" s="107">
        <f t="shared" si="386"/>
        <v>0</v>
      </c>
      <c r="AG425" s="107">
        <f t="shared" si="386"/>
        <v>0</v>
      </c>
      <c r="AH425" s="107">
        <f t="shared" si="386"/>
        <v>0</v>
      </c>
      <c r="AI425" s="107">
        <f t="shared" si="386"/>
        <v>0</v>
      </c>
      <c r="AJ425" s="107">
        <f t="shared" si="386"/>
        <v>0</v>
      </c>
      <c r="AK425" s="107">
        <f t="shared" si="386"/>
        <v>0</v>
      </c>
      <c r="AL425" s="4"/>
      <c r="AM425" s="43">
        <v>409</v>
      </c>
      <c r="AN425">
        <v>10.452818627450981</v>
      </c>
      <c r="AO425">
        <v>44.218256717709622</v>
      </c>
      <c r="AP425">
        <v>966.5866070548775</v>
      </c>
      <c r="AQ425">
        <v>59.512080716078557</v>
      </c>
      <c r="AR425">
        <v>40.232395470018623</v>
      </c>
      <c r="AS425">
        <v>304.37223836138577</v>
      </c>
      <c r="AT425" t="e">
        <v>#DIV/0!</v>
      </c>
      <c r="AU425" t="e">
        <v>#DIV/0!</v>
      </c>
      <c r="AV425"/>
      <c r="AW425"/>
      <c r="FY425" s="212">
        <v>420</v>
      </c>
      <c r="FZ425">
        <v>1.273472532445947</v>
      </c>
      <c r="GA425">
        <v>16.621606010668966</v>
      </c>
      <c r="GB425">
        <v>10.553279987108201</v>
      </c>
      <c r="GC425">
        <v>2.6708342074915175</v>
      </c>
      <c r="GD425">
        <v>0.78817237820522845</v>
      </c>
      <c r="GE425">
        <v>0.35947809610506914</v>
      </c>
      <c r="GF425">
        <v>0.80138167652982462</v>
      </c>
      <c r="GG425">
        <v>3.9006838869232907</v>
      </c>
      <c r="GH425">
        <v>0</v>
      </c>
      <c r="GI425">
        <v>6.5551596458342267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5"/>
        <v>3.3641049366300151</v>
      </c>
      <c r="D426" s="191">
        <f>A$408</f>
        <v>0.78</v>
      </c>
      <c r="E426" s="8"/>
      <c r="F426" s="124"/>
      <c r="G426" s="107">
        <f t="shared" si="387"/>
        <v>0</v>
      </c>
      <c r="H426" s="107">
        <f t="shared" si="386"/>
        <v>0</v>
      </c>
      <c r="I426" s="107">
        <f t="shared" si="386"/>
        <v>0</v>
      </c>
      <c r="J426" s="107">
        <f t="shared" si="386"/>
        <v>0</v>
      </c>
      <c r="K426" s="107">
        <f t="shared" si="386"/>
        <v>0.17027880588212063</v>
      </c>
      <c r="L426" s="107">
        <f t="shared" si="386"/>
        <v>0.26621510736079784</v>
      </c>
      <c r="M426" s="107">
        <f t="shared" si="386"/>
        <v>0</v>
      </c>
      <c r="N426" s="107">
        <f t="shared" si="386"/>
        <v>1.5498750962559003</v>
      </c>
      <c r="O426" s="107">
        <f t="shared" si="386"/>
        <v>0.97370888222513818</v>
      </c>
      <c r="P426" s="107">
        <f t="shared" si="386"/>
        <v>1.3701366076485748</v>
      </c>
      <c r="Q426" s="107">
        <f t="shared" si="386"/>
        <v>0.78423311217881242</v>
      </c>
      <c r="R426" s="107">
        <f t="shared" si="386"/>
        <v>0</v>
      </c>
      <c r="S426" s="107">
        <f t="shared" si="386"/>
        <v>0</v>
      </c>
      <c r="T426" s="107">
        <f t="shared" si="386"/>
        <v>6.0060649855476461E-2</v>
      </c>
      <c r="U426" s="107">
        <f t="shared" si="386"/>
        <v>-1.810403324776805</v>
      </c>
      <c r="V426" s="107">
        <f t="shared" si="386"/>
        <v>0</v>
      </c>
      <c r="W426" s="107">
        <f t="shared" si="386"/>
        <v>0</v>
      </c>
      <c r="X426" s="107">
        <f t="shared" si="386"/>
        <v>0</v>
      </c>
      <c r="Y426" s="107">
        <f t="shared" si="386"/>
        <v>0</v>
      </c>
      <c r="Z426" s="107">
        <f t="shared" si="386"/>
        <v>0</v>
      </c>
      <c r="AA426" s="107">
        <f t="shared" si="386"/>
        <v>0</v>
      </c>
      <c r="AB426" s="107">
        <f t="shared" si="386"/>
        <v>0</v>
      </c>
      <c r="AC426" s="107">
        <f t="shared" si="386"/>
        <v>0</v>
      </c>
      <c r="AD426" s="107">
        <f t="shared" si="386"/>
        <v>0</v>
      </c>
      <c r="AE426" s="107">
        <f t="shared" si="386"/>
        <v>0</v>
      </c>
      <c r="AF426" s="107">
        <f t="shared" si="386"/>
        <v>0</v>
      </c>
      <c r="AG426" s="107">
        <f t="shared" si="386"/>
        <v>0</v>
      </c>
      <c r="AH426" s="107">
        <f t="shared" si="386"/>
        <v>0</v>
      </c>
      <c r="AI426" s="107">
        <f t="shared" si="386"/>
        <v>0</v>
      </c>
      <c r="AJ426" s="107">
        <f t="shared" si="386"/>
        <v>0</v>
      </c>
      <c r="AK426" s="107">
        <f t="shared" si="386"/>
        <v>0</v>
      </c>
      <c r="AL426" s="4"/>
      <c r="AM426" s="43">
        <v>410</v>
      </c>
      <c r="AN426">
        <v>7.5520833333333313</v>
      </c>
      <c r="AO426">
        <v>21.918632528009201</v>
      </c>
      <c r="AP426">
        <v>617.15716916707527</v>
      </c>
      <c r="AQ426">
        <v>71.160348275088765</v>
      </c>
      <c r="AR426">
        <v>19.960009843018248</v>
      </c>
      <c r="AS426">
        <v>123.31590007550511</v>
      </c>
      <c r="AT426" t="e">
        <v>#DIV/0!</v>
      </c>
      <c r="AU426" t="e">
        <v>#DIV/0!</v>
      </c>
      <c r="AV426"/>
      <c r="AW426"/>
      <c r="FY426" s="212">
        <v>421</v>
      </c>
      <c r="FZ426">
        <v>2.1850225918045041</v>
      </c>
      <c r="GA426">
        <v>11.192384680956023</v>
      </c>
      <c r="GB426">
        <v>15.943504701607107</v>
      </c>
      <c r="GC426">
        <v>5.953037195953331</v>
      </c>
      <c r="GD426">
        <v>0.45677308319192561</v>
      </c>
      <c r="GE426">
        <v>0.35947809610506914</v>
      </c>
      <c r="GF426">
        <v>0</v>
      </c>
      <c r="GG426">
        <v>2.4948221584469064</v>
      </c>
      <c r="GH426">
        <v>4.8688803855936991</v>
      </c>
      <c r="GI426">
        <v>6.1043268668783321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5"/>
        <v>-1.9489401565629816</v>
      </c>
      <c r="D427" s="191">
        <f>A$409</f>
        <v>0.14000000000000001</v>
      </c>
      <c r="E427" s="8"/>
      <c r="F427" s="124"/>
      <c r="G427" s="107">
        <f t="shared" si="387"/>
        <v>0</v>
      </c>
      <c r="H427" s="107">
        <f t="shared" si="386"/>
        <v>0</v>
      </c>
      <c r="I427" s="107">
        <f t="shared" si="386"/>
        <v>0</v>
      </c>
      <c r="J427" s="107">
        <f t="shared" si="386"/>
        <v>0</v>
      </c>
      <c r="K427" s="107">
        <f t="shared" si="386"/>
        <v>0.13063024422062475</v>
      </c>
      <c r="L427" s="107">
        <f t="shared" si="386"/>
        <v>5.457977063414552E-2</v>
      </c>
      <c r="M427" s="107">
        <f t="shared" si="386"/>
        <v>0</v>
      </c>
      <c r="N427" s="107">
        <f t="shared" si="386"/>
        <v>0.33637375009795484</v>
      </c>
      <c r="O427" s="107">
        <f t="shared" si="386"/>
        <v>0.16042855476104517</v>
      </c>
      <c r="P427" s="107">
        <f t="shared" si="386"/>
        <v>0.51749303346948961</v>
      </c>
      <c r="Q427" s="107">
        <f t="shared" si="386"/>
        <v>0</v>
      </c>
      <c r="R427" s="107">
        <f t="shared" si="386"/>
        <v>0.17300748672829702</v>
      </c>
      <c r="S427" s="107">
        <f t="shared" si="386"/>
        <v>0</v>
      </c>
      <c r="T427" s="107">
        <f t="shared" si="386"/>
        <v>-0.27734046119756306</v>
      </c>
      <c r="U427" s="107">
        <f t="shared" si="386"/>
        <v>-3.0441125352769753</v>
      </c>
      <c r="V427" s="107">
        <f t="shared" si="386"/>
        <v>0</v>
      </c>
      <c r="W427" s="107">
        <f t="shared" si="386"/>
        <v>0</v>
      </c>
      <c r="X427" s="107">
        <f t="shared" si="386"/>
        <v>0</v>
      </c>
      <c r="Y427" s="107">
        <f t="shared" si="386"/>
        <v>0</v>
      </c>
      <c r="Z427" s="107">
        <f t="shared" si="386"/>
        <v>0</v>
      </c>
      <c r="AA427" s="107">
        <f t="shared" si="386"/>
        <v>0</v>
      </c>
      <c r="AB427" s="107">
        <f t="shared" si="386"/>
        <v>0</v>
      </c>
      <c r="AC427" s="107">
        <f t="shared" si="386"/>
        <v>0</v>
      </c>
      <c r="AD427" s="107">
        <f t="shared" si="386"/>
        <v>0</v>
      </c>
      <c r="AE427" s="107">
        <f t="shared" si="386"/>
        <v>0</v>
      </c>
      <c r="AF427" s="107">
        <f t="shared" si="386"/>
        <v>0</v>
      </c>
      <c r="AG427" s="107">
        <f t="shared" si="386"/>
        <v>0</v>
      </c>
      <c r="AH427" s="107">
        <f t="shared" si="386"/>
        <v>0</v>
      </c>
      <c r="AI427" s="107">
        <f t="shared" si="386"/>
        <v>0</v>
      </c>
      <c r="AJ427" s="107">
        <f t="shared" si="386"/>
        <v>0</v>
      </c>
      <c r="AK427" s="107">
        <f t="shared" si="386"/>
        <v>0</v>
      </c>
      <c r="AL427" s="4"/>
      <c r="AM427" s="43">
        <v>411</v>
      </c>
      <c r="AN427">
        <v>7.6611519607843137</v>
      </c>
      <c r="AO427">
        <v>25.793374404957611</v>
      </c>
      <c r="AP427">
        <v>182.1989369043477</v>
      </c>
      <c r="AQ427">
        <v>35.628903326609482</v>
      </c>
      <c r="AR427">
        <v>23.516482730526686</v>
      </c>
      <c r="AS427">
        <v>109.78111013461978</v>
      </c>
      <c r="AT427" t="e">
        <v>#DIV/0!</v>
      </c>
      <c r="AU427" t="e">
        <v>#DIV/0!</v>
      </c>
      <c r="AV427"/>
      <c r="AW427"/>
      <c r="FY427" s="212">
        <v>422</v>
      </c>
      <c r="FZ427">
        <v>0</v>
      </c>
      <c r="GA427">
        <v>8.0338425488143876</v>
      </c>
      <c r="GB427">
        <v>14.543617871852362</v>
      </c>
      <c r="GC427">
        <v>6.775382236543571</v>
      </c>
      <c r="GD427">
        <v>1.3477313798178319</v>
      </c>
      <c r="GE427">
        <v>0.35947809610506914</v>
      </c>
      <c r="GF427">
        <v>2.4041450295894737</v>
      </c>
      <c r="GG427">
        <v>10.220900021655453</v>
      </c>
      <c r="GH427">
        <v>1.6229601285312325</v>
      </c>
      <c r="GI427">
        <v>10.491454676213261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5"/>
        <v>-1.0979296319030871</v>
      </c>
      <c r="D428" s="191">
        <f>A$410</f>
        <v>0.21</v>
      </c>
      <c r="E428" s="8"/>
      <c r="F428" s="124"/>
      <c r="G428" s="107">
        <f t="shared" si="387"/>
        <v>0</v>
      </c>
      <c r="H428" s="107">
        <f t="shared" si="386"/>
        <v>0</v>
      </c>
      <c r="I428" s="107">
        <f t="shared" si="386"/>
        <v>0</v>
      </c>
      <c r="J428" s="107">
        <f t="shared" si="386"/>
        <v>0</v>
      </c>
      <c r="K428" s="107">
        <f t="shared" si="386"/>
        <v>0</v>
      </c>
      <c r="L428" s="107">
        <f t="shared" si="386"/>
        <v>0</v>
      </c>
      <c r="M428" s="107">
        <f t="shared" si="386"/>
        <v>0</v>
      </c>
      <c r="N428" s="107">
        <f t="shared" si="386"/>
        <v>0</v>
      </c>
      <c r="O428" s="107">
        <f t="shared" si="386"/>
        <v>0</v>
      </c>
      <c r="P428" s="107">
        <f t="shared" si="386"/>
        <v>0</v>
      </c>
      <c r="Q428" s="107">
        <f t="shared" si="386"/>
        <v>0</v>
      </c>
      <c r="R428" s="107">
        <f t="shared" si="386"/>
        <v>0.35947809610506914</v>
      </c>
      <c r="S428" s="107">
        <f t="shared" si="386"/>
        <v>0</v>
      </c>
      <c r="T428" s="107">
        <f t="shared" si="386"/>
        <v>0</v>
      </c>
      <c r="U428" s="107">
        <f t="shared" si="386"/>
        <v>-1.4574077280081563</v>
      </c>
      <c r="V428" s="107">
        <f t="shared" si="386"/>
        <v>0</v>
      </c>
      <c r="W428" s="107">
        <f t="shared" si="386"/>
        <v>0</v>
      </c>
      <c r="X428" s="107">
        <f t="shared" si="386"/>
        <v>0</v>
      </c>
      <c r="Y428" s="107">
        <f t="shared" si="386"/>
        <v>0</v>
      </c>
      <c r="Z428" s="107">
        <f t="shared" si="386"/>
        <v>0</v>
      </c>
      <c r="AA428" s="107">
        <f t="shared" si="386"/>
        <v>0</v>
      </c>
      <c r="AB428" s="107">
        <f t="shared" si="386"/>
        <v>0</v>
      </c>
      <c r="AC428" s="107">
        <f t="shared" si="386"/>
        <v>0</v>
      </c>
      <c r="AD428" s="107">
        <f t="shared" si="386"/>
        <v>0</v>
      </c>
      <c r="AE428" s="107">
        <f t="shared" si="386"/>
        <v>0</v>
      </c>
      <c r="AF428" s="107">
        <f t="shared" si="386"/>
        <v>0</v>
      </c>
      <c r="AG428" s="107">
        <f t="shared" si="386"/>
        <v>0</v>
      </c>
      <c r="AH428" s="107">
        <f t="shared" si="386"/>
        <v>0</v>
      </c>
      <c r="AI428" s="107">
        <f t="shared" si="386"/>
        <v>0</v>
      </c>
      <c r="AJ428" s="107">
        <f t="shared" si="386"/>
        <v>0</v>
      </c>
      <c r="AK428" s="107">
        <f t="shared" si="386"/>
        <v>0</v>
      </c>
      <c r="AL428" s="4"/>
      <c r="AM428" s="43">
        <v>412</v>
      </c>
      <c r="AN428">
        <v>12.261151960784314</v>
      </c>
      <c r="AO428">
        <v>46.434957941716739</v>
      </c>
      <c r="AP428">
        <v>922.43069010083491</v>
      </c>
      <c r="AQ428">
        <v>61.783693723498359</v>
      </c>
      <c r="AR428">
        <v>42.247578400934188</v>
      </c>
      <c r="AS428">
        <v>205.08174389122482</v>
      </c>
      <c r="AT428" t="e">
        <v>#DIV/0!</v>
      </c>
      <c r="AU428" t="e">
        <v>#DIV/0!</v>
      </c>
      <c r="AV428"/>
      <c r="AW428"/>
      <c r="FY428" s="212">
        <v>423</v>
      </c>
      <c r="FZ428">
        <v>0.91155005935855693</v>
      </c>
      <c r="GA428">
        <v>18.937854800637432</v>
      </c>
      <c r="GB428">
        <v>9.2768213247748843</v>
      </c>
      <c r="GC428">
        <v>2.8371931101663952</v>
      </c>
      <c r="GD428">
        <v>1.6121994703644693</v>
      </c>
      <c r="GE428">
        <v>0</v>
      </c>
      <c r="GF428">
        <v>0</v>
      </c>
      <c r="GG428">
        <v>1.4097971424648157</v>
      </c>
      <c r="GH428">
        <v>1.6229601285312325</v>
      </c>
      <c r="GI428">
        <v>5.8102146184706651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5"/>
        <v>0.80138167652982462</v>
      </c>
      <c r="D429" s="191">
        <f>A$411</f>
        <v>1.28</v>
      </c>
      <c r="E429" s="8"/>
      <c r="F429" s="124"/>
      <c r="G429" s="107">
        <f t="shared" si="387"/>
        <v>0</v>
      </c>
      <c r="H429" s="107">
        <f t="shared" si="386"/>
        <v>0</v>
      </c>
      <c r="I429" s="107">
        <f t="shared" si="386"/>
        <v>0</v>
      </c>
      <c r="J429" s="107">
        <f t="shared" si="386"/>
        <v>0</v>
      </c>
      <c r="K429" s="107">
        <f t="shared" si="386"/>
        <v>0</v>
      </c>
      <c r="L429" s="107">
        <f t="shared" si="386"/>
        <v>0</v>
      </c>
      <c r="M429" s="107">
        <f t="shared" si="386"/>
        <v>0</v>
      </c>
      <c r="N429" s="107">
        <f t="shared" si="386"/>
        <v>0</v>
      </c>
      <c r="O429" s="107">
        <f t="shared" si="386"/>
        <v>0</v>
      </c>
      <c r="P429" s="107">
        <f t="shared" si="386"/>
        <v>0</v>
      </c>
      <c r="Q429" s="107">
        <f t="shared" si="386"/>
        <v>0</v>
      </c>
      <c r="R429" s="107">
        <f t="shared" si="386"/>
        <v>0</v>
      </c>
      <c r="S429" s="107">
        <f t="shared" si="386"/>
        <v>0</v>
      </c>
      <c r="T429" s="107">
        <f t="shared" si="386"/>
        <v>0.80138167652982462</v>
      </c>
      <c r="U429" s="107">
        <f t="shared" si="386"/>
        <v>0</v>
      </c>
      <c r="V429" s="107">
        <f t="shared" si="386"/>
        <v>0</v>
      </c>
      <c r="W429" s="107">
        <f t="shared" si="386"/>
        <v>0</v>
      </c>
      <c r="X429" s="107">
        <f t="shared" si="386"/>
        <v>0</v>
      </c>
      <c r="Y429" s="107">
        <f t="shared" si="386"/>
        <v>0</v>
      </c>
      <c r="Z429" s="107">
        <f t="shared" si="386"/>
        <v>0</v>
      </c>
      <c r="AA429" s="107">
        <f t="shared" si="386"/>
        <v>0</v>
      </c>
      <c r="AB429" s="107">
        <f t="shared" si="386"/>
        <v>0</v>
      </c>
      <c r="AC429" s="107">
        <f t="shared" si="386"/>
        <v>0</v>
      </c>
      <c r="AD429" s="107">
        <f t="shared" si="386"/>
        <v>0</v>
      </c>
      <c r="AE429" s="107">
        <f t="shared" si="386"/>
        <v>0</v>
      </c>
      <c r="AF429" s="107">
        <f t="shared" si="386"/>
        <v>0</v>
      </c>
      <c r="AG429" s="107">
        <f t="shared" si="386"/>
        <v>0</v>
      </c>
      <c r="AH429" s="107">
        <f t="shared" si="386"/>
        <v>0</v>
      </c>
      <c r="AI429" s="107">
        <f t="shared" si="386"/>
        <v>0</v>
      </c>
      <c r="AJ429" s="107">
        <f t="shared" si="386"/>
        <v>0</v>
      </c>
      <c r="AK429" s="107">
        <f t="shared" si="386"/>
        <v>0</v>
      </c>
      <c r="AL429" s="4"/>
      <c r="AM429" s="43">
        <v>413</v>
      </c>
      <c r="AN429">
        <v>7.8812499999999996</v>
      </c>
      <c r="AO429">
        <v>24.381193262384233</v>
      </c>
      <c r="AP429">
        <v>709.14077159080603</v>
      </c>
      <c r="AQ429">
        <v>71.508095350195376</v>
      </c>
      <c r="AR429">
        <v>22.164721147622028</v>
      </c>
      <c r="AS429">
        <v>129.19296273489263</v>
      </c>
      <c r="AT429" t="e">
        <v>#DIV/0!</v>
      </c>
      <c r="AU429" t="e">
        <v>#DIV/0!</v>
      </c>
      <c r="AV429"/>
      <c r="AW429"/>
      <c r="FY429" s="212">
        <v>424</v>
      </c>
      <c r="FZ429">
        <v>0.1709068907158674</v>
      </c>
      <c r="GA429">
        <v>4.0266287429362624</v>
      </c>
      <c r="GB429">
        <v>11.647081353525309</v>
      </c>
      <c r="GC429">
        <v>5.3591131284508027</v>
      </c>
      <c r="GD429">
        <v>0.49182784977434785</v>
      </c>
      <c r="GE429">
        <v>0</v>
      </c>
      <c r="GF429">
        <v>0</v>
      </c>
      <c r="GG429">
        <v>1.4097971424648157</v>
      </c>
      <c r="GH429">
        <v>1.6229601285312325</v>
      </c>
      <c r="GI429">
        <v>4.6870260576594074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5"/>
        <v>3.5759117604405652</v>
      </c>
      <c r="D430" s="191">
        <f>A$412</f>
        <v>4</v>
      </c>
      <c r="E430" s="8"/>
      <c r="F430" s="124"/>
      <c r="G430" s="107">
        <f t="shared" si="387"/>
        <v>0</v>
      </c>
      <c r="H430" s="107">
        <f t="shared" si="386"/>
        <v>0</v>
      </c>
      <c r="I430" s="107">
        <f t="shared" si="386"/>
        <v>0</v>
      </c>
      <c r="J430" s="107">
        <f t="shared" si="386"/>
        <v>0</v>
      </c>
      <c r="K430" s="107">
        <f t="shared" si="386"/>
        <v>0</v>
      </c>
      <c r="L430" s="107">
        <f t="shared" si="386"/>
        <v>0</v>
      </c>
      <c r="M430" s="107">
        <f t="shared" si="386"/>
        <v>0</v>
      </c>
      <c r="N430" s="107">
        <f t="shared" si="386"/>
        <v>0</v>
      </c>
      <c r="O430" s="107">
        <f t="shared" si="386"/>
        <v>0</v>
      </c>
      <c r="P430" s="107">
        <f t="shared" si="386"/>
        <v>0</v>
      </c>
      <c r="Q430" s="107">
        <f t="shared" si="386"/>
        <v>0</v>
      </c>
      <c r="R430" s="107">
        <f t="shared" si="386"/>
        <v>0</v>
      </c>
      <c r="S430" s="107">
        <f t="shared" si="386"/>
        <v>0</v>
      </c>
      <c r="T430" s="107">
        <f t="shared" si="386"/>
        <v>3.5759117604405652</v>
      </c>
      <c r="U430" s="107">
        <f t="shared" si="386"/>
        <v>0</v>
      </c>
      <c r="V430" s="107">
        <f t="shared" si="386"/>
        <v>0</v>
      </c>
      <c r="W430" s="107">
        <f t="shared" si="386"/>
        <v>0</v>
      </c>
      <c r="X430" s="107">
        <f t="shared" si="386"/>
        <v>0</v>
      </c>
      <c r="Y430" s="107">
        <f t="shared" si="386"/>
        <v>0</v>
      </c>
      <c r="Z430" s="107">
        <f t="shared" si="386"/>
        <v>0</v>
      </c>
      <c r="AA430" s="107">
        <f t="shared" si="386"/>
        <v>0</v>
      </c>
      <c r="AB430" s="107">
        <f t="shared" si="386"/>
        <v>0</v>
      </c>
      <c r="AC430" s="107">
        <f t="shared" si="386"/>
        <v>0</v>
      </c>
      <c r="AD430" s="107">
        <f t="shared" si="386"/>
        <v>0</v>
      </c>
      <c r="AE430" s="107">
        <f t="shared" si="386"/>
        <v>0</v>
      </c>
      <c r="AF430" s="107">
        <f t="shared" si="386"/>
        <v>0</v>
      </c>
      <c r="AG430" s="107">
        <f t="shared" si="386"/>
        <v>0</v>
      </c>
      <c r="AH430" s="107">
        <f t="shared" si="386"/>
        <v>0</v>
      </c>
      <c r="AI430" s="107">
        <f t="shared" si="386"/>
        <v>0</v>
      </c>
      <c r="AJ430" s="107">
        <f t="shared" si="386"/>
        <v>0</v>
      </c>
      <c r="AK430" s="107">
        <f t="shared" si="386"/>
        <v>0</v>
      </c>
      <c r="AL430" s="4"/>
      <c r="AM430" s="43">
        <v>414</v>
      </c>
      <c r="AN430">
        <v>13.560110294117649</v>
      </c>
      <c r="AO430">
        <v>49.173718998474165</v>
      </c>
      <c r="AP430">
        <v>687.4375834848795</v>
      </c>
      <c r="AQ430">
        <v>69.796336280844855</v>
      </c>
      <c r="AR430">
        <v>44.703380907703789</v>
      </c>
      <c r="AS430">
        <v>217.253992503359</v>
      </c>
      <c r="AT430" t="e">
        <v>#DIV/0!</v>
      </c>
      <c r="AU430" t="e">
        <v>#DIV/0!</v>
      </c>
      <c r="AV430"/>
      <c r="AW430"/>
      <c r="FY430" s="212">
        <v>425</v>
      </c>
      <c r="FZ430">
        <v>0.74064316864268975</v>
      </c>
      <c r="GA430">
        <v>6.5930261498882405</v>
      </c>
      <c r="GB430">
        <v>8.144059449885539</v>
      </c>
      <c r="GC430">
        <v>4.9062811204545467</v>
      </c>
      <c r="GD430">
        <v>1.5274742587563335</v>
      </c>
      <c r="GE430">
        <v>0</v>
      </c>
      <c r="GF430">
        <v>0.80138167652982462</v>
      </c>
      <c r="GG430">
        <v>4.9857089029053814</v>
      </c>
      <c r="GH430">
        <v>3.245920257062465</v>
      </c>
      <c r="GI430">
        <v>6.9066086587990014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5"/>
        <v>1.6229601285312325</v>
      </c>
      <c r="D431" s="191">
        <f>A$413</f>
        <v>7.33</v>
      </c>
      <c r="E431" s="8"/>
      <c r="F431" s="124"/>
      <c r="G431" s="107">
        <f t="shared" si="387"/>
        <v>0</v>
      </c>
      <c r="H431" s="107">
        <f t="shared" si="386"/>
        <v>0</v>
      </c>
      <c r="I431" s="107">
        <f t="shared" si="386"/>
        <v>0</v>
      </c>
      <c r="J431" s="107">
        <f t="shared" si="386"/>
        <v>0</v>
      </c>
      <c r="K431" s="107">
        <f t="shared" si="386"/>
        <v>0</v>
      </c>
      <c r="L431" s="107">
        <f t="shared" si="386"/>
        <v>0</v>
      </c>
      <c r="M431" s="107">
        <f t="shared" si="386"/>
        <v>0</v>
      </c>
      <c r="N431" s="107">
        <f t="shared" si="386"/>
        <v>0</v>
      </c>
      <c r="O431" s="107">
        <f t="shared" si="386"/>
        <v>0</v>
      </c>
      <c r="P431" s="107">
        <f t="shared" si="386"/>
        <v>0</v>
      </c>
      <c r="Q431" s="107">
        <f t="shared" si="386"/>
        <v>0</v>
      </c>
      <c r="R431" s="107">
        <f t="shared" si="386"/>
        <v>0</v>
      </c>
      <c r="S431" s="107">
        <f t="shared" si="386"/>
        <v>0</v>
      </c>
      <c r="T431" s="107">
        <f t="shared" si="386"/>
        <v>1.6229601285312325</v>
      </c>
      <c r="U431" s="107">
        <f t="shared" si="386"/>
        <v>0</v>
      </c>
      <c r="V431" s="107">
        <f t="shared" si="386"/>
        <v>0</v>
      </c>
      <c r="W431" s="107">
        <f t="shared" si="386"/>
        <v>0</v>
      </c>
      <c r="X431" s="107">
        <f t="shared" si="386"/>
        <v>0</v>
      </c>
      <c r="Y431" s="107">
        <f t="shared" si="386"/>
        <v>0</v>
      </c>
      <c r="Z431" s="107">
        <f t="shared" si="386"/>
        <v>0</v>
      </c>
      <c r="AA431" s="107">
        <f t="shared" si="386"/>
        <v>0</v>
      </c>
      <c r="AB431" s="107">
        <f t="shared" si="386"/>
        <v>0</v>
      </c>
      <c r="AC431" s="107">
        <f t="shared" si="386"/>
        <v>0</v>
      </c>
      <c r="AD431" s="107">
        <f t="shared" si="386"/>
        <v>0</v>
      </c>
      <c r="AE431" s="107">
        <f t="shared" si="386"/>
        <v>0</v>
      </c>
      <c r="AF431" s="107">
        <f t="shared" si="386"/>
        <v>0</v>
      </c>
      <c r="AG431" s="107">
        <f t="shared" si="386"/>
        <v>0</v>
      </c>
      <c r="AH431" s="107">
        <f t="shared" si="386"/>
        <v>0</v>
      </c>
      <c r="AI431" s="107">
        <f t="shared" si="386"/>
        <v>0</v>
      </c>
      <c r="AJ431" s="107">
        <f t="shared" si="386"/>
        <v>0</v>
      </c>
      <c r="AK431" s="107">
        <f t="shared" si="386"/>
        <v>0</v>
      </c>
      <c r="AL431" s="4"/>
      <c r="AM431" s="43">
        <v>415</v>
      </c>
      <c r="AN431">
        <v>4.5937499999999991</v>
      </c>
      <c r="AO431">
        <v>18.615418317700851</v>
      </c>
      <c r="AP431">
        <v>578.98036852507505</v>
      </c>
      <c r="AQ431">
        <v>40.070127142958228</v>
      </c>
      <c r="AR431">
        <v>16.991068105747811</v>
      </c>
      <c r="AS431">
        <v>101.91156167175534</v>
      </c>
      <c r="AT431" t="e">
        <v>#DIV/0!</v>
      </c>
      <c r="AU431" t="e">
        <v>#DIV/0!</v>
      </c>
      <c r="AV431"/>
      <c r="AW431"/>
      <c r="FY431" s="212">
        <v>426</v>
      </c>
      <c r="FZ431">
        <v>1.6353950055333373</v>
      </c>
      <c r="GA431">
        <v>2.352138308294343</v>
      </c>
      <c r="GB431">
        <v>4.1168881017827159</v>
      </c>
      <c r="GC431">
        <v>3.4815339236754239</v>
      </c>
      <c r="GD431">
        <v>1.4587583685556789</v>
      </c>
      <c r="GE431">
        <v>0.35947809610506914</v>
      </c>
      <c r="GF431">
        <v>1.6027633530596492</v>
      </c>
      <c r="GG431">
        <v>6.3202161347321617</v>
      </c>
      <c r="GH431">
        <v>1.6229601285312325</v>
      </c>
      <c r="GI431">
        <v>7.7227303949991715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5"/>
        <v>9.9752030306879433</v>
      </c>
      <c r="D432" s="191">
        <f>A$414</f>
        <v>10.51</v>
      </c>
      <c r="E432" s="8"/>
      <c r="F432" s="124"/>
      <c r="G432" s="107">
        <f t="shared" si="387"/>
        <v>0</v>
      </c>
      <c r="H432" s="107">
        <f t="shared" ref="H432:AK432" si="388">(($A$453+$A$455*(H$422)+($A$457*$D432))*($E30*H46))</f>
        <v>4.8529951926718374E-3</v>
      </c>
      <c r="I432" s="107">
        <f t="shared" si="388"/>
        <v>0</v>
      </c>
      <c r="J432" s="107">
        <f t="shared" si="388"/>
        <v>0.21471642180196898</v>
      </c>
      <c r="K432" s="107">
        <f t="shared" si="388"/>
        <v>7.5782203933874803E-2</v>
      </c>
      <c r="L432" s="107">
        <f t="shared" si="388"/>
        <v>0.12089443379188126</v>
      </c>
      <c r="M432" s="107">
        <f t="shared" si="388"/>
        <v>5.3298925602330197E-2</v>
      </c>
      <c r="N432" s="107">
        <f t="shared" si="388"/>
        <v>1.0003571460623377</v>
      </c>
      <c r="O432" s="107">
        <f t="shared" si="388"/>
        <v>0.5095364625250699</v>
      </c>
      <c r="P432" s="107">
        <f t="shared" si="388"/>
        <v>1.5454952082718272</v>
      </c>
      <c r="Q432" s="107">
        <f t="shared" si="388"/>
        <v>1.1011949823473577</v>
      </c>
      <c r="R432" s="107">
        <f t="shared" si="388"/>
        <v>0.4680960857332816</v>
      </c>
      <c r="S432" s="107">
        <f t="shared" si="388"/>
        <v>0</v>
      </c>
      <c r="T432" s="107">
        <f t="shared" si="388"/>
        <v>2.3131691206133009</v>
      </c>
      <c r="U432" s="107">
        <f t="shared" si="388"/>
        <v>2.5678090448120416</v>
      </c>
      <c r="V432" s="107">
        <f t="shared" si="388"/>
        <v>0</v>
      </c>
      <c r="W432" s="107">
        <f t="shared" si="388"/>
        <v>0</v>
      </c>
      <c r="X432" s="107">
        <f t="shared" si="388"/>
        <v>0</v>
      </c>
      <c r="Y432" s="107">
        <f t="shared" si="388"/>
        <v>0</v>
      </c>
      <c r="Z432" s="107">
        <f t="shared" si="388"/>
        <v>0</v>
      </c>
      <c r="AA432" s="107">
        <f t="shared" si="388"/>
        <v>0</v>
      </c>
      <c r="AB432" s="107">
        <f t="shared" si="388"/>
        <v>0</v>
      </c>
      <c r="AC432" s="107">
        <f t="shared" si="388"/>
        <v>0</v>
      </c>
      <c r="AD432" s="107">
        <f t="shared" si="388"/>
        <v>0</v>
      </c>
      <c r="AE432" s="107">
        <f t="shared" si="388"/>
        <v>0</v>
      </c>
      <c r="AF432" s="107">
        <f t="shared" si="388"/>
        <v>0</v>
      </c>
      <c r="AG432" s="107">
        <f t="shared" si="388"/>
        <v>0</v>
      </c>
      <c r="AH432" s="107">
        <f t="shared" si="388"/>
        <v>0</v>
      </c>
      <c r="AI432" s="107">
        <f t="shared" si="388"/>
        <v>0</v>
      </c>
      <c r="AJ432" s="107">
        <f t="shared" si="388"/>
        <v>0</v>
      </c>
      <c r="AK432" s="107">
        <f t="shared" si="388"/>
        <v>0</v>
      </c>
      <c r="AL432" s="4"/>
      <c r="AM432" s="43">
        <v>416</v>
      </c>
      <c r="AN432">
        <v>11.189583333333333</v>
      </c>
      <c r="AO432">
        <v>51.531474308364658</v>
      </c>
      <c r="AP432">
        <v>1376.0297515720993</v>
      </c>
      <c r="AQ432">
        <v>79.042334191125732</v>
      </c>
      <c r="AR432">
        <v>46.914755369987631</v>
      </c>
      <c r="AS432">
        <v>264.45218326333463</v>
      </c>
      <c r="AT432" t="e">
        <v>#DIV/0!</v>
      </c>
      <c r="AU432" t="e">
        <v>#DIV/0!</v>
      </c>
      <c r="AV432"/>
      <c r="AW432"/>
      <c r="FY432" s="212">
        <v>427</v>
      </c>
      <c r="FZ432">
        <v>0.36192247308739012</v>
      </c>
      <c r="GA432">
        <v>17.161503245742463</v>
      </c>
      <c r="GB432">
        <v>13.949029468944477</v>
      </c>
      <c r="GC432">
        <v>4.2684209896312515</v>
      </c>
      <c r="GD432">
        <v>1.1851608847155513</v>
      </c>
      <c r="GE432">
        <v>0.35947809610506914</v>
      </c>
      <c r="GF432">
        <v>1.6027633530596492</v>
      </c>
      <c r="GG432">
        <v>5.4886087485831929</v>
      </c>
      <c r="GH432">
        <v>0</v>
      </c>
      <c r="GI432">
        <v>15.029569856028152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8.3549019607843142</v>
      </c>
      <c r="AO433">
        <v>25.886297964700685</v>
      </c>
      <c r="AP433">
        <v>698.09704413881559</v>
      </c>
      <c r="AQ433">
        <v>51.231809054691269</v>
      </c>
      <c r="AR433">
        <v>23.566978421828686</v>
      </c>
      <c r="AS433">
        <v>123.04231526910546</v>
      </c>
      <c r="AT433" t="e">
        <v>#DIV/0!</v>
      </c>
      <c r="AU433" t="e">
        <v>#DIV/0!</v>
      </c>
      <c r="AV433"/>
      <c r="AW433"/>
      <c r="FY433" s="212">
        <v>428</v>
      </c>
      <c r="FZ433">
        <v>1.2533638407902918</v>
      </c>
      <c r="GA433">
        <v>19.556727684375183</v>
      </c>
      <c r="GB433">
        <v>8.6407871316544647</v>
      </c>
      <c r="GC433">
        <v>1.2941912575068433</v>
      </c>
      <c r="GD433">
        <v>0.89272834343087448</v>
      </c>
      <c r="GE433">
        <v>0.35947809610506914</v>
      </c>
      <c r="GF433">
        <v>0.80138167652982462</v>
      </c>
      <c r="GG433">
        <v>3.5759117604405652</v>
      </c>
      <c r="GH433">
        <v>1.6229601285312325</v>
      </c>
      <c r="GI433">
        <v>5.97409426372458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9.107291666666665</v>
      </c>
      <c r="AO434">
        <v>34.020386164913901</v>
      </c>
      <c r="AP434">
        <v>704.19185746958715</v>
      </c>
      <c r="AQ434">
        <v>60.640861544346741</v>
      </c>
      <c r="AR434">
        <v>30.961604058386161</v>
      </c>
      <c r="AS434">
        <v>243.1595958427954</v>
      </c>
      <c r="AT434" t="e">
        <v>#DIV/0!</v>
      </c>
      <c r="AU434" t="e">
        <v>#DIV/0!</v>
      </c>
      <c r="AV434"/>
      <c r="AW434"/>
      <c r="FY434" s="212">
        <v>429</v>
      </c>
      <c r="FZ434">
        <v>1.273472532445947</v>
      </c>
      <c r="GA434">
        <v>26.296193883289313</v>
      </c>
      <c r="GB434">
        <v>17.410509608264409</v>
      </c>
      <c r="GC434">
        <v>3.486195623872451</v>
      </c>
      <c r="GD434">
        <v>0.76213948007803256</v>
      </c>
      <c r="GE434">
        <v>0.71895619221013829</v>
      </c>
      <c r="GF434">
        <v>0</v>
      </c>
      <c r="GG434">
        <v>0.83160738614896845</v>
      </c>
      <c r="GH434">
        <v>1.6229601285312325</v>
      </c>
      <c r="GI434">
        <v>6.7163608191214363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47.737495602989945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11.12438725490196</v>
      </c>
      <c r="AO435">
        <v>21.317622561678579</v>
      </c>
      <c r="AP435">
        <v>121.88355034180745</v>
      </c>
      <c r="AQ435">
        <v>53.220830567591761</v>
      </c>
      <c r="AR435">
        <v>19.481597690555631</v>
      </c>
      <c r="AS435">
        <v>159.95618921804945</v>
      </c>
      <c r="AT435" t="e">
        <v>#DIV/0!</v>
      </c>
      <c r="AU435" t="e">
        <v>#DIV/0!</v>
      </c>
      <c r="AV435"/>
      <c r="AW435"/>
      <c r="FY435" s="212">
        <v>430</v>
      </c>
      <c r="FZ435">
        <v>0.74064316864268975</v>
      </c>
      <c r="GA435">
        <v>16.186187470543292</v>
      </c>
      <c r="GB435">
        <v>19.460372256493663</v>
      </c>
      <c r="GC435">
        <v>6.312065854116371</v>
      </c>
      <c r="GD435">
        <v>0.82756951674224488</v>
      </c>
      <c r="GE435">
        <v>1.0784342883152076</v>
      </c>
      <c r="GF435">
        <v>0.80138167652982462</v>
      </c>
      <c r="GG435">
        <v>2.7443043742915965</v>
      </c>
      <c r="GH435">
        <v>0</v>
      </c>
      <c r="GI435">
        <v>10.505691448644042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8.1851102941176457</v>
      </c>
      <c r="AO436">
        <v>37.89718234030714</v>
      </c>
      <c r="AP436">
        <v>937.6911671025066</v>
      </c>
      <c r="AQ436">
        <v>43.524068421312265</v>
      </c>
      <c r="AR436">
        <v>34.485964217834564</v>
      </c>
      <c r="AS436">
        <v>168.4730018209579</v>
      </c>
      <c r="AT436" t="e">
        <v>#DIV/0!</v>
      </c>
      <c r="AU436" t="e">
        <v>#DIV/0!</v>
      </c>
      <c r="AV436"/>
      <c r="AW436"/>
      <c r="FY436" s="212">
        <v>431</v>
      </c>
      <c r="FZ436">
        <v>1.273472532445947</v>
      </c>
      <c r="GA436">
        <v>26.404113850963654</v>
      </c>
      <c r="GB436">
        <v>23.57879788480524</v>
      </c>
      <c r="GC436">
        <v>6.4623048703243695</v>
      </c>
      <c r="GD436">
        <v>0.60489158498823414</v>
      </c>
      <c r="GE436">
        <v>0.35947809610506914</v>
      </c>
      <c r="GF436">
        <v>0.80138167652982462</v>
      </c>
      <c r="GG436">
        <v>3.5759117604405652</v>
      </c>
      <c r="GH436">
        <v>1.6229601285312325</v>
      </c>
      <c r="GI436">
        <v>11.150075403474659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10.322303921568627</v>
      </c>
      <c r="AO437">
        <v>11.170003592488802</v>
      </c>
      <c r="AP437">
        <v>195.18490064520361</v>
      </c>
      <c r="AQ437">
        <v>49.558229760536896</v>
      </c>
      <c r="AR437">
        <v>10.188528992545159</v>
      </c>
      <c r="AS437">
        <v>76.352832850172589</v>
      </c>
      <c r="AT437" t="e">
        <v>#DIV/0!</v>
      </c>
      <c r="AU437" t="e">
        <v>#DIV/0!</v>
      </c>
      <c r="AV437"/>
      <c r="AW437"/>
      <c r="FY437" s="212">
        <v>432</v>
      </c>
      <c r="FZ437">
        <v>1.46448811481747</v>
      </c>
      <c r="GA437">
        <v>19.758588798262547</v>
      </c>
      <c r="GB437">
        <v>18.361961158167965</v>
      </c>
      <c r="GC437">
        <v>6.1196658496660739</v>
      </c>
      <c r="GD437">
        <v>1.3603103117850837</v>
      </c>
      <c r="GE437">
        <v>0.71895619221013829</v>
      </c>
      <c r="GF437">
        <v>2.4041450295894737</v>
      </c>
      <c r="GG437">
        <v>10.220900021655453</v>
      </c>
      <c r="GH437">
        <v>1.6229601285312325</v>
      </c>
      <c r="GI437">
        <v>12.546958176187751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7.1343750000000004</v>
      </c>
      <c r="AO438">
        <v>26.869390443500908</v>
      </c>
      <c r="AP438">
        <v>1121.9316243958467</v>
      </c>
      <c r="AQ438">
        <v>55.799511989122642</v>
      </c>
      <c r="AR438">
        <v>24.426718585000824</v>
      </c>
      <c r="AS438">
        <v>132.20224322628823</v>
      </c>
      <c r="AT438" t="e">
        <v>#DIV/0!</v>
      </c>
      <c r="AU438" t="e">
        <v>#DIV/0!</v>
      </c>
      <c r="AV438"/>
      <c r="AW438"/>
      <c r="FY438" s="212">
        <v>433</v>
      </c>
      <c r="FZ438">
        <v>0.91155005935855693</v>
      </c>
      <c r="GA438">
        <v>13.937725862032092</v>
      </c>
      <c r="GB438">
        <v>10.913550191450126</v>
      </c>
      <c r="GC438">
        <v>3.6223003310714299</v>
      </c>
      <c r="GD438">
        <v>1.0268742702957416</v>
      </c>
      <c r="GE438">
        <v>0.35947809610506914</v>
      </c>
      <c r="GF438">
        <v>0.80138167652982462</v>
      </c>
      <c r="GG438">
        <v>4.9857089029053814</v>
      </c>
      <c r="GH438">
        <v>3.245920257062465</v>
      </c>
      <c r="GI438">
        <v>7.2048776744743499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7.6611519607843137</v>
      </c>
      <c r="AO439">
        <v>22.579362768884454</v>
      </c>
      <c r="AP439">
        <v>460.82831743301182</v>
      </c>
      <c r="AQ439">
        <v>42.418590654768451</v>
      </c>
      <c r="AR439">
        <v>20.526693426258589</v>
      </c>
      <c r="AS439">
        <v>99.326587405886386</v>
      </c>
      <c r="AT439" t="e">
        <v>#DIV/0!</v>
      </c>
      <c r="AU439" t="e">
        <v>#DIV/0!</v>
      </c>
      <c r="AV439"/>
      <c r="AW439"/>
      <c r="FY439" s="212">
        <v>434</v>
      </c>
      <c r="FZ439">
        <v>0.70373625451912492</v>
      </c>
      <c r="GA439">
        <v>15.156747495719245</v>
      </c>
      <c r="GB439">
        <v>9.5472690404775715</v>
      </c>
      <c r="GC439">
        <v>3.2618724873709302</v>
      </c>
      <c r="GD439">
        <v>1.5048717500693667</v>
      </c>
      <c r="GE439">
        <v>0.35947809610506914</v>
      </c>
      <c r="GF439">
        <v>0</v>
      </c>
      <c r="GG439">
        <v>0</v>
      </c>
      <c r="GH439">
        <v>0</v>
      </c>
      <c r="GI439">
        <v>7.2743858910985333</v>
      </c>
      <c r="GJ439"/>
      <c r="GK439"/>
      <c r="GL439"/>
      <c r="GM439"/>
    </row>
    <row r="440" spans="1:195" s="7" customFormat="1">
      <c r="A440" s="1">
        <v>24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5.1979166666666661</v>
      </c>
      <c r="AO440">
        <v>18.717256257671629</v>
      </c>
      <c r="AP440">
        <v>341.64918986543512</v>
      </c>
      <c r="AQ440">
        <v>29.415341294058045</v>
      </c>
      <c r="AR440">
        <v>17.015687506974206</v>
      </c>
      <c r="AS440">
        <v>105.22583838476388</v>
      </c>
      <c r="AT440" t="e">
        <v>#DIV/0!</v>
      </c>
      <c r="AU440" t="e">
        <v>#DIV/0!</v>
      </c>
      <c r="AV440"/>
      <c r="AW440"/>
      <c r="FY440" s="212">
        <v>435</v>
      </c>
      <c r="FZ440">
        <v>2.3391312600524623</v>
      </c>
      <c r="GA440">
        <v>10.132256560563873</v>
      </c>
      <c r="GB440">
        <v>11.56537308464633</v>
      </c>
      <c r="GC440">
        <v>4.9390781482769119</v>
      </c>
      <c r="GD440">
        <v>1.1433683949498568</v>
      </c>
      <c r="GE440">
        <v>0.71895619221013829</v>
      </c>
      <c r="GF440">
        <v>1.6027633530596492</v>
      </c>
      <c r="GG440">
        <v>6.3202161347321617</v>
      </c>
      <c r="GH440">
        <v>1.6229601285312325</v>
      </c>
      <c r="GI440">
        <v>12.292284057675875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9">SUM(G441:AK441)</f>
        <v>1.8432088103727695</v>
      </c>
      <c r="D441" s="191">
        <f>$A$405</f>
        <v>13.69</v>
      </c>
      <c r="E441" s="8"/>
      <c r="F441" s="124"/>
      <c r="G441" s="107" t="str">
        <f t="shared" ref="G441:G450" si="390">IF(G423&lt;=0, "0.000", G423)</f>
        <v>0.000</v>
      </c>
      <c r="H441" s="107">
        <f t="shared" ref="H441:AK441" si="391">IF(H423&lt;=0, "0.000", H423)</f>
        <v>3.2708534779247837E-2</v>
      </c>
      <c r="I441" s="107" t="str">
        <f t="shared" si="391"/>
        <v>0.000</v>
      </c>
      <c r="J441" s="107">
        <f t="shared" si="391"/>
        <v>1.4485778025061318</v>
      </c>
      <c r="K441" s="107" t="str">
        <f t="shared" si="391"/>
        <v>0.000</v>
      </c>
      <c r="L441" s="107" t="str">
        <f t="shared" si="391"/>
        <v>0.000</v>
      </c>
      <c r="M441" s="107">
        <f t="shared" si="391"/>
        <v>0.36192247308739012</v>
      </c>
      <c r="N441" s="107" t="str">
        <f t="shared" si="391"/>
        <v>0.000</v>
      </c>
      <c r="O441" s="107" t="str">
        <f t="shared" si="391"/>
        <v>0.000</v>
      </c>
      <c r="P441" s="107" t="str">
        <f t="shared" si="391"/>
        <v>0.000</v>
      </c>
      <c r="Q441" s="107" t="str">
        <f t="shared" si="391"/>
        <v>0.000</v>
      </c>
      <c r="R441" s="107" t="str">
        <f t="shared" si="391"/>
        <v>0.000</v>
      </c>
      <c r="S441" s="107" t="str">
        <f t="shared" si="391"/>
        <v>0.000</v>
      </c>
      <c r="T441" s="107" t="str">
        <f t="shared" si="391"/>
        <v>0.000</v>
      </c>
      <c r="U441" s="107" t="str">
        <f t="shared" si="391"/>
        <v>0.000</v>
      </c>
      <c r="V441" s="107" t="str">
        <f t="shared" si="391"/>
        <v>0.000</v>
      </c>
      <c r="W441" s="107" t="str">
        <f t="shared" si="391"/>
        <v>0.000</v>
      </c>
      <c r="X441" s="107" t="str">
        <f t="shared" si="391"/>
        <v>0.000</v>
      </c>
      <c r="Y441" s="107" t="str">
        <f t="shared" si="391"/>
        <v>0.000</v>
      </c>
      <c r="Z441" s="107" t="str">
        <f t="shared" si="391"/>
        <v>0.000</v>
      </c>
      <c r="AA441" s="107" t="str">
        <f t="shared" si="391"/>
        <v>0.000</v>
      </c>
      <c r="AB441" s="107" t="str">
        <f t="shared" si="391"/>
        <v>0.000</v>
      </c>
      <c r="AC441" s="107" t="str">
        <f t="shared" si="391"/>
        <v>0.000</v>
      </c>
      <c r="AD441" s="107" t="str">
        <f t="shared" si="391"/>
        <v>0.000</v>
      </c>
      <c r="AE441" s="107" t="str">
        <f t="shared" si="391"/>
        <v>0.000</v>
      </c>
      <c r="AF441" s="107" t="str">
        <f t="shared" si="391"/>
        <v>0.000</v>
      </c>
      <c r="AG441" s="107" t="str">
        <f t="shared" si="391"/>
        <v>0.000</v>
      </c>
      <c r="AH441" s="107" t="str">
        <f t="shared" si="391"/>
        <v>0.000</v>
      </c>
      <c r="AI441" s="107" t="str">
        <f t="shared" si="391"/>
        <v>0.000</v>
      </c>
      <c r="AJ441" s="107" t="str">
        <f t="shared" si="391"/>
        <v>0.000</v>
      </c>
      <c r="AK441" s="107" t="str">
        <f t="shared" si="391"/>
        <v>0.000</v>
      </c>
      <c r="AL441" s="4"/>
      <c r="AM441" s="43">
        <v>425</v>
      </c>
      <c r="AN441">
        <v>7.6955269607843135</v>
      </c>
      <c r="AO441">
        <v>24.520196021785654</v>
      </c>
      <c r="AP441">
        <v>538.1659001825235</v>
      </c>
      <c r="AQ441">
        <v>37.851103642924024</v>
      </c>
      <c r="AR441">
        <v>22.29108729253241</v>
      </c>
      <c r="AS441">
        <v>206.02457976629847</v>
      </c>
      <c r="AT441" t="e">
        <v>#DIV/0!</v>
      </c>
      <c r="AU441" t="e">
        <v>#DIV/0!</v>
      </c>
      <c r="AV441"/>
      <c r="AW441"/>
      <c r="FY441" s="212">
        <v>436</v>
      </c>
      <c r="FZ441">
        <v>2.9088675379792845</v>
      </c>
      <c r="GA441">
        <v>26.269465724741227</v>
      </c>
      <c r="GB441">
        <v>16.049679261089207</v>
      </c>
      <c r="GC441">
        <v>3.3712415021285209</v>
      </c>
      <c r="GD441">
        <v>0.65774268968519456</v>
      </c>
      <c r="GE441">
        <v>0.35947809610506914</v>
      </c>
      <c r="GF441">
        <v>0.80138167652982462</v>
      </c>
      <c r="GG441">
        <v>4.407519146589534</v>
      </c>
      <c r="GH441">
        <v>3.245920257062465</v>
      </c>
      <c r="GI441">
        <v>12.088474825929067</v>
      </c>
      <c r="GJ441"/>
      <c r="GK441"/>
      <c r="GL441"/>
      <c r="GM441"/>
    </row>
    <row r="442" spans="1:195" s="7" customFormat="1">
      <c r="A442" s="1">
        <v>400</v>
      </c>
      <c r="B442" s="48" t="s">
        <v>39</v>
      </c>
      <c r="C442" s="107">
        <f t="shared" si="389"/>
        <v>15.976004968383126</v>
      </c>
      <c r="D442" s="191">
        <f>$A$406</f>
        <v>9.4499999999999993</v>
      </c>
      <c r="E442" s="8"/>
      <c r="F442" s="124"/>
      <c r="G442" s="173" t="str">
        <f t="shared" si="390"/>
        <v>0.000</v>
      </c>
      <c r="H442" s="173">
        <f t="shared" ref="H442:V442" si="392">IF(H424&lt;=0, "0.000", H424)</f>
        <v>3.8714051102353195E-2</v>
      </c>
      <c r="I442" s="173" t="str">
        <f t="shared" si="392"/>
        <v>0.000</v>
      </c>
      <c r="J442" s="173">
        <f t="shared" si="392"/>
        <v>1.7121507309822845</v>
      </c>
      <c r="K442" s="173" t="str">
        <f t="shared" si="392"/>
        <v>0.000</v>
      </c>
      <c r="L442" s="173" t="str">
        <f t="shared" si="392"/>
        <v>0.000</v>
      </c>
      <c r="M442" s="173" t="str">
        <f t="shared" si="392"/>
        <v>0.000</v>
      </c>
      <c r="N442" s="173">
        <f t="shared" si="392"/>
        <v>1.9124421192631782</v>
      </c>
      <c r="O442" s="173" t="str">
        <f t="shared" si="392"/>
        <v>0.000</v>
      </c>
      <c r="P442" s="173">
        <f t="shared" si="392"/>
        <v>5.9598425614567923</v>
      </c>
      <c r="Q442" s="173">
        <f t="shared" si="392"/>
        <v>4.5278342198732027</v>
      </c>
      <c r="R442" s="173">
        <f t="shared" si="392"/>
        <v>1.8250212857053159</v>
      </c>
      <c r="S442" s="173" t="str">
        <f t="shared" si="392"/>
        <v>0.000</v>
      </c>
      <c r="T442" s="173" t="str">
        <f t="shared" si="392"/>
        <v>0.000</v>
      </c>
      <c r="U442" s="173" t="str">
        <f t="shared" si="392"/>
        <v>0.000</v>
      </c>
      <c r="V442" s="173" t="str">
        <f t="shared" si="392"/>
        <v>0.000</v>
      </c>
      <c r="W442" s="173" t="str">
        <f t="shared" ref="W442:AK442" si="393">IF(W424&lt;=0, "0.000", W424)</f>
        <v>0.000</v>
      </c>
      <c r="X442" s="173" t="str">
        <f t="shared" si="393"/>
        <v>0.000</v>
      </c>
      <c r="Y442" s="173" t="str">
        <f t="shared" si="393"/>
        <v>0.000</v>
      </c>
      <c r="Z442" s="173" t="str">
        <f t="shared" si="393"/>
        <v>0.000</v>
      </c>
      <c r="AA442" s="173" t="str">
        <f t="shared" si="393"/>
        <v>0.000</v>
      </c>
      <c r="AB442" s="173" t="str">
        <f t="shared" si="393"/>
        <v>0.000</v>
      </c>
      <c r="AC442" s="173" t="str">
        <f t="shared" si="393"/>
        <v>0.000</v>
      </c>
      <c r="AD442" s="173" t="str">
        <f t="shared" si="393"/>
        <v>0.000</v>
      </c>
      <c r="AE442" s="173" t="str">
        <f t="shared" si="393"/>
        <v>0.000</v>
      </c>
      <c r="AF442" s="173" t="str">
        <f t="shared" si="393"/>
        <v>0.000</v>
      </c>
      <c r="AG442" s="173" t="str">
        <f t="shared" si="393"/>
        <v>0.000</v>
      </c>
      <c r="AH442" s="173" t="str">
        <f t="shared" si="393"/>
        <v>0.000</v>
      </c>
      <c r="AI442" s="173" t="str">
        <f t="shared" si="393"/>
        <v>0.000</v>
      </c>
      <c r="AJ442" s="173" t="str">
        <f t="shared" si="393"/>
        <v>0.000</v>
      </c>
      <c r="AK442" s="173" t="str">
        <f t="shared" si="393"/>
        <v>0.000</v>
      </c>
      <c r="AL442" s="4"/>
      <c r="AM442" s="43">
        <v>426</v>
      </c>
      <c r="AN442">
        <v>7.7299019607843125</v>
      </c>
      <c r="AO442">
        <v>23.148248783812114</v>
      </c>
      <c r="AP442">
        <v>505.41718129245146</v>
      </c>
      <c r="AQ442">
        <v>30.672861815268785</v>
      </c>
      <c r="AR442">
        <v>21.111823074939871</v>
      </c>
      <c r="AS442">
        <v>131.53597610877262</v>
      </c>
      <c r="AT442" t="e">
        <v>#DIV/0!</v>
      </c>
      <c r="AU442" t="e">
        <v>#DIV/0!</v>
      </c>
      <c r="AV442"/>
      <c r="AW442"/>
      <c r="FY442" s="212">
        <v>437</v>
      </c>
      <c r="FZ442">
        <v>3.0998831203508068</v>
      </c>
      <c r="GA442">
        <v>22.048109429682917</v>
      </c>
      <c r="GB442">
        <v>13.729104944449077</v>
      </c>
      <c r="GC442">
        <v>3.3584819807850512</v>
      </c>
      <c r="GD442">
        <v>0.88563569661342401</v>
      </c>
      <c r="GE442">
        <v>0.35947809610506914</v>
      </c>
      <c r="GF442">
        <v>0.80138167652982462</v>
      </c>
      <c r="GG442">
        <v>5.8173162890543502</v>
      </c>
      <c r="GH442">
        <v>4.8688803855936991</v>
      </c>
      <c r="GI442">
        <v>12.378207136454034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9"/>
        <v>13.625590079880542</v>
      </c>
      <c r="D443" s="191">
        <f>A$407</f>
        <v>4.03</v>
      </c>
      <c r="E443" s="8"/>
      <c r="F443" s="124"/>
      <c r="G443" s="173" t="str">
        <f t="shared" si="390"/>
        <v>0.000</v>
      </c>
      <c r="H443" s="173" t="str">
        <f t="shared" ref="H443:V443" si="394">IF(H425&lt;=0, "0.000", H425)</f>
        <v>0.000</v>
      </c>
      <c r="I443" s="173" t="str">
        <f t="shared" si="394"/>
        <v>0.000</v>
      </c>
      <c r="J443" s="173" t="str">
        <f t="shared" si="394"/>
        <v>0.000</v>
      </c>
      <c r="K443" s="173" t="str">
        <f t="shared" si="394"/>
        <v>0.000</v>
      </c>
      <c r="L443" s="173">
        <f t="shared" si="394"/>
        <v>0.35602921394841569</v>
      </c>
      <c r="M443" s="173" t="str">
        <f t="shared" si="394"/>
        <v>0.000</v>
      </c>
      <c r="N443" s="173">
        <f t="shared" si="394"/>
        <v>3.0457604297019159</v>
      </c>
      <c r="O443" s="173">
        <f t="shared" si="394"/>
        <v>1.5045011326432298</v>
      </c>
      <c r="P443" s="173">
        <f t="shared" si="394"/>
        <v>4.1456368243472133</v>
      </c>
      <c r="Q443" s="173">
        <f t="shared" si="394"/>
        <v>3.8214137759452789</v>
      </c>
      <c r="R443" s="173">
        <f t="shared" si="394"/>
        <v>0.75224870329448901</v>
      </c>
      <c r="S443" s="173" t="str">
        <f t="shared" si="394"/>
        <v>0.000</v>
      </c>
      <c r="T443" s="173" t="str">
        <f t="shared" si="394"/>
        <v>0.000</v>
      </c>
      <c r="U443" s="173" t="str">
        <f t="shared" si="394"/>
        <v>0.000</v>
      </c>
      <c r="V443" s="173" t="str">
        <f t="shared" si="394"/>
        <v>0.000</v>
      </c>
      <c r="W443" s="173" t="str">
        <f t="shared" ref="W443:AK443" si="395">IF(W425&lt;=0, "0.000", W425)</f>
        <v>0.000</v>
      </c>
      <c r="X443" s="173" t="str">
        <f t="shared" si="395"/>
        <v>0.000</v>
      </c>
      <c r="Y443" s="173" t="str">
        <f t="shared" si="395"/>
        <v>0.000</v>
      </c>
      <c r="Z443" s="173" t="str">
        <f t="shared" si="395"/>
        <v>0.000</v>
      </c>
      <c r="AA443" s="173" t="str">
        <f t="shared" si="395"/>
        <v>0.000</v>
      </c>
      <c r="AB443" s="173" t="str">
        <f t="shared" si="395"/>
        <v>0.000</v>
      </c>
      <c r="AC443" s="173" t="str">
        <f t="shared" si="395"/>
        <v>0.000</v>
      </c>
      <c r="AD443" s="173" t="str">
        <f t="shared" si="395"/>
        <v>0.000</v>
      </c>
      <c r="AE443" s="173" t="str">
        <f t="shared" si="395"/>
        <v>0.000</v>
      </c>
      <c r="AF443" s="173" t="str">
        <f t="shared" si="395"/>
        <v>0.000</v>
      </c>
      <c r="AG443" s="173" t="str">
        <f t="shared" si="395"/>
        <v>0.000</v>
      </c>
      <c r="AH443" s="173" t="str">
        <f t="shared" si="395"/>
        <v>0.000</v>
      </c>
      <c r="AI443" s="173" t="str">
        <f t="shared" si="395"/>
        <v>0.000</v>
      </c>
      <c r="AJ443" s="173" t="str">
        <f t="shared" si="395"/>
        <v>0.000</v>
      </c>
      <c r="AK443" s="173" t="str">
        <f t="shared" si="395"/>
        <v>0.000</v>
      </c>
      <c r="AL443" s="4"/>
      <c r="AM443" s="43">
        <v>427</v>
      </c>
      <c r="AN443">
        <v>9.4437499999999979</v>
      </c>
      <c r="AO443">
        <v>39.68430651109837</v>
      </c>
      <c r="AP443">
        <v>685.18809353088</v>
      </c>
      <c r="AQ443">
        <v>59.406457115897204</v>
      </c>
      <c r="AR443">
        <v>36.110622554917491</v>
      </c>
      <c r="AS443">
        <v>190.49648769154695</v>
      </c>
      <c r="AT443" t="e">
        <v>#DIV/0!</v>
      </c>
      <c r="AU443" t="e">
        <v>#DIV/0!</v>
      </c>
      <c r="AV443"/>
      <c r="AW443"/>
      <c r="FY443" s="212">
        <v>438</v>
      </c>
      <c r="FZ443">
        <v>0.72384494617478023</v>
      </c>
      <c r="GA443">
        <v>20.563366928913414</v>
      </c>
      <c r="GB443">
        <v>13.759015001315456</v>
      </c>
      <c r="GC443">
        <v>3.1947943448909615</v>
      </c>
      <c r="GD443">
        <v>1.0706865366353864</v>
      </c>
      <c r="GE443">
        <v>0.71895619221013829</v>
      </c>
      <c r="GF443">
        <v>0.80138167652982462</v>
      </c>
      <c r="GG443">
        <v>4.1541015167564126</v>
      </c>
      <c r="GH443">
        <v>1.6229601285312325</v>
      </c>
      <c r="GI443">
        <v>9.058744577859505</v>
      </c>
      <c r="GJ443"/>
      <c r="GK443"/>
      <c r="GL443"/>
      <c r="GM443"/>
    </row>
    <row r="444" spans="1:195" s="7" customFormat="1">
      <c r="A444" s="1">
        <v>360</v>
      </c>
      <c r="B444" s="48" t="s">
        <v>41</v>
      </c>
      <c r="C444" s="107">
        <f t="shared" si="389"/>
        <v>5.1745082614068201</v>
      </c>
      <c r="D444" s="191">
        <f>A$408</f>
        <v>0.78</v>
      </c>
      <c r="E444" s="8"/>
      <c r="F444" s="124"/>
      <c r="G444" s="173" t="str">
        <f t="shared" si="390"/>
        <v>0.000</v>
      </c>
      <c r="H444" s="173" t="str">
        <f t="shared" ref="H444:V444" si="396">IF(H426&lt;=0, "0.000", H426)</f>
        <v>0.000</v>
      </c>
      <c r="I444" s="173" t="str">
        <f t="shared" si="396"/>
        <v>0.000</v>
      </c>
      <c r="J444" s="173" t="str">
        <f t="shared" si="396"/>
        <v>0.000</v>
      </c>
      <c r="K444" s="173">
        <f t="shared" si="396"/>
        <v>0.17027880588212063</v>
      </c>
      <c r="L444" s="173">
        <f t="shared" si="396"/>
        <v>0.26621510736079784</v>
      </c>
      <c r="M444" s="173" t="str">
        <f t="shared" si="396"/>
        <v>0.000</v>
      </c>
      <c r="N444" s="173">
        <f t="shared" si="396"/>
        <v>1.5498750962559003</v>
      </c>
      <c r="O444" s="173">
        <f t="shared" si="396"/>
        <v>0.97370888222513818</v>
      </c>
      <c r="P444" s="173">
        <f t="shared" si="396"/>
        <v>1.3701366076485748</v>
      </c>
      <c r="Q444" s="173">
        <f t="shared" si="396"/>
        <v>0.78423311217881242</v>
      </c>
      <c r="R444" s="173" t="str">
        <f t="shared" si="396"/>
        <v>0.000</v>
      </c>
      <c r="S444" s="173" t="str">
        <f t="shared" si="396"/>
        <v>0.000</v>
      </c>
      <c r="T444" s="173">
        <f t="shared" si="396"/>
        <v>6.0060649855476461E-2</v>
      </c>
      <c r="U444" s="173" t="str">
        <f t="shared" si="396"/>
        <v>0.000</v>
      </c>
      <c r="V444" s="173" t="str">
        <f t="shared" si="396"/>
        <v>0.000</v>
      </c>
      <c r="W444" s="173" t="str">
        <f t="shared" ref="W444:AK444" si="397">IF(W426&lt;=0, "0.000", W426)</f>
        <v>0.000</v>
      </c>
      <c r="X444" s="173" t="str">
        <f t="shared" si="397"/>
        <v>0.000</v>
      </c>
      <c r="Y444" s="173" t="str">
        <f t="shared" si="397"/>
        <v>0.000</v>
      </c>
      <c r="Z444" s="173" t="str">
        <f t="shared" si="397"/>
        <v>0.000</v>
      </c>
      <c r="AA444" s="173" t="str">
        <f t="shared" si="397"/>
        <v>0.000</v>
      </c>
      <c r="AB444" s="173" t="str">
        <f t="shared" si="397"/>
        <v>0.000</v>
      </c>
      <c r="AC444" s="173" t="str">
        <f t="shared" si="397"/>
        <v>0.000</v>
      </c>
      <c r="AD444" s="173" t="str">
        <f t="shared" si="397"/>
        <v>0.000</v>
      </c>
      <c r="AE444" s="173" t="str">
        <f t="shared" si="397"/>
        <v>0.000</v>
      </c>
      <c r="AF444" s="173" t="str">
        <f t="shared" si="397"/>
        <v>0.000</v>
      </c>
      <c r="AG444" s="173" t="str">
        <f t="shared" si="397"/>
        <v>0.000</v>
      </c>
      <c r="AH444" s="173" t="str">
        <f t="shared" si="397"/>
        <v>0.000</v>
      </c>
      <c r="AI444" s="173" t="str">
        <f t="shared" si="397"/>
        <v>0.000</v>
      </c>
      <c r="AJ444" s="173" t="str">
        <f t="shared" si="397"/>
        <v>0.000</v>
      </c>
      <c r="AK444" s="173" t="str">
        <f t="shared" si="397"/>
        <v>0.000</v>
      </c>
      <c r="AL444" s="4"/>
      <c r="AM444" s="43">
        <v>428</v>
      </c>
      <c r="AN444">
        <v>7.9038602941176448</v>
      </c>
      <c r="AO444">
        <v>24.907279481815316</v>
      </c>
      <c r="AP444">
        <v>449.95873732066542</v>
      </c>
      <c r="AQ444">
        <v>43.97162418308892</v>
      </c>
      <c r="AR444">
        <v>22.64298134710484</v>
      </c>
      <c r="AS444">
        <v>104.83646576266254</v>
      </c>
      <c r="AT444" t="e">
        <v>#DIV/0!</v>
      </c>
      <c r="AU444" t="e">
        <v>#DIV/0!</v>
      </c>
      <c r="AV444"/>
      <c r="AW444"/>
      <c r="FY444" s="212">
        <v>439</v>
      </c>
      <c r="FZ444">
        <v>0.53282936380325752</v>
      </c>
      <c r="GA444">
        <v>16.80575115755083</v>
      </c>
      <c r="GB444">
        <v>14.148659699200962</v>
      </c>
      <c r="GC444">
        <v>4.4906742420437924</v>
      </c>
      <c r="GD444">
        <v>1.0142953383284896</v>
      </c>
      <c r="GE444">
        <v>0</v>
      </c>
      <c r="GF444">
        <v>0.80138167652982462</v>
      </c>
      <c r="GG444">
        <v>4.9857089029053814</v>
      </c>
      <c r="GH444">
        <v>3.245920257062465</v>
      </c>
      <c r="GI444">
        <v>8.107585929322827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9"/>
        <v>1.3725128399115567</v>
      </c>
      <c r="D445" s="191">
        <f>A$409</f>
        <v>0.14000000000000001</v>
      </c>
      <c r="E445" s="8"/>
      <c r="F445" s="124"/>
      <c r="G445" s="173" t="str">
        <f t="shared" si="390"/>
        <v>0.000</v>
      </c>
      <c r="H445" s="173" t="str">
        <f t="shared" ref="H445:V445" si="398">IF(H427&lt;=0, "0.000", H427)</f>
        <v>0.000</v>
      </c>
      <c r="I445" s="173" t="str">
        <f t="shared" si="398"/>
        <v>0.000</v>
      </c>
      <c r="J445" s="173" t="str">
        <f t="shared" si="398"/>
        <v>0.000</v>
      </c>
      <c r="K445" s="173">
        <f t="shared" si="398"/>
        <v>0.13063024422062475</v>
      </c>
      <c r="L445" s="173">
        <f t="shared" si="398"/>
        <v>5.457977063414552E-2</v>
      </c>
      <c r="M445" s="173" t="str">
        <f t="shared" si="398"/>
        <v>0.000</v>
      </c>
      <c r="N445" s="173">
        <f t="shared" si="398"/>
        <v>0.33637375009795484</v>
      </c>
      <c r="O445" s="173">
        <f t="shared" si="398"/>
        <v>0.16042855476104517</v>
      </c>
      <c r="P445" s="173">
        <f t="shared" si="398"/>
        <v>0.51749303346948961</v>
      </c>
      <c r="Q445" s="173" t="str">
        <f t="shared" si="398"/>
        <v>0.000</v>
      </c>
      <c r="R445" s="173">
        <f t="shared" si="398"/>
        <v>0.17300748672829702</v>
      </c>
      <c r="S445" s="173" t="str">
        <f t="shared" si="398"/>
        <v>0.000</v>
      </c>
      <c r="T445" s="173" t="str">
        <f t="shared" si="398"/>
        <v>0.000</v>
      </c>
      <c r="U445" s="173" t="str">
        <f t="shared" si="398"/>
        <v>0.000</v>
      </c>
      <c r="V445" s="173" t="str">
        <f t="shared" si="398"/>
        <v>0.000</v>
      </c>
      <c r="W445" s="173" t="str">
        <f t="shared" ref="W445:AK445" si="399">IF(W427&lt;=0, "0.000", W427)</f>
        <v>0.000</v>
      </c>
      <c r="X445" s="173" t="str">
        <f t="shared" si="399"/>
        <v>0.000</v>
      </c>
      <c r="Y445" s="173" t="str">
        <f t="shared" si="399"/>
        <v>0.000</v>
      </c>
      <c r="Z445" s="173" t="str">
        <f t="shared" si="399"/>
        <v>0.000</v>
      </c>
      <c r="AA445" s="173" t="str">
        <f t="shared" si="399"/>
        <v>0.000</v>
      </c>
      <c r="AB445" s="173" t="str">
        <f t="shared" si="399"/>
        <v>0.000</v>
      </c>
      <c r="AC445" s="173" t="str">
        <f t="shared" si="399"/>
        <v>0.000</v>
      </c>
      <c r="AD445" s="173" t="str">
        <f t="shared" si="399"/>
        <v>0.000</v>
      </c>
      <c r="AE445" s="173" t="str">
        <f t="shared" si="399"/>
        <v>0.000</v>
      </c>
      <c r="AF445" s="173" t="str">
        <f t="shared" si="399"/>
        <v>0.000</v>
      </c>
      <c r="AG445" s="173" t="str">
        <f t="shared" si="399"/>
        <v>0.000</v>
      </c>
      <c r="AH445" s="173" t="str">
        <f t="shared" si="399"/>
        <v>0.000</v>
      </c>
      <c r="AI445" s="173" t="str">
        <f t="shared" si="399"/>
        <v>0.000</v>
      </c>
      <c r="AJ445" s="173" t="str">
        <f t="shared" si="399"/>
        <v>0.000</v>
      </c>
      <c r="AK445" s="173" t="str">
        <f t="shared" si="399"/>
        <v>0.000</v>
      </c>
      <c r="AL445" s="4"/>
      <c r="AM445" s="43">
        <v>429</v>
      </c>
      <c r="AN445">
        <v>8.3799019607843128</v>
      </c>
      <c r="AO445">
        <v>22.021019666147463</v>
      </c>
      <c r="AP445">
        <v>262.90732201011446</v>
      </c>
      <c r="AQ445">
        <v>59.118395653961926</v>
      </c>
      <c r="AR445">
        <v>20.053089059507574</v>
      </c>
      <c r="AS445">
        <v>116.75438577887616</v>
      </c>
      <c r="AT445" t="e">
        <v>#DIV/0!</v>
      </c>
      <c r="AU445" t="e">
        <v>#DIV/0!</v>
      </c>
      <c r="AV445"/>
      <c r="AW445"/>
      <c r="FY445" s="212">
        <v>440</v>
      </c>
      <c r="FZ445">
        <v>1.4812863372853795</v>
      </c>
      <c r="GA445">
        <v>17.718833166950283</v>
      </c>
      <c r="GB445">
        <v>14.892020394128259</v>
      </c>
      <c r="GC445">
        <v>5.2929017240018776</v>
      </c>
      <c r="GD445">
        <v>1.5455203266398538</v>
      </c>
      <c r="GE445">
        <v>0.71895619221013829</v>
      </c>
      <c r="GF445">
        <v>0</v>
      </c>
      <c r="GG445">
        <v>2.8195942849296314</v>
      </c>
      <c r="GH445">
        <v>3.245920257062465</v>
      </c>
      <c r="GI445">
        <v>10.659592953494945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9"/>
        <v>0.35947809610506914</v>
      </c>
      <c r="D446" s="191">
        <f>A$410</f>
        <v>0.21</v>
      </c>
      <c r="E446" s="8"/>
      <c r="F446" s="124"/>
      <c r="G446" s="173" t="str">
        <f t="shared" si="390"/>
        <v>0.000</v>
      </c>
      <c r="H446" s="173" t="str">
        <f t="shared" ref="H446:V446" si="400">IF(H428&lt;=0, "0.000", H428)</f>
        <v>0.000</v>
      </c>
      <c r="I446" s="173" t="str">
        <f t="shared" si="400"/>
        <v>0.000</v>
      </c>
      <c r="J446" s="173" t="str">
        <f t="shared" si="400"/>
        <v>0.000</v>
      </c>
      <c r="K446" s="173" t="str">
        <f t="shared" si="400"/>
        <v>0.000</v>
      </c>
      <c r="L446" s="173" t="str">
        <f t="shared" si="400"/>
        <v>0.000</v>
      </c>
      <c r="M446" s="173" t="str">
        <f t="shared" si="400"/>
        <v>0.000</v>
      </c>
      <c r="N446" s="173" t="str">
        <f t="shared" si="400"/>
        <v>0.000</v>
      </c>
      <c r="O446" s="173" t="str">
        <f t="shared" si="400"/>
        <v>0.000</v>
      </c>
      <c r="P446" s="173" t="str">
        <f t="shared" si="400"/>
        <v>0.000</v>
      </c>
      <c r="Q446" s="173" t="str">
        <f t="shared" si="400"/>
        <v>0.000</v>
      </c>
      <c r="R446" s="173">
        <f t="shared" si="400"/>
        <v>0.35947809610506914</v>
      </c>
      <c r="S446" s="173" t="str">
        <f t="shared" si="400"/>
        <v>0.000</v>
      </c>
      <c r="T446" s="173" t="str">
        <f t="shared" si="400"/>
        <v>0.000</v>
      </c>
      <c r="U446" s="173" t="str">
        <f t="shared" si="400"/>
        <v>0.000</v>
      </c>
      <c r="V446" s="173" t="str">
        <f t="shared" si="400"/>
        <v>0.000</v>
      </c>
      <c r="W446" s="173" t="str">
        <f t="shared" ref="W446:AK446" si="401">IF(W428&lt;=0, "0.000", W428)</f>
        <v>0.000</v>
      </c>
      <c r="X446" s="173" t="str">
        <f t="shared" si="401"/>
        <v>0.000</v>
      </c>
      <c r="Y446" s="173" t="str">
        <f t="shared" si="401"/>
        <v>0.000</v>
      </c>
      <c r="Z446" s="173" t="str">
        <f t="shared" si="401"/>
        <v>0.000</v>
      </c>
      <c r="AA446" s="173" t="str">
        <f t="shared" si="401"/>
        <v>0.000</v>
      </c>
      <c r="AB446" s="173" t="str">
        <f t="shared" si="401"/>
        <v>0.000</v>
      </c>
      <c r="AC446" s="173" t="str">
        <f t="shared" si="401"/>
        <v>0.000</v>
      </c>
      <c r="AD446" s="173" t="str">
        <f t="shared" si="401"/>
        <v>0.000</v>
      </c>
      <c r="AE446" s="173" t="str">
        <f t="shared" si="401"/>
        <v>0.000</v>
      </c>
      <c r="AF446" s="173" t="str">
        <f t="shared" si="401"/>
        <v>0.000</v>
      </c>
      <c r="AG446" s="173" t="str">
        <f t="shared" si="401"/>
        <v>0.000</v>
      </c>
      <c r="AH446" s="173" t="str">
        <f t="shared" si="401"/>
        <v>0.000</v>
      </c>
      <c r="AI446" s="173" t="str">
        <f t="shared" si="401"/>
        <v>0.000</v>
      </c>
      <c r="AJ446" s="173" t="str">
        <f t="shared" si="401"/>
        <v>0.000</v>
      </c>
      <c r="AK446" s="173" t="str">
        <f t="shared" si="401"/>
        <v>0.000</v>
      </c>
      <c r="AL446" s="4"/>
      <c r="AM446" s="43">
        <v>430</v>
      </c>
      <c r="AN446">
        <v>9.8830269607843118</v>
      </c>
      <c r="AO446">
        <v>22.033639677264116</v>
      </c>
      <c r="AP446">
        <v>297.17658291408827</v>
      </c>
      <c r="AQ446">
        <v>58.656650054318931</v>
      </c>
      <c r="AR446">
        <v>20.030581524785557</v>
      </c>
      <c r="AS446">
        <v>122.69982007781519</v>
      </c>
      <c r="AT446" t="e">
        <v>#DIV/0!</v>
      </c>
      <c r="AU446" t="e">
        <v>#DIV/0!</v>
      </c>
      <c r="AV446"/>
      <c r="AW446"/>
      <c r="FY446" s="212">
        <v>441</v>
      </c>
      <c r="FZ446">
        <v>1.6152863138776818</v>
      </c>
      <c r="GA446">
        <v>9.8985825248481021</v>
      </c>
      <c r="GB446">
        <v>14.736353950045487</v>
      </c>
      <c r="GC446">
        <v>6.7065148082378183</v>
      </c>
      <c r="GD446">
        <v>1.003486453166206</v>
      </c>
      <c r="GE446">
        <v>0</v>
      </c>
      <c r="GF446">
        <v>1.6027633530596492</v>
      </c>
      <c r="GG446">
        <v>7.223178017530735</v>
      </c>
      <c r="GH446">
        <v>0</v>
      </c>
      <c r="GI446">
        <v>9.5838146584533295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9"/>
        <v>0.80138167652982462</v>
      </c>
      <c r="D447" s="191">
        <f>A$411</f>
        <v>1.28</v>
      </c>
      <c r="E447" s="8"/>
      <c r="F447" s="124"/>
      <c r="G447" s="173" t="str">
        <f t="shared" si="390"/>
        <v>0.000</v>
      </c>
      <c r="H447" s="173" t="str">
        <f t="shared" ref="H447:V447" si="402">IF(H429&lt;=0, "0.000", H429)</f>
        <v>0.000</v>
      </c>
      <c r="I447" s="173" t="str">
        <f t="shared" si="402"/>
        <v>0.000</v>
      </c>
      <c r="J447" s="173" t="str">
        <f t="shared" si="402"/>
        <v>0.000</v>
      </c>
      <c r="K447" s="173" t="str">
        <f t="shared" si="402"/>
        <v>0.000</v>
      </c>
      <c r="L447" s="173" t="str">
        <f t="shared" si="402"/>
        <v>0.000</v>
      </c>
      <c r="M447" s="173" t="str">
        <f t="shared" si="402"/>
        <v>0.000</v>
      </c>
      <c r="N447" s="173" t="str">
        <f t="shared" si="402"/>
        <v>0.000</v>
      </c>
      <c r="O447" s="173" t="str">
        <f t="shared" si="402"/>
        <v>0.000</v>
      </c>
      <c r="P447" s="173" t="str">
        <f t="shared" si="402"/>
        <v>0.000</v>
      </c>
      <c r="Q447" s="173" t="str">
        <f t="shared" si="402"/>
        <v>0.000</v>
      </c>
      <c r="R447" s="173" t="str">
        <f t="shared" si="402"/>
        <v>0.000</v>
      </c>
      <c r="S447" s="173" t="str">
        <f t="shared" si="402"/>
        <v>0.000</v>
      </c>
      <c r="T447" s="173">
        <f t="shared" si="402"/>
        <v>0.80138167652982462</v>
      </c>
      <c r="U447" s="173" t="str">
        <f t="shared" si="402"/>
        <v>0.000</v>
      </c>
      <c r="V447" s="173" t="str">
        <f t="shared" si="402"/>
        <v>0.000</v>
      </c>
      <c r="W447" s="173" t="str">
        <f t="shared" ref="W447:AK447" si="403">IF(W429&lt;=0, "0.000", W429)</f>
        <v>0.000</v>
      </c>
      <c r="X447" s="173" t="str">
        <f t="shared" si="403"/>
        <v>0.000</v>
      </c>
      <c r="Y447" s="173" t="str">
        <f t="shared" si="403"/>
        <v>0.000</v>
      </c>
      <c r="Z447" s="173" t="str">
        <f t="shared" si="403"/>
        <v>0.000</v>
      </c>
      <c r="AA447" s="173" t="str">
        <f t="shared" si="403"/>
        <v>0.000</v>
      </c>
      <c r="AB447" s="173" t="str">
        <f t="shared" si="403"/>
        <v>0.000</v>
      </c>
      <c r="AC447" s="173" t="str">
        <f t="shared" si="403"/>
        <v>0.000</v>
      </c>
      <c r="AD447" s="173" t="str">
        <f t="shared" si="403"/>
        <v>0.000</v>
      </c>
      <c r="AE447" s="173" t="str">
        <f t="shared" si="403"/>
        <v>0.000</v>
      </c>
      <c r="AF447" s="173" t="str">
        <f t="shared" si="403"/>
        <v>0.000</v>
      </c>
      <c r="AG447" s="173" t="str">
        <f t="shared" si="403"/>
        <v>0.000</v>
      </c>
      <c r="AH447" s="173" t="str">
        <f t="shared" si="403"/>
        <v>0.000</v>
      </c>
      <c r="AI447" s="173" t="str">
        <f t="shared" si="403"/>
        <v>0.000</v>
      </c>
      <c r="AJ447" s="173" t="str">
        <f t="shared" si="403"/>
        <v>0.000</v>
      </c>
      <c r="AK447" s="173" t="str">
        <f t="shared" si="403"/>
        <v>0.000</v>
      </c>
      <c r="AL447" s="4"/>
      <c r="AM447" s="43">
        <v>431</v>
      </c>
      <c r="AN447">
        <v>11.299693627450981</v>
      </c>
      <c r="AO447">
        <v>37.597857393834467</v>
      </c>
      <c r="AP447">
        <v>423.88268893389522</v>
      </c>
      <c r="AQ447">
        <v>75.833387788608789</v>
      </c>
      <c r="AR447">
        <v>34.213850630132121</v>
      </c>
      <c r="AS447">
        <v>169.5191240040304</v>
      </c>
      <c r="AT447" t="e">
        <v>#DIV/0!</v>
      </c>
      <c r="AU447" t="e">
        <v>#DIV/0!</v>
      </c>
      <c r="AV447"/>
      <c r="AW447"/>
      <c r="FY447" s="212">
        <v>442</v>
      </c>
      <c r="FZ447">
        <v>0.53282936380325752</v>
      </c>
      <c r="GA447">
        <v>21.248383503554631</v>
      </c>
      <c r="GB447">
        <v>11.129909349648043</v>
      </c>
      <c r="GC447">
        <v>3.0112871339420964</v>
      </c>
      <c r="GD447">
        <v>1.5080524097406136</v>
      </c>
      <c r="GE447">
        <v>0</v>
      </c>
      <c r="GF447">
        <v>0</v>
      </c>
      <c r="GG447">
        <v>2.3127590252633885</v>
      </c>
      <c r="GH447">
        <v>0</v>
      </c>
      <c r="GI447">
        <v>11.126401516895232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9"/>
        <v>3.5759117604405652</v>
      </c>
      <c r="D448" s="191">
        <f>A$412</f>
        <v>4</v>
      </c>
      <c r="E448" s="8"/>
      <c r="F448" s="124"/>
      <c r="G448" s="173" t="str">
        <f t="shared" si="390"/>
        <v>0.000</v>
      </c>
      <c r="H448" s="173" t="str">
        <f t="shared" ref="H448:V448" si="404">IF(H430&lt;=0, "0.000", H430)</f>
        <v>0.000</v>
      </c>
      <c r="I448" s="173" t="str">
        <f t="shared" si="404"/>
        <v>0.000</v>
      </c>
      <c r="J448" s="173" t="str">
        <f t="shared" si="404"/>
        <v>0.000</v>
      </c>
      <c r="K448" s="173" t="str">
        <f t="shared" si="404"/>
        <v>0.000</v>
      </c>
      <c r="L448" s="173" t="str">
        <f t="shared" si="404"/>
        <v>0.000</v>
      </c>
      <c r="M448" s="173" t="str">
        <f t="shared" si="404"/>
        <v>0.000</v>
      </c>
      <c r="N448" s="173" t="str">
        <f t="shared" si="404"/>
        <v>0.000</v>
      </c>
      <c r="O448" s="173" t="str">
        <f t="shared" si="404"/>
        <v>0.000</v>
      </c>
      <c r="P448" s="173" t="str">
        <f t="shared" si="404"/>
        <v>0.000</v>
      </c>
      <c r="Q448" s="173" t="str">
        <f t="shared" si="404"/>
        <v>0.000</v>
      </c>
      <c r="R448" s="173" t="str">
        <f t="shared" si="404"/>
        <v>0.000</v>
      </c>
      <c r="S448" s="173" t="str">
        <f t="shared" si="404"/>
        <v>0.000</v>
      </c>
      <c r="T448" s="173">
        <f t="shared" si="404"/>
        <v>3.5759117604405652</v>
      </c>
      <c r="U448" s="173" t="str">
        <f t="shared" si="404"/>
        <v>0.000</v>
      </c>
      <c r="V448" s="173" t="str">
        <f t="shared" si="404"/>
        <v>0.000</v>
      </c>
      <c r="W448" s="173" t="str">
        <f t="shared" ref="W448:AK448" si="405">IF(W430&lt;=0, "0.000", W430)</f>
        <v>0.000</v>
      </c>
      <c r="X448" s="173" t="str">
        <f t="shared" si="405"/>
        <v>0.000</v>
      </c>
      <c r="Y448" s="173" t="str">
        <f t="shared" si="405"/>
        <v>0.000</v>
      </c>
      <c r="Z448" s="173" t="str">
        <f t="shared" si="405"/>
        <v>0.000</v>
      </c>
      <c r="AA448" s="173" t="str">
        <f t="shared" si="405"/>
        <v>0.000</v>
      </c>
      <c r="AB448" s="173" t="str">
        <f t="shared" si="405"/>
        <v>0.000</v>
      </c>
      <c r="AC448" s="173" t="str">
        <f t="shared" si="405"/>
        <v>0.000</v>
      </c>
      <c r="AD448" s="173" t="str">
        <f t="shared" si="405"/>
        <v>0.000</v>
      </c>
      <c r="AE448" s="173" t="str">
        <f t="shared" si="405"/>
        <v>0.000</v>
      </c>
      <c r="AF448" s="173" t="str">
        <f t="shared" si="405"/>
        <v>0.000</v>
      </c>
      <c r="AG448" s="173" t="str">
        <f t="shared" si="405"/>
        <v>0.000</v>
      </c>
      <c r="AH448" s="173" t="str">
        <f t="shared" si="405"/>
        <v>0.000</v>
      </c>
      <c r="AI448" s="173" t="str">
        <f t="shared" si="405"/>
        <v>0.000</v>
      </c>
      <c r="AJ448" s="173" t="str">
        <f t="shared" si="405"/>
        <v>0.000</v>
      </c>
      <c r="AK448" s="173" t="str">
        <f t="shared" si="405"/>
        <v>0.000</v>
      </c>
      <c r="AL448" s="4"/>
      <c r="AM448" s="43">
        <v>432</v>
      </c>
      <c r="AN448">
        <v>10.993443627450983</v>
      </c>
      <c r="AO448">
        <v>43.368491060962178</v>
      </c>
      <c r="AP448">
        <v>1160.2979854613907</v>
      </c>
      <c r="AQ448">
        <v>74.578933780873186</v>
      </c>
      <c r="AR448">
        <v>39.493861508712655</v>
      </c>
      <c r="AS448">
        <v>206.95101423093564</v>
      </c>
      <c r="AT448" t="e">
        <v>#DIV/0!</v>
      </c>
      <c r="AU448" t="e">
        <v>#DIV/0!</v>
      </c>
      <c r="AV448"/>
      <c r="AW448"/>
      <c r="FY448" s="212">
        <v>443</v>
      </c>
      <c r="FZ448">
        <v>1.273472532445947</v>
      </c>
      <c r="GA448">
        <v>28.299708247574774</v>
      </c>
      <c r="GB448">
        <v>23.018592919682614</v>
      </c>
      <c r="GC448">
        <v>6.2486461180102602</v>
      </c>
      <c r="GD448">
        <v>0.96133903976633328</v>
      </c>
      <c r="GE448">
        <v>0.35947809610506914</v>
      </c>
      <c r="GF448">
        <v>0</v>
      </c>
      <c r="GG448">
        <v>3.0730119147627537</v>
      </c>
      <c r="GH448">
        <v>4.8688803855936991</v>
      </c>
      <c r="GI448">
        <v>13.707738644139605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9"/>
        <v>1.6229601285312325</v>
      </c>
      <c r="D449" s="191">
        <f>A$413</f>
        <v>7.33</v>
      </c>
      <c r="E449" s="8"/>
      <c r="F449" s="124"/>
      <c r="G449" s="173" t="str">
        <f t="shared" si="390"/>
        <v>0.000</v>
      </c>
      <c r="H449" s="173" t="str">
        <f t="shared" ref="H449:V449" si="406">IF(H431&lt;=0, "0.000", H431)</f>
        <v>0.000</v>
      </c>
      <c r="I449" s="173" t="str">
        <f t="shared" si="406"/>
        <v>0.000</v>
      </c>
      <c r="J449" s="173" t="str">
        <f t="shared" si="406"/>
        <v>0.000</v>
      </c>
      <c r="K449" s="173" t="str">
        <f t="shared" si="406"/>
        <v>0.000</v>
      </c>
      <c r="L449" s="173" t="str">
        <f t="shared" si="406"/>
        <v>0.000</v>
      </c>
      <c r="M449" s="173" t="str">
        <f t="shared" si="406"/>
        <v>0.000</v>
      </c>
      <c r="N449" s="173" t="str">
        <f t="shared" si="406"/>
        <v>0.000</v>
      </c>
      <c r="O449" s="173" t="str">
        <f t="shared" si="406"/>
        <v>0.000</v>
      </c>
      <c r="P449" s="173" t="str">
        <f t="shared" si="406"/>
        <v>0.000</v>
      </c>
      <c r="Q449" s="173" t="str">
        <f t="shared" si="406"/>
        <v>0.000</v>
      </c>
      <c r="R449" s="173" t="str">
        <f t="shared" si="406"/>
        <v>0.000</v>
      </c>
      <c r="S449" s="173" t="str">
        <f t="shared" si="406"/>
        <v>0.000</v>
      </c>
      <c r="T449" s="173">
        <f t="shared" si="406"/>
        <v>1.6229601285312325</v>
      </c>
      <c r="U449" s="173" t="str">
        <f t="shared" si="406"/>
        <v>0.000</v>
      </c>
      <c r="V449" s="173" t="str">
        <f t="shared" si="406"/>
        <v>0.000</v>
      </c>
      <c r="W449" s="173" t="str">
        <f t="shared" ref="W449:AK449" si="407">IF(W431&lt;=0, "0.000", W431)</f>
        <v>0.000</v>
      </c>
      <c r="X449" s="173" t="str">
        <f t="shared" si="407"/>
        <v>0.000</v>
      </c>
      <c r="Y449" s="173" t="str">
        <f t="shared" si="407"/>
        <v>0.000</v>
      </c>
      <c r="Z449" s="173" t="str">
        <f t="shared" si="407"/>
        <v>0.000</v>
      </c>
      <c r="AA449" s="173" t="str">
        <f t="shared" si="407"/>
        <v>0.000</v>
      </c>
      <c r="AB449" s="173" t="str">
        <f t="shared" si="407"/>
        <v>0.000</v>
      </c>
      <c r="AC449" s="173" t="str">
        <f t="shared" si="407"/>
        <v>0.000</v>
      </c>
      <c r="AD449" s="173" t="str">
        <f t="shared" si="407"/>
        <v>0.000</v>
      </c>
      <c r="AE449" s="173" t="str">
        <f t="shared" si="407"/>
        <v>0.000</v>
      </c>
      <c r="AF449" s="173" t="str">
        <f t="shared" si="407"/>
        <v>0.000</v>
      </c>
      <c r="AG449" s="173" t="str">
        <f t="shared" si="407"/>
        <v>0.000</v>
      </c>
      <c r="AH449" s="173" t="str">
        <f t="shared" si="407"/>
        <v>0.000</v>
      </c>
      <c r="AI449" s="173" t="str">
        <f t="shared" si="407"/>
        <v>0.000</v>
      </c>
      <c r="AJ449" s="173" t="str">
        <f t="shared" si="407"/>
        <v>0.000</v>
      </c>
      <c r="AK449" s="173" t="str">
        <f t="shared" si="407"/>
        <v>0.000</v>
      </c>
      <c r="AL449" s="4"/>
      <c r="AM449" s="43">
        <v>433</v>
      </c>
      <c r="AN449">
        <v>7.4767769607843135</v>
      </c>
      <c r="AO449">
        <v>20.290816734746503</v>
      </c>
      <c r="AP449">
        <v>519.2004140766154</v>
      </c>
      <c r="AQ449">
        <v>47.00936732128504</v>
      </c>
      <c r="AR449">
        <v>18.446197031587729</v>
      </c>
      <c r="AS449">
        <v>101.77638754834408</v>
      </c>
      <c r="AT449" t="e">
        <v>#DIV/0!</v>
      </c>
      <c r="AU449" t="e">
        <v>#DIV/0!</v>
      </c>
      <c r="AV449"/>
      <c r="AW449"/>
      <c r="FY449" s="212">
        <v>444</v>
      </c>
      <c r="FZ449">
        <v>1.6353950055333373</v>
      </c>
      <c r="GA449">
        <v>10.286264144345598</v>
      </c>
      <c r="GB449">
        <v>16.82086910705269</v>
      </c>
      <c r="GC449">
        <v>7.3430958746201425</v>
      </c>
      <c r="GD449">
        <v>0.91661930121683466</v>
      </c>
      <c r="GE449">
        <v>0</v>
      </c>
      <c r="GF449">
        <v>0.80138167652982462</v>
      </c>
      <c r="GG449">
        <v>4.9857089029053814</v>
      </c>
      <c r="GH449">
        <v>3.245920257062465</v>
      </c>
      <c r="GI449">
        <v>13.845722814703487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9"/>
        <v>9.9752030306879433</v>
      </c>
      <c r="D450" s="191">
        <f>A$414</f>
        <v>10.51</v>
      </c>
      <c r="E450" s="8"/>
      <c r="F450" s="124"/>
      <c r="G450" s="173" t="str">
        <f t="shared" si="390"/>
        <v>0.000</v>
      </c>
      <c r="H450" s="173">
        <f t="shared" ref="H450:V450" si="408">IF(H432&lt;=0, "0.000", H432)</f>
        <v>4.8529951926718374E-3</v>
      </c>
      <c r="I450" s="173" t="str">
        <f t="shared" si="408"/>
        <v>0.000</v>
      </c>
      <c r="J450" s="173">
        <f t="shared" si="408"/>
        <v>0.21471642180196898</v>
      </c>
      <c r="K450" s="173">
        <f t="shared" si="408"/>
        <v>7.5782203933874803E-2</v>
      </c>
      <c r="L450" s="173">
        <f t="shared" si="408"/>
        <v>0.12089443379188126</v>
      </c>
      <c r="M450" s="173">
        <f t="shared" si="408"/>
        <v>5.3298925602330197E-2</v>
      </c>
      <c r="N450" s="173">
        <f t="shared" si="408"/>
        <v>1.0003571460623377</v>
      </c>
      <c r="O450" s="173">
        <f t="shared" si="408"/>
        <v>0.5095364625250699</v>
      </c>
      <c r="P450" s="173">
        <f t="shared" si="408"/>
        <v>1.5454952082718272</v>
      </c>
      <c r="Q450" s="173">
        <f t="shared" si="408"/>
        <v>1.1011949823473577</v>
      </c>
      <c r="R450" s="173">
        <f t="shared" si="408"/>
        <v>0.4680960857332816</v>
      </c>
      <c r="S450" s="173" t="str">
        <f t="shared" si="408"/>
        <v>0.000</v>
      </c>
      <c r="T450" s="173">
        <f t="shared" si="408"/>
        <v>2.3131691206133009</v>
      </c>
      <c r="U450" s="173">
        <f t="shared" si="408"/>
        <v>2.5678090448120416</v>
      </c>
      <c r="V450" s="173" t="str">
        <f t="shared" si="408"/>
        <v>0.000</v>
      </c>
      <c r="W450" s="173" t="str">
        <f t="shared" ref="W450:AK450" si="409">IF(W432&lt;=0, "0.000", W432)</f>
        <v>0.000</v>
      </c>
      <c r="X450" s="173" t="str">
        <f t="shared" si="409"/>
        <v>0.000</v>
      </c>
      <c r="Y450" s="173" t="str">
        <f t="shared" si="409"/>
        <v>0.000</v>
      </c>
      <c r="Z450" s="173" t="str">
        <f t="shared" si="409"/>
        <v>0.000</v>
      </c>
      <c r="AA450" s="173" t="str">
        <f t="shared" si="409"/>
        <v>0.000</v>
      </c>
      <c r="AB450" s="173" t="str">
        <f t="shared" si="409"/>
        <v>0.000</v>
      </c>
      <c r="AC450" s="173" t="str">
        <f t="shared" si="409"/>
        <v>0.000</v>
      </c>
      <c r="AD450" s="173" t="str">
        <f t="shared" si="409"/>
        <v>0.000</v>
      </c>
      <c r="AE450" s="173" t="str">
        <f t="shared" si="409"/>
        <v>0.000</v>
      </c>
      <c r="AF450" s="173" t="str">
        <f t="shared" si="409"/>
        <v>0.000</v>
      </c>
      <c r="AG450" s="173" t="str">
        <f t="shared" si="409"/>
        <v>0.000</v>
      </c>
      <c r="AH450" s="173" t="str">
        <f t="shared" si="409"/>
        <v>0.000</v>
      </c>
      <c r="AI450" s="173" t="str">
        <f t="shared" si="409"/>
        <v>0.000</v>
      </c>
      <c r="AJ450" s="173" t="str">
        <f t="shared" si="409"/>
        <v>0.000</v>
      </c>
      <c r="AK450" s="173" t="str">
        <f t="shared" si="409"/>
        <v>0.000</v>
      </c>
      <c r="AL450" s="4"/>
      <c r="AM450" s="43">
        <v>434</v>
      </c>
      <c r="AN450">
        <v>6.0416666666666661</v>
      </c>
      <c r="AO450">
        <v>26.22651252960598</v>
      </c>
      <c r="AP450">
        <v>217.83271935639857</v>
      </c>
      <c r="AQ450">
        <v>37.808361015359836</v>
      </c>
      <c r="AR450">
        <v>23.876264389924408</v>
      </c>
      <c r="AS450">
        <v>163.22510025474196</v>
      </c>
      <c r="AT450" t="e">
        <v>#DIV/0!</v>
      </c>
      <c r="AU450" t="e">
        <v>#DIV/0!</v>
      </c>
      <c r="AV450"/>
      <c r="AW450"/>
      <c r="FY450" s="212">
        <v>445</v>
      </c>
      <c r="FZ450">
        <v>1.6152863138776818</v>
      </c>
      <c r="GA450">
        <v>26.702049054107189</v>
      </c>
      <c r="GB450">
        <v>19.641744028323217</v>
      </c>
      <c r="GC450">
        <v>4.5432075675044583</v>
      </c>
      <c r="GD450">
        <v>0.58203934653228517</v>
      </c>
      <c r="GE450">
        <v>0.35947809610506914</v>
      </c>
      <c r="GF450">
        <v>1.6027633530596492</v>
      </c>
      <c r="GG450">
        <v>6.3202161347321617</v>
      </c>
      <c r="GH450">
        <v>1.6229601285312325</v>
      </c>
      <c r="GI450">
        <v>13.836333117409255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11.104901960784312</v>
      </c>
      <c r="AO451">
        <v>39.983996823962428</v>
      </c>
      <c r="AP451">
        <v>525.002059541064</v>
      </c>
      <c r="AQ451">
        <v>52.676387314698502</v>
      </c>
      <c r="AR451">
        <v>36.451028838086401</v>
      </c>
      <c r="AS451">
        <v>181.58333749710638</v>
      </c>
      <c r="AT451" t="e">
        <v>#DIV/0!</v>
      </c>
      <c r="AU451" t="e">
        <v>#DIV/0!</v>
      </c>
      <c r="AV451"/>
      <c r="AW451"/>
      <c r="FY451" s="212">
        <v>446</v>
      </c>
      <c r="FZ451">
        <v>1.8432088103727695</v>
      </c>
      <c r="GA451">
        <v>17.931850879870161</v>
      </c>
      <c r="GB451">
        <v>17.978729617501791</v>
      </c>
      <c r="GC451">
        <v>6.2283777511403606</v>
      </c>
      <c r="GD451">
        <v>0.97693945657202397</v>
      </c>
      <c r="GE451">
        <v>0.71895619221013829</v>
      </c>
      <c r="GF451">
        <v>0</v>
      </c>
      <c r="GG451">
        <v>0</v>
      </c>
      <c r="GH451">
        <v>0</v>
      </c>
      <c r="GI451">
        <v>8.7942030932558612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13.190012254901962</v>
      </c>
      <c r="AO452">
        <v>41.575295275519139</v>
      </c>
      <c r="AP452">
        <v>471.33884803556401</v>
      </c>
      <c r="AQ452">
        <v>70.159770717839393</v>
      </c>
      <c r="AR452">
        <v>37.897663794047041</v>
      </c>
      <c r="AS452">
        <v>193.46758937041895</v>
      </c>
      <c r="AT452" t="e">
        <v>#DIV/0!</v>
      </c>
      <c r="AU452" t="e">
        <v>#DIV/0!</v>
      </c>
      <c r="AV452"/>
      <c r="AW452"/>
      <c r="FY452" s="212">
        <v>447</v>
      </c>
      <c r="FZ452">
        <v>0.70373625451912492</v>
      </c>
      <c r="GA452">
        <v>7.5488103785518179</v>
      </c>
      <c r="GB452">
        <v>15.93130603289786</v>
      </c>
      <c r="GC452">
        <v>7.7677904893871332</v>
      </c>
      <c r="GD452">
        <v>1.4283854294469558</v>
      </c>
      <c r="GE452">
        <v>0.35947809610506914</v>
      </c>
      <c r="GF452">
        <v>0</v>
      </c>
      <c r="GG452">
        <v>1.1563795126316943</v>
      </c>
      <c r="GH452">
        <v>0</v>
      </c>
      <c r="GI452">
        <v>8.6915380789895664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54.326759652249443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13.033762254901958</v>
      </c>
      <c r="AO453">
        <v>32.571619059014495</v>
      </c>
      <c r="AP453">
        <v>613.81800756009306</v>
      </c>
      <c r="AQ453">
        <v>67.34647875561825</v>
      </c>
      <c r="AR453">
        <v>29.746483869325431</v>
      </c>
      <c r="AS453">
        <v>174.32785629373058</v>
      </c>
      <c r="AT453" t="e">
        <v>#DIV/0!</v>
      </c>
      <c r="AU453" t="e">
        <v>#DIV/0!</v>
      </c>
      <c r="AV453"/>
      <c r="AW453"/>
      <c r="FY453" s="212">
        <v>448</v>
      </c>
      <c r="FZ453">
        <v>0.36192247308739012</v>
      </c>
      <c r="GA453">
        <v>11.756643912579552</v>
      </c>
      <c r="GB453">
        <v>13.116342274550368</v>
      </c>
      <c r="GC453">
        <v>4.933129839286897</v>
      </c>
      <c r="GD453">
        <v>1.0689164898304182</v>
      </c>
      <c r="GE453">
        <v>0.35947809610506914</v>
      </c>
      <c r="GF453">
        <v>0.80138167652982462</v>
      </c>
      <c r="GG453">
        <v>6.0707339188874716</v>
      </c>
      <c r="GH453">
        <v>6.49184051412493</v>
      </c>
      <c r="GI453">
        <v>10.149602983680396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7.7218749999999989</v>
      </c>
      <c r="AO454">
        <v>34.51964265583026</v>
      </c>
      <c r="AP454">
        <v>871.20391835664623</v>
      </c>
      <c r="AQ454">
        <v>55.667851849817104</v>
      </c>
      <c r="AR454">
        <v>31.449453867683637</v>
      </c>
      <c r="AS454">
        <v>148.58451889611732</v>
      </c>
      <c r="AT454" t="e">
        <v>#DIV/0!</v>
      </c>
      <c r="AU454" t="e">
        <v>#DIV/0!</v>
      </c>
      <c r="AV454"/>
      <c r="AW454"/>
      <c r="FY454" s="212">
        <v>449</v>
      </c>
      <c r="FZ454">
        <v>1.8432088103727695</v>
      </c>
      <c r="GA454">
        <v>15.633892250699525</v>
      </c>
      <c r="GB454">
        <v>13.670054823281932</v>
      </c>
      <c r="GC454">
        <v>3.9964300100153705</v>
      </c>
      <c r="GD454">
        <v>0.32987897797731686</v>
      </c>
      <c r="GE454">
        <v>0</v>
      </c>
      <c r="GF454">
        <v>0.80138167652982462</v>
      </c>
      <c r="GG454">
        <v>4.1541015167564126</v>
      </c>
      <c r="GH454">
        <v>1.6229601285312325</v>
      </c>
      <c r="GI454">
        <v>6.322974890569709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7"/>
      <c r="P455" s="217"/>
      <c r="Q455" s="217"/>
      <c r="R455" s="217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6.3260416666666668</v>
      </c>
      <c r="AO455">
        <v>31.29243021667957</v>
      </c>
      <c r="AP455">
        <v>589.26479420573992</v>
      </c>
      <c r="AQ455">
        <v>54.132806566747831</v>
      </c>
      <c r="AR455">
        <v>28.481644105445849</v>
      </c>
      <c r="AS455">
        <v>128.80351117442481</v>
      </c>
      <c r="AT455" t="e">
        <v>#DIV/0!</v>
      </c>
      <c r="AU455" t="e">
        <v>#DIV/0!</v>
      </c>
      <c r="AV455"/>
      <c r="AW455"/>
      <c r="FY455" s="212">
        <v>450</v>
      </c>
      <c r="FZ455">
        <v>1.6353950055333373</v>
      </c>
      <c r="GA455">
        <v>27.336962546122169</v>
      </c>
      <c r="GB455">
        <v>18.690304110108119</v>
      </c>
      <c r="GC455">
        <v>3.9702054717640629</v>
      </c>
      <c r="GD455">
        <v>0.40558232113022619</v>
      </c>
      <c r="GE455">
        <v>0</v>
      </c>
      <c r="GF455">
        <v>0</v>
      </c>
      <c r="GG455">
        <v>1.4097971424648157</v>
      </c>
      <c r="GH455">
        <v>1.6229601285312325</v>
      </c>
      <c r="GI455">
        <v>7.0183329078326864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13.030637254901958</v>
      </c>
      <c r="AO456">
        <v>39.628875476872267</v>
      </c>
      <c r="AP456">
        <v>672.02833744676661</v>
      </c>
      <c r="AQ456">
        <v>58.374625636702831</v>
      </c>
      <c r="AR456">
        <v>36.026250433520239</v>
      </c>
      <c r="AS456">
        <v>235.98462450380131</v>
      </c>
      <c r="AT456" t="e">
        <v>#DIV/0!</v>
      </c>
      <c r="AU456" t="e">
        <v>#DIV/0!</v>
      </c>
      <c r="AV456"/>
      <c r="AW456"/>
      <c r="FY456" s="212">
        <v>451</v>
      </c>
      <c r="FZ456">
        <v>1.0824569500744246</v>
      </c>
      <c r="GA456">
        <v>12.570064688714707</v>
      </c>
      <c r="GB456">
        <v>10.06356431909848</v>
      </c>
      <c r="GC456">
        <v>3.3866937325508859</v>
      </c>
      <c r="GD456">
        <v>0.76850079942052607</v>
      </c>
      <c r="GE456">
        <v>0</v>
      </c>
      <c r="GF456">
        <v>0</v>
      </c>
      <c r="GG456">
        <v>1.9879868987806626</v>
      </c>
      <c r="GH456">
        <v>1.6229601285312325</v>
      </c>
      <c r="GI456">
        <v>8.7897230628687915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6.4315096741458951E-4</v>
      </c>
      <c r="F457" s="102">
        <f>+D457-D459</f>
        <v>-1.4297385620915031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10.448651960784314</v>
      </c>
      <c r="AO457">
        <v>31.6423883033601</v>
      </c>
      <c r="AP457">
        <v>1086.3346804890411</v>
      </c>
      <c r="AQ457">
        <v>52.369980079219005</v>
      </c>
      <c r="AR457">
        <v>28.799787820609971</v>
      </c>
      <c r="AS457">
        <v>155.33241110273391</v>
      </c>
      <c r="AT457" t="e">
        <v>#DIV/0!</v>
      </c>
      <c r="AU457" t="e">
        <v>#DIV/0!</v>
      </c>
      <c r="AV457"/>
      <c r="AW457"/>
      <c r="FY457" s="212">
        <v>452</v>
      </c>
      <c r="FZ457">
        <v>0.1709068907158674</v>
      </c>
      <c r="GA457">
        <v>29.298695216054192</v>
      </c>
      <c r="GB457">
        <v>16.064079969235674</v>
      </c>
      <c r="GC457">
        <v>2.9101807286625867</v>
      </c>
      <c r="GD457">
        <v>1.4079440103347578</v>
      </c>
      <c r="GE457">
        <v>0.71895619221013829</v>
      </c>
      <c r="GF457">
        <v>0.80138167652982462</v>
      </c>
      <c r="GG457">
        <v>4.7322912730722599</v>
      </c>
      <c r="GH457">
        <v>1.6229601285312325</v>
      </c>
      <c r="GI457">
        <v>8.5958059935129381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1.7114620798884986E-3</v>
      </c>
      <c r="I458" s="101">
        <f>+H458*F457</f>
        <v>-2.4469433331739151E-3</v>
      </c>
      <c r="J458" s="101">
        <f>+I458*$A$440</f>
        <v>-5.872663999617396E-2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8.5625000000000018</v>
      </c>
      <c r="AO458">
        <v>44.736666984441186</v>
      </c>
      <c r="AP458">
        <v>1190.9271000966703</v>
      </c>
      <c r="AQ458">
        <v>50.869622302847262</v>
      </c>
      <c r="AR458">
        <v>40.703677530683692</v>
      </c>
      <c r="AS458">
        <v>420.07798427372364</v>
      </c>
      <c r="AT458" t="e">
        <v>#DIV/0!</v>
      </c>
      <c r="AU458" t="e">
        <v>#DIV/0!</v>
      </c>
      <c r="AV458"/>
      <c r="AW458"/>
      <c r="FY458" s="212">
        <v>453</v>
      </c>
      <c r="FZ458">
        <v>1.273472532445947</v>
      </c>
      <c r="GA458">
        <v>12.662764449189973</v>
      </c>
      <c r="GB458">
        <v>12.651531414590783</v>
      </c>
      <c r="GC458">
        <v>4.5402865332220053</v>
      </c>
      <c r="GD458">
        <v>0.77409227843552342</v>
      </c>
      <c r="GE458">
        <v>0</v>
      </c>
      <c r="GF458">
        <v>2.4041450295894737</v>
      </c>
      <c r="GG458">
        <v>11.884114793953392</v>
      </c>
      <c r="GH458">
        <v>4.8688803855936991</v>
      </c>
      <c r="GI458">
        <v>12.357731042583874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1.4297385620915031</v>
      </c>
      <c r="E459" s="97">
        <f>+H36</f>
        <v>4.5543000000000007E-3</v>
      </c>
      <c r="F459" s="102">
        <f>+D459-D461</f>
        <v>1.4297385620915031</v>
      </c>
      <c r="G459" s="101">
        <f>+D459*E459</f>
        <v>6.5114583333333335E-3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12.765318627450981</v>
      </c>
      <c r="AO459">
        <v>41.846063544472855</v>
      </c>
      <c r="AP459">
        <v>500.97044960039921</v>
      </c>
      <c r="AQ459">
        <v>81.810867898081071</v>
      </c>
      <c r="AR459">
        <v>38.075856221621564</v>
      </c>
      <c r="AS459">
        <v>206.35109943290047</v>
      </c>
      <c r="AT459" t="e">
        <v>#DIV/0!</v>
      </c>
      <c r="AU459" t="e">
        <v>#DIV/0!</v>
      </c>
      <c r="AV459"/>
      <c r="AW459"/>
      <c r="FY459" s="212">
        <v>454</v>
      </c>
      <c r="FZ459">
        <v>2.7547588697313263</v>
      </c>
      <c r="GA459">
        <v>16.246087236718267</v>
      </c>
      <c r="GB459">
        <v>12.07849870771347</v>
      </c>
      <c r="GC459">
        <v>4.7786298182429734</v>
      </c>
      <c r="GD459">
        <v>1.2786582350099311</v>
      </c>
      <c r="GE459">
        <v>0</v>
      </c>
      <c r="GF459">
        <v>2.4041450295894737</v>
      </c>
      <c r="GG459">
        <v>9.6427102653396055</v>
      </c>
      <c r="GH459">
        <v>1.6229601285312325</v>
      </c>
      <c r="GI459">
        <v>15.964373945799373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1.2119256823587537E-2</v>
      </c>
      <c r="I460" s="101">
        <f>+H460*F459</f>
        <v>1.7327368824573683E-2</v>
      </c>
      <c r="J460" s="101">
        <f>+I460*$A$440</f>
        <v>0.41585685178976839</v>
      </c>
      <c r="K460" s="61">
        <f>IF(AND(J460&lt;0, J458&lt;0), 0, J460)</f>
        <v>0.41585685178976839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12.872610294117646</v>
      </c>
      <c r="AO460">
        <v>49.063835536731972</v>
      </c>
      <c r="AP460">
        <v>729.4286212895023</v>
      </c>
      <c r="AQ460">
        <v>59.880977083969753</v>
      </c>
      <c r="AR460">
        <v>44.671447395776099</v>
      </c>
      <c r="AS460">
        <v>219.2019137065719</v>
      </c>
      <c r="AT460" t="e">
        <v>#DIV/0!</v>
      </c>
      <c r="AU460" t="e">
        <v>#DIV/0!</v>
      </c>
      <c r="AV460"/>
      <c r="AW460"/>
      <c r="FY460" s="212">
        <v>455</v>
      </c>
      <c r="FZ460">
        <v>1.6152863138776818</v>
      </c>
      <c r="GA460">
        <v>20.598015061501535</v>
      </c>
      <c r="GB460">
        <v>18.123099277631404</v>
      </c>
      <c r="GC460">
        <v>6.0051511164361715</v>
      </c>
      <c r="GD460">
        <v>1.4038728483557461</v>
      </c>
      <c r="GE460">
        <v>0.71895619221013829</v>
      </c>
      <c r="GF460">
        <v>0.80138167652982462</v>
      </c>
      <c r="GG460">
        <v>2.7443043742915965</v>
      </c>
      <c r="GH460">
        <v>0</v>
      </c>
      <c r="GI460">
        <v>10.257736032680635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0</v>
      </c>
      <c r="E461" s="97">
        <f>+I36</f>
        <v>3.2250046320196971E-2</v>
      </c>
      <c r="F461" s="102">
        <f>+D461-D463</f>
        <v>-2.8594771241830061</v>
      </c>
      <c r="G461" s="101">
        <f>+D461*E461</f>
        <v>0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13.302818627450979</v>
      </c>
      <c r="AO461">
        <v>42.697654734878668</v>
      </c>
      <c r="AP461">
        <v>595.3319753010544</v>
      </c>
      <c r="AQ461">
        <v>76.826077140182207</v>
      </c>
      <c r="AR461">
        <v>38.850030031081396</v>
      </c>
      <c r="AS461">
        <v>207.56054800790162</v>
      </c>
      <c r="AT461" t="e">
        <v>#DIV/0!</v>
      </c>
      <c r="AU461" t="e">
        <v>#DIV/0!</v>
      </c>
      <c r="AV461"/>
      <c r="AW461"/>
      <c r="FY461" s="212">
        <v>456</v>
      </c>
      <c r="FZ461">
        <v>1.8264105879048604</v>
      </c>
      <c r="GA461">
        <v>26.74929652224602</v>
      </c>
      <c r="GB461">
        <v>19.788935492062443</v>
      </c>
      <c r="GC461">
        <v>5.9923915950927018</v>
      </c>
      <c r="GD461">
        <v>1.965201896773318</v>
      </c>
      <c r="GE461">
        <v>1.0784342883152076</v>
      </c>
      <c r="GF461">
        <v>1.6027633530596492</v>
      </c>
      <c r="GG461">
        <v>7.7300132771969778</v>
      </c>
      <c r="GH461">
        <v>3.245920257062465</v>
      </c>
      <c r="GI461">
        <v>13.739847953459272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5.7170396012174586E-2</v>
      </c>
      <c r="I462" s="101">
        <f>+H462*F461</f>
        <v>-0.1634774395772966</v>
      </c>
      <c r="J462" s="101">
        <f>+I462*$A$440</f>
        <v>-3.9234585498551184</v>
      </c>
      <c r="K462" s="61">
        <f>IF(AND(J462&lt;0, J460&lt;0), 0, J462)</f>
        <v>-3.9234585498551184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11.197303921568627</v>
      </c>
      <c r="AO462">
        <v>22.347403987052143</v>
      </c>
      <c r="AP462">
        <v>108.6411653502294</v>
      </c>
      <c r="AQ462">
        <v>54.472265800923104</v>
      </c>
      <c r="AR462">
        <v>20.349802078511832</v>
      </c>
      <c r="AS462">
        <v>169.56769122868661</v>
      </c>
      <c r="AT462" t="e">
        <v>#DIV/0!</v>
      </c>
      <c r="AU462" t="e">
        <v>#DIV/0!</v>
      </c>
      <c r="AV462"/>
      <c r="AW462"/>
      <c r="FY462" s="212">
        <v>457</v>
      </c>
      <c r="FZ462">
        <v>2.20513128346016</v>
      </c>
      <c r="GA462">
        <v>22.887133588105868</v>
      </c>
      <c r="GB462">
        <v>17.42752587343811</v>
      </c>
      <c r="GC462">
        <v>4.7159447792199529</v>
      </c>
      <c r="GD462">
        <v>0.54660817610908441</v>
      </c>
      <c r="GE462">
        <v>0</v>
      </c>
      <c r="GF462">
        <v>0</v>
      </c>
      <c r="GG462">
        <v>1.9879868987806626</v>
      </c>
      <c r="GH462">
        <v>1.6229601285312325</v>
      </c>
      <c r="GI462">
        <v>12.612129661079502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2.8594771241830061</v>
      </c>
      <c r="E463" s="97">
        <f>+J36</f>
        <v>0.10134727087638197</v>
      </c>
      <c r="F463" s="102">
        <f>+D463-D465</f>
        <v>2.4080882352941173</v>
      </c>
      <c r="G463" s="101">
        <f>+D463*E463</f>
        <v>0.28980020266939283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8.2708333333333321</v>
      </c>
      <c r="AO463">
        <v>27.755195309832509</v>
      </c>
      <c r="AP463">
        <v>625.42645961501148</v>
      </c>
      <c r="AQ463">
        <v>43.587424272529219</v>
      </c>
      <c r="AR463">
        <v>25.265976008312165</v>
      </c>
      <c r="AS463">
        <v>184.23516948610177</v>
      </c>
      <c r="AT463" t="e">
        <v>#DIV/0!</v>
      </c>
      <c r="AU463" t="e">
        <v>#DIV/0!</v>
      </c>
      <c r="AV463"/>
      <c r="AW463"/>
      <c r="FY463" s="212">
        <v>458</v>
      </c>
      <c r="FZ463">
        <v>1.6185967830654278</v>
      </c>
      <c r="GA463">
        <v>15.746173619626646</v>
      </c>
      <c r="GB463">
        <v>12.864440184609027</v>
      </c>
      <c r="GC463">
        <v>4.1298272978295874</v>
      </c>
      <c r="GD463">
        <v>0.94876010779908138</v>
      </c>
      <c r="GE463">
        <v>0</v>
      </c>
      <c r="GF463">
        <v>0</v>
      </c>
      <c r="GG463">
        <v>0</v>
      </c>
      <c r="GH463">
        <v>0</v>
      </c>
      <c r="GI463">
        <v>9.4622401530736262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0.15213374436856347</v>
      </c>
      <c r="I464" s="101">
        <f>+H464*F463</f>
        <v>0.36635148000518036</v>
      </c>
      <c r="J464" s="101">
        <f>+I464*$A$440</f>
        <v>8.7924355201243287</v>
      </c>
      <c r="K464" s="61">
        <f>IF(AND(J464&lt;0, J462&lt;0), 0, J464)</f>
        <v>8.7924355201243287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7.1385416666666668</v>
      </c>
      <c r="AO464">
        <v>34.521477308424885</v>
      </c>
      <c r="AP464">
        <v>470.70880105535963</v>
      </c>
      <c r="AQ464">
        <v>55.10999217866231</v>
      </c>
      <c r="AR464">
        <v>31.41714146157797</v>
      </c>
      <c r="AS464">
        <v>148.78302053764585</v>
      </c>
      <c r="AT464" t="e">
        <v>#DIV/0!</v>
      </c>
      <c r="AU464" t="e">
        <v>#DIV/0!</v>
      </c>
      <c r="AV464"/>
      <c r="AW464"/>
      <c r="FY464" s="212">
        <v>459</v>
      </c>
      <c r="FZ464">
        <v>1.4812863372853795</v>
      </c>
      <c r="GA464">
        <v>17.779084681826191</v>
      </c>
      <c r="GB464">
        <v>16.499633033759284</v>
      </c>
      <c r="GC464">
        <v>5.3395338599235265</v>
      </c>
      <c r="GD464">
        <v>0.76036943327306439</v>
      </c>
      <c r="GE464">
        <v>0.35947809610506914</v>
      </c>
      <c r="GF464">
        <v>0</v>
      </c>
      <c r="GG464">
        <v>2.4948221584469064</v>
      </c>
      <c r="GH464">
        <v>4.8688803855936991</v>
      </c>
      <c r="GI464">
        <v>6.8779395224881732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0.45138888888888884</v>
      </c>
      <c r="E465" s="97">
        <f>+K36</f>
        <v>0.22836999926549642</v>
      </c>
      <c r="F465" s="102">
        <f>+D465-D467</f>
        <v>6.3131313131313149E-2</v>
      </c>
      <c r="G465" s="101">
        <f>+D465*E465</f>
        <v>0.10308368022400879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10.012928921568626</v>
      </c>
      <c r="AO465">
        <v>20.407775757573479</v>
      </c>
      <c r="AP465">
        <v>563.21695111615134</v>
      </c>
      <c r="AQ465">
        <v>48.374883084734094</v>
      </c>
      <c r="AR465">
        <v>18.586503688076682</v>
      </c>
      <c r="AS465">
        <v>96.811761762877481</v>
      </c>
      <c r="AT465" t="e">
        <v>#DIV/0!</v>
      </c>
      <c r="AU465" t="e">
        <v>#DIV/0!</v>
      </c>
      <c r="AV465"/>
      <c r="AW465"/>
      <c r="FY465" s="212">
        <v>460</v>
      </c>
      <c r="FZ465">
        <v>2.7547588697313263</v>
      </c>
      <c r="GA465">
        <v>10.438344956702348</v>
      </c>
      <c r="GB465">
        <v>9.9879115554204958</v>
      </c>
      <c r="GC465">
        <v>3.9038164276267171</v>
      </c>
      <c r="GD465">
        <v>0.81651090181097885</v>
      </c>
      <c r="GE465">
        <v>0.71895619221013829</v>
      </c>
      <c r="GF465">
        <v>0</v>
      </c>
      <c r="GG465">
        <v>1.4097971424648157</v>
      </c>
      <c r="GH465">
        <v>1.6229601285312325</v>
      </c>
      <c r="GI465">
        <v>7.3193888288691173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0.3129507443562678</v>
      </c>
      <c r="I466" s="101">
        <f>+H466*F465</f>
        <v>1.9756991436633075E-2</v>
      </c>
      <c r="J466" s="101">
        <f>+I466*$A$440</f>
        <v>0.47416779447919377</v>
      </c>
      <c r="K466" s="61">
        <f>IF(AND(J466&lt;0, J464&lt;0), 0, J466)</f>
        <v>0.47416779447919377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8.4424019607843128</v>
      </c>
      <c r="AO466">
        <v>20.231180505939186</v>
      </c>
      <c r="AP466">
        <v>383.81450501577865</v>
      </c>
      <c r="AQ466">
        <v>62.089539633486645</v>
      </c>
      <c r="AR466">
        <v>18.459942822328117</v>
      </c>
      <c r="AS466">
        <v>106.6608876359897</v>
      </c>
      <c r="AT466" t="e">
        <v>#DIV/0!</v>
      </c>
      <c r="AU466" t="e">
        <v>#DIV/0!</v>
      </c>
      <c r="AV466"/>
      <c r="AW466"/>
      <c r="FY466" s="212">
        <v>461</v>
      </c>
      <c r="FZ466">
        <v>0.36192247308739012</v>
      </c>
      <c r="GA466">
        <v>14.693006972023525</v>
      </c>
      <c r="GB466">
        <v>16.84832947227094</v>
      </c>
      <c r="GC466">
        <v>5.4148592306988457</v>
      </c>
      <c r="GD466">
        <v>0.50084971822957447</v>
      </c>
      <c r="GE466">
        <v>0</v>
      </c>
      <c r="GF466">
        <v>0.80138167652982462</v>
      </c>
      <c r="GG466">
        <v>5.057063399554985</v>
      </c>
      <c r="GH466">
        <v>0</v>
      </c>
      <c r="GI466">
        <v>8.4654636978913373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0.38825757575757569</v>
      </c>
      <c r="E467" s="97">
        <f>L36</f>
        <v>0.42885741869833771</v>
      </c>
      <c r="F467" s="102">
        <f>+D467-D469</f>
        <v>0.28409090909090906</v>
      </c>
      <c r="G467" s="101">
        <f>+D467*E467</f>
        <v>0.16650714172946821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9.0257352941176467</v>
      </c>
      <c r="AO467">
        <v>28.912048754058986</v>
      </c>
      <c r="AP467">
        <v>544.27765028294164</v>
      </c>
      <c r="AQ467">
        <v>40.271950580039714</v>
      </c>
      <c r="AR467">
        <v>26.28368068550817</v>
      </c>
      <c r="AS467">
        <v>150.39521352528078</v>
      </c>
      <c r="AT467" t="e">
        <v>#DIV/0!</v>
      </c>
      <c r="AU467" t="e">
        <v>#DIV/0!</v>
      </c>
      <c r="AV467"/>
      <c r="AW467"/>
      <c r="FY467" s="212">
        <v>462</v>
      </c>
      <c r="FZ467">
        <v>0</v>
      </c>
      <c r="GA467">
        <v>13.033971487419731</v>
      </c>
      <c r="GB467">
        <v>11.991973970777154</v>
      </c>
      <c r="GC467">
        <v>4.1467281471974822</v>
      </c>
      <c r="GD467">
        <v>1.0177257277687186</v>
      </c>
      <c r="GE467">
        <v>0</v>
      </c>
      <c r="GF467">
        <v>1.6027633530596492</v>
      </c>
      <c r="GG467">
        <v>7.1518235208811305</v>
      </c>
      <c r="GH467">
        <v>3.245920257062465</v>
      </c>
      <c r="GI467">
        <v>10.048076582417805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0.55477495472457228</v>
      </c>
      <c r="I468" s="101">
        <f>+H468*F467</f>
        <v>0.15760652122857166</v>
      </c>
      <c r="J468" s="101">
        <f>+I468*$A$440</f>
        <v>3.7825565094857199</v>
      </c>
      <c r="K468" s="61">
        <f>IF(AND(J468&lt;0, J466&lt;0), 0, J468)</f>
        <v>3.7825565094857199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6.9302083333333329</v>
      </c>
      <c r="AO468">
        <v>21.881976829317143</v>
      </c>
      <c r="AP468">
        <v>720.14212622588479</v>
      </c>
      <c r="AQ468">
        <v>66.323202078859467</v>
      </c>
      <c r="AR468">
        <v>19.892706208470134</v>
      </c>
      <c r="AS468">
        <v>123.18504174858715</v>
      </c>
      <c r="AT468" t="e">
        <v>#DIV/0!</v>
      </c>
      <c r="AU468" t="e">
        <v>#DIV/0!</v>
      </c>
      <c r="AV468"/>
      <c r="AW468"/>
      <c r="FY468" s="212">
        <v>463</v>
      </c>
      <c r="FZ468">
        <v>2.3928363966439363</v>
      </c>
      <c r="GA468">
        <v>23.990866553129891</v>
      </c>
      <c r="GB468">
        <v>24.577310606047948</v>
      </c>
      <c r="GC468">
        <v>8.127134439655439</v>
      </c>
      <c r="GD468">
        <v>0.89272834343087448</v>
      </c>
      <c r="GE468">
        <v>0.35947809610506914</v>
      </c>
      <c r="GF468">
        <v>0.80138167652982462</v>
      </c>
      <c r="GG468">
        <v>4.9857089029053814</v>
      </c>
      <c r="GH468">
        <v>3.245920257062465</v>
      </c>
      <c r="GI468">
        <v>10.573062254889892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0.10416666666666666</v>
      </c>
      <c r="E469" s="97">
        <f>M36</f>
        <v>0.71766334676873855</v>
      </c>
      <c r="F469" s="102">
        <f>+D469-D471</f>
        <v>-1.1931818181818179</v>
      </c>
      <c r="G469" s="101">
        <f>+D469*E469</f>
        <v>7.4756598621743595E-2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9.7746936274509792</v>
      </c>
      <c r="AO469">
        <v>32.480602036922107</v>
      </c>
      <c r="AP469">
        <v>1079.00524962638</v>
      </c>
      <c r="AQ469">
        <v>63.41701845960467</v>
      </c>
      <c r="AR469">
        <v>29.561800305666342</v>
      </c>
      <c r="AS469">
        <v>151.80921067961302</v>
      </c>
      <c r="AT469" t="e">
        <v>#DIV/0!</v>
      </c>
      <c r="AU469" t="e">
        <v>#DIV/0!</v>
      </c>
      <c r="AV469"/>
      <c r="AW469"/>
      <c r="FY469" s="212">
        <v>464</v>
      </c>
      <c r="FZ469">
        <v>0.89475183689064763</v>
      </c>
      <c r="GA469">
        <v>24.316856438246681</v>
      </c>
      <c r="GB469">
        <v>17.445463001754501</v>
      </c>
      <c r="GC469">
        <v>4.2917786218094243</v>
      </c>
      <c r="GD469">
        <v>0.92079798803410962</v>
      </c>
      <c r="GE469">
        <v>0.35947809610506914</v>
      </c>
      <c r="GF469">
        <v>0</v>
      </c>
      <c r="GG469">
        <v>0.57818975631584713</v>
      </c>
      <c r="GH469">
        <v>0</v>
      </c>
      <c r="GI469">
        <v>7.1342861963504687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0.89217414437100107</v>
      </c>
      <c r="I470" s="101">
        <f>+H470*F469</f>
        <v>-1.0645259677153986</v>
      </c>
      <c r="J470" s="101">
        <f>+I470*$A$440</f>
        <v>-25.548623225169568</v>
      </c>
      <c r="K470" s="61">
        <f>IF(AND(J470&lt;0, J468&lt;0), 0, J470)</f>
        <v>-25.548623225169568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16.774080882352941</v>
      </c>
      <c r="AO470">
        <v>44.945785765142432</v>
      </c>
      <c r="AP470">
        <v>1046.1056195542428</v>
      </c>
      <c r="AQ470">
        <v>66.770822236675656</v>
      </c>
      <c r="AR470">
        <v>40.893785513139363</v>
      </c>
      <c r="AS470">
        <v>235.06539900568478</v>
      </c>
      <c r="AT470" t="e">
        <v>#DIV/0!</v>
      </c>
      <c r="AU470" t="e">
        <v>#DIV/0!</v>
      </c>
      <c r="AV470"/>
      <c r="AW470"/>
      <c r="FY470" s="212">
        <v>465</v>
      </c>
      <c r="FZ470">
        <v>0.89475183689064763</v>
      </c>
      <c r="GA470">
        <v>8.1541605012589944</v>
      </c>
      <c r="GB470">
        <v>12.402578801511314</v>
      </c>
      <c r="GC470">
        <v>4.4737227648338296</v>
      </c>
      <c r="GD470">
        <v>0.33139929501330267</v>
      </c>
      <c r="GE470">
        <v>0</v>
      </c>
      <c r="GF470">
        <v>0</v>
      </c>
      <c r="GG470">
        <v>2.241404528613784</v>
      </c>
      <c r="GH470">
        <v>3.245920257062465</v>
      </c>
      <c r="GI470">
        <v>4.6889379099308508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1.2973484848484846</v>
      </c>
      <c r="E471" s="97">
        <f>+N36</f>
        <v>1.1091199062457131</v>
      </c>
      <c r="F471" s="102">
        <f>+D471-D473</f>
        <v>0.82859848484848464</v>
      </c>
      <c r="G471" s="101">
        <f>+D471*E471</f>
        <v>1.4389150298831692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10.85177696078431</v>
      </c>
      <c r="AO471">
        <v>28.551976030844589</v>
      </c>
      <c r="AP471">
        <v>335.88945373465958</v>
      </c>
      <c r="AQ471">
        <v>62.267802893514727</v>
      </c>
      <c r="AR471">
        <v>25.990322118323142</v>
      </c>
      <c r="AS471">
        <v>144.18239771608202</v>
      </c>
      <c r="AT471" t="e">
        <v>#DIV/0!</v>
      </c>
      <c r="AU471" t="e">
        <v>#DIV/0!</v>
      </c>
      <c r="AV471"/>
      <c r="AW471"/>
      <c r="FY471" s="212">
        <v>466</v>
      </c>
      <c r="FZ471">
        <v>0.74064316864268975</v>
      </c>
      <c r="GA471">
        <v>8.2520616344920352</v>
      </c>
      <c r="GB471">
        <v>6.621229932457779</v>
      </c>
      <c r="GC471">
        <v>2.7948035739280699</v>
      </c>
      <c r="GD471">
        <v>1.1571987649505795</v>
      </c>
      <c r="GE471">
        <v>0.71895619221013829</v>
      </c>
      <c r="GF471">
        <v>0.80138167652982462</v>
      </c>
      <c r="GG471">
        <v>5.2391265327385028</v>
      </c>
      <c r="GH471">
        <v>4.8688803855936991</v>
      </c>
      <c r="GI471">
        <v>8.3068932556266883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1.3392545456654252</v>
      </c>
      <c r="I472" s="101">
        <f>+H472*F471</f>
        <v>1.1097042873648171</v>
      </c>
      <c r="J472" s="101">
        <f>+I472*$A$440</f>
        <v>26.63290289675561</v>
      </c>
      <c r="K472" s="61">
        <f>IF(AND(J472&lt;0, J470&lt;0), 0, J472)</f>
        <v>26.63290289675561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11.709068627450979</v>
      </c>
      <c r="AO472">
        <v>31.253039368665092</v>
      </c>
      <c r="AP472">
        <v>729.09455318938717</v>
      </c>
      <c r="AQ472">
        <v>83.71921522317291</v>
      </c>
      <c r="AR472">
        <v>28.513794787816096</v>
      </c>
      <c r="AS472">
        <v>189.63381701562852</v>
      </c>
      <c r="AT472" t="e">
        <v>#DIV/0!</v>
      </c>
      <c r="AU472" t="e">
        <v>#DIV/0!</v>
      </c>
      <c r="AV472"/>
      <c r="AW472"/>
      <c r="FY472" s="212">
        <v>467</v>
      </c>
      <c r="FZ472">
        <v>1.10256564173008</v>
      </c>
      <c r="GA472">
        <v>11.359481052777809</v>
      </c>
      <c r="GB472">
        <v>9.5747094892220463</v>
      </c>
      <c r="GC472">
        <v>3.9965377509006927</v>
      </c>
      <c r="GD472">
        <v>1.3084979264181342</v>
      </c>
      <c r="GE472">
        <v>0.35947809610506914</v>
      </c>
      <c r="GF472">
        <v>0.80138167652982462</v>
      </c>
      <c r="GG472">
        <v>4.7322912730722599</v>
      </c>
      <c r="GH472">
        <v>1.6229601285312325</v>
      </c>
      <c r="GI472">
        <v>12.617467705722921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0.46875</v>
      </c>
      <c r="E473" s="97">
        <f>O36</f>
        <v>1.6171405165350552</v>
      </c>
      <c r="F473" s="102">
        <f>+D473-D475</f>
        <v>-0.59659090909090917</v>
      </c>
      <c r="G473" s="101">
        <f>+D473*E473</f>
        <v>0.75803461712580711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13.686887254901958</v>
      </c>
      <c r="AO473">
        <v>32.27804926214236</v>
      </c>
      <c r="AP473">
        <v>623.82868293010415</v>
      </c>
      <c r="AQ473">
        <v>64.005420388724573</v>
      </c>
      <c r="AR473">
        <v>29.41164169160373</v>
      </c>
      <c r="AS473">
        <v>339.18597786544848</v>
      </c>
      <c r="AT473" t="e">
        <v>#DIV/0!</v>
      </c>
      <c r="AU473" t="e">
        <v>#DIV/0!</v>
      </c>
      <c r="AV473"/>
      <c r="AW473"/>
      <c r="FY473" s="212">
        <v>468</v>
      </c>
      <c r="FZ473">
        <v>1.4812863372853795</v>
      </c>
      <c r="GA473">
        <v>22.545539584715765</v>
      </c>
      <c r="GB473">
        <v>17.786961565205122</v>
      </c>
      <c r="GC473">
        <v>5.6967838273335598</v>
      </c>
      <c r="GD473">
        <v>1.4324565914259675</v>
      </c>
      <c r="GE473">
        <v>0.35947809610506914</v>
      </c>
      <c r="GF473">
        <v>1.6027633530596492</v>
      </c>
      <c r="GG473">
        <v>5.4886087485831929</v>
      </c>
      <c r="GH473">
        <v>0</v>
      </c>
      <c r="GI473">
        <v>9.5466682857290657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1.9097438491899315</v>
      </c>
      <c r="I474" s="101">
        <f>+H474*F473</f>
        <v>-1.1393358191189933</v>
      </c>
      <c r="J474" s="101">
        <f>+I474*$A$440</f>
        <v>-27.344059658855841</v>
      </c>
      <c r="K474" s="61">
        <f>IF(AND(J474&lt;0, J472&lt;0), 0, J474)</f>
        <v>-27.344059658855841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7.270833333333333</v>
      </c>
      <c r="AO474">
        <v>26.504055872167118</v>
      </c>
      <c r="AP474">
        <v>236.96788135460622</v>
      </c>
      <c r="AQ474">
        <v>44.770038146003401</v>
      </c>
      <c r="AR474">
        <v>24.23051733582782</v>
      </c>
      <c r="AS474">
        <v>173.1342874876496</v>
      </c>
      <c r="AT474" t="e">
        <v>#DIV/0!</v>
      </c>
      <c r="AU474" t="e">
        <v>#DIV/0!</v>
      </c>
      <c r="AV474"/>
      <c r="AW474"/>
      <c r="FY474" s="212">
        <v>469</v>
      </c>
      <c r="FZ474">
        <v>2.3592399517081173</v>
      </c>
      <c r="GA474">
        <v>13.220261041791511</v>
      </c>
      <c r="GB474">
        <v>10.266758573740653</v>
      </c>
      <c r="GC474">
        <v>3.1724505439356663</v>
      </c>
      <c r="GD474">
        <v>0.73548044834107595</v>
      </c>
      <c r="GE474">
        <v>0</v>
      </c>
      <c r="GF474">
        <v>0</v>
      </c>
      <c r="GG474">
        <v>2.8195942849296314</v>
      </c>
      <c r="GH474">
        <v>3.245920257062465</v>
      </c>
      <c r="GI474">
        <v>8.3676136668166983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1.0653409090909092</v>
      </c>
      <c r="E475" s="97">
        <f>P36</f>
        <v>2.2552904538767184</v>
      </c>
      <c r="F475" s="102">
        <f>+D475-D477</f>
        <v>0.46875000000000011</v>
      </c>
      <c r="G475" s="101">
        <f>+D475*E475</f>
        <v>2.4026531823970725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10.270220588235293</v>
      </c>
      <c r="AO475">
        <v>13.139339146377164</v>
      </c>
      <c r="AP475">
        <v>262.83497276908372</v>
      </c>
      <c r="AQ475">
        <v>56.461027508701292</v>
      </c>
      <c r="AR475">
        <v>11.944853769433784</v>
      </c>
      <c r="AS475">
        <v>87.413934442867884</v>
      </c>
      <c r="AT475" t="e">
        <v>#DIV/0!</v>
      </c>
      <c r="AU475" t="e">
        <v>#DIV/0!</v>
      </c>
      <c r="AV475"/>
      <c r="AW475"/>
      <c r="FY475" s="212">
        <v>470</v>
      </c>
      <c r="FZ475">
        <v>0.91155005935855693</v>
      </c>
      <c r="GA475">
        <v>24.340347971802288</v>
      </c>
      <c r="GB475">
        <v>16.433457996766641</v>
      </c>
      <c r="GC475">
        <v>4.6857105672802541</v>
      </c>
      <c r="GD475">
        <v>1.4283854294469558</v>
      </c>
      <c r="GE475">
        <v>0.35947809610506914</v>
      </c>
      <c r="GF475">
        <v>1.6027633530596492</v>
      </c>
      <c r="GG475">
        <v>7.1518235208811305</v>
      </c>
      <c r="GH475">
        <v>3.245920257062465</v>
      </c>
      <c r="GI475">
        <v>12.086846914201519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2.6170502301354213</v>
      </c>
      <c r="I476" s="101">
        <f>+H476*F475</f>
        <v>1.226742295375979</v>
      </c>
      <c r="J476" s="101">
        <f>+I476*$A$440</f>
        <v>29.441815089023496</v>
      </c>
      <c r="K476" s="61">
        <f>IF(AND(J476&lt;0, J474&lt;0), 0, J476)</f>
        <v>29.441815089023496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12.775122549019606</v>
      </c>
      <c r="AO476">
        <v>23.573745235347197</v>
      </c>
      <c r="AP476">
        <v>371.93423624429488</v>
      </c>
      <c r="AQ476">
        <v>38.97244500336717</v>
      </c>
      <c r="AR476">
        <v>21.464657758780056</v>
      </c>
      <c r="AS476">
        <v>183.34123679812546</v>
      </c>
      <c r="AT476" t="e">
        <v>#DIV/0!</v>
      </c>
      <c r="AU476" t="e">
        <v>#DIV/0!</v>
      </c>
      <c r="AV476"/>
      <c r="AW476"/>
      <c r="FY476" s="212">
        <v>471</v>
      </c>
      <c r="FZ476">
        <v>3.1334795652866263</v>
      </c>
      <c r="GA476">
        <v>19.500386094603023</v>
      </c>
      <c r="GB476">
        <v>18.480539816475304</v>
      </c>
      <c r="GC476">
        <v>5.7814333110781027</v>
      </c>
      <c r="GD476">
        <v>0.5044067817415997</v>
      </c>
      <c r="GE476">
        <v>0.35947809610506914</v>
      </c>
      <c r="GF476">
        <v>1.6027633530596492</v>
      </c>
      <c r="GG476">
        <v>6.8984058910480091</v>
      </c>
      <c r="GH476">
        <v>1.6229601285312325</v>
      </c>
      <c r="GI476">
        <v>8.6613560331357018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0.59659090909090906</v>
      </c>
      <c r="E477" s="97">
        <f>Q36</f>
        <v>3.0368380690295989</v>
      </c>
      <c r="F477" s="102">
        <f>+D477-D479</f>
        <v>0.38825757575757575</v>
      </c>
      <c r="G477" s="101">
        <f>+D477*E477</f>
        <v>1.8117499843642493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7.5864583333333329</v>
      </c>
      <c r="AO477">
        <v>38.599089967673208</v>
      </c>
      <c r="AP477">
        <v>1441.6848467207269</v>
      </c>
      <c r="AQ477">
        <v>52.142876640286417</v>
      </c>
      <c r="AR477">
        <v>35.124062060894616</v>
      </c>
      <c r="AS477">
        <v>214.2266790791823</v>
      </c>
      <c r="AT477" t="e">
        <v>#DIV/0!</v>
      </c>
      <c r="AU477" t="e">
        <v>#DIV/0!</v>
      </c>
      <c r="AV477"/>
      <c r="AW477"/>
      <c r="FY477" s="212">
        <v>472</v>
      </c>
      <c r="FZ477">
        <v>1.10256564173008</v>
      </c>
      <c r="GA477">
        <v>15.144900093416943</v>
      </c>
      <c r="GB477">
        <v>21.93828191180576</v>
      </c>
      <c r="GC477">
        <v>8.1191714953091143</v>
      </c>
      <c r="GD477">
        <v>0.49731413492414933</v>
      </c>
      <c r="GE477">
        <v>0.35947809610506914</v>
      </c>
      <c r="GF477">
        <v>0.80138167652982462</v>
      </c>
      <c r="GG477">
        <v>2.7443043742915965</v>
      </c>
      <c r="GH477">
        <v>0</v>
      </c>
      <c r="GI477">
        <v>12.134150564961447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3.4743063206784588</v>
      </c>
      <c r="I478" s="101">
        <f>+H478*F477</f>
        <v>1.3489257495058409</v>
      </c>
      <c r="J478" s="101">
        <f>+I478*$A$440</f>
        <v>32.374217988140181</v>
      </c>
      <c r="K478" s="61">
        <f>IF(AND(J478&lt;0, J476&lt;0), 0, J478)</f>
        <v>32.374217988140181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6.8395833333333327</v>
      </c>
      <c r="AO478">
        <v>22.383062730996997</v>
      </c>
      <c r="AP478">
        <v>594.95584520997136</v>
      </c>
      <c r="AQ478">
        <v>52.238983046584138</v>
      </c>
      <c r="AR478">
        <v>20.348238846360907</v>
      </c>
      <c r="AS478">
        <v>117.26567972787832</v>
      </c>
      <c r="AT478" t="e">
        <v>#DIV/0!</v>
      </c>
      <c r="AU478" t="e">
        <v>#DIV/0!</v>
      </c>
      <c r="AV478"/>
      <c r="AW478"/>
      <c r="FY478" s="212">
        <v>473</v>
      </c>
      <c r="FZ478">
        <v>1.273472532445947</v>
      </c>
      <c r="GA478">
        <v>11.792533430905427</v>
      </c>
      <c r="GB478">
        <v>11.846008963397342</v>
      </c>
      <c r="GC478">
        <v>5.2436171505378582</v>
      </c>
      <c r="GD478">
        <v>1.5187021200700896</v>
      </c>
      <c r="GE478">
        <v>0.35947809610506914</v>
      </c>
      <c r="GF478">
        <v>0</v>
      </c>
      <c r="GG478">
        <v>2.4948221584469064</v>
      </c>
      <c r="GH478">
        <v>4.8688803855936991</v>
      </c>
      <c r="GI478">
        <v>6.7343879776848814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0.20833333333333331</v>
      </c>
      <c r="E479" s="97">
        <f>R36</f>
        <v>3.9747935634129594</v>
      </c>
      <c r="F479" s="102">
        <f>+D479-D481</f>
        <v>0.20833333333333331</v>
      </c>
      <c r="G479" s="101">
        <f>+D479*E479</f>
        <v>0.82808199237769986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16.236580882352939</v>
      </c>
      <c r="AO479">
        <v>30.180750876189602</v>
      </c>
      <c r="AP479">
        <v>579.71073777034428</v>
      </c>
      <c r="AQ479">
        <v>79.946427526400726</v>
      </c>
      <c r="AR479">
        <v>27.437046251081451</v>
      </c>
      <c r="AS479">
        <v>158.10963817420696</v>
      </c>
      <c r="AT479" t="e">
        <v>#DIV/0!</v>
      </c>
      <c r="AU479" t="e">
        <v>#DIV/0!</v>
      </c>
      <c r="AV479"/>
      <c r="AW479"/>
      <c r="FY479" s="212">
        <v>474</v>
      </c>
      <c r="FZ479">
        <v>0</v>
      </c>
      <c r="GA479">
        <v>16.41466013350129</v>
      </c>
      <c r="GB479">
        <v>15.072437562799776</v>
      </c>
      <c r="GC479">
        <v>5.376652633637832</v>
      </c>
      <c r="GD479">
        <v>1.167364546601013</v>
      </c>
      <c r="GE479">
        <v>0</v>
      </c>
      <c r="GF479">
        <v>0.80138167652982462</v>
      </c>
      <c r="GG479">
        <v>2.7443043742915965</v>
      </c>
      <c r="GH479">
        <v>0</v>
      </c>
      <c r="GI479">
        <v>11.480305643956624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4.4944031459310709</v>
      </c>
      <c r="I480" s="101">
        <f>+H480*F479</f>
        <v>0.93633398873563967</v>
      </c>
      <c r="J480" s="101">
        <f>+I480*$A$440</f>
        <v>22.472015729655354</v>
      </c>
      <c r="K480" s="61">
        <f>IF(AND(J480&lt;0, J478&lt;0), 0, J480)</f>
        <v>22.472015729655354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6.2291666666666661</v>
      </c>
      <c r="AO480">
        <v>20.65160976728971</v>
      </c>
      <c r="AP480">
        <v>337.97568330898753</v>
      </c>
      <c r="AQ480">
        <v>55.941601935506746</v>
      </c>
      <c r="AR480">
        <v>18.842151241737685</v>
      </c>
      <c r="AS480">
        <v>113.46118083123615</v>
      </c>
      <c r="AT480" t="e">
        <v>#DIV/0!</v>
      </c>
      <c r="AU480" t="e">
        <v>#DIV/0!</v>
      </c>
      <c r="AV480"/>
      <c r="AW480"/>
      <c r="FY480" s="212">
        <v>475</v>
      </c>
      <c r="FZ480">
        <v>1.4443794231618146</v>
      </c>
      <c r="GA480">
        <v>22.05530604169542</v>
      </c>
      <c r="GB480">
        <v>15.376296082502558</v>
      </c>
      <c r="GC480">
        <v>4.2793065466436255</v>
      </c>
      <c r="GD480">
        <v>0.8359652515877104</v>
      </c>
      <c r="GE480">
        <v>0</v>
      </c>
      <c r="GF480">
        <v>0</v>
      </c>
      <c r="GG480">
        <v>1.1563795126316943</v>
      </c>
      <c r="GH480">
        <v>0</v>
      </c>
      <c r="GI480">
        <v>10.839963855486809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5.0819393047448367</v>
      </c>
      <c r="F481" s="102">
        <f>+D481-D483</f>
        <v>-0.79513888888888895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4.7291666666666661</v>
      </c>
      <c r="AO481">
        <v>19.345010101752905</v>
      </c>
      <c r="AP481">
        <v>387.50145264363658</v>
      </c>
      <c r="AQ481">
        <v>36.432875895115188</v>
      </c>
      <c r="AR481">
        <v>17.654333363976953</v>
      </c>
      <c r="AS481">
        <v>87.613383966364978</v>
      </c>
      <c r="AT481" t="e">
        <v>#DIV/0!</v>
      </c>
      <c r="AU481" t="e">
        <v>#DIV/0!</v>
      </c>
      <c r="AV481"/>
      <c r="AW481"/>
      <c r="FY481" s="212">
        <v>476</v>
      </c>
      <c r="FZ481">
        <v>0.36192247308739012</v>
      </c>
      <c r="GA481">
        <v>16.990446886900664</v>
      </c>
      <c r="GB481">
        <v>12.590796357233563</v>
      </c>
      <c r="GC481">
        <v>3.904235528140422</v>
      </c>
      <c r="GD481">
        <v>1.5084096643478595</v>
      </c>
      <c r="GE481">
        <v>0.71895619221013829</v>
      </c>
      <c r="GF481">
        <v>0.80138167652982462</v>
      </c>
      <c r="GG481">
        <v>4.407519146589534</v>
      </c>
      <c r="GH481">
        <v>3.245920257062465</v>
      </c>
      <c r="GI481">
        <v>7.1253775160692543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5.6900170514796287</v>
      </c>
      <c r="I482" s="101">
        <f>+H482*F481</f>
        <v>-4.5243538360723443</v>
      </c>
      <c r="J482" s="101">
        <f>+I482*$A$440</f>
        <v>-108.58449206573627</v>
      </c>
      <c r="K482" s="61">
        <f>IF(AND(J482&lt;0, J480&lt;0), 0, J482)</f>
        <v>-108.58449206573627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7.5809436274509796</v>
      </c>
      <c r="AO482">
        <v>31.236356214524118</v>
      </c>
      <c r="AP482">
        <v>337.27249993506996</v>
      </c>
      <c r="AQ482">
        <v>39.501175117170007</v>
      </c>
      <c r="AR482">
        <v>28.396687467749196</v>
      </c>
      <c r="AS482">
        <v>128.75858900297072</v>
      </c>
      <c r="AT482" t="e">
        <v>#DIV/0!</v>
      </c>
      <c r="AU482" t="e">
        <v>#DIV/0!</v>
      </c>
      <c r="AV482"/>
      <c r="AW482"/>
      <c r="FY482" s="212">
        <v>477</v>
      </c>
      <c r="FZ482">
        <v>3.4954020383740163</v>
      </c>
      <c r="GA482">
        <v>22.452673152846778</v>
      </c>
      <c r="GB482">
        <v>16.781864259760496</v>
      </c>
      <c r="GC482">
        <v>5.1385570505146028</v>
      </c>
      <c r="GD482">
        <v>0.9013952882519225</v>
      </c>
      <c r="GE482">
        <v>0.35947809610506914</v>
      </c>
      <c r="GF482">
        <v>0</v>
      </c>
      <c r="GG482">
        <v>0</v>
      </c>
      <c r="GH482">
        <v>0</v>
      </c>
      <c r="GI482">
        <v>12.870240739878522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0.79513888888888895</v>
      </c>
      <c r="E483" s="97">
        <f>+T36</f>
        <v>6.3708541374943737</v>
      </c>
      <c r="F483" s="102">
        <f>+D483-D485</f>
        <v>-4.450757575757569E-2</v>
      </c>
      <c r="G483" s="101">
        <f>+D483*E483</f>
        <v>5.0657138801604571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10.966360294117646</v>
      </c>
      <c r="AO483">
        <v>41.278192361416082</v>
      </c>
      <c r="AP483">
        <v>819.37299162846352</v>
      </c>
      <c r="AQ483">
        <v>47.475370741010074</v>
      </c>
      <c r="AR483">
        <v>37.559609691569953</v>
      </c>
      <c r="AS483">
        <v>177.96983440577137</v>
      </c>
      <c r="AT483" t="e">
        <v>#DIV/0!</v>
      </c>
      <c r="AU483" t="e">
        <v>#DIV/0!</v>
      </c>
      <c r="AV483"/>
      <c r="AW483"/>
      <c r="FY483" s="212">
        <v>478</v>
      </c>
      <c r="FZ483">
        <v>0.1709068907158674</v>
      </c>
      <c r="GA483">
        <v>12.192062452705228</v>
      </c>
      <c r="GB483">
        <v>18.026779430169761</v>
      </c>
      <c r="GC483">
        <v>6.9278048155712399</v>
      </c>
      <c r="GD483">
        <v>0.92079798803410962</v>
      </c>
      <c r="GE483">
        <v>0.35947809610506914</v>
      </c>
      <c r="GF483">
        <v>0.80138167652982462</v>
      </c>
      <c r="GG483">
        <v>3.3224941306074438</v>
      </c>
      <c r="GH483">
        <v>0</v>
      </c>
      <c r="GI483">
        <v>8.1812944554769977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7.0736315533139527</v>
      </c>
      <c r="I484" s="101">
        <f>+H484*F483</f>
        <v>-0.31483019224029857</v>
      </c>
      <c r="J484" s="101">
        <f>+I484*$A$440</f>
        <v>-7.5559246137671661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11.724387254901959</v>
      </c>
      <c r="AO484">
        <v>19.261177191324606</v>
      </c>
      <c r="AP484">
        <v>476.63961878991745</v>
      </c>
      <c r="AQ484">
        <v>65.940546389442787</v>
      </c>
      <c r="AR484">
        <v>17.510161083022368</v>
      </c>
      <c r="AS484">
        <v>113.42637547173034</v>
      </c>
      <c r="AT484" t="e">
        <v>#DIV/0!</v>
      </c>
      <c r="AU484" t="e">
        <v>#DIV/0!</v>
      </c>
      <c r="AV484"/>
      <c r="AW484"/>
      <c r="FY484" s="212">
        <v>479</v>
      </c>
      <c r="FZ484">
        <v>1.6353950055333373</v>
      </c>
      <c r="GA484">
        <v>8.8585365334595121</v>
      </c>
      <c r="GB484">
        <v>13.161280196817245</v>
      </c>
      <c r="GC484">
        <v>6.7425014094096456</v>
      </c>
      <c r="GD484">
        <v>1.5556861082902878</v>
      </c>
      <c r="GE484">
        <v>0</v>
      </c>
      <c r="GF484">
        <v>1.6027633530596492</v>
      </c>
      <c r="GG484">
        <v>5.4886087485831929</v>
      </c>
      <c r="GH484">
        <v>0</v>
      </c>
      <c r="GI484">
        <v>12.563736062758142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0.83964646464646464</v>
      </c>
      <c r="E485" s="97">
        <f>+U36</f>
        <v>7.8539332830680344</v>
      </c>
      <c r="F485" s="102">
        <f>+D485-D487</f>
        <v>0.83964646464646464</v>
      </c>
      <c r="G485" s="101">
        <f>+D485*E485</f>
        <v>6.5945273146972765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8.5778186274509789</v>
      </c>
      <c r="AO485">
        <v>35.145159316437102</v>
      </c>
      <c r="AP485">
        <v>667.94320419395569</v>
      </c>
      <c r="AQ485">
        <v>44.187318768325824</v>
      </c>
      <c r="AR485">
        <v>32.086065921527805</v>
      </c>
      <c r="AS485">
        <v>195.29335336194322</v>
      </c>
      <c r="AT485" t="e">
        <v>#DIV/0!</v>
      </c>
      <c r="AU485" t="e">
        <v>#DIV/0!</v>
      </c>
      <c r="AV485"/>
      <c r="AW485"/>
      <c r="FY485" s="212">
        <v>480</v>
      </c>
      <c r="FZ485">
        <v>0.70373625451912492</v>
      </c>
      <c r="GA485">
        <v>24.752274978372355</v>
      </c>
      <c r="GB485">
        <v>21.751623246070789</v>
      </c>
      <c r="GC485">
        <v>5.7628149992335462</v>
      </c>
      <c r="GD485">
        <v>0.34563856961581541</v>
      </c>
      <c r="GE485">
        <v>0</v>
      </c>
      <c r="GF485">
        <v>0</v>
      </c>
      <c r="GG485">
        <v>0.83160738614896845</v>
      </c>
      <c r="GH485">
        <v>1.6229601285312325</v>
      </c>
      <c r="GI485">
        <v>9.6943898106211925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8.6575553971054191</v>
      </c>
      <c r="I486" s="101">
        <f>+H486*F485</f>
        <v>7.2692857816604848</v>
      </c>
      <c r="J486" s="101">
        <f>+I486*$A$440</f>
        <v>174.46285875985163</v>
      </c>
      <c r="K486" s="61">
        <f>IF(AND(J486&lt;0, J484&lt;0), 0, J486)</f>
        <v>174.46285875985163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10.573651960784314</v>
      </c>
      <c r="AO486">
        <v>35.595476036283678</v>
      </c>
      <c r="AP486">
        <v>564.68643336251819</v>
      </c>
      <c r="AQ486">
        <v>72.246284165964525</v>
      </c>
      <c r="AR486">
        <v>32.359523669348796</v>
      </c>
      <c r="AS486">
        <v>188.89868200449149</v>
      </c>
      <c r="AT486" t="e">
        <v>#DIV/0!</v>
      </c>
      <c r="AU486" t="e">
        <v>#DIV/0!</v>
      </c>
      <c r="AV486"/>
      <c r="AW486"/>
      <c r="FY486" s="212">
        <v>481</v>
      </c>
      <c r="FZ486">
        <v>0</v>
      </c>
      <c r="GA486">
        <v>11.990317948295322</v>
      </c>
      <c r="GB486">
        <v>12.042382613315157</v>
      </c>
      <c r="GC486">
        <v>4.0292332587110131</v>
      </c>
      <c r="GD486">
        <v>0.78817237820522845</v>
      </c>
      <c r="GE486">
        <v>0.35947809610506914</v>
      </c>
      <c r="GF486">
        <v>0</v>
      </c>
      <c r="GG486">
        <v>1.1563795126316943</v>
      </c>
      <c r="GH486">
        <v>0</v>
      </c>
      <c r="GI486">
        <v>5.1716516918240565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9.5434049096823621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16.515441176470588</v>
      </c>
      <c r="AO487">
        <v>27.464597879830507</v>
      </c>
      <c r="AP487">
        <v>804.43546346587584</v>
      </c>
      <c r="AQ487">
        <v>66.54520907106432</v>
      </c>
      <c r="AR487">
        <v>24.967816254391373</v>
      </c>
      <c r="AS487">
        <v>142.901072164879</v>
      </c>
      <c r="AT487" t="e">
        <v>#DIV/0!</v>
      </c>
      <c r="AU487" t="e">
        <v>#DIV/0!</v>
      </c>
      <c r="AV487"/>
      <c r="AW487"/>
      <c r="FY487" s="212">
        <v>482</v>
      </c>
      <c r="FZ487">
        <v>1.10256564173008</v>
      </c>
      <c r="GA487">
        <v>5.3180647370461216</v>
      </c>
      <c r="GB487">
        <v>8.6295784402515743</v>
      </c>
      <c r="GC487">
        <v>4.5386717248559982</v>
      </c>
      <c r="GD487">
        <v>0.98965608316548359</v>
      </c>
      <c r="GE487">
        <v>0</v>
      </c>
      <c r="GF487">
        <v>1.6027633530596492</v>
      </c>
      <c r="GG487">
        <v>6.3202161347321617</v>
      </c>
      <c r="GH487">
        <v>1.6229601285312325</v>
      </c>
      <c r="GI487">
        <v>8.9377483366623665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10.453937716410444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11.299693627450981</v>
      </c>
      <c r="AO488">
        <v>31.344450771968798</v>
      </c>
      <c r="AP488">
        <v>404.21195200982368</v>
      </c>
      <c r="AQ488">
        <v>62.841547989073973</v>
      </c>
      <c r="AR488">
        <v>28.528935519345154</v>
      </c>
      <c r="AS488">
        <v>178.51320094581772</v>
      </c>
      <c r="AT488" t="e">
        <v>#DIV/0!</v>
      </c>
      <c r="AU488" t="e">
        <v>#DIV/0!</v>
      </c>
      <c r="AV488"/>
      <c r="AW488"/>
      <c r="FY488" s="212">
        <v>483</v>
      </c>
      <c r="FZ488">
        <v>1.9973174786207277</v>
      </c>
      <c r="GA488">
        <v>7.8360580314244945</v>
      </c>
      <c r="GB488">
        <v>13.847030692454416</v>
      </c>
      <c r="GC488">
        <v>6.2780367376837578</v>
      </c>
      <c r="GD488">
        <v>1.2419239765587151</v>
      </c>
      <c r="GE488">
        <v>0.71895619221013829</v>
      </c>
      <c r="GF488">
        <v>0.80138167652982462</v>
      </c>
      <c r="GG488">
        <v>3.5759117604405652</v>
      </c>
      <c r="GH488">
        <v>1.6229601285312325</v>
      </c>
      <c r="GI488">
        <v>10.137136471922352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11.451344128520917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7.7132352941176476</v>
      </c>
      <c r="AO489">
        <v>20.971362910722796</v>
      </c>
      <c r="AP489">
        <v>285.49483932061253</v>
      </c>
      <c r="AQ489">
        <v>46.131902815187225</v>
      </c>
      <c r="AR489">
        <v>19.098855645485155</v>
      </c>
      <c r="AS489">
        <v>115.92275669437734</v>
      </c>
      <c r="AT489" t="e">
        <v>#DIV/0!</v>
      </c>
      <c r="AU489" t="e">
        <v>#DIV/0!</v>
      </c>
      <c r="AV489"/>
      <c r="AW489"/>
      <c r="FY489" s="212">
        <v>484</v>
      </c>
      <c r="FZ489">
        <v>0.89475183689064763</v>
      </c>
      <c r="GA489">
        <v>12.021006093863425</v>
      </c>
      <c r="GB489">
        <v>12.024733140808562</v>
      </c>
      <c r="GC489">
        <v>4.7966271694081994</v>
      </c>
      <c r="GD489">
        <v>1.4394440443782222</v>
      </c>
      <c r="GE489">
        <v>0.71895619221013829</v>
      </c>
      <c r="GF489">
        <v>1.6027633530596492</v>
      </c>
      <c r="GG489">
        <v>6.3202161347321617</v>
      </c>
      <c r="GH489">
        <v>1.6229601285312325</v>
      </c>
      <c r="GI489">
        <v>10.811214088247771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12.474780923644156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8.2947916666666686</v>
      </c>
      <c r="AO490">
        <v>37.927949632689256</v>
      </c>
      <c r="AP490">
        <v>633.07512827794153</v>
      </c>
      <c r="AQ490">
        <v>53.057106571317952</v>
      </c>
      <c r="AR490">
        <v>34.479954211535684</v>
      </c>
      <c r="AS490">
        <v>171.33769481636551</v>
      </c>
      <c r="AT490" t="e">
        <v>#DIV/0!</v>
      </c>
      <c r="AU490" t="e">
        <v>#DIV/0!</v>
      </c>
      <c r="AV490"/>
      <c r="AW490"/>
      <c r="FY490" s="212">
        <v>485</v>
      </c>
      <c r="FZ490">
        <v>1.273472532445947</v>
      </c>
      <c r="GA490">
        <v>27.318672385324337</v>
      </c>
      <c r="GB490">
        <v>20.074703972001373</v>
      </c>
      <c r="GC490">
        <v>5.1369928282923567</v>
      </c>
      <c r="GD490">
        <v>1.0247323299545061</v>
      </c>
      <c r="GE490">
        <v>0.35947809610506914</v>
      </c>
      <c r="GF490">
        <v>0</v>
      </c>
      <c r="GG490">
        <v>1.1563795126316943</v>
      </c>
      <c r="GH490">
        <v>0</v>
      </c>
      <c r="GI490">
        <v>14.663776143117904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13.58968496155188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10.567401960784313</v>
      </c>
      <c r="AO491">
        <v>37.785554242346585</v>
      </c>
      <c r="AP491">
        <v>623.50480505693656</v>
      </c>
      <c r="AQ491">
        <v>55.987596713709628</v>
      </c>
      <c r="AR491">
        <v>34.384484128779512</v>
      </c>
      <c r="AS491">
        <v>234.26010203027789</v>
      </c>
      <c r="AT491" t="e">
        <v>#DIV/0!</v>
      </c>
      <c r="AU491" t="e">
        <v>#DIV/0!</v>
      </c>
      <c r="AV491"/>
      <c r="AW491"/>
      <c r="FY491" s="212">
        <v>486</v>
      </c>
      <c r="FZ491">
        <v>2.3760381741760268</v>
      </c>
      <c r="GA491">
        <v>6.3952416324983457</v>
      </c>
      <c r="GB491">
        <v>7.7850194688622461</v>
      </c>
      <c r="GC491">
        <v>4.7304146106614882</v>
      </c>
      <c r="GD491">
        <v>1.6562784363751852</v>
      </c>
      <c r="GE491">
        <v>0.35947809610506914</v>
      </c>
      <c r="GF491">
        <v>0.80138167652982462</v>
      </c>
      <c r="GG491">
        <v>4.1541015167564126</v>
      </c>
      <c r="GH491">
        <v>1.6229601285312325</v>
      </c>
      <c r="GI491">
        <v>9.3050703608813343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14.73195179721716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6.0656249999999998</v>
      </c>
      <c r="AO492">
        <v>21.678871488341738</v>
      </c>
      <c r="AP492">
        <v>527.54264354665906</v>
      </c>
      <c r="AQ492">
        <v>51.654965698171111</v>
      </c>
      <c r="AR492">
        <v>19.742045261502369</v>
      </c>
      <c r="AS492">
        <v>103.24347962527635</v>
      </c>
      <c r="AT492" t="e">
        <v>#DIV/0!</v>
      </c>
      <c r="AU492" t="e">
        <v>#DIV/0!</v>
      </c>
      <c r="AV492"/>
      <c r="AW492"/>
      <c r="FY492" s="212">
        <v>487</v>
      </c>
      <c r="FZ492">
        <v>2.0141157010886368</v>
      </c>
      <c r="GA492">
        <v>21.877053070841121</v>
      </c>
      <c r="GB492">
        <v>17.50020400075449</v>
      </c>
      <c r="GC492">
        <v>5.0823664729778653</v>
      </c>
      <c r="GD492">
        <v>0.65075523673294011</v>
      </c>
      <c r="GE492">
        <v>0</v>
      </c>
      <c r="GF492">
        <v>1.6027633530596492</v>
      </c>
      <c r="GG492">
        <v>7.7300132771969778</v>
      </c>
      <c r="GH492">
        <v>3.245920257062465</v>
      </c>
      <c r="GI492">
        <v>11.302362224748544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15.970230683754279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18.352941176470591</v>
      </c>
      <c r="AO493">
        <v>31.337233956918055</v>
      </c>
      <c r="AP493">
        <v>276.49646127379714</v>
      </c>
      <c r="AQ493">
        <v>61.999610625731407</v>
      </c>
      <c r="AR493">
        <v>28.522374778389935</v>
      </c>
      <c r="AS493">
        <v>207.32291330399249</v>
      </c>
      <c r="AT493" t="e">
        <v>#DIV/0!</v>
      </c>
      <c r="AU493" t="e">
        <v>#DIV/0!</v>
      </c>
      <c r="AV493"/>
      <c r="AW493"/>
      <c r="FY493" s="212">
        <v>488</v>
      </c>
      <c r="FZ493">
        <v>1.273472532445947</v>
      </c>
      <c r="GA493">
        <v>14.881662688393368</v>
      </c>
      <c r="GB493">
        <v>19.737905658036016</v>
      </c>
      <c r="GC493">
        <v>7.2605226785940644</v>
      </c>
      <c r="GD493">
        <v>0.76939130172829095</v>
      </c>
      <c r="GE493">
        <v>0.35947809610506914</v>
      </c>
      <c r="GF493">
        <v>0</v>
      </c>
      <c r="GG493">
        <v>1.4097971424648157</v>
      </c>
      <c r="GH493">
        <v>1.6229601285312325</v>
      </c>
      <c r="GI493">
        <v>7.8734231164340915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17.237191111171494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6.9822916666666641</v>
      </c>
      <c r="AO494">
        <v>23.223159651778534</v>
      </c>
      <c r="AP494">
        <v>462.6152162498326</v>
      </c>
      <c r="AQ494">
        <v>50.902999935915545</v>
      </c>
      <c r="AR494">
        <v>21.111963319798672</v>
      </c>
      <c r="AS494">
        <v>149.58373871116891</v>
      </c>
      <c r="AT494" t="e">
        <v>#DIV/0!</v>
      </c>
      <c r="AU494" t="e">
        <v>#DIV/0!</v>
      </c>
      <c r="AV494"/>
      <c r="AW494"/>
      <c r="FY494" s="212">
        <v>489</v>
      </c>
      <c r="FZ494">
        <v>1.4443794231618146</v>
      </c>
      <c r="GA494">
        <v>21.687155968733521</v>
      </c>
      <c r="GB494">
        <v>17.943028936816297</v>
      </c>
      <c r="GC494">
        <v>4.5793838420002135</v>
      </c>
      <c r="GD494">
        <v>0.49386459625038737</v>
      </c>
      <c r="GE494">
        <v>0.35947809610506914</v>
      </c>
      <c r="GF494">
        <v>0</v>
      </c>
      <c r="GG494">
        <v>1.9879868987806626</v>
      </c>
      <c r="GH494">
        <v>1.6229601285312325</v>
      </c>
      <c r="GI494">
        <v>6.9935904910590452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18.604662843430042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11.552818627450979</v>
      </c>
      <c r="AO495">
        <v>32.858920810069336</v>
      </c>
      <c r="AP495">
        <v>464.49532687171723</v>
      </c>
      <c r="AQ495">
        <v>51.608507417911014</v>
      </c>
      <c r="AR495">
        <v>29.939706735173701</v>
      </c>
      <c r="AS495">
        <v>161.80485638049666</v>
      </c>
      <c r="AT495" t="e">
        <v>#DIV/0!</v>
      </c>
      <c r="AU495" t="e">
        <v>#DIV/0!</v>
      </c>
      <c r="AV495"/>
      <c r="AW495"/>
      <c r="FY495" s="212">
        <v>490</v>
      </c>
      <c r="FZ495">
        <v>1.10256564173008</v>
      </c>
      <c r="GA495">
        <v>11.419732567653719</v>
      </c>
      <c r="GB495">
        <v>10.359717362547944</v>
      </c>
      <c r="GC495">
        <v>3.7652227358250525</v>
      </c>
      <c r="GD495">
        <v>0.72795974768830241</v>
      </c>
      <c r="GE495">
        <v>0</v>
      </c>
      <c r="GF495">
        <v>0.80138167652982462</v>
      </c>
      <c r="GG495">
        <v>2.7443043742915965</v>
      </c>
      <c r="GH495">
        <v>0</v>
      </c>
      <c r="GI495">
        <v>4.9445280069068689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20.002122071166941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8.3541666666666661</v>
      </c>
      <c r="AO496">
        <v>24.548835768438799</v>
      </c>
      <c r="AP496">
        <v>188.53475364359366</v>
      </c>
      <c r="AQ496">
        <v>65.465045373113028</v>
      </c>
      <c r="AR496">
        <v>22.351103697954244</v>
      </c>
      <c r="AS496">
        <v>144.83583257154885</v>
      </c>
      <c r="AT496" t="e">
        <v>#DIV/0!</v>
      </c>
      <c r="AU496" t="e">
        <v>#DIV/0!</v>
      </c>
      <c r="AV496"/>
      <c r="AW496"/>
      <c r="FY496" s="212">
        <v>491</v>
      </c>
      <c r="FZ496">
        <v>0.74064316864268975</v>
      </c>
      <c r="GA496">
        <v>6.7640825087300414</v>
      </c>
      <c r="GB496">
        <v>9.4538907036700195</v>
      </c>
      <c r="GC496">
        <v>3.6837144485104103</v>
      </c>
      <c r="GD496">
        <v>0.38425039971026304</v>
      </c>
      <c r="GE496">
        <v>0</v>
      </c>
      <c r="GF496">
        <v>2.4041450295894737</v>
      </c>
      <c r="GG496">
        <v>8.2329131228747894</v>
      </c>
      <c r="GH496">
        <v>0</v>
      </c>
      <c r="GI496">
        <v>9.1956280799402315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21.504549193760191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4.6979166666666661</v>
      </c>
      <c r="AO497">
        <v>26.725007577881286</v>
      </c>
      <c r="AP497">
        <v>769.44263191757432</v>
      </c>
      <c r="AQ497">
        <v>35.537615499087536</v>
      </c>
      <c r="AR497">
        <v>24.295461434437531</v>
      </c>
      <c r="AS497">
        <v>108.70974748031482</v>
      </c>
      <c r="AT497" t="e">
        <v>#DIV/0!</v>
      </c>
      <c r="AU497" t="e">
        <v>#DIV/0!</v>
      </c>
      <c r="AV497"/>
      <c r="AW497"/>
      <c r="FY497" s="212">
        <v>492</v>
      </c>
      <c r="FZ497">
        <v>1.6353950055333373</v>
      </c>
      <c r="GA497">
        <v>21.251737428607839</v>
      </c>
      <c r="GB497">
        <v>18.049700378265488</v>
      </c>
      <c r="GC497">
        <v>5.091389056504747</v>
      </c>
      <c r="GD497">
        <v>0.54812849314507017</v>
      </c>
      <c r="GE497">
        <v>0</v>
      </c>
      <c r="GF497">
        <v>0</v>
      </c>
      <c r="GG497">
        <v>2.241404528613784</v>
      </c>
      <c r="GH497">
        <v>3.245920257062465</v>
      </c>
      <c r="GI497">
        <v>12.810853684640811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23.038257761227179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8.8028186274509785</v>
      </c>
      <c r="AO498">
        <v>27.719859397426895</v>
      </c>
      <c r="AP498">
        <v>485.55293832181519</v>
      </c>
      <c r="AQ498">
        <v>39.062224580034673</v>
      </c>
      <c r="AR498">
        <v>25.233852451579786</v>
      </c>
      <c r="AS498">
        <v>124.68241117618527</v>
      </c>
      <c r="AT498" t="e">
        <v>#DIV/0!</v>
      </c>
      <c r="AU498" t="e">
        <v>#DIV/0!</v>
      </c>
      <c r="AV498"/>
      <c r="AW498"/>
      <c r="FY498" s="212">
        <v>493</v>
      </c>
      <c r="FZ498">
        <v>0.74064316864268975</v>
      </c>
      <c r="GA498">
        <v>10.95475065822024</v>
      </c>
      <c r="GB498">
        <v>17.950823697302432</v>
      </c>
      <c r="GC498">
        <v>7.3693675323224435</v>
      </c>
      <c r="GD498">
        <v>0.73548044834107595</v>
      </c>
      <c r="GE498">
        <v>0</v>
      </c>
      <c r="GF498">
        <v>0.80138167652982462</v>
      </c>
      <c r="GG498">
        <v>2.7443043742915965</v>
      </c>
      <c r="GH498">
        <v>0</v>
      </c>
      <c r="GI498">
        <v>9.3409621197897774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24.681350717491501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10.060110294117646</v>
      </c>
      <c r="AO499">
        <v>41.504449580937376</v>
      </c>
      <c r="AP499">
        <v>411.97753989835712</v>
      </c>
      <c r="AQ499">
        <v>48.056713146376232</v>
      </c>
      <c r="AR499">
        <v>37.833258617154542</v>
      </c>
      <c r="AS499">
        <v>169.48776799520476</v>
      </c>
      <c r="AT499" t="e">
        <v>#DIV/0!</v>
      </c>
      <c r="AU499" t="e">
        <v>#DIV/0!</v>
      </c>
      <c r="AV499"/>
      <c r="AW499"/>
      <c r="FY499" s="212">
        <v>494</v>
      </c>
      <c r="FZ499">
        <v>0.53282936380325752</v>
      </c>
      <c r="GA499">
        <v>28.759488784250482</v>
      </c>
      <c r="GB499">
        <v>17.331644083556561</v>
      </c>
      <c r="GC499">
        <v>3.6303475243758045</v>
      </c>
      <c r="GD499">
        <v>1.0420982832606533</v>
      </c>
      <c r="GE499">
        <v>0</v>
      </c>
      <c r="GF499">
        <v>0</v>
      </c>
      <c r="GG499">
        <v>0.57818975631584713</v>
      </c>
      <c r="GH499">
        <v>0</v>
      </c>
      <c r="GI499">
        <v>6.7895913526298894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26.357007761967385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7.1937499999999988</v>
      </c>
      <c r="AO500">
        <v>28.705482470305554</v>
      </c>
      <c r="AP500">
        <v>442.33731679181551</v>
      </c>
      <c r="AQ500">
        <v>52.252672182130013</v>
      </c>
      <c r="AR500">
        <v>26.16385369902482</v>
      </c>
      <c r="AS500">
        <v>152.17526626922512</v>
      </c>
      <c r="AT500" t="e">
        <v>#DIV/0!</v>
      </c>
      <c r="AU500" t="e">
        <v>#DIV/0!</v>
      </c>
      <c r="AV500"/>
      <c r="AW500"/>
      <c r="FY500" s="212">
        <v>495</v>
      </c>
      <c r="FZ500">
        <v>0.89475183689064763</v>
      </c>
      <c r="GA500">
        <v>16.80575115755083</v>
      </c>
      <c r="GB500">
        <v>20.186108658082709</v>
      </c>
      <c r="GC500">
        <v>6.3215027921832148</v>
      </c>
      <c r="GD500">
        <v>0.77993581819257085</v>
      </c>
      <c r="GE500">
        <v>1.0784342883152076</v>
      </c>
      <c r="GF500">
        <v>1.6027633530596492</v>
      </c>
      <c r="GG500">
        <v>7.7300132771969778</v>
      </c>
      <c r="GH500">
        <v>3.245920257062465</v>
      </c>
      <c r="GI500">
        <v>11.943581668413533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28.146427888652209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12.650735294117645</v>
      </c>
      <c r="AO501">
        <v>44.873808466231807</v>
      </c>
      <c r="AP501">
        <v>707.51891232936157</v>
      </c>
      <c r="AQ501">
        <v>71.00820779987319</v>
      </c>
      <c r="AR501">
        <v>40.82835160503879</v>
      </c>
      <c r="AS501">
        <v>293.03207679309287</v>
      </c>
      <c r="AT501" t="e">
        <v>#DIV/0!</v>
      </c>
      <c r="AU501" t="e">
        <v>#DIV/0!</v>
      </c>
      <c r="AV501"/>
      <c r="AW501"/>
      <c r="FY501" s="212">
        <v>496</v>
      </c>
      <c r="FZ501">
        <v>2.7547588697313263</v>
      </c>
      <c r="GA501">
        <v>10.375727279828382</v>
      </c>
      <c r="GB501">
        <v>11.957679922161441</v>
      </c>
      <c r="GC501">
        <v>5.3011739809097911</v>
      </c>
      <c r="GD501">
        <v>0.91469007957905846</v>
      </c>
      <c r="GE501">
        <v>0</v>
      </c>
      <c r="GF501">
        <v>0.80138167652982462</v>
      </c>
      <c r="GG501">
        <v>4.1541015167564126</v>
      </c>
      <c r="GH501">
        <v>1.6229601285312325</v>
      </c>
      <c r="GI501">
        <v>8.6120336581912138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29.969684068349824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11.315012254901958</v>
      </c>
      <c r="AO502">
        <v>33.48600497177388</v>
      </c>
      <c r="AP502">
        <v>564.55020975162574</v>
      </c>
      <c r="AQ502">
        <v>39.185984101377159</v>
      </c>
      <c r="AR502">
        <v>30.509783245814205</v>
      </c>
      <c r="AS502">
        <v>189.6921906478081</v>
      </c>
      <c r="AT502" t="e">
        <v>#DIV/0!</v>
      </c>
      <c r="AU502" t="e">
        <v>#DIV/0!</v>
      </c>
      <c r="AV502"/>
      <c r="AW502"/>
      <c r="FY502" s="212">
        <v>497</v>
      </c>
      <c r="FZ502">
        <v>2.20513128346016</v>
      </c>
      <c r="GA502">
        <v>17.232676220427408</v>
      </c>
      <c r="GB502">
        <v>14.742798806409782</v>
      </c>
      <c r="GC502">
        <v>4.5170947000529846</v>
      </c>
      <c r="GD502">
        <v>0.7267083096548318</v>
      </c>
      <c r="GE502">
        <v>0.35947809610506914</v>
      </c>
      <c r="GF502">
        <v>0</v>
      </c>
      <c r="GG502">
        <v>1.1563795126316943</v>
      </c>
      <c r="GH502">
        <v>0</v>
      </c>
      <c r="GI502">
        <v>9.1339798891136414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31.911046286581225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12.672303921568627</v>
      </c>
      <c r="AO503">
        <v>30.972015364659814</v>
      </c>
      <c r="AP503">
        <v>688.66791824111613</v>
      </c>
      <c r="AQ503">
        <v>71.005553594462697</v>
      </c>
      <c r="AR503">
        <v>28.190357876336982</v>
      </c>
      <c r="AS503">
        <v>152.56051053340141</v>
      </c>
      <c r="AT503" t="e">
        <v>#DIV/0!</v>
      </c>
      <c r="AU503" t="e">
        <v>#DIV/0!</v>
      </c>
      <c r="AV503"/>
      <c r="AW503"/>
      <c r="FY503" s="212">
        <v>498</v>
      </c>
      <c r="FZ503">
        <v>3.1166813428187163</v>
      </c>
      <c r="GA503">
        <v>22.347236353032372</v>
      </c>
      <c r="GB503">
        <v>14.961053921599335</v>
      </c>
      <c r="GC503">
        <v>4.0677632194858964</v>
      </c>
      <c r="GD503">
        <v>0.88156453463441242</v>
      </c>
      <c r="GE503">
        <v>0.35947809610506914</v>
      </c>
      <c r="GF503">
        <v>1.6027633530596492</v>
      </c>
      <c r="GG503">
        <v>6.0667985048990403</v>
      </c>
      <c r="GH503">
        <v>0</v>
      </c>
      <c r="GI503">
        <v>14.287502322183789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33.887506410193303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10.400735294117645</v>
      </c>
      <c r="AO504">
        <v>27.567300514802554</v>
      </c>
      <c r="AP504">
        <v>381.43872223292385</v>
      </c>
      <c r="AQ504">
        <v>55.1886133427329</v>
      </c>
      <c r="AR504">
        <v>25.095162558284933</v>
      </c>
      <c r="AS504">
        <v>182.66975205776242</v>
      </c>
      <c r="AT504" t="e">
        <v>#DIV/0!</v>
      </c>
      <c r="AU504" t="e">
        <v>#DIV/0!</v>
      </c>
      <c r="AV504"/>
      <c r="AW504"/>
      <c r="FY504" s="212">
        <v>499</v>
      </c>
      <c r="FZ504">
        <v>0.5127206721476022</v>
      </c>
      <c r="GA504">
        <v>15.763222394686725</v>
      </c>
      <c r="GB504">
        <v>19.476060867843305</v>
      </c>
      <c r="GC504">
        <v>6.7742645969122526</v>
      </c>
      <c r="GD504">
        <v>0.84332910838074349</v>
      </c>
      <c r="GE504">
        <v>1.0784342883152076</v>
      </c>
      <c r="GF504">
        <v>0</v>
      </c>
      <c r="GG504">
        <v>1.9879868987806626</v>
      </c>
      <c r="GH504">
        <v>1.6229601285312325</v>
      </c>
      <c r="GI504">
        <v>11.459766536940512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35.986381655677192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8.1715686274509771</v>
      </c>
      <c r="AO505">
        <v>17.758774332507684</v>
      </c>
      <c r="AP505">
        <v>537.23747094269618</v>
      </c>
      <c r="AQ505">
        <v>57.111828381438244</v>
      </c>
      <c r="AR505">
        <v>16.178320574380507</v>
      </c>
      <c r="AS505">
        <v>97.080979834620265</v>
      </c>
      <c r="AT505" t="e">
        <v>#DIV/0!</v>
      </c>
      <c r="AU505" t="e">
        <v>#DIV/0!</v>
      </c>
      <c r="AV505"/>
      <c r="AW505"/>
      <c r="FY505" s="212">
        <v>500</v>
      </c>
      <c r="FZ505">
        <v>0.74064316864268975</v>
      </c>
      <c r="GA505">
        <v>15.163708968508274</v>
      </c>
      <c r="GB505">
        <v>13.696120247763087</v>
      </c>
      <c r="GC505">
        <v>4.6608883821565525</v>
      </c>
      <c r="GD505">
        <v>0.95585275461653196</v>
      </c>
      <c r="GE505">
        <v>0</v>
      </c>
      <c r="GF505">
        <v>1.6027633530596492</v>
      </c>
      <c r="GG505">
        <v>7.1518235208811305</v>
      </c>
      <c r="GH505">
        <v>3.245920257062465</v>
      </c>
      <c r="GI505">
        <v>8.2446641381066446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38.121607059541468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6.4871936274509796</v>
      </c>
      <c r="AO506">
        <v>15.302490328782245</v>
      </c>
      <c r="AP506">
        <v>302.9080662236064</v>
      </c>
      <c r="AQ506">
        <v>35.865412113173392</v>
      </c>
      <c r="AR506">
        <v>13.945335116448286</v>
      </c>
      <c r="AS506">
        <v>93.846709690892681</v>
      </c>
      <c r="AT506" t="e">
        <v>#DIV/0!</v>
      </c>
      <c r="AU506" t="e">
        <v>#DIV/0!</v>
      </c>
      <c r="AV506"/>
      <c r="AW506"/>
      <c r="FY506" s="212">
        <v>501</v>
      </c>
      <c r="FZ506">
        <v>0.3418137814317348</v>
      </c>
      <c r="GA506">
        <v>6.2738489657096999</v>
      </c>
      <c r="GB506">
        <v>10.427777922308584</v>
      </c>
      <c r="GC506">
        <v>5.2512919386937131</v>
      </c>
      <c r="GD506">
        <v>1.3477313798178319</v>
      </c>
      <c r="GE506">
        <v>0.35947809610506914</v>
      </c>
      <c r="GF506">
        <v>1.6027633530596492</v>
      </c>
      <c r="GG506">
        <v>6.0667985048990403</v>
      </c>
      <c r="GH506">
        <v>0</v>
      </c>
      <c r="GI506">
        <v>7.1883966185363883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40.383524487319967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8.212193627450981</v>
      </c>
      <c r="AO507">
        <v>33.143158288240272</v>
      </c>
      <c r="AP507">
        <v>696.2609760321443</v>
      </c>
      <c r="AQ507">
        <v>40.859267461667926</v>
      </c>
      <c r="AR507">
        <v>30.130143898400249</v>
      </c>
      <c r="AS507">
        <v>141.563223140253</v>
      </c>
      <c r="AT507" t="e">
        <v>#DIV/0!</v>
      </c>
      <c r="AU507" t="e">
        <v>#DIV/0!</v>
      </c>
      <c r="AV507"/>
      <c r="AW507"/>
      <c r="FY507" s="212">
        <v>502</v>
      </c>
      <c r="FZ507">
        <v>1.4443794231618146</v>
      </c>
      <c r="GA507">
        <v>13.019641313641907</v>
      </c>
      <c r="GB507">
        <v>11.283541490171606</v>
      </c>
      <c r="GC507">
        <v>4.4259317445407182</v>
      </c>
      <c r="GD507">
        <v>1.2594491046976706</v>
      </c>
      <c r="GE507">
        <v>0</v>
      </c>
      <c r="GF507">
        <v>2.4041450295894737</v>
      </c>
      <c r="GG507">
        <v>9.8961278951727252</v>
      </c>
      <c r="GH507">
        <v>3.245920257062465</v>
      </c>
      <c r="GI507">
        <v>9.0335952790613039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42.683035194078982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10.734068627450979</v>
      </c>
      <c r="AO508">
        <v>33.442902517305185</v>
      </c>
      <c r="AP508">
        <v>527.88436782131407</v>
      </c>
      <c r="AQ508">
        <v>64.874528832373542</v>
      </c>
      <c r="AR508">
        <v>30.470599196297204</v>
      </c>
      <c r="AS508">
        <v>211.69311775899271</v>
      </c>
      <c r="AT508" t="e">
        <v>#DIV/0!</v>
      </c>
      <c r="AU508" t="e">
        <v>#DIV/0!</v>
      </c>
      <c r="AV508"/>
      <c r="AW508"/>
      <c r="FY508" s="212">
        <v>503</v>
      </c>
      <c r="FZ508">
        <v>1.065658727606515</v>
      </c>
      <c r="GA508">
        <v>17.625243769438182</v>
      </c>
      <c r="GB508">
        <v>15.167297656561393</v>
      </c>
      <c r="GC508">
        <v>4.169926989124825</v>
      </c>
      <c r="GD508">
        <v>0.65456203001394775</v>
      </c>
      <c r="GE508">
        <v>0.71895619221013829</v>
      </c>
      <c r="GF508">
        <v>0</v>
      </c>
      <c r="GG508">
        <v>0.83160738614896845</v>
      </c>
      <c r="GH508">
        <v>1.6229601285312325</v>
      </c>
      <c r="GI508">
        <v>8.081178761246731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45.113484187122538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9.4142769607843153</v>
      </c>
      <c r="AO509">
        <v>24.033234219926136</v>
      </c>
      <c r="AP509">
        <v>262.30356579025909</v>
      </c>
      <c r="AQ509">
        <v>50.637713675440082</v>
      </c>
      <c r="AR509">
        <v>21.848394745387399</v>
      </c>
      <c r="AS509">
        <v>137.57412416150322</v>
      </c>
      <c r="AT509" t="e">
        <v>#DIV/0!</v>
      </c>
      <c r="AU509" t="e">
        <v>#DIV/0!</v>
      </c>
      <c r="AV509"/>
      <c r="AW509"/>
      <c r="FY509" s="212">
        <v>504</v>
      </c>
      <c r="FZ509">
        <v>3.324495147658149</v>
      </c>
      <c r="GA509">
        <v>17.61843106849993</v>
      </c>
      <c r="GB509">
        <v>14.2080587982802</v>
      </c>
      <c r="GC509">
        <v>5.7174517352667742</v>
      </c>
      <c r="GD509">
        <v>1.3771946673852566</v>
      </c>
      <c r="GE509">
        <v>0</v>
      </c>
      <c r="GF509">
        <v>0</v>
      </c>
      <c r="GG509">
        <v>2.8195942849296314</v>
      </c>
      <c r="GH509">
        <v>3.245920257062465</v>
      </c>
      <c r="GI509">
        <v>9.2450319970933172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47.582760874014802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6.145833333333333</v>
      </c>
      <c r="AO510">
        <v>18.003113774449648</v>
      </c>
      <c r="AP510">
        <v>361.88192886547552</v>
      </c>
      <c r="AQ510">
        <v>58.664189148192506</v>
      </c>
      <c r="AR510">
        <v>16.400447339782289</v>
      </c>
      <c r="AS510">
        <v>114.65755629075753</v>
      </c>
      <c r="AT510" t="e">
        <v>#DIV/0!</v>
      </c>
      <c r="AU510" t="e">
        <v>#DIV/0!</v>
      </c>
      <c r="AV510"/>
      <c r="AW510"/>
      <c r="FY510" s="212">
        <v>505</v>
      </c>
      <c r="FZ510">
        <v>1.4812863372853795</v>
      </c>
      <c r="GA510">
        <v>22.061748800190955</v>
      </c>
      <c r="GB510">
        <v>16.979084418429096</v>
      </c>
      <c r="GC510">
        <v>4.7295510348590888</v>
      </c>
      <c r="GD510">
        <v>1.2171425164649903</v>
      </c>
      <c r="GE510">
        <v>0.71895619221013829</v>
      </c>
      <c r="GF510">
        <v>0.80138167652982462</v>
      </c>
      <c r="GG510">
        <v>4.9857089029053814</v>
      </c>
      <c r="GH510">
        <v>3.245920257062465</v>
      </c>
      <c r="GI510">
        <v>8.446702927283706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50.187192880126901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8.8499999999999979</v>
      </c>
      <c r="AO511">
        <v>27.226940973321025</v>
      </c>
      <c r="AP511">
        <v>668.07952596805194</v>
      </c>
      <c r="AQ511">
        <v>70.588763106947809</v>
      </c>
      <c r="AR511">
        <v>24.819725065402512</v>
      </c>
      <c r="AS511">
        <v>187.03360550196368</v>
      </c>
      <c r="AT511" t="e">
        <v>#DIV/0!</v>
      </c>
      <c r="AU511" t="e">
        <v>#DIV/0!</v>
      </c>
      <c r="AV511"/>
      <c r="AW511"/>
      <c r="FY511" s="212">
        <v>506</v>
      </c>
      <c r="FZ511">
        <v>2.5469450648918945</v>
      </c>
      <c r="GA511">
        <v>17.698782906121192</v>
      </c>
      <c r="GB511">
        <v>20.502099665996113</v>
      </c>
      <c r="GC511">
        <v>8.3816897224927303</v>
      </c>
      <c r="GD511">
        <v>1.2628986433714326</v>
      </c>
      <c r="GE511">
        <v>0</v>
      </c>
      <c r="GF511">
        <v>0</v>
      </c>
      <c r="GG511">
        <v>1.9879868987806626</v>
      </c>
      <c r="GH511">
        <v>1.6229601285312325</v>
      </c>
      <c r="GI511">
        <v>13.211660964848656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52.831678680466581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13.132414215686273</v>
      </c>
      <c r="AO512">
        <v>30.894841411329622</v>
      </c>
      <c r="AP512">
        <v>560.49012181727971</v>
      </c>
      <c r="AQ512">
        <v>46.494507112218685</v>
      </c>
      <c r="AR512">
        <v>28.120199736945906</v>
      </c>
      <c r="AS512">
        <v>174.78604092167203</v>
      </c>
      <c r="AT512" t="e">
        <v>#DIV/0!</v>
      </c>
      <c r="AU512" t="e">
        <v>#DIV/0!</v>
      </c>
      <c r="AV512"/>
      <c r="AW512"/>
      <c r="FY512" s="212">
        <v>507</v>
      </c>
      <c r="FZ512">
        <v>1.8432088103727695</v>
      </c>
      <c r="GA512">
        <v>19.440486328428047</v>
      </c>
      <c r="GB512">
        <v>14.533866430406599</v>
      </c>
      <c r="GC512">
        <v>3.8544632924135924</v>
      </c>
      <c r="GD512">
        <v>0.56627975489378657</v>
      </c>
      <c r="GE512">
        <v>0.35947809610506914</v>
      </c>
      <c r="GF512">
        <v>2.4041450295894737</v>
      </c>
      <c r="GG512">
        <v>8.2329131228747894</v>
      </c>
      <c r="GH512">
        <v>0</v>
      </c>
      <c r="GI512">
        <v>11.062647325009573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55.615508898114115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12.332720588235293</v>
      </c>
      <c r="AO513">
        <v>40.875147478052476</v>
      </c>
      <c r="AP513">
        <v>686.83576605733333</v>
      </c>
      <c r="AQ513">
        <v>50.074246817855574</v>
      </c>
      <c r="AR513">
        <v>37.227185524249279</v>
      </c>
      <c r="AS513">
        <v>265.26124578305087</v>
      </c>
      <c r="AT513" t="e">
        <v>#DIV/0!</v>
      </c>
      <c r="AU513" t="e">
        <v>#DIV/0!</v>
      </c>
      <c r="AV513"/>
      <c r="AW513"/>
      <c r="FY513" s="212">
        <v>508</v>
      </c>
      <c r="FZ513">
        <v>0.53282936380325752</v>
      </c>
      <c r="GA513">
        <v>9.024391519543542</v>
      </c>
      <c r="GB513">
        <v>14.198022634216066</v>
      </c>
      <c r="GC513">
        <v>5.5620184223735611</v>
      </c>
      <c r="GD513">
        <v>0.7921383463190439</v>
      </c>
      <c r="GE513">
        <v>0.71895619221013829</v>
      </c>
      <c r="GF513">
        <v>0.80138167652982462</v>
      </c>
      <c r="GG513">
        <v>5.5638986592212287</v>
      </c>
      <c r="GH513">
        <v>3.245920257062465</v>
      </c>
      <c r="GI513">
        <v>11.648848380601189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58.440611055825798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16.343872549019604</v>
      </c>
      <c r="AO514">
        <v>37.375789331027882</v>
      </c>
      <c r="AP514">
        <v>825.61839074471027</v>
      </c>
      <c r="AQ514">
        <v>67.690841647818289</v>
      </c>
      <c r="AR514">
        <v>34.045950845136019</v>
      </c>
      <c r="AS514">
        <v>193.3281973736546</v>
      </c>
      <c r="AT514" t="e">
        <v>#DIV/0!</v>
      </c>
      <c r="AU514" t="e">
        <v>#DIV/0!</v>
      </c>
      <c r="AV514"/>
      <c r="AW514"/>
      <c r="FY514" s="212">
        <v>509</v>
      </c>
      <c r="FZ514">
        <v>1.6353950055333373</v>
      </c>
      <c r="GA514">
        <v>10.115207785503797</v>
      </c>
      <c r="GB514">
        <v>9.2751743422373405</v>
      </c>
      <c r="GC514">
        <v>3.4753547542944045</v>
      </c>
      <c r="GD514">
        <v>0.89767904990708935</v>
      </c>
      <c r="GE514">
        <v>0.35947809610506914</v>
      </c>
      <c r="GF514">
        <v>0.80138167652982462</v>
      </c>
      <c r="GG514">
        <v>4.407519146589534</v>
      </c>
      <c r="GH514">
        <v>3.245920257062465</v>
      </c>
      <c r="GI514">
        <v>8.6051147074478163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61.409219986371809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9.4374999999999982</v>
      </c>
      <c r="AO515">
        <v>31.652402941521778</v>
      </c>
      <c r="AP515">
        <v>632.22656975263715</v>
      </c>
      <c r="AQ515">
        <v>59.518745492538244</v>
      </c>
      <c r="AR515">
        <v>28.774911765019802</v>
      </c>
      <c r="AS515">
        <v>176.16295391782262</v>
      </c>
      <c r="AT515" t="e">
        <v>#DIV/0!</v>
      </c>
      <c r="AU515" t="e">
        <v>#DIV/0!</v>
      </c>
      <c r="AV515"/>
      <c r="AW515"/>
      <c r="FY515" s="212">
        <v>510</v>
      </c>
      <c r="FZ515">
        <v>0</v>
      </c>
      <c r="GA515">
        <v>20.947441000675092</v>
      </c>
      <c r="GB515">
        <v>19.709816688579089</v>
      </c>
      <c r="GC515">
        <v>7.2818582425717944</v>
      </c>
      <c r="GD515">
        <v>1.9704169719475364</v>
      </c>
      <c r="GE515">
        <v>0.35947809610506914</v>
      </c>
      <c r="GF515">
        <v>0.80138167652982462</v>
      </c>
      <c r="GG515">
        <v>3.3224941306074438</v>
      </c>
      <c r="GH515">
        <v>0</v>
      </c>
      <c r="GI515">
        <v>11.706093654086557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64.420311380447501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7.9382352941176482</v>
      </c>
      <c r="AO516">
        <v>24.659682906718324</v>
      </c>
      <c r="AP516">
        <v>503.94706018287877</v>
      </c>
      <c r="AQ516">
        <v>55.462384790797017</v>
      </c>
      <c r="AR516">
        <v>22.417893551562109</v>
      </c>
      <c r="AS516">
        <v>141.48353615602937</v>
      </c>
      <c r="AT516" t="e">
        <v>#DIV/0!</v>
      </c>
      <c r="AU516" t="e">
        <v>#DIV/0!</v>
      </c>
      <c r="AV516"/>
      <c r="AW516"/>
      <c r="FY516" s="212">
        <v>511</v>
      </c>
      <c r="FZ516">
        <v>0</v>
      </c>
      <c r="GA516">
        <v>13.633429434099343</v>
      </c>
      <c r="GB516">
        <v>17.486711717009342</v>
      </c>
      <c r="GC516">
        <v>6.424107289952536</v>
      </c>
      <c r="GD516">
        <v>0.80091048500528805</v>
      </c>
      <c r="GE516">
        <v>0.35947809610506914</v>
      </c>
      <c r="GF516">
        <v>0</v>
      </c>
      <c r="GG516">
        <v>1.4097971424648157</v>
      </c>
      <c r="GH516">
        <v>1.6229601285312325</v>
      </c>
      <c r="GI516">
        <v>11.018708395204751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67.579046261698053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5.8395833333333327</v>
      </c>
      <c r="AO517">
        <v>22.816987516587506</v>
      </c>
      <c r="AP517">
        <v>685.22066244023949</v>
      </c>
      <c r="AQ517">
        <v>38.859900560561712</v>
      </c>
      <c r="AR517">
        <v>20.742715924170462</v>
      </c>
      <c r="AS517">
        <v>110.08773900648302</v>
      </c>
      <c r="AT517" t="e">
        <v>#DIV/0!</v>
      </c>
      <c r="AU517" t="e">
        <v>#DIV/0!</v>
      </c>
      <c r="AV517"/>
      <c r="AW517"/>
      <c r="FY517" s="212">
        <v>512</v>
      </c>
      <c r="FZ517">
        <v>0.87464314523499231</v>
      </c>
      <c r="GA517">
        <v>11.707030282442657</v>
      </c>
      <c r="GB517">
        <v>7.0263221684855086</v>
      </c>
      <c r="GC517">
        <v>2.9046059791188785</v>
      </c>
      <c r="GD517">
        <v>1.5171818030341035</v>
      </c>
      <c r="GE517">
        <v>0.35947809610506914</v>
      </c>
      <c r="GF517">
        <v>2.4041450295894737</v>
      </c>
      <c r="GG517">
        <v>8.8111028791906367</v>
      </c>
      <c r="GH517">
        <v>0</v>
      </c>
      <c r="GI517">
        <v>7.7399571089140551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67.579046261698053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8.7330269607843132</v>
      </c>
      <c r="AO518">
        <v>19.221533835596141</v>
      </c>
      <c r="AP518">
        <v>590.67446564246211</v>
      </c>
      <c r="AQ518">
        <v>56.012731537099683</v>
      </c>
      <c r="AR518">
        <v>17.50810194082456</v>
      </c>
      <c r="AS518">
        <v>111.97057424386378</v>
      </c>
      <c r="AT518" t="e">
        <v>#DIV/0!</v>
      </c>
      <c r="AU518" t="e">
        <v>#DIV/0!</v>
      </c>
      <c r="AV518"/>
      <c r="AW518"/>
      <c r="FY518" s="212">
        <v>513</v>
      </c>
      <c r="FZ518">
        <v>0.89475183689064763</v>
      </c>
      <c r="GA518">
        <v>20.933282915873566</v>
      </c>
      <c r="GB518">
        <v>12.588346665585432</v>
      </c>
      <c r="GC518">
        <v>3.1635803470301287</v>
      </c>
      <c r="GD518">
        <v>1.1320409010160757</v>
      </c>
      <c r="GE518">
        <v>0</v>
      </c>
      <c r="GF518">
        <v>2.4041450295894737</v>
      </c>
      <c r="GG518">
        <v>10.727735281321698</v>
      </c>
      <c r="GH518">
        <v>4.8688803855936991</v>
      </c>
      <c r="GI518">
        <v>11.143677550995539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6.677083333333333</v>
      </c>
      <c r="AO519">
        <v>22.472742612437649</v>
      </c>
      <c r="AP519">
        <v>210.20878296506646</v>
      </c>
      <c r="AQ519">
        <v>49.937391640881934</v>
      </c>
      <c r="AR519">
        <v>20.497726555508542</v>
      </c>
      <c r="AS519">
        <v>133.37746425589677</v>
      </c>
      <c r="AT519" t="e">
        <v>#DIV/0!</v>
      </c>
      <c r="AU519" t="e">
        <v>#DIV/0!</v>
      </c>
      <c r="AV519"/>
      <c r="AW519"/>
      <c r="FY519" s="212">
        <v>514</v>
      </c>
      <c r="FZ519">
        <v>2.1682243693365955</v>
      </c>
      <c r="GA519">
        <v>16.841640675876707</v>
      </c>
      <c r="GB519">
        <v>20.836336204028708</v>
      </c>
      <c r="GC519">
        <v>8.0543447488479902</v>
      </c>
      <c r="GD519">
        <v>1.7027682217296525</v>
      </c>
      <c r="GE519">
        <v>1.0784342883152076</v>
      </c>
      <c r="GF519">
        <v>0</v>
      </c>
      <c r="GG519">
        <v>0.57818975631584713</v>
      </c>
      <c r="GH519">
        <v>0</v>
      </c>
      <c r="GI519">
        <v>9.4749164535694508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19.540335082583681</v>
      </c>
      <c r="H520" s="63" t="s">
        <v>30</v>
      </c>
      <c r="I520" s="101">
        <f>SUM(K458:K518)</f>
        <v>133.4481936396885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16.155024509803919</v>
      </c>
      <c r="AO520">
        <v>26.498162390410755</v>
      </c>
      <c r="AP520">
        <v>640.14777282127034</v>
      </c>
      <c r="AQ520">
        <v>57.556177956175716</v>
      </c>
      <c r="AR520">
        <v>24.123218808837841</v>
      </c>
      <c r="AS520">
        <v>225.93039352583838</v>
      </c>
      <c r="AT520" t="e">
        <v>#DIV/0!</v>
      </c>
      <c r="AU520" t="e">
        <v>#DIV/0!</v>
      </c>
      <c r="AV520"/>
      <c r="AW520"/>
      <c r="FY520" s="212">
        <v>515</v>
      </c>
      <c r="FZ520">
        <v>1.0824569500744243</v>
      </c>
      <c r="GA520">
        <v>15.971928371885655</v>
      </c>
      <c r="GB520">
        <v>11.485513487702935</v>
      </c>
      <c r="GC520">
        <v>3.4157299226812081</v>
      </c>
      <c r="GD520">
        <v>0.75833268679702481</v>
      </c>
      <c r="GE520">
        <v>0</v>
      </c>
      <c r="GF520">
        <v>1.6027633530596492</v>
      </c>
      <c r="GG520">
        <v>6.8984058910480091</v>
      </c>
      <c r="GH520">
        <v>1.6229601285312325</v>
      </c>
      <c r="GI520">
        <v>7.7223784701485094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11.085845588235296</v>
      </c>
      <c r="AO521">
        <v>18.822082279328463</v>
      </c>
      <c r="AP521">
        <v>502.57980166850717</v>
      </c>
      <c r="AQ521">
        <v>64.667483063221013</v>
      </c>
      <c r="AR521">
        <v>17.110983890298602</v>
      </c>
      <c r="AS521">
        <v>112.05370466592039</v>
      </c>
      <c r="AT521" t="e">
        <v>#DIV/0!</v>
      </c>
      <c r="AU521" t="e">
        <v>#DIV/0!</v>
      </c>
      <c r="AV521"/>
      <c r="AW521"/>
      <c r="FY521" s="212">
        <v>516</v>
      </c>
      <c r="FZ521">
        <v>1.46448811481747</v>
      </c>
      <c r="GA521">
        <v>19.543204923344611</v>
      </c>
      <c r="GB521">
        <v>14.929509107432105</v>
      </c>
      <c r="GC521">
        <v>4.6563654886741546</v>
      </c>
      <c r="GD521">
        <v>1.1005408669726116</v>
      </c>
      <c r="GE521">
        <v>0</v>
      </c>
      <c r="GF521">
        <v>0</v>
      </c>
      <c r="GG521">
        <v>0</v>
      </c>
      <c r="GH521">
        <v>0</v>
      </c>
      <c r="GI521">
        <v>6.0179769197826278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6.8293707899938214</v>
      </c>
      <c r="G522" s="63"/>
      <c r="H522" s="63" t="s">
        <v>101</v>
      </c>
      <c r="I522">
        <v>369.82888793945312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15.697303921568629</v>
      </c>
      <c r="AO522">
        <v>38.467991187011634</v>
      </c>
      <c r="AP522">
        <v>753.117879779536</v>
      </c>
      <c r="AQ522">
        <v>67.215023995033917</v>
      </c>
      <c r="AR522">
        <v>35.03886162330307</v>
      </c>
      <c r="AS522">
        <v>374.10343270066113</v>
      </c>
      <c r="AT522" t="e">
        <v>#DIV/0!</v>
      </c>
      <c r="AU522" t="e">
        <v>#DIV/0!</v>
      </c>
      <c r="AV522"/>
      <c r="AW522"/>
      <c r="FY522" s="212">
        <v>517</v>
      </c>
      <c r="FZ522">
        <v>0.74064316864268975</v>
      </c>
      <c r="GA522">
        <v>19.929645157104346</v>
      </c>
      <c r="GB522">
        <v>16.886866337813721</v>
      </c>
      <c r="GC522">
        <v>4.3918991854139238</v>
      </c>
      <c r="GD522">
        <v>0.47446189646820031</v>
      </c>
      <c r="GE522">
        <v>0.35947809610506914</v>
      </c>
      <c r="GF522">
        <v>0</v>
      </c>
      <c r="GG522">
        <v>0.57818975631584713</v>
      </c>
      <c r="GH522">
        <v>0</v>
      </c>
      <c r="GI522">
        <v>12.413105239156152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6.7401991019042367</v>
      </c>
      <c r="G523" s="63"/>
      <c r="H523" s="63" t="s">
        <v>103</v>
      </c>
      <c r="I523" s="123">
        <f>+I520*(365/I522)</f>
        <v>131.70574897453838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12.581678921568626</v>
      </c>
      <c r="AO523">
        <v>36.491938543582705</v>
      </c>
      <c r="AP523">
        <v>727.86344549657122</v>
      </c>
      <c r="AQ523">
        <v>62.297488190093695</v>
      </c>
      <c r="AR523">
        <v>33.208469857175977</v>
      </c>
      <c r="AS523">
        <v>166.38329648745102</v>
      </c>
      <c r="AT523" t="e">
        <v>#DIV/0!</v>
      </c>
      <c r="AU523" t="e">
        <v>#DIV/0!</v>
      </c>
      <c r="AV523"/>
      <c r="AW523"/>
      <c r="FY523" s="212">
        <v>518</v>
      </c>
      <c r="FZ523">
        <v>0.70373625451912492</v>
      </c>
      <c r="GA523">
        <v>17.160261860004702</v>
      </c>
      <c r="GB523">
        <v>9.9915193991149938</v>
      </c>
      <c r="GC523">
        <v>1.7728408243855087</v>
      </c>
      <c r="GD523">
        <v>0.7267083096548318</v>
      </c>
      <c r="GE523">
        <v>0.35947809610506914</v>
      </c>
      <c r="GF523">
        <v>0.80138167652982462</v>
      </c>
      <c r="GG523">
        <v>3.9006838869232907</v>
      </c>
      <c r="GH523">
        <v>0</v>
      </c>
      <c r="GI523">
        <v>7.4917152579074022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8.7114583333333346</v>
      </c>
      <c r="AO524">
        <v>51.098916769442447</v>
      </c>
      <c r="AP524">
        <v>864.49741011006051</v>
      </c>
      <c r="AQ524">
        <v>52.08840545188032</v>
      </c>
      <c r="AR524">
        <v>46.487540971593923</v>
      </c>
      <c r="AS524">
        <v>208.89135252452874</v>
      </c>
      <c r="AT524" t="e">
        <v>#DIV/0!</v>
      </c>
      <c r="AU524" t="e">
        <v>#DIV/0!</v>
      </c>
      <c r="AV524"/>
      <c r="AW524"/>
      <c r="FY524" s="212">
        <v>519</v>
      </c>
      <c r="FZ524">
        <v>2.9457744521028495</v>
      </c>
      <c r="GA524">
        <v>28.69673630415727</v>
      </c>
      <c r="GB524">
        <v>20.746645906467826</v>
      </c>
      <c r="GC524">
        <v>6.079771094817902</v>
      </c>
      <c r="GD524">
        <v>1.3050483877443728</v>
      </c>
      <c r="GE524">
        <v>0.35947809610506914</v>
      </c>
      <c r="GF524">
        <v>3.2055267061192985</v>
      </c>
      <c r="GG524">
        <v>13.218622025780171</v>
      </c>
      <c r="GH524">
        <v>3.245920257062465</v>
      </c>
      <c r="GI524">
        <v>15.103482292633162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9.5288602941176457</v>
      </c>
      <c r="AO525">
        <v>43.626893952353882</v>
      </c>
      <c r="AP525">
        <v>509.60188257855367</v>
      </c>
      <c r="AQ525">
        <v>42.818224821210677</v>
      </c>
      <c r="AR525">
        <v>39.728773228159675</v>
      </c>
      <c r="AS525">
        <v>167.96568202825853</v>
      </c>
      <c r="AT525" t="e">
        <v>#DIV/0!</v>
      </c>
      <c r="AU525" t="e">
        <v>#DIV/0!</v>
      </c>
      <c r="AV525"/>
      <c r="AW525"/>
      <c r="FY525" s="212">
        <v>520</v>
      </c>
      <c r="FZ525">
        <v>2.168224369336595</v>
      </c>
      <c r="GA525">
        <v>24.523802315414361</v>
      </c>
      <c r="GB525">
        <v>13.176192640443446</v>
      </c>
      <c r="GC525">
        <v>2.7657873673339486</v>
      </c>
      <c r="GD525">
        <v>1.1147801415751242</v>
      </c>
      <c r="GE525">
        <v>0</v>
      </c>
      <c r="GF525">
        <v>0.80138167652982462</v>
      </c>
      <c r="GG525">
        <v>5.8173162890543502</v>
      </c>
      <c r="GH525">
        <v>4.8688803855936991</v>
      </c>
      <c r="GI525">
        <v>10.645985386661195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8.6802083333333346</v>
      </c>
      <c r="AO526">
        <v>26.748631092410459</v>
      </c>
      <c r="AP526">
        <v>759.936325740798</v>
      </c>
      <c r="AQ526">
        <v>66.0989804611024</v>
      </c>
      <c r="AR526">
        <v>24.31693735673678</v>
      </c>
      <c r="AS526">
        <v>174.39308021815467</v>
      </c>
      <c r="AT526" t="e">
        <v>#DIV/0!</v>
      </c>
      <c r="AU526" t="e">
        <v>#DIV/0!</v>
      </c>
      <c r="AV526"/>
      <c r="AW526"/>
      <c r="FY526" s="212">
        <v>521</v>
      </c>
      <c r="FZ526">
        <v>0.1709068907158674</v>
      </c>
      <c r="GA526">
        <v>15.128425512149201</v>
      </c>
      <c r="GB526">
        <v>12.473288232023592</v>
      </c>
      <c r="GC526">
        <v>3.7132088765923501</v>
      </c>
      <c r="GD526">
        <v>1.3006162900396554</v>
      </c>
      <c r="GE526">
        <v>1.0784342883152076</v>
      </c>
      <c r="GF526">
        <v>0.80138167652982462</v>
      </c>
      <c r="GG526">
        <v>2.7443043742915965</v>
      </c>
      <c r="GH526">
        <v>0</v>
      </c>
      <c r="GI526">
        <v>8.7752543525701672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8.4166666666666661</v>
      </c>
      <c r="AO527">
        <v>31.93669984151445</v>
      </c>
      <c r="AP527">
        <v>620.29321799459581</v>
      </c>
      <c r="AQ527">
        <v>52.75610268837238</v>
      </c>
      <c r="AR527">
        <v>29.033363492285865</v>
      </c>
      <c r="AS527">
        <v>191.40853160770209</v>
      </c>
      <c r="AT527" t="e">
        <v>#DIV/0!</v>
      </c>
      <c r="AU527" t="e">
        <v>#DIV/0!</v>
      </c>
      <c r="AV527"/>
      <c r="AW527"/>
      <c r="FY527" s="212">
        <v>522</v>
      </c>
      <c r="FZ527">
        <v>3.0797744286951523</v>
      </c>
      <c r="GA527">
        <v>12.030167453641209</v>
      </c>
      <c r="GB527">
        <v>15.543242012309817</v>
      </c>
      <c r="GC527">
        <v>8.0017999746814752</v>
      </c>
      <c r="GD527">
        <v>2.189537840189522</v>
      </c>
      <c r="GE527">
        <v>0.71895619221013829</v>
      </c>
      <c r="GF527">
        <v>1.6027633530596492</v>
      </c>
      <c r="GG527">
        <v>5.4886087485831929</v>
      </c>
      <c r="GH527">
        <v>0</v>
      </c>
      <c r="GI527">
        <v>12.507307809882716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6.1447916666666664</v>
      </c>
      <c r="AO528">
        <v>26.597452540807762</v>
      </c>
      <c r="AP528">
        <v>876.38519687234486</v>
      </c>
      <c r="AQ528">
        <v>43.344466492115366</v>
      </c>
      <c r="AR528">
        <v>24.21348258192603</v>
      </c>
      <c r="AS528">
        <v>118.88090356195616</v>
      </c>
      <c r="AT528" t="e">
        <v>#DIV/0!</v>
      </c>
      <c r="AU528" t="e">
        <v>#DIV/0!</v>
      </c>
      <c r="AV528"/>
      <c r="AW528"/>
      <c r="FY528" s="212">
        <v>523</v>
      </c>
      <c r="FZ528">
        <v>1.0455500359508596</v>
      </c>
      <c r="GA528">
        <v>15.113544755903412</v>
      </c>
      <c r="GB528">
        <v>16.62895346502998</v>
      </c>
      <c r="GC528">
        <v>6.2867139083566439</v>
      </c>
      <c r="GD528">
        <v>1.4394440443782222</v>
      </c>
      <c r="GE528">
        <v>0.71895619221013829</v>
      </c>
      <c r="GF528">
        <v>0</v>
      </c>
      <c r="GG528">
        <v>1.9879868987806626</v>
      </c>
      <c r="GH528">
        <v>1.6229601285312325</v>
      </c>
      <c r="GI528">
        <v>10.660993326111438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7.4572916666666673</v>
      </c>
      <c r="AO529">
        <v>37.637838186681513</v>
      </c>
      <c r="AP529">
        <v>762.18097431259105</v>
      </c>
      <c r="AQ529">
        <v>67.85644091389625</v>
      </c>
      <c r="AR529">
        <v>34.284177077548406</v>
      </c>
      <c r="AS529">
        <v>180.8213389483368</v>
      </c>
      <c r="AT529" t="e">
        <v>#DIV/0!</v>
      </c>
      <c r="AU529" t="e">
        <v>#DIV/0!</v>
      </c>
      <c r="AV529"/>
      <c r="AW529"/>
      <c r="FY529" s="212">
        <v>524</v>
      </c>
      <c r="FZ529">
        <v>2.7547588697313263</v>
      </c>
      <c r="GA529">
        <v>22.176698708484068</v>
      </c>
      <c r="GB529">
        <v>16.680763627308565</v>
      </c>
      <c r="GC529">
        <v>5.5241775599413003</v>
      </c>
      <c r="GD529">
        <v>1.4324565914259675</v>
      </c>
      <c r="GE529">
        <v>0.35947809610506914</v>
      </c>
      <c r="GF529">
        <v>1.6027633530596492</v>
      </c>
      <c r="GG529">
        <v>11.127797318442457</v>
      </c>
      <c r="GH529">
        <v>6.49184051412493</v>
      </c>
      <c r="GI529">
        <v>11.944515686935894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11.109068627450981</v>
      </c>
      <c r="AO530">
        <v>25.186502638254264</v>
      </c>
      <c r="AP530">
        <v>328.90345788646493</v>
      </c>
      <c r="AQ530">
        <v>60.734854718020159</v>
      </c>
      <c r="AR530">
        <v>22.998761396533521</v>
      </c>
      <c r="AS530">
        <v>157.5374044628953</v>
      </c>
      <c r="AT530" t="e">
        <v>#DIV/0!</v>
      </c>
      <c r="AU530" t="e">
        <v>#DIV/0!</v>
      </c>
      <c r="AV530"/>
      <c r="AW530"/>
      <c r="FY530" s="212">
        <v>525</v>
      </c>
      <c r="FZ530">
        <v>0.89475183689064763</v>
      </c>
      <c r="GA530">
        <v>10.685793166145398</v>
      </c>
      <c r="GB530">
        <v>13.696247875105474</v>
      </c>
      <c r="GC530">
        <v>5.2555430732073862</v>
      </c>
      <c r="GD530">
        <v>1.3690678115423063</v>
      </c>
      <c r="GE530">
        <v>1.4379123844202766</v>
      </c>
      <c r="GF530">
        <v>0</v>
      </c>
      <c r="GG530">
        <v>0</v>
      </c>
      <c r="GH530">
        <v>0</v>
      </c>
      <c r="GI530">
        <v>8.1856410266743413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1.0416666666666665</v>
      </c>
      <c r="E531" s="108">
        <f>E405</f>
        <v>0.71766334676873855</v>
      </c>
      <c r="F531" s="102"/>
      <c r="G531" s="101">
        <f>D531*E531</f>
        <v>0.74756598621743586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8.7403186274509803</v>
      </c>
      <c r="AO531">
        <v>33.629509161612582</v>
      </c>
      <c r="AP531">
        <v>809.3094893232585</v>
      </c>
      <c r="AQ531">
        <v>50.560469261928645</v>
      </c>
      <c r="AR531">
        <v>30.572281056011445</v>
      </c>
      <c r="AS531">
        <v>137.43221406955112</v>
      </c>
      <c r="AT531" t="e">
        <v>#DIV/0!</v>
      </c>
      <c r="AU531" t="e">
        <v>#DIV/0!</v>
      </c>
      <c r="AV531"/>
      <c r="AW531"/>
      <c r="FY531" s="212">
        <v>526</v>
      </c>
      <c r="FZ531">
        <v>0.91155005935855693</v>
      </c>
      <c r="GA531">
        <v>13.067494843747545</v>
      </c>
      <c r="GB531">
        <v>10.015717472161844</v>
      </c>
      <c r="GC531">
        <v>3.4081504081034408</v>
      </c>
      <c r="GD531">
        <v>0.87112754300839612</v>
      </c>
      <c r="GE531">
        <v>0</v>
      </c>
      <c r="GF531">
        <v>0.80138167652982462</v>
      </c>
      <c r="GG531">
        <v>2.7443043742915965</v>
      </c>
      <c r="GH531">
        <v>0</v>
      </c>
      <c r="GI531">
        <v>5.5892805427976979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-0.66782219421144751</v>
      </c>
      <c r="I532" s="101">
        <f>AVERAGE(D531:D533)</f>
        <v>21.96691176470588</v>
      </c>
      <c r="J532" s="101">
        <f>I532*H532</f>
        <v>-14.669991214755141</v>
      </c>
      <c r="K532" s="61">
        <f>J532/(C533-C531)</f>
        <v>-0.54333300795389416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7.567401960784311</v>
      </c>
      <c r="AO532">
        <v>14.037556474272131</v>
      </c>
      <c r="AP532">
        <v>150.90282343728404</v>
      </c>
      <c r="AQ532">
        <v>47.712085421023573</v>
      </c>
      <c r="AR532">
        <v>12.829375520812615</v>
      </c>
      <c r="AS532">
        <v>113.94326751821248</v>
      </c>
      <c r="AT532" t="e">
        <v>#DIV/0!</v>
      </c>
      <c r="AU532" t="e">
        <v>#DIV/0!</v>
      </c>
      <c r="AV532"/>
      <c r="AW532"/>
      <c r="FY532" s="212">
        <v>527</v>
      </c>
      <c r="FZ532">
        <v>1.273472532445947</v>
      </c>
      <c r="GA532">
        <v>17.833949746637117</v>
      </c>
      <c r="GB532">
        <v>18.059036346971578</v>
      </c>
      <c r="GC532">
        <v>6.0042148636515771</v>
      </c>
      <c r="GD532">
        <v>0.81817124444623968</v>
      </c>
      <c r="GE532">
        <v>0.35947809610506914</v>
      </c>
      <c r="GF532">
        <v>1.6027633530596492</v>
      </c>
      <c r="GG532">
        <v>9.3932280494949154</v>
      </c>
      <c r="GH532">
        <v>6.49184051412493</v>
      </c>
      <c r="GI532">
        <v>13.473981321286127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42.892156862745097</v>
      </c>
      <c r="E533" s="108">
        <f>E406</f>
        <v>4.9841152557291074E-2</v>
      </c>
      <c r="F533" s="102"/>
      <c r="G533" s="101">
        <f>D533*E533</f>
        <v>2.1377945337073379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10.629901960784313</v>
      </c>
      <c r="AO533">
        <v>30.293362314289492</v>
      </c>
      <c r="AP533">
        <v>414.06809004774777</v>
      </c>
      <c r="AQ533">
        <v>55.774288837019952</v>
      </c>
      <c r="AR533">
        <v>27.539420285717718</v>
      </c>
      <c r="AS533">
        <v>216.89059177568424</v>
      </c>
      <c r="AT533" t="e">
        <v>#DIV/0!</v>
      </c>
      <c r="AU533" t="e">
        <v>#DIV/0!</v>
      </c>
      <c r="AV533"/>
      <c r="AW533"/>
      <c r="FY533" s="212">
        <v>528</v>
      </c>
      <c r="FZ533">
        <v>1.273472532445947</v>
      </c>
      <c r="GA533">
        <v>16.174914262033322</v>
      </c>
      <c r="GB533">
        <v>19.299980189921225</v>
      </c>
      <c r="GC533">
        <v>7.6784509120622015</v>
      </c>
      <c r="GD533">
        <v>1.1995053531832598</v>
      </c>
      <c r="GE533">
        <v>0</v>
      </c>
      <c r="GF533">
        <v>0</v>
      </c>
      <c r="GG533">
        <v>2.8195942849296314</v>
      </c>
      <c r="GH533">
        <v>3.245920257062465</v>
      </c>
      <c r="GI533">
        <v>11.293269068066017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2.1469743484038815</v>
      </c>
      <c r="I534" s="101">
        <f>AVERAGE(D533:D535)</f>
        <v>27.696078431372548</v>
      </c>
      <c r="J534" s="101">
        <f>I534*H534</f>
        <v>59.462769943538873</v>
      </c>
      <c r="K534" s="61">
        <f>J534/(C535-C533)</f>
        <v>1.4503114620375335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6.2843749999999998</v>
      </c>
      <c r="AO534">
        <v>36.784853835866812</v>
      </c>
      <c r="AP534">
        <v>887.5577265414845</v>
      </c>
      <c r="AQ534">
        <v>42.90832556514475</v>
      </c>
      <c r="AR534">
        <v>33.474756486525173</v>
      </c>
      <c r="AS534">
        <v>146.05984387180123</v>
      </c>
      <c r="AT534" t="e">
        <v>#DIV/0!</v>
      </c>
      <c r="AU534" t="e">
        <v>#DIV/0!</v>
      </c>
      <c r="AV534"/>
      <c r="AW534"/>
      <c r="FY534" s="212">
        <v>529</v>
      </c>
      <c r="FZ534">
        <v>2.5469450648918941</v>
      </c>
      <c r="GA534">
        <v>12.638402452639941</v>
      </c>
      <c r="GB534">
        <v>17.876957689909496</v>
      </c>
      <c r="GC534">
        <v>6.3888942188375921</v>
      </c>
      <c r="GD534">
        <v>0.51546539667286573</v>
      </c>
      <c r="GE534">
        <v>0.71895619221013829</v>
      </c>
      <c r="GF534">
        <v>0</v>
      </c>
      <c r="GG534">
        <v>0.83160738614896845</v>
      </c>
      <c r="GH534">
        <v>1.6229601285312325</v>
      </c>
      <c r="GI534">
        <v>6.7732632145622915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12.499999999999998</v>
      </c>
      <c r="E535" s="108">
        <f>E407</f>
        <v>2.1968155009611725</v>
      </c>
      <c r="F535" s="102"/>
      <c r="G535" s="101">
        <f>D535*E535</f>
        <v>27.460193762014651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17.725122549019609</v>
      </c>
      <c r="AO535">
        <v>47.711654567183487</v>
      </c>
      <c r="AP535">
        <v>1182.8794078373294</v>
      </c>
      <c r="AQ535">
        <v>94.907005522990389</v>
      </c>
      <c r="AR535">
        <v>43.442191968913846</v>
      </c>
      <c r="AS535">
        <v>225.18255948327442</v>
      </c>
      <c r="AT535" t="e">
        <v>#DIV/0!</v>
      </c>
      <c r="AU535" t="e">
        <v>#DIV/0!</v>
      </c>
      <c r="AV535"/>
      <c r="AW535"/>
      <c r="FY535" s="212">
        <v>530</v>
      </c>
      <c r="FZ535">
        <v>1.2566743099780382</v>
      </c>
      <c r="GA535">
        <v>20.360381038765745</v>
      </c>
      <c r="GB535">
        <v>15.086705187073232</v>
      </c>
      <c r="GC535">
        <v>3.741649480818332</v>
      </c>
      <c r="GD535">
        <v>0.54467895447130821</v>
      </c>
      <c r="GE535">
        <v>0</v>
      </c>
      <c r="GF535">
        <v>2.4041450295894737</v>
      </c>
      <c r="GG535">
        <v>8.8111028791906367</v>
      </c>
      <c r="GH535">
        <v>0</v>
      </c>
      <c r="GI535">
        <v>11.267600369347081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-0.78862947535842887</v>
      </c>
      <c r="I536" s="101">
        <f>AVERAGE(D535:D537)</f>
        <v>15.719696969696969</v>
      </c>
      <c r="J536" s="101">
        <f>I536*H536</f>
        <v>-12.397016374005604</v>
      </c>
      <c r="K536" s="61">
        <f>J536/(C537-C535)</f>
        <v>-0.37566716284865465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9.5913602941176457</v>
      </c>
      <c r="AO536">
        <v>30.309312082308828</v>
      </c>
      <c r="AP536">
        <v>583.66619218144228</v>
      </c>
      <c r="AQ536">
        <v>65.882350571942538</v>
      </c>
      <c r="AR536">
        <v>27.655860891128579</v>
      </c>
      <c r="AS536">
        <v>152.09257068926027</v>
      </c>
      <c r="AT536" t="e">
        <v>#DIV/0!</v>
      </c>
      <c r="AU536" t="e">
        <v>#DIV/0!</v>
      </c>
      <c r="AV536"/>
      <c r="AW536"/>
      <c r="FY536" s="212">
        <v>531</v>
      </c>
      <c r="FZ536">
        <v>2.2219295059280695</v>
      </c>
      <c r="GA536">
        <v>17.937052252627929</v>
      </c>
      <c r="GB536">
        <v>21.382974015824004</v>
      </c>
      <c r="GC536">
        <v>8.5856700759147131</v>
      </c>
      <c r="GD536">
        <v>1.3125690883971464</v>
      </c>
      <c r="GE536">
        <v>0.35947809610506914</v>
      </c>
      <c r="GF536">
        <v>0.80138167652982462</v>
      </c>
      <c r="GG536">
        <v>3.5759117604405652</v>
      </c>
      <c r="GH536">
        <v>1.6229601285312325</v>
      </c>
      <c r="GI536">
        <v>13.939566247735222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18.939393939393938</v>
      </c>
      <c r="E537" s="108">
        <f>E408</f>
        <v>1.4081860256027436</v>
      </c>
      <c r="F537" s="102"/>
      <c r="G537" s="101">
        <f>D537*E537</f>
        <v>26.670189878839839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6.9197916666666659</v>
      </c>
      <c r="AO537">
        <v>28.262855214701545</v>
      </c>
      <c r="AP537">
        <v>335.77759937947849</v>
      </c>
      <c r="AQ537">
        <v>46.185820493227453</v>
      </c>
      <c r="AR537">
        <v>25.693504740637771</v>
      </c>
      <c r="AS537">
        <v>134.01198893860408</v>
      </c>
      <c r="AT537" t="e">
        <v>#DIV/0!</v>
      </c>
      <c r="AU537" t="e">
        <v>#DIV/0!</v>
      </c>
      <c r="AV537"/>
      <c r="AW537"/>
      <c r="FY537" s="212">
        <v>532</v>
      </c>
      <c r="FZ537">
        <v>0.74064316864268975</v>
      </c>
      <c r="GA537">
        <v>15.568439363065844</v>
      </c>
      <c r="GB537">
        <v>16.096080768976449</v>
      </c>
      <c r="GC537">
        <v>5.2468749192236812</v>
      </c>
      <c r="GD537">
        <v>0.57655306138248363</v>
      </c>
      <c r="GE537">
        <v>0</v>
      </c>
      <c r="GF537">
        <v>0.80138167652982462</v>
      </c>
      <c r="GG537">
        <v>3.5759117604405652</v>
      </c>
      <c r="GH537">
        <v>1.6229601285312325</v>
      </c>
      <c r="GI537">
        <v>6.7915279465480287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1.2533558715150042</v>
      </c>
      <c r="I538" s="101">
        <f>AVERAGE(D537:D539)</f>
        <v>20.501893939393938</v>
      </c>
      <c r="J538" s="101">
        <f>I538*H538</f>
        <v>25.696169146117271</v>
      </c>
      <c r="K538" s="61">
        <f>J538/(C539-C537)</f>
        <v>0.91772032664704539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14.672303921568627</v>
      </c>
      <c r="AO538">
        <v>31.425276421418879</v>
      </c>
      <c r="AP538">
        <v>436.09812578354433</v>
      </c>
      <c r="AQ538">
        <v>61.162157813252875</v>
      </c>
      <c r="AR538">
        <v>28.670373926683176</v>
      </c>
      <c r="AS538">
        <v>159.98997989090304</v>
      </c>
      <c r="AT538" t="e">
        <v>#DIV/0!</v>
      </c>
      <c r="AU538" t="e">
        <v>#DIV/0!</v>
      </c>
      <c r="AV538"/>
      <c r="AW538"/>
      <c r="FY538" s="212">
        <v>533</v>
      </c>
      <c r="FZ538">
        <v>1.8264105879048604</v>
      </c>
      <c r="GA538">
        <v>14.508861825141661</v>
      </c>
      <c r="GB538">
        <v>10.130937910100362</v>
      </c>
      <c r="GC538">
        <v>2.9259204052626213</v>
      </c>
      <c r="GD538">
        <v>0.71262820988512698</v>
      </c>
      <c r="GE538">
        <v>0</v>
      </c>
      <c r="GF538">
        <v>0</v>
      </c>
      <c r="GG538">
        <v>1.1563795126316943</v>
      </c>
      <c r="GH538">
        <v>0</v>
      </c>
      <c r="GI538">
        <v>9.7385811595729663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22.064393939393938</v>
      </c>
      <c r="E539" s="108">
        <f>E409</f>
        <v>2.6615418971177478</v>
      </c>
      <c r="F539" s="102"/>
      <c r="G539" s="101">
        <f>D539*E539</f>
        <v>58.725308904207878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8.8229166666666661</v>
      </c>
      <c r="AO539">
        <v>31.920995126632999</v>
      </c>
      <c r="AP539">
        <v>553.30485748189312</v>
      </c>
      <c r="AQ539">
        <v>55.505102755252587</v>
      </c>
      <c r="AR539">
        <v>29.053066750858054</v>
      </c>
      <c r="AS539">
        <v>239.95517346495248</v>
      </c>
      <c r="AT539" t="e">
        <v>#DIV/0!</v>
      </c>
      <c r="AU539" t="e">
        <v>#DIV/0!</v>
      </c>
      <c r="AV539"/>
      <c r="AW539"/>
      <c r="FY539" s="212">
        <v>534</v>
      </c>
      <c r="FZ539">
        <v>0.53282936380325752</v>
      </c>
      <c r="GA539">
        <v>23.275569061120333</v>
      </c>
      <c r="GB539">
        <v>16.838578030825175</v>
      </c>
      <c r="GC539">
        <v>4.7273658936558185</v>
      </c>
      <c r="GD539">
        <v>1.6656767086711908</v>
      </c>
      <c r="GE539">
        <v>1.0784342883152076</v>
      </c>
      <c r="GF539">
        <v>0.80138167652982462</v>
      </c>
      <c r="GG539">
        <v>4.407519146589534</v>
      </c>
      <c r="GH539">
        <v>3.245920257062465</v>
      </c>
      <c r="GI539">
        <v>9.64194881776438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3.7093122403766259</v>
      </c>
      <c r="I540" s="101">
        <f>AVERAGE(D539:D541)</f>
        <v>12.594696969696969</v>
      </c>
      <c r="J540" s="101">
        <f>I540*H540</f>
        <v>46.717663633531366</v>
      </c>
      <c r="K540" s="61">
        <f>J540/(C541-C539)</f>
        <v>1.9465693180638068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15.270955882352942</v>
      </c>
      <c r="AO540">
        <v>38.84303975112941</v>
      </c>
      <c r="AP540">
        <v>1365.084896205786</v>
      </c>
      <c r="AQ540">
        <v>80.095250325559221</v>
      </c>
      <c r="AR540">
        <v>35.345834591309348</v>
      </c>
      <c r="AS540">
        <v>187.14509750493377</v>
      </c>
      <c r="AT540" t="e">
        <v>#DIV/0!</v>
      </c>
      <c r="AU540" t="e">
        <v>#DIV/0!</v>
      </c>
      <c r="AV540"/>
      <c r="AW540"/>
      <c r="FY540" s="212">
        <v>535</v>
      </c>
      <c r="FZ540">
        <v>0.70373625451912492</v>
      </c>
      <c r="GA540">
        <v>15.885300447162585</v>
      </c>
      <c r="GB540">
        <v>10.491732928595125</v>
      </c>
      <c r="GC540">
        <v>2.7619736134034425</v>
      </c>
      <c r="GD540">
        <v>0.96843168658378376</v>
      </c>
      <c r="GE540">
        <v>0.35947809610506914</v>
      </c>
      <c r="GF540">
        <v>0.80138167652982462</v>
      </c>
      <c r="GG540">
        <v>3.3224941306074438</v>
      </c>
      <c r="GH540">
        <v>0</v>
      </c>
      <c r="GI540">
        <v>5.5602723591817735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3.1249999999999996</v>
      </c>
      <c r="E541" s="108">
        <f>E410</f>
        <v>6.3708541374943737</v>
      </c>
      <c r="F541" s="102"/>
      <c r="G541" s="101">
        <f>D541*E541</f>
        <v>19.908919179669915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7</v>
      </c>
      <c r="AO541">
        <v>24.387954408260217</v>
      </c>
      <c r="AP541">
        <v>121.38375434626425</v>
      </c>
      <c r="AQ541">
        <v>41.524957173985825</v>
      </c>
      <c r="AR541">
        <v>22.23882818807451</v>
      </c>
      <c r="AS541">
        <v>151.87171605388409</v>
      </c>
      <c r="AT541" t="e">
        <v>#DIV/0!</v>
      </c>
      <c r="AU541" t="e">
        <v>#DIV/0!</v>
      </c>
      <c r="AV541"/>
      <c r="AW541"/>
      <c r="FY541" s="212">
        <v>536</v>
      </c>
      <c r="FZ541">
        <v>2.1883330609922504</v>
      </c>
      <c r="GA541">
        <v>15.799747236783553</v>
      </c>
      <c r="GB541">
        <v>14.724101181664244</v>
      </c>
      <c r="GC541">
        <v>4.539152352748669</v>
      </c>
      <c r="GD541">
        <v>0.70741313471090805</v>
      </c>
      <c r="GE541">
        <v>0.71895619221013829</v>
      </c>
      <c r="GF541">
        <v>0</v>
      </c>
      <c r="GG541">
        <v>2.241404528613784</v>
      </c>
      <c r="GH541">
        <v>3.245920257062465</v>
      </c>
      <c r="GI541">
        <v>10.840721158752121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 t="e">
        <f>E543-E541</f>
        <v>#DIV/0!</v>
      </c>
      <c r="I542" s="101">
        <f>AVERAGE(D541:D543)</f>
        <v>1.5624999999999998</v>
      </c>
      <c r="J542" s="101" t="e">
        <f>I542*H542</f>
        <v>#DIV/0!</v>
      </c>
      <c r="K542" s="61" t="e">
        <f>J542/(C543-C541)</f>
        <v>#DIV/0!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6.5288602941176466</v>
      </c>
      <c r="AO542">
        <v>16.136840768178256</v>
      </c>
      <c r="AP542">
        <v>285.5113128483506</v>
      </c>
      <c r="AQ542">
        <v>37.409006919998902</v>
      </c>
      <c r="AR542">
        <v>14.669855243798416</v>
      </c>
      <c r="AS542">
        <v>92.770529417919249</v>
      </c>
      <c r="AT542" t="e">
        <v>#DIV/0!</v>
      </c>
      <c r="AU542" t="e">
        <v>#DIV/0!</v>
      </c>
      <c r="AV542"/>
      <c r="AW542"/>
      <c r="FY542" s="212">
        <v>537</v>
      </c>
      <c r="FZ542">
        <v>1.6353950055333373</v>
      </c>
      <c r="GA542">
        <v>9.8815337497880282</v>
      </c>
      <c r="GB542">
        <v>13.414583806499174</v>
      </c>
      <c r="GC542">
        <v>5.3960397295655271</v>
      </c>
      <c r="GD542">
        <v>0.93134017352532183</v>
      </c>
      <c r="GE542">
        <v>0.35947809610506914</v>
      </c>
      <c r="GF542">
        <v>0.80138167652982462</v>
      </c>
      <c r="GG542">
        <v>3.3224941306074438</v>
      </c>
      <c r="GH542">
        <v>0</v>
      </c>
      <c r="GI542">
        <v>7.0473085601988101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0</v>
      </c>
      <c r="E543" s="108" t="e">
        <f>E411</f>
        <v>#DIV/0!</v>
      </c>
      <c r="F543" s="102"/>
      <c r="G543" s="101" t="e">
        <f>D543*E543</f>
        <v>#DIV/0!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11.813235294117646</v>
      </c>
      <c r="AO543">
        <v>34.339614114039982</v>
      </c>
      <c r="AP543">
        <v>780.61508472558285</v>
      </c>
      <c r="AQ543">
        <v>75.310136068223159</v>
      </c>
      <c r="AR543">
        <v>31.251811284864409</v>
      </c>
      <c r="AS543">
        <v>170.21879344912207</v>
      </c>
      <c r="AT543" t="e">
        <v>#DIV/0!</v>
      </c>
      <c r="AU543" t="e">
        <v>#DIV/0!</v>
      </c>
      <c r="AV543"/>
      <c r="AW543"/>
      <c r="FY543" s="212">
        <v>538</v>
      </c>
      <c r="FZ543">
        <v>0.87464314523499231</v>
      </c>
      <c r="GA543">
        <v>19.336142436699479</v>
      </c>
      <c r="GB543">
        <v>17.777705683483269</v>
      </c>
      <c r="GC543">
        <v>6.1168721733924025</v>
      </c>
      <c r="GD543">
        <v>1.4499862298694344</v>
      </c>
      <c r="GE543">
        <v>0.71895619221013829</v>
      </c>
      <c r="GF543">
        <v>0.80138167652982462</v>
      </c>
      <c r="GG543">
        <v>5.5638986592212287</v>
      </c>
      <c r="GH543">
        <v>3.245920257062465</v>
      </c>
      <c r="GI543">
        <v>12.245105651443989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 t="e">
        <f>E545-E543</f>
        <v>#DIV/0!</v>
      </c>
      <c r="I544" s="101">
        <f>AVERAGE(D543:D545)</f>
        <v>1.71875</v>
      </c>
      <c r="J544" s="101" t="e">
        <f>I544*H544</f>
        <v>#DIV/0!</v>
      </c>
      <c r="K544" s="61" t="e">
        <f>J544/(C545-C543)</f>
        <v>#DIV/0!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11.744485294117647</v>
      </c>
      <c r="AO544">
        <v>40.434834302338807</v>
      </c>
      <c r="AP544">
        <v>670.4015374083092</v>
      </c>
      <c r="AQ544">
        <v>62.985106859704068</v>
      </c>
      <c r="AR544">
        <v>36.79292054695425</v>
      </c>
      <c r="AS544">
        <v>253.01390875792035</v>
      </c>
      <c r="AT544" t="e">
        <v>#DIV/0!</v>
      </c>
      <c r="AU544" t="e">
        <v>#DIV/0!</v>
      </c>
      <c r="AV544"/>
      <c r="AW544"/>
      <c r="FY544" s="212">
        <v>539</v>
      </c>
      <c r="FZ544">
        <v>1.46448811481747</v>
      </c>
      <c r="GA544">
        <v>21.670107193673442</v>
      </c>
      <c r="GB544">
        <v>13.46768758381366</v>
      </c>
      <c r="GC544">
        <v>2.7664279451367366</v>
      </c>
      <c r="GD544">
        <v>0.77282169116852006</v>
      </c>
      <c r="GE544">
        <v>0.35947809610506914</v>
      </c>
      <c r="GF544">
        <v>0.80138167652982462</v>
      </c>
      <c r="GG544">
        <v>5.8173162890543502</v>
      </c>
      <c r="GH544">
        <v>4.8688803855936991</v>
      </c>
      <c r="GI544">
        <v>9.2663794996642626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3.4375</v>
      </c>
      <c r="E545" s="108">
        <f>E412</f>
        <v>6.3708541374943737</v>
      </c>
      <c r="F545" s="102"/>
      <c r="G545" s="101">
        <f>D545*E545</f>
        <v>21.89981109763691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11.186887254901958</v>
      </c>
      <c r="AO545">
        <v>12.444102510191852</v>
      </c>
      <c r="AP545">
        <v>128.93665201520736</v>
      </c>
      <c r="AQ545">
        <v>49.913451744404412</v>
      </c>
      <c r="AR545">
        <v>11.380781008012359</v>
      </c>
      <c r="AS545">
        <v>107.44570396620885</v>
      </c>
      <c r="AT545" t="e">
        <v>#DIV/0!</v>
      </c>
      <c r="AU545" t="e">
        <v>#DIV/0!</v>
      </c>
      <c r="AV545"/>
      <c r="AW545"/>
      <c r="FY545" s="212">
        <v>540</v>
      </c>
      <c r="FZ545">
        <v>0.91155005935855693</v>
      </c>
      <c r="GA545">
        <v>16.387931974953197</v>
      </c>
      <c r="GB545">
        <v>10.714365516174752</v>
      </c>
      <c r="GC545">
        <v>3.6019769823591403</v>
      </c>
      <c r="GD545">
        <v>1.2698860963236869</v>
      </c>
      <c r="GE545">
        <v>0.35947809610506914</v>
      </c>
      <c r="GF545">
        <v>0.80138167652982462</v>
      </c>
      <c r="GG545">
        <v>4.1541015167564126</v>
      </c>
      <c r="GH545">
        <v>1.6229601285312325</v>
      </c>
      <c r="GI545">
        <v>12.96192005306915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0</v>
      </c>
      <c r="I546" s="101">
        <f>AVERAGE(D545:D547)</f>
        <v>2.239583333333333</v>
      </c>
      <c r="J546" s="101">
        <f>I546*H546</f>
        <v>0</v>
      </c>
      <c r="K546" s="61">
        <f>J546/(C547-C545)</f>
        <v>0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8.2177083333333325</v>
      </c>
      <c r="AO546">
        <v>36.265582171454604</v>
      </c>
      <c r="AP546">
        <v>898.2983147998666</v>
      </c>
      <c r="AQ546">
        <v>63.472937249233837</v>
      </c>
      <c r="AR546">
        <v>33.070651881261114</v>
      </c>
      <c r="AS546">
        <v>181.93014528131758</v>
      </c>
      <c r="AT546" t="e">
        <v>#DIV/0!</v>
      </c>
      <c r="AU546" t="e">
        <v>#DIV/0!</v>
      </c>
      <c r="AV546"/>
      <c r="AW546"/>
      <c r="FY546" s="212">
        <v>541</v>
      </c>
      <c r="FZ546">
        <v>2.2219295059280695</v>
      </c>
      <c r="GA546">
        <v>16.509324641741841</v>
      </c>
      <c r="GB546">
        <v>13.579785457418399</v>
      </c>
      <c r="GC546">
        <v>5.2332439596864182</v>
      </c>
      <c r="GD546">
        <v>1.4870777429278963</v>
      </c>
      <c r="GE546">
        <v>0.71895619221013829</v>
      </c>
      <c r="GF546">
        <v>0.80138167652982462</v>
      </c>
      <c r="GG546">
        <v>4.1541015167564126</v>
      </c>
      <c r="GH546">
        <v>1.6229601285312325</v>
      </c>
      <c r="GI546">
        <v>10.171766169520025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1.0416666666666665</v>
      </c>
      <c r="E547" s="108">
        <f>E413</f>
        <v>6.3708541374943737</v>
      </c>
      <c r="F547" s="102"/>
      <c r="G547" s="101">
        <f>D547*E547</f>
        <v>6.6363063932233048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16.799080882352946</v>
      </c>
      <c r="AO547">
        <v>32.788768693735335</v>
      </c>
      <c r="AP547">
        <v>433.88996292750528</v>
      </c>
      <c r="AQ547">
        <v>71.739492848033763</v>
      </c>
      <c r="AR547">
        <v>29.807971539759397</v>
      </c>
      <c r="AS547">
        <v>168.81751251564029</v>
      </c>
      <c r="AT547" t="e">
        <v>#DIV/0!</v>
      </c>
      <c r="AU547" t="e">
        <v>#DIV/0!</v>
      </c>
      <c r="AV547"/>
      <c r="AW547"/>
      <c r="FY547" s="212">
        <v>542</v>
      </c>
      <c r="FZ547">
        <v>2.1850225918045041</v>
      </c>
      <c r="GA547">
        <v>17.851549104165159</v>
      </c>
      <c r="GB547">
        <v>7.6175039828539166</v>
      </c>
      <c r="GC547">
        <v>0.71322463903652711</v>
      </c>
      <c r="GD547">
        <v>0.46579495164715212</v>
      </c>
      <c r="GE547">
        <v>0.35947809610506914</v>
      </c>
      <c r="GF547">
        <v>0.80138167652982462</v>
      </c>
      <c r="GG547">
        <v>3.9006838869232907</v>
      </c>
      <c r="GH547">
        <v>0</v>
      </c>
      <c r="GI547">
        <v>4.8522970665176341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0.52083333333333326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8.5080269607843135</v>
      </c>
      <c r="AO548">
        <v>20.639386912607243</v>
      </c>
      <c r="AP548">
        <v>325.99239164096838</v>
      </c>
      <c r="AQ548">
        <v>51.020372793340798</v>
      </c>
      <c r="AR548">
        <v>18.76307901146113</v>
      </c>
      <c r="AS548">
        <v>102.90536897152649</v>
      </c>
      <c r="AT548" t="e">
        <v>#DIV/0!</v>
      </c>
      <c r="AU548" t="e">
        <v>#DIV/0!</v>
      </c>
      <c r="AV548"/>
      <c r="AW548"/>
      <c r="FY548" s="212">
        <v>543</v>
      </c>
      <c r="FZ548">
        <v>0.53282936380325752</v>
      </c>
      <c r="GA548">
        <v>21.148666790791498</v>
      </c>
      <c r="GB548">
        <v>12.922889030761523</v>
      </c>
      <c r="GC548">
        <v>3.5302623510509159</v>
      </c>
      <c r="GD548">
        <v>1.6688573683424373</v>
      </c>
      <c r="GE548">
        <v>0.71895619221013829</v>
      </c>
      <c r="GF548">
        <v>1.6027633530596492</v>
      </c>
      <c r="GG548">
        <v>6.0667985048990403</v>
      </c>
      <c r="GH548">
        <v>0</v>
      </c>
      <c r="GI548">
        <v>10.415020398715482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9.2028186274509771</v>
      </c>
      <c r="AO549">
        <v>31.547167162343591</v>
      </c>
      <c r="AP549">
        <v>596.9456198114525</v>
      </c>
      <c r="AQ549">
        <v>40.999719610499298</v>
      </c>
      <c r="AR549">
        <v>28.781183691160184</v>
      </c>
      <c r="AS549">
        <v>254.41700205064112</v>
      </c>
      <c r="AT549" t="e">
        <v>#DIV/0!</v>
      </c>
      <c r="AU549" t="e">
        <v>#DIV/0!</v>
      </c>
      <c r="AV549"/>
      <c r="AW549"/>
      <c r="FY549" s="212">
        <v>544</v>
      </c>
      <c r="FZ549">
        <v>1.6353950055333373</v>
      </c>
      <c r="GA549">
        <v>12.007917305823362</v>
      </c>
      <c r="GB549">
        <v>15.543149824830351</v>
      </c>
      <c r="GC549">
        <v>5.5493530203103933</v>
      </c>
      <c r="GD549">
        <v>0.55725788643856</v>
      </c>
      <c r="GE549">
        <v>0.35947809610506914</v>
      </c>
      <c r="GF549">
        <v>1.6027633530596492</v>
      </c>
      <c r="GG549">
        <v>7.9834309070300984</v>
      </c>
      <c r="GH549">
        <v>4.8688803855936991</v>
      </c>
      <c r="GI549">
        <v>10.720785027152749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8.2947916666666668</v>
      </c>
      <c r="AO550">
        <v>39.527738107480687</v>
      </c>
      <c r="AP550">
        <v>445.78908926369377</v>
      </c>
      <c r="AQ550">
        <v>66.215223244337182</v>
      </c>
      <c r="AR550">
        <v>35.968287642537774</v>
      </c>
      <c r="AS550">
        <v>164.9757786002165</v>
      </c>
      <c r="AT550" t="e">
        <v>#DIV/0!</v>
      </c>
      <c r="AU550" t="e">
        <v>#DIV/0!</v>
      </c>
      <c r="AV550"/>
      <c r="AW550"/>
      <c r="FY550" s="212">
        <v>545</v>
      </c>
      <c r="FZ550">
        <v>0.74064316864268975</v>
      </c>
      <c r="GA550">
        <v>15.568439363065844</v>
      </c>
      <c r="GB550">
        <v>15.445747488071097</v>
      </c>
      <c r="GC550">
        <v>5.884907139738984</v>
      </c>
      <c r="GD550">
        <v>1.577144703782047</v>
      </c>
      <c r="GE550">
        <v>0.35947809610506914</v>
      </c>
      <c r="GF550">
        <v>0</v>
      </c>
      <c r="GG550">
        <v>3.9759737975613252</v>
      </c>
      <c r="GH550">
        <v>3.245920257062465</v>
      </c>
      <c r="GI550">
        <v>9.1783087888092965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4.805208333333332</v>
      </c>
      <c r="AO551">
        <v>13.215438437393377</v>
      </c>
      <c r="AP551">
        <v>450.64139655888846</v>
      </c>
      <c r="AQ551">
        <v>40.854801192688171</v>
      </c>
      <c r="AR551">
        <v>12.04801521518568</v>
      </c>
      <c r="AS551">
        <v>73.765669953190596</v>
      </c>
      <c r="AT551" t="e">
        <v>#DIV/0!</v>
      </c>
      <c r="AU551" t="e">
        <v>#DIV/0!</v>
      </c>
      <c r="AV551"/>
      <c r="AW551"/>
      <c r="FY551" s="212">
        <v>546</v>
      </c>
      <c r="FZ551">
        <v>1.8231001187171139</v>
      </c>
      <c r="GA551">
        <v>8.9132349268767186</v>
      </c>
      <c r="GB551">
        <v>9.2053654742379631</v>
      </c>
      <c r="GC551">
        <v>5.6295019027043125</v>
      </c>
      <c r="GD551">
        <v>2.1589151713118171</v>
      </c>
      <c r="GE551">
        <v>0.35947809610506914</v>
      </c>
      <c r="GF551">
        <v>0</v>
      </c>
      <c r="GG551">
        <v>2.8195942849296314</v>
      </c>
      <c r="GH551">
        <v>3.245920257062465</v>
      </c>
      <c r="GI551">
        <v>9.3441946516146857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9.9840686274509807</v>
      </c>
      <c r="AO552">
        <v>28.806680620028011</v>
      </c>
      <c r="AP552">
        <v>419.98207023489778</v>
      </c>
      <c r="AQ552">
        <v>55.005749103538136</v>
      </c>
      <c r="AR552">
        <v>26.323812561155908</v>
      </c>
      <c r="AS552">
        <v>171.71271793480588</v>
      </c>
      <c r="AT552" t="e">
        <v>#DIV/0!</v>
      </c>
      <c r="AU552" t="e">
        <v>#DIV/0!</v>
      </c>
      <c r="AV552"/>
      <c r="AW552"/>
      <c r="FY552" s="212">
        <v>547</v>
      </c>
      <c r="FZ552">
        <v>0.36192247308739012</v>
      </c>
      <c r="GA552">
        <v>21.738611628992402</v>
      </c>
      <c r="GB552">
        <v>10.979899513379497</v>
      </c>
      <c r="GC552">
        <v>1.7061711819849668</v>
      </c>
      <c r="GD552">
        <v>1.0268742702957416</v>
      </c>
      <c r="GE552">
        <v>0.35947809610506914</v>
      </c>
      <c r="GF552">
        <v>0.80138167652982462</v>
      </c>
      <c r="GG552">
        <v>2.7443043742915965</v>
      </c>
      <c r="GH552">
        <v>0</v>
      </c>
      <c r="GI552">
        <v>7.0472605533147146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8.5288602941176475</v>
      </c>
      <c r="AO553">
        <v>28.551192619094092</v>
      </c>
      <c r="AP553">
        <v>539.05105124350473</v>
      </c>
      <c r="AQ553">
        <v>42.78955492835253</v>
      </c>
      <c r="AR553">
        <v>26.023590197923493</v>
      </c>
      <c r="AS553">
        <v>133.32423993329917</v>
      </c>
      <c r="AT553" t="e">
        <v>#DIV/0!</v>
      </c>
      <c r="AU553" t="e">
        <v>#DIV/0!</v>
      </c>
      <c r="AV553"/>
      <c r="AW553"/>
      <c r="FY553" s="212">
        <v>548</v>
      </c>
      <c r="FZ553">
        <v>1.273472532445947</v>
      </c>
      <c r="GA553">
        <v>20.580966286441459</v>
      </c>
      <c r="GB553">
        <v>14.734944444428512</v>
      </c>
      <c r="GC553">
        <v>4.0707042373045494</v>
      </c>
      <c r="GD553">
        <v>1.1433683949498568</v>
      </c>
      <c r="GE553">
        <v>0.71895619221013829</v>
      </c>
      <c r="GF553">
        <v>0.80138167652982462</v>
      </c>
      <c r="GG553">
        <v>4.1541015167564126</v>
      </c>
      <c r="GH553">
        <v>1.6229601285312325</v>
      </c>
      <c r="GI553">
        <v>12.060233970415638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9.7531249999999989</v>
      </c>
      <c r="AO554">
        <v>38.376215221522919</v>
      </c>
      <c r="AP554">
        <v>773.81120718467082</v>
      </c>
      <c r="AQ554">
        <v>68.130612105147208</v>
      </c>
      <c r="AR554">
        <v>34.92144865530345</v>
      </c>
      <c r="AS554">
        <v>204.05291682977071</v>
      </c>
      <c r="AT554" t="e">
        <v>#DIV/0!</v>
      </c>
      <c r="AU554" t="e">
        <v>#DIV/0!</v>
      </c>
      <c r="AV554"/>
      <c r="AW554"/>
      <c r="FY554" s="212">
        <v>549</v>
      </c>
      <c r="FZ554">
        <v>1.273472532445947</v>
      </c>
      <c r="GA554">
        <v>19.306004873599342</v>
      </c>
      <c r="GB554">
        <v>16.619650023281366</v>
      </c>
      <c r="GC554">
        <v>4.8003079710846119</v>
      </c>
      <c r="GD554">
        <v>0.58203934653228517</v>
      </c>
      <c r="GE554">
        <v>0.35947809610506914</v>
      </c>
      <c r="GF554">
        <v>0.80138167652982462</v>
      </c>
      <c r="GG554">
        <v>3.5759117604405652</v>
      </c>
      <c r="GH554">
        <v>1.6229601285312325</v>
      </c>
      <c r="GI554">
        <v>11.021144872946456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9.2996936274509796</v>
      </c>
      <c r="AO555">
        <v>24.89837466460029</v>
      </c>
      <c r="AP555">
        <v>558.02478287047074</v>
      </c>
      <c r="AQ555">
        <v>61.254968475557028</v>
      </c>
      <c r="AR555">
        <v>22.702846602929117</v>
      </c>
      <c r="AS555">
        <v>127.92697774509811</v>
      </c>
      <c r="AT555" t="e">
        <v>#DIV/0!</v>
      </c>
      <c r="AU555" t="e">
        <v>#DIV/0!</v>
      </c>
      <c r="AV555"/>
      <c r="AW555"/>
      <c r="FY555" s="212">
        <v>550</v>
      </c>
      <c r="FZ555">
        <v>0.72384494617478023</v>
      </c>
      <c r="GA555">
        <v>25.389554632385398</v>
      </c>
      <c r="GB555">
        <v>18.3829542861635</v>
      </c>
      <c r="GC555">
        <v>5.1752680288007795</v>
      </c>
      <c r="GD555">
        <v>1.5470406436758399</v>
      </c>
      <c r="GE555">
        <v>0.71895619221013829</v>
      </c>
      <c r="GF555">
        <v>0.80138167652982462</v>
      </c>
      <c r="GG555">
        <v>5.3104810293881073</v>
      </c>
      <c r="GH555">
        <v>1.6229601285312325</v>
      </c>
      <c r="GI555">
        <v>11.786375491516893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10.997610294117646</v>
      </c>
      <c r="AO556">
        <v>42.781970988389922</v>
      </c>
      <c r="AP556">
        <v>657.80200877214293</v>
      </c>
      <c r="AQ556">
        <v>52.78555210016102</v>
      </c>
      <c r="AR556">
        <v>38.89270089853629</v>
      </c>
      <c r="AS556">
        <v>201.05132644546237</v>
      </c>
      <c r="AT556" t="e">
        <v>#DIV/0!</v>
      </c>
      <c r="AU556" t="e">
        <v>#DIV/0!</v>
      </c>
      <c r="AV556"/>
      <c r="AW556"/>
      <c r="FY556" s="212">
        <v>551</v>
      </c>
      <c r="FZ556">
        <v>1.2566743099780382</v>
      </c>
      <c r="GA556">
        <v>16.553786961037229</v>
      </c>
      <c r="GB556">
        <v>18.33392628838304</v>
      </c>
      <c r="GC556">
        <v>7.0918434143157434</v>
      </c>
      <c r="GD556">
        <v>1.8647170935266837</v>
      </c>
      <c r="GE556">
        <v>1.0784342883152076</v>
      </c>
      <c r="GF556">
        <v>2.4041450295894737</v>
      </c>
      <c r="GG556">
        <v>9.8961278951727252</v>
      </c>
      <c r="GH556">
        <v>3.245920257062465</v>
      </c>
      <c r="GI556">
        <v>11.976850255487395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13.882414215686273</v>
      </c>
      <c r="AO557">
        <v>24.06491505330272</v>
      </c>
      <c r="AP557">
        <v>538.30501162862413</v>
      </c>
      <c r="AQ557">
        <v>56.500526991250254</v>
      </c>
      <c r="AR557">
        <v>21.877195503002472</v>
      </c>
      <c r="AS557">
        <v>141.63681787126669</v>
      </c>
      <c r="AT557" t="e">
        <v>#DIV/0!</v>
      </c>
      <c r="AU557" t="e">
        <v>#DIV/0!</v>
      </c>
      <c r="AV557"/>
      <c r="AW557"/>
      <c r="FY557" s="212">
        <v>552</v>
      </c>
      <c r="FZ557">
        <v>2.3928363966439363</v>
      </c>
      <c r="GA557">
        <v>12.673167194705517</v>
      </c>
      <c r="GB557">
        <v>7.5940425230697839</v>
      </c>
      <c r="GC557">
        <v>3.0708281406830529</v>
      </c>
      <c r="GD557">
        <v>1.5773944335510295</v>
      </c>
      <c r="GE557">
        <v>0.71895619221013829</v>
      </c>
      <c r="GF557">
        <v>0</v>
      </c>
      <c r="GG557">
        <v>0.57818975631584713</v>
      </c>
      <c r="GH557">
        <v>0</v>
      </c>
      <c r="GI557">
        <v>5.8558329266362792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9.1691789215686264</v>
      </c>
      <c r="AO558">
        <v>20.048324375390479</v>
      </c>
      <c r="AP558">
        <v>794.09068341469651</v>
      </c>
      <c r="AQ558">
        <v>38.74693599558308</v>
      </c>
      <c r="AR558">
        <v>18.259729704273958</v>
      </c>
      <c r="AS558">
        <v>93.99411957181276</v>
      </c>
      <c r="AT558" t="e">
        <v>#DIV/0!</v>
      </c>
      <c r="AU558" t="e">
        <v>#DIV/0!</v>
      </c>
      <c r="AV558"/>
      <c r="AW558"/>
      <c r="FY558" s="212">
        <v>553</v>
      </c>
      <c r="FZ558">
        <v>1.10256564173008</v>
      </c>
      <c r="GA558">
        <v>15.799747236783553</v>
      </c>
      <c r="GB558">
        <v>13.524691090916766</v>
      </c>
      <c r="GC558">
        <v>5.0891249918853267</v>
      </c>
      <c r="GD558">
        <v>1.2609694217336567</v>
      </c>
      <c r="GE558">
        <v>0</v>
      </c>
      <c r="GF558">
        <v>1.6027633530596492</v>
      </c>
      <c r="GG558">
        <v>9.1398104196617922</v>
      </c>
      <c r="GH558">
        <v>4.8688803855936991</v>
      </c>
      <c r="GI558">
        <v>9.902749382761213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7.2562499999999996</v>
      </c>
      <c r="AO559">
        <v>27.649239107724089</v>
      </c>
      <c r="AP559">
        <v>715.50144880951677</v>
      </c>
      <c r="AQ559">
        <v>58.607043353633941</v>
      </c>
      <c r="AR559">
        <v>25.169652188213597</v>
      </c>
      <c r="AS559">
        <v>155.76649387476314</v>
      </c>
      <c r="AT559" t="e">
        <v>#DIV/0!</v>
      </c>
      <c r="AU559" t="e">
        <v>#DIV/0!</v>
      </c>
      <c r="AV559"/>
      <c r="AW559"/>
      <c r="FY559" s="212">
        <v>554</v>
      </c>
      <c r="FZ559">
        <v>2.5469450648918941</v>
      </c>
      <c r="GA559">
        <v>18.74007028324754</v>
      </c>
      <c r="GB559">
        <v>17.096159916965696</v>
      </c>
      <c r="GC559">
        <v>5.2205371317889435</v>
      </c>
      <c r="GD559">
        <v>0.64198309804669584</v>
      </c>
      <c r="GE559">
        <v>0.35947809610506914</v>
      </c>
      <c r="GF559">
        <v>0</v>
      </c>
      <c r="GG559">
        <v>0.57818975631584713</v>
      </c>
      <c r="GH559">
        <v>0</v>
      </c>
      <c r="GI559">
        <v>8.0861296415150772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9.9278186274509803</v>
      </c>
      <c r="AO560">
        <v>27.825649692180342</v>
      </c>
      <c r="AP560">
        <v>443.07431541743551</v>
      </c>
      <c r="AQ560">
        <v>60.828410811877276</v>
      </c>
      <c r="AR560">
        <v>25.364005718910985</v>
      </c>
      <c r="AS560">
        <v>144.12316202572399</v>
      </c>
      <c r="AT560" t="e">
        <v>#DIV/0!</v>
      </c>
      <c r="AU560" t="e">
        <v>#DIV/0!</v>
      </c>
      <c r="AV560"/>
      <c r="AW560"/>
      <c r="FY560" s="212">
        <v>555</v>
      </c>
      <c r="FZ560">
        <v>0.89475183689064763</v>
      </c>
      <c r="GA560">
        <v>11.303541273622843</v>
      </c>
      <c r="GB560">
        <v>15.811587034872119</v>
      </c>
      <c r="GC560">
        <v>6.6706102927107853</v>
      </c>
      <c r="GD560">
        <v>1.2968094967586477</v>
      </c>
      <c r="GE560">
        <v>0.35947809610506914</v>
      </c>
      <c r="GF560">
        <v>0.80138167652982462</v>
      </c>
      <c r="GG560">
        <v>3.3224941306074438</v>
      </c>
      <c r="GH560">
        <v>0</v>
      </c>
      <c r="GI560">
        <v>11.279218527848297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9.1715686274509824</v>
      </c>
      <c r="AO561">
        <v>28.013858285966101</v>
      </c>
      <c r="AP561">
        <v>1006.4304234887659</v>
      </c>
      <c r="AQ561">
        <v>55.976562802838821</v>
      </c>
      <c r="AR561">
        <v>25.467143896332821</v>
      </c>
      <c r="AS561">
        <v>250.62603229218107</v>
      </c>
      <c r="AT561" t="e">
        <v>#DIV/0!</v>
      </c>
      <c r="AU561" t="e">
        <v>#DIV/0!</v>
      </c>
      <c r="AV561"/>
      <c r="AW561"/>
      <c r="FY561" s="212">
        <v>556</v>
      </c>
      <c r="FZ561">
        <v>0.72384494617478023</v>
      </c>
      <c r="GA561">
        <v>16.738482690387059</v>
      </c>
      <c r="GB561">
        <v>16.451630807359344</v>
      </c>
      <c r="GC561">
        <v>5.7159816740231362</v>
      </c>
      <c r="GD561">
        <v>1.1147801415751242</v>
      </c>
      <c r="GE561">
        <v>0</v>
      </c>
      <c r="GF561">
        <v>2.4041450295894737</v>
      </c>
      <c r="GG561">
        <v>10.7990897779713</v>
      </c>
      <c r="GH561">
        <v>1.6229601285312325</v>
      </c>
      <c r="GI561">
        <v>13.335436861748054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11.738970588235293</v>
      </c>
      <c r="AO562">
        <v>38.10198314911586</v>
      </c>
      <c r="AP562">
        <v>696.87802217116746</v>
      </c>
      <c r="AQ562">
        <v>43.49930488355978</v>
      </c>
      <c r="AR562">
        <v>34.638166499196231</v>
      </c>
      <c r="AS562">
        <v>229.4332691870049</v>
      </c>
      <c r="AT562" t="e">
        <v>#DIV/0!</v>
      </c>
      <c r="AU562" t="e">
        <v>#DIV/0!</v>
      </c>
      <c r="AV562"/>
      <c r="AW562"/>
      <c r="FY562" s="212">
        <v>557</v>
      </c>
      <c r="FZ562">
        <v>1.8063018962492048</v>
      </c>
      <c r="GA562">
        <v>14.544200760999571</v>
      </c>
      <c r="GB562">
        <v>10.086073535172483</v>
      </c>
      <c r="GC562">
        <v>3.1149869792109626</v>
      </c>
      <c r="GD562">
        <v>0.73548044834107595</v>
      </c>
      <c r="GE562">
        <v>0</v>
      </c>
      <c r="GF562">
        <v>0.80138167652982462</v>
      </c>
      <c r="GG562">
        <v>4.7322912730722599</v>
      </c>
      <c r="GH562">
        <v>1.6229601285312325</v>
      </c>
      <c r="GI562">
        <v>8.2705407454356852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5.1593749999999998</v>
      </c>
      <c r="AO563">
        <v>22.63064109895226</v>
      </c>
      <c r="AP563">
        <v>615.08270474418009</v>
      </c>
      <c r="AQ563">
        <v>46.765903767981193</v>
      </c>
      <c r="AR563">
        <v>20.607290362057388</v>
      </c>
      <c r="AS563">
        <v>153.38012953528852</v>
      </c>
      <c r="AT563" t="e">
        <v>#DIV/0!</v>
      </c>
      <c r="AU563" t="e">
        <v>#DIV/0!</v>
      </c>
      <c r="AV563"/>
      <c r="AW563"/>
      <c r="FY563" s="212">
        <v>558</v>
      </c>
      <c r="FZ563">
        <v>0.87464314523499231</v>
      </c>
      <c r="GA563">
        <v>20.745061172494228</v>
      </c>
      <c r="GB563">
        <v>10.729760296556773</v>
      </c>
      <c r="GC563">
        <v>1.883823741564469</v>
      </c>
      <c r="GD563">
        <v>0.76015671456960499</v>
      </c>
      <c r="GE563">
        <v>0.35947809610506914</v>
      </c>
      <c r="GF563">
        <v>0.80138167652982462</v>
      </c>
      <c r="GG563">
        <v>4.9857089029053814</v>
      </c>
      <c r="GH563">
        <v>3.245920257062465</v>
      </c>
      <c r="GI563">
        <v>16.332282097215586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11.403860294117646</v>
      </c>
      <c r="AO564">
        <v>36.524264827631114</v>
      </c>
      <c r="AP564">
        <v>587.82870541492014</v>
      </c>
      <c r="AQ564">
        <v>61.161089380013564</v>
      </c>
      <c r="AR564">
        <v>33.237857388129086</v>
      </c>
      <c r="AS564">
        <v>173.57590466442477</v>
      </c>
      <c r="AT564" t="e">
        <v>#DIV/0!</v>
      </c>
      <c r="AU564" t="e">
        <v>#DIV/0!</v>
      </c>
      <c r="AV564"/>
      <c r="AW564"/>
      <c r="FY564" s="212">
        <v>559</v>
      </c>
      <c r="FZ564">
        <v>0.72384494617478023</v>
      </c>
      <c r="GA564">
        <v>15.391662917172775</v>
      </c>
      <c r="GB564">
        <v>20.481139533147456</v>
      </c>
      <c r="GC564">
        <v>8.3624257460707181</v>
      </c>
      <c r="GD564">
        <v>1.3655253869593025</v>
      </c>
      <c r="GE564">
        <v>0</v>
      </c>
      <c r="GF564">
        <v>0.80138167652982462</v>
      </c>
      <c r="GG564">
        <v>3.3224941306074438</v>
      </c>
      <c r="GH564">
        <v>0</v>
      </c>
      <c r="GI564">
        <v>10.325001270570588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10.726776960784314</v>
      </c>
      <c r="AO565">
        <v>23.908807356029698</v>
      </c>
      <c r="AP565">
        <v>321.02263126456876</v>
      </c>
      <c r="AQ565">
        <v>59.962351281496701</v>
      </c>
      <c r="AR565">
        <v>21.769259686673244</v>
      </c>
      <c r="AS565">
        <v>133.14371155264266</v>
      </c>
      <c r="AT565" t="e">
        <v>#DIV/0!</v>
      </c>
      <c r="AU565" t="e">
        <v>#DIV/0!</v>
      </c>
      <c r="AV565"/>
      <c r="AW565"/>
      <c r="FY565" s="212">
        <v>560</v>
      </c>
      <c r="FZ565">
        <v>2.0141157010886364</v>
      </c>
      <c r="GA565">
        <v>9.3292385299442593</v>
      </c>
      <c r="GB565">
        <v>10.509284501789525</v>
      </c>
      <c r="GC565">
        <v>4.9768577824328259</v>
      </c>
      <c r="GD565">
        <v>1.1161761155123808</v>
      </c>
      <c r="GE565">
        <v>0.35947809610506914</v>
      </c>
      <c r="GF565">
        <v>0.80138167652982462</v>
      </c>
      <c r="GG565">
        <v>4.1541015167564126</v>
      </c>
      <c r="GH565">
        <v>1.6229601285312325</v>
      </c>
      <c r="GI565">
        <v>12.518939949708432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8.794791666666665</v>
      </c>
      <c r="AO566">
        <v>31.607495395009995</v>
      </c>
      <c r="AP566">
        <v>1287.9486818367186</v>
      </c>
      <c r="AQ566">
        <v>71.458817055376485</v>
      </c>
      <c r="AR566">
        <v>28.80204726693794</v>
      </c>
      <c r="AS566">
        <v>208.04754434235298</v>
      </c>
      <c r="AT566" t="e">
        <v>#DIV/0!</v>
      </c>
      <c r="AU566" t="e">
        <v>#DIV/0!</v>
      </c>
      <c r="AV566"/>
      <c r="AW566"/>
      <c r="FY566" s="212">
        <v>561</v>
      </c>
      <c r="FZ566">
        <v>0.89475183689064763</v>
      </c>
      <c r="GA566">
        <v>19.568691696154943</v>
      </c>
      <c r="GB566">
        <v>15.151001355293324</v>
      </c>
      <c r="GC566">
        <v>4.28724049076457</v>
      </c>
      <c r="GD566">
        <v>0.75467042941980367</v>
      </c>
      <c r="GE566">
        <v>0</v>
      </c>
      <c r="GF566">
        <v>2.4041450295894737</v>
      </c>
      <c r="GG566">
        <v>10.474317651488573</v>
      </c>
      <c r="GH566">
        <v>3.245920257062465</v>
      </c>
      <c r="GI566">
        <v>15.687486613567085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8.1031250000000021</v>
      </c>
      <c r="AO567">
        <v>29.368092913123338</v>
      </c>
      <c r="AP567">
        <v>609.84691569776191</v>
      </c>
      <c r="AQ567">
        <v>73.702425792868013</v>
      </c>
      <c r="AR567">
        <v>26.800207100959952</v>
      </c>
      <c r="AS567">
        <v>198.21457876352585</v>
      </c>
      <c r="AT567" t="e">
        <v>#DIV/0!</v>
      </c>
      <c r="AU567" t="e">
        <v>#DIV/0!</v>
      </c>
      <c r="AV567"/>
      <c r="AW567"/>
      <c r="FY567" s="212">
        <v>562</v>
      </c>
      <c r="FZ567">
        <v>1.46448811481747</v>
      </c>
      <c r="GA567">
        <v>14.14071175217976</v>
      </c>
      <c r="GB567">
        <v>13.746656517643476</v>
      </c>
      <c r="GC567">
        <v>5.0149041304811002</v>
      </c>
      <c r="GD567">
        <v>0.85729717300767361</v>
      </c>
      <c r="GE567">
        <v>0</v>
      </c>
      <c r="GF567">
        <v>0.80138167652982462</v>
      </c>
      <c r="GG567">
        <v>4.7322912730722599</v>
      </c>
      <c r="GH567">
        <v>1.6229601285312325</v>
      </c>
      <c r="GI567">
        <v>10.210225613615474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12.368872549019608</v>
      </c>
      <c r="AO568">
        <v>39.85770044860071</v>
      </c>
      <c r="AP568">
        <v>612.21363182105563</v>
      </c>
      <c r="AQ568">
        <v>34.461247563815583</v>
      </c>
      <c r="AR568">
        <v>36.234273135091549</v>
      </c>
      <c r="AS568">
        <v>154.34082792749365</v>
      </c>
      <c r="AT568" t="e">
        <v>#DIV/0!</v>
      </c>
      <c r="AU568" t="e">
        <v>#DIV/0!</v>
      </c>
      <c r="AV568"/>
      <c r="AW568"/>
      <c r="FY568" s="212">
        <v>563</v>
      </c>
      <c r="FZ568">
        <v>0.3418137814317348</v>
      </c>
      <c r="GA568">
        <v>15.561477890276816</v>
      </c>
      <c r="GB568">
        <v>15.623754519555209</v>
      </c>
      <c r="GC568">
        <v>6.0332687489217038</v>
      </c>
      <c r="GD568">
        <v>1.1568223611098007</v>
      </c>
      <c r="GE568">
        <v>0</v>
      </c>
      <c r="GF568">
        <v>1.6027633530596492</v>
      </c>
      <c r="GG568">
        <v>7.7300132771969778</v>
      </c>
      <c r="GH568">
        <v>3.245920257062465</v>
      </c>
      <c r="GI568">
        <v>12.703252999009466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8.8340686274509785</v>
      </c>
      <c r="AO569">
        <v>25.657609735987677</v>
      </c>
      <c r="AP569">
        <v>896.65413313318754</v>
      </c>
      <c r="AQ569">
        <v>62.29130192412574</v>
      </c>
      <c r="AR569">
        <v>23.359080032089597</v>
      </c>
      <c r="AS569">
        <v>130.19023342349033</v>
      </c>
      <c r="AT569" t="e">
        <v>#DIV/0!</v>
      </c>
      <c r="AU569" t="e">
        <v>#DIV/0!</v>
      </c>
      <c r="AV569"/>
      <c r="AW569"/>
      <c r="FY569" s="212">
        <v>564</v>
      </c>
      <c r="FZ569">
        <v>2.5469450648918941</v>
      </c>
      <c r="GA569">
        <v>21.037510198124675</v>
      </c>
      <c r="GB569">
        <v>12.749719381655005</v>
      </c>
      <c r="GC569">
        <v>3.8540653297338738</v>
      </c>
      <c r="GD569">
        <v>1.3740331569475428</v>
      </c>
      <c r="GE569">
        <v>0.35947809610506914</v>
      </c>
      <c r="GF569">
        <v>0</v>
      </c>
      <c r="GG569">
        <v>1.7345692689475418</v>
      </c>
      <c r="GH569">
        <v>0</v>
      </c>
      <c r="GI569">
        <v>9.5118625988921348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11.87438725490196</v>
      </c>
      <c r="AO570">
        <v>21.105818271897746</v>
      </c>
      <c r="AP570">
        <v>381.4688574809378</v>
      </c>
      <c r="AQ570">
        <v>53.269492988876763</v>
      </c>
      <c r="AR570">
        <v>19.255068064108624</v>
      </c>
      <c r="AS570">
        <v>130.43618044111724</v>
      </c>
      <c r="AT570" t="e">
        <v>#DIV/0!</v>
      </c>
      <c r="AU570" t="e">
        <v>#DIV/0!</v>
      </c>
      <c r="AV570"/>
      <c r="AW570"/>
      <c r="FY570" s="212">
        <v>565</v>
      </c>
      <c r="FZ570">
        <v>1.273472532445947</v>
      </c>
      <c r="GA570">
        <v>12.178973664665163</v>
      </c>
      <c r="GB570">
        <v>19.542526080353749</v>
      </c>
      <c r="GC570">
        <v>7.9774117220852583</v>
      </c>
      <c r="GD570">
        <v>0.64516375771794265</v>
      </c>
      <c r="GE570">
        <v>0</v>
      </c>
      <c r="GF570">
        <v>0.80138167652982462</v>
      </c>
      <c r="GG570">
        <v>5.8173162890543502</v>
      </c>
      <c r="GH570">
        <v>4.8688803855936991</v>
      </c>
      <c r="GI570">
        <v>13.23397227186274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9.0656250000000007</v>
      </c>
      <c r="AO571">
        <v>41.046293961731166</v>
      </c>
      <c r="AP571">
        <v>564.16213125746822</v>
      </c>
      <c r="AQ571">
        <v>51.739872365945672</v>
      </c>
      <c r="AR571">
        <v>37.382773236684457</v>
      </c>
      <c r="AS571">
        <v>251.73267945074664</v>
      </c>
      <c r="AT571" t="e">
        <v>#DIV/0!</v>
      </c>
      <c r="AU571" t="e">
        <v>#DIV/0!</v>
      </c>
      <c r="AV571"/>
      <c r="AW571"/>
      <c r="FY571" s="212">
        <v>566</v>
      </c>
      <c r="FZ571">
        <v>0.72384494617478023</v>
      </c>
      <c r="GA571">
        <v>12.547814540896859</v>
      </c>
      <c r="GB571">
        <v>17.403982919775803</v>
      </c>
      <c r="GC571">
        <v>6.8754636627101569</v>
      </c>
      <c r="GD571">
        <v>1.1115994819038773</v>
      </c>
      <c r="GE571">
        <v>0.35947809610506914</v>
      </c>
      <c r="GF571">
        <v>1.6027633530596492</v>
      </c>
      <c r="GG571">
        <v>6.0667985048990403</v>
      </c>
      <c r="GH571">
        <v>0</v>
      </c>
      <c r="GI571">
        <v>9.4925226805721064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8.7489583333333325</v>
      </c>
      <c r="AO572">
        <v>39.007746763375337</v>
      </c>
      <c r="AP572">
        <v>1560.2905368649081</v>
      </c>
      <c r="AQ572">
        <v>68.906352057359499</v>
      </c>
      <c r="AR572">
        <v>35.529548510906444</v>
      </c>
      <c r="AS572">
        <v>192.98049996468364</v>
      </c>
      <c r="AT572" t="e">
        <v>#DIV/0!</v>
      </c>
      <c r="AU572" t="e">
        <v>#DIV/0!</v>
      </c>
      <c r="AV572"/>
      <c r="AW572"/>
      <c r="FY572" s="212">
        <v>567</v>
      </c>
      <c r="FZ572">
        <v>1.065658727606515</v>
      </c>
      <c r="GA572">
        <v>17.454187410596383</v>
      </c>
      <c r="GB572">
        <v>9.6111578662654917</v>
      </c>
      <c r="GC572">
        <v>2.7097655736403006</v>
      </c>
      <c r="GD572">
        <v>1.2983106645611007</v>
      </c>
      <c r="GE572">
        <v>0.35947809610506914</v>
      </c>
      <c r="GF572">
        <v>0</v>
      </c>
      <c r="GG572">
        <v>1.1563795126316943</v>
      </c>
      <c r="GH572">
        <v>0</v>
      </c>
      <c r="GI572">
        <v>5.9159622723094811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8.7163602941176457</v>
      </c>
      <c r="AO573">
        <v>27.250440882108855</v>
      </c>
      <c r="AP573">
        <v>712.63192828692752</v>
      </c>
      <c r="AQ573">
        <v>45.714217443542296</v>
      </c>
      <c r="AR573">
        <v>24.841088618845994</v>
      </c>
      <c r="AS573">
        <v>144.62930589503904</v>
      </c>
      <c r="AT573" t="e">
        <v>#DIV/0!</v>
      </c>
      <c r="AU573" t="e">
        <v>#DIV/0!</v>
      </c>
      <c r="AV573"/>
      <c r="AW573"/>
      <c r="FY573" s="212">
        <v>568</v>
      </c>
      <c r="FZ573">
        <v>1.8063018962492046</v>
      </c>
      <c r="GA573">
        <v>11.358239667040053</v>
      </c>
      <c r="GB573">
        <v>12.481903428680146</v>
      </c>
      <c r="GC573">
        <v>5.8342798630401056</v>
      </c>
      <c r="GD573">
        <v>1.839828108594695</v>
      </c>
      <c r="GE573">
        <v>0.71895619221013829</v>
      </c>
      <c r="GF573">
        <v>2.4041450295894737</v>
      </c>
      <c r="GG573">
        <v>10.7990897779713</v>
      </c>
      <c r="GH573">
        <v>1.6229601285312325</v>
      </c>
      <c r="GI573">
        <v>12.677230777809216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10.753125000000001</v>
      </c>
      <c r="AO574">
        <v>46.153597097109419</v>
      </c>
      <c r="AP574">
        <v>526.88842412638019</v>
      </c>
      <c r="AQ574">
        <v>60.718216100238394</v>
      </c>
      <c r="AR574">
        <v>41.991795814927535</v>
      </c>
      <c r="AS574">
        <v>234.16845679310026</v>
      </c>
      <c r="AT574" t="e">
        <v>#DIV/0!</v>
      </c>
      <c r="AU574" t="e">
        <v>#DIV/0!</v>
      </c>
      <c r="AV574"/>
      <c r="AW574"/>
      <c r="FY574" s="212">
        <v>569</v>
      </c>
      <c r="FZ574">
        <v>0.91155005935855693</v>
      </c>
      <c r="GA574">
        <v>17.026855119520032</v>
      </c>
      <c r="GB574">
        <v>11.599685773402511</v>
      </c>
      <c r="GC574">
        <v>3.4689403449613789</v>
      </c>
      <c r="GD574">
        <v>1.4763955318374089</v>
      </c>
      <c r="GE574">
        <v>1.0784342883152076</v>
      </c>
      <c r="GF574">
        <v>0</v>
      </c>
      <c r="GG574">
        <v>1.7345692689475418</v>
      </c>
      <c r="GH574">
        <v>0</v>
      </c>
      <c r="GI574">
        <v>6.3356224706742603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8.732291666666665</v>
      </c>
      <c r="AO575">
        <v>32.730471565575428</v>
      </c>
      <c r="AP575">
        <v>724.71985311386356</v>
      </c>
      <c r="AQ575">
        <v>60.773475607232896</v>
      </c>
      <c r="AR575">
        <v>29.822934694724701</v>
      </c>
      <c r="AS575">
        <v>217.37873873860326</v>
      </c>
      <c r="AT575" t="e">
        <v>#DIV/0!</v>
      </c>
      <c r="AU575" t="e">
        <v>#DIV/0!</v>
      </c>
      <c r="AV575"/>
      <c r="AW575"/>
      <c r="FY575" s="212">
        <v>570</v>
      </c>
      <c r="FZ575">
        <v>0.53282936380325752</v>
      </c>
      <c r="GA575">
        <v>8.6220272869840322</v>
      </c>
      <c r="GB575">
        <v>11.014750912628195</v>
      </c>
      <c r="GC575">
        <v>5.8247816966969168</v>
      </c>
      <c r="GD575">
        <v>1.9330565798865598</v>
      </c>
      <c r="GE575">
        <v>0</v>
      </c>
      <c r="GF575">
        <v>0</v>
      </c>
      <c r="GG575">
        <v>1.4097971424648157</v>
      </c>
      <c r="GH575">
        <v>1.6229601285312325</v>
      </c>
      <c r="GI575">
        <v>7.2882142904481881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12.721262254901958</v>
      </c>
      <c r="AO576">
        <v>38.631958299297722</v>
      </c>
      <c r="AP576">
        <v>557.85318992213172</v>
      </c>
      <c r="AQ576">
        <v>47.402533998398603</v>
      </c>
      <c r="AR576">
        <v>35.153942362371453</v>
      </c>
      <c r="AS576">
        <v>199.78072015954268</v>
      </c>
      <c r="AT576" t="e">
        <v>#DIV/0!</v>
      </c>
      <c r="AU576" t="e">
        <v>#DIV/0!</v>
      </c>
      <c r="AV576"/>
      <c r="AW576"/>
      <c r="FY576" s="212">
        <v>571</v>
      </c>
      <c r="FZ576">
        <v>0</v>
      </c>
      <c r="GA576">
        <v>18.399884336988915</v>
      </c>
      <c r="GB576">
        <v>20.975124834442099</v>
      </c>
      <c r="GC576">
        <v>7.0755219144742911</v>
      </c>
      <c r="GD576">
        <v>1.0055231996422456</v>
      </c>
      <c r="GE576">
        <v>0.35947809610506914</v>
      </c>
      <c r="GF576">
        <v>3.2055267061192985</v>
      </c>
      <c r="GG576">
        <v>11.808824883315356</v>
      </c>
      <c r="GH576">
        <v>1.6229601285312325</v>
      </c>
      <c r="GI576">
        <v>12.204652927645975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9.9885416666666664</v>
      </c>
      <c r="AO577">
        <v>38.3650210839171</v>
      </c>
      <c r="AP577">
        <v>922.87992549093428</v>
      </c>
      <c r="AQ577">
        <v>72.468225360230889</v>
      </c>
      <c r="AR577">
        <v>34.945252438671673</v>
      </c>
      <c r="AS577">
        <v>196.82131381541035</v>
      </c>
      <c r="AT577" t="e">
        <v>#DIV/0!</v>
      </c>
      <c r="AU577" t="e">
        <v>#DIV/0!</v>
      </c>
      <c r="AV577"/>
      <c r="AW577"/>
      <c r="FY577" s="212">
        <v>572</v>
      </c>
      <c r="FZ577">
        <v>1.4275812006939055</v>
      </c>
      <c r="GA577">
        <v>17.625243769438182</v>
      </c>
      <c r="GB577">
        <v>16.65663910160071</v>
      </c>
      <c r="GC577">
        <v>5.6785544614795418</v>
      </c>
      <c r="GD577">
        <v>1.1215008948563074</v>
      </c>
      <c r="GE577">
        <v>0.35947809610506914</v>
      </c>
      <c r="GF577">
        <v>0</v>
      </c>
      <c r="GG577">
        <v>0</v>
      </c>
      <c r="GH577">
        <v>0</v>
      </c>
      <c r="GI577">
        <v>10.191917854532013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9.7476102941176457</v>
      </c>
      <c r="AO578">
        <v>39.082136190562828</v>
      </c>
      <c r="AP578">
        <v>834.80129430702493</v>
      </c>
      <c r="AQ578">
        <v>52.590916379878266</v>
      </c>
      <c r="AR578">
        <v>35.597175262895071</v>
      </c>
      <c r="AS578">
        <v>210.19657691139841</v>
      </c>
      <c r="AT578" t="e">
        <v>#DIV/0!</v>
      </c>
      <c r="AU578" t="e">
        <v>#DIV/0!</v>
      </c>
      <c r="AV578"/>
      <c r="AW578"/>
      <c r="FY578" s="212">
        <v>573</v>
      </c>
      <c r="FZ578">
        <v>2.1850225918045041</v>
      </c>
      <c r="GA578">
        <v>15.866324900677537</v>
      </c>
      <c r="GB578">
        <v>13.901831142720294</v>
      </c>
      <c r="GC578">
        <v>4.3185734928979951</v>
      </c>
      <c r="GD578">
        <v>0.72352764998358499</v>
      </c>
      <c r="GE578">
        <v>0.71895619221013829</v>
      </c>
      <c r="GF578">
        <v>0.80138167652982462</v>
      </c>
      <c r="GG578">
        <v>5.3104810293881073</v>
      </c>
      <c r="GH578">
        <v>1.6229601285312325</v>
      </c>
      <c r="GI578">
        <v>7.9075080683502952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9.0375000000000014</v>
      </c>
      <c r="AO579">
        <v>30.382543239892108</v>
      </c>
      <c r="AP579">
        <v>682.62040667573183</v>
      </c>
      <c r="AQ579">
        <v>63.999087187623829</v>
      </c>
      <c r="AR579">
        <v>27.620493854447364</v>
      </c>
      <c r="AS579">
        <v>342.78654514981673</v>
      </c>
      <c r="AT579" t="e">
        <v>#DIV/0!</v>
      </c>
      <c r="AU579" t="e">
        <v>#DIV/0!</v>
      </c>
      <c r="AV579"/>
      <c r="AW579"/>
      <c r="FY579" s="212">
        <v>574</v>
      </c>
      <c r="FZ579">
        <v>1.4443794231618146</v>
      </c>
      <c r="GA579">
        <v>12.651491240680006</v>
      </c>
      <c r="GB579">
        <v>11.185624973216585</v>
      </c>
      <c r="GC579">
        <v>4.2327508348624754</v>
      </c>
      <c r="GD579">
        <v>1.0315560977694411</v>
      </c>
      <c r="GE579">
        <v>0</v>
      </c>
      <c r="GF579">
        <v>1.6027633530596492</v>
      </c>
      <c r="GG579">
        <v>6.8984058910480091</v>
      </c>
      <c r="GH579">
        <v>1.6229601285312325</v>
      </c>
      <c r="GI579">
        <v>7.3231439112181542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12.082720588235293</v>
      </c>
      <c r="AO580">
        <v>31.911773748500014</v>
      </c>
      <c r="AP580">
        <v>819.04454117863315</v>
      </c>
      <c r="AQ580">
        <v>53.168183095297735</v>
      </c>
      <c r="AR580">
        <v>29.078663951928867</v>
      </c>
      <c r="AS580">
        <v>279.63888077659129</v>
      </c>
      <c r="AT580" t="e">
        <v>#DIV/0!</v>
      </c>
      <c r="AU580" t="e">
        <v>#DIV/0!</v>
      </c>
      <c r="AV580"/>
      <c r="AW580"/>
      <c r="FY580" s="212">
        <v>575</v>
      </c>
      <c r="FZ580">
        <v>0.74064316864268975</v>
      </c>
      <c r="GA580">
        <v>23.079025929468198</v>
      </c>
      <c r="GB580">
        <v>23.543796950956992</v>
      </c>
      <c r="GC580">
        <v>7.7429013208979249</v>
      </c>
      <c r="GD580">
        <v>1.1185869348561317</v>
      </c>
      <c r="GE580">
        <v>0.71895619221013829</v>
      </c>
      <c r="GF580">
        <v>0.80138167652982462</v>
      </c>
      <c r="GG580">
        <v>2.7443043742915965</v>
      </c>
      <c r="GH580">
        <v>0</v>
      </c>
      <c r="GI580">
        <v>11.739849792277951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12.372610294117647</v>
      </c>
      <c r="AO581">
        <v>43.33099159549208</v>
      </c>
      <c r="AP581">
        <v>604.32878075377289</v>
      </c>
      <c r="AQ581">
        <v>66.33909838030867</v>
      </c>
      <c r="AR581">
        <v>39.425790813457219</v>
      </c>
      <c r="AS581">
        <v>195.08010742666724</v>
      </c>
      <c r="AT581" t="e">
        <v>#DIV/0!</v>
      </c>
      <c r="AU581" t="e">
        <v>#DIV/0!</v>
      </c>
      <c r="AV581"/>
      <c r="AW581"/>
      <c r="FY581" s="212">
        <v>576</v>
      </c>
      <c r="FZ581">
        <v>1.8231001187171139</v>
      </c>
      <c r="GA581">
        <v>20.417395928649171</v>
      </c>
      <c r="GB581">
        <v>15.756985763709748</v>
      </c>
      <c r="GC581">
        <v>4.6888750703188489</v>
      </c>
      <c r="GD581">
        <v>1.0160653851334578</v>
      </c>
      <c r="GE581">
        <v>0.35947809610506914</v>
      </c>
      <c r="GF581">
        <v>0.80138167652982462</v>
      </c>
      <c r="GG581">
        <v>4.407519146589534</v>
      </c>
      <c r="GH581">
        <v>3.245920257062465</v>
      </c>
      <c r="GI581">
        <v>7.5713641292830616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7.0895833333333345</v>
      </c>
      <c r="AO582">
        <v>30.930746421990641</v>
      </c>
      <c r="AP582">
        <v>838.85487799895736</v>
      </c>
      <c r="AQ582">
        <v>56.184268186097356</v>
      </c>
      <c r="AR582">
        <v>28.186820927829441</v>
      </c>
      <c r="AS582">
        <v>186.57668257176431</v>
      </c>
      <c r="AT582" t="e">
        <v>#DIV/0!</v>
      </c>
      <c r="AU582" t="e">
        <v>#DIV/0!</v>
      </c>
      <c r="AV582"/>
      <c r="AW582"/>
      <c r="FY582" s="212">
        <v>577</v>
      </c>
      <c r="FZ582">
        <v>0.70373625451912492</v>
      </c>
      <c r="GA582">
        <v>22.391698672327756</v>
      </c>
      <c r="GB582">
        <v>22.636182668623267</v>
      </c>
      <c r="GC582">
        <v>7.7153398345009201</v>
      </c>
      <c r="GD582">
        <v>1.6510633612009669</v>
      </c>
      <c r="GE582">
        <v>1.0784342883152076</v>
      </c>
      <c r="GF582">
        <v>0</v>
      </c>
      <c r="GG582">
        <v>2.8195942849296314</v>
      </c>
      <c r="GH582">
        <v>3.245920257062465</v>
      </c>
      <c r="GI582">
        <v>11.625198885147766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5.7500000000000009</v>
      </c>
      <c r="AO583">
        <v>24.252564410497168</v>
      </c>
      <c r="AP583">
        <v>613.36720202339427</v>
      </c>
      <c r="AQ583">
        <v>39.570900123716036</v>
      </c>
      <c r="AR583">
        <v>22.115746371926281</v>
      </c>
      <c r="AS583">
        <v>130.06371165330725</v>
      </c>
      <c r="AT583" t="e">
        <v>#DIV/0!</v>
      </c>
      <c r="AU583" t="e">
        <v>#DIV/0!</v>
      </c>
      <c r="AV583"/>
      <c r="AW583"/>
      <c r="FY583" s="212">
        <v>578</v>
      </c>
      <c r="FZ583">
        <v>1.10256564173008</v>
      </c>
      <c r="GA583">
        <v>27.600718665439242</v>
      </c>
      <c r="GB583">
        <v>22.478026847871</v>
      </c>
      <c r="GC583">
        <v>6.2589863761594362</v>
      </c>
      <c r="GD583">
        <v>0.98762166766251125</v>
      </c>
      <c r="GE583">
        <v>0.35947809610506914</v>
      </c>
      <c r="GF583">
        <v>0.80138167652982462</v>
      </c>
      <c r="GG583">
        <v>2.7443043742915965</v>
      </c>
      <c r="GH583">
        <v>0</v>
      </c>
      <c r="GI583">
        <v>12.819155293535573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11.680943627450977</v>
      </c>
      <c r="AO584">
        <v>42.05775597335321</v>
      </c>
      <c r="AP584">
        <v>1328.6549858770277</v>
      </c>
      <c r="AQ584">
        <v>61.542934869715566</v>
      </c>
      <c r="AR584">
        <v>38.302284156340868</v>
      </c>
      <c r="AS584">
        <v>191.90955422166292</v>
      </c>
      <c r="AT584" t="e">
        <v>#DIV/0!</v>
      </c>
      <c r="AU584" t="e">
        <v>#DIV/0!</v>
      </c>
      <c r="AV584"/>
      <c r="AW584"/>
      <c r="FY584" s="212">
        <v>579</v>
      </c>
      <c r="FZ584">
        <v>1.4812863372853795</v>
      </c>
      <c r="GA584">
        <v>17.448060095345348</v>
      </c>
      <c r="GB584">
        <v>13.48053349690205</v>
      </c>
      <c r="GC584">
        <v>4.5791587783966756</v>
      </c>
      <c r="GD584">
        <v>1.2998309815970863</v>
      </c>
      <c r="GE584">
        <v>0.35947809610506914</v>
      </c>
      <c r="GF584">
        <v>0.80138167652982462</v>
      </c>
      <c r="GG584">
        <v>6.0707339188874716</v>
      </c>
      <c r="GH584">
        <v>6.49184051412493</v>
      </c>
      <c r="GI584">
        <v>7.6450778558685553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8.2132352941176485</v>
      </c>
      <c r="AO585">
        <v>29.486874158614739</v>
      </c>
      <c r="AP585">
        <v>858.27663252435809</v>
      </c>
      <c r="AQ585">
        <v>43.632052857016902</v>
      </c>
      <c r="AR585">
        <v>26.806249235104303</v>
      </c>
      <c r="AS585">
        <v>121.74998850531411</v>
      </c>
      <c r="AT585" t="e">
        <v>#DIV/0!</v>
      </c>
      <c r="AU585" t="e">
        <v>#DIV/0!</v>
      </c>
      <c r="AV585"/>
      <c r="AW585"/>
      <c r="FY585" s="212">
        <v>580</v>
      </c>
      <c r="FZ585">
        <v>0.3418137814317348</v>
      </c>
      <c r="GA585">
        <v>15.096495980843338</v>
      </c>
      <c r="GB585">
        <v>18.319119560047575</v>
      </c>
      <c r="GC585">
        <v>7.8518346419882254</v>
      </c>
      <c r="GD585">
        <v>1.735431318201857</v>
      </c>
      <c r="GE585">
        <v>0.35947809610506914</v>
      </c>
      <c r="GF585">
        <v>2.4041450295894737</v>
      </c>
      <c r="GG585">
        <v>9.6427102653396055</v>
      </c>
      <c r="GH585">
        <v>1.6229601285312325</v>
      </c>
      <c r="GI585">
        <v>17.671062628874925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6.2812499999999991</v>
      </c>
      <c r="AO586">
        <v>29.66620396984667</v>
      </c>
      <c r="AP586">
        <v>437.04382684057532</v>
      </c>
      <c r="AQ586">
        <v>38.248417401443191</v>
      </c>
      <c r="AR586">
        <v>27.003256608325032</v>
      </c>
      <c r="AS586">
        <v>199.2945656370544</v>
      </c>
      <c r="AT586" t="e">
        <v>#DIV/0!</v>
      </c>
      <c r="AU586" t="e">
        <v>#DIV/0!</v>
      </c>
      <c r="AV586"/>
      <c r="AW586"/>
      <c r="FY586" s="212">
        <v>581</v>
      </c>
      <c r="FZ586">
        <v>0.36192247308739012</v>
      </c>
      <c r="GA586">
        <v>23.263171076350062</v>
      </c>
      <c r="GB586">
        <v>17.593609961446425</v>
      </c>
      <c r="GC586">
        <v>4.45001070311248</v>
      </c>
      <c r="GD586">
        <v>0.71262820988512698</v>
      </c>
      <c r="GE586">
        <v>0</v>
      </c>
      <c r="GF586">
        <v>1.6027633530596492</v>
      </c>
      <c r="GG586">
        <v>6.3202161347321617</v>
      </c>
      <c r="GH586">
        <v>1.6229601285312325</v>
      </c>
      <c r="GI586">
        <v>13.232920181573128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9.0124999999999993</v>
      </c>
      <c r="AO587">
        <v>37.602399973427033</v>
      </c>
      <c r="AP587">
        <v>1086.046883889295</v>
      </c>
      <c r="AQ587">
        <v>76.657497027264498</v>
      </c>
      <c r="AR587">
        <v>34.183999975842752</v>
      </c>
      <c r="AS587">
        <v>184.8170610150321</v>
      </c>
      <c r="AT587" t="e">
        <v>#DIV/0!</v>
      </c>
      <c r="AU587" t="e">
        <v>#DIV/0!</v>
      </c>
      <c r="AV587"/>
      <c r="AW587"/>
      <c r="FY587" s="212">
        <v>582</v>
      </c>
      <c r="FZ587">
        <v>2.2219295059280695</v>
      </c>
      <c r="GA587">
        <v>11.511561865134563</v>
      </c>
      <c r="GB587">
        <v>8.5723215691048349</v>
      </c>
      <c r="GC587">
        <v>3.535903230327059</v>
      </c>
      <c r="GD587">
        <v>0.8359652515877104</v>
      </c>
      <c r="GE587">
        <v>0</v>
      </c>
      <c r="GF587">
        <v>2.4041450295894737</v>
      </c>
      <c r="GG587">
        <v>9.6427102653396055</v>
      </c>
      <c r="GH587">
        <v>1.6229601285312325</v>
      </c>
      <c r="GI587">
        <v>12.080541647283857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8.4583333333333321</v>
      </c>
      <c r="AO588">
        <v>24.479880060518941</v>
      </c>
      <c r="AP588">
        <v>186.1750433738506</v>
      </c>
      <c r="AQ588">
        <v>53.060915378705729</v>
      </c>
      <c r="AR588">
        <v>22.356377234955957</v>
      </c>
      <c r="AS588">
        <v>153.05320236846808</v>
      </c>
      <c r="AT588" t="e">
        <v>#DIV/0!</v>
      </c>
      <c r="AU588" t="e">
        <v>#DIV/0!</v>
      </c>
      <c r="AV588"/>
      <c r="AW588"/>
      <c r="FY588" s="212">
        <v>583</v>
      </c>
      <c r="FZ588">
        <v>2.0141157010886364</v>
      </c>
      <c r="GA588">
        <v>14.176601270505635</v>
      </c>
      <c r="GB588">
        <v>13.909324170992134</v>
      </c>
      <c r="GC588">
        <v>5.3018651865546467</v>
      </c>
      <c r="GD588">
        <v>0.85322601102866191</v>
      </c>
      <c r="GE588">
        <v>0</v>
      </c>
      <c r="GF588">
        <v>3.2055267061192985</v>
      </c>
      <c r="GG588">
        <v>13.472039655613294</v>
      </c>
      <c r="GH588">
        <v>4.8688803855936991</v>
      </c>
      <c r="GI588">
        <v>15.331314321276269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11.367095588235292</v>
      </c>
      <c r="AO589">
        <v>22.935616031568479</v>
      </c>
      <c r="AP589">
        <v>941.7469069365186</v>
      </c>
      <c r="AQ589">
        <v>53.356566873093513</v>
      </c>
      <c r="AR589">
        <v>20.884540300799411</v>
      </c>
      <c r="AS589">
        <v>150.35375680818515</v>
      </c>
      <c r="AT589" t="e">
        <v>#DIV/0!</v>
      </c>
      <c r="AU589" t="e">
        <v>#DIV/0!</v>
      </c>
      <c r="AV589"/>
      <c r="AW589"/>
      <c r="FY589" s="212">
        <v>584</v>
      </c>
      <c r="FZ589">
        <v>1.4812863372853795</v>
      </c>
      <c r="GA589">
        <v>15.231528018140011</v>
      </c>
      <c r="GB589">
        <v>20.422487721263622</v>
      </c>
      <c r="GC589">
        <v>7.8582584920962413</v>
      </c>
      <c r="GD589">
        <v>0.74246790129333029</v>
      </c>
      <c r="GE589">
        <v>0.35947809610506914</v>
      </c>
      <c r="GF589">
        <v>0</v>
      </c>
      <c r="GG589">
        <v>2.8909487815792358</v>
      </c>
      <c r="GH589">
        <v>0</v>
      </c>
      <c r="GI589">
        <v>12.728514258703699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8.3653186274509803</v>
      </c>
      <c r="AO590">
        <v>27.583108479031601</v>
      </c>
      <c r="AP590">
        <v>730.27409245740591</v>
      </c>
      <c r="AQ590">
        <v>47.993075853547367</v>
      </c>
      <c r="AR590">
        <v>25.109533434856786</v>
      </c>
      <c r="AS590">
        <v>126.61889262933023</v>
      </c>
      <c r="AT590" t="e">
        <v>#DIV/0!</v>
      </c>
      <c r="AU590" t="e">
        <v>#DIV/0!</v>
      </c>
      <c r="AV590"/>
      <c r="AW590"/>
      <c r="FY590" s="212">
        <v>585</v>
      </c>
      <c r="FZ590">
        <v>1.10256564173008</v>
      </c>
      <c r="GA590">
        <v>21.922071390187046</v>
      </c>
      <c r="GB590">
        <v>14.857445547308153</v>
      </c>
      <c r="GC590">
        <v>2.8895070239419036</v>
      </c>
      <c r="GD590">
        <v>0.2927874649188551</v>
      </c>
      <c r="GE590">
        <v>0</v>
      </c>
      <c r="GF590">
        <v>0.80138167652982462</v>
      </c>
      <c r="GG590">
        <v>2.7443043742915965</v>
      </c>
      <c r="GH590">
        <v>0</v>
      </c>
      <c r="GI590">
        <v>6.3958824604473801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11.247610294117646</v>
      </c>
      <c r="AO591">
        <v>28.700770776799807</v>
      </c>
      <c r="AP591">
        <v>325.18273180642029</v>
      </c>
      <c r="AQ591">
        <v>72.229446340131446</v>
      </c>
      <c r="AR591">
        <v>26.091609797090733</v>
      </c>
      <c r="AS591">
        <v>174.41765827741801</v>
      </c>
      <c r="AT591" t="e">
        <v>#DIV/0!</v>
      </c>
      <c r="AU591" t="e">
        <v>#DIV/0!</v>
      </c>
      <c r="AV591"/>
      <c r="AW591"/>
      <c r="FY591" s="212">
        <v>586</v>
      </c>
      <c r="FZ591">
        <v>1.46448811481747</v>
      </c>
      <c r="GA591">
        <v>14.679918183983462</v>
      </c>
      <c r="GB591">
        <v>12.426040261295444</v>
      </c>
      <c r="GC591">
        <v>3.7954355054666427</v>
      </c>
      <c r="GD591">
        <v>0.59079233598499648</v>
      </c>
      <c r="GE591">
        <v>0</v>
      </c>
      <c r="GF591">
        <v>0.80138167652982462</v>
      </c>
      <c r="GG591">
        <v>3.5759117604405652</v>
      </c>
      <c r="GH591">
        <v>1.6229601285312325</v>
      </c>
      <c r="GI591">
        <v>8.2403985626135494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10.992095588235296</v>
      </c>
      <c r="AO592">
        <v>14.772010507094071</v>
      </c>
      <c r="AP592">
        <v>276.40385395805839</v>
      </c>
      <c r="AQ592">
        <v>60.088085572098301</v>
      </c>
      <c r="AR592">
        <v>13.429100460994611</v>
      </c>
      <c r="AS592">
        <v>91.697487959720135</v>
      </c>
      <c r="AT592" t="e">
        <v>#DIV/0!</v>
      </c>
      <c r="AU592" t="e">
        <v>#DIV/0!</v>
      </c>
      <c r="AV592"/>
      <c r="AW592"/>
      <c r="FY592" s="212">
        <v>587</v>
      </c>
      <c r="FZ592">
        <v>1.8432088103727695</v>
      </c>
      <c r="GA592">
        <v>15.555350575025781</v>
      </c>
      <c r="GB592">
        <v>14.038003897528922</v>
      </c>
      <c r="GC592">
        <v>4.7032579348586774</v>
      </c>
      <c r="GD592">
        <v>0.73548044834107595</v>
      </c>
      <c r="GE592">
        <v>0</v>
      </c>
      <c r="GF592">
        <v>0.80138167652982462</v>
      </c>
      <c r="GG592">
        <v>4.7322912730722599</v>
      </c>
      <c r="GH592">
        <v>1.6229601285312325</v>
      </c>
      <c r="GI592">
        <v>9.4086494663918998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9.8749999999999964</v>
      </c>
      <c r="AO593">
        <v>30.69578025170502</v>
      </c>
      <c r="AP593">
        <v>617.11852403373609</v>
      </c>
      <c r="AQ593">
        <v>73.867168506627095</v>
      </c>
      <c r="AR593">
        <v>27.939235046378073</v>
      </c>
      <c r="AS593">
        <v>183.64510896470452</v>
      </c>
      <c r="AT593" t="e">
        <v>#DIV/0!</v>
      </c>
      <c r="AU593" t="e">
        <v>#DIV/0!</v>
      </c>
      <c r="AV593"/>
      <c r="AW593"/>
      <c r="FY593" s="212">
        <v>588</v>
      </c>
      <c r="FZ593">
        <v>0.3418137814317348</v>
      </c>
      <c r="GA593">
        <v>20.156876434324587</v>
      </c>
      <c r="GB593">
        <v>24.512534250510345</v>
      </c>
      <c r="GC593">
        <v>8.6138641325407423</v>
      </c>
      <c r="GD593">
        <v>1.1800510034065281</v>
      </c>
      <c r="GE593">
        <v>0.71895619221013829</v>
      </c>
      <c r="GF593">
        <v>0.80138167652982462</v>
      </c>
      <c r="GG593">
        <v>3.3224941306074438</v>
      </c>
      <c r="GH593">
        <v>0</v>
      </c>
      <c r="GI593">
        <v>9.7038183131888083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11.278860294117646</v>
      </c>
      <c r="AO594">
        <v>30.06150519203511</v>
      </c>
      <c r="AP594">
        <v>402.79698310591658</v>
      </c>
      <c r="AQ594">
        <v>75.152238639324324</v>
      </c>
      <c r="AR594">
        <v>27.362621355769075</v>
      </c>
      <c r="AS594">
        <v>171.77384276364791</v>
      </c>
      <c r="AT594" t="e">
        <v>#DIV/0!</v>
      </c>
      <c r="AU594" t="e">
        <v>#DIV/0!</v>
      </c>
      <c r="AV594"/>
      <c r="AW594"/>
      <c r="FY594" s="212">
        <v>589</v>
      </c>
      <c r="FZ594">
        <v>0.53282936380325752</v>
      </c>
      <c r="GA594">
        <v>17.657692015037547</v>
      </c>
      <c r="GB594">
        <v>21.112494581307743</v>
      </c>
      <c r="GC594">
        <v>7.1940451670947985</v>
      </c>
      <c r="GD594">
        <v>0.65225640453539302</v>
      </c>
      <c r="GE594">
        <v>0</v>
      </c>
      <c r="GF594">
        <v>1.6027633530596492</v>
      </c>
      <c r="GG594">
        <v>8.3082030335128252</v>
      </c>
      <c r="GH594">
        <v>3.245920257062465</v>
      </c>
      <c r="GI594">
        <v>10.46186129387778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11.106678921568626</v>
      </c>
      <c r="AO595">
        <v>20.867247404342145</v>
      </c>
      <c r="AP595">
        <v>341.05645852389887</v>
      </c>
      <c r="AQ595">
        <v>59.657381751042386</v>
      </c>
      <c r="AR595">
        <v>18.970224913038315</v>
      </c>
      <c r="AS595">
        <v>121.46217089001719</v>
      </c>
      <c r="AT595" t="e">
        <v>#DIV/0!</v>
      </c>
      <c r="AU595" t="e">
        <v>#DIV/0!</v>
      </c>
      <c r="AV595"/>
      <c r="AW595"/>
      <c r="FY595" s="212">
        <v>590</v>
      </c>
      <c r="FZ595">
        <v>0.53282936380325752</v>
      </c>
      <c r="GA595">
        <v>11.942464418189681</v>
      </c>
      <c r="GB595">
        <v>16.213890626400719</v>
      </c>
      <c r="GC595">
        <v>7.0246946027844377</v>
      </c>
      <c r="GD595">
        <v>1.4958498816141401</v>
      </c>
      <c r="GE595">
        <v>0.35947809610506914</v>
      </c>
      <c r="GF595">
        <v>0</v>
      </c>
      <c r="GG595">
        <v>0.57818975631584713</v>
      </c>
      <c r="GH595">
        <v>0</v>
      </c>
      <c r="GI595">
        <v>9.1998293875927271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12.082291666666665</v>
      </c>
      <c r="AO596">
        <v>46.937917994507465</v>
      </c>
      <c r="AP596">
        <v>889.60605748080548</v>
      </c>
      <c r="AQ596">
        <v>75.045051430953038</v>
      </c>
      <c r="AR596">
        <v>42.670834540461328</v>
      </c>
      <c r="AS596">
        <v>228.66743390461193</v>
      </c>
      <c r="AT596" t="e">
        <v>#DIV/0!</v>
      </c>
      <c r="AU596" t="e">
        <v>#DIV/0!</v>
      </c>
      <c r="AV596"/>
      <c r="AW596"/>
      <c r="FY596" s="212">
        <v>591</v>
      </c>
      <c r="FZ596">
        <v>1.2365656183223823</v>
      </c>
      <c r="GA596">
        <v>18.868275650974439</v>
      </c>
      <c r="GB596">
        <v>11.379902298987911</v>
      </c>
      <c r="GC596">
        <v>3.2636346372819189</v>
      </c>
      <c r="GD596">
        <v>1.3815347083667833</v>
      </c>
      <c r="GE596">
        <v>0.35947809610506914</v>
      </c>
      <c r="GF596">
        <v>0.80138167652982462</v>
      </c>
      <c r="GG596">
        <v>3.3224941306074438</v>
      </c>
      <c r="GH596">
        <v>0</v>
      </c>
      <c r="GI596">
        <v>9.5948533090077461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8.7354166666666639</v>
      </c>
      <c r="AO597">
        <v>34.284653453237027</v>
      </c>
      <c r="AP597">
        <v>777.03078221934629</v>
      </c>
      <c r="AQ597">
        <v>69.160202221777666</v>
      </c>
      <c r="AR597">
        <v>31.201847047770819</v>
      </c>
      <c r="AS597">
        <v>192.57750800724457</v>
      </c>
      <c r="AT597" t="e">
        <v>#DIV/0!</v>
      </c>
      <c r="AU597" t="e">
        <v>#DIV/0!</v>
      </c>
      <c r="AV597"/>
      <c r="AW597"/>
      <c r="FY597" s="212">
        <v>592</v>
      </c>
      <c r="FZ597">
        <v>0.3418137814317348</v>
      </c>
      <c r="GA597">
        <v>21.681954595975746</v>
      </c>
      <c r="GB597">
        <v>14.80812363329194</v>
      </c>
      <c r="GC597">
        <v>3.2115478527138741</v>
      </c>
      <c r="GD597">
        <v>0.5289193628328096</v>
      </c>
      <c r="GE597">
        <v>0</v>
      </c>
      <c r="GF597">
        <v>0.80138167652982462</v>
      </c>
      <c r="GG597">
        <v>2.7443043742915965</v>
      </c>
      <c r="GH597">
        <v>0</v>
      </c>
      <c r="GI597">
        <v>6.223905992475661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15.003247549019605</v>
      </c>
      <c r="AO598">
        <v>43.508012505416637</v>
      </c>
      <c r="AP598">
        <v>1001.0060415147586</v>
      </c>
      <c r="AQ598">
        <v>52.42803849282641</v>
      </c>
      <c r="AR598">
        <v>39.552738641287846</v>
      </c>
      <c r="AS598">
        <v>405.10183187957983</v>
      </c>
      <c r="AT598" t="e">
        <v>#DIV/0!</v>
      </c>
      <c r="AU598" t="e">
        <v>#DIV/0!</v>
      </c>
      <c r="AV598"/>
      <c r="AW598"/>
      <c r="FY598" s="212">
        <v>593</v>
      </c>
      <c r="FZ598">
        <v>0.36192247308739012</v>
      </c>
      <c r="GA598">
        <v>15.967968384865644</v>
      </c>
      <c r="GB598">
        <v>12.614567515439775</v>
      </c>
      <c r="GC598">
        <v>3.5873515026962424</v>
      </c>
      <c r="GD598">
        <v>0.75124003997957456</v>
      </c>
      <c r="GE598">
        <v>0</v>
      </c>
      <c r="GF598">
        <v>0.80138167652982462</v>
      </c>
      <c r="GG598">
        <v>6.3955060453701975</v>
      </c>
      <c r="GH598">
        <v>4.8688803855936991</v>
      </c>
      <c r="GI598">
        <v>12.395111964318021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14.470220588235289</v>
      </c>
      <c r="AO599">
        <v>39.804070403268966</v>
      </c>
      <c r="AP599">
        <v>826.73075971629146</v>
      </c>
      <c r="AQ599">
        <v>73.132893408772276</v>
      </c>
      <c r="AR599">
        <v>36.219498820527122</v>
      </c>
      <c r="AS599">
        <v>487.24329316190409</v>
      </c>
      <c r="AT599" t="e">
        <v>#DIV/0!</v>
      </c>
      <c r="AU599" t="e">
        <v>#DIV/0!</v>
      </c>
      <c r="AV599"/>
      <c r="AW599"/>
      <c r="FY599" s="212">
        <v>594</v>
      </c>
      <c r="FZ599">
        <v>0.36192247308739012</v>
      </c>
      <c r="GA599">
        <v>17.627003869469441</v>
      </c>
      <c r="GB599">
        <v>21.914852639641978</v>
      </c>
      <c r="GC599">
        <v>7.7826865737209694</v>
      </c>
      <c r="GD599">
        <v>1.2542340295234518</v>
      </c>
      <c r="GE599">
        <v>0.71895619221013829</v>
      </c>
      <c r="GF599">
        <v>0.80138167652982462</v>
      </c>
      <c r="GG599">
        <v>4.407519146589534</v>
      </c>
      <c r="GH599">
        <v>3.245920257062465</v>
      </c>
      <c r="GI599">
        <v>10.254605731221638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14.957720588235295</v>
      </c>
      <c r="AO600">
        <v>50.81620273428716</v>
      </c>
      <c r="AP600">
        <v>1359.5723564649595</v>
      </c>
      <c r="AQ600">
        <v>61.714969606466589</v>
      </c>
      <c r="AR600">
        <v>46.196547940261055</v>
      </c>
      <c r="AS600">
        <v>312.97093587897166</v>
      </c>
      <c r="AT600" t="e">
        <v>#DIV/0!</v>
      </c>
      <c r="AU600" t="e">
        <v>#DIV/0!</v>
      </c>
      <c r="AV600"/>
      <c r="AW600"/>
      <c r="FY600" s="212">
        <v>595</v>
      </c>
      <c r="FZ600">
        <v>2.2219295059280695</v>
      </c>
      <c r="GA600">
        <v>17.937052252627929</v>
      </c>
      <c r="GB600">
        <v>7.6316117921646347</v>
      </c>
      <c r="GC600">
        <v>1.8267944732176213</v>
      </c>
      <c r="GD600">
        <v>1.204563584497738</v>
      </c>
      <c r="GE600">
        <v>0.35947809610506914</v>
      </c>
      <c r="GF600">
        <v>3.2055267061192985</v>
      </c>
      <c r="GG600">
        <v>11.555407253482233</v>
      </c>
      <c r="GH600">
        <v>0</v>
      </c>
      <c r="GI600">
        <v>9.3085063557047842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7.7267769607843153</v>
      </c>
      <c r="AO601">
        <v>24.923605088382342</v>
      </c>
      <c r="AP601">
        <v>425.46220023492526</v>
      </c>
      <c r="AQ601">
        <v>51.005945579354837</v>
      </c>
      <c r="AR601">
        <v>22.691803079721105</v>
      </c>
      <c r="AS601">
        <v>127.51332148631309</v>
      </c>
      <c r="AT601" t="e">
        <v>#DIV/0!</v>
      </c>
      <c r="AU601" t="e">
        <v>#DIV/0!</v>
      </c>
      <c r="AV601"/>
      <c r="AW601"/>
      <c r="FY601" s="212">
        <v>596</v>
      </c>
      <c r="FZ601">
        <v>0.72384494617478023</v>
      </c>
      <c r="GA601">
        <v>9.845125517168654</v>
      </c>
      <c r="GB601">
        <v>8.0087440279896196</v>
      </c>
      <c r="GC601">
        <v>3.8599003895404573</v>
      </c>
      <c r="GD601">
        <v>1.6597279750489475</v>
      </c>
      <c r="GE601">
        <v>0.35947809610506914</v>
      </c>
      <c r="GF601">
        <v>0.80138167652982462</v>
      </c>
      <c r="GG601">
        <v>3.9006838869232907</v>
      </c>
      <c r="GH601">
        <v>0</v>
      </c>
      <c r="GI601">
        <v>12.929517601079381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8.9559436274509796</v>
      </c>
      <c r="AO602">
        <v>29.87412110898196</v>
      </c>
      <c r="AP602">
        <v>385.11338187096749</v>
      </c>
      <c r="AQ602">
        <v>47.197326529663187</v>
      </c>
      <c r="AR602">
        <v>27.226252461457911</v>
      </c>
      <c r="AS602">
        <v>125.14824251789358</v>
      </c>
      <c r="AT602" t="e">
        <v>#DIV/0!</v>
      </c>
      <c r="AU602" t="e">
        <v>#DIV/0!</v>
      </c>
      <c r="AV602"/>
      <c r="AW602"/>
      <c r="FY602" s="212">
        <v>597</v>
      </c>
      <c r="FZ602">
        <v>0.5127206721476022</v>
      </c>
      <c r="GA602">
        <v>27.348809948424478</v>
      </c>
      <c r="GB602">
        <v>19.706308020530095</v>
      </c>
      <c r="GC602">
        <v>4.5331910945925928</v>
      </c>
      <c r="GD602">
        <v>0.6612782729906197</v>
      </c>
      <c r="GE602">
        <v>0</v>
      </c>
      <c r="GF602">
        <v>0.80138167652982462</v>
      </c>
      <c r="GG602">
        <v>4.1541015167564126</v>
      </c>
      <c r="GH602">
        <v>1.6229601285312325</v>
      </c>
      <c r="GI602">
        <v>7.7940549020331549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11.606678921568626</v>
      </c>
      <c r="AO603">
        <v>24.616540551430131</v>
      </c>
      <c r="AP603">
        <v>738.17081319615352</v>
      </c>
      <c r="AQ603">
        <v>53.440584210652439</v>
      </c>
      <c r="AR603">
        <v>22.412653500673638</v>
      </c>
      <c r="AS603">
        <v>123.13955406409264</v>
      </c>
      <c r="AT603" t="e">
        <v>#DIV/0!</v>
      </c>
      <c r="AU603" t="e">
        <v>#DIV/0!</v>
      </c>
      <c r="AV603"/>
      <c r="AW603"/>
      <c r="FY603" s="212">
        <v>598</v>
      </c>
      <c r="FZ603">
        <v>0</v>
      </c>
      <c r="GA603">
        <v>10.949030571168972</v>
      </c>
      <c r="GB603">
        <v>19.106864442585263</v>
      </c>
      <c r="GC603">
        <v>7.7700835542319338</v>
      </c>
      <c r="GD603">
        <v>0.77257196139953765</v>
      </c>
      <c r="GE603">
        <v>0</v>
      </c>
      <c r="GF603">
        <v>0.80138167652982462</v>
      </c>
      <c r="GG603">
        <v>4.407519146589534</v>
      </c>
      <c r="GH603">
        <v>3.245920257062465</v>
      </c>
      <c r="GI603">
        <v>10.329340335508785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8.7010416666666668</v>
      </c>
      <c r="AO604">
        <v>20.595580471237618</v>
      </c>
      <c r="AP604">
        <v>480.0301424867472</v>
      </c>
      <c r="AQ604">
        <v>69.351789914750142</v>
      </c>
      <c r="AR604">
        <v>18.723254973852381</v>
      </c>
      <c r="AS604">
        <v>126.21621111386762</v>
      </c>
      <c r="AT604" t="e">
        <v>#DIV/0!</v>
      </c>
      <c r="AU604" t="e">
        <v>#DIV/0!</v>
      </c>
      <c r="AV604"/>
      <c r="AW604"/>
      <c r="FY604" s="212">
        <v>599</v>
      </c>
      <c r="FZ604">
        <v>0.3418137814317348</v>
      </c>
      <c r="GA604">
        <v>16.1980348728456</v>
      </c>
      <c r="GB604">
        <v>15.657682121996174</v>
      </c>
      <c r="GC604">
        <v>5.3050041320620425</v>
      </c>
      <c r="GD604">
        <v>0.95460131658306124</v>
      </c>
      <c r="GE604">
        <v>0.35947809610506914</v>
      </c>
      <c r="GF604">
        <v>0.80138167652982462</v>
      </c>
      <c r="GG604">
        <v>4.7322912730722599</v>
      </c>
      <c r="GH604">
        <v>1.6229601285312325</v>
      </c>
      <c r="GI604">
        <v>9.6577991496528881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8.6312499999999996</v>
      </c>
      <c r="AO605">
        <v>48.22907051043444</v>
      </c>
      <c r="AP605">
        <v>1086.1699036743369</v>
      </c>
      <c r="AQ605">
        <v>70.768065469291457</v>
      </c>
      <c r="AR605">
        <v>43.878589827041196</v>
      </c>
      <c r="AS605">
        <v>198.45181195118076</v>
      </c>
      <c r="AT605" t="e">
        <v>#DIV/0!</v>
      </c>
      <c r="AU605" t="e">
        <v>#DIV/0!</v>
      </c>
      <c r="AV605"/>
      <c r="AW605"/>
      <c r="FY605" s="212">
        <v>600</v>
      </c>
      <c r="FZ605">
        <v>0.89475183689064763</v>
      </c>
      <c r="GA605">
        <v>7.7494301067014248</v>
      </c>
      <c r="GB605">
        <v>6.9371684772713298</v>
      </c>
      <c r="GC605">
        <v>5.5796789814623464</v>
      </c>
      <c r="GD605">
        <v>2.9829422634710578</v>
      </c>
      <c r="GE605">
        <v>0</v>
      </c>
      <c r="GF605">
        <v>1.6027633530596492</v>
      </c>
      <c r="GG605">
        <v>7.1518235208811305</v>
      </c>
      <c r="GH605">
        <v>3.245920257062465</v>
      </c>
      <c r="GI605">
        <v>12.185032837722789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8.125</v>
      </c>
      <c r="AO606">
        <v>31.627245532052022</v>
      </c>
      <c r="AP606">
        <v>416.27612926845632</v>
      </c>
      <c r="AQ606">
        <v>47.347226132805879</v>
      </c>
      <c r="AR606">
        <v>28.786021664875356</v>
      </c>
      <c r="AS606">
        <v>221.27000691853166</v>
      </c>
      <c r="AT606" t="e">
        <v>#DIV/0!</v>
      </c>
      <c r="AU606" t="e">
        <v>#DIV/0!</v>
      </c>
      <c r="AV606"/>
      <c r="AW606"/>
      <c r="FY606" s="212">
        <v>601</v>
      </c>
      <c r="FZ606">
        <v>1.46448811481747</v>
      </c>
      <c r="GA606">
        <v>9.6980794061759568</v>
      </c>
      <c r="GB606">
        <v>7.4373820067514602</v>
      </c>
      <c r="GC606">
        <v>3.8960495281214178</v>
      </c>
      <c r="GD606">
        <v>2.0571789300317116</v>
      </c>
      <c r="GE606">
        <v>0.71895619221013829</v>
      </c>
      <c r="GF606">
        <v>0</v>
      </c>
      <c r="GG606">
        <v>2.241404528613784</v>
      </c>
      <c r="GH606">
        <v>3.245920257062465</v>
      </c>
      <c r="GI606">
        <v>8.8313297276827107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7.7427083333333346</v>
      </c>
      <c r="AO607">
        <v>38.501188380723661</v>
      </c>
      <c r="AP607">
        <v>659.69567164370551</v>
      </c>
      <c r="AQ607">
        <v>50.208120126183523</v>
      </c>
      <c r="AR607">
        <v>35.069040890314007</v>
      </c>
      <c r="AS607">
        <v>184.09909989455991</v>
      </c>
      <c r="AT607" t="e">
        <v>#DIV/0!</v>
      </c>
      <c r="AU607" t="e">
        <v>#DIV/0!</v>
      </c>
      <c r="AV607"/>
      <c r="AW607"/>
      <c r="FY607" s="212">
        <v>602</v>
      </c>
      <c r="FZ607">
        <v>1.4812863372853795</v>
      </c>
      <c r="GA607">
        <v>20.150749119073552</v>
      </c>
      <c r="GB607">
        <v>13.728965216611458</v>
      </c>
      <c r="GC607">
        <v>3.9473648482365067</v>
      </c>
      <c r="GD607">
        <v>1.1165501883800921</v>
      </c>
      <c r="GE607">
        <v>0.35947809610506914</v>
      </c>
      <c r="GF607">
        <v>0</v>
      </c>
      <c r="GG607">
        <v>4.1580369307448439</v>
      </c>
      <c r="GH607">
        <v>8.1148006426561654</v>
      </c>
      <c r="GI607">
        <v>9.1432489336586755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5.0760416666666668</v>
      </c>
      <c r="AO608">
        <v>19.800978196700445</v>
      </c>
      <c r="AP608">
        <v>337.47752424268566</v>
      </c>
      <c r="AQ608">
        <v>50.341951269543188</v>
      </c>
      <c r="AR608">
        <v>18.000889269727672</v>
      </c>
      <c r="AS608">
        <v>115.73069167020699</v>
      </c>
      <c r="AT608" t="e">
        <v>#DIV/0!</v>
      </c>
      <c r="AU608" t="e">
        <v>#DIV/0!</v>
      </c>
      <c r="AV608"/>
      <c r="AW608"/>
      <c r="FY608" s="212">
        <v>603</v>
      </c>
      <c r="FZ608">
        <v>0.74064316864268975</v>
      </c>
      <c r="GA608">
        <v>15.936589436027749</v>
      </c>
      <c r="GB608">
        <v>18.111948761161102</v>
      </c>
      <c r="GC608">
        <v>6.5638835968201672</v>
      </c>
      <c r="GD608">
        <v>0.94557944812783468</v>
      </c>
      <c r="GE608">
        <v>0.35947809610506914</v>
      </c>
      <c r="GF608">
        <v>0</v>
      </c>
      <c r="GG608">
        <v>1.9879868987806626</v>
      </c>
      <c r="GH608">
        <v>1.6229601285312325</v>
      </c>
      <c r="GI608">
        <v>9.9106183422136258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8.263541666666665</v>
      </c>
      <c r="AO609">
        <v>40.599890574807908</v>
      </c>
      <c r="AP609">
        <v>981.5794268821553</v>
      </c>
      <c r="AQ609">
        <v>57.743929987880371</v>
      </c>
      <c r="AR609">
        <v>36.942971703744348</v>
      </c>
      <c r="AS609">
        <v>176.38320535690895</v>
      </c>
      <c r="AT609" t="e">
        <v>#DIV/0!</v>
      </c>
      <c r="AU609" t="e">
        <v>#DIV/0!</v>
      </c>
      <c r="AV609"/>
      <c r="AW609"/>
      <c r="FY609" s="212">
        <v>604</v>
      </c>
      <c r="FZ609">
        <v>0.74064316864268975</v>
      </c>
      <c r="GA609">
        <v>18.502436260511761</v>
      </c>
      <c r="GB609">
        <v>18.27622386225519</v>
      </c>
      <c r="GC609">
        <v>6.5724946377606184</v>
      </c>
      <c r="GD609">
        <v>1.4339769084619536</v>
      </c>
      <c r="GE609">
        <v>0.35947809610506914</v>
      </c>
      <c r="GF609">
        <v>0</v>
      </c>
      <c r="GG609">
        <v>1.4097971424648157</v>
      </c>
      <c r="GH609">
        <v>1.6229601285312325</v>
      </c>
      <c r="GI609">
        <v>8.1314658080969053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7.7114583333333346</v>
      </c>
      <c r="AO610">
        <v>23.237576090021481</v>
      </c>
      <c r="AP610">
        <v>500.60487368289802</v>
      </c>
      <c r="AQ610">
        <v>68.369082589056831</v>
      </c>
      <c r="AR610">
        <v>21.159049444847589</v>
      </c>
      <c r="AS610">
        <v>128.71420960026134</v>
      </c>
      <c r="AT610" t="e">
        <v>#DIV/0!</v>
      </c>
      <c r="AU610" t="e">
        <v>#DIV/0!</v>
      </c>
      <c r="AV610"/>
      <c r="AW610"/>
      <c r="FY610" s="212">
        <v>605</v>
      </c>
      <c r="FZ610">
        <v>0</v>
      </c>
      <c r="GA610">
        <v>15.967968384865644</v>
      </c>
      <c r="GB610">
        <v>19.805065609373873</v>
      </c>
      <c r="GC610">
        <v>6.9620095637614163</v>
      </c>
      <c r="GD610">
        <v>0.85004535135741521</v>
      </c>
      <c r="GE610">
        <v>0.35947809610506914</v>
      </c>
      <c r="GF610">
        <v>0</v>
      </c>
      <c r="GG610">
        <v>0.83160738614896845</v>
      </c>
      <c r="GH610">
        <v>1.6229601285312325</v>
      </c>
      <c r="GI610">
        <v>8.7583065988059197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12.839705882352941</v>
      </c>
      <c r="AO611">
        <v>47.344780469818943</v>
      </c>
      <c r="AP611">
        <v>1325.1192267439071</v>
      </c>
      <c r="AQ611">
        <v>55.250870019847376</v>
      </c>
      <c r="AR611">
        <v>43.040709518017223</v>
      </c>
      <c r="AS611">
        <v>181.13990225621225</v>
      </c>
      <c r="AT611" t="e">
        <v>#DIV/0!</v>
      </c>
      <c r="AU611" t="e">
        <v>#DIV/0!</v>
      </c>
      <c r="AV611"/>
      <c r="AW611"/>
      <c r="FY611" s="212">
        <v>606</v>
      </c>
      <c r="FZ611">
        <v>1.8432088103727695</v>
      </c>
      <c r="GA611">
        <v>24.824689338795064</v>
      </c>
      <c r="GB611">
        <v>19.29510063844798</v>
      </c>
      <c r="GC611">
        <v>6.1873708072859097</v>
      </c>
      <c r="GD611">
        <v>1.6811674213071741</v>
      </c>
      <c r="GE611">
        <v>0.71895619221013829</v>
      </c>
      <c r="GF611">
        <v>0</v>
      </c>
      <c r="GG611">
        <v>0.57818975631584713</v>
      </c>
      <c r="GH611">
        <v>0</v>
      </c>
      <c r="GI611">
        <v>8.5952195740411046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8.0864583333333329</v>
      </c>
      <c r="AO612">
        <v>39.757795460697267</v>
      </c>
      <c r="AP612">
        <v>854.15716129579744</v>
      </c>
      <c r="AQ612">
        <v>42.088404116560021</v>
      </c>
      <c r="AR612">
        <v>36.211410963017279</v>
      </c>
      <c r="AS612">
        <v>232.59316771481608</v>
      </c>
      <c r="AT612" t="e">
        <v>#DIV/0!</v>
      </c>
      <c r="AU612" t="e">
        <v>#DIV/0!</v>
      </c>
      <c r="AV612"/>
      <c r="AW612"/>
      <c r="FY612" s="212">
        <v>607</v>
      </c>
      <c r="FZ612">
        <v>1.273472532445947</v>
      </c>
      <c r="GA612">
        <v>18.031043460757221</v>
      </c>
      <c r="GB612">
        <v>15.706882948315236</v>
      </c>
      <c r="GC612">
        <v>4.7962982973962207</v>
      </c>
      <c r="GD612">
        <v>1.1540181052793328</v>
      </c>
      <c r="GE612">
        <v>1.0784342883152076</v>
      </c>
      <c r="GF612">
        <v>1.6027633530596492</v>
      </c>
      <c r="GG612">
        <v>7.1518235208811305</v>
      </c>
      <c r="GH612">
        <v>3.245920257062465</v>
      </c>
      <c r="GI612">
        <v>9.2868854009905029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7.1593749999999998</v>
      </c>
      <c r="AO613">
        <v>17.20541567492749</v>
      </c>
      <c r="AP613">
        <v>479.68776526463006</v>
      </c>
      <c r="AQ613">
        <v>67.134806232536008</v>
      </c>
      <c r="AR613">
        <v>15.641286977206809</v>
      </c>
      <c r="AS613">
        <v>100.65906062959144</v>
      </c>
      <c r="AT613" t="e">
        <v>#DIV/0!</v>
      </c>
      <c r="AU613" t="e">
        <v>#DIV/0!</v>
      </c>
      <c r="AV613"/>
      <c r="AW613"/>
      <c r="FY613" s="212">
        <v>608</v>
      </c>
      <c r="FZ613">
        <v>1.46448811481747</v>
      </c>
      <c r="GA613">
        <v>10.084519639935692</v>
      </c>
      <c r="GB613">
        <v>9.3783358393042313</v>
      </c>
      <c r="GC613">
        <v>3.4973947118502831</v>
      </c>
      <c r="GD613">
        <v>0.91150941990781165</v>
      </c>
      <c r="GE613">
        <v>0.35947809610506914</v>
      </c>
      <c r="GF613">
        <v>1.6027633530596492</v>
      </c>
      <c r="GG613">
        <v>8.5616206633459448</v>
      </c>
      <c r="GH613">
        <v>4.8688803855936991</v>
      </c>
      <c r="GI613">
        <v>6.710682131975469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8.1281250000000007</v>
      </c>
      <c r="AO614">
        <v>27.394673801552024</v>
      </c>
      <c r="AP614">
        <v>496.00532519861747</v>
      </c>
      <c r="AQ614">
        <v>57.382711945076309</v>
      </c>
      <c r="AR614">
        <v>24.904248910501842</v>
      </c>
      <c r="AS614">
        <v>141.5067316268084</v>
      </c>
      <c r="AT614" t="e">
        <v>#DIV/0!</v>
      </c>
      <c r="AU614" t="e">
        <v>#DIV/0!</v>
      </c>
      <c r="AV614"/>
      <c r="AW614"/>
      <c r="FY614" s="212">
        <v>609</v>
      </c>
      <c r="FZ614">
        <v>2.92897622963494</v>
      </c>
      <c r="GA614">
        <v>19.377868651554081</v>
      </c>
      <c r="GB614">
        <v>14.598336958800703</v>
      </c>
      <c r="GC614">
        <v>3.554678044026049</v>
      </c>
      <c r="GD614">
        <v>0.28569481810140473</v>
      </c>
      <c r="GE614">
        <v>0</v>
      </c>
      <c r="GF614">
        <v>0</v>
      </c>
      <c r="GG614">
        <v>1.9879868987806626</v>
      </c>
      <c r="GH614">
        <v>1.6229601285312325</v>
      </c>
      <c r="GI614">
        <v>10.090753494884806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7.8572916666666659</v>
      </c>
      <c r="AO615">
        <v>30.655716318267281</v>
      </c>
      <c r="AP615">
        <v>813.43657410139826</v>
      </c>
      <c r="AQ615">
        <v>55.631046548809891</v>
      </c>
      <c r="AR615">
        <v>27.868833016606615</v>
      </c>
      <c r="AS615">
        <v>153.79478470454154</v>
      </c>
      <c r="AT615" t="e">
        <v>#DIV/0!</v>
      </c>
      <c r="AU615" t="e">
        <v>#DIV/0!</v>
      </c>
      <c r="AV615"/>
      <c r="AW615"/>
      <c r="FY615" s="212">
        <v>610</v>
      </c>
      <c r="FZ615">
        <v>0.36192247308739012</v>
      </c>
      <c r="GA615">
        <v>16.775063011982727</v>
      </c>
      <c r="GB615">
        <v>16.042854561435654</v>
      </c>
      <c r="GC615">
        <v>6.7587616809747511</v>
      </c>
      <c r="GD615">
        <v>2.2263796234790014</v>
      </c>
      <c r="GE615">
        <v>0.35947809610506914</v>
      </c>
      <c r="GF615">
        <v>1.6027633530596492</v>
      </c>
      <c r="GG615">
        <v>6.3202161347321617</v>
      </c>
      <c r="GH615">
        <v>1.6229601285312325</v>
      </c>
      <c r="GI615">
        <v>12.572589585846815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7.2458333333333327</v>
      </c>
      <c r="AO616">
        <v>32.77701773402157</v>
      </c>
      <c r="AP616">
        <v>467.67171105229534</v>
      </c>
      <c r="AQ616">
        <v>48.329511634522838</v>
      </c>
      <c r="AR616">
        <v>29.865249393312105</v>
      </c>
      <c r="AS616">
        <v>179.88160030277052</v>
      </c>
      <c r="AT616" t="e">
        <v>#DIV/0!</v>
      </c>
      <c r="AU616" t="e">
        <v>#DIV/0!</v>
      </c>
      <c r="AV616"/>
      <c r="AW616"/>
      <c r="FY616" s="212">
        <v>611</v>
      </c>
      <c r="FZ616">
        <v>0.74064316864268975</v>
      </c>
      <c r="GA616">
        <v>10.568310424460503</v>
      </c>
      <c r="GB616">
        <v>13.536943859298011</v>
      </c>
      <c r="GC616">
        <v>4.7760476256661253</v>
      </c>
      <c r="GD616">
        <v>0.18521001485477026</v>
      </c>
      <c r="GE616">
        <v>0</v>
      </c>
      <c r="GF616">
        <v>0.80138167652982462</v>
      </c>
      <c r="GG616">
        <v>4.9857089029053814</v>
      </c>
      <c r="GH616">
        <v>3.245920257062465</v>
      </c>
      <c r="GI616">
        <v>8.4625504633825379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8.7028186274509789</v>
      </c>
      <c r="AO617">
        <v>36.978260907751952</v>
      </c>
      <c r="AP617">
        <v>473.0585944570177</v>
      </c>
      <c r="AQ617">
        <v>39.590788691467111</v>
      </c>
      <c r="AR617">
        <v>33.684561369430625</v>
      </c>
      <c r="AS617">
        <v>201.79602999227919</v>
      </c>
      <c r="AT617" t="e">
        <v>#DIV/0!</v>
      </c>
      <c r="AU617" t="e">
        <v>#DIV/0!</v>
      </c>
      <c r="AV617"/>
      <c r="AW617"/>
      <c r="FY617" s="212">
        <v>612</v>
      </c>
      <c r="FZ617">
        <v>0.72384494617478023</v>
      </c>
      <c r="GA617">
        <v>16.199276258583353</v>
      </c>
      <c r="GB617">
        <v>18.270419690956196</v>
      </c>
      <c r="GC617">
        <v>6.1295598713867498</v>
      </c>
      <c r="GD617">
        <v>0.90848793506937298</v>
      </c>
      <c r="GE617">
        <v>0.35947809610506914</v>
      </c>
      <c r="GF617">
        <v>0.80138167652982462</v>
      </c>
      <c r="GG617">
        <v>5.5638986592212287</v>
      </c>
      <c r="GH617">
        <v>3.245920257062465</v>
      </c>
      <c r="GI617">
        <v>11.387428919907764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11.968137254901958</v>
      </c>
      <c r="AO618">
        <v>24.001583227187261</v>
      </c>
      <c r="AP618">
        <v>391.32447569782187</v>
      </c>
      <c r="AQ618">
        <v>62.200480312751736</v>
      </c>
      <c r="AR618">
        <v>21.819621115624781</v>
      </c>
      <c r="AS618">
        <v>125.73667850011108</v>
      </c>
      <c r="AT618" t="e">
        <v>#DIV/0!</v>
      </c>
      <c r="AU618" t="e">
        <v>#DIV/0!</v>
      </c>
      <c r="AV618"/>
      <c r="AW618"/>
      <c r="FY618" s="212">
        <v>613</v>
      </c>
      <c r="FZ618">
        <v>0.72384494617478023</v>
      </c>
      <c r="GA618">
        <v>25.758223419640796</v>
      </c>
      <c r="GB618">
        <v>20.180333800856868</v>
      </c>
      <c r="GC618">
        <v>5.1595906930765709</v>
      </c>
      <c r="GD618">
        <v>1.0055231996422456</v>
      </c>
      <c r="GE618">
        <v>0.35947809610506914</v>
      </c>
      <c r="GF618">
        <v>0.80138167652982462</v>
      </c>
      <c r="GG618">
        <v>3.5759117604405652</v>
      </c>
      <c r="GH618">
        <v>1.6229601285312325</v>
      </c>
      <c r="GI618">
        <v>8.3629272789832658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10.546568627450981</v>
      </c>
      <c r="AO619">
        <v>25.192909875595625</v>
      </c>
      <c r="AP619">
        <v>588.67473317775375</v>
      </c>
      <c r="AQ619">
        <v>56.179687876410135</v>
      </c>
      <c r="AR619">
        <v>22.902645341450569</v>
      </c>
      <c r="AS619">
        <v>221.63438447125679</v>
      </c>
      <c r="AT619" t="e">
        <v>#DIV/0!</v>
      </c>
      <c r="AU619" t="e">
        <v>#DIV/0!</v>
      </c>
      <c r="AV619"/>
      <c r="AW619"/>
      <c r="FY619" s="212">
        <v>614</v>
      </c>
      <c r="FZ619">
        <v>0.74064316864268975</v>
      </c>
      <c r="GA619">
        <v>17.613915081429376</v>
      </c>
      <c r="GB619">
        <v>16.702418544894513</v>
      </c>
      <c r="GC619">
        <v>5.2455572446013887</v>
      </c>
      <c r="GD619">
        <v>0.95408721811607489</v>
      </c>
      <c r="GE619">
        <v>0.71895619221013829</v>
      </c>
      <c r="GF619">
        <v>0</v>
      </c>
      <c r="GG619">
        <v>1.1563795126316943</v>
      </c>
      <c r="GH619">
        <v>0</v>
      </c>
      <c r="GI619">
        <v>11.026218505441067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9.0674019607843128</v>
      </c>
      <c r="AO620">
        <v>20.879542189386342</v>
      </c>
      <c r="AP620">
        <v>373.99263566657805</v>
      </c>
      <c r="AQ620">
        <v>57.04947601283024</v>
      </c>
      <c r="AR620">
        <v>18.981401990351216</v>
      </c>
      <c r="AS620">
        <v>170.33027847646107</v>
      </c>
      <c r="AT620" t="e">
        <v>#DIV/0!</v>
      </c>
      <c r="AU620" t="e">
        <v>#DIV/0!</v>
      </c>
      <c r="AV620"/>
      <c r="AW620"/>
      <c r="FY620" s="212">
        <v>615</v>
      </c>
      <c r="FZ620">
        <v>0.53282936380325752</v>
      </c>
      <c r="GA620">
        <v>11.958388416989457</v>
      </c>
      <c r="GB620">
        <v>11.773610675912217</v>
      </c>
      <c r="GC620">
        <v>4.0563485086795152</v>
      </c>
      <c r="GD620">
        <v>0.85156566839340098</v>
      </c>
      <c r="GE620">
        <v>0.35947809610506914</v>
      </c>
      <c r="GF620">
        <v>0.80138167652982462</v>
      </c>
      <c r="GG620">
        <v>6.1420884155370761</v>
      </c>
      <c r="GH620">
        <v>3.245920257062465</v>
      </c>
      <c r="GI620">
        <v>9.1942293479840753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7.7187499999999982</v>
      </c>
      <c r="AO621">
        <v>17.397177118250912</v>
      </c>
      <c r="AP621">
        <v>337.39199791164867</v>
      </c>
      <c r="AQ621">
        <v>55.157441118949549</v>
      </c>
      <c r="AR621">
        <v>15.815615562046284</v>
      </c>
      <c r="AS621">
        <v>110.42095283628778</v>
      </c>
      <c r="AT621" t="e">
        <v>#DIV/0!</v>
      </c>
      <c r="AU621" t="e">
        <v>#DIV/0!</v>
      </c>
      <c r="AV621"/>
      <c r="AW621"/>
      <c r="FY621" s="212">
        <v>616</v>
      </c>
      <c r="FZ621">
        <v>0.74064316864268975</v>
      </c>
      <c r="GA621">
        <v>25.161600683720895</v>
      </c>
      <c r="GB621">
        <v>16.633709464421425</v>
      </c>
      <c r="GC621">
        <v>4.0550598342826021</v>
      </c>
      <c r="GD621">
        <v>1.0142953383284896</v>
      </c>
      <c r="GE621">
        <v>0</v>
      </c>
      <c r="GF621">
        <v>1.6027633530596492</v>
      </c>
      <c r="GG621">
        <v>5.4886087485831929</v>
      </c>
      <c r="GH621">
        <v>0</v>
      </c>
      <c r="GI621">
        <v>8.9660099854823567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12.405637254901963</v>
      </c>
      <c r="AO622">
        <v>34.69568152944808</v>
      </c>
      <c r="AP622">
        <v>472.56302562085961</v>
      </c>
      <c r="AQ622">
        <v>63.723902538775981</v>
      </c>
      <c r="AR622">
        <v>31.575508935235405</v>
      </c>
      <c r="AS622">
        <v>152.71403840944322</v>
      </c>
      <c r="AT622" t="e">
        <v>#DIV/0!</v>
      </c>
      <c r="AU622" t="e">
        <v>#DIV/0!</v>
      </c>
      <c r="AV622"/>
      <c r="AW622"/>
      <c r="FY622" s="212">
        <v>617</v>
      </c>
      <c r="FZ622">
        <v>0.36192247308739012</v>
      </c>
      <c r="GA622">
        <v>21.549265109352763</v>
      </c>
      <c r="GB622">
        <v>13.877290376104481</v>
      </c>
      <c r="GC622">
        <v>3.7745171200189644</v>
      </c>
      <c r="GD622">
        <v>1.3882724315500554</v>
      </c>
      <c r="GE622">
        <v>0.35947809610506914</v>
      </c>
      <c r="GF622">
        <v>0.80138167652982462</v>
      </c>
      <c r="GG622">
        <v>4.407519146589534</v>
      </c>
      <c r="GH622">
        <v>3.245920257062465</v>
      </c>
      <c r="GI622">
        <v>12.58584014241926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9.9903186274509803</v>
      </c>
      <c r="AO623">
        <v>31.165789052089814</v>
      </c>
      <c r="AP623">
        <v>518.95257081780073</v>
      </c>
      <c r="AQ623">
        <v>63.327542164502916</v>
      </c>
      <c r="AR623">
        <v>28.366515774000629</v>
      </c>
      <c r="AS623">
        <v>149.78383172084548</v>
      </c>
      <c r="AT623" t="e">
        <v>#DIV/0!</v>
      </c>
      <c r="AU623" t="e">
        <v>#DIV/0!</v>
      </c>
      <c r="AV623"/>
      <c r="AW623"/>
      <c r="FY623" s="212">
        <v>618</v>
      </c>
      <c r="FZ623">
        <v>2.9457744521028495</v>
      </c>
      <c r="GA623">
        <v>17.937052252627929</v>
      </c>
      <c r="GB623">
        <v>15.678421971216197</v>
      </c>
      <c r="GC623">
        <v>4.6376518615532039</v>
      </c>
      <c r="GD623">
        <v>0.36849080807176443</v>
      </c>
      <c r="GE623">
        <v>0</v>
      </c>
      <c r="GF623">
        <v>0</v>
      </c>
      <c r="GG623">
        <v>0.83160738614896845</v>
      </c>
      <c r="GH623">
        <v>1.6229601285312325</v>
      </c>
      <c r="GI623">
        <v>6.0311713474928563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7.6153186274509794</v>
      </c>
      <c r="AO624">
        <v>18.671554983597723</v>
      </c>
      <c r="AP624">
        <v>648.90815462285707</v>
      </c>
      <c r="AQ624">
        <v>47.439672355895318</v>
      </c>
      <c r="AR624">
        <v>17.042101438381337</v>
      </c>
      <c r="AS624">
        <v>95.513712666505072</v>
      </c>
      <c r="AT624" t="e">
        <v>#DIV/0!</v>
      </c>
      <c r="AU624" t="e">
        <v>#DIV/0!</v>
      </c>
      <c r="AV624"/>
      <c r="AW624"/>
      <c r="FY624" s="212">
        <v>619</v>
      </c>
      <c r="FZ624">
        <v>0.3418137814317348</v>
      </c>
      <c r="GA624">
        <v>11.605002490795885</v>
      </c>
      <c r="GB624">
        <v>14.196315137102749</v>
      </c>
      <c r="GC624">
        <v>4.8471165923968949</v>
      </c>
      <c r="GD624">
        <v>0.54149829480006151</v>
      </c>
      <c r="GE624">
        <v>0.35947809610506914</v>
      </c>
      <c r="GF624">
        <v>1.6027633530596492</v>
      </c>
      <c r="GG624">
        <v>7.4765956473638564</v>
      </c>
      <c r="GH624">
        <v>1.6229601285312325</v>
      </c>
      <c r="GI624">
        <v>8.6166204693943396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11.863970588235292</v>
      </c>
      <c r="AO625">
        <v>26.496833492575927</v>
      </c>
      <c r="AP625">
        <v>611.32435470866983</v>
      </c>
      <c r="AQ625">
        <v>54.447255224313878</v>
      </c>
      <c r="AR625">
        <v>24.223951536199475</v>
      </c>
      <c r="AS625">
        <v>183.5128447504857</v>
      </c>
      <c r="AT625" t="e">
        <v>#DIV/0!</v>
      </c>
      <c r="AU625" t="e">
        <v>#DIV/0!</v>
      </c>
      <c r="AV625"/>
      <c r="AW625"/>
      <c r="FY625" s="212">
        <v>620</v>
      </c>
      <c r="FZ625">
        <v>1.10256564173008</v>
      </c>
      <c r="GA625">
        <v>21.015260050306832</v>
      </c>
      <c r="GB625">
        <v>16.82491168156637</v>
      </c>
      <c r="GC625">
        <v>6.1000090027005136</v>
      </c>
      <c r="GD625">
        <v>2.0358470086117491</v>
      </c>
      <c r="GE625">
        <v>0.71895619221013829</v>
      </c>
      <c r="GF625">
        <v>1.6027633530596492</v>
      </c>
      <c r="GG625">
        <v>7.4765956473638564</v>
      </c>
      <c r="GH625">
        <v>1.6229601285312325</v>
      </c>
      <c r="GI625">
        <v>15.812650996116252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8.4229166666666639</v>
      </c>
      <c r="AO626">
        <v>31.896790625353368</v>
      </c>
      <c r="AP626">
        <v>633.8922355717649</v>
      </c>
      <c r="AQ626">
        <v>64.642988649234454</v>
      </c>
      <c r="AR626">
        <v>29.031062658785672</v>
      </c>
      <c r="AS626">
        <v>160.85642741771605</v>
      </c>
      <c r="AT626" t="e">
        <v>#DIV/0!</v>
      </c>
      <c r="AU626" t="e">
        <v>#DIV/0!</v>
      </c>
      <c r="AV626"/>
      <c r="AW626"/>
      <c r="FY626" s="212">
        <v>621</v>
      </c>
      <c r="FZ626">
        <v>1.46448811481747</v>
      </c>
      <c r="GA626">
        <v>20.457763457705294</v>
      </c>
      <c r="GB626">
        <v>17.952572005541171</v>
      </c>
      <c r="GC626">
        <v>6.7431999485272573</v>
      </c>
      <c r="GD626">
        <v>1.8751495748481886</v>
      </c>
      <c r="GE626">
        <v>0.35947809610506914</v>
      </c>
      <c r="GF626">
        <v>0.80138167652982462</v>
      </c>
      <c r="GG626">
        <v>3.5759117604405652</v>
      </c>
      <c r="GH626">
        <v>1.6229601285312325</v>
      </c>
      <c r="GI626">
        <v>12.080806550175618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8.6017769607843135</v>
      </c>
      <c r="AO627">
        <v>32.71377457098059</v>
      </c>
      <c r="AP627">
        <v>568.90223873612297</v>
      </c>
      <c r="AQ627">
        <v>47.30271639280231</v>
      </c>
      <c r="AR627">
        <v>29.739795064527804</v>
      </c>
      <c r="AS627">
        <v>141.52704768625927</v>
      </c>
      <c r="AT627" t="e">
        <v>#DIV/0!</v>
      </c>
      <c r="AU627" t="e">
        <v>#DIV/0!</v>
      </c>
      <c r="AV627"/>
      <c r="AW627"/>
      <c r="FY627" s="212">
        <v>622</v>
      </c>
      <c r="FZ627">
        <v>1.4443794231618146</v>
      </c>
      <c r="GA627">
        <v>21.902539843651454</v>
      </c>
      <c r="GB627">
        <v>18.40234145262038</v>
      </c>
      <c r="GC627">
        <v>6.0234417105665345</v>
      </c>
      <c r="GD627">
        <v>1.137632380031073</v>
      </c>
      <c r="GE627">
        <v>0</v>
      </c>
      <c r="GF627">
        <v>0</v>
      </c>
      <c r="GG627">
        <v>1.9879868987806626</v>
      </c>
      <c r="GH627">
        <v>1.6229601285312325</v>
      </c>
      <c r="GI627">
        <v>8.3469812344434509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8.3468750000000007</v>
      </c>
      <c r="AO628">
        <v>34.539207955362293</v>
      </c>
      <c r="AP628">
        <v>1003.6042468911056</v>
      </c>
      <c r="AQ628">
        <v>63.589696310996807</v>
      </c>
      <c r="AR628">
        <v>31.467240503621852</v>
      </c>
      <c r="AS628">
        <v>166.59869135576383</v>
      </c>
      <c r="AT628" t="e">
        <v>#DIV/0!</v>
      </c>
      <c r="AU628" t="e">
        <v>#DIV/0!</v>
      </c>
      <c r="AV628"/>
      <c r="AW628"/>
      <c r="FY628" s="212">
        <v>623</v>
      </c>
      <c r="FZ628">
        <v>1.0824569500744243</v>
      </c>
      <c r="GA628">
        <v>11.823221576473532</v>
      </c>
      <c r="GB628">
        <v>13.321103783751589</v>
      </c>
      <c r="GC628">
        <v>5.4395697450227134</v>
      </c>
      <c r="GD628">
        <v>1.0774242598186585</v>
      </c>
      <c r="GE628">
        <v>0.71895619221013829</v>
      </c>
      <c r="GF628">
        <v>0.80138167652982462</v>
      </c>
      <c r="GG628">
        <v>3.9006838869232907</v>
      </c>
      <c r="GH628">
        <v>0</v>
      </c>
      <c r="GI628">
        <v>10.868851792295411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7.1802083333333329</v>
      </c>
      <c r="AO629">
        <v>24.444148192332126</v>
      </c>
      <c r="AP629">
        <v>672.41847088277723</v>
      </c>
      <c r="AQ629">
        <v>67.550174999981223</v>
      </c>
      <c r="AR629">
        <v>22.289913446321698</v>
      </c>
      <c r="AS629">
        <v>128.82546289311935</v>
      </c>
      <c r="AT629" t="e">
        <v>#DIV/0!</v>
      </c>
      <c r="AU629" t="e">
        <v>#DIV/0!</v>
      </c>
      <c r="AV629"/>
      <c r="AW629"/>
      <c r="FY629" s="212">
        <v>624</v>
      </c>
      <c r="FZ629">
        <v>1.6152863138776818</v>
      </c>
      <c r="GA629">
        <v>23.048221174422636</v>
      </c>
      <c r="GB629">
        <v>21.670116666589848</v>
      </c>
      <c r="GC629">
        <v>7.1850131427929256</v>
      </c>
      <c r="GD629">
        <v>1.4540573918484461</v>
      </c>
      <c r="GE629">
        <v>0.71895619221013829</v>
      </c>
      <c r="GF629">
        <v>0</v>
      </c>
      <c r="GG629">
        <v>0.83160738614896845</v>
      </c>
      <c r="GH629">
        <v>1.6229601285312325</v>
      </c>
      <c r="GI629">
        <v>8.9426054478385222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10.536151960784313</v>
      </c>
      <c r="AO630">
        <v>31.322190993691596</v>
      </c>
      <c r="AP630">
        <v>653.91054579017396</v>
      </c>
      <c r="AQ630">
        <v>54.158175467966934</v>
      </c>
      <c r="AR630">
        <v>28.474719085174176</v>
      </c>
      <c r="AS630">
        <v>223.38389828430459</v>
      </c>
      <c r="AT630" t="e">
        <v>#DIV/0!</v>
      </c>
      <c r="AU630" t="e">
        <v>#DIV/0!</v>
      </c>
      <c r="AV630"/>
      <c r="AW630"/>
      <c r="FY630" s="212">
        <v>625</v>
      </c>
      <c r="FZ630">
        <v>1.4443794231618146</v>
      </c>
      <c r="GA630">
        <v>11.823221576473532</v>
      </c>
      <c r="GB630">
        <v>10.524993075522822</v>
      </c>
      <c r="GC630">
        <v>4.2791756023203886</v>
      </c>
      <c r="GD630">
        <v>1.1922535315330012</v>
      </c>
      <c r="GE630">
        <v>0.35947809610506914</v>
      </c>
      <c r="GF630">
        <v>0</v>
      </c>
      <c r="GG630">
        <v>1.1563795126316943</v>
      </c>
      <c r="GH630">
        <v>0</v>
      </c>
      <c r="GI630">
        <v>7.9387190496844937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6.7427083333333311</v>
      </c>
      <c r="AO631">
        <v>41.856095089204622</v>
      </c>
      <c r="AP631">
        <v>1050.2209452248585</v>
      </c>
      <c r="AQ631">
        <v>48.915840426996361</v>
      </c>
      <c r="AR631">
        <v>38.084975807741351</v>
      </c>
      <c r="AS631">
        <v>183.93207795883376</v>
      </c>
      <c r="AT631" t="e">
        <v>#DIV/0!</v>
      </c>
      <c r="AU631" t="e">
        <v>#DIV/0!</v>
      </c>
      <c r="AV631"/>
      <c r="AW631"/>
      <c r="FY631" s="212">
        <v>626</v>
      </c>
      <c r="FZ631">
        <v>0.53282936380325752</v>
      </c>
      <c r="GA631">
        <v>25.573527690290966</v>
      </c>
      <c r="GB631">
        <v>21.001890414923054</v>
      </c>
      <c r="GC631">
        <v>5.9798157115184623</v>
      </c>
      <c r="GD631">
        <v>1.0846760814689167</v>
      </c>
      <c r="GE631">
        <v>0.35947809610506914</v>
      </c>
      <c r="GF631">
        <v>0</v>
      </c>
      <c r="GG631">
        <v>1.9879868987806626</v>
      </c>
      <c r="GH631">
        <v>1.6229601285312325</v>
      </c>
      <c r="GI631">
        <v>12.889509837580635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8.6569852941176464</v>
      </c>
      <c r="AO632">
        <v>23.175186845747941</v>
      </c>
      <c r="AP632">
        <v>499.96779591122856</v>
      </c>
      <c r="AQ632">
        <v>63.6626905765213</v>
      </c>
      <c r="AR632">
        <v>21.06835167795267</v>
      </c>
      <c r="AS632">
        <v>118.74870838592174</v>
      </c>
      <c r="AT632" t="e">
        <v>#DIV/0!</v>
      </c>
      <c r="AU632" t="e">
        <v>#DIV/0!</v>
      </c>
      <c r="AV632"/>
      <c r="AW632"/>
      <c r="FY632" s="212">
        <v>627</v>
      </c>
      <c r="FZ632">
        <v>2.3760381741760268</v>
      </c>
      <c r="GA632">
        <v>21.805713424762452</v>
      </c>
      <c r="GB632">
        <v>13.071171922249752</v>
      </c>
      <c r="GC632">
        <v>3.2266633487328664</v>
      </c>
      <c r="GD632">
        <v>0.89590900310212118</v>
      </c>
      <c r="GE632">
        <v>0</v>
      </c>
      <c r="GF632">
        <v>0</v>
      </c>
      <c r="GG632">
        <v>1.7345692689475418</v>
      </c>
      <c r="GH632">
        <v>0</v>
      </c>
      <c r="GI632">
        <v>8.9934633562947859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8.3677083333333329</v>
      </c>
      <c r="AO633">
        <v>36.082369279296742</v>
      </c>
      <c r="AP633">
        <v>641.90652778927108</v>
      </c>
      <c r="AQ633">
        <v>62.351406828819805</v>
      </c>
      <c r="AR633">
        <v>32.836134162370563</v>
      </c>
      <c r="AS633">
        <v>164.53871604074334</v>
      </c>
      <c r="AT633" t="e">
        <v>#DIV/0!</v>
      </c>
      <c r="AU633" t="e">
        <v>#DIV/0!</v>
      </c>
      <c r="AV633"/>
      <c r="AW633"/>
      <c r="FY633" s="212">
        <v>628</v>
      </c>
      <c r="FZ633">
        <v>1.4812863372853795</v>
      </c>
      <c r="GA633">
        <v>26.252416949681148</v>
      </c>
      <c r="GB633">
        <v>21.627220968797456</v>
      </c>
      <c r="GC633">
        <v>6.6569593496373223</v>
      </c>
      <c r="GD633">
        <v>1.0740263711394409</v>
      </c>
      <c r="GE633">
        <v>0</v>
      </c>
      <c r="GF633">
        <v>2.4041450295894737</v>
      </c>
      <c r="GG633">
        <v>9.8961278951727252</v>
      </c>
      <c r="GH633">
        <v>3.245920257062465</v>
      </c>
      <c r="GI633">
        <v>19.334834803699724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11.920955882352942</v>
      </c>
      <c r="AO634">
        <v>11.283959025697161</v>
      </c>
      <c r="AP634">
        <v>137.32808206829986</v>
      </c>
      <c r="AQ634">
        <v>50.053130207744999</v>
      </c>
      <c r="AR634">
        <v>10.326105113017189</v>
      </c>
      <c r="AS634">
        <v>78.364663671178292</v>
      </c>
      <c r="AT634" t="e">
        <v>#DIV/0!</v>
      </c>
      <c r="AU634" t="e">
        <v>#DIV/0!</v>
      </c>
      <c r="AV634"/>
      <c r="AW634"/>
      <c r="FY634" s="212">
        <v>629</v>
      </c>
      <c r="FZ634">
        <v>1.10256564173008</v>
      </c>
      <c r="GA634">
        <v>29.972383102686607</v>
      </c>
      <c r="GB634">
        <v>22.895538082146484</v>
      </c>
      <c r="GC634">
        <v>4.9637479050809636</v>
      </c>
      <c r="GD634">
        <v>0.5044067817415997</v>
      </c>
      <c r="GE634">
        <v>0.35947809610506914</v>
      </c>
      <c r="GF634">
        <v>0</v>
      </c>
      <c r="GG634">
        <v>2.8195942849296314</v>
      </c>
      <c r="GH634">
        <v>3.245920257062465</v>
      </c>
      <c r="GI634">
        <v>9.2704147710499178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6.6</v>
      </c>
      <c r="AO635">
        <v>27.454451313623821</v>
      </c>
      <c r="AP635">
        <v>899.24624466419675</v>
      </c>
      <c r="AQ635">
        <v>51.210163990981471</v>
      </c>
      <c r="AR635">
        <v>24.958592103294379</v>
      </c>
      <c r="AS635">
        <v>128.18491737115605</v>
      </c>
      <c r="AT635" t="e">
        <v>#DIV/0!</v>
      </c>
      <c r="AU635" t="e">
        <v>#DIV/0!</v>
      </c>
      <c r="AV635"/>
      <c r="AW635"/>
      <c r="FY635" s="212">
        <v>630</v>
      </c>
      <c r="FZ635">
        <v>2.5838519790154595</v>
      </c>
      <c r="GA635">
        <v>24.848699586644166</v>
      </c>
      <c r="GB635">
        <v>17.37670228599406</v>
      </c>
      <c r="GC635">
        <v>5.1308822623587478</v>
      </c>
      <c r="GD635">
        <v>1.0597870965369283</v>
      </c>
      <c r="GE635">
        <v>0</v>
      </c>
      <c r="GF635">
        <v>0.80138167652982462</v>
      </c>
      <c r="GG635">
        <v>3.3224941306074438</v>
      </c>
      <c r="GH635">
        <v>0</v>
      </c>
      <c r="GI635">
        <v>14.186668395197998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12.83406862745098</v>
      </c>
      <c r="AO636">
        <v>49.388973938537525</v>
      </c>
      <c r="AP636">
        <v>990.42318440086774</v>
      </c>
      <c r="AQ636">
        <v>74.312519702196667</v>
      </c>
      <c r="AR636">
        <v>44.933047488953086</v>
      </c>
      <c r="AS636">
        <v>246.42746146616992</v>
      </c>
      <c r="AT636" t="e">
        <v>#DIV/0!</v>
      </c>
      <c r="AU636" t="e">
        <v>#DIV/0!</v>
      </c>
      <c r="AV636"/>
      <c r="AW636"/>
      <c r="FY636" s="212">
        <v>631</v>
      </c>
      <c r="FZ636">
        <v>1.2566743099780382</v>
      </c>
      <c r="GA636">
        <v>20.126188288756481</v>
      </c>
      <c r="GB636">
        <v>17.085502495834657</v>
      </c>
      <c r="GC636">
        <v>5.0835667831836373</v>
      </c>
      <c r="GD636">
        <v>1.0318249767719563</v>
      </c>
      <c r="GE636">
        <v>0.35947809610506914</v>
      </c>
      <c r="GF636">
        <v>0.80138167652982462</v>
      </c>
      <c r="GG636">
        <v>3.3224941306074438</v>
      </c>
      <c r="GH636">
        <v>0</v>
      </c>
      <c r="GI636">
        <v>10.546257703048227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11.185110294117646</v>
      </c>
      <c r="AO637">
        <v>33.372245530537811</v>
      </c>
      <c r="AP637">
        <v>370.30891450920501</v>
      </c>
      <c r="AQ637">
        <v>66.933711313221693</v>
      </c>
      <c r="AR637">
        <v>30.406365571963232</v>
      </c>
      <c r="AS637">
        <v>171.18626457139669</v>
      </c>
      <c r="AT637" t="e">
        <v>#DIV/0!</v>
      </c>
      <c r="AU637" t="e">
        <v>#DIV/0!</v>
      </c>
      <c r="AV637"/>
      <c r="AW637"/>
      <c r="FY637" s="212">
        <v>632</v>
      </c>
      <c r="FZ637">
        <v>2.7178519556077618</v>
      </c>
      <c r="GA637">
        <v>26.957367175674001</v>
      </c>
      <c r="GB637">
        <v>15.120858060866675</v>
      </c>
      <c r="GC637">
        <v>3.8320253721779953</v>
      </c>
      <c r="GD637">
        <v>1.5206313417078654</v>
      </c>
      <c r="GE637">
        <v>0.35947809610506914</v>
      </c>
      <c r="GF637">
        <v>0.80138167652982462</v>
      </c>
      <c r="GG637">
        <v>4.7322912730722599</v>
      </c>
      <c r="GH637">
        <v>1.6229601285312325</v>
      </c>
      <c r="GI637">
        <v>13.625819252279856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9.5882352941176467</v>
      </c>
      <c r="AO638">
        <v>20.946518787860615</v>
      </c>
      <c r="AP638">
        <v>571.67181188204131</v>
      </c>
      <c r="AQ638">
        <v>60.8682630717866</v>
      </c>
      <c r="AR638">
        <v>19.076270079246804</v>
      </c>
      <c r="AS638">
        <v>117.08752786000082</v>
      </c>
      <c r="AT638" t="e">
        <v>#DIV/0!</v>
      </c>
      <c r="AU638" t="e">
        <v>#DIV/0!</v>
      </c>
      <c r="AV638"/>
      <c r="AW638"/>
      <c r="FY638" s="212">
        <v>633</v>
      </c>
      <c r="FZ638">
        <v>0.91155005935855693</v>
      </c>
      <c r="GA638">
        <v>14.881662688393368</v>
      </c>
      <c r="GB638">
        <v>14.542867711109762</v>
      </c>
      <c r="GC638">
        <v>4.9460026098137977</v>
      </c>
      <c r="GD638">
        <v>1.0368832080864347</v>
      </c>
      <c r="GE638">
        <v>0.71895619221013829</v>
      </c>
      <c r="GF638">
        <v>0.80138167652982462</v>
      </c>
      <c r="GG638">
        <v>4.407519146589534</v>
      </c>
      <c r="GH638">
        <v>3.245920257062465</v>
      </c>
      <c r="GI638">
        <v>7.2754811594739435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10.185110294117644</v>
      </c>
      <c r="AO639">
        <v>36.000806965841619</v>
      </c>
      <c r="AP639">
        <v>774.5803188033359</v>
      </c>
      <c r="AQ639">
        <v>49.033649863099576</v>
      </c>
      <c r="AR639">
        <v>32.728006332583298</v>
      </c>
      <c r="AS639">
        <v>187.76945811047011</v>
      </c>
      <c r="AT639" t="e">
        <v>#DIV/0!</v>
      </c>
      <c r="AU639" t="e">
        <v>#DIV/0!</v>
      </c>
      <c r="AV639"/>
      <c r="AW639"/>
      <c r="FY639" s="212">
        <v>634</v>
      </c>
      <c r="FZ639">
        <v>1.10256564173008</v>
      </c>
      <c r="GA639">
        <v>12.694693980495838</v>
      </c>
      <c r="GB639">
        <v>14.051398281961875</v>
      </c>
      <c r="GC639">
        <v>5.2031101134609798</v>
      </c>
      <c r="GD639">
        <v>0.59424187465875844</v>
      </c>
      <c r="GE639">
        <v>0</v>
      </c>
      <c r="GF639">
        <v>0</v>
      </c>
      <c r="GG639">
        <v>1.9879868987806626</v>
      </c>
      <c r="GH639">
        <v>1.6229601285312325</v>
      </c>
      <c r="GI639">
        <v>12.271685049491671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11.671568627450977</v>
      </c>
      <c r="AO640">
        <v>27.239770516658041</v>
      </c>
      <c r="AP640">
        <v>242.11074433536049</v>
      </c>
      <c r="AQ640">
        <v>67.088823844260389</v>
      </c>
      <c r="AR640">
        <v>24.797408014517192</v>
      </c>
      <c r="AS640">
        <v>132.93924897430566</v>
      </c>
      <c r="AT640" t="e">
        <v>#DIV/0!</v>
      </c>
      <c r="AU640" t="e">
        <v>#DIV/0!</v>
      </c>
      <c r="AV640"/>
      <c r="AW640"/>
      <c r="FY640" s="212">
        <v>635</v>
      </c>
      <c r="FZ640">
        <v>2.2219295059280695</v>
      </c>
      <c r="GA640">
        <v>19.311730378233179</v>
      </c>
      <c r="GB640">
        <v>17.738996074670013</v>
      </c>
      <c r="GC640">
        <v>5.8125425475260482</v>
      </c>
      <c r="GD640">
        <v>0.90821905606685771</v>
      </c>
      <c r="GE640">
        <v>0</v>
      </c>
      <c r="GF640">
        <v>0</v>
      </c>
      <c r="GG640">
        <v>1.6632147722979369</v>
      </c>
      <c r="GH640">
        <v>3.245920257062465</v>
      </c>
      <c r="GI640">
        <v>7.616855715053644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8.8903186274509771</v>
      </c>
      <c r="AO641">
        <v>24.632928480994529</v>
      </c>
      <c r="AP641">
        <v>602.3425009020857</v>
      </c>
      <c r="AQ641">
        <v>38.718599867432815</v>
      </c>
      <c r="AR641">
        <v>22.427551618459461</v>
      </c>
      <c r="AS641">
        <v>217.43295362406442</v>
      </c>
      <c r="AT641" t="e">
        <v>#DIV/0!</v>
      </c>
      <c r="AU641" t="e">
        <v>#DIV/0!</v>
      </c>
      <c r="AV641"/>
      <c r="AW641"/>
      <c r="FY641" s="212">
        <v>636</v>
      </c>
      <c r="FZ641">
        <v>1.46448811481747</v>
      </c>
      <c r="GA641">
        <v>20.628819816547093</v>
      </c>
      <c r="GB641">
        <v>16.42646594539109</v>
      </c>
      <c r="GC641">
        <v>4.9457328587759317</v>
      </c>
      <c r="GD641">
        <v>0.95737307165251762</v>
      </c>
      <c r="GE641">
        <v>0</v>
      </c>
      <c r="GF641">
        <v>0</v>
      </c>
      <c r="GG641">
        <v>1.9879868987806626</v>
      </c>
      <c r="GH641">
        <v>1.6229601285312325</v>
      </c>
      <c r="GI641">
        <v>7.4317692576822285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9.71875</v>
      </c>
      <c r="AO642">
        <v>41.679418398641964</v>
      </c>
      <c r="AP642">
        <v>605.54365833327392</v>
      </c>
      <c r="AQ642">
        <v>71.03267422300226</v>
      </c>
      <c r="AR642">
        <v>37.924360634502577</v>
      </c>
      <c r="AS642">
        <v>256.14490977247618</v>
      </c>
      <c r="AT642" t="e">
        <v>#DIV/0!</v>
      </c>
      <c r="AU642" t="e">
        <v>#DIV/0!</v>
      </c>
      <c r="AV642"/>
      <c r="AW642"/>
      <c r="FY642" s="212">
        <v>637</v>
      </c>
      <c r="FZ642">
        <v>0.1709068907158674</v>
      </c>
      <c r="GA642">
        <v>16.382730602195426</v>
      </c>
      <c r="GB642">
        <v>23.555223172971104</v>
      </c>
      <c r="GC642">
        <v>8.2744324380447818</v>
      </c>
      <c r="GD642">
        <v>0.26091335800767962</v>
      </c>
      <c r="GE642">
        <v>0</v>
      </c>
      <c r="GF642">
        <v>0.80138167652982462</v>
      </c>
      <c r="GG642">
        <v>4.407519146589534</v>
      </c>
      <c r="GH642">
        <v>3.245920257062465</v>
      </c>
      <c r="GI642">
        <v>10.734719190357602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12.072303921568626</v>
      </c>
      <c r="AO643">
        <v>41.225164157362791</v>
      </c>
      <c r="AP643">
        <v>968.67329238390334</v>
      </c>
      <c r="AQ643">
        <v>52.103528498265533</v>
      </c>
      <c r="AR643">
        <v>37.545382505440486</v>
      </c>
      <c r="AS643">
        <v>292.76847468090108</v>
      </c>
      <c r="AT643" t="e">
        <v>#DIV/0!</v>
      </c>
      <c r="AU643" t="e">
        <v>#DIV/0!</v>
      </c>
      <c r="AV643"/>
      <c r="AW643"/>
      <c r="FY643" s="212">
        <v>638</v>
      </c>
      <c r="FZ643">
        <v>0.91155005935855693</v>
      </c>
      <c r="GA643">
        <v>13.067494843747545</v>
      </c>
      <c r="GB643">
        <v>13.868023820449947</v>
      </c>
      <c r="GC643">
        <v>5.3336389168184644</v>
      </c>
      <c r="GD643">
        <v>0.8359652515877104</v>
      </c>
      <c r="GE643">
        <v>0</v>
      </c>
      <c r="GF643">
        <v>1.6027633530596492</v>
      </c>
      <c r="GG643">
        <v>6.0667985048990403</v>
      </c>
      <c r="GH643">
        <v>0</v>
      </c>
      <c r="GI643">
        <v>12.399067324535315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17.498345588235289</v>
      </c>
      <c r="AO644">
        <v>46.639535420092066</v>
      </c>
      <c r="AP644">
        <v>965.89181916742405</v>
      </c>
      <c r="AQ644">
        <v>91.972937962065132</v>
      </c>
      <c r="AR644">
        <v>42.399577654629155</v>
      </c>
      <c r="AS644">
        <v>240.14303518489237</v>
      </c>
      <c r="AT644" t="e">
        <v>#DIV/0!</v>
      </c>
      <c r="AU644" t="e">
        <v>#DIV/0!</v>
      </c>
      <c r="AV644"/>
      <c r="AW644"/>
      <c r="FY644" s="212">
        <v>639</v>
      </c>
      <c r="FZ644">
        <v>2.3760381741760268</v>
      </c>
      <c r="GA644">
        <v>22.980958124841436</v>
      </c>
      <c r="GB644">
        <v>13.610441934309426</v>
      </c>
      <c r="GC644">
        <v>2.989885440231931</v>
      </c>
      <c r="GD644">
        <v>0.67208715815290332</v>
      </c>
      <c r="GE644">
        <v>0</v>
      </c>
      <c r="GF644">
        <v>0</v>
      </c>
      <c r="GG644">
        <v>1.9879868987806626</v>
      </c>
      <c r="GH644">
        <v>1.6229601285312325</v>
      </c>
      <c r="GI644">
        <v>6.5757356962914884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9.7757352941176467</v>
      </c>
      <c r="AO645">
        <v>22.667214910192389</v>
      </c>
      <c r="AP645">
        <v>591.36805946075208</v>
      </c>
      <c r="AQ645">
        <v>75.134048922532813</v>
      </c>
      <c r="AR645">
        <v>20.6405392813666</v>
      </c>
      <c r="AS645">
        <v>188.85594779578605</v>
      </c>
      <c r="AT645" t="e">
        <v>#DIV/0!</v>
      </c>
      <c r="AU645" t="e">
        <v>#DIV/0!</v>
      </c>
      <c r="AV645"/>
      <c r="AW645"/>
      <c r="FY645" s="212">
        <v>640</v>
      </c>
      <c r="FZ645">
        <v>1.273472532445947</v>
      </c>
      <c r="GA645">
        <v>9.7287675517440597</v>
      </c>
      <c r="GB645">
        <v>16.228992507946987</v>
      </c>
      <c r="GC645">
        <v>7.9472990136938071</v>
      </c>
      <c r="GD645">
        <v>1.5363909333463641</v>
      </c>
      <c r="GE645">
        <v>0.35947809610506914</v>
      </c>
      <c r="GF645">
        <v>0</v>
      </c>
      <c r="GG645">
        <v>0.57818975631584713</v>
      </c>
      <c r="GH645">
        <v>0</v>
      </c>
      <c r="GI645">
        <v>13.890660195324752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16.465747549019611</v>
      </c>
      <c r="AO646">
        <v>33.878598395611434</v>
      </c>
      <c r="AP646">
        <v>619.20843531366984</v>
      </c>
      <c r="AQ646">
        <v>69.310467412884634</v>
      </c>
      <c r="AR646">
        <v>30.832706086292998</v>
      </c>
      <c r="AS646">
        <v>183.75922417483395</v>
      </c>
      <c r="AT646" t="e">
        <v>#DIV/0!</v>
      </c>
      <c r="AU646" t="e">
        <v>#DIV/0!</v>
      </c>
      <c r="AV646"/>
      <c r="AW646"/>
      <c r="FY646" s="212">
        <v>641</v>
      </c>
      <c r="FZ646">
        <v>1.8264105879048604</v>
      </c>
      <c r="GA646">
        <v>19.758588798262547</v>
      </c>
      <c r="GB646">
        <v>18.701656315976454</v>
      </c>
      <c r="GC646">
        <v>5.8597717698122498</v>
      </c>
      <c r="GD646">
        <v>0.69686861824662838</v>
      </c>
      <c r="GE646">
        <v>0</v>
      </c>
      <c r="GF646">
        <v>0</v>
      </c>
      <c r="GG646">
        <v>1.9879868987806626</v>
      </c>
      <c r="GH646">
        <v>1.6229601285312325</v>
      </c>
      <c r="GI646">
        <v>9.6972015950620118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7.9302083333333311</v>
      </c>
      <c r="AO647">
        <v>24.69091673527652</v>
      </c>
      <c r="AP647">
        <v>518.02260831001172</v>
      </c>
      <c r="AQ647">
        <v>59.613368460815337</v>
      </c>
      <c r="AR647">
        <v>22.548228757462851</v>
      </c>
      <c r="AS647">
        <v>183.42226099332626</v>
      </c>
      <c r="AT647" t="e">
        <v>#DIV/0!</v>
      </c>
      <c r="AU647" t="e">
        <v>#DIV/0!</v>
      </c>
      <c r="AV647"/>
      <c r="AW647"/>
      <c r="FY647" s="212">
        <v>642</v>
      </c>
      <c r="FZ647">
        <v>0.72384494617478023</v>
      </c>
      <c r="GA647">
        <v>17.47423767142547</v>
      </c>
      <c r="GB647">
        <v>13.147885766474415</v>
      </c>
      <c r="GC647">
        <v>3.3441262521600179</v>
      </c>
      <c r="GD647">
        <v>0.68059492814114353</v>
      </c>
      <c r="GE647">
        <v>0.35947809610506914</v>
      </c>
      <c r="GF647">
        <v>2.4041450295894737</v>
      </c>
      <c r="GG647">
        <v>9.0645205090237582</v>
      </c>
      <c r="GH647">
        <v>1.6229601285312325</v>
      </c>
      <c r="GI647">
        <v>9.7066781622753631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14.867095588235292</v>
      </c>
      <c r="AO648">
        <v>47.105130091797704</v>
      </c>
      <c r="AP648">
        <v>937.02008248155641</v>
      </c>
      <c r="AQ648">
        <v>71.290664332552538</v>
      </c>
      <c r="AR648">
        <v>42.890806082199504</v>
      </c>
      <c r="AS648">
        <v>242.90519052116119</v>
      </c>
      <c r="AT648" t="e">
        <v>#DIV/0!</v>
      </c>
      <c r="AU648" t="e">
        <v>#DIV/0!</v>
      </c>
      <c r="AV648"/>
      <c r="AW648"/>
      <c r="FY648" s="212">
        <v>643</v>
      </c>
      <c r="FZ648">
        <v>0</v>
      </c>
      <c r="GA648">
        <v>23.513287825159104</v>
      </c>
      <c r="GB648">
        <v>19.442986886924501</v>
      </c>
      <c r="GC648">
        <v>4.9215563382296867</v>
      </c>
      <c r="GD648">
        <v>0.58203934653228517</v>
      </c>
      <c r="GE648">
        <v>0.35947809610506914</v>
      </c>
      <c r="GF648">
        <v>1.6027633530596492</v>
      </c>
      <c r="GG648">
        <v>6.0667985048990403</v>
      </c>
      <c r="GH648">
        <v>0</v>
      </c>
      <c r="GI648">
        <v>12.643775132249111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7.8934436274509805</v>
      </c>
      <c r="AO649">
        <v>14.279504108813839</v>
      </c>
      <c r="AP649">
        <v>253.83958563006723</v>
      </c>
      <c r="AQ649">
        <v>52.76822470862782</v>
      </c>
      <c r="AR649">
        <v>12.981367371648945</v>
      </c>
      <c r="AS649">
        <v>107.27029740346326</v>
      </c>
      <c r="AT649" t="e">
        <v>#DIV/0!</v>
      </c>
      <c r="AU649" t="e">
        <v>#DIV/0!</v>
      </c>
      <c r="AV649"/>
      <c r="AW649"/>
      <c r="FY649" s="212">
        <v>644</v>
      </c>
      <c r="FZ649">
        <v>1.5984880914097728</v>
      </c>
      <c r="GA649">
        <v>18.60038745566106</v>
      </c>
      <c r="GB649">
        <v>10.883205253535323</v>
      </c>
      <c r="GC649">
        <v>1.7457255744170062</v>
      </c>
      <c r="GD649">
        <v>0.58913199334973554</v>
      </c>
      <c r="GE649">
        <v>0.35947809610506914</v>
      </c>
      <c r="GF649">
        <v>0.80138167652982462</v>
      </c>
      <c r="GG649">
        <v>2.7443043742915965</v>
      </c>
      <c r="GH649">
        <v>0</v>
      </c>
      <c r="GI649">
        <v>5.4152914536535484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11.015318627450981</v>
      </c>
      <c r="AO650">
        <v>41.12734602506027</v>
      </c>
      <c r="AP650">
        <v>752.48979974022814</v>
      </c>
      <c r="AQ650">
        <v>49.528641969111099</v>
      </c>
      <c r="AR650">
        <v>37.422476658519216</v>
      </c>
      <c r="AS650">
        <v>244.98302097572855</v>
      </c>
      <c r="AT650" t="e">
        <v>#DIV/0!</v>
      </c>
      <c r="AU650" t="e">
        <v>#DIV/0!</v>
      </c>
      <c r="AV650"/>
      <c r="AW650"/>
      <c r="FY650" s="212">
        <v>645</v>
      </c>
      <c r="FZ650">
        <v>1.273472532445947</v>
      </c>
      <c r="GA650">
        <v>7.8360580314244945</v>
      </c>
      <c r="GB650">
        <v>13.434477146968415</v>
      </c>
      <c r="GC650">
        <v>5.7490530953730463</v>
      </c>
      <c r="GD650">
        <v>0.61214340663849254</v>
      </c>
      <c r="GE650">
        <v>0</v>
      </c>
      <c r="GF650">
        <v>1.6027633530596492</v>
      </c>
      <c r="GG650">
        <v>7.1518235208811305</v>
      </c>
      <c r="GH650">
        <v>3.245920257062465</v>
      </c>
      <c r="GI650">
        <v>9.7334007538319085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13.066789215686276</v>
      </c>
      <c r="AO651">
        <v>25.104077777290041</v>
      </c>
      <c r="AP651">
        <v>316.53859144446886</v>
      </c>
      <c r="AQ651">
        <v>58.519408306838216</v>
      </c>
      <c r="AR651">
        <v>22.821888888445493</v>
      </c>
      <c r="AS651">
        <v>133.33567295188195</v>
      </c>
      <c r="AT651" t="e">
        <v>#DIV/0!</v>
      </c>
      <c r="AU651" t="e">
        <v>#DIV/0!</v>
      </c>
      <c r="AV651"/>
      <c r="AW651"/>
      <c r="FY651" s="212">
        <v>646</v>
      </c>
      <c r="FZ651">
        <v>0</v>
      </c>
      <c r="GA651">
        <v>26.493978400679211</v>
      </c>
      <c r="GB651">
        <v>18.415694008527907</v>
      </c>
      <c r="GC651">
        <v>4.3949518740324107</v>
      </c>
      <c r="GD651">
        <v>1.039326528191197</v>
      </c>
      <c r="GE651">
        <v>0.35947809610506914</v>
      </c>
      <c r="GF651">
        <v>0.80138167652982462</v>
      </c>
      <c r="GG651">
        <v>2.7443043742915965</v>
      </c>
      <c r="GH651">
        <v>0</v>
      </c>
      <c r="GI651">
        <v>10.052939727749326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8.7028186274509789</v>
      </c>
      <c r="AO652">
        <v>28.429517781810933</v>
      </c>
      <c r="AP652">
        <v>611.97485100771235</v>
      </c>
      <c r="AQ652">
        <v>55.465596092178224</v>
      </c>
      <c r="AR652">
        <v>25.912976709484251</v>
      </c>
      <c r="AS652">
        <v>140.47095606829944</v>
      </c>
      <c r="AT652" t="e">
        <v>#DIV/0!</v>
      </c>
      <c r="AU652" t="e">
        <v>#DIV/0!</v>
      </c>
      <c r="AV652"/>
      <c r="AW652"/>
      <c r="FY652" s="212">
        <v>647</v>
      </c>
      <c r="FZ652">
        <v>0.6836275628634696</v>
      </c>
      <c r="GA652">
        <v>14.053967217979229</v>
      </c>
      <c r="GB652">
        <v>15.397786092465186</v>
      </c>
      <c r="GC652">
        <v>5.2951480934814938</v>
      </c>
      <c r="GD652">
        <v>0.87838387496316561</v>
      </c>
      <c r="GE652">
        <v>0.71895619221013829</v>
      </c>
      <c r="GF652">
        <v>0.80138167652982462</v>
      </c>
      <c r="GG652">
        <v>3.5759117604405652</v>
      </c>
      <c r="GH652">
        <v>1.6229601285312325</v>
      </c>
      <c r="GI652">
        <v>10.922588123421436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8.3468750000000007</v>
      </c>
      <c r="AO653">
        <v>21.89575967381905</v>
      </c>
      <c r="AP653">
        <v>296.08739242809469</v>
      </c>
      <c r="AQ653">
        <v>67.833746732474282</v>
      </c>
      <c r="AR653">
        <v>19.90523606710823</v>
      </c>
      <c r="AS653">
        <v>144.38301034747116</v>
      </c>
      <c r="AT653" t="e">
        <v>#DIV/0!</v>
      </c>
      <c r="AU653" t="e">
        <v>#DIV/0!</v>
      </c>
      <c r="AV653"/>
      <c r="AW653"/>
      <c r="FY653" s="212">
        <v>648</v>
      </c>
      <c r="FZ653">
        <v>1.10256564173008</v>
      </c>
      <c r="GA653">
        <v>10.568310424460503</v>
      </c>
      <c r="GB653">
        <v>13.536943859298011</v>
      </c>
      <c r="GC653">
        <v>6.6453881369765071</v>
      </c>
      <c r="GD653">
        <v>1.9140111347116182</v>
      </c>
      <c r="GE653">
        <v>0.71895619221013829</v>
      </c>
      <c r="GF653">
        <v>0</v>
      </c>
      <c r="GG653">
        <v>1.1563795126316943</v>
      </c>
      <c r="GH653">
        <v>0</v>
      </c>
      <c r="GI653">
        <v>9.013318123865492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10.70906862745098</v>
      </c>
      <c r="AO654">
        <v>30.439819145440634</v>
      </c>
      <c r="AP654">
        <v>739.82748365890143</v>
      </c>
      <c r="AQ654">
        <v>54.08530207445623</v>
      </c>
      <c r="AR654">
        <v>27.672562859491482</v>
      </c>
      <c r="AS654">
        <v>156.36491964754259</v>
      </c>
      <c r="AT654" t="e">
        <v>#DIV/0!</v>
      </c>
      <c r="AU654" t="e">
        <v>#DIV/0!</v>
      </c>
      <c r="AV654"/>
      <c r="AW654"/>
      <c r="FY654" s="212">
        <v>649</v>
      </c>
      <c r="FZ654">
        <v>0.91155005935855693</v>
      </c>
      <c r="GA654">
        <v>22.815788524444624</v>
      </c>
      <c r="GB654">
        <v>13.632795770920117</v>
      </c>
      <c r="GC654">
        <v>2.4808099384604749</v>
      </c>
      <c r="GD654">
        <v>0.4303637812239513</v>
      </c>
      <c r="GE654">
        <v>0</v>
      </c>
      <c r="GF654">
        <v>0</v>
      </c>
      <c r="GG654">
        <v>0.57818975631584713</v>
      </c>
      <c r="GH654">
        <v>0</v>
      </c>
      <c r="GI654">
        <v>6.8095093262718489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10.832720588235292</v>
      </c>
      <c r="AO655">
        <v>29.725404780598204</v>
      </c>
      <c r="AP655">
        <v>679.67576657572261</v>
      </c>
      <c r="AQ655">
        <v>52.816093555315106</v>
      </c>
      <c r="AR655">
        <v>27.091055799290864</v>
      </c>
      <c r="AS655">
        <v>148.15122051170431</v>
      </c>
      <c r="AT655" t="e">
        <v>#DIV/0!</v>
      </c>
      <c r="AU655" t="e">
        <v>#DIV/0!</v>
      </c>
      <c r="AV655"/>
      <c r="AW655"/>
      <c r="FY655" s="212">
        <v>650</v>
      </c>
      <c r="FZ655">
        <v>0.91155005935855693</v>
      </c>
      <c r="GA655">
        <v>16.156624101235487</v>
      </c>
      <c r="GB655">
        <v>10.360116994074433</v>
      </c>
      <c r="GC655">
        <v>2.951255810180331</v>
      </c>
      <c r="GD655">
        <v>1.1922535315330012</v>
      </c>
      <c r="GE655">
        <v>0.35947809610506914</v>
      </c>
      <c r="GF655">
        <v>0.80138167652982462</v>
      </c>
      <c r="GG655">
        <v>5.3104810293881073</v>
      </c>
      <c r="GH655">
        <v>1.6229601285312325</v>
      </c>
      <c r="GI655">
        <v>8.9835386757472957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11.973651960784315</v>
      </c>
      <c r="AO656">
        <v>33.588577906142625</v>
      </c>
      <c r="AP656">
        <v>402.64029817623396</v>
      </c>
      <c r="AQ656">
        <v>51.543250586922824</v>
      </c>
      <c r="AR656">
        <v>30.569051095866808</v>
      </c>
      <c r="AS656">
        <v>284.53123242091254</v>
      </c>
      <c r="AT656" t="e">
        <v>#DIV/0!</v>
      </c>
      <c r="AU656" t="e">
        <v>#DIV/0!</v>
      </c>
      <c r="AV656"/>
      <c r="AW656"/>
      <c r="FY656" s="212">
        <v>651</v>
      </c>
      <c r="FZ656">
        <v>1.273472532445947</v>
      </c>
      <c r="GA656">
        <v>20.615180446039069</v>
      </c>
      <c r="GB656">
        <v>18.462934163277517</v>
      </c>
      <c r="GC656">
        <v>5.683110287664201</v>
      </c>
      <c r="GD656">
        <v>0.90848793506937298</v>
      </c>
      <c r="GE656">
        <v>0.35947809610506914</v>
      </c>
      <c r="GF656">
        <v>0.80138167652982462</v>
      </c>
      <c r="GG656">
        <v>4.1541015167564126</v>
      </c>
      <c r="GH656">
        <v>1.6229601285312325</v>
      </c>
      <c r="GI656">
        <v>11.061391038133877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10.619485294117645</v>
      </c>
      <c r="AO657">
        <v>31.976757261216203</v>
      </c>
      <c r="AP657">
        <v>650.87536822240145</v>
      </c>
      <c r="AQ657">
        <v>60.151444712576641</v>
      </c>
      <c r="AR657">
        <v>29.171720144680737</v>
      </c>
      <c r="AS657">
        <v>192.59035046123597</v>
      </c>
      <c r="AT657" t="e">
        <v>#DIV/0!</v>
      </c>
      <c r="AU657" t="e">
        <v>#DIV/0!</v>
      </c>
      <c r="AV657"/>
      <c r="AW657"/>
      <c r="FY657" s="212">
        <v>652</v>
      </c>
      <c r="FZ657">
        <v>0.53282936380325752</v>
      </c>
      <c r="GA657">
        <v>11.787332058147655</v>
      </c>
      <c r="GB657">
        <v>10.340371217089958</v>
      </c>
      <c r="GC657">
        <v>4.0689243922537548</v>
      </c>
      <c r="GD657">
        <v>1.2998309815970863</v>
      </c>
      <c r="GE657">
        <v>0.35947809610506914</v>
      </c>
      <c r="GF657">
        <v>0.80138167652982462</v>
      </c>
      <c r="GG657">
        <v>4.1541015167564126</v>
      </c>
      <c r="GH657">
        <v>1.6229601285312325</v>
      </c>
      <c r="GI657">
        <v>6.6482687326637793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6.1864583333333334</v>
      </c>
      <c r="AO658">
        <v>23.671819703132918</v>
      </c>
      <c r="AP658">
        <v>860.24607556984506</v>
      </c>
      <c r="AQ658">
        <v>58.528471489900724</v>
      </c>
      <c r="AR658">
        <v>21.587796637958782</v>
      </c>
      <c r="AS658">
        <v>126.10649827787006</v>
      </c>
      <c r="AT658" t="e">
        <v>#DIV/0!</v>
      </c>
      <c r="AU658" t="e">
        <v>#DIV/0!</v>
      </c>
      <c r="AV658"/>
      <c r="AW658"/>
      <c r="FY658" s="212">
        <v>653</v>
      </c>
      <c r="FZ658">
        <v>1.6353950055333373</v>
      </c>
      <c r="GA658">
        <v>12.833820808031776</v>
      </c>
      <c r="GB658">
        <v>16.18179207757699</v>
      </c>
      <c r="GC658">
        <v>6.781217296350154</v>
      </c>
      <c r="GD658">
        <v>1.1395616016688492</v>
      </c>
      <c r="GE658">
        <v>0</v>
      </c>
      <c r="GF658">
        <v>0</v>
      </c>
      <c r="GG658">
        <v>1.4097971424648157</v>
      </c>
      <c r="GH658">
        <v>1.6229601285312325</v>
      </c>
      <c r="GI658">
        <v>11.448770231475352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8.5895833333333336</v>
      </c>
      <c r="AO659">
        <v>34.493620574273649</v>
      </c>
      <c r="AP659">
        <v>966.08809777966417</v>
      </c>
      <c r="AQ659">
        <v>69.13268548315844</v>
      </c>
      <c r="AR659">
        <v>31.357836885703321</v>
      </c>
      <c r="AS659">
        <v>163.93295337280247</v>
      </c>
      <c r="AT659" t="e">
        <v>#DIV/0!</v>
      </c>
      <c r="AU659" t="e">
        <v>#DIV/0!</v>
      </c>
      <c r="AV659"/>
      <c r="AW659"/>
      <c r="FY659" s="212">
        <v>654</v>
      </c>
      <c r="FZ659">
        <v>0.5127206721476022</v>
      </c>
      <c r="GA659">
        <v>16.785700896721742</v>
      </c>
      <c r="GB659">
        <v>14.076141131545215</v>
      </c>
      <c r="GC659">
        <v>4.8334946495488111</v>
      </c>
      <c r="GD659">
        <v>1.2892887961058741</v>
      </c>
      <c r="GE659">
        <v>0.35947809610506914</v>
      </c>
      <c r="GF659">
        <v>2.4041450295894737</v>
      </c>
      <c r="GG659">
        <v>8.2329131228747894</v>
      </c>
      <c r="GH659">
        <v>0</v>
      </c>
      <c r="GI659">
        <v>9.726425441881025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5.0343749999999998</v>
      </c>
      <c r="AO660">
        <v>15.38328171789424</v>
      </c>
      <c r="AP660">
        <v>310.60177912600454</v>
      </c>
      <c r="AQ660">
        <v>42.737393968952944</v>
      </c>
      <c r="AR660">
        <v>14.086742378024415</v>
      </c>
      <c r="AS660">
        <v>78.67283081826578</v>
      </c>
      <c r="AT660" t="e">
        <v>#DIV/0!</v>
      </c>
      <c r="AU660" t="e">
        <v>#DIV/0!</v>
      </c>
      <c r="AV660"/>
      <c r="AW660"/>
      <c r="FY660" s="212">
        <v>655</v>
      </c>
      <c r="FZ660">
        <v>1.46448811481747</v>
      </c>
      <c r="GA660">
        <v>4.2141596830458043</v>
      </c>
      <c r="GB660">
        <v>5.1497726838282194</v>
      </c>
      <c r="GC660">
        <v>2.8342014645056741</v>
      </c>
      <c r="GD660">
        <v>0.89741017090457409</v>
      </c>
      <c r="GE660">
        <v>0</v>
      </c>
      <c r="GF660">
        <v>1.6027633530596492</v>
      </c>
      <c r="GG660">
        <v>6.8984058910480091</v>
      </c>
      <c r="GH660">
        <v>1.6229601285312325</v>
      </c>
      <c r="GI660">
        <v>5.1476412303413079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9.3028186274509785</v>
      </c>
      <c r="AO661">
        <v>21.116052480335419</v>
      </c>
      <c r="AP661">
        <v>440.93732954121515</v>
      </c>
      <c r="AQ661">
        <v>50.639112097685548</v>
      </c>
      <c r="AR661">
        <v>19.230391617860267</v>
      </c>
      <c r="AS661">
        <v>118.62140901991611</v>
      </c>
      <c r="AT661" t="e">
        <v>#DIV/0!</v>
      </c>
      <c r="AU661" t="e">
        <v>#DIV/0!</v>
      </c>
      <c r="AV661"/>
      <c r="AW661"/>
      <c r="FY661" s="212">
        <v>656</v>
      </c>
      <c r="FZ661">
        <v>0.74064316864268975</v>
      </c>
      <c r="GA661">
        <v>7.5528869750492902</v>
      </c>
      <c r="GB661">
        <v>8.0647534628571762</v>
      </c>
      <c r="GC661">
        <v>3.2634852878060796</v>
      </c>
      <c r="GD661">
        <v>0.48473520295689748</v>
      </c>
      <c r="GE661">
        <v>0</v>
      </c>
      <c r="GF661">
        <v>2.4041450295894737</v>
      </c>
      <c r="GG661">
        <v>10.220900021655453</v>
      </c>
      <c r="GH661">
        <v>1.6229601285312325</v>
      </c>
      <c r="GI661">
        <v>10.991936025876482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8.5656250000000007</v>
      </c>
      <c r="AO662">
        <v>30.520628507753365</v>
      </c>
      <c r="AP662">
        <v>674.1853547029159</v>
      </c>
      <c r="AQ662">
        <v>64.302054686106544</v>
      </c>
      <c r="AR662">
        <v>27.746025916139423</v>
      </c>
      <c r="AS662">
        <v>144.88503775865823</v>
      </c>
      <c r="AT662" t="e">
        <v>#DIV/0!</v>
      </c>
      <c r="AU662" t="e">
        <v>#DIV/0!</v>
      </c>
      <c r="AV662"/>
      <c r="AW662"/>
      <c r="FY662" s="212">
        <v>657</v>
      </c>
      <c r="FZ662">
        <v>1.10256564173008</v>
      </c>
      <c r="GA662">
        <v>17.29009252454361</v>
      </c>
      <c r="GB662">
        <v>13.905487354585452</v>
      </c>
      <c r="GC662">
        <v>4.1099994737714995</v>
      </c>
      <c r="GD662">
        <v>0.85004535135741521</v>
      </c>
      <c r="GE662">
        <v>0.35947809610506914</v>
      </c>
      <c r="GF662">
        <v>0.80138167652982462</v>
      </c>
      <c r="GG662">
        <v>4.9857089029053814</v>
      </c>
      <c r="GH662">
        <v>3.245920257062465</v>
      </c>
      <c r="GI662">
        <v>9.6335223203208784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8.6489583333333311</v>
      </c>
      <c r="AO663">
        <v>28.569305638565243</v>
      </c>
      <c r="AP663">
        <v>263.32149942011119</v>
      </c>
      <c r="AQ663">
        <v>53.950710722885731</v>
      </c>
      <c r="AR663">
        <v>25.972096035059309</v>
      </c>
      <c r="AS663">
        <v>152.84743650426634</v>
      </c>
      <c r="AT663" t="e">
        <v>#DIV/0!</v>
      </c>
      <c r="AU663" t="e">
        <v>#DIV/0!</v>
      </c>
      <c r="AV663"/>
      <c r="AW663"/>
      <c r="FY663" s="212">
        <v>658</v>
      </c>
      <c r="FZ663">
        <v>1.6353950055333373</v>
      </c>
      <c r="GA663">
        <v>22.24000177104525</v>
      </c>
      <c r="GB663">
        <v>19.159294520018967</v>
      </c>
      <c r="GC663">
        <v>6.2323446017050088</v>
      </c>
      <c r="GD663">
        <v>1.3953650783675058</v>
      </c>
      <c r="GE663">
        <v>0.35947809610506914</v>
      </c>
      <c r="GF663">
        <v>0</v>
      </c>
      <c r="GG663">
        <v>0</v>
      </c>
      <c r="GH663">
        <v>0</v>
      </c>
      <c r="GI663">
        <v>7.8717047344919697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9.5674019607843128</v>
      </c>
      <c r="AO664">
        <v>26.039841796237738</v>
      </c>
      <c r="AP664">
        <v>606.91191993469386</v>
      </c>
      <c r="AQ664">
        <v>44.655873025884034</v>
      </c>
      <c r="AR664">
        <v>23.706563723226004</v>
      </c>
      <c r="AS664">
        <v>207.14529692371943</v>
      </c>
      <c r="AT664" t="e">
        <v>#DIV/0!</v>
      </c>
      <c r="AU664" t="e">
        <v>#DIV/0!</v>
      </c>
      <c r="AV664"/>
      <c r="AW664"/>
      <c r="FY664" s="212">
        <v>659</v>
      </c>
      <c r="FZ664">
        <v>0.1709068907158674</v>
      </c>
      <c r="GA664">
        <v>19.085419625923631</v>
      </c>
      <c r="GB664">
        <v>14.443170149702425</v>
      </c>
      <c r="GC664">
        <v>3.7339923878022816</v>
      </c>
      <c r="GD664">
        <v>0.5095166630506226</v>
      </c>
      <c r="GE664">
        <v>0</v>
      </c>
      <c r="GF664">
        <v>0.80138167652982462</v>
      </c>
      <c r="GG664">
        <v>2.7443043742915965</v>
      </c>
      <c r="GH664">
        <v>0</v>
      </c>
      <c r="GI664">
        <v>11.821083303203187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8.5465686274509789</v>
      </c>
      <c r="AO665">
        <v>23.782687756977754</v>
      </c>
      <c r="AP665">
        <v>446.7950975175674</v>
      </c>
      <c r="AQ665">
        <v>47.659007156995422</v>
      </c>
      <c r="AR665">
        <v>21.620625233616135</v>
      </c>
      <c r="AS665">
        <v>126.73439081569813</v>
      </c>
      <c r="AT665" t="e">
        <v>#DIV/0!</v>
      </c>
      <c r="AU665" t="e">
        <v>#DIV/0!</v>
      </c>
      <c r="AV665"/>
      <c r="AW665"/>
      <c r="FY665" s="212">
        <v>660</v>
      </c>
      <c r="FZ665">
        <v>1.4443794231618146</v>
      </c>
      <c r="GA665">
        <v>24.237078794417759</v>
      </c>
      <c r="GB665">
        <v>19.642652557043906</v>
      </c>
      <c r="GC665">
        <v>6.163995479967932</v>
      </c>
      <c r="GD665">
        <v>1.4111246700060045</v>
      </c>
      <c r="GE665">
        <v>0.35947809610506914</v>
      </c>
      <c r="GF665">
        <v>0.80138167652982462</v>
      </c>
      <c r="GG665">
        <v>4.1541015167564126</v>
      </c>
      <c r="GH665">
        <v>1.6229601285312325</v>
      </c>
      <c r="GI665">
        <v>12.231128079829164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9.1642769607843118</v>
      </c>
      <c r="AO666">
        <v>33.965748677948376</v>
      </c>
      <c r="AP666">
        <v>1043.3123011210866</v>
      </c>
      <c r="AQ666">
        <v>48.649640102683342</v>
      </c>
      <c r="AR666">
        <v>30.877953343589436</v>
      </c>
      <c r="AS666">
        <v>149.2212654182438</v>
      </c>
      <c r="AT666" t="e">
        <v>#DIV/0!</v>
      </c>
      <c r="AU666" t="e">
        <v>#DIV/0!</v>
      </c>
      <c r="AV666"/>
      <c r="AW666"/>
      <c r="FY666" s="212">
        <v>661</v>
      </c>
      <c r="FZ666">
        <v>0.53282936380325752</v>
      </c>
      <c r="GA666">
        <v>20.107898127958649</v>
      </c>
      <c r="GB666">
        <v>13.561046004147439</v>
      </c>
      <c r="GC666">
        <v>2.8416783249727873</v>
      </c>
      <c r="GD666">
        <v>0.57858980785852321</v>
      </c>
      <c r="GE666">
        <v>0.35947809610506914</v>
      </c>
      <c r="GF666">
        <v>1.6027633530596492</v>
      </c>
      <c r="GG666">
        <v>6.8984058910480091</v>
      </c>
      <c r="GH666">
        <v>1.6229601285312325</v>
      </c>
      <c r="GI666">
        <v>7.2815063425879254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10.622610294117647</v>
      </c>
      <c r="AO667">
        <v>37.94688909167126</v>
      </c>
      <c r="AP667">
        <v>602.05610487760282</v>
      </c>
      <c r="AQ667">
        <v>64.942497820552518</v>
      </c>
      <c r="AR667">
        <v>34.531152173620121</v>
      </c>
      <c r="AS667">
        <v>173.35981879136284</v>
      </c>
      <c r="AT667" t="e">
        <v>#DIV/0!</v>
      </c>
      <c r="AU667" t="e">
        <v>#DIV/0!</v>
      </c>
      <c r="AV667"/>
      <c r="AW667"/>
      <c r="FY667" s="212">
        <v>662</v>
      </c>
      <c r="FZ667">
        <v>0.70373625451912492</v>
      </c>
      <c r="GA667">
        <v>23.227715531014695</v>
      </c>
      <c r="GB667">
        <v>23.036751185064045</v>
      </c>
      <c r="GC667">
        <v>6.7540643677056451</v>
      </c>
      <c r="GD667">
        <v>0.42134191276872479</v>
      </c>
      <c r="GE667">
        <v>0</v>
      </c>
      <c r="GF667">
        <v>0.80138167652982462</v>
      </c>
      <c r="GG667">
        <v>4.7322912730722599</v>
      </c>
      <c r="GH667">
        <v>1.6229601285312325</v>
      </c>
      <c r="GI667">
        <v>11.370573453190005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5.3781249999999998</v>
      </c>
      <c r="AO668">
        <v>23.522244375328434</v>
      </c>
      <c r="AP668">
        <v>518.72661491750034</v>
      </c>
      <c r="AQ668">
        <v>41.615478163478031</v>
      </c>
      <c r="AR668">
        <v>21.417838795126642</v>
      </c>
      <c r="AS668">
        <v>101.63556781162977</v>
      </c>
      <c r="AT668" t="e">
        <v>#DIV/0!</v>
      </c>
      <c r="AU668" t="e">
        <v>#DIV/0!</v>
      </c>
      <c r="AV668"/>
      <c r="AW668"/>
      <c r="FY668" s="212">
        <v>663</v>
      </c>
      <c r="FZ668">
        <v>0.36192247308739012</v>
      </c>
      <c r="GA668">
        <v>21.475040586982541</v>
      </c>
      <c r="GB668">
        <v>23.311183260989576</v>
      </c>
      <c r="GC668">
        <v>7.5884761456109029</v>
      </c>
      <c r="GD668">
        <v>0.71069898824735089</v>
      </c>
      <c r="GE668">
        <v>0</v>
      </c>
      <c r="GF668">
        <v>0.80138167652982462</v>
      </c>
      <c r="GG668">
        <v>4.9857089029053814</v>
      </c>
      <c r="GH668">
        <v>3.245920257062465</v>
      </c>
      <c r="GI668">
        <v>9.8869203832937149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10.661151960784313</v>
      </c>
      <c r="AO669">
        <v>34.799367144910207</v>
      </c>
      <c r="AP669">
        <v>450.96026015639416</v>
      </c>
      <c r="AQ669">
        <v>53.05331429163251</v>
      </c>
      <c r="AR669">
        <v>31.703748857756317</v>
      </c>
      <c r="AS669">
        <v>205.86521395405828</v>
      </c>
      <c r="AT669" t="e">
        <v>#DIV/0!</v>
      </c>
      <c r="AU669" t="e">
        <v>#DIV/0!</v>
      </c>
      <c r="AV669"/>
      <c r="AW669"/>
      <c r="FY669" s="212">
        <v>664</v>
      </c>
      <c r="FZ669">
        <v>1.4812863372853795</v>
      </c>
      <c r="GA669">
        <v>17.313584058099213</v>
      </c>
      <c r="GB669">
        <v>18.306848151525863</v>
      </c>
      <c r="GC669">
        <v>7.0635221605247809</v>
      </c>
      <c r="GD669">
        <v>1.5683725650958029</v>
      </c>
      <c r="GE669">
        <v>0.71895619221013829</v>
      </c>
      <c r="GF669">
        <v>1.6027633530596492</v>
      </c>
      <c r="GG669">
        <v>7.7300132771969778</v>
      </c>
      <c r="GH669">
        <v>3.245920257062465</v>
      </c>
      <c r="GI669">
        <v>10.762075302553596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7.3531250000000004</v>
      </c>
      <c r="AO670">
        <v>30.184666357700877</v>
      </c>
      <c r="AP670">
        <v>674.92426826644987</v>
      </c>
      <c r="AQ670">
        <v>58.220307836519602</v>
      </c>
      <c r="AR670">
        <v>27.44060577972807</v>
      </c>
      <c r="AS670">
        <v>237.60723488471828</v>
      </c>
      <c r="AT670" t="e">
        <v>#DIV/0!</v>
      </c>
      <c r="AU670" t="e">
        <v>#DIV/0!</v>
      </c>
      <c r="AV670"/>
      <c r="AW670"/>
      <c r="FY670" s="212">
        <v>665</v>
      </c>
      <c r="FZ670">
        <v>1.4812863372853795</v>
      </c>
      <c r="GA670">
        <v>23.336710213033072</v>
      </c>
      <c r="GB670">
        <v>24.259851878226726</v>
      </c>
      <c r="GC670">
        <v>7.52970751462904</v>
      </c>
      <c r="GD670">
        <v>0.93680730944159052</v>
      </c>
      <c r="GE670">
        <v>0.71895619221013829</v>
      </c>
      <c r="GF670">
        <v>0.80138167652982462</v>
      </c>
      <c r="GG670">
        <v>4.7322912730722599</v>
      </c>
      <c r="GH670">
        <v>1.6229601285312325</v>
      </c>
      <c r="GI670">
        <v>12.708175416002135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6.2194852941176482</v>
      </c>
      <c r="AO671">
        <v>20.579977679160102</v>
      </c>
      <c r="AP671">
        <v>676.59701378011596</v>
      </c>
      <c r="AQ671">
        <v>29.831802720081939</v>
      </c>
      <c r="AR671">
        <v>18.77703116161986</v>
      </c>
      <c r="AS671">
        <v>88.523950099421498</v>
      </c>
      <c r="AT671" t="e">
        <v>#DIV/0!</v>
      </c>
      <c r="AU671" t="e">
        <v>#DIV/0!</v>
      </c>
      <c r="AV671"/>
      <c r="AW671"/>
      <c r="FY671" s="212">
        <v>666</v>
      </c>
      <c r="FZ671">
        <v>2.1850225918045041</v>
      </c>
      <c r="GA671">
        <v>8.4896956572278164</v>
      </c>
      <c r="GB671">
        <v>7.4989290652645355</v>
      </c>
      <c r="GC671">
        <v>2.8601164042684051</v>
      </c>
      <c r="GD671">
        <v>0.51864605634411243</v>
      </c>
      <c r="GE671">
        <v>0.35947809610506914</v>
      </c>
      <c r="GF671">
        <v>0</v>
      </c>
      <c r="GG671">
        <v>0.83160738614896845</v>
      </c>
      <c r="GH671">
        <v>1.6229601285312325</v>
      </c>
      <c r="GI671">
        <v>5.8844711617031757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8.8788602941176471</v>
      </c>
      <c r="AO672">
        <v>32.904804281893092</v>
      </c>
      <c r="AP672">
        <v>1148.8533654555333</v>
      </c>
      <c r="AQ672">
        <v>45.346445302964781</v>
      </c>
      <c r="AR672">
        <v>29.913458438084628</v>
      </c>
      <c r="AS672">
        <v>152.56632903375603</v>
      </c>
      <c r="AT672" t="e">
        <v>#DIV/0!</v>
      </c>
      <c r="AU672" t="e">
        <v>#DIV/0!</v>
      </c>
      <c r="AV672"/>
      <c r="AW672"/>
      <c r="FY672" s="212">
        <v>667</v>
      </c>
      <c r="FZ672">
        <v>1.8231001187171141</v>
      </c>
      <c r="GA672">
        <v>10.977000806038088</v>
      </c>
      <c r="GB672">
        <v>12.96286432242494</v>
      </c>
      <c r="GC672">
        <v>5.221539514305972</v>
      </c>
      <c r="GD672">
        <v>0.67703786462911819</v>
      </c>
      <c r="GE672">
        <v>0</v>
      </c>
      <c r="GF672">
        <v>0.80138167652982462</v>
      </c>
      <c r="GG672">
        <v>3.3224941306074438</v>
      </c>
      <c r="GH672">
        <v>0</v>
      </c>
      <c r="GI672">
        <v>8.460989575144783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9.5601102941176475</v>
      </c>
      <c r="AO673">
        <v>38.142636333927058</v>
      </c>
      <c r="AP673">
        <v>648.62390512228535</v>
      </c>
      <c r="AQ673">
        <v>56.284201598911679</v>
      </c>
      <c r="AR673">
        <v>34.709104212034482</v>
      </c>
      <c r="AS673">
        <v>177.1447224577507</v>
      </c>
      <c r="AT673" t="e">
        <v>#DIV/0!</v>
      </c>
      <c r="AU673" t="e">
        <v>#DIV/0!</v>
      </c>
      <c r="AV673"/>
      <c r="AW673"/>
      <c r="FY673" s="212">
        <v>668</v>
      </c>
      <c r="FZ673">
        <v>0.91155005935855693</v>
      </c>
      <c r="GA673">
        <v>13.937725862032092</v>
      </c>
      <c r="GB673">
        <v>14.373109239902597</v>
      </c>
      <c r="GC673">
        <v>5.6347197489898679</v>
      </c>
      <c r="GD673">
        <v>1.6124515311065193</v>
      </c>
      <c r="GE673">
        <v>1.0784342883152076</v>
      </c>
      <c r="GF673">
        <v>0</v>
      </c>
      <c r="GG673">
        <v>2.241404528613784</v>
      </c>
      <c r="GH673">
        <v>3.245920257062465</v>
      </c>
      <c r="GI673">
        <v>9.6578875963682567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9.400735294117645</v>
      </c>
      <c r="AO674">
        <v>19.560878069204371</v>
      </c>
      <c r="AP674">
        <v>121.77562549649208</v>
      </c>
      <c r="AQ674">
        <v>58.893583807267113</v>
      </c>
      <c r="AR674">
        <v>17.850576970751018</v>
      </c>
      <c r="AS674">
        <v>118.19906879083904</v>
      </c>
      <c r="AT674" t="e">
        <v>#DIV/0!</v>
      </c>
      <c r="AU674" t="e">
        <v>#DIV/0!</v>
      </c>
      <c r="AV674"/>
      <c r="AW674"/>
      <c r="FY674" s="212">
        <v>669</v>
      </c>
      <c r="FZ674">
        <v>1.10256564173008</v>
      </c>
      <c r="GA674">
        <v>16.903652290783871</v>
      </c>
      <c r="GB674">
        <v>12.39653894793601</v>
      </c>
      <c r="GC674">
        <v>3.4829178716504252</v>
      </c>
      <c r="GD674">
        <v>0.64516375771794265</v>
      </c>
      <c r="GE674">
        <v>0</v>
      </c>
      <c r="GF674">
        <v>0.80138167652982462</v>
      </c>
      <c r="GG674">
        <v>4.1541015167564126</v>
      </c>
      <c r="GH674">
        <v>1.6229601285312325</v>
      </c>
      <c r="GI674">
        <v>10.232445530520327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8.2843749999999989</v>
      </c>
      <c r="AO675">
        <v>31.603290359203122</v>
      </c>
      <c r="AP675">
        <v>266.06918580878897</v>
      </c>
      <c r="AQ675">
        <v>53.309775071219434</v>
      </c>
      <c r="AR675">
        <v>28.730263962911941</v>
      </c>
      <c r="AS675">
        <v>160.47070047573331</v>
      </c>
      <c r="AT675" t="e">
        <v>#DIV/0!</v>
      </c>
      <c r="AU675" t="e">
        <v>#DIV/0!</v>
      </c>
      <c r="AV675"/>
      <c r="AW675"/>
      <c r="FY675" s="212">
        <v>670</v>
      </c>
      <c r="FZ675">
        <v>0.36192247308739012</v>
      </c>
      <c r="GA675">
        <v>4.5953985440477698</v>
      </c>
      <c r="GB675">
        <v>14.482470150205424</v>
      </c>
      <c r="GC675">
        <v>7.0064130253432531</v>
      </c>
      <c r="GD675">
        <v>0.77257196139953765</v>
      </c>
      <c r="GE675">
        <v>0</v>
      </c>
      <c r="GF675">
        <v>1.6027633530596492</v>
      </c>
      <c r="GG675">
        <v>6.8984058910480091</v>
      </c>
      <c r="GH675">
        <v>1.6229601285312325</v>
      </c>
      <c r="GI675">
        <v>10.911093199230329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11.914276960784314</v>
      </c>
      <c r="AO676">
        <v>40.430495745717195</v>
      </c>
      <c r="AP676">
        <v>615.87374393987477</v>
      </c>
      <c r="AQ676">
        <v>72.068280422349119</v>
      </c>
      <c r="AR676">
        <v>36.788976404570967</v>
      </c>
      <c r="AS676">
        <v>179.61013700478358</v>
      </c>
      <c r="AT676" t="e">
        <v>#DIV/0!</v>
      </c>
      <c r="AU676" t="e">
        <v>#DIV/0!</v>
      </c>
      <c r="AV676"/>
      <c r="AW676"/>
      <c r="FY676" s="212">
        <v>671</v>
      </c>
      <c r="FZ676">
        <v>0.91155005935855693</v>
      </c>
      <c r="GA676">
        <v>15.617417669431783</v>
      </c>
      <c r="GB676">
        <v>14.569261283948601</v>
      </c>
      <c r="GC676">
        <v>4.9353382256263849</v>
      </c>
      <c r="GD676">
        <v>1.1028273432176332</v>
      </c>
      <c r="GE676">
        <v>0.71895619221013829</v>
      </c>
      <c r="GF676">
        <v>0</v>
      </c>
      <c r="GG676">
        <v>0</v>
      </c>
      <c r="GH676">
        <v>0</v>
      </c>
      <c r="GI676">
        <v>6.4647196284412987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5.8812499999999996</v>
      </c>
      <c r="AO677">
        <v>21.680943949192269</v>
      </c>
      <c r="AP677">
        <v>666.0628300935316</v>
      </c>
      <c r="AQ677">
        <v>55.387155440072547</v>
      </c>
      <c r="AR677">
        <v>19.743929316821038</v>
      </c>
      <c r="AS677">
        <v>108.08058015903822</v>
      </c>
      <c r="AT677" t="e">
        <v>#DIV/0!</v>
      </c>
      <c r="AU677" t="e">
        <v>#DIV/0!</v>
      </c>
      <c r="AV677"/>
      <c r="AW677"/>
      <c r="FY677" s="212">
        <v>672</v>
      </c>
      <c r="FZ677">
        <v>0.3418137814317348</v>
      </c>
      <c r="GA677">
        <v>12.627480992830904</v>
      </c>
      <c r="GB677">
        <v>10.840364462941462</v>
      </c>
      <c r="GC677">
        <v>4.2017184145284467</v>
      </c>
      <c r="GD677">
        <v>1.3069776093821486</v>
      </c>
      <c r="GE677">
        <v>0.35947809610506914</v>
      </c>
      <c r="GF677">
        <v>0</v>
      </c>
      <c r="GG677">
        <v>2.241404528613784</v>
      </c>
      <c r="GH677">
        <v>3.245920257062465</v>
      </c>
      <c r="GI677">
        <v>11.970068790745211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9.8989583333333311</v>
      </c>
      <c r="AO678">
        <v>32.62367306529088</v>
      </c>
      <c r="AP678">
        <v>763.27493230276923</v>
      </c>
      <c r="AQ678">
        <v>72.67081578239555</v>
      </c>
      <c r="AR678">
        <v>29.691864876910685</v>
      </c>
      <c r="AS678">
        <v>166.51282914314018</v>
      </c>
      <c r="AT678" t="e">
        <v>#DIV/0!</v>
      </c>
      <c r="AU678" t="e">
        <v>#DIV/0!</v>
      </c>
      <c r="AV678"/>
      <c r="AW678"/>
      <c r="FY678" s="212">
        <v>673</v>
      </c>
      <c r="FZ678">
        <v>2.0141157010886364</v>
      </c>
      <c r="GA678">
        <v>23.383322357400946</v>
      </c>
      <c r="GB678">
        <v>18.243010961025295</v>
      </c>
      <c r="GC678">
        <v>6.6367791039669148</v>
      </c>
      <c r="GD678">
        <v>1.8715925113361633</v>
      </c>
      <c r="GE678">
        <v>0</v>
      </c>
      <c r="GF678">
        <v>0</v>
      </c>
      <c r="GG678">
        <v>0.57818975631584713</v>
      </c>
      <c r="GH678">
        <v>0</v>
      </c>
      <c r="GI678">
        <v>11.067250455379581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8.2114583333333329</v>
      </c>
      <c r="AO679">
        <v>21.809884819132222</v>
      </c>
      <c r="AP679">
        <v>777.38302124755694</v>
      </c>
      <c r="AQ679">
        <v>72.36725267470915</v>
      </c>
      <c r="AR679">
        <v>19.86114828949372</v>
      </c>
      <c r="AS679">
        <v>144.59023711459434</v>
      </c>
      <c r="AT679" t="e">
        <v>#DIV/0!</v>
      </c>
      <c r="AU679" t="e">
        <v>#DIV/0!</v>
      </c>
      <c r="AV679"/>
      <c r="AW679"/>
      <c r="FY679" s="212">
        <v>674</v>
      </c>
      <c r="FZ679">
        <v>0.5127206721476022</v>
      </c>
      <c r="GA679">
        <v>19.254715884734175</v>
      </c>
      <c r="GB679">
        <v>20.062151935790489</v>
      </c>
      <c r="GC679">
        <v>7.4312279893607052</v>
      </c>
      <c r="GD679">
        <v>1.3704760934355176</v>
      </c>
      <c r="GE679">
        <v>0</v>
      </c>
      <c r="GF679">
        <v>2.4041450295894737</v>
      </c>
      <c r="GG679">
        <v>8.2329131228747894</v>
      </c>
      <c r="GH679">
        <v>0</v>
      </c>
      <c r="GI679">
        <v>12.889482136799399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12.755637254901961</v>
      </c>
      <c r="AO680">
        <v>24.201331037508339</v>
      </c>
      <c r="AP680">
        <v>681.29019070131847</v>
      </c>
      <c r="AQ680">
        <v>69.793341654613869</v>
      </c>
      <c r="AR680">
        <v>22.001210034098488</v>
      </c>
      <c r="AS680">
        <v>131.79137744479036</v>
      </c>
      <c r="AT680" t="e">
        <v>#DIV/0!</v>
      </c>
      <c r="AU680" t="e">
        <v>#DIV/0!</v>
      </c>
      <c r="AV680"/>
      <c r="AW680"/>
      <c r="FY680" s="212">
        <v>675</v>
      </c>
      <c r="FZ680">
        <v>0.53282936380325752</v>
      </c>
      <c r="GA680">
        <v>19.550401535357111</v>
      </c>
      <c r="GB680">
        <v>12.969169405041736</v>
      </c>
      <c r="GC680">
        <v>3.8016146748476625</v>
      </c>
      <c r="GD680">
        <v>1.0776886285166623</v>
      </c>
      <c r="GE680">
        <v>0</v>
      </c>
      <c r="GF680">
        <v>0.80138167652982462</v>
      </c>
      <c r="GG680">
        <v>4.7322912730722599</v>
      </c>
      <c r="GH680">
        <v>1.6229601285312325</v>
      </c>
      <c r="GI680">
        <v>10.632840291890611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15.26292892156863</v>
      </c>
      <c r="AO681">
        <v>42.90788812048141</v>
      </c>
      <c r="AP681">
        <v>845.06945658524387</v>
      </c>
      <c r="AQ681">
        <v>78.128127938961399</v>
      </c>
      <c r="AR681">
        <v>39.007171018619466</v>
      </c>
      <c r="AS681">
        <v>189.29155339033005</v>
      </c>
      <c r="AT681" t="e">
        <v>#DIV/0!</v>
      </c>
      <c r="AU681" t="e">
        <v>#DIV/0!</v>
      </c>
      <c r="AV681"/>
      <c r="AW681"/>
      <c r="FY681" s="212">
        <v>676</v>
      </c>
      <c r="FZ681">
        <v>2.0141157010886368</v>
      </c>
      <c r="GA681">
        <v>15.854445630200765</v>
      </c>
      <c r="GB681">
        <v>15.785295056153551</v>
      </c>
      <c r="GC681">
        <v>5.7830566542744615</v>
      </c>
      <c r="GD681">
        <v>0.85881749004365926</v>
      </c>
      <c r="GE681">
        <v>0</v>
      </c>
      <c r="GF681">
        <v>0.80138167652982462</v>
      </c>
      <c r="GG681">
        <v>3.3224941306074438</v>
      </c>
      <c r="GH681">
        <v>0</v>
      </c>
      <c r="GI681">
        <v>10.044209749893851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9.4785539215686274</v>
      </c>
      <c r="AO682">
        <v>23.245977219216542</v>
      </c>
      <c r="AP682">
        <v>196.3976061901607</v>
      </c>
      <c r="AQ682">
        <v>30.250926547397818</v>
      </c>
      <c r="AR682">
        <v>21.166686835024919</v>
      </c>
      <c r="AS682">
        <v>108.54720735342768</v>
      </c>
      <c r="AT682" t="e">
        <v>#DIV/0!</v>
      </c>
      <c r="AU682" t="e">
        <v>#DIV/0!</v>
      </c>
      <c r="AV682"/>
      <c r="AW682"/>
      <c r="FY682" s="212">
        <v>677</v>
      </c>
      <c r="FZ682">
        <v>1.8063018962492046</v>
      </c>
      <c r="GA682">
        <v>31.919240433955405</v>
      </c>
      <c r="GB682">
        <v>23.29465253047869</v>
      </c>
      <c r="GC682">
        <v>5.5085205539157194</v>
      </c>
      <c r="GD682">
        <v>0.71972085670257746</v>
      </c>
      <c r="GE682">
        <v>0</v>
      </c>
      <c r="GF682">
        <v>2.4041450295894737</v>
      </c>
      <c r="GG682">
        <v>11.884114793953392</v>
      </c>
      <c r="GH682">
        <v>4.8688803855936991</v>
      </c>
      <c r="GI682">
        <v>13.105752696289699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12.012928921568626</v>
      </c>
      <c r="AO683">
        <v>37.201153809939584</v>
      </c>
      <c r="AP683">
        <v>645.90317648180394</v>
      </c>
      <c r="AQ683">
        <v>44.246408008397282</v>
      </c>
      <c r="AR683">
        <v>33.819230736308711</v>
      </c>
      <c r="AS683">
        <v>167.86772662936318</v>
      </c>
      <c r="AT683" t="e">
        <v>#DIV/0!</v>
      </c>
      <c r="AU683" t="e">
        <v>#DIV/0!</v>
      </c>
      <c r="AV683"/>
      <c r="AW683"/>
      <c r="FY683" s="212">
        <v>678</v>
      </c>
      <c r="FZ683">
        <v>1.9940070094329816</v>
      </c>
      <c r="GA683">
        <v>13.457895064527294</v>
      </c>
      <c r="GB683">
        <v>9.8755920759439455</v>
      </c>
      <c r="GC683">
        <v>3.6921575388905779</v>
      </c>
      <c r="GD683">
        <v>0.79735342149326272</v>
      </c>
      <c r="GE683">
        <v>0</v>
      </c>
      <c r="GF683">
        <v>0.80138167652982462</v>
      </c>
      <c r="GG683">
        <v>5.8173162890543502</v>
      </c>
      <c r="GH683">
        <v>4.8688803855936991</v>
      </c>
      <c r="GI683">
        <v>10.621054372292011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9.8590686274509789</v>
      </c>
      <c r="AO684">
        <v>30.241863961000728</v>
      </c>
      <c r="AP684">
        <v>364.26700379279259</v>
      </c>
      <c r="AQ684">
        <v>52.693203111749348</v>
      </c>
      <c r="AR684">
        <v>27.492603600909746</v>
      </c>
      <c r="AS684">
        <v>170.02466854646113</v>
      </c>
      <c r="AT684" t="e">
        <v>#DIV/0!</v>
      </c>
      <c r="AU684" t="e">
        <v>#DIV/0!</v>
      </c>
      <c r="AV684"/>
      <c r="AW684"/>
      <c r="FY684" s="212">
        <v>679</v>
      </c>
      <c r="FZ684">
        <v>2.20513128346016</v>
      </c>
      <c r="GA684">
        <v>17.637406614984982</v>
      </c>
      <c r="GB684">
        <v>14.471197203508812</v>
      </c>
      <c r="GC684">
        <v>4.0911208516640691</v>
      </c>
      <c r="GD684">
        <v>0.44419415122467376</v>
      </c>
      <c r="GE684">
        <v>0</v>
      </c>
      <c r="GF684">
        <v>0.80138167652982462</v>
      </c>
      <c r="GG684">
        <v>4.4788736432391385</v>
      </c>
      <c r="GH684">
        <v>0</v>
      </c>
      <c r="GI684">
        <v>7.3901828542502077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8.8726102941176457</v>
      </c>
      <c r="AO685">
        <v>28.071736989155045</v>
      </c>
      <c r="AP685">
        <v>597.68163868134263</v>
      </c>
      <c r="AQ685">
        <v>51.341727362156121</v>
      </c>
      <c r="AR685">
        <v>25.55374117133265</v>
      </c>
      <c r="AS685">
        <v>141.07439498322464</v>
      </c>
      <c r="AT685" t="e">
        <v>#DIV/0!</v>
      </c>
      <c r="AU685" t="e">
        <v>#DIV/0!</v>
      </c>
      <c r="AV685"/>
      <c r="AW685"/>
      <c r="FY685" s="212">
        <v>680</v>
      </c>
      <c r="FZ685">
        <v>1.6353950055333373</v>
      </c>
      <c r="GA685">
        <v>16.621606010668966</v>
      </c>
      <c r="GB685">
        <v>8.4562587829442499</v>
      </c>
      <c r="GC685">
        <v>1.6952973797046573</v>
      </c>
      <c r="GD685">
        <v>1.0092224680849897</v>
      </c>
      <c r="GE685">
        <v>0.71895619221013829</v>
      </c>
      <c r="GF685">
        <v>0</v>
      </c>
      <c r="GG685">
        <v>1.4097971424648157</v>
      </c>
      <c r="GH685">
        <v>1.6229601285312325</v>
      </c>
      <c r="GI685">
        <v>9.2205574523773972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7.9958333333333318</v>
      </c>
      <c r="AO686">
        <v>33.921035597368949</v>
      </c>
      <c r="AP686">
        <v>752.76963402569709</v>
      </c>
      <c r="AQ686">
        <v>48.253998725952599</v>
      </c>
      <c r="AR686">
        <v>30.871285360618021</v>
      </c>
      <c r="AS686">
        <v>159.39319234426426</v>
      </c>
      <c r="AT686" t="e">
        <v>#DIV/0!</v>
      </c>
      <c r="AU686" t="e">
        <v>#DIV/0!</v>
      </c>
      <c r="AV686"/>
      <c r="AW686"/>
      <c r="FY686" s="212">
        <v>681</v>
      </c>
      <c r="FZ686">
        <v>1.46448811481747</v>
      </c>
      <c r="GA686">
        <v>15.184365291304164</v>
      </c>
      <c r="GB686">
        <v>23.629911592443722</v>
      </c>
      <c r="GC686">
        <v>8.740124555891235</v>
      </c>
      <c r="GD686">
        <v>0.7550468332605822</v>
      </c>
      <c r="GE686">
        <v>0.71895619221013829</v>
      </c>
      <c r="GF686">
        <v>2.4041450295894737</v>
      </c>
      <c r="GG686">
        <v>10.220900021655453</v>
      </c>
      <c r="GH686">
        <v>1.6229601285312325</v>
      </c>
      <c r="GI686">
        <v>15.687954584964784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7.9840686274509789</v>
      </c>
      <c r="AO687">
        <v>17.277799273892306</v>
      </c>
      <c r="AP687">
        <v>127.74689926032036</v>
      </c>
      <c r="AQ687">
        <v>44.320070402234393</v>
      </c>
      <c r="AR687">
        <v>15.707090248993007</v>
      </c>
      <c r="AS687">
        <v>92.670660962403943</v>
      </c>
      <c r="AT687" t="e">
        <v>#DIV/0!</v>
      </c>
      <c r="AU687" t="e">
        <v>#DIV/0!</v>
      </c>
      <c r="AV687"/>
      <c r="AW687"/>
      <c r="FY687" s="212">
        <v>682</v>
      </c>
      <c r="FZ687">
        <v>2.2219295059280695</v>
      </c>
      <c r="GA687">
        <v>23.034531741998347</v>
      </c>
      <c r="GB687">
        <v>17.960332857799791</v>
      </c>
      <c r="GC687">
        <v>5.8323412277384836</v>
      </c>
      <c r="GD687">
        <v>1.119730848051339</v>
      </c>
      <c r="GE687">
        <v>0</v>
      </c>
      <c r="GF687">
        <v>0.80138167652982462</v>
      </c>
      <c r="GG687">
        <v>4.9857089029053814</v>
      </c>
      <c r="GH687">
        <v>3.245920257062465</v>
      </c>
      <c r="GI687">
        <v>12.903321586099906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8.4895833333333321</v>
      </c>
      <c r="AO688">
        <v>37.516049032444563</v>
      </c>
      <c r="AP688">
        <v>435.03927773182937</v>
      </c>
      <c r="AQ688">
        <v>47.135226933641221</v>
      </c>
      <c r="AR688">
        <v>34.105499120404147</v>
      </c>
      <c r="AS688">
        <v>186.90738572327487</v>
      </c>
      <c r="AT688" t="e">
        <v>#DIV/0!</v>
      </c>
      <c r="AU688" t="e">
        <v>#DIV/0!</v>
      </c>
      <c r="AV688"/>
      <c r="AW688"/>
      <c r="FY688" s="212">
        <v>683</v>
      </c>
      <c r="FZ688">
        <v>2.0141157010886364</v>
      </c>
      <c r="GA688">
        <v>13.924637073992031</v>
      </c>
      <c r="GB688">
        <v>8.1251788217923142</v>
      </c>
      <c r="GC688">
        <v>2.919905112907101</v>
      </c>
      <c r="GD688">
        <v>1.2080131231714999</v>
      </c>
      <c r="GE688">
        <v>0.35947809610506914</v>
      </c>
      <c r="GF688">
        <v>1.6027633530596492</v>
      </c>
      <c r="GG688">
        <v>7.4765956473638564</v>
      </c>
      <c r="GH688">
        <v>1.6229601285312325</v>
      </c>
      <c r="GI688">
        <v>11.867354246459291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13.447303921568627</v>
      </c>
      <c r="AO689">
        <v>34.932356136989632</v>
      </c>
      <c r="AP689">
        <v>381.74242261456141</v>
      </c>
      <c r="AQ689">
        <v>63.794260846513374</v>
      </c>
      <c r="AR689">
        <v>31.790667669364097</v>
      </c>
      <c r="AS689">
        <v>257.10969195430528</v>
      </c>
      <c r="AT689" t="e">
        <v>#DIV/0!</v>
      </c>
      <c r="AU689" t="e">
        <v>#DIV/0!</v>
      </c>
      <c r="AV689"/>
      <c r="AW689"/>
      <c r="FY689" s="212">
        <v>684</v>
      </c>
      <c r="FZ689">
        <v>1.4443794231618146</v>
      </c>
      <c r="GA689">
        <v>10.488008648755507</v>
      </c>
      <c r="GB689">
        <v>14.61377229137484</v>
      </c>
      <c r="GC689">
        <v>5.1282388415055546</v>
      </c>
      <c r="GD689">
        <v>0.12333704170258343</v>
      </c>
      <c r="GE689">
        <v>0</v>
      </c>
      <c r="GF689">
        <v>0.80138167652982462</v>
      </c>
      <c r="GG689">
        <v>5.5638986592212287</v>
      </c>
      <c r="GH689">
        <v>3.245920257062465</v>
      </c>
      <c r="GI689">
        <v>7.1163602602333942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10.613541666666666</v>
      </c>
      <c r="AO690">
        <v>38.799109996699769</v>
      </c>
      <c r="AP690">
        <v>804.72336004944475</v>
      </c>
      <c r="AQ690">
        <v>72.157832864732157</v>
      </c>
      <c r="AR690">
        <v>35.27191817881797</v>
      </c>
      <c r="AS690">
        <v>199.06051922951477</v>
      </c>
      <c r="AT690" t="e">
        <v>#DIV/0!</v>
      </c>
      <c r="AU690" t="e">
        <v>#DIV/0!</v>
      </c>
      <c r="AV690"/>
      <c r="AW690"/>
      <c r="FY690" s="212">
        <v>685</v>
      </c>
      <c r="FZ690">
        <v>1.4443794231618146</v>
      </c>
      <c r="GA690">
        <v>7.7853196250273005</v>
      </c>
      <c r="GB690">
        <v>11.818548598179094</v>
      </c>
      <c r="GC690">
        <v>5.531024443039902</v>
      </c>
      <c r="GD690">
        <v>0.91876124155807004</v>
      </c>
      <c r="GE690">
        <v>0</v>
      </c>
      <c r="GF690">
        <v>1.6027633530596492</v>
      </c>
      <c r="GG690">
        <v>6.0667985048990403</v>
      </c>
      <c r="GH690">
        <v>0</v>
      </c>
      <c r="GI690">
        <v>7.5163093515932715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7.2218749999999989</v>
      </c>
      <c r="AO691">
        <v>33.120098468933612</v>
      </c>
      <c r="AP691">
        <v>751.99450494935195</v>
      </c>
      <c r="AQ691">
        <v>55.721176977590353</v>
      </c>
      <c r="AR691">
        <v>30.143160698404078</v>
      </c>
      <c r="AS691">
        <v>215.10296666353383</v>
      </c>
      <c r="AT691" t="e">
        <v>#DIV/0!</v>
      </c>
      <c r="AU691" t="e">
        <v>#DIV/0!</v>
      </c>
      <c r="AV691"/>
      <c r="AW691"/>
      <c r="FY691" s="212">
        <v>686</v>
      </c>
      <c r="FZ691">
        <v>0</v>
      </c>
      <c r="GA691">
        <v>10.583765374498626</v>
      </c>
      <c r="GB691">
        <v>19.3133415792073</v>
      </c>
      <c r="GC691">
        <v>7.786674805111252</v>
      </c>
      <c r="GD691">
        <v>0.78515089336678956</v>
      </c>
      <c r="GE691">
        <v>0.35947809610506914</v>
      </c>
      <c r="GF691">
        <v>0.80138167652982462</v>
      </c>
      <c r="GG691">
        <v>4.407519146589534</v>
      </c>
      <c r="GH691">
        <v>3.245920257062465</v>
      </c>
      <c r="GI691">
        <v>10.894912408048175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11.81501225490196</v>
      </c>
      <c r="AO692">
        <v>26.598684457898905</v>
      </c>
      <c r="AP692">
        <v>561.23057216998791</v>
      </c>
      <c r="AQ692">
        <v>54.4638160887922</v>
      </c>
      <c r="AR692">
        <v>24.214602506554346</v>
      </c>
      <c r="AS692">
        <v>166.876844306035</v>
      </c>
      <c r="AT692" t="e">
        <v>#DIV/0!</v>
      </c>
      <c r="AU692" t="e">
        <v>#DIV/0!</v>
      </c>
      <c r="AV692"/>
      <c r="AW692"/>
      <c r="FY692" s="212">
        <v>687</v>
      </c>
      <c r="FZ692">
        <v>0.70373625451912492</v>
      </c>
      <c r="GA692">
        <v>17.644052644529516</v>
      </c>
      <c r="GB692">
        <v>11.245195987753791</v>
      </c>
      <c r="GC692">
        <v>3.0663323831154505</v>
      </c>
      <c r="GD692">
        <v>1.150211311998325</v>
      </c>
      <c r="GE692">
        <v>0.35947809610506914</v>
      </c>
      <c r="GF692">
        <v>0</v>
      </c>
      <c r="GG692">
        <v>2.241404528613784</v>
      </c>
      <c r="GH692">
        <v>3.245920257062465</v>
      </c>
      <c r="GI692">
        <v>7.099104304262343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12.608026960784313</v>
      </c>
      <c r="AO693">
        <v>43.823966487028613</v>
      </c>
      <c r="AP693">
        <v>1196.8383591115946</v>
      </c>
      <c r="AQ693">
        <v>95.511329176727855</v>
      </c>
      <c r="AR693">
        <v>39.907930077863945</v>
      </c>
      <c r="AS693">
        <v>187.55925665852627</v>
      </c>
      <c r="AT693" t="e">
        <v>#DIV/0!</v>
      </c>
      <c r="AU693" t="e">
        <v>#DIV/0!</v>
      </c>
      <c r="AV693"/>
      <c r="AW693"/>
      <c r="FY693" s="212">
        <v>688</v>
      </c>
      <c r="FZ693">
        <v>1.4275812006939055</v>
      </c>
      <c r="GA693">
        <v>11.352519579988783</v>
      </c>
      <c r="GB693">
        <v>11.843400903771125</v>
      </c>
      <c r="GC693">
        <v>3.6061086212554274</v>
      </c>
      <c r="GD693">
        <v>0.24667408340516686</v>
      </c>
      <c r="GE693">
        <v>0</v>
      </c>
      <c r="GF693">
        <v>0</v>
      </c>
      <c r="GG693">
        <v>1.1563795126316943</v>
      </c>
      <c r="GH693">
        <v>0</v>
      </c>
      <c r="GI693">
        <v>4.6360678492604031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12.669178921568626</v>
      </c>
      <c r="AO694">
        <v>33.959306491350176</v>
      </c>
      <c r="AP694">
        <v>627.95553344374571</v>
      </c>
      <c r="AQ694">
        <v>51.925637833757946</v>
      </c>
      <c r="AR694">
        <v>30.872096810318332</v>
      </c>
      <c r="AS694">
        <v>154.30840449845252</v>
      </c>
      <c r="AT694" t="e">
        <v>#DIV/0!</v>
      </c>
      <c r="AU694" t="e">
        <v>#DIV/0!</v>
      </c>
      <c r="AV694"/>
      <c r="AW694"/>
      <c r="FY694" s="212">
        <v>689</v>
      </c>
      <c r="FZ694">
        <v>1.0824569500744243</v>
      </c>
      <c r="GA694">
        <v>23.50132381337934</v>
      </c>
      <c r="GB694">
        <v>18.505756313730902</v>
      </c>
      <c r="GC694">
        <v>4.5269331871140013</v>
      </c>
      <c r="GD694">
        <v>1.1362240981378617</v>
      </c>
      <c r="GE694">
        <v>1.4379123844202766</v>
      </c>
      <c r="GF694">
        <v>0.80138167652982462</v>
      </c>
      <c r="GG694">
        <v>4.7322912730722599</v>
      </c>
      <c r="GH694">
        <v>1.6229601285312325</v>
      </c>
      <c r="GI694">
        <v>8.5166716762338908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10.97126225490196</v>
      </c>
      <c r="AO695">
        <v>36.562371644435949</v>
      </c>
      <c r="AP695">
        <v>1072.5736210885325</v>
      </c>
      <c r="AQ695">
        <v>51.519488278861864</v>
      </c>
      <c r="AR695">
        <v>33.306480220961539</v>
      </c>
      <c r="AS695">
        <v>165.37201068065994</v>
      </c>
      <c r="AT695" t="e">
        <v>#DIV/0!</v>
      </c>
      <c r="AU695" t="e">
        <v>#DIV/0!</v>
      </c>
      <c r="AV695"/>
      <c r="AW695"/>
      <c r="FY695" s="212">
        <v>690</v>
      </c>
      <c r="FZ695">
        <v>0.91155005935855693</v>
      </c>
      <c r="GA695">
        <v>14.108782220873895</v>
      </c>
      <c r="GB695">
        <v>16.234844219604131</v>
      </c>
      <c r="GC695">
        <v>6.5399521234136602</v>
      </c>
      <c r="GD695">
        <v>1.5256895730223436</v>
      </c>
      <c r="GE695">
        <v>0.71895619221013829</v>
      </c>
      <c r="GF695">
        <v>0</v>
      </c>
      <c r="GG695">
        <v>2.241404528613784</v>
      </c>
      <c r="GH695">
        <v>3.245920257062465</v>
      </c>
      <c r="GI695">
        <v>10.246856415476744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9.3590686274509789</v>
      </c>
      <c r="AO696">
        <v>30.922955341745951</v>
      </c>
      <c r="AP696">
        <v>438.3976144877841</v>
      </c>
      <c r="AQ696">
        <v>42.390050562519782</v>
      </c>
      <c r="AR696">
        <v>28.179738127606992</v>
      </c>
      <c r="AS696">
        <v>178.73758468674808</v>
      </c>
      <c r="AT696" t="e">
        <v>#DIV/0!</v>
      </c>
      <c r="AU696" t="e">
        <v>#DIV/0!</v>
      </c>
      <c r="AV696"/>
      <c r="AW696"/>
      <c r="FY696" s="212">
        <v>691</v>
      </c>
      <c r="FZ696">
        <v>1.0824569500744243</v>
      </c>
      <c r="GA696">
        <v>23.716707688297276</v>
      </c>
      <c r="GB696">
        <v>18.965068829534989</v>
      </c>
      <c r="GC696">
        <v>5.1100610724728099</v>
      </c>
      <c r="GD696">
        <v>0.59079233598499648</v>
      </c>
      <c r="GE696">
        <v>0</v>
      </c>
      <c r="GF696">
        <v>0.80138167652982462</v>
      </c>
      <c r="GG696">
        <v>5.8173162890543502</v>
      </c>
      <c r="GH696">
        <v>4.8688803855936991</v>
      </c>
      <c r="GI696">
        <v>10.138153151294858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14.451776960784311</v>
      </c>
      <c r="AO697">
        <v>54.011721391392427</v>
      </c>
      <c r="AP697">
        <v>1255.0661963044201</v>
      </c>
      <c r="AQ697">
        <v>80.428852344668243</v>
      </c>
      <c r="AR697">
        <v>49.169525445467428</v>
      </c>
      <c r="AS697">
        <v>241.60176655380229</v>
      </c>
      <c r="AT697" t="e">
        <v>#DIV/0!</v>
      </c>
      <c r="AU697" t="e">
        <v>#DIV/0!</v>
      </c>
      <c r="AV697"/>
      <c r="AW697"/>
      <c r="FY697" s="212">
        <v>692</v>
      </c>
      <c r="FZ697">
        <v>2.0141157010886364</v>
      </c>
      <c r="GA697">
        <v>17.092308007153715</v>
      </c>
      <c r="GB697">
        <v>16.920032975018767</v>
      </c>
      <c r="GC697">
        <v>6.1166295582693326</v>
      </c>
      <c r="GD697">
        <v>1.3302062516788764</v>
      </c>
      <c r="GE697">
        <v>1.0784342883152076</v>
      </c>
      <c r="GF697">
        <v>0.80138167652982462</v>
      </c>
      <c r="GG697">
        <v>5.5638986592212287</v>
      </c>
      <c r="GH697">
        <v>3.245920257062465</v>
      </c>
      <c r="GI697">
        <v>11.660993142971789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16.215747549019611</v>
      </c>
      <c r="AO698">
        <v>37.851257388514725</v>
      </c>
      <c r="AP698">
        <v>678.1345342307693</v>
      </c>
      <c r="AQ698">
        <v>72.10519860411361</v>
      </c>
      <c r="AR698">
        <v>34.41023398955884</v>
      </c>
      <c r="AS698">
        <v>175.1957719742181</v>
      </c>
      <c r="AT698" t="e">
        <v>#DIV/0!</v>
      </c>
      <c r="AU698" t="e">
        <v>#DIV/0!</v>
      </c>
      <c r="AV698"/>
      <c r="AW698"/>
      <c r="FY698" s="212">
        <v>693</v>
      </c>
      <c r="FZ698">
        <v>1.10256564173008</v>
      </c>
      <c r="GA698">
        <v>11.806172801413457</v>
      </c>
      <c r="GB698">
        <v>10.654099716900248</v>
      </c>
      <c r="GC698">
        <v>3.6770420428715846</v>
      </c>
      <c r="GD698">
        <v>0.86262428332466701</v>
      </c>
      <c r="GE698">
        <v>0.71895619221013829</v>
      </c>
      <c r="GF698">
        <v>1.6027633530596492</v>
      </c>
      <c r="GG698">
        <v>6.8984058910480091</v>
      </c>
      <c r="GH698">
        <v>1.6229601285312325</v>
      </c>
      <c r="GI698">
        <v>8.635881188025369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12.307720588235291</v>
      </c>
      <c r="AO699">
        <v>48.932163043053798</v>
      </c>
      <c r="AP699">
        <v>1094.2346531274097</v>
      </c>
      <c r="AQ699">
        <v>51.121001304470688</v>
      </c>
      <c r="AR699">
        <v>44.517764856695152</v>
      </c>
      <c r="AS699">
        <v>213.09653397553103</v>
      </c>
      <c r="AT699" t="e">
        <v>#DIV/0!</v>
      </c>
      <c r="AU699" t="e">
        <v>#DIV/0!</v>
      </c>
      <c r="AV699"/>
      <c r="AW699"/>
      <c r="FY699" s="212">
        <v>694</v>
      </c>
      <c r="FZ699">
        <v>0.1709068907158674</v>
      </c>
      <c r="GA699">
        <v>23.104512702278534</v>
      </c>
      <c r="GB699">
        <v>20.301079866265034</v>
      </c>
      <c r="GC699">
        <v>6.0641789033831204</v>
      </c>
      <c r="GD699">
        <v>0.77409227843552342</v>
      </c>
      <c r="GE699">
        <v>0</v>
      </c>
      <c r="GF699">
        <v>0.80138167652982462</v>
      </c>
      <c r="GG699">
        <v>5.2391265327385028</v>
      </c>
      <c r="GH699">
        <v>4.8688803855936991</v>
      </c>
      <c r="GI699">
        <v>11.260731927703716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8.6642769607843118</v>
      </c>
      <c r="AO700">
        <v>31.97806618756033</v>
      </c>
      <c r="AP700">
        <v>815.20523552892735</v>
      </c>
      <c r="AQ700">
        <v>48.52529709954721</v>
      </c>
      <c r="AR700">
        <v>29.104949533519274</v>
      </c>
      <c r="AS700">
        <v>138.7456390930094</v>
      </c>
      <c r="AT700" t="e">
        <v>#DIV/0!</v>
      </c>
      <c r="AU700" t="e">
        <v>#DIV/0!</v>
      </c>
      <c r="AV700"/>
      <c r="AW700"/>
      <c r="FY700" s="212">
        <v>695</v>
      </c>
      <c r="FZ700">
        <v>1.2533638407902918</v>
      </c>
      <c r="GA700">
        <v>14.512271229693706</v>
      </c>
      <c r="GB700">
        <v>11.339102925342013</v>
      </c>
      <c r="GC700">
        <v>3.5331210027592355</v>
      </c>
      <c r="GD700">
        <v>0.88370647497564792</v>
      </c>
      <c r="GE700">
        <v>0.35947809610506914</v>
      </c>
      <c r="GF700">
        <v>0</v>
      </c>
      <c r="GG700">
        <v>1.4097971424648157</v>
      </c>
      <c r="GH700">
        <v>1.6229601285312325</v>
      </c>
      <c r="GI700">
        <v>6.319199882896676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8.1153186274509803</v>
      </c>
      <c r="AO701">
        <v>23.53571591512102</v>
      </c>
      <c r="AP701">
        <v>684.32990911377181</v>
      </c>
      <c r="AQ701">
        <v>42.683904540518149</v>
      </c>
      <c r="AR701">
        <v>21.430085649483537</v>
      </c>
      <c r="AS701">
        <v>137.66086589923538</v>
      </c>
      <c r="AT701" t="e">
        <v>#DIV/0!</v>
      </c>
      <c r="AU701" t="e">
        <v>#DIV/0!</v>
      </c>
      <c r="AV701"/>
      <c r="AW701"/>
      <c r="FY701" s="212">
        <v>696</v>
      </c>
      <c r="FZ701">
        <v>0.36192247308739012</v>
      </c>
      <c r="GA701">
        <v>15.526138954418908</v>
      </c>
      <c r="GB701">
        <v>20.385290459810882</v>
      </c>
      <c r="GC701">
        <v>7.6653131887827461</v>
      </c>
      <c r="GD701">
        <v>1.1819802250443043</v>
      </c>
      <c r="GE701">
        <v>0.71895619221013829</v>
      </c>
      <c r="GF701">
        <v>0.80138167652982462</v>
      </c>
      <c r="GG701">
        <v>3.3224941306074438</v>
      </c>
      <c r="GH701">
        <v>0</v>
      </c>
      <c r="GI701">
        <v>13.015680111350218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7.8364583333333346</v>
      </c>
      <c r="AO702">
        <v>27.709257671364231</v>
      </c>
      <c r="AP702">
        <v>405.18550063811597</v>
      </c>
      <c r="AQ702">
        <v>58.178144236519032</v>
      </c>
      <c r="AR702">
        <v>25.190234246694757</v>
      </c>
      <c r="AS702">
        <v>160.70215620657171</v>
      </c>
      <c r="AT702" t="e">
        <v>#DIV/0!</v>
      </c>
      <c r="AU702" t="e">
        <v>#DIV/0!</v>
      </c>
      <c r="AV702"/>
      <c r="AW702"/>
      <c r="FY702" s="212">
        <v>697</v>
      </c>
      <c r="FZ702">
        <v>0.91155005935855693</v>
      </c>
      <c r="GA702">
        <v>21.001620679798805</v>
      </c>
      <c r="GB702">
        <v>18.284912586582131</v>
      </c>
      <c r="GC702">
        <v>6.7178468484697449</v>
      </c>
      <c r="GD702">
        <v>1.6879028135173786</v>
      </c>
      <c r="GE702">
        <v>0</v>
      </c>
      <c r="GF702">
        <v>0.80138167652982462</v>
      </c>
      <c r="GG702">
        <v>3.5759117604405652</v>
      </c>
      <c r="GH702">
        <v>1.6229601285312325</v>
      </c>
      <c r="GI702">
        <v>9.6440339198479652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5.5833333333333339</v>
      </c>
      <c r="AO703">
        <v>34.18835733644714</v>
      </c>
      <c r="AP703">
        <v>469.7932981296953</v>
      </c>
      <c r="AQ703">
        <v>46.755435767959874</v>
      </c>
      <c r="AR703">
        <v>31.114305123416365</v>
      </c>
      <c r="AS703">
        <v>190.20836285647064</v>
      </c>
      <c r="AT703" t="e">
        <v>#DIV/0!</v>
      </c>
      <c r="AU703" t="e">
        <v>#DIV/0!</v>
      </c>
      <c r="AV703"/>
      <c r="AW703"/>
      <c r="FY703" s="212">
        <v>698</v>
      </c>
      <c r="FZ703">
        <v>0.1709068907158674</v>
      </c>
      <c r="GA703">
        <v>25.885743401680479</v>
      </c>
      <c r="GB703">
        <v>26.81879493415428</v>
      </c>
      <c r="GC703">
        <v>8.8669725575723106</v>
      </c>
      <c r="GD703">
        <v>1.5333177985133808</v>
      </c>
      <c r="GE703">
        <v>1.0784342883152076</v>
      </c>
      <c r="GF703">
        <v>0.80138167652982462</v>
      </c>
      <c r="GG703">
        <v>4.1541015167564126</v>
      </c>
      <c r="GH703">
        <v>1.6229601285312325</v>
      </c>
      <c r="GI703">
        <v>12.206572147879012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4.791666666666667</v>
      </c>
      <c r="AO704">
        <v>17.938953714531731</v>
      </c>
      <c r="AP704">
        <v>517.42324800546407</v>
      </c>
      <c r="AQ704">
        <v>34.268731751006506</v>
      </c>
      <c r="AR704">
        <v>16.410080556785768</v>
      </c>
      <c r="AS704">
        <v>104.97653859596714</v>
      </c>
      <c r="AT704" t="e">
        <v>#DIV/0!</v>
      </c>
      <c r="AU704" t="e">
        <v>#DIV/0!</v>
      </c>
      <c r="AV704"/>
      <c r="AW704"/>
      <c r="FY704" s="212">
        <v>699</v>
      </c>
      <c r="FZ704">
        <v>1.2533638407902918</v>
      </c>
      <c r="GA704">
        <v>12.834945584292077</v>
      </c>
      <c r="GB704">
        <v>12.552259491690783</v>
      </c>
      <c r="GC704">
        <v>5.5573567221765332</v>
      </c>
      <c r="GD704">
        <v>1.4887572347966898</v>
      </c>
      <c r="GE704">
        <v>0.35947809610506914</v>
      </c>
      <c r="GF704">
        <v>2.4041450295894737</v>
      </c>
      <c r="GG704">
        <v>8.2329131228747894</v>
      </c>
      <c r="GH704">
        <v>0</v>
      </c>
      <c r="GI704">
        <v>14.840270319757735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9.2892769607843118</v>
      </c>
      <c r="AO705">
        <v>23.656325447453241</v>
      </c>
      <c r="AP705">
        <v>749.92941678911893</v>
      </c>
      <c r="AQ705">
        <v>65.86391150122401</v>
      </c>
      <c r="AR705">
        <v>21.505750406775675</v>
      </c>
      <c r="AS705">
        <v>117.95581172049299</v>
      </c>
      <c r="AT705" t="e">
        <v>#DIV/0!</v>
      </c>
      <c r="AU705" t="e">
        <v>#DIV/0!</v>
      </c>
      <c r="AV705"/>
      <c r="AW705"/>
      <c r="FY705" s="212">
        <v>700</v>
      </c>
      <c r="FZ705">
        <v>0.1709068907158674</v>
      </c>
      <c r="GA705">
        <v>10.685793166145398</v>
      </c>
      <c r="GB705">
        <v>9.3610319183207356</v>
      </c>
      <c r="GC705">
        <v>3.3141737927813026</v>
      </c>
      <c r="GD705">
        <v>0.9785997992072849</v>
      </c>
      <c r="GE705">
        <v>0.35947809610506914</v>
      </c>
      <c r="GF705">
        <v>0</v>
      </c>
      <c r="GG705">
        <v>0</v>
      </c>
      <c r="GH705">
        <v>0</v>
      </c>
      <c r="GI705">
        <v>8.0921297211343699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9.8174019607843128</v>
      </c>
      <c r="AO706">
        <v>31.435835093222135</v>
      </c>
      <c r="AP706">
        <v>378.92157140582435</v>
      </c>
      <c r="AQ706">
        <v>55.773955589635712</v>
      </c>
      <c r="AR706">
        <v>28.578031902929212</v>
      </c>
      <c r="AS706">
        <v>212.67539044623692</v>
      </c>
      <c r="AT706" t="e">
        <v>#DIV/0!</v>
      </c>
      <c r="AU706" t="e">
        <v>#DIV/0!</v>
      </c>
      <c r="AV706"/>
      <c r="AW706"/>
      <c r="FY706" s="212">
        <v>701</v>
      </c>
      <c r="FZ706">
        <v>2.1682243693365955</v>
      </c>
      <c r="GA706">
        <v>17.630963856489455</v>
      </c>
      <c r="GB706">
        <v>12.231976659838899</v>
      </c>
      <c r="GC706">
        <v>3.4151680829759909</v>
      </c>
      <c r="GD706">
        <v>1.1890728718617547</v>
      </c>
      <c r="GE706">
        <v>0.71895619221013829</v>
      </c>
      <c r="GF706">
        <v>2.4041450295894737</v>
      </c>
      <c r="GG706">
        <v>10.474317651488573</v>
      </c>
      <c r="GH706">
        <v>3.245920257062465</v>
      </c>
      <c r="GI706">
        <v>9.4293897437846734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11.028860294117647</v>
      </c>
      <c r="AO707">
        <v>28.830388767085719</v>
      </c>
      <c r="AP707">
        <v>624.24983954880759</v>
      </c>
      <c r="AQ707">
        <v>71.090818378837227</v>
      </c>
      <c r="AR707">
        <v>26.209444333714288</v>
      </c>
      <c r="AS707">
        <v>138.38461675868007</v>
      </c>
      <c r="AT707" t="e">
        <v>#DIV/0!</v>
      </c>
      <c r="AU707" t="e">
        <v>#DIV/0!</v>
      </c>
      <c r="AV707"/>
      <c r="AW707"/>
      <c r="FY707" s="212">
        <v>702</v>
      </c>
      <c r="FZ707">
        <v>1.4812863372853795</v>
      </c>
      <c r="GA707">
        <v>21.117811973829674</v>
      </c>
      <c r="GB707">
        <v>19.380113028023775</v>
      </c>
      <c r="GC707">
        <v>6.10992148188536</v>
      </c>
      <c r="GD707">
        <v>1.0938054747624066</v>
      </c>
      <c r="GE707">
        <v>0.71895619221013829</v>
      </c>
      <c r="GF707">
        <v>0</v>
      </c>
      <c r="GG707">
        <v>0.83160738614896845</v>
      </c>
      <c r="GH707">
        <v>1.6229601285312325</v>
      </c>
      <c r="GI707">
        <v>7.7587993303315885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12.981678921568626</v>
      </c>
      <c r="AO708">
        <v>34.011726918432004</v>
      </c>
      <c r="AP708">
        <v>732.4779844908702</v>
      </c>
      <c r="AQ708">
        <v>65.82392051730983</v>
      </c>
      <c r="AR708">
        <v>30.953732016129887</v>
      </c>
      <c r="AS708">
        <v>181.66337195215527</v>
      </c>
      <c r="AT708" t="e">
        <v>#DIV/0!</v>
      </c>
      <c r="AU708" t="e">
        <v>#DIV/0!</v>
      </c>
      <c r="AV708"/>
      <c r="AW708"/>
      <c r="FY708" s="212">
        <v>703</v>
      </c>
      <c r="FZ708">
        <v>0.1709068907158674</v>
      </c>
      <c r="GA708">
        <v>15.76498249471798</v>
      </c>
      <c r="GB708">
        <v>11.56074144068609</v>
      </c>
      <c r="GC708">
        <v>3.149777017335321</v>
      </c>
      <c r="GD708">
        <v>0.62790299827699103</v>
      </c>
      <c r="GE708">
        <v>0</v>
      </c>
      <c r="GF708">
        <v>0.80138167652982462</v>
      </c>
      <c r="GG708">
        <v>2.7443043742915965</v>
      </c>
      <c r="GH708">
        <v>0</v>
      </c>
      <c r="GI708">
        <v>10.409791213968324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8.4486519607843142</v>
      </c>
      <c r="AO709">
        <v>23.723377535793851</v>
      </c>
      <c r="AP709">
        <v>686.40366285013499</v>
      </c>
      <c r="AQ709">
        <v>47.581471239114435</v>
      </c>
      <c r="AR709">
        <v>21.600687122822471</v>
      </c>
      <c r="AS709">
        <v>124.54957927444428</v>
      </c>
      <c r="AT709" t="e">
        <v>#DIV/0!</v>
      </c>
      <c r="AU709" t="e">
        <v>#DIV/0!</v>
      </c>
      <c r="AV709"/>
      <c r="AW709"/>
      <c r="FY709" s="212">
        <v>704</v>
      </c>
      <c r="FZ709">
        <v>1.273472532445947</v>
      </c>
      <c r="GA709">
        <v>14.495222454633632</v>
      </c>
      <c r="GB709">
        <v>8.7622611671516744</v>
      </c>
      <c r="GC709">
        <v>2.1865828987746214</v>
      </c>
      <c r="GD709">
        <v>0.99677021018953416</v>
      </c>
      <c r="GE709">
        <v>0.71895619221013829</v>
      </c>
      <c r="GF709">
        <v>0</v>
      </c>
      <c r="GG709">
        <v>1.1563795126316943</v>
      </c>
      <c r="GH709">
        <v>0</v>
      </c>
      <c r="GI709">
        <v>6.9632584106501749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8.6593750000000007</v>
      </c>
      <c r="AO710">
        <v>36.068821676490018</v>
      </c>
      <c r="AP710">
        <v>400.01569231549541</v>
      </c>
      <c r="AQ710">
        <v>72.584891163643817</v>
      </c>
      <c r="AR710">
        <v>32.789837887718193</v>
      </c>
      <c r="AS710">
        <v>184.26894569050819</v>
      </c>
      <c r="AT710" t="e">
        <v>#DIV/0!</v>
      </c>
      <c r="AU710" t="e">
        <v>#DIV/0!</v>
      </c>
      <c r="AV710"/>
      <c r="AW710"/>
      <c r="FY710" s="212">
        <v>705</v>
      </c>
      <c r="FZ710">
        <v>1.10256564173008</v>
      </c>
      <c r="GA710">
        <v>11.824462962211292</v>
      </c>
      <c r="GB710">
        <v>14.050497719448975</v>
      </c>
      <c r="GC710">
        <v>5.4191174599180458</v>
      </c>
      <c r="GD710">
        <v>0.9013952882519225</v>
      </c>
      <c r="GE710">
        <v>0.35947809610506914</v>
      </c>
      <c r="GF710">
        <v>0</v>
      </c>
      <c r="GG710">
        <v>2.241404528613784</v>
      </c>
      <c r="GH710">
        <v>3.245920257062465</v>
      </c>
      <c r="GI710">
        <v>13.032814192555952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8.0049019607843128</v>
      </c>
      <c r="AO711">
        <v>30.396796498722772</v>
      </c>
      <c r="AP711">
        <v>433.48873990601669</v>
      </c>
      <c r="AQ711">
        <v>41.233000723558689</v>
      </c>
      <c r="AR711">
        <v>27.633451362475252</v>
      </c>
      <c r="AS711">
        <v>178.89565347847062</v>
      </c>
      <c r="AT711" t="e">
        <v>#DIV/0!</v>
      </c>
      <c r="AU711" t="e">
        <v>#DIV/0!</v>
      </c>
      <c r="AV711"/>
      <c r="AW711"/>
      <c r="FY711" s="212">
        <v>706</v>
      </c>
      <c r="FZ711">
        <v>1.8432088103727695</v>
      </c>
      <c r="GA711">
        <v>13.570126371538155</v>
      </c>
      <c r="GB711">
        <v>17.855302772323544</v>
      </c>
      <c r="GC711">
        <v>7.474268842094868</v>
      </c>
      <c r="GD711">
        <v>1.0563375578631664</v>
      </c>
      <c r="GE711">
        <v>0</v>
      </c>
      <c r="GF711">
        <v>0.80138167652982462</v>
      </c>
      <c r="GG711">
        <v>3.3224941306074438</v>
      </c>
      <c r="GH711">
        <v>0</v>
      </c>
      <c r="GI711">
        <v>10.435432462611647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9.6385416666666668</v>
      </c>
      <c r="AO712">
        <v>38.830343517777742</v>
      </c>
      <c r="AP712">
        <v>839.9551498332811</v>
      </c>
      <c r="AQ712">
        <v>62.979157411841854</v>
      </c>
      <c r="AR712">
        <v>35.334292560989653</v>
      </c>
      <c r="AS712">
        <v>195.50409553097342</v>
      </c>
      <c r="AT712" t="e">
        <v>#DIV/0!</v>
      </c>
      <c r="AU712" t="e">
        <v>#DIV/0!</v>
      </c>
      <c r="AV712"/>
      <c r="AW712"/>
      <c r="FY712" s="212">
        <v>707</v>
      </c>
      <c r="FZ712">
        <v>0.5127206721476022</v>
      </c>
      <c r="GA712">
        <v>12.424495102683238</v>
      </c>
      <c r="GB712">
        <v>7.3300157805649686</v>
      </c>
      <c r="GC712">
        <v>1.3089108564500442</v>
      </c>
      <c r="GD712">
        <v>0.20806225331071926</v>
      </c>
      <c r="GE712">
        <v>0</v>
      </c>
      <c r="GF712">
        <v>0.80138167652982462</v>
      </c>
      <c r="GG712">
        <v>4.407519146589534</v>
      </c>
      <c r="GH712">
        <v>3.245920257062465</v>
      </c>
      <c r="GI712">
        <v>4.2614623819489683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10.258026960784312</v>
      </c>
      <c r="AO713">
        <v>27.095877461632888</v>
      </c>
      <c r="AP713">
        <v>350.58852870625532</v>
      </c>
      <c r="AQ713">
        <v>64.248120473076199</v>
      </c>
      <c r="AR713">
        <v>24.632615874211712</v>
      </c>
      <c r="AS713">
        <v>154.81102668615941</v>
      </c>
      <c r="AT713" t="e">
        <v>#DIV/0!</v>
      </c>
      <c r="AU713" t="e">
        <v>#DIV/0!</v>
      </c>
      <c r="AV713"/>
      <c r="AW713"/>
      <c r="FY713" s="212">
        <v>708</v>
      </c>
      <c r="FZ713">
        <v>0.87464314523499231</v>
      </c>
      <c r="GA713">
        <v>21.822928871216249</v>
      </c>
      <c r="GB713">
        <v>15.390464510844536</v>
      </c>
      <c r="GC713">
        <v>4.3744834721715362</v>
      </c>
      <c r="GD713">
        <v>1.1837457615447613</v>
      </c>
      <c r="GE713">
        <v>0</v>
      </c>
      <c r="GF713">
        <v>0</v>
      </c>
      <c r="GG713">
        <v>0.83160738614896845</v>
      </c>
      <c r="GH713">
        <v>1.6229601285312325</v>
      </c>
      <c r="GI713">
        <v>6.3968325584706616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9.6281250000000007</v>
      </c>
      <c r="AO714">
        <v>26.609673476152466</v>
      </c>
      <c r="AP714">
        <v>523.76192512460307</v>
      </c>
      <c r="AQ714">
        <v>83.139185340648012</v>
      </c>
      <c r="AR714">
        <v>24.190612251047689</v>
      </c>
      <c r="AS714">
        <v>169.43127915887581</v>
      </c>
      <c r="AT714" t="e">
        <v>#DIV/0!</v>
      </c>
      <c r="AU714" t="e">
        <v>#DIV/0!</v>
      </c>
      <c r="AV714"/>
      <c r="AW714"/>
      <c r="FY714" s="212">
        <v>709</v>
      </c>
      <c r="FZ714">
        <v>1.4812863372853795</v>
      </c>
      <c r="GA714">
        <v>15.462835891857724</v>
      </c>
      <c r="GB714">
        <v>14.911665827084503</v>
      </c>
      <c r="GC714">
        <v>4.5402274122478916</v>
      </c>
      <c r="GD714">
        <v>0.12333704170258343</v>
      </c>
      <c r="GE714">
        <v>0</v>
      </c>
      <c r="GF714">
        <v>1.6027633530596492</v>
      </c>
      <c r="GG714">
        <v>8.3082030335128252</v>
      </c>
      <c r="GH714">
        <v>3.245920257062465</v>
      </c>
      <c r="GI714">
        <v>8.1021069711600404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12.472610294117649</v>
      </c>
      <c r="AO715">
        <v>36.851307501093572</v>
      </c>
      <c r="AP715">
        <v>808.41259038968769</v>
      </c>
      <c r="AQ715">
        <v>59.523489442073441</v>
      </c>
      <c r="AR715">
        <v>33.501188637357799</v>
      </c>
      <c r="AS715">
        <v>179.12706407980585</v>
      </c>
      <c r="AT715" t="e">
        <v>#DIV/0!</v>
      </c>
      <c r="AU715" t="e">
        <v>#DIV/0!</v>
      </c>
      <c r="AV715"/>
      <c r="AW715"/>
      <c r="FY715" s="212">
        <v>710</v>
      </c>
      <c r="FZ715">
        <v>0.74064316864268975</v>
      </c>
      <c r="GA715">
        <v>20.781586014591063</v>
      </c>
      <c r="GB715">
        <v>20.606181687959559</v>
      </c>
      <c r="GC715">
        <v>6.3217454073062846</v>
      </c>
      <c r="GD715">
        <v>0.55370082292653477</v>
      </c>
      <c r="GE715">
        <v>0</v>
      </c>
      <c r="GF715">
        <v>0.80138167652982462</v>
      </c>
      <c r="GG715">
        <v>3.3224941306074438</v>
      </c>
      <c r="GH715">
        <v>0</v>
      </c>
      <c r="GI715">
        <v>10.57232578503848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5.958333333333333</v>
      </c>
      <c r="AO716">
        <v>25.773367900212428</v>
      </c>
      <c r="AP716">
        <v>159.67980786532604</v>
      </c>
      <c r="AQ716">
        <v>32.962113384410031</v>
      </c>
      <c r="AR716">
        <v>23.430334454738571</v>
      </c>
      <c r="AS716">
        <v>144.54935177157103</v>
      </c>
      <c r="AT716" t="e">
        <v>#DIV/0!</v>
      </c>
      <c r="AU716" t="e">
        <v>#DIV/0!</v>
      </c>
      <c r="AV716"/>
      <c r="AW716"/>
      <c r="FY716" s="212">
        <v>711</v>
      </c>
      <c r="FZ716">
        <v>1.46448811481747</v>
      </c>
      <c r="GA716">
        <v>17.29009252454361</v>
      </c>
      <c r="GB716">
        <v>16.544589596166631</v>
      </c>
      <c r="GC716">
        <v>6.6523031577384026</v>
      </c>
      <c r="GD716">
        <v>1.7410036479833213</v>
      </c>
      <c r="GE716">
        <v>0.35947809610506914</v>
      </c>
      <c r="GF716">
        <v>0</v>
      </c>
      <c r="GG716">
        <v>1.1563795126316943</v>
      </c>
      <c r="GH716">
        <v>0</v>
      </c>
      <c r="GI716">
        <v>10.087759057714115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9.305943627450981</v>
      </c>
      <c r="AO717">
        <v>32.30629089083132</v>
      </c>
      <c r="AP717">
        <v>921.06795806528226</v>
      </c>
      <c r="AQ717">
        <v>62.908134714638017</v>
      </c>
      <c r="AR717">
        <v>29.471296171603576</v>
      </c>
      <c r="AS717">
        <v>151.92315036732919</v>
      </c>
      <c r="AT717" t="e">
        <v>#DIV/0!</v>
      </c>
      <c r="AU717" t="e">
        <v>#DIV/0!</v>
      </c>
      <c r="AV717"/>
      <c r="AW717"/>
      <c r="FY717" s="212">
        <v>712</v>
      </c>
      <c r="FZ717">
        <v>0</v>
      </c>
      <c r="GA717">
        <v>17.860677905185209</v>
      </c>
      <c r="GB717">
        <v>14.114860192909156</v>
      </c>
      <c r="GC717">
        <v>4.7708240857638833</v>
      </c>
      <c r="GD717">
        <v>1.4729976431581915</v>
      </c>
      <c r="GE717">
        <v>0.35947809610506914</v>
      </c>
      <c r="GF717">
        <v>1.6027633530596492</v>
      </c>
      <c r="GG717">
        <v>8.3082030335128252</v>
      </c>
      <c r="GH717">
        <v>3.245920257062465</v>
      </c>
      <c r="GI717">
        <v>13.922243161876061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11.207720588235292</v>
      </c>
      <c r="AO718">
        <v>17.517557696834366</v>
      </c>
      <c r="AP718">
        <v>204.41607346466742</v>
      </c>
      <c r="AQ718">
        <v>60.115261333008519</v>
      </c>
      <c r="AR718">
        <v>15.925052451667604</v>
      </c>
      <c r="AS718">
        <v>116.82114504186086</v>
      </c>
      <c r="AT718" t="e">
        <v>#DIV/0!</v>
      </c>
      <c r="AU718" t="e">
        <v>#DIV/0!</v>
      </c>
      <c r="AV718"/>
      <c r="AW718"/>
      <c r="FY718" s="212">
        <v>713</v>
      </c>
      <c r="FZ718">
        <v>1.46448811481747</v>
      </c>
      <c r="GA718">
        <v>25.548040917480634</v>
      </c>
      <c r="GB718">
        <v>17.823662029958893</v>
      </c>
      <c r="GC718">
        <v>4.6817185887316688</v>
      </c>
      <c r="GD718">
        <v>1.2877876283034211</v>
      </c>
      <c r="GE718">
        <v>0.35947809610506914</v>
      </c>
      <c r="GF718">
        <v>0</v>
      </c>
      <c r="GG718">
        <v>3.3264295445958738</v>
      </c>
      <c r="GH718">
        <v>6.49184051412493</v>
      </c>
      <c r="GI718">
        <v>11.240564398142228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7.6281249999999998</v>
      </c>
      <c r="AO719">
        <v>44.761365576045748</v>
      </c>
      <c r="AP719">
        <v>472.49950778877371</v>
      </c>
      <c r="AQ719">
        <v>45.229788106521994</v>
      </c>
      <c r="AR719">
        <v>40.692150523677952</v>
      </c>
      <c r="AS719">
        <v>176.84194790831003</v>
      </c>
      <c r="AT719" t="e">
        <v>#DIV/0!</v>
      </c>
      <c r="AU719" t="e">
        <v>#DIV/0!</v>
      </c>
      <c r="AV719"/>
      <c r="AW719"/>
      <c r="FY719" s="212">
        <v>714</v>
      </c>
      <c r="FZ719">
        <v>0.3418137814317348</v>
      </c>
      <c r="GA719">
        <v>13.032730101681972</v>
      </c>
      <c r="GB719">
        <v>10.726618284555993</v>
      </c>
      <c r="GC719">
        <v>4.0978756234132279</v>
      </c>
      <c r="GD719">
        <v>1.6054640781542646</v>
      </c>
      <c r="GE719">
        <v>0.71895619221013829</v>
      </c>
      <c r="GF719">
        <v>0</v>
      </c>
      <c r="GG719">
        <v>2.241404528613784</v>
      </c>
      <c r="GH719">
        <v>3.245920257062465</v>
      </c>
      <c r="GI719">
        <v>6.7322505848164313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7.4736519607843119</v>
      </c>
      <c r="AO720">
        <v>24.31172868626367</v>
      </c>
      <c r="AP720">
        <v>556.07065953758013</v>
      </c>
      <c r="AQ720">
        <v>36.552903378687418</v>
      </c>
      <c r="AR720">
        <v>22.13555180506776</v>
      </c>
      <c r="AS720">
        <v>185.4322469130401</v>
      </c>
      <c r="AT720" t="e">
        <v>#DIV/0!</v>
      </c>
      <c r="AU720" t="e">
        <v>#DIV/0!</v>
      </c>
      <c r="AV720"/>
      <c r="AW720"/>
      <c r="FY720" s="212">
        <v>715</v>
      </c>
      <c r="FZ720">
        <v>0.70373625451912492</v>
      </c>
      <c r="GA720">
        <v>10.947789185431212</v>
      </c>
      <c r="GB720">
        <v>13.927990076924099</v>
      </c>
      <c r="GC720">
        <v>5.2176160975064905</v>
      </c>
      <c r="GD720">
        <v>1.1926299353737801</v>
      </c>
      <c r="GE720">
        <v>1.0784342883152076</v>
      </c>
      <c r="GF720">
        <v>0.80138167652982462</v>
      </c>
      <c r="GG720">
        <v>3.3224941306074438</v>
      </c>
      <c r="GH720">
        <v>0</v>
      </c>
      <c r="GI720">
        <v>7.0319521258291937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11.296568627450979</v>
      </c>
      <c r="AO721">
        <v>42.542631056655729</v>
      </c>
      <c r="AP721">
        <v>471.17339837287284</v>
      </c>
      <c r="AQ721">
        <v>52.177656145897593</v>
      </c>
      <c r="AR721">
        <v>38.709099414515087</v>
      </c>
      <c r="AS721">
        <v>213.99343473381199</v>
      </c>
      <c r="AT721" t="e">
        <v>#DIV/0!</v>
      </c>
      <c r="AU721" t="e">
        <v>#DIV/0!</v>
      </c>
      <c r="AV721"/>
      <c r="AW721"/>
      <c r="FY721" s="212">
        <v>716</v>
      </c>
      <c r="FZ721">
        <v>1.8432088103727695</v>
      </c>
      <c r="GA721">
        <v>15.016144143222077</v>
      </c>
      <c r="GB721">
        <v>19.118616234070213</v>
      </c>
      <c r="GC721">
        <v>7.7805315532664334</v>
      </c>
      <c r="GD721">
        <v>1.3829498315375732</v>
      </c>
      <c r="GE721">
        <v>0.71895619221013829</v>
      </c>
      <c r="GF721">
        <v>0.80138167652982462</v>
      </c>
      <c r="GG721">
        <v>3.5759117604405652</v>
      </c>
      <c r="GH721">
        <v>1.6229601285312325</v>
      </c>
      <c r="GI721">
        <v>17.081493091804351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12.637928921568626</v>
      </c>
      <c r="AO722">
        <v>37.326054890435124</v>
      </c>
      <c r="AP722">
        <v>613.72485597713944</v>
      </c>
      <c r="AQ722">
        <v>56.358552623941407</v>
      </c>
      <c r="AR722">
        <v>33.966757445223635</v>
      </c>
      <c r="AS722">
        <v>175.27513264878235</v>
      </c>
      <c r="AT722" t="e">
        <v>#DIV/0!</v>
      </c>
      <c r="AU722" t="e">
        <v>#DIV/0!</v>
      </c>
      <c r="AV722"/>
      <c r="AW722"/>
      <c r="FY722" s="212">
        <v>717</v>
      </c>
      <c r="FZ722">
        <v>0.3418137814317348</v>
      </c>
      <c r="GA722">
        <v>22.454835063495224</v>
      </c>
      <c r="GB722">
        <v>14.011717335982732</v>
      </c>
      <c r="GC722">
        <v>3.6240801761222241</v>
      </c>
      <c r="GD722">
        <v>1.1781734317632968</v>
      </c>
      <c r="GE722">
        <v>0</v>
      </c>
      <c r="GF722">
        <v>0</v>
      </c>
      <c r="GG722">
        <v>2.5661766550965104</v>
      </c>
      <c r="GH722">
        <v>1.6229601285312325</v>
      </c>
      <c r="GI722">
        <v>11.407046871029809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3.8156249999999994</v>
      </c>
      <c r="AO723">
        <v>14.630691463386771</v>
      </c>
      <c r="AP723">
        <v>319.18901361120118</v>
      </c>
      <c r="AQ723">
        <v>34.500488127287362</v>
      </c>
      <c r="AR723">
        <v>13.300628603078884</v>
      </c>
      <c r="AS723">
        <v>77.798932106087904</v>
      </c>
      <c r="AT723" t="e">
        <v>#DIV/0!</v>
      </c>
      <c r="AU723" t="e">
        <v>#DIV/0!</v>
      </c>
      <c r="AV723"/>
      <c r="AW723"/>
      <c r="FY723" s="212">
        <v>718</v>
      </c>
      <c r="FZ723">
        <v>1.0824569500744243</v>
      </c>
      <c r="GA723">
        <v>15.333005227318816</v>
      </c>
      <c r="GB723">
        <v>10.704256612298149</v>
      </c>
      <c r="GC723">
        <v>3.0298016373782115</v>
      </c>
      <c r="GD723">
        <v>0.88370647497564792</v>
      </c>
      <c r="GE723">
        <v>0.35947809610506914</v>
      </c>
      <c r="GF723">
        <v>1.6027633530596492</v>
      </c>
      <c r="GG723">
        <v>6.3202161347321617</v>
      </c>
      <c r="GH723">
        <v>1.6229601285312325</v>
      </c>
      <c r="GI723">
        <v>6.943250134890218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6.2708333333333339</v>
      </c>
      <c r="AO724">
        <v>12.085662258096743</v>
      </c>
      <c r="AP724">
        <v>117.24902825356868</v>
      </c>
      <c r="AQ724">
        <v>52.497665834162937</v>
      </c>
      <c r="AR724">
        <v>11.020945961279653</v>
      </c>
      <c r="AS724">
        <v>80.478165645043504</v>
      </c>
      <c r="AT724" t="e">
        <v>#DIV/0!</v>
      </c>
      <c r="AU724" t="e">
        <v>#DIV/0!</v>
      </c>
      <c r="AV724"/>
      <c r="AW724"/>
      <c r="FY724" s="212">
        <v>719</v>
      </c>
      <c r="FZ724">
        <v>2.9088675379792845</v>
      </c>
      <c r="GA724">
        <v>19.394917426614153</v>
      </c>
      <c r="GB724">
        <v>18.736131113428684</v>
      </c>
      <c r="GC724">
        <v>7.1893834668977714</v>
      </c>
      <c r="GD724">
        <v>1.361454224980291</v>
      </c>
      <c r="GE724">
        <v>0</v>
      </c>
      <c r="GF724">
        <v>0</v>
      </c>
      <c r="GG724">
        <v>2.8195942849296314</v>
      </c>
      <c r="GH724">
        <v>3.245920257062465</v>
      </c>
      <c r="GI724">
        <v>11.072007400710271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10.443137254901961</v>
      </c>
      <c r="AO725">
        <v>21.264212390888538</v>
      </c>
      <c r="AP725">
        <v>876.89685679740171</v>
      </c>
      <c r="AQ725">
        <v>57.778346124973069</v>
      </c>
      <c r="AR725">
        <v>19.331102173535037</v>
      </c>
      <c r="AS725">
        <v>182.54349362007258</v>
      </c>
      <c r="AT725" t="e">
        <v>#DIV/0!</v>
      </c>
      <c r="AU725" t="e">
        <v>#DIV/0!</v>
      </c>
      <c r="AV725"/>
      <c r="AW725"/>
      <c r="FY725" s="212">
        <v>720</v>
      </c>
      <c r="FZ725">
        <v>0.70373625451912492</v>
      </c>
      <c r="GA725">
        <v>22.47312522429306</v>
      </c>
      <c r="GB725">
        <v>16.135739802903942</v>
      </c>
      <c r="GC725">
        <v>3.1660122185895574</v>
      </c>
      <c r="GD725">
        <v>0.41816125309747804</v>
      </c>
      <c r="GE725">
        <v>0.35947809610506914</v>
      </c>
      <c r="GF725">
        <v>0.80138167652982462</v>
      </c>
      <c r="GG725">
        <v>5.8173162890543502</v>
      </c>
      <c r="GH725">
        <v>4.8688803855936991</v>
      </c>
      <c r="GI725">
        <v>8.1967035558828023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10.935110294117646</v>
      </c>
      <c r="AO726">
        <v>27.227677437688659</v>
      </c>
      <c r="AP726">
        <v>583.5621161354502</v>
      </c>
      <c r="AQ726">
        <v>63.700058693601875</v>
      </c>
      <c r="AR726">
        <v>24.752434034262411</v>
      </c>
      <c r="AS726">
        <v>150.83932757895317</v>
      </c>
      <c r="AT726" t="e">
        <v>#DIV/0!</v>
      </c>
      <c r="AU726" t="e">
        <v>#DIV/0!</v>
      </c>
      <c r="AV726"/>
      <c r="AW726"/>
      <c r="FY726" s="212">
        <v>721</v>
      </c>
      <c r="FZ726">
        <v>0.53282936380325752</v>
      </c>
      <c r="GA726">
        <v>23.356476898792131</v>
      </c>
      <c r="GB726">
        <v>15.421266999916316</v>
      </c>
      <c r="GC726">
        <v>3.5751770244959014</v>
      </c>
      <c r="GD726">
        <v>0.89272834343087448</v>
      </c>
      <c r="GE726">
        <v>0.35947809610506914</v>
      </c>
      <c r="GF726">
        <v>0</v>
      </c>
      <c r="GG726">
        <v>0.83160738614896845</v>
      </c>
      <c r="GH726">
        <v>1.6229601285312325</v>
      </c>
      <c r="GI726">
        <v>6.7934378742752175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10.681985294117647</v>
      </c>
      <c r="AO727">
        <v>28.353268025391362</v>
      </c>
      <c r="AP727">
        <v>641.53143222005451</v>
      </c>
      <c r="AQ727">
        <v>55.296093707700315</v>
      </c>
      <c r="AR727">
        <v>25.843658749102818</v>
      </c>
      <c r="AS727">
        <v>248.77126577940999</v>
      </c>
      <c r="AT727" t="e">
        <v>#DIV/0!</v>
      </c>
      <c r="AU727" t="e">
        <v>#DIV/0!</v>
      </c>
      <c r="AV727"/>
      <c r="AW727"/>
      <c r="FY727" s="212">
        <v>722</v>
      </c>
      <c r="FZ727">
        <v>1.8432088103727695</v>
      </c>
      <c r="GA727">
        <v>18.336581274427729</v>
      </c>
      <c r="GB727">
        <v>9.3139314914087485</v>
      </c>
      <c r="GC727">
        <v>1.3319708916627579</v>
      </c>
      <c r="GD727">
        <v>0.39682933167751488</v>
      </c>
      <c r="GE727">
        <v>0.35947809610506914</v>
      </c>
      <c r="GF727">
        <v>1.6027633530596492</v>
      </c>
      <c r="GG727">
        <v>7.4765956473638564</v>
      </c>
      <c r="GH727">
        <v>1.6229601285312325</v>
      </c>
      <c r="GI727">
        <v>9.1761171857926058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9.5062499999999979</v>
      </c>
      <c r="AO728">
        <v>43.6364921364491</v>
      </c>
      <c r="AP728">
        <v>1194.6349702419354</v>
      </c>
      <c r="AQ728">
        <v>65.657967728632514</v>
      </c>
      <c r="AR728">
        <v>39.669538305862822</v>
      </c>
      <c r="AS728">
        <v>196.88904896280104</v>
      </c>
      <c r="AT728" t="e">
        <v>#DIV/0!</v>
      </c>
      <c r="AU728" t="e">
        <v>#DIV/0!</v>
      </c>
      <c r="AV728"/>
      <c r="AW728"/>
      <c r="FY728" s="212">
        <v>723</v>
      </c>
      <c r="FZ728">
        <v>0.36192247308739012</v>
      </c>
      <c r="GA728">
        <v>25.003633112919157</v>
      </c>
      <c r="GB728">
        <v>14.800662323833668</v>
      </c>
      <c r="GC728">
        <v>2.963391150942758</v>
      </c>
      <c r="GD728">
        <v>1.0268742702957416</v>
      </c>
      <c r="GE728">
        <v>0.35947809610506914</v>
      </c>
      <c r="GF728">
        <v>1.6027633530596492</v>
      </c>
      <c r="GG728">
        <v>7.1518235208811305</v>
      </c>
      <c r="GH728">
        <v>3.245920257062465</v>
      </c>
      <c r="GI728">
        <v>8.8854483510445323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10.661151960784313</v>
      </c>
      <c r="AO729">
        <v>41.805219400102551</v>
      </c>
      <c r="AP729">
        <v>520.26855961768035</v>
      </c>
      <c r="AQ729">
        <v>72.224009832260194</v>
      </c>
      <c r="AR729">
        <v>38.072705453385723</v>
      </c>
      <c r="AS729">
        <v>206.23842494875063</v>
      </c>
      <c r="AT729" t="e">
        <v>#DIV/0!</v>
      </c>
      <c r="AU729" t="e">
        <v>#DIV/0!</v>
      </c>
      <c r="AV729"/>
      <c r="AW729"/>
      <c r="FY729" s="212">
        <v>724</v>
      </c>
      <c r="FZ729">
        <v>1.6353950055333373</v>
      </c>
      <c r="GA729">
        <v>19.744949427754516</v>
      </c>
      <c r="GB729">
        <v>20.270370886915906</v>
      </c>
      <c r="GC729">
        <v>6.9017096432595713</v>
      </c>
      <c r="GD729">
        <v>1.0192460448047043</v>
      </c>
      <c r="GE729">
        <v>0</v>
      </c>
      <c r="GF729">
        <v>0</v>
      </c>
      <c r="GG729">
        <v>3.0730119147627537</v>
      </c>
      <c r="GH729">
        <v>4.8688803855936991</v>
      </c>
      <c r="GI729">
        <v>10.939703585763816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5.75</v>
      </c>
      <c r="AO730">
        <v>23.57727636774883</v>
      </c>
      <c r="AP730">
        <v>365.67364810605716</v>
      </c>
      <c r="AQ730">
        <v>42.743033431940013</v>
      </c>
      <c r="AR730">
        <v>21.43388760704439</v>
      </c>
      <c r="AS730">
        <v>148.66585132923385</v>
      </c>
      <c r="AT730" t="e">
        <v>#DIV/0!</v>
      </c>
      <c r="AU730" t="e">
        <v>#DIV/0!</v>
      </c>
      <c r="AV730"/>
      <c r="AW730"/>
      <c r="FY730" s="212">
        <v>725</v>
      </c>
      <c r="FZ730">
        <v>0.1709068907158674</v>
      </c>
      <c r="GA730">
        <v>22.189954167917847</v>
      </c>
      <c r="GB730">
        <v>12.632162888274374</v>
      </c>
      <c r="GC730">
        <v>1.8785019015518927</v>
      </c>
      <c r="GD730">
        <v>0.46897561131839888</v>
      </c>
      <c r="GE730">
        <v>0</v>
      </c>
      <c r="GF730">
        <v>0</v>
      </c>
      <c r="GG730">
        <v>1.4097971424648157</v>
      </c>
      <c r="GH730">
        <v>1.6229601285312325</v>
      </c>
      <c r="GI730">
        <v>7.2147354355578512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5.6281249999999989</v>
      </c>
      <c r="AO731">
        <v>18.964529791206179</v>
      </c>
      <c r="AP731">
        <v>471.77497071060668</v>
      </c>
      <c r="AQ731">
        <v>44.224023771036371</v>
      </c>
      <c r="AR731">
        <v>17.274461900470047</v>
      </c>
      <c r="AS731">
        <v>113.00101678421072</v>
      </c>
      <c r="AT731" t="e">
        <v>#DIV/0!</v>
      </c>
      <c r="AU731" t="e">
        <v>#DIV/0!</v>
      </c>
      <c r="AV731"/>
      <c r="AW731"/>
      <c r="FY731" s="212">
        <v>726</v>
      </c>
      <c r="FZ731">
        <v>0.3418137814317348</v>
      </c>
      <c r="GA731">
        <v>28.403736696058854</v>
      </c>
      <c r="GB731">
        <v>26.530109693898442</v>
      </c>
      <c r="GC731">
        <v>8.0707595143366735</v>
      </c>
      <c r="GD731">
        <v>0.77257196139953765</v>
      </c>
      <c r="GE731">
        <v>0</v>
      </c>
      <c r="GF731">
        <v>0</v>
      </c>
      <c r="GG731">
        <v>0</v>
      </c>
      <c r="GH731">
        <v>0</v>
      </c>
      <c r="GI731">
        <v>10.528966659989749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15.846262254901962</v>
      </c>
      <c r="AO732">
        <v>38.626873966502544</v>
      </c>
      <c r="AP732">
        <v>361.65990428657074</v>
      </c>
      <c r="AQ732">
        <v>68.942153421985168</v>
      </c>
      <c r="AR732">
        <v>35.149320241648553</v>
      </c>
      <c r="AS732">
        <v>208.93631462873293</v>
      </c>
      <c r="AT732" t="e">
        <v>#DIV/0!</v>
      </c>
      <c r="AU732" t="e">
        <v>#DIV/0!</v>
      </c>
      <c r="AV732"/>
      <c r="AW732"/>
      <c r="FY732" s="212">
        <v>727</v>
      </c>
      <c r="FZ732">
        <v>0.91155005935855693</v>
      </c>
      <c r="GA732">
        <v>14.108782220873895</v>
      </c>
      <c r="GB732">
        <v>8.3094013433590383</v>
      </c>
      <c r="GC732">
        <v>2.159467648806118</v>
      </c>
      <c r="GD732">
        <v>0.92079798803410962</v>
      </c>
      <c r="GE732">
        <v>0.35947809610506914</v>
      </c>
      <c r="GF732">
        <v>0.80138167652982462</v>
      </c>
      <c r="GG732">
        <v>3.3224941306074438</v>
      </c>
      <c r="GH732">
        <v>0</v>
      </c>
      <c r="GI732">
        <v>5.5781117343633344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8.5208333333333321</v>
      </c>
      <c r="AO733">
        <v>39.959567561685979</v>
      </c>
      <c r="AP733">
        <v>932.41885606822484</v>
      </c>
      <c r="AQ733">
        <v>57.20680344345277</v>
      </c>
      <c r="AR733">
        <v>36.32687960153271</v>
      </c>
      <c r="AS733">
        <v>255.96366752158789</v>
      </c>
      <c r="AT733" t="e">
        <v>#DIV/0!</v>
      </c>
      <c r="AU733" t="e">
        <v>#DIV/0!</v>
      </c>
      <c r="AV733"/>
      <c r="AW733"/>
      <c r="FY733" s="212">
        <v>728</v>
      </c>
      <c r="FZ733">
        <v>1.4443794231618146</v>
      </c>
      <c r="GA733">
        <v>19.544329699604916</v>
      </c>
      <c r="GB733">
        <v>11.942611035762051</v>
      </c>
      <c r="GC733">
        <v>4.3067730062535938</v>
      </c>
      <c r="GD733">
        <v>2.1520914034968817</v>
      </c>
      <c r="GE733">
        <v>0.71895619221013829</v>
      </c>
      <c r="GF733">
        <v>0</v>
      </c>
      <c r="GG733">
        <v>1.9879868987806626</v>
      </c>
      <c r="GH733">
        <v>1.6229601285312325</v>
      </c>
      <c r="GI733">
        <v>17.892972740392867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7.4799019607843125</v>
      </c>
      <c r="AO734">
        <v>24.790180616693135</v>
      </c>
      <c r="AP734">
        <v>516.53777878843789</v>
      </c>
      <c r="AQ734">
        <v>47.881894749363582</v>
      </c>
      <c r="AR734">
        <v>22.536527833357397</v>
      </c>
      <c r="AS734">
        <v>127.84116601391281</v>
      </c>
      <c r="AT734" t="e">
        <v>#DIV/0!</v>
      </c>
      <c r="AU734" t="e">
        <v>#DIV/0!</v>
      </c>
      <c r="AV734"/>
      <c r="AW734"/>
      <c r="FY734" s="212">
        <v>729</v>
      </c>
      <c r="FZ734">
        <v>1.273472532445947</v>
      </c>
      <c r="GA734">
        <v>12.4497467362701</v>
      </c>
      <c r="GB734">
        <v>19.179383010241004</v>
      </c>
      <c r="GC734">
        <v>8.5245926928791036</v>
      </c>
      <c r="GD734">
        <v>1.8719689151769419</v>
      </c>
      <c r="GE734">
        <v>0.71895619221013829</v>
      </c>
      <c r="GF734">
        <v>0.80138167652982462</v>
      </c>
      <c r="GG734">
        <v>3.3224941306074438</v>
      </c>
      <c r="GH734">
        <v>0</v>
      </c>
      <c r="GI734">
        <v>10.490934951053074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13.311887254901961</v>
      </c>
      <c r="AO735">
        <v>30.208957727079184</v>
      </c>
      <c r="AP735">
        <v>660.46799693312209</v>
      </c>
      <c r="AQ735">
        <v>66.728275712602553</v>
      </c>
      <c r="AR735">
        <v>27.564629659101637</v>
      </c>
      <c r="AS735">
        <v>250.5368543907037</v>
      </c>
      <c r="AT735" t="e">
        <v>#DIV/0!</v>
      </c>
      <c r="AU735" t="e">
        <v>#DIV/0!</v>
      </c>
      <c r="AV735"/>
      <c r="AW735"/>
      <c r="FY735" s="212">
        <v>730</v>
      </c>
      <c r="FZ735">
        <v>1.10256564173008</v>
      </c>
      <c r="GA735">
        <v>15.954879596825581</v>
      </c>
      <c r="GB735">
        <v>17.91226445090123</v>
      </c>
      <c r="GC735">
        <v>6.3437816177038613</v>
      </c>
      <c r="GD735">
        <v>1.1185869348561317</v>
      </c>
      <c r="GE735">
        <v>0.71895619221013829</v>
      </c>
      <c r="GF735">
        <v>0.80138167652982462</v>
      </c>
      <c r="GG735">
        <v>4.9857089029053814</v>
      </c>
      <c r="GH735">
        <v>3.245920257062465</v>
      </c>
      <c r="GI735">
        <v>11.086493951272278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6.5343749999999998</v>
      </c>
      <c r="AO736">
        <v>26.620897455179467</v>
      </c>
      <c r="AP736">
        <v>568.32947640942905</v>
      </c>
      <c r="AQ736">
        <v>62.940534756568908</v>
      </c>
      <c r="AR736">
        <v>24.234796140445759</v>
      </c>
      <c r="AS736">
        <v>119.97858374046179</v>
      </c>
      <c r="AT736" t="e">
        <v>#DIV/0!</v>
      </c>
      <c r="AU736" t="e">
        <v>#DIV/0!</v>
      </c>
      <c r="AV736"/>
      <c r="AW736"/>
      <c r="FY736" s="212">
        <v>731</v>
      </c>
      <c r="FZ736">
        <v>0.72384494617478023</v>
      </c>
      <c r="GA736">
        <v>13.43633571997924</v>
      </c>
      <c r="GB736">
        <v>14.026846841413381</v>
      </c>
      <c r="GC736">
        <v>5.5842254245450844</v>
      </c>
      <c r="GD736">
        <v>1.5577228547663271</v>
      </c>
      <c r="GE736">
        <v>0.35947809610506914</v>
      </c>
      <c r="GF736">
        <v>1.6027633530596492</v>
      </c>
      <c r="GG736">
        <v>6.6449882612148876</v>
      </c>
      <c r="GH736">
        <v>0</v>
      </c>
      <c r="GI736">
        <v>14.020672250855744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6.4895833333333339</v>
      </c>
      <c r="AO737">
        <v>31.396661740634165</v>
      </c>
      <c r="AP737">
        <v>347.12455224196822</v>
      </c>
      <c r="AQ737">
        <v>53.385962115498977</v>
      </c>
      <c r="AR737">
        <v>28.576400036313668</v>
      </c>
      <c r="AS737">
        <v>163.55757169387829</v>
      </c>
      <c r="AT737" t="e">
        <v>#DIV/0!</v>
      </c>
      <c r="AU737" t="e">
        <v>#DIV/0!</v>
      </c>
      <c r="AV737"/>
      <c r="AW737"/>
      <c r="FY737" s="212">
        <v>732</v>
      </c>
      <c r="FZ737">
        <v>2.1481156776809396</v>
      </c>
      <c r="GA737">
        <v>25.242391911915238</v>
      </c>
      <c r="GB737">
        <v>14.996882698433989</v>
      </c>
      <c r="GC737">
        <v>2.8061462145942739</v>
      </c>
      <c r="GD737">
        <v>0.65100496650192241</v>
      </c>
      <c r="GE737">
        <v>0.35947809610506914</v>
      </c>
      <c r="GF737">
        <v>0.80138167652982462</v>
      </c>
      <c r="GG737">
        <v>5.2391265327385028</v>
      </c>
      <c r="GH737">
        <v>4.8688803855936991</v>
      </c>
      <c r="GI737">
        <v>9.6432642753363744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10.349387254901959</v>
      </c>
      <c r="AO738">
        <v>29.912599925261787</v>
      </c>
      <c r="AP738">
        <v>929.44490825197011</v>
      </c>
      <c r="AQ738">
        <v>51.46043621040193</v>
      </c>
      <c r="AR738">
        <v>27.227252931429692</v>
      </c>
      <c r="AS738">
        <v>142.41681644824993</v>
      </c>
      <c r="AT738" t="e">
        <v>#DIV/0!</v>
      </c>
      <c r="AU738" t="e">
        <v>#DIV/0!</v>
      </c>
      <c r="AV738"/>
      <c r="AW738"/>
      <c r="FY738" s="212">
        <v>733</v>
      </c>
      <c r="FZ738">
        <v>1.46448811481747</v>
      </c>
      <c r="GA738">
        <v>20.242379582787354</v>
      </c>
      <c r="GB738">
        <v>10.524492098626533</v>
      </c>
      <c r="GC738">
        <v>1.9365107651397944</v>
      </c>
      <c r="GD738">
        <v>0.92079798803410962</v>
      </c>
      <c r="GE738">
        <v>0.35947809610506914</v>
      </c>
      <c r="GF738">
        <v>0.80138167652982462</v>
      </c>
      <c r="GG738">
        <v>4.407519146589534</v>
      </c>
      <c r="GH738">
        <v>3.245920257062465</v>
      </c>
      <c r="GI738">
        <v>6.6159937651225214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5.8812499999999988</v>
      </c>
      <c r="AO739">
        <v>18.56799778497674</v>
      </c>
      <c r="AP739">
        <v>756.51035469618978</v>
      </c>
      <c r="AQ739">
        <v>65.401916909231559</v>
      </c>
      <c r="AR739">
        <v>16.913978258443287</v>
      </c>
      <c r="AS739">
        <v>128.95348769163667</v>
      </c>
      <c r="AT739" t="e">
        <v>#DIV/0!</v>
      </c>
      <c r="AU739" t="e">
        <v>#DIV/0!</v>
      </c>
      <c r="AV739"/>
      <c r="AW739"/>
      <c r="FY739" s="212">
        <v>734</v>
      </c>
      <c r="FZ739">
        <v>0.53282936380325752</v>
      </c>
      <c r="GA739">
        <v>17.657692015037547</v>
      </c>
      <c r="GB739">
        <v>11.01706505601866</v>
      </c>
      <c r="GC739">
        <v>3.3692957144483029</v>
      </c>
      <c r="GD739">
        <v>1.2842305647913956</v>
      </c>
      <c r="GE739">
        <v>0</v>
      </c>
      <c r="GF739">
        <v>0.80138167652982462</v>
      </c>
      <c r="GG739">
        <v>3.5759117604405652</v>
      </c>
      <c r="GH739">
        <v>1.6229601285312325</v>
      </c>
      <c r="GI739">
        <v>8.6135541699293139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11.379901960784313</v>
      </c>
      <c r="AO740">
        <v>35.265928592309152</v>
      </c>
      <c r="AP740">
        <v>439.36893152148855</v>
      </c>
      <c r="AQ740">
        <v>68.453266894388292</v>
      </c>
      <c r="AR740">
        <v>32.127895628118992</v>
      </c>
      <c r="AS740">
        <v>198.44754233447685</v>
      </c>
      <c r="AT740" t="e">
        <v>#DIV/0!</v>
      </c>
      <c r="AU740" t="e">
        <v>#DIV/0!</v>
      </c>
      <c r="AV740"/>
      <c r="AW740"/>
      <c r="FY740" s="212">
        <v>735</v>
      </c>
      <c r="FZ740">
        <v>0.1709068907158674</v>
      </c>
      <c r="GA740">
        <v>0.20174450440990599</v>
      </c>
      <c r="GB740">
        <v>12.688475397268016</v>
      </c>
      <c r="GC740">
        <v>6.9715782997845688</v>
      </c>
      <c r="GD740">
        <v>0.8340360299499342</v>
      </c>
      <c r="GE740">
        <v>0</v>
      </c>
      <c r="GF740">
        <v>0.80138167652982462</v>
      </c>
      <c r="GG740">
        <v>3.3224941306074438</v>
      </c>
      <c r="GH740">
        <v>0</v>
      </c>
      <c r="GI740">
        <v>6.8019145274664821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5.385416666666667</v>
      </c>
      <c r="AO741">
        <v>22.504636702817052</v>
      </c>
      <c r="AP741">
        <v>384.79492845194306</v>
      </c>
      <c r="AQ741">
        <v>47.58799416633228</v>
      </c>
      <c r="AR741">
        <v>20.458760638924591</v>
      </c>
      <c r="AS741">
        <v>119.90607635203526</v>
      </c>
      <c r="AT741" t="e">
        <v>#DIV/0!</v>
      </c>
      <c r="AU741" t="e">
        <v>#DIV/0!</v>
      </c>
      <c r="AV741"/>
      <c r="AW741"/>
      <c r="FY741" s="212">
        <v>736</v>
      </c>
      <c r="FZ741">
        <v>0.91155005935855693</v>
      </c>
      <c r="GA741">
        <v>10.770054928870408</v>
      </c>
      <c r="GB741">
        <v>9.0144979844541915</v>
      </c>
      <c r="GC741">
        <v>3.1937307340975858</v>
      </c>
      <c r="GD741">
        <v>0.92079798803410962</v>
      </c>
      <c r="GE741">
        <v>0.35947809610506914</v>
      </c>
      <c r="GF741">
        <v>0.80138167652982462</v>
      </c>
      <c r="GG741">
        <v>4.1541015167564126</v>
      </c>
      <c r="GH741">
        <v>1.6229601285312325</v>
      </c>
      <c r="GI741">
        <v>6.9856165539185993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9.3125</v>
      </c>
      <c r="AO742">
        <v>29.161534343658541</v>
      </c>
      <c r="AP742">
        <v>268.93144214399672</v>
      </c>
      <c r="AQ742">
        <v>74.64795830711499</v>
      </c>
      <c r="AR742">
        <v>26.510485766962312</v>
      </c>
      <c r="AS742">
        <v>203.84607222225435</v>
      </c>
      <c r="AT742" t="e">
        <v>#DIV/0!</v>
      </c>
      <c r="AU742" t="e">
        <v>#DIV/0!</v>
      </c>
      <c r="AV742"/>
      <c r="AW742"/>
      <c r="FY742" s="212">
        <v>737</v>
      </c>
      <c r="FZ742">
        <v>0.72384494617478023</v>
      </c>
      <c r="GA742">
        <v>11.101796769212937</v>
      </c>
      <c r="GB742">
        <v>10.594594882861662</v>
      </c>
      <c r="GC742">
        <v>4.2252739743953631</v>
      </c>
      <c r="GD742">
        <v>1.5485418114782927</v>
      </c>
      <c r="GE742">
        <v>0.71895619221013829</v>
      </c>
      <c r="GF742">
        <v>0.80138167652982462</v>
      </c>
      <c r="GG742">
        <v>3.9006838869232907</v>
      </c>
      <c r="GH742">
        <v>0</v>
      </c>
      <c r="GI742">
        <v>6.4751805836065808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6.4142769607843135</v>
      </c>
      <c r="AO743">
        <v>21.46522865494283</v>
      </c>
      <c r="AP743">
        <v>543.10764696316039</v>
      </c>
      <c r="AQ743">
        <v>36.471464898037389</v>
      </c>
      <c r="AR743">
        <v>19.513844231766214</v>
      </c>
      <c r="AS743">
        <v>98.537450355279475</v>
      </c>
      <c r="AT743" t="e">
        <v>#DIV/0!</v>
      </c>
      <c r="AU743" t="e">
        <v>#DIV/0!</v>
      </c>
      <c r="AV743"/>
      <c r="AW743"/>
      <c r="FY743" s="212">
        <v>738</v>
      </c>
      <c r="FZ743">
        <v>2.5637432873598041</v>
      </c>
      <c r="GA743">
        <v>16.681505776843942</v>
      </c>
      <c r="GB743">
        <v>12.742627326821443</v>
      </c>
      <c r="GC743">
        <v>4.3755976691086724</v>
      </c>
      <c r="GD743">
        <v>1.0563375578631664</v>
      </c>
      <c r="GE743">
        <v>0</v>
      </c>
      <c r="GF743">
        <v>0</v>
      </c>
      <c r="GG743">
        <v>2.8195942849296314</v>
      </c>
      <c r="GH743">
        <v>3.245920257062465</v>
      </c>
      <c r="GI743">
        <v>9.3763195561763091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14.254901960784313</v>
      </c>
      <c r="AO744">
        <v>64.030566806697095</v>
      </c>
      <c r="AP744">
        <v>810.05963254053222</v>
      </c>
      <c r="AQ744">
        <v>61.613060528194154</v>
      </c>
      <c r="AR744">
        <v>58.243586460007236</v>
      </c>
      <c r="AS744">
        <v>454.15478301527412</v>
      </c>
      <c r="AT744" t="e">
        <v>#DIV/0!</v>
      </c>
      <c r="AU744" t="e">
        <v>#DIV/0!</v>
      </c>
      <c r="AV744"/>
      <c r="AW744"/>
      <c r="FY744" s="212">
        <v>739</v>
      </c>
      <c r="FZ744">
        <v>2.3559294825203718</v>
      </c>
      <c r="GA744">
        <v>17.030815106540047</v>
      </c>
      <c r="GB744">
        <v>14.466721024280011</v>
      </c>
      <c r="GC744">
        <v>4.5628459570058482</v>
      </c>
      <c r="GD744">
        <v>0.63133338771722014</v>
      </c>
      <c r="GE744">
        <v>0</v>
      </c>
      <c r="GF744">
        <v>0</v>
      </c>
      <c r="GG744">
        <v>2.8195942849296314</v>
      </c>
      <c r="GH744">
        <v>3.245920257062465</v>
      </c>
      <c r="GI744">
        <v>12.574682825812054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11.372610294117646</v>
      </c>
      <c r="AO745">
        <v>43.227196637871501</v>
      </c>
      <c r="AP745">
        <v>637.35402201309739</v>
      </c>
      <c r="AQ745">
        <v>58.632930837413568</v>
      </c>
      <c r="AR745">
        <v>39.331431761074882</v>
      </c>
      <c r="AS745">
        <v>217.29784723624348</v>
      </c>
      <c r="AT745" t="e">
        <v>#DIV/0!</v>
      </c>
      <c r="AU745" t="e">
        <v>#DIV/0!</v>
      </c>
      <c r="AV745"/>
      <c r="AW745"/>
      <c r="FY745" s="212">
        <v>740</v>
      </c>
      <c r="FZ745">
        <v>1.6521932280012464</v>
      </c>
      <c r="GA745">
        <v>17.902287510562353</v>
      </c>
      <c r="GB745">
        <v>9.5026645692385632</v>
      </c>
      <c r="GC745">
        <v>2.5154611698702034</v>
      </c>
      <c r="GD745">
        <v>0.97354156789280666</v>
      </c>
      <c r="GE745">
        <v>0</v>
      </c>
      <c r="GF745">
        <v>0</v>
      </c>
      <c r="GG745">
        <v>0</v>
      </c>
      <c r="GH745">
        <v>0</v>
      </c>
      <c r="GI745">
        <v>10.465760981395961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10.987193627450981</v>
      </c>
      <c r="AO746">
        <v>35.9255453418832</v>
      </c>
      <c r="AP746">
        <v>584.29229768520554</v>
      </c>
      <c r="AQ746">
        <v>63.27053922199697</v>
      </c>
      <c r="AR746">
        <v>32.693566946540066</v>
      </c>
      <c r="AS746">
        <v>170.00096430214992</v>
      </c>
      <c r="AT746" t="e">
        <v>#DIV/0!</v>
      </c>
      <c r="AU746" t="e">
        <v>#DIV/0!</v>
      </c>
      <c r="AV746"/>
      <c r="AW746"/>
      <c r="FY746" s="212">
        <v>741</v>
      </c>
      <c r="FZ746">
        <v>1.273472532445947</v>
      </c>
      <c r="GA746">
        <v>24.322057811004456</v>
      </c>
      <c r="GB746">
        <v>17.050453193815752</v>
      </c>
      <c r="GC746">
        <v>5.0582313782659289</v>
      </c>
      <c r="GD746">
        <v>1.5394124181848028</v>
      </c>
      <c r="GE746">
        <v>0.35947809610506914</v>
      </c>
      <c r="GF746">
        <v>0</v>
      </c>
      <c r="GG746">
        <v>1.4097971424648157</v>
      </c>
      <c r="GH746">
        <v>1.6229601285312325</v>
      </c>
      <c r="GI746">
        <v>11.655881216821124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9.6312500000000014</v>
      </c>
      <c r="AO747">
        <v>51.403925234500456</v>
      </c>
      <c r="AP747">
        <v>1206.2881778136655</v>
      </c>
      <c r="AQ747">
        <v>57.956877748114159</v>
      </c>
      <c r="AR747">
        <v>46.798801666474724</v>
      </c>
      <c r="AS747">
        <v>219.21328418542819</v>
      </c>
      <c r="AT747" t="e">
        <v>#DIV/0!</v>
      </c>
      <c r="AU747" t="e">
        <v>#DIV/0!</v>
      </c>
      <c r="AV747"/>
      <c r="AW747"/>
      <c r="FY747" s="212">
        <v>742</v>
      </c>
      <c r="FZ747">
        <v>1.4812863372853795</v>
      </c>
      <c r="GA747">
        <v>23.318420052235236</v>
      </c>
      <c r="GB747">
        <v>12.48870165254608</v>
      </c>
      <c r="GC747">
        <v>1.9056171515203955</v>
      </c>
      <c r="GD747">
        <v>0.44612337286244991</v>
      </c>
      <c r="GE747">
        <v>0</v>
      </c>
      <c r="GF747">
        <v>0</v>
      </c>
      <c r="GG747">
        <v>2.241404528613784</v>
      </c>
      <c r="GH747">
        <v>3.245920257062465</v>
      </c>
      <c r="GI747">
        <v>10.835467637586369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10.539276960784312</v>
      </c>
      <c r="AO748">
        <v>27.994836221266063</v>
      </c>
      <c r="AP748">
        <v>380.57156110066029</v>
      </c>
      <c r="AQ748">
        <v>66.75667243542982</v>
      </c>
      <c r="AR748">
        <v>25.517811654443459</v>
      </c>
      <c r="AS748">
        <v>139.0764581860804</v>
      </c>
      <c r="AT748" t="e">
        <v>#DIV/0!</v>
      </c>
      <c r="AU748" t="e">
        <v>#DIV/0!</v>
      </c>
      <c r="AV748"/>
      <c r="AW748"/>
      <c r="FY748" s="212">
        <v>743</v>
      </c>
      <c r="FZ748">
        <v>1.7895036737812953</v>
      </c>
      <c r="GA748">
        <v>8.166558486029265</v>
      </c>
      <c r="GB748">
        <v>9.2048182792267035</v>
      </c>
      <c r="GC748">
        <v>3.9912336060279228</v>
      </c>
      <c r="GD748">
        <v>1.1446198329833275</v>
      </c>
      <c r="GE748">
        <v>0.35947809610506914</v>
      </c>
      <c r="GF748">
        <v>0.80138167652982462</v>
      </c>
      <c r="GG748">
        <v>3.5759117604405652</v>
      </c>
      <c r="GH748">
        <v>1.6229601285312325</v>
      </c>
      <c r="GI748">
        <v>7.6180754650941216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6.9976102941176466</v>
      </c>
      <c r="AO749">
        <v>28.754641061063285</v>
      </c>
      <c r="AP749">
        <v>440.64598133288439</v>
      </c>
      <c r="AQ749">
        <v>50.518961490814675</v>
      </c>
      <c r="AR749">
        <v>26.208543326986391</v>
      </c>
      <c r="AS749">
        <v>118.9220598029362</v>
      </c>
      <c r="AT749" t="e">
        <v>#DIV/0!</v>
      </c>
      <c r="AU749" t="e">
        <v>#DIV/0!</v>
      </c>
      <c r="AV749"/>
      <c r="AW749"/>
      <c r="FY749" s="212">
        <v>744</v>
      </c>
      <c r="FZ749">
        <v>2.20513128346016</v>
      </c>
      <c r="GA749">
        <v>9.7847073308990264</v>
      </c>
      <c r="GB749">
        <v>8.001305099389775</v>
      </c>
      <c r="GC749">
        <v>4.5244704324814737</v>
      </c>
      <c r="GD749">
        <v>1.9475647334915878</v>
      </c>
      <c r="GE749">
        <v>0.35947809610506914</v>
      </c>
      <c r="GF749">
        <v>0.80138167652982462</v>
      </c>
      <c r="GG749">
        <v>4.407519146589534</v>
      </c>
      <c r="GH749">
        <v>3.245920257062465</v>
      </c>
      <c r="GI749">
        <v>11.632488155951222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6.4197916666666668</v>
      </c>
      <c r="AO750">
        <v>23.559707112468431</v>
      </c>
      <c r="AP750">
        <v>270.08977590589598</v>
      </c>
      <c r="AQ750">
        <v>48.474920449530103</v>
      </c>
      <c r="AR750">
        <v>21.451895828890272</v>
      </c>
      <c r="AS750">
        <v>115.68782894803184</v>
      </c>
      <c r="AT750" t="e">
        <v>#DIV/0!</v>
      </c>
      <c r="AU750" t="e">
        <v>#DIV/0!</v>
      </c>
      <c r="AV750"/>
      <c r="AW750"/>
      <c r="FY750" s="212">
        <v>745</v>
      </c>
      <c r="FZ750">
        <v>1.065658727606515</v>
      </c>
      <c r="GA750">
        <v>14.286516477434699</v>
      </c>
      <c r="GB750">
        <v>6.4285454895519987</v>
      </c>
      <c r="GC750">
        <v>1.2047704683693656</v>
      </c>
      <c r="GD750">
        <v>0.86085423651969883</v>
      </c>
      <c r="GE750">
        <v>0.35947809610506914</v>
      </c>
      <c r="GF750">
        <v>0</v>
      </c>
      <c r="GG750">
        <v>1.6632147722979369</v>
      </c>
      <c r="GH750">
        <v>3.245920257062465</v>
      </c>
      <c r="GI750">
        <v>6.416441654129712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5.4718749999999989</v>
      </c>
      <c r="AO751">
        <v>21.051193172659815</v>
      </c>
      <c r="AP751">
        <v>1206.1644705429444</v>
      </c>
      <c r="AQ751">
        <v>31.792531456732046</v>
      </c>
      <c r="AR751">
        <v>19.137448338781653</v>
      </c>
      <c r="AS751">
        <v>115.82287949116537</v>
      </c>
      <c r="AT751" t="e">
        <v>#DIV/0!</v>
      </c>
      <c r="AU751" t="e">
        <v>#DIV/0!</v>
      </c>
      <c r="AV751"/>
      <c r="AW751"/>
      <c r="FY751" s="212">
        <v>746</v>
      </c>
      <c r="FZ751">
        <v>0.70373625451912492</v>
      </c>
      <c r="GA751">
        <v>13.821534568001217</v>
      </c>
      <c r="GB751">
        <v>21.975052258417865</v>
      </c>
      <c r="GC751">
        <v>9.0813184002981835</v>
      </c>
      <c r="GD751">
        <v>1.3652610182612983</v>
      </c>
      <c r="GE751">
        <v>0.71895619221013829</v>
      </c>
      <c r="GF751">
        <v>0.80138167652982462</v>
      </c>
      <c r="GG751">
        <v>3.3224941306074438</v>
      </c>
      <c r="GH751">
        <v>0</v>
      </c>
      <c r="GI751">
        <v>11.098762922341981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7.1017769607843118</v>
      </c>
      <c r="AO752">
        <v>26.949320105481945</v>
      </c>
      <c r="AP752">
        <v>543.58225807778228</v>
      </c>
      <c r="AQ752">
        <v>38.734169666655987</v>
      </c>
      <c r="AR752">
        <v>24.499381914074498</v>
      </c>
      <c r="AS752">
        <v>136.31605917546159</v>
      </c>
      <c r="AT752" t="e">
        <v>#DIV/0!</v>
      </c>
      <c r="AU752" t="e">
        <v>#DIV/0!</v>
      </c>
      <c r="AV752"/>
      <c r="AW752"/>
      <c r="FY752" s="212">
        <v>747</v>
      </c>
      <c r="FZ752">
        <v>1.8063018962492048</v>
      </c>
      <c r="GA752">
        <v>34.198390188034715</v>
      </c>
      <c r="GB752">
        <v>25.342724681704951</v>
      </c>
      <c r="GC752">
        <v>7.2457595465143232</v>
      </c>
      <c r="GD752">
        <v>1.7994462316952791</v>
      </c>
      <c r="GE752">
        <v>0.35947809610506914</v>
      </c>
      <c r="GF752">
        <v>1.6027633530596492</v>
      </c>
      <c r="GG752">
        <v>7.7300132771969778</v>
      </c>
      <c r="GH752">
        <v>3.245920257062465</v>
      </c>
      <c r="GI752">
        <v>15.656356283278148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5.3260416666666668</v>
      </c>
      <c r="AO753">
        <v>25.854251965417262</v>
      </c>
      <c r="AP753">
        <v>905.50042887599648</v>
      </c>
      <c r="AQ753">
        <v>40.090254723392874</v>
      </c>
      <c r="AR753">
        <v>23.57182596730819</v>
      </c>
      <c r="AS753">
        <v>132.70379403676301</v>
      </c>
      <c r="AT753" t="e">
        <v>#DIV/0!</v>
      </c>
      <c r="AU753" t="e">
        <v>#DIV/0!</v>
      </c>
      <c r="AV753"/>
      <c r="AW753"/>
      <c r="FY753" s="212">
        <v>748</v>
      </c>
      <c r="FZ753">
        <v>0.6836275628634696</v>
      </c>
      <c r="GA753">
        <v>21.988093054030486</v>
      </c>
      <c r="GB753">
        <v>18.685620830860529</v>
      </c>
      <c r="GC753">
        <v>6.0081135765529332</v>
      </c>
      <c r="GD753">
        <v>1.315590573235585</v>
      </c>
      <c r="GE753">
        <v>0.35947809610506914</v>
      </c>
      <c r="GF753">
        <v>0</v>
      </c>
      <c r="GG753">
        <v>2.8195942849296314</v>
      </c>
      <c r="GH753">
        <v>3.245920257062465</v>
      </c>
      <c r="GI753">
        <v>10.966089221225541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14.212622549019603</v>
      </c>
      <c r="AO754">
        <v>29.585318564162758</v>
      </c>
      <c r="AP754">
        <v>620.05556179469124</v>
      </c>
      <c r="AQ754">
        <v>52.861645716165427</v>
      </c>
      <c r="AR754">
        <v>26.89574414923888</v>
      </c>
      <c r="AS754">
        <v>205.39272591803069</v>
      </c>
      <c r="AT754" t="e">
        <v>#DIV/0!</v>
      </c>
      <c r="AU754" t="e">
        <v>#DIV/0!</v>
      </c>
      <c r="AV754"/>
      <c r="AW754"/>
      <c r="FY754" s="212">
        <v>749</v>
      </c>
      <c r="FZ754">
        <v>2.5670537565475504</v>
      </c>
      <c r="GA754">
        <v>16.191388843301066</v>
      </c>
      <c r="GB754">
        <v>15.016221027913433</v>
      </c>
      <c r="GC754">
        <v>5.93216349793998</v>
      </c>
      <c r="GD754">
        <v>1.4482161830644662</v>
      </c>
      <c r="GE754">
        <v>0.35947809610506914</v>
      </c>
      <c r="GF754">
        <v>0.80138167652982462</v>
      </c>
      <c r="GG754">
        <v>6.9736958016860449</v>
      </c>
      <c r="GH754">
        <v>4.8688803855936991</v>
      </c>
      <c r="GI754">
        <v>12.124284684346971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14.197303921568627</v>
      </c>
      <c r="AO755">
        <v>35.78010179485721</v>
      </c>
      <c r="AP755">
        <v>709.60790863714237</v>
      </c>
      <c r="AQ755">
        <v>57.687842325867649</v>
      </c>
      <c r="AR755">
        <v>32.5613455401528</v>
      </c>
      <c r="AS755">
        <v>185.15546509333191</v>
      </c>
      <c r="AT755" t="e">
        <v>#DIV/0!</v>
      </c>
      <c r="AU755" t="e">
        <v>#DIV/0!</v>
      </c>
      <c r="AV755"/>
      <c r="AW755"/>
      <c r="FY755" s="212">
        <v>750</v>
      </c>
      <c r="FZ755">
        <v>0.74064316864268975</v>
      </c>
      <c r="GA755">
        <v>10.95475065822024</v>
      </c>
      <c r="GB755">
        <v>12.819450627054801</v>
      </c>
      <c r="GC755">
        <v>5.3305374646684953</v>
      </c>
      <c r="GD755">
        <v>1.1623946908912655</v>
      </c>
      <c r="GE755">
        <v>0</v>
      </c>
      <c r="GF755">
        <v>0.80138167652982462</v>
      </c>
      <c r="GG755">
        <v>3.9006838869232907</v>
      </c>
      <c r="GH755">
        <v>0</v>
      </c>
      <c r="GI755">
        <v>6.8942374166806371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11.947303921568626</v>
      </c>
      <c r="AO756">
        <v>28.995584929675232</v>
      </c>
      <c r="AP756">
        <v>143.90776176644914</v>
      </c>
      <c r="AQ756">
        <v>43.011909026961128</v>
      </c>
      <c r="AR756">
        <v>26.359622663341128</v>
      </c>
      <c r="AS756">
        <v>163.84302572975693</v>
      </c>
      <c r="AT756" t="e">
        <v>#DIV/0!</v>
      </c>
      <c r="AU756" t="e">
        <v>#DIV/0!</v>
      </c>
      <c r="AV756"/>
      <c r="AW756"/>
      <c r="FY756" s="212">
        <v>751</v>
      </c>
      <c r="FZ756">
        <v>0.36192247308739012</v>
      </c>
      <c r="GA756">
        <v>29.967181729928832</v>
      </c>
      <c r="GB756">
        <v>26.446267058975391</v>
      </c>
      <c r="GC756">
        <v>7.4043378029957401</v>
      </c>
      <c r="GD756">
        <v>1.5134870448958706</v>
      </c>
      <c r="GE756">
        <v>1.0784342883152076</v>
      </c>
      <c r="GF756">
        <v>0.80138167652982462</v>
      </c>
      <c r="GG756">
        <v>4.1541015167564126</v>
      </c>
      <c r="GH756">
        <v>1.6229601285312325</v>
      </c>
      <c r="GI756">
        <v>11.606992535951747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11.275735294117647</v>
      </c>
      <c r="AO757">
        <v>33.052843709078978</v>
      </c>
      <c r="AP757">
        <v>494.22599834745478</v>
      </c>
      <c r="AQ757">
        <v>64.291743917639138</v>
      </c>
      <c r="AR757">
        <v>30.082020007627136</v>
      </c>
      <c r="AS757">
        <v>195.55069480799619</v>
      </c>
      <c r="AT757" t="e">
        <v>#DIV/0!</v>
      </c>
      <c r="AU757" t="e">
        <v>#DIV/0!</v>
      </c>
      <c r="AV757"/>
      <c r="AW757"/>
      <c r="FY757" s="212">
        <v>752</v>
      </c>
      <c r="FZ757">
        <v>0.74064316864268975</v>
      </c>
      <c r="GA757">
        <v>13.969655393337955</v>
      </c>
      <c r="GB757">
        <v>15.845941552153727</v>
      </c>
      <c r="GC757">
        <v>5.4951849029475195</v>
      </c>
      <c r="GD757">
        <v>0.68961679659636999</v>
      </c>
      <c r="GE757">
        <v>0.35947809610506914</v>
      </c>
      <c r="GF757">
        <v>0.80138167652982462</v>
      </c>
      <c r="GG757">
        <v>4.9857089029053814</v>
      </c>
      <c r="GH757">
        <v>3.245920257062465</v>
      </c>
      <c r="GI757">
        <v>10.021575885651993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12.280637254901961</v>
      </c>
      <c r="AO758">
        <v>48.82673387104721</v>
      </c>
      <c r="AP758">
        <v>675.05292334423439</v>
      </c>
      <c r="AQ758">
        <v>55.962940989712159</v>
      </c>
      <c r="AR758">
        <v>44.387939882770191</v>
      </c>
      <c r="AS758">
        <v>210.03410411622477</v>
      </c>
      <c r="AT758" t="e">
        <v>#DIV/0!</v>
      </c>
      <c r="AU758" t="e">
        <v>#DIV/0!</v>
      </c>
      <c r="AV758"/>
      <c r="AW758"/>
      <c r="FY758" s="212">
        <v>753</v>
      </c>
      <c r="FZ758">
        <v>1.4443794231618146</v>
      </c>
      <c r="GA758">
        <v>16.376658766443228</v>
      </c>
      <c r="GB758">
        <v>11.233825187654862</v>
      </c>
      <c r="GC758">
        <v>3.3159814837596904</v>
      </c>
      <c r="GD758">
        <v>1.3881132567172474</v>
      </c>
      <c r="GE758">
        <v>0.71895619221013829</v>
      </c>
      <c r="GF758">
        <v>0.80138167652982462</v>
      </c>
      <c r="GG758">
        <v>4.7322912730722599</v>
      </c>
      <c r="GH758">
        <v>1.6229601285312325</v>
      </c>
      <c r="GI758">
        <v>7.9969985795804677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5.8156249999999998</v>
      </c>
      <c r="AO759">
        <v>19.166886063755605</v>
      </c>
      <c r="AP759">
        <v>292.80509032109978</v>
      </c>
      <c r="AQ759">
        <v>38.274541004749324</v>
      </c>
      <c r="AR759">
        <v>17.56036296454463</v>
      </c>
      <c r="AS759">
        <v>109.09634889483532</v>
      </c>
      <c r="AT759" t="e">
        <v>#DIV/0!</v>
      </c>
      <c r="AU759" t="e">
        <v>#DIV/0!</v>
      </c>
      <c r="AV759"/>
      <c r="AW759"/>
      <c r="FY759" s="212">
        <v>754</v>
      </c>
      <c r="FZ759">
        <v>0.1709068907158674</v>
      </c>
      <c r="GA759">
        <v>23.914492205687171</v>
      </c>
      <c r="GB759">
        <v>13.080085110402644</v>
      </c>
      <c r="GC759">
        <v>2.5719493443724</v>
      </c>
      <c r="GD759">
        <v>1.0177257277687186</v>
      </c>
      <c r="GE759">
        <v>0</v>
      </c>
      <c r="GF759">
        <v>0.80138167652982462</v>
      </c>
      <c r="GG759">
        <v>4.7322912730722599</v>
      </c>
      <c r="GH759">
        <v>1.6229601285312325</v>
      </c>
      <c r="GI759">
        <v>8.8568686268941477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12.585845588235296</v>
      </c>
      <c r="AO760">
        <v>39.875693904029035</v>
      </c>
      <c r="AP760">
        <v>432.38687657274301</v>
      </c>
      <c r="AQ760">
        <v>46.909966211960139</v>
      </c>
      <c r="AR760">
        <v>36.318591366046164</v>
      </c>
      <c r="AS760">
        <v>173.53254554851256</v>
      </c>
      <c r="AT760" t="e">
        <v>#DIV/0!</v>
      </c>
      <c r="AU760" t="e">
        <v>#DIV/0!</v>
      </c>
      <c r="AV760"/>
      <c r="AW760"/>
      <c r="FY760" s="212">
        <v>755</v>
      </c>
      <c r="FZ760">
        <v>1.4443794231618146</v>
      </c>
      <c r="GA760">
        <v>16.203236245603367</v>
      </c>
      <c r="GB760">
        <v>10.065132042464297</v>
      </c>
      <c r="GC760">
        <v>2.8317458622517413</v>
      </c>
      <c r="GD760">
        <v>0.99310795281231279</v>
      </c>
      <c r="GE760">
        <v>0.71895619221013829</v>
      </c>
      <c r="GF760">
        <v>0</v>
      </c>
      <c r="GG760">
        <v>2.241404528613784</v>
      </c>
      <c r="GH760">
        <v>3.245920257062465</v>
      </c>
      <c r="GI760">
        <v>14.256288990921442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4.833333333333333</v>
      </c>
      <c r="AO761">
        <v>29.540760863994393</v>
      </c>
      <c r="AP761">
        <v>368.38560273706889</v>
      </c>
      <c r="AQ761">
        <v>35.531400179077458</v>
      </c>
      <c r="AR761">
        <v>26.923197693287396</v>
      </c>
      <c r="AS761">
        <v>120.52796494810849</v>
      </c>
      <c r="AT761" t="e">
        <v>#DIV/0!</v>
      </c>
      <c r="AU761" t="e">
        <v>#DIV/0!</v>
      </c>
      <c r="AV761"/>
      <c r="AW761"/>
      <c r="FY761" s="212">
        <v>756</v>
      </c>
      <c r="FZ761">
        <v>0.89475183689064763</v>
      </c>
      <c r="GA761">
        <v>14.103580848116124</v>
      </c>
      <c r="GB761">
        <v>11.450079099368816</v>
      </c>
      <c r="GC761">
        <v>3.9349042217765557</v>
      </c>
      <c r="GD761">
        <v>1.3106398667593702</v>
      </c>
      <c r="GE761">
        <v>0.35947809610506914</v>
      </c>
      <c r="GF761">
        <v>0.80138167652982462</v>
      </c>
      <c r="GG761">
        <v>5.5638986592212287</v>
      </c>
      <c r="GH761">
        <v>3.245920257062465</v>
      </c>
      <c r="GI761">
        <v>8.7664319869843137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9.7947916666666668</v>
      </c>
      <c r="AO762">
        <v>27.348471613831265</v>
      </c>
      <c r="AP762">
        <v>545.50491973260262</v>
      </c>
      <c r="AQ762">
        <v>62.888497421187076</v>
      </c>
      <c r="AR762">
        <v>24.896227193765576</v>
      </c>
      <c r="AS762">
        <v>152.91209348835761</v>
      </c>
      <c r="AT762" t="e">
        <v>#DIV/0!</v>
      </c>
      <c r="AU762" t="e">
        <v>#DIV/0!</v>
      </c>
      <c r="AV762"/>
      <c r="AW762"/>
      <c r="FY762" s="212">
        <v>757</v>
      </c>
      <c r="FZ762">
        <v>0.91155005935855693</v>
      </c>
      <c r="GA762">
        <v>17.68118354859315</v>
      </c>
      <c r="GB762">
        <v>18.896429201471697</v>
      </c>
      <c r="GC762">
        <v>6.78420689238171</v>
      </c>
      <c r="GD762">
        <v>0.91166859474061968</v>
      </c>
      <c r="GE762">
        <v>0</v>
      </c>
      <c r="GF762">
        <v>0</v>
      </c>
      <c r="GG762">
        <v>4.2293914273944484</v>
      </c>
      <c r="GH762">
        <v>4.8688803855936991</v>
      </c>
      <c r="GI762">
        <v>13.971087074560659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14.33406862745098</v>
      </c>
      <c r="AO763">
        <v>47.480545467321654</v>
      </c>
      <c r="AP763">
        <v>843.19084426806319</v>
      </c>
      <c r="AQ763">
        <v>98.987153810900764</v>
      </c>
      <c r="AR763">
        <v>43.232092787221283</v>
      </c>
      <c r="AS763">
        <v>218.13258620280993</v>
      </c>
      <c r="AT763" t="e">
        <v>#DIV/0!</v>
      </c>
      <c r="AU763" t="e">
        <v>#DIV/0!</v>
      </c>
      <c r="AV763"/>
      <c r="AW763"/>
      <c r="FY763" s="212">
        <v>758</v>
      </c>
      <c r="FZ763">
        <v>0.91155005935855693</v>
      </c>
      <c r="GA763">
        <v>19.324295034397174</v>
      </c>
      <c r="GB763">
        <v>8.2437350992412259</v>
      </c>
      <c r="GC763">
        <v>1.5047536444456515</v>
      </c>
      <c r="GD763">
        <v>1.2892887961058741</v>
      </c>
      <c r="GE763">
        <v>0.35947809610506914</v>
      </c>
      <c r="GF763">
        <v>0.80138167652982462</v>
      </c>
      <c r="GG763">
        <v>5.5638986592212287</v>
      </c>
      <c r="GH763">
        <v>3.245920257062465</v>
      </c>
      <c r="GI763">
        <v>6.740282773092976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9.4270833333333321</v>
      </c>
      <c r="AO764">
        <v>32.336971987901542</v>
      </c>
      <c r="AP764">
        <v>583.116978887203</v>
      </c>
      <c r="AQ764">
        <v>66.072127456865715</v>
      </c>
      <c r="AR764">
        <v>29.397247261728676</v>
      </c>
      <c r="AS764">
        <v>217.6245487270115</v>
      </c>
      <c r="AT764" t="e">
        <v>#DIV/0!</v>
      </c>
      <c r="AU764" t="e">
        <v>#DIV/0!</v>
      </c>
      <c r="AV764"/>
      <c r="AW764"/>
      <c r="FY764" s="212">
        <v>759</v>
      </c>
      <c r="FZ764">
        <v>1.8231001187171139</v>
      </c>
      <c r="GA764">
        <v>24.37675620442166</v>
      </c>
      <c r="GB764">
        <v>23.43610544996001</v>
      </c>
      <c r="GC764">
        <v>7.490282912222451</v>
      </c>
      <c r="GD764">
        <v>0.94709976516382044</v>
      </c>
      <c r="GE764">
        <v>0.35947809610506914</v>
      </c>
      <c r="GF764">
        <v>0.80138167652982462</v>
      </c>
      <c r="GG764">
        <v>2.7443043742915965</v>
      </c>
      <c r="GH764">
        <v>0</v>
      </c>
      <c r="GI764">
        <v>12.250007753298032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13.002512254901958</v>
      </c>
      <c r="AO765">
        <v>35.826107874117838</v>
      </c>
      <c r="AP765">
        <v>1021.7645951900959</v>
      </c>
      <c r="AQ765">
        <v>66.282763953028109</v>
      </c>
      <c r="AR765">
        <v>32.671129792773137</v>
      </c>
      <c r="AS765">
        <v>211.78853978553474</v>
      </c>
      <c r="AT765" t="e">
        <v>#DIV/0!</v>
      </c>
      <c r="AU765" t="e">
        <v>#DIV/0!</v>
      </c>
      <c r="AV765"/>
      <c r="AW765"/>
      <c r="FY765" s="212">
        <v>760</v>
      </c>
      <c r="FZ765">
        <v>2.5469450648918945</v>
      </c>
      <c r="GA765">
        <v>22.483527969808595</v>
      </c>
      <c r="GB765">
        <v>16.258025839557007</v>
      </c>
      <c r="GC765">
        <v>4.2990660477198404</v>
      </c>
      <c r="GD765">
        <v>0.78665206116924247</v>
      </c>
      <c r="GE765">
        <v>0.35947809610506914</v>
      </c>
      <c r="GF765">
        <v>0.80138167652982462</v>
      </c>
      <c r="GG765">
        <v>3.5759117604405652</v>
      </c>
      <c r="GH765">
        <v>1.6229601285312325</v>
      </c>
      <c r="GI765">
        <v>6.7728034348189636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8.1538602941176457</v>
      </c>
      <c r="AO766">
        <v>18.372479184392219</v>
      </c>
      <c r="AP766">
        <v>690.3103408957254</v>
      </c>
      <c r="AQ766">
        <v>42.604079589611246</v>
      </c>
      <c r="AR766">
        <v>16.702253803992924</v>
      </c>
      <c r="AS766">
        <v>116.24868487630336</v>
      </c>
      <c r="AT766" t="e">
        <v>#DIV/0!</v>
      </c>
      <c r="AU766" t="e">
        <v>#DIV/0!</v>
      </c>
      <c r="AV766"/>
      <c r="AW766"/>
      <c r="FY766" s="212">
        <v>761</v>
      </c>
      <c r="FZ766">
        <v>1.4275812006939055</v>
      </c>
      <c r="GA766">
        <v>15.114786141641172</v>
      </c>
      <c r="GB766">
        <v>22.416755026094961</v>
      </c>
      <c r="GC766">
        <v>9.394728753762454</v>
      </c>
      <c r="GD766">
        <v>1.4888624286618861</v>
      </c>
      <c r="GE766">
        <v>0</v>
      </c>
      <c r="GF766">
        <v>0</v>
      </c>
      <c r="GG766">
        <v>1.1563795126316943</v>
      </c>
      <c r="GH766">
        <v>0</v>
      </c>
      <c r="GI766">
        <v>9.3714164406989102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9.201041666666665</v>
      </c>
      <c r="AO767">
        <v>27.776012115513659</v>
      </c>
      <c r="AP767">
        <v>909.31863387424733</v>
      </c>
      <c r="AQ767">
        <v>84.957066255967646</v>
      </c>
      <c r="AR767">
        <v>25.284900377113203</v>
      </c>
      <c r="AS767">
        <v>153.76776602654519</v>
      </c>
      <c r="AT767" t="e">
        <v>#DIV/0!</v>
      </c>
      <c r="AU767" t="e">
        <v>#DIV/0!</v>
      </c>
      <c r="AV767"/>
      <c r="AW767"/>
      <c r="FY767" s="212">
        <v>762</v>
      </c>
      <c r="FZ767">
        <v>0.74064316864268975</v>
      </c>
      <c r="GA767">
        <v>22.926778445717726</v>
      </c>
      <c r="GB767">
        <v>17.381007018571669</v>
      </c>
      <c r="GC767">
        <v>4.3302365124441327</v>
      </c>
      <c r="GD767">
        <v>0.47799747977362539</v>
      </c>
      <c r="GE767">
        <v>0</v>
      </c>
      <c r="GF767">
        <v>0.80138167652982462</v>
      </c>
      <c r="GG767">
        <v>3.5759117604405652</v>
      </c>
      <c r="GH767">
        <v>1.6229601285312325</v>
      </c>
      <c r="GI767">
        <v>9.1768627550433202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9.9976102941176457</v>
      </c>
      <c r="AO768">
        <v>31.366159854090334</v>
      </c>
      <c r="AP768">
        <v>545.75096928478388</v>
      </c>
      <c r="AQ768">
        <v>56.155106631932988</v>
      </c>
      <c r="AR768">
        <v>28.514690776445754</v>
      </c>
      <c r="AS768">
        <v>150.40429403306851</v>
      </c>
      <c r="AT768" t="e">
        <v>#DIV/0!</v>
      </c>
      <c r="AU768" t="e">
        <v>#DIV/0!</v>
      </c>
      <c r="AV768"/>
      <c r="AW768"/>
      <c r="FY768" s="212">
        <v>763</v>
      </c>
      <c r="FZ768">
        <v>1.10256564173008</v>
      </c>
      <c r="GA768">
        <v>14.122421591381924</v>
      </c>
      <c r="GB768">
        <v>13.926996004688547</v>
      </c>
      <c r="GC768">
        <v>5.1420327304253703</v>
      </c>
      <c r="GD768">
        <v>1.4128947168109727</v>
      </c>
      <c r="GE768">
        <v>0.71895619221013829</v>
      </c>
      <c r="GF768">
        <v>0.80138167652982462</v>
      </c>
      <c r="GG768">
        <v>4.9857089029053814</v>
      </c>
      <c r="GH768">
        <v>3.245920257062465</v>
      </c>
      <c r="GI768">
        <v>10.313550845719393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9.2476102941176457</v>
      </c>
      <c r="AO769">
        <v>38.156505599674574</v>
      </c>
      <c r="AP769">
        <v>894.32926399489793</v>
      </c>
      <c r="AQ769">
        <v>49.631545967660763</v>
      </c>
      <c r="AR769">
        <v>34.721712635441314</v>
      </c>
      <c r="AS769">
        <v>154.73592257356302</v>
      </c>
      <c r="AT769" t="e">
        <v>#DIV/0!</v>
      </c>
      <c r="AU769" t="e">
        <v>#DIV/0!</v>
      </c>
      <c r="AV769"/>
      <c r="AW769"/>
      <c r="FY769" s="212">
        <v>764</v>
      </c>
      <c r="FZ769">
        <v>0.36192247308739012</v>
      </c>
      <c r="GA769">
        <v>17.60819499437811</v>
      </c>
      <c r="GB769">
        <v>22.340285093363246</v>
      </c>
      <c r="GC769">
        <v>8.2813113062027028</v>
      </c>
      <c r="GD769">
        <v>1.3037969497109021</v>
      </c>
      <c r="GE769">
        <v>0.71895619221013829</v>
      </c>
      <c r="GF769">
        <v>0</v>
      </c>
      <c r="GG769">
        <v>0.57818975631584713</v>
      </c>
      <c r="GH769">
        <v>0</v>
      </c>
      <c r="GI769">
        <v>13.486004206326191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7.3781249999999989</v>
      </c>
      <c r="AO770">
        <v>32.03171690166257</v>
      </c>
      <c r="AP770">
        <v>858.62363251626016</v>
      </c>
      <c r="AQ770">
        <v>56.768660983974264</v>
      </c>
      <c r="AR770">
        <v>29.119742637875067</v>
      </c>
      <c r="AS770">
        <v>146.72314883515838</v>
      </c>
      <c r="AT770" t="e">
        <v>#DIV/0!</v>
      </c>
      <c r="AU770" t="e">
        <v>#DIV/0!</v>
      </c>
      <c r="AV770"/>
      <c r="AW770"/>
      <c r="FY770" s="212">
        <v>765</v>
      </c>
      <c r="FZ770">
        <v>0.72384494617478023</v>
      </c>
      <c r="GA770">
        <v>15.157988881457005</v>
      </c>
      <c r="GB770">
        <v>8.3072388387139284</v>
      </c>
      <c r="GC770">
        <v>2.4047248002911963</v>
      </c>
      <c r="GD770">
        <v>1.0949493879576138</v>
      </c>
      <c r="GE770">
        <v>0</v>
      </c>
      <c r="GF770">
        <v>1.6027633530596492</v>
      </c>
      <c r="GG770">
        <v>6.3202161347321617</v>
      </c>
      <c r="GH770">
        <v>1.6229601285312325</v>
      </c>
      <c r="GI770">
        <v>8.3633254967049382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11.588235294117647</v>
      </c>
      <c r="AO771">
        <v>50.252869405311998</v>
      </c>
      <c r="AP771">
        <v>443.5060813872995</v>
      </c>
      <c r="AQ771">
        <v>52.000171495101362</v>
      </c>
      <c r="AR771">
        <v>45.718407004202604</v>
      </c>
      <c r="AS771">
        <v>239.98855421630344</v>
      </c>
      <c r="AT771" t="e">
        <v>#DIV/0!</v>
      </c>
      <c r="AU771" t="e">
        <v>#DIV/0!</v>
      </c>
      <c r="AV771"/>
      <c r="AW771"/>
      <c r="FY771" s="212">
        <v>766</v>
      </c>
      <c r="FZ771">
        <v>0.91155005935855693</v>
      </c>
      <c r="GA771">
        <v>19.090620998681402</v>
      </c>
      <c r="GB771">
        <v>17.152868270857997</v>
      </c>
      <c r="GC771">
        <v>5.9637839462510751</v>
      </c>
      <c r="GD771">
        <v>1.4126258378084575</v>
      </c>
      <c r="GE771">
        <v>0.35947809610506914</v>
      </c>
      <c r="GF771">
        <v>0.80138167652982462</v>
      </c>
      <c r="GG771">
        <v>6.648923675203319</v>
      </c>
      <c r="GH771">
        <v>6.49184051412493</v>
      </c>
      <c r="GI771">
        <v>9.2019999497558516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6.0239583333333346</v>
      </c>
      <c r="AO772">
        <v>36.700114193053295</v>
      </c>
      <c r="AP772">
        <v>808.29786820456775</v>
      </c>
      <c r="AQ772">
        <v>50.431066548814414</v>
      </c>
      <c r="AR772">
        <v>33.43170071970458</v>
      </c>
      <c r="AS772">
        <v>211.87795944698553</v>
      </c>
      <c r="AT772" t="e">
        <v>#DIV/0!</v>
      </c>
      <c r="AU772" t="e">
        <v>#DIV/0!</v>
      </c>
      <c r="AV772"/>
      <c r="AW772"/>
      <c r="FY772" s="212">
        <v>767</v>
      </c>
      <c r="FZ772">
        <v>1.9973174786207277</v>
      </c>
      <c r="GA772">
        <v>16.406222135751033</v>
      </c>
      <c r="GB772">
        <v>11.619171646698115</v>
      </c>
      <c r="GC772">
        <v>3.6599846916492558</v>
      </c>
      <c r="GD772">
        <v>1.0704368068664039</v>
      </c>
      <c r="GE772">
        <v>0.35947809610506914</v>
      </c>
      <c r="GF772">
        <v>0</v>
      </c>
      <c r="GG772">
        <v>0.57818975631584713</v>
      </c>
      <c r="GH772">
        <v>0</v>
      </c>
      <c r="GI772">
        <v>7.7639519739910954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12.109068627450981</v>
      </c>
      <c r="AO773">
        <v>48.325372222343013</v>
      </c>
      <c r="AP773">
        <v>919.47777303582779</v>
      </c>
      <c r="AQ773">
        <v>68.254397184094543</v>
      </c>
      <c r="AR773">
        <v>43.932156565766377</v>
      </c>
      <c r="AS773">
        <v>333.31353436073636</v>
      </c>
      <c r="AT773" t="e">
        <v>#DIV/0!</v>
      </c>
      <c r="AU773" t="e">
        <v>#DIV/0!</v>
      </c>
      <c r="AV773"/>
      <c r="AW773"/>
      <c r="FY773" s="212">
        <v>768</v>
      </c>
      <c r="FZ773">
        <v>0.1709068907158674</v>
      </c>
      <c r="GA773">
        <v>27.870967605168104</v>
      </c>
      <c r="GB773">
        <v>16.902834769326009</v>
      </c>
      <c r="GC773">
        <v>3.6601826193379989</v>
      </c>
      <c r="GD773">
        <v>1.230865361627449</v>
      </c>
      <c r="GE773">
        <v>0.35947809610506914</v>
      </c>
      <c r="GF773">
        <v>1.6027633530596492</v>
      </c>
      <c r="GG773">
        <v>6.8984058910480091</v>
      </c>
      <c r="GH773">
        <v>1.6229601285312325</v>
      </c>
      <c r="GI773">
        <v>11.567240729253905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7.5601102941176475</v>
      </c>
      <c r="AO774">
        <v>23.529760428999257</v>
      </c>
      <c r="AP774">
        <v>822.36208582101801</v>
      </c>
      <c r="AQ774">
        <v>47.984584095560045</v>
      </c>
      <c r="AR774">
        <v>21.390691299090232</v>
      </c>
      <c r="AS774">
        <v>106.35594226476232</v>
      </c>
      <c r="AT774" t="e">
        <v>#DIV/0!</v>
      </c>
      <c r="AU774" t="e">
        <v>#DIV/0!</v>
      </c>
      <c r="AV774"/>
      <c r="AW774"/>
      <c r="FY774" s="212">
        <v>769</v>
      </c>
      <c r="FZ774">
        <v>0.53282936380325752</v>
      </c>
      <c r="GA774">
        <v>15.512499583910877</v>
      </c>
      <c r="GB774">
        <v>19.837177580936014</v>
      </c>
      <c r="GC774">
        <v>6.9843106852132424</v>
      </c>
      <c r="GD774">
        <v>0.93134017352532183</v>
      </c>
      <c r="GE774">
        <v>0.35947809610506914</v>
      </c>
      <c r="GF774">
        <v>0.80138167652982462</v>
      </c>
      <c r="GG774">
        <v>4.407519146589534</v>
      </c>
      <c r="GH774">
        <v>3.245920257062465</v>
      </c>
      <c r="GI774">
        <v>8.7503545617676419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14.315012254901958</v>
      </c>
      <c r="AO775">
        <v>32.976914030685876</v>
      </c>
      <c r="AP775">
        <v>385.30814068491156</v>
      </c>
      <c r="AQ775">
        <v>74.228516350709583</v>
      </c>
      <c r="AR775">
        <v>29.979012755168991</v>
      </c>
      <c r="AS775">
        <v>182.46044332744006</v>
      </c>
      <c r="AT775" t="e">
        <v>#DIV/0!</v>
      </c>
      <c r="AU775" t="e">
        <v>#DIV/0!</v>
      </c>
      <c r="AV775"/>
      <c r="AW775"/>
      <c r="FY775" s="212">
        <v>770</v>
      </c>
      <c r="FZ775">
        <v>2.5637432873598041</v>
      </c>
      <c r="GA775">
        <v>14.131582951159706</v>
      </c>
      <c r="GB775">
        <v>9.1259527545188579</v>
      </c>
      <c r="GC775">
        <v>3.9012459321088659</v>
      </c>
      <c r="GD775">
        <v>1.4765332264636164</v>
      </c>
      <c r="GE775">
        <v>0</v>
      </c>
      <c r="GF775">
        <v>0</v>
      </c>
      <c r="GG775">
        <v>0.57818975631584713</v>
      </c>
      <c r="GH775">
        <v>0</v>
      </c>
      <c r="GI775">
        <v>6.0920970233778631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10.950428921568626</v>
      </c>
      <c r="AO776">
        <v>12.362380062609995</v>
      </c>
      <c r="AP776">
        <v>251.05573573509366</v>
      </c>
      <c r="AQ776">
        <v>59.50675207957223</v>
      </c>
      <c r="AR776">
        <v>11.306487873847034</v>
      </c>
      <c r="AS776">
        <v>105.40976878167807</v>
      </c>
      <c r="AT776" t="e">
        <v>#DIV/0!</v>
      </c>
      <c r="AU776" t="e">
        <v>#DIV/0!</v>
      </c>
      <c r="AV776"/>
      <c r="AW776"/>
      <c r="FY776" s="212">
        <v>771</v>
      </c>
      <c r="FZ776">
        <v>2.5838519790154595</v>
      </c>
      <c r="GA776">
        <v>25.933795765553153</v>
      </c>
      <c r="GB776">
        <v>17.323529863796303</v>
      </c>
      <c r="GC776">
        <v>5.6429940555269456</v>
      </c>
      <c r="GD776">
        <v>2.0110655485180242</v>
      </c>
      <c r="GE776">
        <v>0.71895619221013829</v>
      </c>
      <c r="GF776">
        <v>0.80138167652982462</v>
      </c>
      <c r="GG776">
        <v>3.9006838869232907</v>
      </c>
      <c r="GH776">
        <v>0</v>
      </c>
      <c r="GI776">
        <v>12.623573364306937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8.8749999999999964</v>
      </c>
      <c r="AO777">
        <v>22.269807576101815</v>
      </c>
      <c r="AP777">
        <v>523.23098115172786</v>
      </c>
      <c r="AQ777">
        <v>60.370509504184987</v>
      </c>
      <c r="AR777">
        <v>20.347220430940389</v>
      </c>
      <c r="AS777">
        <v>124.34388249757593</v>
      </c>
      <c r="AT777" t="e">
        <v>#DIV/0!</v>
      </c>
      <c r="AU777" t="e">
        <v>#DIV/0!</v>
      </c>
      <c r="AV777"/>
      <c r="AW777"/>
      <c r="FY777" s="212">
        <v>772</v>
      </c>
      <c r="FZ777">
        <v>2.1850225918045041</v>
      </c>
      <c r="GA777">
        <v>15.419633152041891</v>
      </c>
      <c r="GB777">
        <v>19.354248010055731</v>
      </c>
      <c r="GC777">
        <v>7.6787876464655742</v>
      </c>
      <c r="GD777">
        <v>1.128860241344829</v>
      </c>
      <c r="GE777">
        <v>0.35947809610506914</v>
      </c>
      <c r="GF777">
        <v>2.4041450295894737</v>
      </c>
      <c r="GG777">
        <v>9.0645205090237582</v>
      </c>
      <c r="GH777">
        <v>1.6229601285312325</v>
      </c>
      <c r="GI777">
        <v>10.308953017486337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9.7267769607843135</v>
      </c>
      <c r="AO778">
        <v>34.238064553884257</v>
      </c>
      <c r="AP778">
        <v>467.34415286615945</v>
      </c>
      <c r="AQ778">
        <v>61.033778945694777</v>
      </c>
      <c r="AR778">
        <v>31.125513230803879</v>
      </c>
      <c r="AS778">
        <v>168.76481535989942</v>
      </c>
      <c r="AT778" t="e">
        <v>#DIV/0!</v>
      </c>
      <c r="AU778" t="e">
        <v>#DIV/0!</v>
      </c>
      <c r="AV778"/>
      <c r="AW778"/>
      <c r="FY778" s="212">
        <v>773</v>
      </c>
      <c r="FZ778">
        <v>0.70373625451912492</v>
      </c>
      <c r="GA778">
        <v>27.299831642058532</v>
      </c>
      <c r="GB778">
        <v>18.137258722229472</v>
      </c>
      <c r="GC778">
        <v>4.7630466434973728</v>
      </c>
      <c r="GD778">
        <v>1.1781734317632968</v>
      </c>
      <c r="GE778">
        <v>0</v>
      </c>
      <c r="GF778">
        <v>0.80138167652982462</v>
      </c>
      <c r="GG778">
        <v>2.7443043742915965</v>
      </c>
      <c r="GH778">
        <v>0</v>
      </c>
      <c r="GI778">
        <v>12.681749105738991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9.9351102941176457</v>
      </c>
      <c r="AO779">
        <v>32.013253071517759</v>
      </c>
      <c r="AP779">
        <v>548.90532547035741</v>
      </c>
      <c r="AQ779">
        <v>55.772428559464089</v>
      </c>
      <c r="AR779">
        <v>29.136937609844207</v>
      </c>
      <c r="AS779">
        <v>153.73197728203115</v>
      </c>
      <c r="AT779" t="e">
        <v>#DIV/0!</v>
      </c>
      <c r="AU779" t="e">
        <v>#DIV/0!</v>
      </c>
      <c r="AV779"/>
      <c r="AW779"/>
      <c r="FY779" s="212">
        <v>774</v>
      </c>
      <c r="FZ779">
        <v>1.4812863372853795</v>
      </c>
      <c r="GA779">
        <v>21.504252207589413</v>
      </c>
      <c r="GB779">
        <v>14.071397337721857</v>
      </c>
      <c r="GC779">
        <v>3.3563856893312076</v>
      </c>
      <c r="GD779">
        <v>0.64350341508268183</v>
      </c>
      <c r="GE779">
        <v>0.35947809610506914</v>
      </c>
      <c r="GF779">
        <v>0.80138167652982462</v>
      </c>
      <c r="GG779">
        <v>2.7443043742915965</v>
      </c>
      <c r="GH779">
        <v>0</v>
      </c>
      <c r="GI779">
        <v>8.0851265476790655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10.656250000000002</v>
      </c>
      <c r="AO780">
        <v>46.392397271803794</v>
      </c>
      <c r="AP780">
        <v>671.19749099216097</v>
      </c>
      <c r="AQ780">
        <v>64.678660971594525</v>
      </c>
      <c r="AR780">
        <v>42.208886882831507</v>
      </c>
      <c r="AS780">
        <v>275.18073582206875</v>
      </c>
      <c r="AT780" t="e">
        <v>#DIV/0!</v>
      </c>
      <c r="AU780" t="e">
        <v>#DIV/0!</v>
      </c>
      <c r="AV780"/>
      <c r="AW780"/>
      <c r="FY780" s="212">
        <v>775</v>
      </c>
      <c r="FZ780">
        <v>0.70373625451912492</v>
      </c>
      <c r="GA780">
        <v>14.538999388241798</v>
      </c>
      <c r="GB780">
        <v>14.229787732011921</v>
      </c>
      <c r="GC780">
        <v>5.4998445375406204</v>
      </c>
      <c r="GD780">
        <v>1.593154025189528</v>
      </c>
      <c r="GE780">
        <v>0.71895619221013829</v>
      </c>
      <c r="GF780">
        <v>2.4041450295894737</v>
      </c>
      <c r="GG780">
        <v>9.3892926355064841</v>
      </c>
      <c r="GH780">
        <v>0</v>
      </c>
      <c r="GI780">
        <v>12.857857554528847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5.5895833333333327</v>
      </c>
      <c r="AO781">
        <v>24.328495260055721</v>
      </c>
      <c r="AP781">
        <v>728.96244936405731</v>
      </c>
      <c r="AQ781">
        <v>45.598011967622504</v>
      </c>
      <c r="AR781">
        <v>22.184774416979515</v>
      </c>
      <c r="AS781">
        <v>248.45042204309826</v>
      </c>
      <c r="AT781" t="e">
        <v>#DIV/0!</v>
      </c>
      <c r="AU781" t="e">
        <v>#DIV/0!</v>
      </c>
      <c r="AV781"/>
      <c r="AW781"/>
      <c r="FY781" s="212">
        <v>776</v>
      </c>
      <c r="FZ781">
        <v>1.0824569500744243</v>
      </c>
      <c r="GA781">
        <v>7.6142632661854988</v>
      </c>
      <c r="GB781">
        <v>7.732412881816213</v>
      </c>
      <c r="GC781">
        <v>3.600974599842111</v>
      </c>
      <c r="GD781">
        <v>1.0744027749802196</v>
      </c>
      <c r="GE781">
        <v>0.71895619221013829</v>
      </c>
      <c r="GF781">
        <v>0.80138167652982462</v>
      </c>
      <c r="GG781">
        <v>4.407519146589534</v>
      </c>
      <c r="GH781">
        <v>3.245920257062465</v>
      </c>
      <c r="GI781">
        <v>12.441627663700491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9.5080269607843118</v>
      </c>
      <c r="AO782">
        <v>28.093656815573375</v>
      </c>
      <c r="AP782">
        <v>567.28510662398855</v>
      </c>
      <c r="AQ782">
        <v>68.035073024676478</v>
      </c>
      <c r="AR782">
        <v>25.539688014157619</v>
      </c>
      <c r="AS782">
        <v>164.48174904428257</v>
      </c>
      <c r="AT782" t="e">
        <v>#DIV/0!</v>
      </c>
      <c r="AU782" t="e">
        <v>#DIV/0!</v>
      </c>
      <c r="AV782"/>
      <c r="AW782"/>
      <c r="FY782" s="212">
        <v>777</v>
      </c>
      <c r="FZ782">
        <v>0.1709068907158674</v>
      </c>
      <c r="GA782">
        <v>26.885069424728755</v>
      </c>
      <c r="GB782">
        <v>25.108761800308631</v>
      </c>
      <c r="GC782">
        <v>7.9987295909231833</v>
      </c>
      <c r="GD782">
        <v>1.4111246700060045</v>
      </c>
      <c r="GE782">
        <v>0.35947809610506914</v>
      </c>
      <c r="GF782">
        <v>0</v>
      </c>
      <c r="GG782">
        <v>1.4097971424648157</v>
      </c>
      <c r="GH782">
        <v>1.6229601285312325</v>
      </c>
      <c r="GI782">
        <v>11.645963726522515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8.4007352941176485</v>
      </c>
      <c r="AO783">
        <v>23.354545011128181</v>
      </c>
      <c r="AP783">
        <v>336.96169108116499</v>
      </c>
      <c r="AQ783">
        <v>43.454752585997547</v>
      </c>
      <c r="AR783">
        <v>21.333345371873449</v>
      </c>
      <c r="AS783">
        <v>201.08435401454867</v>
      </c>
      <c r="AT783" t="e">
        <v>#DIV/0!</v>
      </c>
      <c r="AU783" t="e">
        <v>#DIV/0!</v>
      </c>
      <c r="AV783"/>
      <c r="AW783"/>
      <c r="FY783" s="212">
        <v>778</v>
      </c>
      <c r="FZ783">
        <v>1.8231001187171141</v>
      </c>
      <c r="GA783">
        <v>26.736813796172765</v>
      </c>
      <c r="GB783">
        <v>21.250842559195746</v>
      </c>
      <c r="GC783">
        <v>6.3031742149127243</v>
      </c>
      <c r="GD783">
        <v>1.3018677280731259</v>
      </c>
      <c r="GE783">
        <v>0.71895619221013829</v>
      </c>
      <c r="GF783">
        <v>0</v>
      </c>
      <c r="GG783">
        <v>3.0730119147627537</v>
      </c>
      <c r="GH783">
        <v>4.8688803855936991</v>
      </c>
      <c r="GI783">
        <v>9.6077054246062055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8.2145833333333336</v>
      </c>
      <c r="AO784">
        <v>30.150459244878657</v>
      </c>
      <c r="AP784">
        <v>740.74114215640407</v>
      </c>
      <c r="AQ784">
        <v>71.886605444173298</v>
      </c>
      <c r="AR784">
        <v>27.409508404435144</v>
      </c>
      <c r="AS784">
        <v>165.82236509992441</v>
      </c>
      <c r="AT784" t="e">
        <v>#DIV/0!</v>
      </c>
      <c r="AU784" t="e">
        <v>#DIV/0!</v>
      </c>
      <c r="AV784"/>
      <c r="AW784"/>
      <c r="FY784" s="212">
        <v>779</v>
      </c>
      <c r="FZ784">
        <v>0.53282936380325752</v>
      </c>
      <c r="GA784">
        <v>16.572077121835061</v>
      </c>
      <c r="GB784">
        <v>17.641924744222585</v>
      </c>
      <c r="GC784">
        <v>5.6632824636061141</v>
      </c>
      <c r="GD784">
        <v>0.53794123128803617</v>
      </c>
      <c r="GE784">
        <v>0</v>
      </c>
      <c r="GF784">
        <v>0.80138167652982462</v>
      </c>
      <c r="GG784">
        <v>2.7443043742915965</v>
      </c>
      <c r="GH784">
        <v>0</v>
      </c>
      <c r="GI784">
        <v>6.8554061534521722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7.5031249999999998</v>
      </c>
      <c r="AO785">
        <v>24.677367554957822</v>
      </c>
      <c r="AP785">
        <v>282.21739760239484</v>
      </c>
      <c r="AQ785">
        <v>61.362811125443258</v>
      </c>
      <c r="AR785">
        <v>22.467950776607907</v>
      </c>
      <c r="AS785">
        <v>148.05502815396636</v>
      </c>
      <c r="AT785" t="e">
        <v>#DIV/0!</v>
      </c>
      <c r="AU785" t="e">
        <v>#DIV/0!</v>
      </c>
      <c r="AV785"/>
      <c r="AW785"/>
      <c r="FY785" s="212">
        <v>780</v>
      </c>
      <c r="FZ785">
        <v>0.5127206721476022</v>
      </c>
      <c r="GA785">
        <v>8.6390760620441078</v>
      </c>
      <c r="GB785">
        <v>10.457827707012582</v>
      </c>
      <c r="GC785">
        <v>3.9980804891265254</v>
      </c>
      <c r="GD785">
        <v>0.71768644119960523</v>
      </c>
      <c r="GE785">
        <v>0.35947809610506914</v>
      </c>
      <c r="GF785">
        <v>0.80138167652982462</v>
      </c>
      <c r="GG785">
        <v>3.5759117604405652</v>
      </c>
      <c r="GH785">
        <v>1.6229601285312325</v>
      </c>
      <c r="GI785">
        <v>7.4864119179217514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13.077205882352942</v>
      </c>
      <c r="AO786">
        <v>28.061187397415733</v>
      </c>
      <c r="AP786">
        <v>490.57537912387352</v>
      </c>
      <c r="AQ786">
        <v>37.86934493130456</v>
      </c>
      <c r="AR786">
        <v>25.510170361287031</v>
      </c>
      <c r="AS786">
        <v>121.42184547011337</v>
      </c>
      <c r="AT786" t="e">
        <v>#DIV/0!</v>
      </c>
      <c r="AU786" t="e">
        <v>#DIV/0!</v>
      </c>
      <c r="AV786"/>
      <c r="AW786"/>
      <c r="FY786" s="212">
        <v>781</v>
      </c>
      <c r="FZ786">
        <v>1.6353950055333373</v>
      </c>
      <c r="GA786">
        <v>23.90140341764711</v>
      </c>
      <c r="GB786">
        <v>22.227940434718363</v>
      </c>
      <c r="GC786">
        <v>7.0698072039181667</v>
      </c>
      <c r="GD786">
        <v>1.0405779662246677</v>
      </c>
      <c r="GE786">
        <v>0</v>
      </c>
      <c r="GF786">
        <v>0</v>
      </c>
      <c r="GG786">
        <v>4.2293914273944484</v>
      </c>
      <c r="GH786">
        <v>4.8688803855936991</v>
      </c>
      <c r="GI786">
        <v>9.4492392623771924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15.819914215686277</v>
      </c>
      <c r="AO787">
        <v>31.596760807117498</v>
      </c>
      <c r="AP787">
        <v>787.74899815639787</v>
      </c>
      <c r="AQ787">
        <v>71.539832332380072</v>
      </c>
      <c r="AR787">
        <v>28.758308278571249</v>
      </c>
      <c r="AS787">
        <v>263.92646733031546</v>
      </c>
      <c r="AT787" t="e">
        <v>#DIV/0!</v>
      </c>
      <c r="AU787" t="e">
        <v>#DIV/0!</v>
      </c>
      <c r="AV787"/>
      <c r="AW787"/>
      <c r="FY787" s="212">
        <v>782</v>
      </c>
      <c r="FZ787">
        <v>0.91155005935855693</v>
      </c>
      <c r="GA787">
        <v>22.644732165602825</v>
      </c>
      <c r="GB787">
        <v>17.866212176228181</v>
      </c>
      <c r="GC787">
        <v>4.6227557772193677</v>
      </c>
      <c r="GD787">
        <v>0.46897561131839888</v>
      </c>
      <c r="GE787">
        <v>0</v>
      </c>
      <c r="GF787">
        <v>0.80138167652982462</v>
      </c>
      <c r="GG787">
        <v>4.7322912730722599</v>
      </c>
      <c r="GH787">
        <v>1.6229601285312325</v>
      </c>
      <c r="GI787">
        <v>9.4035814696333393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12.842095588235292</v>
      </c>
      <c r="AO788">
        <v>20.417247207975471</v>
      </c>
      <c r="AP788">
        <v>583.50247134968504</v>
      </c>
      <c r="AQ788">
        <v>69.52660842244839</v>
      </c>
      <c r="AR788">
        <v>18.595114097533035</v>
      </c>
      <c r="AS788">
        <v>126.70024005311018</v>
      </c>
      <c r="AT788" t="e">
        <v>#DIV/0!</v>
      </c>
      <c r="AU788" t="e">
        <v>#DIV/0!</v>
      </c>
      <c r="AV788"/>
      <c r="AW788"/>
      <c r="FY788" s="212">
        <v>783</v>
      </c>
      <c r="FZ788">
        <v>1.46448811481747</v>
      </c>
      <c r="GA788">
        <v>13.233900412299542</v>
      </c>
      <c r="GB788">
        <v>13.830779018639056</v>
      </c>
      <c r="GC788">
        <v>6.70163485065342</v>
      </c>
      <c r="GD788">
        <v>2.1431555796733184</v>
      </c>
      <c r="GE788">
        <v>0.35947809610506914</v>
      </c>
      <c r="GF788">
        <v>0.80138167652982462</v>
      </c>
      <c r="GG788">
        <v>4.9857089029053814</v>
      </c>
      <c r="GH788">
        <v>3.245920257062465</v>
      </c>
      <c r="GI788">
        <v>10.064668706377413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9.076041666666665</v>
      </c>
      <c r="AO789">
        <v>35.540013558336369</v>
      </c>
      <c r="AP789">
        <v>400.08440238671892</v>
      </c>
      <c r="AQ789">
        <v>68.309481850628202</v>
      </c>
      <c r="AR789">
        <v>32.343083506952041</v>
      </c>
      <c r="AS789">
        <v>198.61039825813606</v>
      </c>
      <c r="AT789" t="e">
        <v>#DIV/0!</v>
      </c>
      <c r="AU789" t="e">
        <v>#DIV/0!</v>
      </c>
      <c r="AV789"/>
      <c r="AW789"/>
      <c r="FY789" s="212">
        <v>784</v>
      </c>
      <c r="FZ789">
        <v>0</v>
      </c>
      <c r="GA789">
        <v>12.161374307137123</v>
      </c>
      <c r="GB789">
        <v>16.877478694462035</v>
      </c>
      <c r="GC789">
        <v>6.90347179317056</v>
      </c>
      <c r="GD789">
        <v>1.315590573235585</v>
      </c>
      <c r="GE789">
        <v>0.35947809610506914</v>
      </c>
      <c r="GF789">
        <v>1.6027633530596492</v>
      </c>
      <c r="GG789">
        <v>6.8984058910480091</v>
      </c>
      <c r="GH789">
        <v>1.6229601285312325</v>
      </c>
      <c r="GI789">
        <v>11.659614193988503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10.825428921568626</v>
      </c>
      <c r="AO790">
        <v>19.7447256738125</v>
      </c>
      <c r="AP790">
        <v>355.45239150748489</v>
      </c>
      <c r="AQ790">
        <v>53.047115681616091</v>
      </c>
      <c r="AR790">
        <v>17.949750612556816</v>
      </c>
      <c r="AS790">
        <v>145.46288127616376</v>
      </c>
      <c r="AT790" t="e">
        <v>#DIV/0!</v>
      </c>
      <c r="AU790" t="e">
        <v>#DIV/0!</v>
      </c>
      <c r="AV790"/>
      <c r="AW790"/>
      <c r="FY790" s="212">
        <v>785</v>
      </c>
      <c r="FZ790">
        <v>2.20513128346016</v>
      </c>
      <c r="GA790">
        <v>12.699895353253609</v>
      </c>
      <c r="GB790">
        <v>7.0053620356368551</v>
      </c>
      <c r="GC790">
        <v>2.7318409214757899</v>
      </c>
      <c r="GD790">
        <v>1.3069776093821486</v>
      </c>
      <c r="GE790">
        <v>0.35947809610506914</v>
      </c>
      <c r="GF790">
        <v>0.80138167652982462</v>
      </c>
      <c r="GG790">
        <v>4.1541015167564126</v>
      </c>
      <c r="GH790">
        <v>1.6229601285312325</v>
      </c>
      <c r="GI790">
        <v>12.156946152640845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9.1447916666666664</v>
      </c>
      <c r="AO791">
        <v>42.376572987508069</v>
      </c>
      <c r="AP791">
        <v>1101.0671798591693</v>
      </c>
      <c r="AQ791">
        <v>61.935773349337936</v>
      </c>
      <c r="AR791">
        <v>38.558137533471758</v>
      </c>
      <c r="AS791">
        <v>187.29328880000219</v>
      </c>
      <c r="AT791" t="e">
        <v>#DIV/0!</v>
      </c>
      <c r="AU791" t="e">
        <v>#DIV/0!</v>
      </c>
      <c r="AV791"/>
      <c r="AW791"/>
      <c r="FY791" s="212">
        <v>786</v>
      </c>
      <c r="FZ791">
        <v>0.1709068907158674</v>
      </c>
      <c r="GA791">
        <v>17.173901230512733</v>
      </c>
      <c r="GB791">
        <v>16.169177975486321</v>
      </c>
      <c r="GC791">
        <v>5.8695161375929645</v>
      </c>
      <c r="GD791">
        <v>1.2842305647913956</v>
      </c>
      <c r="GE791">
        <v>0</v>
      </c>
      <c r="GF791">
        <v>1.6027633530596492</v>
      </c>
      <c r="GG791">
        <v>6.0667985048990403</v>
      </c>
      <c r="GH791">
        <v>0</v>
      </c>
      <c r="GI791">
        <v>11.8529528254686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10.310110294117647</v>
      </c>
      <c r="AO792">
        <v>44.717431899714079</v>
      </c>
      <c r="AP792">
        <v>412.44444820619839</v>
      </c>
      <c r="AQ792">
        <v>42.719915408990929</v>
      </c>
      <c r="AR792">
        <v>40.652210817921883</v>
      </c>
      <c r="AS792">
        <v>190.98478897683628</v>
      </c>
      <c r="AT792" t="e">
        <v>#DIV/0!</v>
      </c>
      <c r="AU792" t="e">
        <v>#DIV/0!</v>
      </c>
      <c r="AV792"/>
      <c r="AW792"/>
      <c r="FY792" s="212">
        <v>787</v>
      </c>
      <c r="FZ792">
        <v>0.91155005935855693</v>
      </c>
      <c r="GA792">
        <v>16.172548100035264</v>
      </c>
      <c r="GB792">
        <v>17.496562334100606</v>
      </c>
      <c r="GC792">
        <v>5.9840511588231893</v>
      </c>
      <c r="GD792">
        <v>0.75833268679702481</v>
      </c>
      <c r="GE792">
        <v>0</v>
      </c>
      <c r="GF792">
        <v>0.80138167652982462</v>
      </c>
      <c r="GG792">
        <v>5.5638986592212287</v>
      </c>
      <c r="GH792">
        <v>3.245920257062465</v>
      </c>
      <c r="GI792">
        <v>9.1349750773993286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9.5520833333333321</v>
      </c>
      <c r="AO793">
        <v>31.268701586493705</v>
      </c>
      <c r="AP793">
        <v>457.12464198883526</v>
      </c>
      <c r="AQ793">
        <v>76.612791470306064</v>
      </c>
      <c r="AR793">
        <v>28.426092351357909</v>
      </c>
      <c r="AS793">
        <v>205.57038332715214</v>
      </c>
      <c r="AT793" t="e">
        <v>#DIV/0!</v>
      </c>
      <c r="AU793" t="e">
        <v>#DIV/0!</v>
      </c>
      <c r="AV793"/>
      <c r="AW793"/>
      <c r="FY793" s="212">
        <v>788</v>
      </c>
      <c r="FZ793">
        <v>1.4074725090382498</v>
      </c>
      <c r="GA793">
        <v>27.256628902242699</v>
      </c>
      <c r="GB793">
        <v>19.137585777731726</v>
      </c>
      <c r="GC793">
        <v>5.1370198205868789</v>
      </c>
      <c r="GD793">
        <v>1.3511617692580606</v>
      </c>
      <c r="GE793">
        <v>0.35947809610506914</v>
      </c>
      <c r="GF793">
        <v>2.4041450295894737</v>
      </c>
      <c r="GG793">
        <v>10.220900021655453</v>
      </c>
      <c r="GH793">
        <v>1.6229601285312325</v>
      </c>
      <c r="GI793">
        <v>13.5306536734725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13.228553921568627</v>
      </c>
      <c r="AO794">
        <v>31.286852002455237</v>
      </c>
      <c r="AP794">
        <v>458.03970588931418</v>
      </c>
      <c r="AQ794">
        <v>75.684352334244267</v>
      </c>
      <c r="AR794">
        <v>28.442592729504753</v>
      </c>
      <c r="AS794">
        <v>151.45542392734987</v>
      </c>
      <c r="AT794" t="e">
        <v>#DIV/0!</v>
      </c>
      <c r="AU794" t="e">
        <v>#DIV/0!</v>
      </c>
      <c r="AV794"/>
      <c r="AW794"/>
      <c r="FY794" s="212">
        <v>789</v>
      </c>
      <c r="FZ794">
        <v>1.10256564173008</v>
      </c>
      <c r="GA794">
        <v>15.397383004224043</v>
      </c>
      <c r="GB794">
        <v>16.776265912146986</v>
      </c>
      <c r="GC794">
        <v>5.5883115223739717</v>
      </c>
      <c r="GD794">
        <v>0.58177046752976991</v>
      </c>
      <c r="GE794">
        <v>0</v>
      </c>
      <c r="GF794">
        <v>0.80138167652982462</v>
      </c>
      <c r="GG794">
        <v>2.7443043742915965</v>
      </c>
      <c r="GH794">
        <v>0</v>
      </c>
      <c r="GI794">
        <v>8.974052297598675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6.169791666666665</v>
      </c>
      <c r="AO795">
        <v>20.521441099567248</v>
      </c>
      <c r="AP795">
        <v>309.89744801326037</v>
      </c>
      <c r="AQ795">
        <v>51.349147129028644</v>
      </c>
      <c r="AR795">
        <v>18.689835817161924</v>
      </c>
      <c r="AS795">
        <v>121.93957587780632</v>
      </c>
      <c r="AT795" t="e">
        <v>#DIV/0!</v>
      </c>
      <c r="AU795" t="e">
        <v>#DIV/0!</v>
      </c>
      <c r="AV795"/>
      <c r="AW795"/>
      <c r="FY795" s="212">
        <v>790</v>
      </c>
      <c r="FZ795">
        <v>1.4812863372853795</v>
      </c>
      <c r="GA795">
        <v>21.117811973829674</v>
      </c>
      <c r="GB795">
        <v>13.391065927068466</v>
      </c>
      <c r="GC795">
        <v>3.7302253292369607</v>
      </c>
      <c r="GD795">
        <v>1.2880373580724034</v>
      </c>
      <c r="GE795">
        <v>0.71895619221013829</v>
      </c>
      <c r="GF795">
        <v>1.6027633530596492</v>
      </c>
      <c r="GG795">
        <v>6.0667985048990403</v>
      </c>
      <c r="GH795">
        <v>0</v>
      </c>
      <c r="GI795">
        <v>10.472643348593907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5.8781250000000007</v>
      </c>
      <c r="AO796">
        <v>23.73761533707016</v>
      </c>
      <c r="AP796">
        <v>296.04929352078483</v>
      </c>
      <c r="AQ796">
        <v>38.17153495105886</v>
      </c>
      <c r="AR796">
        <v>21.579650306427414</v>
      </c>
      <c r="AS796">
        <v>104.91954109350296</v>
      </c>
      <c r="AT796" t="e">
        <v>#DIV/0!</v>
      </c>
      <c r="AU796" t="e">
        <v>#DIV/0!</v>
      </c>
      <c r="AV796"/>
      <c r="AW796"/>
      <c r="FY796" s="212">
        <v>791</v>
      </c>
      <c r="FZ796">
        <v>1.8063018962492046</v>
      </c>
      <c r="GA796">
        <v>28.077913482335781</v>
      </c>
      <c r="GB796">
        <v>19.629836811465076</v>
      </c>
      <c r="GC796">
        <v>4.8393120142155901</v>
      </c>
      <c r="GD796">
        <v>1.2261643849202166</v>
      </c>
      <c r="GE796">
        <v>0.71895619221013829</v>
      </c>
      <c r="GF796">
        <v>0.80138167652982462</v>
      </c>
      <c r="GG796">
        <v>4.7322912730722599</v>
      </c>
      <c r="GH796">
        <v>1.6229601285312325</v>
      </c>
      <c r="GI796">
        <v>9.8334111933153263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11.338235294117649</v>
      </c>
      <c r="AO797">
        <v>33.252229397367117</v>
      </c>
      <c r="AP797">
        <v>883.5516929051546</v>
      </c>
      <c r="AQ797">
        <v>74.422635103406975</v>
      </c>
      <c r="AR797">
        <v>30.297259996353503</v>
      </c>
      <c r="AS797">
        <v>195.71468468595947</v>
      </c>
      <c r="AT797" t="e">
        <v>#DIV/0!</v>
      </c>
      <c r="AU797" t="e">
        <v>#DIV/0!</v>
      </c>
      <c r="AV797"/>
      <c r="AW797"/>
      <c r="FY797" s="212">
        <v>792</v>
      </c>
      <c r="FZ797">
        <v>0.3418137814317348</v>
      </c>
      <c r="GA797">
        <v>16.755531465447131</v>
      </c>
      <c r="GB797">
        <v>17.023761629480571</v>
      </c>
      <c r="GC797">
        <v>5.5223001529160234</v>
      </c>
      <c r="GD797">
        <v>0.82719311290146613</v>
      </c>
      <c r="GE797">
        <v>0.35947809610506914</v>
      </c>
      <c r="GF797">
        <v>0.80138167652982462</v>
      </c>
      <c r="GG797">
        <v>3.5759117604405652</v>
      </c>
      <c r="GH797">
        <v>1.6229601285312325</v>
      </c>
      <c r="GI797">
        <v>11.801041672418103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10.455943627450978</v>
      </c>
      <c r="AO798">
        <v>26.748293700419737</v>
      </c>
      <c r="AP798">
        <v>820.73451844474334</v>
      </c>
      <c r="AQ798">
        <v>63.074440337493982</v>
      </c>
      <c r="AR798">
        <v>24.316630636745209</v>
      </c>
      <c r="AS798">
        <v>131.89563340622641</v>
      </c>
      <c r="AT798" t="e">
        <v>#DIV/0!</v>
      </c>
      <c r="AU798" t="e">
        <v>#DIV/0!</v>
      </c>
      <c r="AV798"/>
      <c r="AW798"/>
      <c r="FY798" s="212">
        <v>793</v>
      </c>
      <c r="FZ798">
        <v>0.53282936380325752</v>
      </c>
      <c r="GA798">
        <v>17.252442906186477</v>
      </c>
      <c r="GB798">
        <v>17.251426729521981</v>
      </c>
      <c r="GC798">
        <v>6.527961386153331</v>
      </c>
      <c r="GD798">
        <v>1.5187021200700896</v>
      </c>
      <c r="GE798">
        <v>0.35947809610506914</v>
      </c>
      <c r="GF798">
        <v>1.6027633530596492</v>
      </c>
      <c r="GG798">
        <v>7.7300132771969778</v>
      </c>
      <c r="GH798">
        <v>3.245920257062465</v>
      </c>
      <c r="GI798">
        <v>10.280659875073578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10.247610294117646</v>
      </c>
      <c r="AO799">
        <v>43.174679256179772</v>
      </c>
      <c r="AP799">
        <v>675.61513765669997</v>
      </c>
      <c r="AQ799">
        <v>56.831115615062956</v>
      </c>
      <c r="AR799">
        <v>39.317668958910474</v>
      </c>
      <c r="AS799">
        <v>201.74723380710728</v>
      </c>
      <c r="AT799" t="e">
        <v>#DIV/0!</v>
      </c>
      <c r="AU799" t="e">
        <v>#DIV/0!</v>
      </c>
      <c r="AV799"/>
      <c r="AW799"/>
      <c r="FY799" s="212">
        <v>794</v>
      </c>
      <c r="FZ799">
        <v>0.36192247308739012</v>
      </c>
      <c r="GA799">
        <v>23.746961860874872</v>
      </c>
      <c r="GB799">
        <v>17.072656582746269</v>
      </c>
      <c r="GC799">
        <v>4.7013392830932546</v>
      </c>
      <c r="GD799">
        <v>1.3953650783675058</v>
      </c>
      <c r="GE799">
        <v>0.35947809610506914</v>
      </c>
      <c r="GF799">
        <v>0.80138167652982462</v>
      </c>
      <c r="GG799">
        <v>3.3224941306074438</v>
      </c>
      <c r="GH799">
        <v>0</v>
      </c>
      <c r="GI799">
        <v>8.4810685722650341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8.7354166666666657</v>
      </c>
      <c r="AO800">
        <v>36.783731839528436</v>
      </c>
      <c r="AP800">
        <v>826.94518464720932</v>
      </c>
      <c r="AQ800">
        <v>59.401137030737765</v>
      </c>
      <c r="AR800">
        <v>33.439756217753114</v>
      </c>
      <c r="AS800">
        <v>189.20188583375446</v>
      </c>
      <c r="AT800" t="e">
        <v>#DIV/0!</v>
      </c>
      <c r="AU800" t="e">
        <v>#DIV/0!</v>
      </c>
      <c r="AV800"/>
      <c r="AW800"/>
      <c r="FY800" s="212">
        <v>795</v>
      </c>
      <c r="FZ800">
        <v>1.8063018962492046</v>
      </c>
      <c r="GA800">
        <v>23.096074704528274</v>
      </c>
      <c r="GB800">
        <v>13.873773892076944</v>
      </c>
      <c r="GC800">
        <v>3.1132248292999734</v>
      </c>
      <c r="GD800">
        <v>0.77257196139953765</v>
      </c>
      <c r="GE800">
        <v>0</v>
      </c>
      <c r="GF800">
        <v>0.80138167652982462</v>
      </c>
      <c r="GG800">
        <v>3.5759117604405652</v>
      </c>
      <c r="GH800">
        <v>1.6229601285312325</v>
      </c>
      <c r="GI800">
        <v>9.4210336901959604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12.335845588235294</v>
      </c>
      <c r="AO801">
        <v>40.323717867976853</v>
      </c>
      <c r="AP801">
        <v>555.14094960423267</v>
      </c>
      <c r="AQ801">
        <v>45.044074773771939</v>
      </c>
      <c r="AR801">
        <v>36.725885878725997</v>
      </c>
      <c r="AS801">
        <v>188.20843836209104</v>
      </c>
      <c r="AT801" t="e">
        <v>#DIV/0!</v>
      </c>
      <c r="AU801" t="e">
        <v>#DIV/0!</v>
      </c>
      <c r="AV801"/>
      <c r="AW801"/>
      <c r="FY801" s="212">
        <v>796</v>
      </c>
      <c r="FZ801">
        <v>0</v>
      </c>
      <c r="GA801">
        <v>13.633429434099343</v>
      </c>
      <c r="GB801">
        <v>11.54867585584986</v>
      </c>
      <c r="GC801">
        <v>3.8777212553150489</v>
      </c>
      <c r="GD801">
        <v>0.89031752408712372</v>
      </c>
      <c r="GE801">
        <v>0</v>
      </c>
      <c r="GF801">
        <v>1.6027633530596492</v>
      </c>
      <c r="GG801">
        <v>6.8984058910480091</v>
      </c>
      <c r="GH801">
        <v>1.6229601285312325</v>
      </c>
      <c r="GI801">
        <v>12.08326869281124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8.5687500000000014</v>
      </c>
      <c r="AO802">
        <v>37.72935902195551</v>
      </c>
      <c r="AP802">
        <v>754.12335195345577</v>
      </c>
      <c r="AQ802">
        <v>60.190247482526566</v>
      </c>
      <c r="AR802">
        <v>34.299417292686833</v>
      </c>
      <c r="AS802">
        <v>197.80826478599732</v>
      </c>
      <c r="AT802" t="e">
        <v>#DIV/0!</v>
      </c>
      <c r="AU802" t="e">
        <v>#DIV/0!</v>
      </c>
      <c r="AV802"/>
      <c r="AW802"/>
      <c r="FY802" s="212">
        <v>797</v>
      </c>
      <c r="FZ802">
        <v>1.0824569500744246</v>
      </c>
      <c r="GA802">
        <v>27.538707050532079</v>
      </c>
      <c r="GB802">
        <v>19.24617916348479</v>
      </c>
      <c r="GC802">
        <v>4.4969592854371783</v>
      </c>
      <c r="GD802">
        <v>0.84509464488120034</v>
      </c>
      <c r="GE802">
        <v>0.35947809610506914</v>
      </c>
      <c r="GF802">
        <v>0.80138167652982462</v>
      </c>
      <c r="GG802">
        <v>6.1420884155370761</v>
      </c>
      <c r="GH802">
        <v>3.245920257062465</v>
      </c>
      <c r="GI802">
        <v>9.9833358616052355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9.1851102941176457</v>
      </c>
      <c r="AO803">
        <v>28.017234689744214</v>
      </c>
      <c r="AP803">
        <v>732.9222711677088</v>
      </c>
      <c r="AQ803">
        <v>60.069220009327495</v>
      </c>
      <c r="AR803">
        <v>25.470213354312925</v>
      </c>
      <c r="AS803">
        <v>140.72261795373711</v>
      </c>
      <c r="AT803" t="e">
        <v>#DIV/0!</v>
      </c>
      <c r="AU803" t="e">
        <v>#DIV/0!</v>
      </c>
      <c r="AV803"/>
      <c r="AW803"/>
      <c r="FY803" s="212">
        <v>798</v>
      </c>
      <c r="FZ803">
        <v>0.1709068907158674</v>
      </c>
      <c r="GA803">
        <v>15.341443225069078</v>
      </c>
      <c r="GB803">
        <v>10.485186432200681</v>
      </c>
      <c r="GC803">
        <v>2.4478773238251934</v>
      </c>
      <c r="GD803">
        <v>0.54149829480006151</v>
      </c>
      <c r="GE803">
        <v>0.35947809610506914</v>
      </c>
      <c r="GF803">
        <v>1.6027633530596492</v>
      </c>
      <c r="GG803">
        <v>6.6449882612148876</v>
      </c>
      <c r="GH803">
        <v>0</v>
      </c>
      <c r="GI803">
        <v>7.2978603472033008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10.915624999999999</v>
      </c>
      <c r="AO804">
        <v>51.206913005673087</v>
      </c>
      <c r="AP804">
        <v>1256.4712166757931</v>
      </c>
      <c r="AQ804">
        <v>82.428005728211346</v>
      </c>
      <c r="AR804">
        <v>46.619699640268024</v>
      </c>
      <c r="AS804">
        <v>220.01516781537464</v>
      </c>
      <c r="AT804" t="e">
        <v>#DIV/0!</v>
      </c>
      <c r="AU804" t="e">
        <v>#DIV/0!</v>
      </c>
      <c r="AV804"/>
      <c r="AW804"/>
      <c r="FY804" s="212">
        <v>799</v>
      </c>
      <c r="FZ804">
        <v>1.2566743099780382</v>
      </c>
      <c r="GA804">
        <v>25.978258084848537</v>
      </c>
      <c r="GB804">
        <v>14.346453508999828</v>
      </c>
      <c r="GC804">
        <v>2.6505128667100863</v>
      </c>
      <c r="GD804">
        <v>1.1694012930770525</v>
      </c>
      <c r="GE804">
        <v>0.35947809610506914</v>
      </c>
      <c r="GF804">
        <v>0</v>
      </c>
      <c r="GG804">
        <v>1.1563795126316943</v>
      </c>
      <c r="GH804">
        <v>0</v>
      </c>
      <c r="GI804">
        <v>10.667410902596913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9.0080269607843135</v>
      </c>
      <c r="AO805">
        <v>21.593211760788385</v>
      </c>
      <c r="AP805">
        <v>321.17816674001983</v>
      </c>
      <c r="AQ805">
        <v>51.966034896424944</v>
      </c>
      <c r="AR805">
        <v>19.664172781908412</v>
      </c>
      <c r="AS805">
        <v>116.87100030125026</v>
      </c>
      <c r="AT805" t="e">
        <v>#DIV/0!</v>
      </c>
      <c r="AU805" t="e">
        <v>#DIV/0!</v>
      </c>
      <c r="AV805"/>
      <c r="AW805"/>
      <c r="FY805" s="212">
        <v>800</v>
      </c>
      <c r="FZ805">
        <v>1.10256564173008</v>
      </c>
      <c r="GA805">
        <v>24.837778126835126</v>
      </c>
      <c r="GB805">
        <v>14.606330898390345</v>
      </c>
      <c r="GC805">
        <v>2.0735837678557543</v>
      </c>
      <c r="GD805">
        <v>0.34245790994456871</v>
      </c>
      <c r="GE805">
        <v>0.35947809610506914</v>
      </c>
      <c r="GF805">
        <v>1.6027633530596492</v>
      </c>
      <c r="GG805">
        <v>7.4765956473638564</v>
      </c>
      <c r="GH805">
        <v>1.6229601285312325</v>
      </c>
      <c r="GI805">
        <v>7.9384065304165992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12.609803921568629</v>
      </c>
      <c r="AO806">
        <v>40.005795958852325</v>
      </c>
      <c r="AP806">
        <v>837.83723484596965</v>
      </c>
      <c r="AQ806">
        <v>59.869588324255609</v>
      </c>
      <c r="AR806">
        <v>36.368905417138471</v>
      </c>
      <c r="AS806">
        <v>172.73264828340726</v>
      </c>
      <c r="AT806" t="e">
        <v>#DIV/0!</v>
      </c>
      <c r="AU806" t="e">
        <v>#DIV/0!</v>
      </c>
      <c r="AV806"/>
      <c r="AW806"/>
      <c r="FY806" s="212">
        <v>801</v>
      </c>
      <c r="FZ806">
        <v>0.36192247308739012</v>
      </c>
      <c r="GA806">
        <v>15.500101599140606</v>
      </c>
      <c r="GB806">
        <v>12.907048695398393</v>
      </c>
      <c r="GC806">
        <v>3.9912336060279228</v>
      </c>
      <c r="GD806">
        <v>1.4906348064399215</v>
      </c>
      <c r="GE806">
        <v>1.0784342883152076</v>
      </c>
      <c r="GF806">
        <v>0</v>
      </c>
      <c r="GG806">
        <v>0.57818975631584713</v>
      </c>
      <c r="GH806">
        <v>0</v>
      </c>
      <c r="GI806">
        <v>7.8687969452648865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10.799693627450978</v>
      </c>
      <c r="AO807">
        <v>28.753833026180473</v>
      </c>
      <c r="AP807">
        <v>778.1349788034081</v>
      </c>
      <c r="AQ807">
        <v>73.288529052844652</v>
      </c>
      <c r="AR807">
        <v>26.207808749820195</v>
      </c>
      <c r="AS807">
        <v>140.438027568064</v>
      </c>
      <c r="AT807" t="e">
        <v>#DIV/0!</v>
      </c>
      <c r="AU807" t="e">
        <v>#DIV/0!</v>
      </c>
      <c r="AV807"/>
      <c r="AW807"/>
      <c r="FY807" s="212">
        <v>802</v>
      </c>
      <c r="FZ807">
        <v>1.8432088103727695</v>
      </c>
      <c r="GA807">
        <v>25.248228608443966</v>
      </c>
      <c r="GB807">
        <v>22.289747501239678</v>
      </c>
      <c r="GC807">
        <v>6.3684870452530618</v>
      </c>
      <c r="GD807">
        <v>0.74956054811078066</v>
      </c>
      <c r="GE807">
        <v>0.35947809610506914</v>
      </c>
      <c r="GF807">
        <v>0</v>
      </c>
      <c r="GG807">
        <v>0.83160738614896845</v>
      </c>
      <c r="GH807">
        <v>1.6229601285312325</v>
      </c>
      <c r="GI807">
        <v>7.6394082432579955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8.8989583333333293</v>
      </c>
      <c r="AO808">
        <v>33.554953977147044</v>
      </c>
      <c r="AP808">
        <v>336.6489194501525</v>
      </c>
      <c r="AQ808">
        <v>58.631373476201723</v>
      </c>
      <c r="AR808">
        <v>30.504503615588224</v>
      </c>
      <c r="AS808">
        <v>164.11767558846879</v>
      </c>
      <c r="AT808" t="e">
        <v>#DIV/0!</v>
      </c>
      <c r="AU808" t="e">
        <v>#DIV/0!</v>
      </c>
      <c r="AV808"/>
      <c r="AW808"/>
      <c r="FY808" s="212">
        <v>803</v>
      </c>
      <c r="FZ808">
        <v>0.36192247308739012</v>
      </c>
      <c r="GA808">
        <v>18.901965282311558</v>
      </c>
      <c r="GB808">
        <v>16.640158061503673</v>
      </c>
      <c r="GC808">
        <v>4.8091169397138041</v>
      </c>
      <c r="GD808">
        <v>0.81118379149398534</v>
      </c>
      <c r="GE808">
        <v>0</v>
      </c>
      <c r="GF808">
        <v>0.80138167652982462</v>
      </c>
      <c r="GG808">
        <v>2.7443043742915965</v>
      </c>
      <c r="GH808">
        <v>0</v>
      </c>
      <c r="GI808">
        <v>9.966586631379295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8.2354166666666657</v>
      </c>
      <c r="AO809">
        <v>29.164438620732188</v>
      </c>
      <c r="AP809">
        <v>726.40549640293443</v>
      </c>
      <c r="AQ809">
        <v>66.302197364232882</v>
      </c>
      <c r="AR809">
        <v>26.547106290948236</v>
      </c>
      <c r="AS809">
        <v>246.39005930324001</v>
      </c>
      <c r="AT809" t="e">
        <v>#DIV/0!</v>
      </c>
      <c r="AU809" t="e">
        <v>#DIV/0!</v>
      </c>
      <c r="AV809"/>
      <c r="AW809"/>
      <c r="FY809" s="212">
        <v>804</v>
      </c>
      <c r="FZ809">
        <v>1.46448811481747</v>
      </c>
      <c r="GA809">
        <v>17.613915081429376</v>
      </c>
      <c r="GB809">
        <v>14.424965666206029</v>
      </c>
      <c r="GC809">
        <v>5.0543740911988815</v>
      </c>
      <c r="GD809">
        <v>1.3187712329068315</v>
      </c>
      <c r="GE809">
        <v>0</v>
      </c>
      <c r="GF809">
        <v>1.6027633530596492</v>
      </c>
      <c r="GG809">
        <v>6.0667985048990403</v>
      </c>
      <c r="GH809">
        <v>0</v>
      </c>
      <c r="GI809">
        <v>12.594571196868539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6.1906249999999989</v>
      </c>
      <c r="AO810">
        <v>19.248362974820871</v>
      </c>
      <c r="AP810">
        <v>787.87555258953353</v>
      </c>
      <c r="AQ810">
        <v>60.242667753676656</v>
      </c>
      <c r="AR810">
        <v>17.532492067392489</v>
      </c>
      <c r="AS810">
        <v>147.38449471221674</v>
      </c>
      <c r="AT810" t="e">
        <v>#DIV/0!</v>
      </c>
      <c r="AU810" t="e">
        <v>#DIV/0!</v>
      </c>
      <c r="AV810"/>
      <c r="AW810"/>
      <c r="FY810" s="212">
        <v>805</v>
      </c>
      <c r="FZ810">
        <v>0.36192247308739012</v>
      </c>
      <c r="GA810">
        <v>15.079447205783262</v>
      </c>
      <c r="GB810">
        <v>14.790252600823411</v>
      </c>
      <c r="GC810">
        <v>4.7850992094183882</v>
      </c>
      <c r="GD810">
        <v>1.2261643849202166</v>
      </c>
      <c r="GE810">
        <v>0.71895619221013829</v>
      </c>
      <c r="GF810">
        <v>0</v>
      </c>
      <c r="GG810">
        <v>2.241404528613784</v>
      </c>
      <c r="GH810">
        <v>3.245920257062465</v>
      </c>
      <c r="GI810">
        <v>6.9085464871922238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9.4038602941176457</v>
      </c>
      <c r="AO811">
        <v>32.657356653943417</v>
      </c>
      <c r="AP811">
        <v>435.09802007482921</v>
      </c>
      <c r="AQ811">
        <v>58.083234539251514</v>
      </c>
      <c r="AR811">
        <v>29.756466593241061</v>
      </c>
      <c r="AS811">
        <v>147.05027372700746</v>
      </c>
      <c r="AT811" t="e">
        <v>#DIV/0!</v>
      </c>
      <c r="AU811" t="e">
        <v>#DIV/0!</v>
      </c>
      <c r="AV811"/>
      <c r="AW811"/>
      <c r="FY811" s="212">
        <v>806</v>
      </c>
      <c r="FZ811">
        <v>1.8264105879048604</v>
      </c>
      <c r="GA811">
        <v>8.8095582270935733</v>
      </c>
      <c r="GB811">
        <v>9.6696291391862879</v>
      </c>
      <c r="GC811">
        <v>4.0881312556325122</v>
      </c>
      <c r="GD811">
        <v>0.91876124155807004</v>
      </c>
      <c r="GE811">
        <v>0</v>
      </c>
      <c r="GF811">
        <v>0.80138167652982462</v>
      </c>
      <c r="GG811">
        <v>4.7322912730722599</v>
      </c>
      <c r="GH811">
        <v>1.6229601285312325</v>
      </c>
      <c r="GI811">
        <v>6.4950790890985228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8.2249999999999979</v>
      </c>
      <c r="AO812">
        <v>39.635077005308119</v>
      </c>
      <c r="AP812">
        <v>911.37185807703645</v>
      </c>
      <c r="AQ812">
        <v>52.157542134801503</v>
      </c>
      <c r="AR812">
        <v>36.031888186643755</v>
      </c>
      <c r="AS812">
        <v>177.67266594459409</v>
      </c>
      <c r="AT812" t="e">
        <v>#DIV/0!</v>
      </c>
      <c r="AU812" t="e">
        <v>#DIV/0!</v>
      </c>
      <c r="AV812"/>
      <c r="AW812"/>
      <c r="FY812" s="212">
        <v>807</v>
      </c>
      <c r="FZ812">
        <v>1.8231001187171141</v>
      </c>
      <c r="GA812">
        <v>23.837549772617958</v>
      </c>
      <c r="GB812">
        <v>11.90092969383384</v>
      </c>
      <c r="GC812">
        <v>1.4145719336164277</v>
      </c>
      <c r="GD812">
        <v>0.45677308319192561</v>
      </c>
      <c r="GE812">
        <v>0.35947809610506914</v>
      </c>
      <c r="GF812">
        <v>1.6027633530596492</v>
      </c>
      <c r="GG812">
        <v>6.3202161347321617</v>
      </c>
      <c r="GH812">
        <v>1.6229601285312325</v>
      </c>
      <c r="GI812">
        <v>7.2404827106085801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9.8517769607843135</v>
      </c>
      <c r="AO813">
        <v>27.2555940777088</v>
      </c>
      <c r="AP813">
        <v>974.99316662120054</v>
      </c>
      <c r="AQ813">
        <v>73.741601401249341</v>
      </c>
      <c r="AR813">
        <v>24.777812797917086</v>
      </c>
      <c r="AS813">
        <v>171.26165994905995</v>
      </c>
      <c r="AT813" t="e">
        <v>#DIV/0!</v>
      </c>
      <c r="AU813" t="e">
        <v>#DIV/0!</v>
      </c>
      <c r="AV813"/>
      <c r="AW813"/>
      <c r="FY813" s="212">
        <v>808</v>
      </c>
      <c r="FZ813">
        <v>2.0141157010886368</v>
      </c>
      <c r="GA813">
        <v>15.388945006473783</v>
      </c>
      <c r="GB813">
        <v>14.990625156175344</v>
      </c>
      <c r="GC813">
        <v>5.4351961593178491</v>
      </c>
      <c r="GD813">
        <v>1.2892887961058741</v>
      </c>
      <c r="GE813">
        <v>0.35947809610506914</v>
      </c>
      <c r="GF813">
        <v>0</v>
      </c>
      <c r="GG813">
        <v>0.83160738614896845</v>
      </c>
      <c r="GH813">
        <v>1.6229601285312325</v>
      </c>
      <c r="GI813">
        <v>6.5249522913593525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5.3395833333333318</v>
      </c>
      <c r="AO814">
        <v>29.753431299952535</v>
      </c>
      <c r="AP814">
        <v>959.36394943883283</v>
      </c>
      <c r="AQ814">
        <v>44.892002224193789</v>
      </c>
      <c r="AR814">
        <v>27.048573909047761</v>
      </c>
      <c r="AS814">
        <v>131.18290597414085</v>
      </c>
      <c r="AT814" t="e">
        <v>#DIV/0!</v>
      </c>
      <c r="AU814" t="e">
        <v>#DIV/0!</v>
      </c>
      <c r="AV814"/>
      <c r="AW814"/>
      <c r="FY814" s="212">
        <v>809</v>
      </c>
      <c r="FZ814">
        <v>0</v>
      </c>
      <c r="GA814">
        <v>19.906153623548743</v>
      </c>
      <c r="GB814">
        <v>14.313294707441928</v>
      </c>
      <c r="GC814">
        <v>4.6904984135152077</v>
      </c>
      <c r="GD814">
        <v>2.0499271083814539</v>
      </c>
      <c r="GE814">
        <v>1.0784342883152076</v>
      </c>
      <c r="GF814">
        <v>1.6027633530596492</v>
      </c>
      <c r="GG814">
        <v>7.8013677738465814</v>
      </c>
      <c r="GH814">
        <v>0</v>
      </c>
      <c r="GI814">
        <v>12.015410348234022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7.9895833333333313</v>
      </c>
      <c r="AO815">
        <v>32.617890810386839</v>
      </c>
      <c r="AP815">
        <v>603.81123604137599</v>
      </c>
      <c r="AQ815">
        <v>57.58456857494722</v>
      </c>
      <c r="AR815">
        <v>29.754568825744961</v>
      </c>
      <c r="AS815">
        <v>219.34775340776645</v>
      </c>
      <c r="AT815" t="e">
        <v>#DIV/0!</v>
      </c>
      <c r="AU815" t="e">
        <v>#DIV/0!</v>
      </c>
      <c r="AV815"/>
      <c r="AW815"/>
      <c r="FY815" s="212">
        <v>810</v>
      </c>
      <c r="FZ815">
        <v>0</v>
      </c>
      <c r="GA815">
        <v>16.819390528058861</v>
      </c>
      <c r="GB815">
        <v>14.568714088937343</v>
      </c>
      <c r="GC815">
        <v>3.9304872023065243</v>
      </c>
      <c r="GD815">
        <v>0.62622350640819735</v>
      </c>
      <c r="GE815">
        <v>0.35947809610506914</v>
      </c>
      <c r="GF815">
        <v>0.80138167652982462</v>
      </c>
      <c r="GG815">
        <v>5.3104810293881073</v>
      </c>
      <c r="GH815">
        <v>1.6229601285312325</v>
      </c>
      <c r="GI815">
        <v>6.8811391723792079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8.1049019607843125</v>
      </c>
      <c r="AO816">
        <v>23.674392580834912</v>
      </c>
      <c r="AP816">
        <v>952.74249615085773</v>
      </c>
      <c r="AQ816">
        <v>61.962920100232289</v>
      </c>
      <c r="AR816">
        <v>21.556155345587076</v>
      </c>
      <c r="AS816">
        <v>124.042283659308</v>
      </c>
      <c r="AT816" t="e">
        <v>#DIV/0!</v>
      </c>
      <c r="AU816" t="e">
        <v>#DIV/0!</v>
      </c>
      <c r="AV816"/>
      <c r="AW816"/>
      <c r="FY816" s="212">
        <v>811</v>
      </c>
      <c r="FZ816">
        <v>1.273472532445947</v>
      </c>
      <c r="GA816">
        <v>16.792662369510769</v>
      </c>
      <c r="GB816">
        <v>16.246729055603851</v>
      </c>
      <c r="GC816">
        <v>5.6032290907042226</v>
      </c>
      <c r="GD816">
        <v>1.1343465264946304</v>
      </c>
      <c r="GE816">
        <v>0.71895619221013829</v>
      </c>
      <c r="GF816">
        <v>0</v>
      </c>
      <c r="GG816">
        <v>1.6632147722979369</v>
      </c>
      <c r="GH816">
        <v>3.245920257062465</v>
      </c>
      <c r="GI816">
        <v>11.455898535955651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5.8229166666666661</v>
      </c>
      <c r="AO817">
        <v>21.365122561180737</v>
      </c>
      <c r="AP817">
        <v>533.70407138861083</v>
      </c>
      <c r="AQ817">
        <v>43.776362169990179</v>
      </c>
      <c r="AR817">
        <v>19.456818964083276</v>
      </c>
      <c r="AS817">
        <v>142.22360311892436</v>
      </c>
      <c r="AT817" t="e">
        <v>#DIV/0!</v>
      </c>
      <c r="AU817" t="e">
        <v>#DIV/0!</v>
      </c>
      <c r="AV817"/>
      <c r="AW817"/>
      <c r="FY817" s="212">
        <v>812</v>
      </c>
      <c r="FZ817">
        <v>3.4954020383740159</v>
      </c>
      <c r="GA817">
        <v>21.312187777250784</v>
      </c>
      <c r="GB817">
        <v>18.749897551413628</v>
      </c>
      <c r="GC817">
        <v>6.0751491389008061</v>
      </c>
      <c r="GD817">
        <v>0.73548044834107595</v>
      </c>
      <c r="GE817">
        <v>0</v>
      </c>
      <c r="GF817">
        <v>1.6027633530596492</v>
      </c>
      <c r="GG817">
        <v>7.7300132771969778</v>
      </c>
      <c r="GH817">
        <v>3.245920257062465</v>
      </c>
      <c r="GI817">
        <v>12.350088727773301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11.426470588235293</v>
      </c>
      <c r="AO818">
        <v>16.453853022091927</v>
      </c>
      <c r="AP818">
        <v>198.01893121117382</v>
      </c>
      <c r="AQ818">
        <v>66.952686367463514</v>
      </c>
      <c r="AR818">
        <v>14.992028474002538</v>
      </c>
      <c r="AS818">
        <v>129.85757196088744</v>
      </c>
      <c r="AT818" t="e">
        <v>#DIV/0!</v>
      </c>
      <c r="AU818" t="e">
        <v>#DIV/0!</v>
      </c>
      <c r="AV818"/>
      <c r="AW818"/>
      <c r="FY818" s="212">
        <v>813</v>
      </c>
      <c r="FZ818">
        <v>1.2566743099780382</v>
      </c>
      <c r="GA818">
        <v>17.002844871670931</v>
      </c>
      <c r="GB818">
        <v>11.95702467221626</v>
      </c>
      <c r="GC818">
        <v>4.209038773141125</v>
      </c>
      <c r="GD818">
        <v>1.5116094732526388</v>
      </c>
      <c r="GE818">
        <v>0.35947809610506914</v>
      </c>
      <c r="GF818">
        <v>0</v>
      </c>
      <c r="GG818">
        <v>3.0730119147627537</v>
      </c>
      <c r="GH818">
        <v>4.8688803855936991</v>
      </c>
      <c r="GI818">
        <v>10.951117450884208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7.1177083333333329</v>
      </c>
      <c r="AO819">
        <v>30.903938233913259</v>
      </c>
      <c r="AP819">
        <v>568.63699839317724</v>
      </c>
      <c r="AQ819">
        <v>55.036619230311125</v>
      </c>
      <c r="AR819">
        <v>28.128469575658308</v>
      </c>
      <c r="AS819">
        <v>143.20407730691872</v>
      </c>
      <c r="AT819" t="e">
        <v>#DIV/0!</v>
      </c>
      <c r="AU819" t="e">
        <v>#DIV/0!</v>
      </c>
      <c r="AV819"/>
      <c r="AW819"/>
      <c r="FY819" s="212">
        <v>814</v>
      </c>
      <c r="FZ819">
        <v>2.5469450648918941</v>
      </c>
      <c r="GA819">
        <v>22.078797575251031</v>
      </c>
      <c r="GB819">
        <v>18.126435117141799</v>
      </c>
      <c r="GC819">
        <v>6.2225332505587865</v>
      </c>
      <c r="GD819">
        <v>1.2538576256826732</v>
      </c>
      <c r="GE819">
        <v>0</v>
      </c>
      <c r="GF819">
        <v>0</v>
      </c>
      <c r="GG819">
        <v>1.9879868987806626</v>
      </c>
      <c r="GH819">
        <v>1.6229601285312325</v>
      </c>
      <c r="GI819">
        <v>10.616756786748491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10.948651960784316</v>
      </c>
      <c r="AO820">
        <v>39.621532853753948</v>
      </c>
      <c r="AP820">
        <v>717.07066578867978</v>
      </c>
      <c r="AQ820">
        <v>60.140647241385821</v>
      </c>
      <c r="AR820">
        <v>36.087535865796085</v>
      </c>
      <c r="AS820">
        <v>176.47471928068461</v>
      </c>
      <c r="AT820" t="e">
        <v>#DIV/0!</v>
      </c>
      <c r="AU820" t="e">
        <v>#DIV/0!</v>
      </c>
      <c r="AV820"/>
      <c r="AW820"/>
      <c r="FY820" s="212">
        <v>815</v>
      </c>
      <c r="FZ820">
        <v>0.53282936380325752</v>
      </c>
      <c r="GA820">
        <v>20.188805965630451</v>
      </c>
      <c r="GB820">
        <v>16.748290024821173</v>
      </c>
      <c r="GC820">
        <v>5.0234413401415701</v>
      </c>
      <c r="GD820">
        <v>0.82020565994921191</v>
      </c>
      <c r="GE820">
        <v>0</v>
      </c>
      <c r="GF820">
        <v>0.80138167652982462</v>
      </c>
      <c r="GG820">
        <v>6.3955060453701975</v>
      </c>
      <c r="GH820">
        <v>4.8688803855936991</v>
      </c>
      <c r="GI820">
        <v>10.654112297093453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6.0520833333333321</v>
      </c>
      <c r="AO821">
        <v>18.514606269126563</v>
      </c>
      <c r="AP821">
        <v>497.53461121905229</v>
      </c>
      <c r="AQ821">
        <v>49.357713339111285</v>
      </c>
      <c r="AR821">
        <v>16.865440516761307</v>
      </c>
      <c r="AS821">
        <v>129.7905572354953</v>
      </c>
      <c r="AT821" t="e">
        <v>#DIV/0!</v>
      </c>
      <c r="AU821" t="e">
        <v>#DIV/0!</v>
      </c>
      <c r="AV821"/>
      <c r="AW821"/>
      <c r="FY821" s="212">
        <v>816</v>
      </c>
      <c r="FZ821">
        <v>0.70373625451912492</v>
      </c>
      <c r="GA821">
        <v>22.607601261539187</v>
      </c>
      <c r="GB821">
        <v>19.322528008519356</v>
      </c>
      <c r="GC821">
        <v>5.6606346887525989</v>
      </c>
      <c r="GD821">
        <v>1.1343465264946304</v>
      </c>
      <c r="GE821">
        <v>0.71895619221013829</v>
      </c>
      <c r="GF821">
        <v>0.80138167652982462</v>
      </c>
      <c r="GG821">
        <v>3.3224941306074438</v>
      </c>
      <c r="GH821">
        <v>0</v>
      </c>
      <c r="GI821">
        <v>12.978913474136148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7.9038602941176475</v>
      </c>
      <c r="AO822">
        <v>30.090064907187905</v>
      </c>
      <c r="AP822">
        <v>785.31875681172914</v>
      </c>
      <c r="AQ822">
        <v>38.964202618607139</v>
      </c>
      <c r="AR822">
        <v>27.456545277382293</v>
      </c>
      <c r="AS822">
        <v>146.89860452284219</v>
      </c>
      <c r="AT822" t="e">
        <v>#DIV/0!</v>
      </c>
      <c r="AU822" t="e">
        <v>#DIV/0!</v>
      </c>
      <c r="AV822"/>
      <c r="AW822"/>
      <c r="FY822" s="212">
        <v>817</v>
      </c>
      <c r="FZ822">
        <v>0.72384494617478023</v>
      </c>
      <c r="GA822">
        <v>6.992555171688041</v>
      </c>
      <c r="GB822">
        <v>6.6029132990982626</v>
      </c>
      <c r="GC822">
        <v>3.7860906210761747</v>
      </c>
      <c r="GD822">
        <v>1.9739740354595618</v>
      </c>
      <c r="GE822">
        <v>0.71895619221013829</v>
      </c>
      <c r="GF822">
        <v>0.80138167652982462</v>
      </c>
      <c r="GG822">
        <v>4.7322912730722599</v>
      </c>
      <c r="GH822">
        <v>1.6229601285312325</v>
      </c>
      <c r="GI822">
        <v>9.8194580537775185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9.8285539215686288</v>
      </c>
      <c r="AO823">
        <v>27.346939115877387</v>
      </c>
      <c r="AP823">
        <v>615.69140991650102</v>
      </c>
      <c r="AQ823">
        <v>56.57882502501397</v>
      </c>
      <c r="AR823">
        <v>24.860853741706716</v>
      </c>
      <c r="AS823">
        <v>135.18319946310376</v>
      </c>
      <c r="AT823" t="e">
        <v>#DIV/0!</v>
      </c>
      <c r="AU823" t="e">
        <v>#DIV/0!</v>
      </c>
      <c r="AV823"/>
      <c r="AW823"/>
      <c r="FY823" s="212">
        <v>818</v>
      </c>
      <c r="FZ823">
        <v>0.89475183689064763</v>
      </c>
      <c r="GA823">
        <v>15.297115708992942</v>
      </c>
      <c r="GB823">
        <v>13.787577493703179</v>
      </c>
      <c r="GC823">
        <v>4.9140182494862286</v>
      </c>
      <c r="GD823">
        <v>1.4654769425054179</v>
      </c>
      <c r="GE823">
        <v>0.35947809610506914</v>
      </c>
      <c r="GF823">
        <v>0</v>
      </c>
      <c r="GG823">
        <v>1.4097971424648157</v>
      </c>
      <c r="GH823">
        <v>1.6229601285312325</v>
      </c>
      <c r="GI823">
        <v>8.8964777967471758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10.426470588235293</v>
      </c>
      <c r="AO824">
        <v>19.748464222892146</v>
      </c>
      <c r="AP824">
        <v>193.18496981295127</v>
      </c>
      <c r="AQ824">
        <v>48.457168721306111</v>
      </c>
      <c r="AR824">
        <v>17.987129565639105</v>
      </c>
      <c r="AS824">
        <v>106.84902572936376</v>
      </c>
      <c r="AT824" t="e">
        <v>#DIV/0!</v>
      </c>
      <c r="AU824" t="e">
        <v>#DIV/0!</v>
      </c>
      <c r="AV824"/>
      <c r="AW824"/>
      <c r="FY824" s="212">
        <v>819</v>
      </c>
      <c r="FZ824">
        <v>0.1709068907158674</v>
      </c>
      <c r="GA824">
        <v>21.884940486123416</v>
      </c>
      <c r="GB824">
        <v>11.345054640457166</v>
      </c>
      <c r="GC824">
        <v>3.1331387666266965</v>
      </c>
      <c r="GD824">
        <v>1.6264387449669822</v>
      </c>
      <c r="GE824">
        <v>0</v>
      </c>
      <c r="GF824">
        <v>0</v>
      </c>
      <c r="GG824">
        <v>0.83160738614896845</v>
      </c>
      <c r="GH824">
        <v>1.6229601285312325</v>
      </c>
      <c r="GI824">
        <v>8.3849656715465581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8.7041666666666693</v>
      </c>
      <c r="AO825">
        <v>35.064439981679769</v>
      </c>
      <c r="AP825">
        <v>1593.9304765002491</v>
      </c>
      <c r="AQ825">
        <v>63.457849616342791</v>
      </c>
      <c r="AR825">
        <v>31.876763619708878</v>
      </c>
      <c r="AS825">
        <v>171.12103860466104</v>
      </c>
      <c r="AT825" t="e">
        <v>#DIV/0!</v>
      </c>
      <c r="AU825" t="e">
        <v>#DIV/0!</v>
      </c>
      <c r="AV825"/>
      <c r="AW825"/>
      <c r="FY825" s="212">
        <v>820</v>
      </c>
      <c r="FZ825">
        <v>1.10256564173008</v>
      </c>
      <c r="GA825">
        <v>19.569242278622909</v>
      </c>
      <c r="GB825">
        <v>21.223603799849304</v>
      </c>
      <c r="GC825">
        <v>6.8630208922338589</v>
      </c>
      <c r="GD825">
        <v>0.46897561131839888</v>
      </c>
      <c r="GE825">
        <v>0</v>
      </c>
      <c r="GF825">
        <v>0.80138167652982462</v>
      </c>
      <c r="GG825">
        <v>4.7322912730722599</v>
      </c>
      <c r="GH825">
        <v>1.6229601285312325</v>
      </c>
      <c r="GI825">
        <v>11.388213665311765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6.0135416666666668</v>
      </c>
      <c r="AO826">
        <v>23.201195469155284</v>
      </c>
      <c r="AP826">
        <v>1151.998730174917</v>
      </c>
      <c r="AQ826">
        <v>50.92025542864436</v>
      </c>
      <c r="AR826">
        <v>21.091995881050256</v>
      </c>
      <c r="AS826">
        <v>113.70726047622118</v>
      </c>
      <c r="AT826" t="e">
        <v>#DIV/0!</v>
      </c>
      <c r="AU826" t="e">
        <v>#DIV/0!</v>
      </c>
      <c r="AV826"/>
      <c r="AW826"/>
      <c r="FY826" s="212">
        <v>821</v>
      </c>
      <c r="FZ826">
        <v>0.87464314523499231</v>
      </c>
      <c r="GA826">
        <v>17.406333880490745</v>
      </c>
      <c r="GB826">
        <v>17.818692240674178</v>
      </c>
      <c r="GC826">
        <v>6.4309955988854464</v>
      </c>
      <c r="GD826">
        <v>1.1446198329833275</v>
      </c>
      <c r="GE826">
        <v>0.35947809610506914</v>
      </c>
      <c r="GF826">
        <v>1.6027633530596492</v>
      </c>
      <c r="GG826">
        <v>6.0667985048990403</v>
      </c>
      <c r="GH826">
        <v>0</v>
      </c>
      <c r="GI826">
        <v>11.999126881661505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10.931985294117647</v>
      </c>
      <c r="AO827">
        <v>32.498466498577415</v>
      </c>
      <c r="AP827">
        <v>287.1019567195342</v>
      </c>
      <c r="AQ827">
        <v>58.134429332285606</v>
      </c>
      <c r="AR827">
        <v>29.578040725352981</v>
      </c>
      <c r="AS827">
        <v>156.15403762247934</v>
      </c>
      <c r="AT827" t="e">
        <v>#DIV/0!</v>
      </c>
      <c r="AU827" t="e">
        <v>#DIV/0!</v>
      </c>
      <c r="AV827"/>
      <c r="AW827"/>
      <c r="FY827" s="212">
        <v>822</v>
      </c>
      <c r="FZ827">
        <v>1.4812863372853795</v>
      </c>
      <c r="GA827">
        <v>14.298679322981496</v>
      </c>
      <c r="GB827">
        <v>13.619991732267032</v>
      </c>
      <c r="GC827">
        <v>5.1367949006036131</v>
      </c>
      <c r="GD827">
        <v>1.1851608847155513</v>
      </c>
      <c r="GE827">
        <v>0.35947809610506914</v>
      </c>
      <c r="GF827">
        <v>1.6027633530596492</v>
      </c>
      <c r="GG827">
        <v>6.3202161347321617</v>
      </c>
      <c r="GH827">
        <v>1.6229601285312325</v>
      </c>
      <c r="GI827">
        <v>14.728962242424252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17.984191176470588</v>
      </c>
      <c r="AO828">
        <v>31.403340441831563</v>
      </c>
      <c r="AP828">
        <v>752.63006263643956</v>
      </c>
      <c r="AQ828">
        <v>75.296902569372705</v>
      </c>
      <c r="AR828">
        <v>28.582471582856762</v>
      </c>
      <c r="AS828">
        <v>166.04516496153536</v>
      </c>
      <c r="AT828" t="e">
        <v>#DIV/0!</v>
      </c>
      <c r="AU828" t="e">
        <v>#DIV/0!</v>
      </c>
      <c r="AV828"/>
      <c r="AW828"/>
      <c r="FY828" s="212">
        <v>823</v>
      </c>
      <c r="FZ828">
        <v>0.1709068907158674</v>
      </c>
      <c r="GA828">
        <v>18.527404319028598</v>
      </c>
      <c r="GB828">
        <v>15.080078134887778</v>
      </c>
      <c r="GC828">
        <v>4.7797048777421978</v>
      </c>
      <c r="GD828">
        <v>0.95435158681407883</v>
      </c>
      <c r="GE828">
        <v>0</v>
      </c>
      <c r="GF828">
        <v>0</v>
      </c>
      <c r="GG828">
        <v>3.3977840412454787</v>
      </c>
      <c r="GH828">
        <v>3.245920257062465</v>
      </c>
      <c r="GI828">
        <v>9.7696124715421071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8</v>
      </c>
      <c r="AO829">
        <v>29.422996830033942</v>
      </c>
      <c r="AP829">
        <v>445.66931775965327</v>
      </c>
      <c r="AQ829">
        <v>55.189679947604731</v>
      </c>
      <c r="AR829">
        <v>26.85011975269687</v>
      </c>
      <c r="AS829">
        <v>166.33897557895961</v>
      </c>
      <c r="AT829" t="e">
        <v>#DIV/0!</v>
      </c>
      <c r="AU829" t="e">
        <v>#DIV/0!</v>
      </c>
      <c r="AV829"/>
      <c r="AW829"/>
      <c r="FY829" s="212">
        <v>824</v>
      </c>
      <c r="FZ829">
        <v>1.273472532445947</v>
      </c>
      <c r="GA829">
        <v>12.896438484905744</v>
      </c>
      <c r="GB829">
        <v>7.1336421306471518</v>
      </c>
      <c r="GC829">
        <v>2.2932640535978388</v>
      </c>
      <c r="GD829">
        <v>1.2348313297412647</v>
      </c>
      <c r="GE829">
        <v>0.71895619221013829</v>
      </c>
      <c r="GF829">
        <v>0</v>
      </c>
      <c r="GG829">
        <v>2.241404528613784</v>
      </c>
      <c r="GH829">
        <v>3.245920257062465</v>
      </c>
      <c r="GI829">
        <v>12.095370795482149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13.697303921568624</v>
      </c>
      <c r="AO830">
        <v>39.766068809948209</v>
      </c>
      <c r="AP830">
        <v>695.64722190018369</v>
      </c>
      <c r="AQ830">
        <v>64.456272447586571</v>
      </c>
      <c r="AR830">
        <v>36.218932189609049</v>
      </c>
      <c r="AS830">
        <v>241.57124467685313</v>
      </c>
      <c r="AT830" t="e">
        <v>#DIV/0!</v>
      </c>
      <c r="AU830" t="e">
        <v>#DIV/0!</v>
      </c>
      <c r="AV830"/>
      <c r="AW830"/>
      <c r="FY830" s="212">
        <v>825</v>
      </c>
      <c r="FZ830">
        <v>1.8231001187171139</v>
      </c>
      <c r="GA830">
        <v>28.164541407058849</v>
      </c>
      <c r="GB830">
        <v>33.262550530837814</v>
      </c>
      <c r="GC830">
        <v>10.991898357372134</v>
      </c>
      <c r="GD830">
        <v>0.89971579638312882</v>
      </c>
      <c r="GE830">
        <v>0.71895619221013829</v>
      </c>
      <c r="GF830">
        <v>1.6027633530596492</v>
      </c>
      <c r="GG830">
        <v>7.4765956473638564</v>
      </c>
      <c r="GH830">
        <v>1.6229601285312325</v>
      </c>
      <c r="GI830">
        <v>15.985721555862506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8.4718749999999989</v>
      </c>
      <c r="AO831">
        <v>34.828609829641394</v>
      </c>
      <c r="AP831">
        <v>811.03452465783448</v>
      </c>
      <c r="AQ831">
        <v>66.033452758932839</v>
      </c>
      <c r="AR831">
        <v>31.696352844502055</v>
      </c>
      <c r="AS831">
        <v>292.8775360848083</v>
      </c>
      <c r="AT831" t="e">
        <v>#DIV/0!</v>
      </c>
      <c r="AU831" t="e">
        <v>#DIV/0!</v>
      </c>
      <c r="AV831"/>
      <c r="AW831"/>
      <c r="FY831" s="212">
        <v>826</v>
      </c>
      <c r="FZ831">
        <v>1.273472532445947</v>
      </c>
      <c r="GA831">
        <v>12.178973664665163</v>
      </c>
      <c r="GB831">
        <v>12.012332828611159</v>
      </c>
      <c r="GC831">
        <v>4.2418636468910833</v>
      </c>
      <c r="GD831">
        <v>1.0271240000647239</v>
      </c>
      <c r="GE831">
        <v>0.71895619221013829</v>
      </c>
      <c r="GF831">
        <v>0.80138167652982462</v>
      </c>
      <c r="GG831">
        <v>4.1541015167564126</v>
      </c>
      <c r="GH831">
        <v>1.6229601285312325</v>
      </c>
      <c r="GI831">
        <v>6.5452583764557639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9.7739583333333329</v>
      </c>
      <c r="AO832">
        <v>37.98965103835004</v>
      </c>
      <c r="AP832">
        <v>581.964966558848</v>
      </c>
      <c r="AQ832">
        <v>67.250592213308451</v>
      </c>
      <c r="AR832">
        <v>34.570026670600832</v>
      </c>
      <c r="AS832">
        <v>201.84491878313059</v>
      </c>
      <c r="AT832" t="e">
        <v>#DIV/0!</v>
      </c>
      <c r="AU832" t="e">
        <v>#DIV/0!</v>
      </c>
      <c r="AV832"/>
      <c r="AW832"/>
      <c r="FY832" s="212">
        <v>827</v>
      </c>
      <c r="FZ832">
        <v>1.0824569500744246</v>
      </c>
      <c r="GA832">
        <v>18.582102712445803</v>
      </c>
      <c r="GB832">
        <v>14.727043968651639</v>
      </c>
      <c r="GC832">
        <v>4.770091454284719</v>
      </c>
      <c r="GD832">
        <v>1.0846760814689167</v>
      </c>
      <c r="GE832">
        <v>0.35947809610506914</v>
      </c>
      <c r="GF832">
        <v>1.6027633530596492</v>
      </c>
      <c r="GG832">
        <v>8.6329751599955493</v>
      </c>
      <c r="GH832">
        <v>1.6229601285312325</v>
      </c>
      <c r="GI832">
        <v>13.325180995780661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6.4927083333333329</v>
      </c>
      <c r="AO833">
        <v>34.574678233221007</v>
      </c>
      <c r="AP833">
        <v>849.27560140654998</v>
      </c>
      <c r="AQ833">
        <v>37.774425397617797</v>
      </c>
      <c r="AR833">
        <v>31.49948621076614</v>
      </c>
      <c r="AS833">
        <v>239.01820496860699</v>
      </c>
      <c r="AT833" t="e">
        <v>#DIV/0!</v>
      </c>
      <c r="AU833" t="e">
        <v>#DIV/0!</v>
      </c>
      <c r="AV833"/>
      <c r="AW833"/>
      <c r="FY833" s="212">
        <v>828</v>
      </c>
      <c r="FZ833">
        <v>1.273472532445947</v>
      </c>
      <c r="GA833">
        <v>8.4538061389019408</v>
      </c>
      <c r="GB833">
        <v>8.4295672186090709</v>
      </c>
      <c r="GC833">
        <v>3.5906292549182663</v>
      </c>
      <c r="GD833">
        <v>1.0160653851334578</v>
      </c>
      <c r="GE833">
        <v>0.35947809610506914</v>
      </c>
      <c r="GF833">
        <v>0</v>
      </c>
      <c r="GG833">
        <v>1.9879868987806626</v>
      </c>
      <c r="GH833">
        <v>1.6229601285312325</v>
      </c>
      <c r="GI833">
        <v>5.0385972983018856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6.4583333333333313</v>
      </c>
      <c r="AO834">
        <v>25.770261246441141</v>
      </c>
      <c r="AP834">
        <v>322.70727667571373</v>
      </c>
      <c r="AQ834">
        <v>48.647653395426715</v>
      </c>
      <c r="AR834">
        <v>23.495470768238985</v>
      </c>
      <c r="AS834">
        <v>167.32284567662927</v>
      </c>
      <c r="AT834" t="e">
        <v>#DIV/0!</v>
      </c>
      <c r="AU834" t="e">
        <v>#DIV/0!</v>
      </c>
      <c r="AV834"/>
      <c r="AW834"/>
      <c r="FY834" s="212">
        <v>829</v>
      </c>
      <c r="FZ834">
        <v>1.6353950055333373</v>
      </c>
      <c r="GA834">
        <v>21.001620679798805</v>
      </c>
      <c r="GB834">
        <v>18.073382975114658</v>
      </c>
      <c r="GC834">
        <v>6.331781863754351</v>
      </c>
      <c r="GD834">
        <v>1.9281103837148561</v>
      </c>
      <c r="GE834">
        <v>1.0784342883152076</v>
      </c>
      <c r="GF834">
        <v>0</v>
      </c>
      <c r="GG834">
        <v>1.4097971424648157</v>
      </c>
      <c r="GH834">
        <v>1.6229601285312325</v>
      </c>
      <c r="GI834">
        <v>11.365010538287196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6.21875</v>
      </c>
      <c r="AO835">
        <v>21.179220436905478</v>
      </c>
      <c r="AP835">
        <v>272.1145247581976</v>
      </c>
      <c r="AQ835">
        <v>49.000012715116881</v>
      </c>
      <c r="AR835">
        <v>19.253836760823162</v>
      </c>
      <c r="AS835">
        <v>173.39457427082249</v>
      </c>
      <c r="AT835" t="e">
        <v>#DIV/0!</v>
      </c>
      <c r="AU835" t="e">
        <v>#DIV/0!</v>
      </c>
      <c r="AV835"/>
      <c r="AW835"/>
      <c r="FY835" s="212">
        <v>830</v>
      </c>
      <c r="FZ835">
        <v>2.20513128346016</v>
      </c>
      <c r="GA835">
        <v>21.1018879750299</v>
      </c>
      <c r="GB835">
        <v>14.338540932727721</v>
      </c>
      <c r="GC835">
        <v>4.3142768173169221</v>
      </c>
      <c r="GD835">
        <v>1.3421399008028341</v>
      </c>
      <c r="GE835">
        <v>0.35947809610506914</v>
      </c>
      <c r="GF835">
        <v>2.4041450295894737</v>
      </c>
      <c r="GG835">
        <v>9.8961278951727252</v>
      </c>
      <c r="GH835">
        <v>3.245920257062465</v>
      </c>
      <c r="GI835">
        <v>11.847126968826423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11.341360294117646</v>
      </c>
      <c r="AO836">
        <v>33.213812890201012</v>
      </c>
      <c r="AP836">
        <v>763.29615988659634</v>
      </c>
      <c r="AQ836">
        <v>67.772254967199629</v>
      </c>
      <c r="AR836">
        <v>30.228355626828979</v>
      </c>
      <c r="AS836">
        <v>160.67570529297029</v>
      </c>
      <c r="AT836" t="e">
        <v>#DIV/0!</v>
      </c>
      <c r="AU836" t="e">
        <v>#DIV/0!</v>
      </c>
      <c r="AV836"/>
      <c r="AW836"/>
      <c r="FY836" s="212">
        <v>831</v>
      </c>
      <c r="FZ836">
        <v>1.10256564173008</v>
      </c>
      <c r="GA836">
        <v>20.008705547071589</v>
      </c>
      <c r="GB836">
        <v>15.595219995117171</v>
      </c>
      <c r="GC836">
        <v>4.0651574773087082</v>
      </c>
      <c r="GD836">
        <v>0.84661496191718599</v>
      </c>
      <c r="GE836">
        <v>0.35947809610506914</v>
      </c>
      <c r="GF836">
        <v>1.6027633530596492</v>
      </c>
      <c r="GG836">
        <v>6.6449882612148876</v>
      </c>
      <c r="GH836">
        <v>0</v>
      </c>
      <c r="GI836">
        <v>9.3407607934427865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9.3083333333333336</v>
      </c>
      <c r="AO837">
        <v>40.362860929748287</v>
      </c>
      <c r="AP837">
        <v>758.51049280176164</v>
      </c>
      <c r="AQ837">
        <v>63.703451533993956</v>
      </c>
      <c r="AR837">
        <v>36.727490208235601</v>
      </c>
      <c r="AS837">
        <v>205.96327176573439</v>
      </c>
      <c r="AT837" t="e">
        <v>#DIV/0!</v>
      </c>
      <c r="AU837" t="e">
        <v>#DIV/0!</v>
      </c>
      <c r="AV837"/>
      <c r="AW837"/>
      <c r="FY837" s="212">
        <v>832</v>
      </c>
      <c r="FZ837">
        <v>1.4443794231618146</v>
      </c>
      <c r="GA837">
        <v>22.522654113126958</v>
      </c>
      <c r="GB837">
        <v>14.013192403062313</v>
      </c>
      <c r="GC837">
        <v>3.1618794253954845</v>
      </c>
      <c r="GD837">
        <v>0.61709411311470741</v>
      </c>
      <c r="GE837">
        <v>0</v>
      </c>
      <c r="GF837">
        <v>1.6027633530596492</v>
      </c>
      <c r="GG837">
        <v>6.8984058910480091</v>
      </c>
      <c r="GH837">
        <v>1.6229601285312325</v>
      </c>
      <c r="GI837">
        <v>12.842294231576242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14.213970588235293</v>
      </c>
      <c r="AO838">
        <v>51.78285368700157</v>
      </c>
      <c r="AP838">
        <v>672.87497754375806</v>
      </c>
      <c r="AQ838">
        <v>60.356293132705439</v>
      </c>
      <c r="AR838">
        <v>47.075321533637791</v>
      </c>
      <c r="AS838">
        <v>226.13166162427487</v>
      </c>
      <c r="AT838" t="e">
        <v>#DIV/0!</v>
      </c>
      <c r="AU838" t="e">
        <v>#DIV/0!</v>
      </c>
      <c r="AV838"/>
      <c r="AW838"/>
      <c r="FY838" s="212">
        <v>833</v>
      </c>
      <c r="FZ838">
        <v>1.0824569500744243</v>
      </c>
      <c r="GA838">
        <v>25.877305403930219</v>
      </c>
      <c r="GB838">
        <v>14.153016067065918</v>
      </c>
      <c r="GC838">
        <v>2.4352743043361587</v>
      </c>
      <c r="GD838">
        <v>0.7267083096548318</v>
      </c>
      <c r="GE838">
        <v>0.35947809610506914</v>
      </c>
      <c r="GF838">
        <v>0.80138167652982462</v>
      </c>
      <c r="GG838">
        <v>3.5759117604405652</v>
      </c>
      <c r="GH838">
        <v>1.6229601285312325</v>
      </c>
      <c r="GI838">
        <v>9.2847476018604009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7.354166666666667</v>
      </c>
      <c r="AO839">
        <v>38.344260035308352</v>
      </c>
      <c r="AP839">
        <v>889.44180431468681</v>
      </c>
      <c r="AQ839">
        <v>55.925762579038576</v>
      </c>
      <c r="AR839">
        <v>34.858418213916678</v>
      </c>
      <c r="AS839">
        <v>307.08649668281151</v>
      </c>
      <c r="AT839" t="e">
        <v>#DIV/0!</v>
      </c>
      <c r="AU839" t="e">
        <v>#DIV/0!</v>
      </c>
      <c r="AV839"/>
      <c r="AW839"/>
      <c r="FY839" s="212">
        <v>834</v>
      </c>
      <c r="FZ839">
        <v>0.91155005935855693</v>
      </c>
      <c r="GA839">
        <v>16.640414885760297</v>
      </c>
      <c r="GB839">
        <v>18.621819099891486</v>
      </c>
      <c r="GC839">
        <v>5.9074062882509271</v>
      </c>
      <c r="GD839">
        <v>0.98481741183204319</v>
      </c>
      <c r="GE839">
        <v>1.4379123844202766</v>
      </c>
      <c r="GF839">
        <v>0.80138167652982462</v>
      </c>
      <c r="GG839">
        <v>4.9857089029053814</v>
      </c>
      <c r="GH839">
        <v>3.245920257062465</v>
      </c>
      <c r="GI839">
        <v>9.5335146861494344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9.8799019607843146</v>
      </c>
      <c r="AO840">
        <v>43.467388813351782</v>
      </c>
      <c r="AP840">
        <v>470.62868966428772</v>
      </c>
      <c r="AQ840">
        <v>43.133300304706481</v>
      </c>
      <c r="AR840">
        <v>39.549788284238765</v>
      </c>
      <c r="AS840">
        <v>230.85127765725952</v>
      </c>
      <c r="AT840" t="e">
        <v>#DIV/0!</v>
      </c>
      <c r="AU840" t="e">
        <v>#DIV/0!</v>
      </c>
      <c r="AV840"/>
      <c r="AW840"/>
      <c r="FY840" s="212">
        <v>835</v>
      </c>
      <c r="FZ840">
        <v>1.7861932045935491</v>
      </c>
      <c r="GA840">
        <v>8.3598649926889141</v>
      </c>
      <c r="GB840">
        <v>12.441836927579011</v>
      </c>
      <c r="GC840">
        <v>5.0796680702822821</v>
      </c>
      <c r="GD840">
        <v>0.70741313471090805</v>
      </c>
      <c r="GE840">
        <v>0.71895619221013829</v>
      </c>
      <c r="GF840">
        <v>1.6027633530596492</v>
      </c>
      <c r="GG840">
        <v>7.1518235208811305</v>
      </c>
      <c r="GH840">
        <v>3.245920257062465</v>
      </c>
      <c r="GI840">
        <v>11.920562237770396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18.911887254901963</v>
      </c>
      <c r="AO841">
        <v>42.472455935713995</v>
      </c>
      <c r="AP841">
        <v>1045.0450575546101</v>
      </c>
      <c r="AQ841">
        <v>102.54880308739642</v>
      </c>
      <c r="AR841">
        <v>38.611323577921809</v>
      </c>
      <c r="AS841">
        <v>221.74654231156174</v>
      </c>
      <c r="AT841" t="e">
        <v>#DIV/0!</v>
      </c>
      <c r="AU841" t="e">
        <v>#DIV/0!</v>
      </c>
      <c r="AV841"/>
      <c r="AW841"/>
      <c r="FY841" s="212">
        <v>836</v>
      </c>
      <c r="FZ841">
        <v>0.70373625451912492</v>
      </c>
      <c r="GA841">
        <v>26.663274659489755</v>
      </c>
      <c r="GB841">
        <v>24.749707274074066</v>
      </c>
      <c r="GC841">
        <v>8.1325538416424994</v>
      </c>
      <c r="GD841">
        <v>1.7115403604158965</v>
      </c>
      <c r="GE841">
        <v>0.71895619221013829</v>
      </c>
      <c r="GF841">
        <v>0</v>
      </c>
      <c r="GG841">
        <v>1.6632147722979369</v>
      </c>
      <c r="GH841">
        <v>3.245920257062465</v>
      </c>
      <c r="GI841">
        <v>11.020449535640589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7.9871936274509796</v>
      </c>
      <c r="AO842">
        <v>18.054636174909547</v>
      </c>
      <c r="AP842">
        <v>484.84149542063307</v>
      </c>
      <c r="AQ842">
        <v>44.576424563161446</v>
      </c>
      <c r="AR842">
        <v>16.447285885654924</v>
      </c>
      <c r="AS842">
        <v>93.096654003408943</v>
      </c>
      <c r="AT842" t="e">
        <v>#DIV/0!</v>
      </c>
      <c r="AU842" t="e">
        <v>#DIV/0!</v>
      </c>
      <c r="AV842"/>
      <c r="AW842"/>
      <c r="FY842" s="212">
        <v>837</v>
      </c>
      <c r="FZ842">
        <v>0.53282936380325752</v>
      </c>
      <c r="GA842">
        <v>16.787460996752994</v>
      </c>
      <c r="GB842">
        <v>15.301616646773846</v>
      </c>
      <c r="GC842">
        <v>4.5192583989581463</v>
      </c>
      <c r="GD842">
        <v>0.78817237820522845</v>
      </c>
      <c r="GE842">
        <v>0.35947809610506914</v>
      </c>
      <c r="GF842">
        <v>0.80138167652982462</v>
      </c>
      <c r="GG842">
        <v>4.9857089029053814</v>
      </c>
      <c r="GH842">
        <v>3.245920257062465</v>
      </c>
      <c r="GI842">
        <v>8.3762180023914841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11.49031862745098</v>
      </c>
      <c r="AO843">
        <v>44.465738734950364</v>
      </c>
      <c r="AP843">
        <v>1501.9347491734352</v>
      </c>
      <c r="AQ843">
        <v>65.789728900397648</v>
      </c>
      <c r="AR843">
        <v>40.423398849954864</v>
      </c>
      <c r="AS843">
        <v>219.22462866449328</v>
      </c>
      <c r="AT843" t="e">
        <v>#DIV/0!</v>
      </c>
      <c r="AU843" t="e">
        <v>#DIV/0!</v>
      </c>
      <c r="AV843"/>
      <c r="AW843"/>
      <c r="FY843" s="212">
        <v>838</v>
      </c>
      <c r="FZ843">
        <v>2.3760381741760268</v>
      </c>
      <c r="GA843">
        <v>21.06995844372404</v>
      </c>
      <c r="GB843">
        <v>20.557667680170006</v>
      </c>
      <c r="GC843">
        <v>6.7128175467710092</v>
      </c>
      <c r="GD843">
        <v>0.87482681145114038</v>
      </c>
      <c r="GE843">
        <v>0.35947809610506914</v>
      </c>
      <c r="GF843">
        <v>2.4041450295894737</v>
      </c>
      <c r="GG843">
        <v>8.2329131228747894</v>
      </c>
      <c r="GH843">
        <v>0</v>
      </c>
      <c r="GI843">
        <v>14.827040054324586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7.0361519607843137</v>
      </c>
      <c r="AO844">
        <v>22.189520731054369</v>
      </c>
      <c r="AP844">
        <v>559.05758156872992</v>
      </c>
      <c r="AQ844">
        <v>31.772562951727529</v>
      </c>
      <c r="AR844">
        <v>20.206271845786581</v>
      </c>
      <c r="AS844">
        <v>96.141091049529038</v>
      </c>
      <c r="AT844" t="e">
        <v>#DIV/0!</v>
      </c>
      <c r="AU844" t="e">
        <v>#DIV/0!</v>
      </c>
      <c r="AV844"/>
      <c r="AW844"/>
      <c r="FY844" s="212">
        <v>839</v>
      </c>
      <c r="FZ844">
        <v>1.10256564173008</v>
      </c>
      <c r="GA844">
        <v>18.717820135429697</v>
      </c>
      <c r="GB844">
        <v>12.224321542539624</v>
      </c>
      <c r="GC844">
        <v>3.017760457594393</v>
      </c>
      <c r="GD844">
        <v>0.65075523673294011</v>
      </c>
      <c r="GE844">
        <v>0</v>
      </c>
      <c r="GF844">
        <v>0</v>
      </c>
      <c r="GG844">
        <v>1.1563795126316943</v>
      </c>
      <c r="GH844">
        <v>0</v>
      </c>
      <c r="GI844">
        <v>8.0924785888571087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11.598651960784313</v>
      </c>
      <c r="AO845">
        <v>38.238541594095764</v>
      </c>
      <c r="AP845">
        <v>431.93819272546949</v>
      </c>
      <c r="AQ845">
        <v>64.446493005514469</v>
      </c>
      <c r="AR845">
        <v>34.83027108428864</v>
      </c>
      <c r="AS845">
        <v>247.28552420237597</v>
      </c>
      <c r="AT845" t="e">
        <v>#DIV/0!</v>
      </c>
      <c r="AU845" t="e">
        <v>#DIV/0!</v>
      </c>
      <c r="AV845"/>
      <c r="AW845"/>
      <c r="FY845" s="212">
        <v>840</v>
      </c>
      <c r="FZ845">
        <v>1.6521932280012464</v>
      </c>
      <c r="GA845">
        <v>10.604199942786378</v>
      </c>
      <c r="GB845">
        <v>8.1231179571773549</v>
      </c>
      <c r="GC845">
        <v>2.6758918047643361</v>
      </c>
      <c r="GD845">
        <v>0.55052016325528808</v>
      </c>
      <c r="GE845">
        <v>0.35947809610506914</v>
      </c>
      <c r="GF845">
        <v>0</v>
      </c>
      <c r="GG845">
        <v>1.4097971424648157</v>
      </c>
      <c r="GH845">
        <v>1.6229601285312325</v>
      </c>
      <c r="GI845">
        <v>4.4836350389654527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12.769178921568628</v>
      </c>
      <c r="AO846">
        <v>28.402356737511127</v>
      </c>
      <c r="AP846">
        <v>688.94955267083503</v>
      </c>
      <c r="AQ846">
        <v>71.054775156093697</v>
      </c>
      <c r="AR846">
        <v>25.888284851029884</v>
      </c>
      <c r="AS846">
        <v>174.70630469787187</v>
      </c>
      <c r="AT846" t="e">
        <v>#DIV/0!</v>
      </c>
      <c r="AU846" t="e">
        <v>#DIV/0!</v>
      </c>
      <c r="AV846"/>
      <c r="AW846"/>
      <c r="FY846" s="212">
        <v>841</v>
      </c>
      <c r="FZ846">
        <v>1.8432088103727695</v>
      </c>
      <c r="GA846">
        <v>28.647207415323358</v>
      </c>
      <c r="GB846">
        <v>18.459649959054467</v>
      </c>
      <c r="GC846">
        <v>3.8527011425026041</v>
      </c>
      <c r="GD846">
        <v>0.68961679659636999</v>
      </c>
      <c r="GE846">
        <v>0.35947809610506914</v>
      </c>
      <c r="GF846">
        <v>0</v>
      </c>
      <c r="GG846">
        <v>0</v>
      </c>
      <c r="GH846">
        <v>0</v>
      </c>
      <c r="GI846">
        <v>9.0253336625663998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8.3444852941176464</v>
      </c>
      <c r="AO847">
        <v>34.557480249754704</v>
      </c>
      <c r="AP847">
        <v>982.55127028076708</v>
      </c>
      <c r="AQ847">
        <v>59.566254126967124</v>
      </c>
      <c r="AR847">
        <v>31.449871408241435</v>
      </c>
      <c r="AS847">
        <v>186.2194447030337</v>
      </c>
      <c r="AT847" t="e">
        <v>#DIV/0!</v>
      </c>
      <c r="AU847" t="e">
        <v>#DIV/0!</v>
      </c>
      <c r="AV847"/>
      <c r="AW847"/>
      <c r="FY847" s="212">
        <v>842</v>
      </c>
      <c r="FZ847">
        <v>0.3418137814317348</v>
      </c>
      <c r="GA847">
        <v>22.391698672327756</v>
      </c>
      <c r="GB847">
        <v>17.344184169501464</v>
      </c>
      <c r="GC847">
        <v>4.8476077630507737</v>
      </c>
      <c r="GD847">
        <v>1.3003665602706729</v>
      </c>
      <c r="GE847">
        <v>0.71895619221013829</v>
      </c>
      <c r="GF847">
        <v>0</v>
      </c>
      <c r="GG847">
        <v>0</v>
      </c>
      <c r="GH847">
        <v>0</v>
      </c>
      <c r="GI847">
        <v>9.0210076260067886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11.542401960784312</v>
      </c>
      <c r="AO848">
        <v>41.013171078902182</v>
      </c>
      <c r="AP848">
        <v>806.07678767122229</v>
      </c>
      <c r="AQ848">
        <v>64.72562308207641</v>
      </c>
      <c r="AR848">
        <v>37.318681252920967</v>
      </c>
      <c r="AS848">
        <v>189.1799723710667</v>
      </c>
      <c r="AT848" t="e">
        <v>#DIV/0!</v>
      </c>
      <c r="AU848" t="e">
        <v>#DIV/0!</v>
      </c>
      <c r="AV848"/>
      <c r="AW848"/>
      <c r="FY848" s="212">
        <v>843</v>
      </c>
      <c r="FZ848">
        <v>2.5838519790154595</v>
      </c>
      <c r="GA848">
        <v>8.4966571300168461</v>
      </c>
      <c r="GB848">
        <v>14.04910277871188</v>
      </c>
      <c r="GC848">
        <v>7.1191565919729891</v>
      </c>
      <c r="GD848">
        <v>1.3228423948858432</v>
      </c>
      <c r="GE848">
        <v>0</v>
      </c>
      <c r="GF848">
        <v>0.80138167652982462</v>
      </c>
      <c r="GG848">
        <v>5.2391265327385028</v>
      </c>
      <c r="GH848">
        <v>4.8688803855936991</v>
      </c>
      <c r="GI848">
        <v>10.047957593514376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9.63302696078431</v>
      </c>
      <c r="AO849">
        <v>38.959860718785919</v>
      </c>
      <c r="AP849">
        <v>492.70678211104496</v>
      </c>
      <c r="AQ849">
        <v>59.919240298528649</v>
      </c>
      <c r="AR849">
        <v>35.41805519889629</v>
      </c>
      <c r="AS849">
        <v>156.46252518195132</v>
      </c>
      <c r="AT849" t="e">
        <v>#DIV/0!</v>
      </c>
      <c r="AU849" t="e">
        <v>#DIV/0!</v>
      </c>
      <c r="AV849"/>
      <c r="AW849"/>
      <c r="FY849" s="212">
        <v>844</v>
      </c>
      <c r="FZ849">
        <v>1.8432088103727695</v>
      </c>
      <c r="GA849">
        <v>26.638857183440887</v>
      </c>
      <c r="GB849">
        <v>19.049017265016907</v>
      </c>
      <c r="GC849">
        <v>5.2641541141478365</v>
      </c>
      <c r="GD849">
        <v>1.1654353249632372</v>
      </c>
      <c r="GE849">
        <v>0</v>
      </c>
      <c r="GF849">
        <v>1.6027633530596492</v>
      </c>
      <c r="GG849">
        <v>6.8984058910480091</v>
      </c>
      <c r="GH849">
        <v>1.6229601285312325</v>
      </c>
      <c r="GI849">
        <v>9.4723607265870449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10.11219362745098</v>
      </c>
      <c r="AO850">
        <v>26.191533299484139</v>
      </c>
      <c r="AP850">
        <v>539.96527168490115</v>
      </c>
      <c r="AQ850">
        <v>63.070445652160686</v>
      </c>
      <c r="AR850">
        <v>23.810484817712847</v>
      </c>
      <c r="AS850">
        <v>128.60987582023375</v>
      </c>
      <c r="AT850" t="e">
        <v>#DIV/0!</v>
      </c>
      <c r="AU850" t="e">
        <v>#DIV/0!</v>
      </c>
      <c r="AV850"/>
      <c r="AW850"/>
      <c r="FY850" s="212">
        <v>845</v>
      </c>
      <c r="FZ850">
        <v>0.53282936380325752</v>
      </c>
      <c r="GA850">
        <v>7.9648139816193595</v>
      </c>
      <c r="GB850">
        <v>12.96685526165127</v>
      </c>
      <c r="GC850">
        <v>6.2778802358293246</v>
      </c>
      <c r="GD850">
        <v>1.4324565914259675</v>
      </c>
      <c r="GE850">
        <v>0.35947809610506914</v>
      </c>
      <c r="GF850">
        <v>0</v>
      </c>
      <c r="GG850">
        <v>2.241404528613784</v>
      </c>
      <c r="GH850">
        <v>3.245920257062465</v>
      </c>
      <c r="GI850">
        <v>7.2526458120544266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11.011151960784316</v>
      </c>
      <c r="AO851">
        <v>40.886500989036598</v>
      </c>
      <c r="AP851">
        <v>474.40109601681456</v>
      </c>
      <c r="AQ851">
        <v>53.015001890838448</v>
      </c>
      <c r="AR851">
        <v>37.203526625770422</v>
      </c>
      <c r="AS851">
        <v>176.4957645545924</v>
      </c>
      <c r="AT851" t="e">
        <v>#DIV/0!</v>
      </c>
      <c r="AU851" t="e">
        <v>#DIV/0!</v>
      </c>
      <c r="AV851"/>
      <c r="AW851"/>
      <c r="FY851" s="212">
        <v>846</v>
      </c>
      <c r="FZ851">
        <v>2.20513128346016</v>
      </c>
      <c r="GA851">
        <v>25.093096248401938</v>
      </c>
      <c r="GB851">
        <v>17.866425920211569</v>
      </c>
      <c r="GC851">
        <v>4.7845859896243814</v>
      </c>
      <c r="GD851">
        <v>1.0586431833417209</v>
      </c>
      <c r="GE851">
        <v>0.71895619221013829</v>
      </c>
      <c r="GF851">
        <v>0.80138167652982462</v>
      </c>
      <c r="GG851">
        <v>3.9006838869232907</v>
      </c>
      <c r="GH851">
        <v>0</v>
      </c>
      <c r="GI851">
        <v>12.826070534703238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9.4166666666666679</v>
      </c>
      <c r="AO852">
        <v>26.417568494733633</v>
      </c>
      <c r="AP852">
        <v>225.39085848780712</v>
      </c>
      <c r="AQ852">
        <v>78.609353147352465</v>
      </c>
      <c r="AR852">
        <v>24.049951630949547</v>
      </c>
      <c r="AS852">
        <v>148.46924024692393</v>
      </c>
      <c r="AT852" t="e">
        <v>#DIV/0!</v>
      </c>
      <c r="AU852" t="e">
        <v>#DIV/0!</v>
      </c>
      <c r="AV852"/>
      <c r="AW852"/>
      <c r="FY852" s="212">
        <v>847</v>
      </c>
      <c r="FZ852">
        <v>1.4812863372853795</v>
      </c>
      <c r="GA852">
        <v>29.475477079529835</v>
      </c>
      <c r="GB852">
        <v>23.424399876590027</v>
      </c>
      <c r="GC852">
        <v>6.4688831566828924</v>
      </c>
      <c r="GD852">
        <v>0.8359652515877104</v>
      </c>
      <c r="GE852">
        <v>0</v>
      </c>
      <c r="GF852">
        <v>0.80138167652982462</v>
      </c>
      <c r="GG852">
        <v>4.1541015167564126</v>
      </c>
      <c r="GH852">
        <v>1.6229601285312325</v>
      </c>
      <c r="GI852">
        <v>14.020482144253219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6.6281249999999998</v>
      </c>
      <c r="AO853">
        <v>36.551602347693056</v>
      </c>
      <c r="AP853">
        <v>650.48046866968036</v>
      </c>
      <c r="AQ853">
        <v>55.698044719487697</v>
      </c>
      <c r="AR853">
        <v>33.262709679094478</v>
      </c>
      <c r="AS853">
        <v>162.96036655900477</v>
      </c>
      <c r="AT853" t="e">
        <v>#DIV/0!</v>
      </c>
      <c r="AU853" t="e">
        <v>#DIV/0!</v>
      </c>
      <c r="AV853"/>
      <c r="AW853"/>
      <c r="FY853" s="212">
        <v>848</v>
      </c>
      <c r="FZ853">
        <v>1.8063018962492048</v>
      </c>
      <c r="GA853">
        <v>21.051117700458235</v>
      </c>
      <c r="GB853">
        <v>18.435601894208425</v>
      </c>
      <c r="GC853">
        <v>6.8715792397283142</v>
      </c>
      <c r="GD853">
        <v>1.7711077080895286</v>
      </c>
      <c r="GE853">
        <v>0</v>
      </c>
      <c r="GF853">
        <v>0.80138167652982462</v>
      </c>
      <c r="GG853">
        <v>3.5759117604405652</v>
      </c>
      <c r="GH853">
        <v>1.6229601285312325</v>
      </c>
      <c r="GI853">
        <v>9.8708921046403102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15.508762254901962</v>
      </c>
      <c r="AO854">
        <v>37.969106773269033</v>
      </c>
      <c r="AP854">
        <v>755.16237797036126</v>
      </c>
      <c r="AQ854">
        <v>77.414884959186153</v>
      </c>
      <c r="AR854">
        <v>34.585330338082528</v>
      </c>
      <c r="AS854">
        <v>191.83795722294923</v>
      </c>
      <c r="AT854" t="e">
        <v>#DIV/0!</v>
      </c>
      <c r="AU854" t="e">
        <v>#DIV/0!</v>
      </c>
      <c r="AV854"/>
      <c r="AW854"/>
      <c r="FY854" s="212">
        <v>849</v>
      </c>
      <c r="FZ854">
        <v>0.70373625451912492</v>
      </c>
      <c r="GA854">
        <v>19.707818523690882</v>
      </c>
      <c r="GB854">
        <v>14.533579243403578</v>
      </c>
      <c r="GC854">
        <v>3.5855716576454477</v>
      </c>
      <c r="GD854">
        <v>0.76036943327306439</v>
      </c>
      <c r="GE854">
        <v>0.35947809610506914</v>
      </c>
      <c r="GF854">
        <v>1.6027633530596492</v>
      </c>
      <c r="GG854">
        <v>7.1518235208811305</v>
      </c>
      <c r="GH854">
        <v>3.245920257062465</v>
      </c>
      <c r="GI854">
        <v>7.877234381959985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8.6403186274509789</v>
      </c>
      <c r="AO855">
        <v>29.752136904738279</v>
      </c>
      <c r="AP855">
        <v>622.51535086948968</v>
      </c>
      <c r="AQ855">
        <v>44.962081115515531</v>
      </c>
      <c r="AR855">
        <v>27.081377458226502</v>
      </c>
      <c r="AS855">
        <v>216.31757920751591</v>
      </c>
      <c r="AT855" t="e">
        <v>#DIV/0!</v>
      </c>
      <c r="AU855" t="e">
        <v>#DIV/0!</v>
      </c>
      <c r="AV855"/>
      <c r="AW855"/>
      <c r="FY855" s="212">
        <v>850</v>
      </c>
      <c r="FZ855">
        <v>1.10256564173008</v>
      </c>
      <c r="GA855">
        <v>15.954879596825581</v>
      </c>
      <c r="GB855">
        <v>13.48212884415225</v>
      </c>
      <c r="GC855">
        <v>5.0630298195736581</v>
      </c>
      <c r="GD855">
        <v>1.8789563681291961</v>
      </c>
      <c r="GE855">
        <v>1.0784342883152076</v>
      </c>
      <c r="GF855">
        <v>0</v>
      </c>
      <c r="GG855">
        <v>0</v>
      </c>
      <c r="GH855">
        <v>0</v>
      </c>
      <c r="GI855">
        <v>8.7703326304549805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8.8431372549019578</v>
      </c>
      <c r="AO856">
        <v>16.059207227543979</v>
      </c>
      <c r="AP856">
        <v>347.29649866146406</v>
      </c>
      <c r="AQ856">
        <v>31.481793502051175</v>
      </c>
      <c r="AR856">
        <v>14.599279297767257</v>
      </c>
      <c r="AS856">
        <v>78.169678773134621</v>
      </c>
      <c r="AT856" t="e">
        <v>#DIV/0!</v>
      </c>
      <c r="AU856" t="e">
        <v>#DIV/0!</v>
      </c>
      <c r="AV856"/>
      <c r="AW856"/>
      <c r="FY856" s="212">
        <v>851</v>
      </c>
      <c r="FZ856">
        <v>0</v>
      </c>
      <c r="GA856">
        <v>19.968771300422709</v>
      </c>
      <c r="GB856">
        <v>13.457317349685638</v>
      </c>
      <c r="GC856">
        <v>2.8889938041478977</v>
      </c>
      <c r="GD856">
        <v>0.28569481810140473</v>
      </c>
      <c r="GE856">
        <v>0</v>
      </c>
      <c r="GF856">
        <v>0.80138167652982462</v>
      </c>
      <c r="GG856">
        <v>4.9857089029053814</v>
      </c>
      <c r="GH856">
        <v>3.245920257062465</v>
      </c>
      <c r="GI856">
        <v>10.357478472111859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11.791053921568626</v>
      </c>
      <c r="AO857">
        <v>30.794248246686408</v>
      </c>
      <c r="AP857">
        <v>258.26969129449003</v>
      </c>
      <c r="AQ857">
        <v>62.877195882521036</v>
      </c>
      <c r="AR857">
        <v>28.02875140545207</v>
      </c>
      <c r="AS857">
        <v>158.57640054267634</v>
      </c>
      <c r="AT857" t="e">
        <v>#DIV/0!</v>
      </c>
      <c r="AU857" t="e">
        <v>#DIV/0!</v>
      </c>
      <c r="AV857"/>
      <c r="AW857"/>
      <c r="FY857" s="212">
        <v>852</v>
      </c>
      <c r="FZ857">
        <v>1.8063018962492046</v>
      </c>
      <c r="GA857">
        <v>20.953767149693164</v>
      </c>
      <c r="GB857">
        <v>16.81636922472228</v>
      </c>
      <c r="GC857">
        <v>6.1193291152627021</v>
      </c>
      <c r="GD857">
        <v>1.6650505750614299</v>
      </c>
      <c r="GE857">
        <v>0</v>
      </c>
      <c r="GF857">
        <v>0.80138167652982462</v>
      </c>
      <c r="GG857">
        <v>4.7322912730722599</v>
      </c>
      <c r="GH857">
        <v>1.6229601285312325</v>
      </c>
      <c r="GI857">
        <v>12.55113520229353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7.1458333333333339</v>
      </c>
      <c r="AO858">
        <v>18.597411412673626</v>
      </c>
      <c r="AP858">
        <v>116.49941055030649</v>
      </c>
      <c r="AQ858">
        <v>55.965634764799333</v>
      </c>
      <c r="AR858">
        <v>16.906737647885112</v>
      </c>
      <c r="AS858">
        <v>149.67859337648898</v>
      </c>
      <c r="AT858" t="e">
        <v>#DIV/0!</v>
      </c>
      <c r="AU858" t="e">
        <v>#DIV/0!</v>
      </c>
      <c r="AV858"/>
      <c r="AW858"/>
      <c r="FY858" s="212">
        <v>853</v>
      </c>
      <c r="FZ858">
        <v>0.72384494617478023</v>
      </c>
      <c r="GA858">
        <v>19.73509726470694</v>
      </c>
      <c r="GB858">
        <v>14.785353086966516</v>
      </c>
      <c r="GC858">
        <v>3.8680863895594615</v>
      </c>
      <c r="GD858">
        <v>1.0498710446554769</v>
      </c>
      <c r="GE858">
        <v>1.0784342883152076</v>
      </c>
      <c r="GF858">
        <v>0.80138167652982462</v>
      </c>
      <c r="GG858">
        <v>4.7322912730722599</v>
      </c>
      <c r="GH858">
        <v>1.6229601285312325</v>
      </c>
      <c r="GI858">
        <v>11.382683012672475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13.726164215686273</v>
      </c>
      <c r="AO859">
        <v>21.266557098522458</v>
      </c>
      <c r="AP859">
        <v>242.49376309083297</v>
      </c>
      <c r="AQ859">
        <v>54.528957062979423</v>
      </c>
      <c r="AR859">
        <v>19.367213998030298</v>
      </c>
      <c r="AS859">
        <v>143.59715038448769</v>
      </c>
      <c r="AT859" t="e">
        <v>#DIV/0!</v>
      </c>
      <c r="AU859" t="e">
        <v>#DIV/0!</v>
      </c>
      <c r="AV859"/>
      <c r="AW859"/>
      <c r="FY859" s="212">
        <v>854</v>
      </c>
      <c r="FZ859">
        <v>0.91155005935855693</v>
      </c>
      <c r="GA859">
        <v>21.38806091355854</v>
      </c>
      <c r="GB859">
        <v>12.374529366846502</v>
      </c>
      <c r="GC859">
        <v>2.6758482716277947</v>
      </c>
      <c r="GD859">
        <v>1.2419239765587151</v>
      </c>
      <c r="GE859">
        <v>0.71895619221013829</v>
      </c>
      <c r="GF859">
        <v>0</v>
      </c>
      <c r="GG859">
        <v>1.4097971424648157</v>
      </c>
      <c r="GH859">
        <v>1.6229601285312325</v>
      </c>
      <c r="GI859">
        <v>8.6618682188535612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12.078553921568627</v>
      </c>
      <c r="AO860">
        <v>23.701824537050467</v>
      </c>
      <c r="AP860">
        <v>721.50589315435616</v>
      </c>
      <c r="AQ860">
        <v>73.557162797167564</v>
      </c>
      <c r="AR860">
        <v>21.581093487601215</v>
      </c>
      <c r="AS860">
        <v>141.85209529362072</v>
      </c>
      <c r="AT860" t="e">
        <v>#DIV/0!</v>
      </c>
      <c r="AU860" t="e">
        <v>#DIV/0!</v>
      </c>
      <c r="AV860"/>
      <c r="AW860"/>
      <c r="FY860" s="212">
        <v>855</v>
      </c>
      <c r="FZ860">
        <v>1.4812863372853795</v>
      </c>
      <c r="GA860">
        <v>17.250966381225243</v>
      </c>
      <c r="GB860">
        <v>21.138479410639636</v>
      </c>
      <c r="GC860">
        <v>7.4761697987204867</v>
      </c>
      <c r="GD860">
        <v>0.87493433628940365</v>
      </c>
      <c r="GE860">
        <v>0.71895619221013829</v>
      </c>
      <c r="GF860">
        <v>0.80138167652982462</v>
      </c>
      <c r="GG860">
        <v>4.1541015167564126</v>
      </c>
      <c r="GH860">
        <v>1.6229601285312325</v>
      </c>
      <c r="GI860">
        <v>8.7109498109328047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5.8125</v>
      </c>
      <c r="AO861">
        <v>17.051315012539824</v>
      </c>
      <c r="AP861">
        <v>287.00892526679741</v>
      </c>
      <c r="AQ861">
        <v>42.274284128164922</v>
      </c>
      <c r="AR861">
        <v>15.535175738046091</v>
      </c>
      <c r="AS861">
        <v>175.42541999132933</v>
      </c>
      <c r="AT861" t="e">
        <v>#DIV/0!</v>
      </c>
      <c r="AU861" t="e">
        <v>#DIV/0!</v>
      </c>
      <c r="AV861"/>
      <c r="AW861"/>
      <c r="FY861" s="212">
        <v>856</v>
      </c>
      <c r="FZ861">
        <v>0.72384494617478023</v>
      </c>
      <c r="GA861">
        <v>14.288276577465954</v>
      </c>
      <c r="GB861">
        <v>15.794503397517252</v>
      </c>
      <c r="GC861">
        <v>5.8245637854719723</v>
      </c>
      <c r="GD861">
        <v>1.4306910549255107</v>
      </c>
      <c r="GE861">
        <v>1.0784342883152076</v>
      </c>
      <c r="GF861">
        <v>0.80138167652982462</v>
      </c>
      <c r="GG861">
        <v>6.1420884155370761</v>
      </c>
      <c r="GH861">
        <v>3.245920257062465</v>
      </c>
      <c r="GI861">
        <v>13.212980699255017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13.273345588235291</v>
      </c>
      <c r="AO862">
        <v>32.399750223023439</v>
      </c>
      <c r="AP862">
        <v>804.97659975141244</v>
      </c>
      <c r="AQ862">
        <v>69.254974915406251</v>
      </c>
      <c r="AR862">
        <v>29.522278928768348</v>
      </c>
      <c r="AS862">
        <v>186.16091347912075</v>
      </c>
      <c r="AT862" t="e">
        <v>#DIV/0!</v>
      </c>
      <c r="AU862" t="e">
        <v>#DIV/0!</v>
      </c>
      <c r="AV862"/>
      <c r="AW862"/>
      <c r="FY862" s="212">
        <v>857</v>
      </c>
      <c r="FZ862">
        <v>0.3418137814317348</v>
      </c>
      <c r="GA862">
        <v>18.416933112048991</v>
      </c>
      <c r="GB862">
        <v>25.163930228865915</v>
      </c>
      <c r="GC862">
        <v>8.997468428227533</v>
      </c>
      <c r="GD862">
        <v>0.92981985648933618</v>
      </c>
      <c r="GE862">
        <v>0.35947809610506914</v>
      </c>
      <c r="GF862">
        <v>0.80138167652982462</v>
      </c>
      <c r="GG862">
        <v>5.8173162890543502</v>
      </c>
      <c r="GH862">
        <v>4.8688803855936991</v>
      </c>
      <c r="GI862">
        <v>10.43691789862709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14.637928921568626</v>
      </c>
      <c r="AO863">
        <v>36.947650030131754</v>
      </c>
      <c r="AP863">
        <v>611.47425139446364</v>
      </c>
      <c r="AQ863">
        <v>82.284937167746534</v>
      </c>
      <c r="AR863">
        <v>33.588772754665236</v>
      </c>
      <c r="AS863">
        <v>180.35771503663366</v>
      </c>
      <c r="AT863" t="e">
        <v>#DIV/0!</v>
      </c>
      <c r="AU863" t="e">
        <v>#DIV/0!</v>
      </c>
      <c r="AV863"/>
      <c r="AW863"/>
      <c r="FY863" s="212">
        <v>858</v>
      </c>
      <c r="FZ863">
        <v>1.10256564173008</v>
      </c>
      <c r="GA863">
        <v>18.73611029622753</v>
      </c>
      <c r="GB863">
        <v>14.119510477009863</v>
      </c>
      <c r="GC863">
        <v>3.818429410946921</v>
      </c>
      <c r="GD863">
        <v>0.99677021018953416</v>
      </c>
      <c r="GE863">
        <v>0.71895619221013829</v>
      </c>
      <c r="GF863">
        <v>0</v>
      </c>
      <c r="GG863">
        <v>1.4097971424648157</v>
      </c>
      <c r="GH863">
        <v>1.6229601285312325</v>
      </c>
      <c r="GI863">
        <v>9.0610974757501506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10.47677696078431</v>
      </c>
      <c r="AO864">
        <v>24.552299180081739</v>
      </c>
      <c r="AP864">
        <v>305.6921729995625</v>
      </c>
      <c r="AQ864">
        <v>65.806854108875626</v>
      </c>
      <c r="AR864">
        <v>22.388232526094072</v>
      </c>
      <c r="AS864">
        <v>142.01409634893633</v>
      </c>
      <c r="AT864" t="e">
        <v>#DIV/0!</v>
      </c>
      <c r="AU864" t="e">
        <v>#DIV/0!</v>
      </c>
      <c r="AV864"/>
      <c r="AW864"/>
      <c r="FY864" s="212">
        <v>859</v>
      </c>
      <c r="FZ864">
        <v>0.53282936380325752</v>
      </c>
      <c r="GA864">
        <v>14.084771973024793</v>
      </c>
      <c r="GB864">
        <v>10.836726891216774</v>
      </c>
      <c r="GC864">
        <v>3.6727347722177353</v>
      </c>
      <c r="GD864">
        <v>1.1094575415626418</v>
      </c>
      <c r="GE864">
        <v>0.35947809610506914</v>
      </c>
      <c r="GF864">
        <v>1.6027633530596492</v>
      </c>
      <c r="GG864">
        <v>6.8984058910480091</v>
      </c>
      <c r="GH864">
        <v>1.6229601285312325</v>
      </c>
      <c r="GI864">
        <v>15.034494326520907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5.8916666666666639</v>
      </c>
      <c r="AO865">
        <v>21.595927999874682</v>
      </c>
      <c r="AP865">
        <v>475.76732534901919</v>
      </c>
      <c r="AQ865">
        <v>59.528294721600396</v>
      </c>
      <c r="AR865">
        <v>19.666642090168686</v>
      </c>
      <c r="AS865">
        <v>108.30536496971801</v>
      </c>
      <c r="AT865" t="e">
        <v>#DIV/0!</v>
      </c>
      <c r="AU865" t="e">
        <v>#DIV/0!</v>
      </c>
      <c r="AV865"/>
      <c r="AW865"/>
      <c r="FY865" s="212">
        <v>860</v>
      </c>
      <c r="FZ865">
        <v>1.4812863372853795</v>
      </c>
      <c r="GA865">
        <v>10.402455438376473</v>
      </c>
      <c r="GB865">
        <v>11.082463476149695</v>
      </c>
      <c r="GC865">
        <v>5.3898856304953764</v>
      </c>
      <c r="GD865">
        <v>1.3985457380387527</v>
      </c>
      <c r="GE865">
        <v>0</v>
      </c>
      <c r="GF865">
        <v>1.6027633530596492</v>
      </c>
      <c r="GG865">
        <v>6.3202161347321617</v>
      </c>
      <c r="GH865">
        <v>1.6229601285312325</v>
      </c>
      <c r="GI865">
        <v>10.20070914409642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9.3382352941176467</v>
      </c>
      <c r="AO866">
        <v>21.055379763915042</v>
      </c>
      <c r="AP866">
        <v>155.62494640324778</v>
      </c>
      <c r="AQ866">
        <v>47.330327189180956</v>
      </c>
      <c r="AR866">
        <v>19.175234602932647</v>
      </c>
      <c r="AS866">
        <v>179.6629751646922</v>
      </c>
      <c r="AT866" t="e">
        <v>#DIV/0!</v>
      </c>
      <c r="AU866" t="e">
        <v>#DIV/0!</v>
      </c>
      <c r="AV866"/>
      <c r="AW866"/>
      <c r="FY866" s="212">
        <v>861</v>
      </c>
      <c r="FZ866">
        <v>0.91155005935855693</v>
      </c>
      <c r="GA866">
        <v>8.8585365334595121</v>
      </c>
      <c r="GB866">
        <v>12.277463099360217</v>
      </c>
      <c r="GC866">
        <v>4.9142774054513172</v>
      </c>
      <c r="GD866">
        <v>1.0002005996297632</v>
      </c>
      <c r="GE866">
        <v>0.71895619221013829</v>
      </c>
      <c r="GF866">
        <v>0.80138167652982462</v>
      </c>
      <c r="GG866">
        <v>4.7322912730722599</v>
      </c>
      <c r="GH866">
        <v>1.6229601285312325</v>
      </c>
      <c r="GI866">
        <v>12.078345638531587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7.3677083333333329</v>
      </c>
      <c r="AO867">
        <v>28.491816459446312</v>
      </c>
      <c r="AP867">
        <v>857.44678973332736</v>
      </c>
      <c r="AQ867">
        <v>55.991266580967171</v>
      </c>
      <c r="AR867">
        <v>25.901651326769375</v>
      </c>
      <c r="AS867">
        <v>297.37764162159135</v>
      </c>
      <c r="AT867" t="e">
        <v>#DIV/0!</v>
      </c>
      <c r="AU867" t="e">
        <v>#DIV/0!</v>
      </c>
      <c r="AV867"/>
      <c r="AW867"/>
      <c r="FY867" s="212">
        <v>862</v>
      </c>
      <c r="FZ867">
        <v>1.10256564173008</v>
      </c>
      <c r="GA867">
        <v>13.081134214255574</v>
      </c>
      <c r="GB867">
        <v>18.038930558520853</v>
      </c>
      <c r="GC867">
        <v>7.2825980264295547</v>
      </c>
      <c r="GD867">
        <v>1.0247323299545061</v>
      </c>
      <c r="GE867">
        <v>0.35947809610506914</v>
      </c>
      <c r="GF867">
        <v>1.6027633530596492</v>
      </c>
      <c r="GG867">
        <v>7.7300132771969778</v>
      </c>
      <c r="GH867">
        <v>3.245920257062465</v>
      </c>
      <c r="GI867">
        <v>16.192605854073413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11.830943627450978</v>
      </c>
      <c r="AO868">
        <v>43.967593821508466</v>
      </c>
      <c r="AP868">
        <v>880.90727128408412</v>
      </c>
      <c r="AQ868">
        <v>67.06858624141563</v>
      </c>
      <c r="AR868">
        <v>40.038500381936551</v>
      </c>
      <c r="AS868">
        <v>302.29932691360943</v>
      </c>
      <c r="AT868" t="e">
        <v>#DIV/0!</v>
      </c>
      <c r="AU868" t="e">
        <v>#DIV/0!</v>
      </c>
      <c r="AV868"/>
      <c r="AW868"/>
      <c r="FY868" s="212">
        <v>863</v>
      </c>
      <c r="FZ868">
        <v>0.89475183689064763</v>
      </c>
      <c r="GA868">
        <v>21.149185505084997</v>
      </c>
      <c r="GB868">
        <v>14.867127536344114</v>
      </c>
      <c r="GC868">
        <v>3.3646360798552015</v>
      </c>
      <c r="GD868">
        <v>0.7267083096548318</v>
      </c>
      <c r="GE868">
        <v>0.35947809610506914</v>
      </c>
      <c r="GF868">
        <v>0.80138167652982462</v>
      </c>
      <c r="GG868">
        <v>3.5759117604405652</v>
      </c>
      <c r="GH868">
        <v>1.6229601285312325</v>
      </c>
      <c r="GI868">
        <v>9.6558373003390603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8.0656249999999989</v>
      </c>
      <c r="AO869">
        <v>29.378487647814346</v>
      </c>
      <c r="AP869">
        <v>981.34891890019344</v>
      </c>
      <c r="AQ869">
        <v>59.780003111184172</v>
      </c>
      <c r="AR869">
        <v>26.775676587669171</v>
      </c>
      <c r="AS869">
        <v>156.03956943066737</v>
      </c>
      <c r="AT869" t="e">
        <v>#DIV/0!</v>
      </c>
      <c r="AU869" t="e">
        <v>#DIV/0!</v>
      </c>
      <c r="AV869"/>
      <c r="AW869"/>
      <c r="FY869" s="212">
        <v>864</v>
      </c>
      <c r="FZ869">
        <v>1.4443794231618146</v>
      </c>
      <c r="GA869">
        <v>20.396270557091629</v>
      </c>
      <c r="GB869">
        <v>15.970416549570913</v>
      </c>
      <c r="GC869">
        <v>4.8719854728857817</v>
      </c>
      <c r="GD869">
        <v>0.93859199517558034</v>
      </c>
      <c r="GE869">
        <v>0</v>
      </c>
      <c r="GF869">
        <v>0.80138167652982462</v>
      </c>
      <c r="GG869">
        <v>5.5638986592212287</v>
      </c>
      <c r="GH869">
        <v>3.245920257062465</v>
      </c>
      <c r="GI869">
        <v>9.0204903718618095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9.0153186274509807</v>
      </c>
      <c r="AO870">
        <v>35.06682524334304</v>
      </c>
      <c r="AP870">
        <v>505.90878748111288</v>
      </c>
      <c r="AQ870">
        <v>51.005494270009855</v>
      </c>
      <c r="AR870">
        <v>31.878932039402756</v>
      </c>
      <c r="AS870">
        <v>167.99815701445166</v>
      </c>
      <c r="AT870" t="e">
        <v>#DIV/0!</v>
      </c>
      <c r="AU870" t="e">
        <v>#DIV/0!</v>
      </c>
      <c r="AV870"/>
      <c r="AW870"/>
      <c r="FY870" s="212">
        <v>865</v>
      </c>
      <c r="FZ870">
        <v>1.10256564173008</v>
      </c>
      <c r="GA870">
        <v>17.632205242227208</v>
      </c>
      <c r="GB870">
        <v>21.017019920353697</v>
      </c>
      <c r="GC870">
        <v>7.4129645311451373</v>
      </c>
      <c r="GD870">
        <v>0.73140928636206448</v>
      </c>
      <c r="GE870">
        <v>0</v>
      </c>
      <c r="GF870">
        <v>0</v>
      </c>
      <c r="GG870">
        <v>0.57818975631584713</v>
      </c>
      <c r="GH870">
        <v>0</v>
      </c>
      <c r="GI870">
        <v>11.21312190315367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12.012928921568626</v>
      </c>
      <c r="AO871">
        <v>26.112341179767149</v>
      </c>
      <c r="AP871">
        <v>539.71223985931579</v>
      </c>
      <c r="AQ871">
        <v>64.230185589120552</v>
      </c>
      <c r="AR871">
        <v>23.738491981606497</v>
      </c>
      <c r="AS871">
        <v>133.47457666865617</v>
      </c>
      <c r="AT871" t="e">
        <v>#DIV/0!</v>
      </c>
      <c r="AU871" t="e">
        <v>#DIV/0!</v>
      </c>
      <c r="AV871"/>
      <c r="AW871"/>
      <c r="FY871" s="212">
        <v>866</v>
      </c>
      <c r="FZ871">
        <v>1.4812863372853795</v>
      </c>
      <c r="GA871">
        <v>15.537060414227948</v>
      </c>
      <c r="GB871">
        <v>8.8994358101743973</v>
      </c>
      <c r="GC871">
        <v>2.9839292688505235</v>
      </c>
      <c r="GD871">
        <v>1.4111246700060045</v>
      </c>
      <c r="GE871">
        <v>0.35947809610506914</v>
      </c>
      <c r="GF871">
        <v>0</v>
      </c>
      <c r="GG871">
        <v>0.83160738614896845</v>
      </c>
      <c r="GH871">
        <v>1.6229601285312325</v>
      </c>
      <c r="GI871">
        <v>7.385812572930023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9.263541666666665</v>
      </c>
      <c r="AO872">
        <v>43.358069052420959</v>
      </c>
      <c r="AP872">
        <v>1172.3858082975469</v>
      </c>
      <c r="AQ872">
        <v>62.542685098255049</v>
      </c>
      <c r="AR872">
        <v>39.48438695549337</v>
      </c>
      <c r="AS872">
        <v>196.47322165988231</v>
      </c>
      <c r="AT872" t="e">
        <v>#DIV/0!</v>
      </c>
      <c r="AU872" t="e">
        <v>#DIV/0!</v>
      </c>
      <c r="AV872"/>
      <c r="AW872"/>
      <c r="FY872" s="212">
        <v>867</v>
      </c>
      <c r="FZ872">
        <v>1.6353950055333373</v>
      </c>
      <c r="GA872">
        <v>21.001620679798805</v>
      </c>
      <c r="GB872">
        <v>11.387748694761397</v>
      </c>
      <c r="GC872">
        <v>3.2583968074601621</v>
      </c>
      <c r="GD872">
        <v>1.5734824464048258</v>
      </c>
      <c r="GE872">
        <v>0.35947809610506914</v>
      </c>
      <c r="GF872">
        <v>0.80138167652982462</v>
      </c>
      <c r="GG872">
        <v>4.7322912730722599</v>
      </c>
      <c r="GH872">
        <v>1.6229601285312325</v>
      </c>
      <c r="GI872">
        <v>14.254005225529115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9.3885416666666668</v>
      </c>
      <c r="AO873">
        <v>25.142656069059612</v>
      </c>
      <c r="AP873">
        <v>500.79882116349631</v>
      </c>
      <c r="AQ873">
        <v>76.133939752973546</v>
      </c>
      <c r="AR873">
        <v>22.856960062781457</v>
      </c>
      <c r="AS873">
        <v>143.87643301282057</v>
      </c>
      <c r="AT873" t="e">
        <v>#DIV/0!</v>
      </c>
      <c r="AU873" t="e">
        <v>#DIV/0!</v>
      </c>
      <c r="AV873"/>
      <c r="AW873"/>
      <c r="FY873" s="212">
        <v>868</v>
      </c>
      <c r="FZ873">
        <v>2.168224369336595</v>
      </c>
      <c r="GA873">
        <v>15.971928371885655</v>
      </c>
      <c r="GB873">
        <v>13.835931811271458</v>
      </c>
      <c r="GC873">
        <v>4.5984404499584937</v>
      </c>
      <c r="GD873">
        <v>1.0778331644204486</v>
      </c>
      <c r="GE873">
        <v>0.71895619221013829</v>
      </c>
      <c r="GF873">
        <v>0.80138167652982462</v>
      </c>
      <c r="GG873">
        <v>2.7443043742915965</v>
      </c>
      <c r="GH873">
        <v>0</v>
      </c>
      <c r="GI873">
        <v>15.135402520081328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8.6194852941176485</v>
      </c>
      <c r="AO874">
        <v>26.411697858358714</v>
      </c>
      <c r="AP874">
        <v>359.12669379141221</v>
      </c>
      <c r="AQ874">
        <v>51.586196975060261</v>
      </c>
      <c r="AR874">
        <v>24.044614688790521</v>
      </c>
      <c r="AS874">
        <v>201.76774726296199</v>
      </c>
      <c r="AT874" t="e">
        <v>#DIV/0!</v>
      </c>
      <c r="AU874" t="e">
        <v>#DIV/0!</v>
      </c>
      <c r="AV874"/>
      <c r="AW874"/>
      <c r="FY874" s="212">
        <v>869</v>
      </c>
      <c r="FZ874">
        <v>1.46448811481747</v>
      </c>
      <c r="GA874">
        <v>18.951494171145466</v>
      </c>
      <c r="GB874">
        <v>14.877112065120901</v>
      </c>
      <c r="GC874">
        <v>4.8017024618208231</v>
      </c>
      <c r="GD874">
        <v>1.3159994778373751</v>
      </c>
      <c r="GE874">
        <v>0.35947809610506914</v>
      </c>
      <c r="GF874">
        <v>0.80138167652982462</v>
      </c>
      <c r="GG874">
        <v>3.5759117604405652</v>
      </c>
      <c r="GH874">
        <v>1.6229601285312325</v>
      </c>
      <c r="GI874">
        <v>13.388608794428592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9.7874999999999979</v>
      </c>
      <c r="AO875">
        <v>59.617690639227348</v>
      </c>
      <c r="AP875">
        <v>890.5000012777582</v>
      </c>
      <c r="AQ875">
        <v>55.754622337090062</v>
      </c>
      <c r="AR875">
        <v>54.231880853216573</v>
      </c>
      <c r="AS875">
        <v>246.86290339323102</v>
      </c>
      <c r="AT875" t="e">
        <v>#DIV/0!</v>
      </c>
      <c r="AU875" t="e">
        <v>#DIV/0!</v>
      </c>
      <c r="AV875"/>
      <c r="AW875"/>
      <c r="FY875" s="212">
        <v>870</v>
      </c>
      <c r="FZ875">
        <v>0.53282936380325752</v>
      </c>
      <c r="GA875">
        <v>13.295967506705544</v>
      </c>
      <c r="GB875">
        <v>18.176446572869352</v>
      </c>
      <c r="GC875">
        <v>6.5766431181636378</v>
      </c>
      <c r="GD875">
        <v>0.73026537316685713</v>
      </c>
      <c r="GE875">
        <v>0.71895619221013829</v>
      </c>
      <c r="GF875">
        <v>0.80138167652982462</v>
      </c>
      <c r="GG875">
        <v>2.7443043742915965</v>
      </c>
      <c r="GH875">
        <v>0</v>
      </c>
      <c r="GI875">
        <v>9.2318700695381342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11.130637254901961</v>
      </c>
      <c r="AO876">
        <v>22.649387563789034</v>
      </c>
      <c r="AP876">
        <v>479.97297959685795</v>
      </c>
      <c r="AQ876">
        <v>49.50128538076514</v>
      </c>
      <c r="AR876">
        <v>20.590352330717309</v>
      </c>
      <c r="AS876">
        <v>120.58716801419986</v>
      </c>
      <c r="AT876" t="e">
        <v>#DIV/0!</v>
      </c>
      <c r="AU876" t="e">
        <v>#DIV/0!</v>
      </c>
      <c r="AV876"/>
      <c r="AW876"/>
      <c r="FY876" s="212">
        <v>871</v>
      </c>
      <c r="FZ876">
        <v>0.1709068907158674</v>
      </c>
      <c r="GA876">
        <v>12.749559045306764</v>
      </c>
      <c r="GB876">
        <v>9.515650210164571</v>
      </c>
      <c r="GC876">
        <v>3.3876134444934616</v>
      </c>
      <c r="GD876">
        <v>1.137632380031073</v>
      </c>
      <c r="GE876">
        <v>0</v>
      </c>
      <c r="GF876">
        <v>0</v>
      </c>
      <c r="GG876">
        <v>1.4097971424648157</v>
      </c>
      <c r="GH876">
        <v>1.6229601285312325</v>
      </c>
      <c r="GI876">
        <v>5.742899666936423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10.778860294117646</v>
      </c>
      <c r="AO877">
        <v>44.427998806488098</v>
      </c>
      <c r="AP877">
        <v>817.20437372583399</v>
      </c>
      <c r="AQ877">
        <v>47.915962606134414</v>
      </c>
      <c r="AR877">
        <v>40.389089824080088</v>
      </c>
      <c r="AS877">
        <v>228.46872941316664</v>
      </c>
      <c r="AT877" t="e">
        <v>#DIV/0!</v>
      </c>
      <c r="AU877" t="e">
        <v>#DIV/0!</v>
      </c>
      <c r="AV877"/>
      <c r="AW877"/>
      <c r="FY877" s="212">
        <v>872</v>
      </c>
      <c r="FZ877">
        <v>2.168224369336595</v>
      </c>
      <c r="GA877">
        <v>22.612802634296955</v>
      </c>
      <c r="GB877">
        <v>15.086503543585071</v>
      </c>
      <c r="GC877">
        <v>3.5032297716568666</v>
      </c>
      <c r="GD877">
        <v>0.96310908657130145</v>
      </c>
      <c r="GE877">
        <v>0.71895619221013829</v>
      </c>
      <c r="GF877">
        <v>2.4041450295894737</v>
      </c>
      <c r="GG877">
        <v>9.6427102653396055</v>
      </c>
      <c r="GH877">
        <v>1.6229601285312325</v>
      </c>
      <c r="GI877">
        <v>14.050958558877422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13.56323529411765</v>
      </c>
      <c r="AO878">
        <v>52.140387307458568</v>
      </c>
      <c r="AP878">
        <v>869.53708314331516</v>
      </c>
      <c r="AQ878">
        <v>69.66074160838815</v>
      </c>
      <c r="AR878">
        <v>47.43433236979039</v>
      </c>
      <c r="AS878">
        <v>252.45353441456965</v>
      </c>
      <c r="AT878" t="e">
        <v>#DIV/0!</v>
      </c>
      <c r="AU878" t="e">
        <v>#DIV/0!</v>
      </c>
      <c r="AV878"/>
      <c r="AW878"/>
      <c r="FY878" s="212">
        <v>873</v>
      </c>
      <c r="FZ878">
        <v>0.1709068907158674</v>
      </c>
      <c r="GA878">
        <v>16.940227194796964</v>
      </c>
      <c r="GB878">
        <v>16.272561078425021</v>
      </c>
      <c r="GC878">
        <v>6.1379003076562624</v>
      </c>
      <c r="GD878">
        <v>1.4233271981324778</v>
      </c>
      <c r="GE878">
        <v>0</v>
      </c>
      <c r="GF878">
        <v>0.80138167652982462</v>
      </c>
      <c r="GG878">
        <v>4.7322912730722599</v>
      </c>
      <c r="GH878">
        <v>1.6229601285312325</v>
      </c>
      <c r="GI878">
        <v>13.721532257409175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7.8572916666666641</v>
      </c>
      <c r="AO879">
        <v>45.321398436674727</v>
      </c>
      <c r="AP879">
        <v>514.42017810001812</v>
      </c>
      <c r="AQ879">
        <v>57.017978229775551</v>
      </c>
      <c r="AR879">
        <v>41.269231850269527</v>
      </c>
      <c r="AS879">
        <v>174.37865748725767</v>
      </c>
      <c r="AT879" t="e">
        <v>#DIV/0!</v>
      </c>
      <c r="AU879" t="e">
        <v>#DIV/0!</v>
      </c>
      <c r="AV879"/>
      <c r="AW879"/>
      <c r="FY879" s="212">
        <v>874</v>
      </c>
      <c r="FZ879">
        <v>2.3760381741760268</v>
      </c>
      <c r="GA879">
        <v>10.604199942786378</v>
      </c>
      <c r="GB879">
        <v>7.8736921652323977</v>
      </c>
      <c r="GC879">
        <v>3.0694513450866459</v>
      </c>
      <c r="GD879">
        <v>1.1185869348561317</v>
      </c>
      <c r="GE879">
        <v>0.71895619221013829</v>
      </c>
      <c r="GF879">
        <v>0</v>
      </c>
      <c r="GG879">
        <v>2.4948221584469064</v>
      </c>
      <c r="GH879">
        <v>4.8688803855936991</v>
      </c>
      <c r="GI879">
        <v>8.1580174934549294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10.060110294117646</v>
      </c>
      <c r="AO880">
        <v>33.470771160496078</v>
      </c>
      <c r="AP880">
        <v>811.53306967833578</v>
      </c>
      <c r="AQ880">
        <v>62.253334962561048</v>
      </c>
      <c r="AR880">
        <v>30.461954054369954</v>
      </c>
      <c r="AS880">
        <v>156.835597541786</v>
      </c>
      <c r="AT880" t="e">
        <v>#DIV/0!</v>
      </c>
      <c r="AU880" t="e">
        <v>#DIV/0!</v>
      </c>
      <c r="AV880"/>
      <c r="AW880"/>
      <c r="FY880" s="212">
        <v>875</v>
      </c>
      <c r="FZ880">
        <v>0.74064316864268975</v>
      </c>
      <c r="GA880">
        <v>22.945068606515562</v>
      </c>
      <c r="GB880">
        <v>22.519575105926197</v>
      </c>
      <c r="GC880">
        <v>8.0037871881960019</v>
      </c>
      <c r="GD880">
        <v>1.7535825799505731</v>
      </c>
      <c r="GE880">
        <v>0.71895619221013829</v>
      </c>
      <c r="GF880">
        <v>0.80138167652982462</v>
      </c>
      <c r="GG880">
        <v>2.7443043742915965</v>
      </c>
      <c r="GH880">
        <v>0</v>
      </c>
      <c r="GI880">
        <v>12.015073768947035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10.806985294117649</v>
      </c>
      <c r="AO881">
        <v>28.591804749820806</v>
      </c>
      <c r="AP881">
        <v>445.46662446852343</v>
      </c>
      <c r="AQ881">
        <v>59.687476281287701</v>
      </c>
      <c r="AR881">
        <v>26.026530044665158</v>
      </c>
      <c r="AS881">
        <v>183.53198700327701</v>
      </c>
      <c r="AT881" t="e">
        <v>#DIV/0!</v>
      </c>
      <c r="AU881" t="e">
        <v>#DIV/0!</v>
      </c>
      <c r="AV881"/>
      <c r="AW881"/>
      <c r="FY881" s="212">
        <v>876</v>
      </c>
      <c r="FZ881">
        <v>1.2533638407902918</v>
      </c>
      <c r="GA881">
        <v>16.191963037093394</v>
      </c>
      <c r="GB881">
        <v>10.888431593506722</v>
      </c>
      <c r="GC881">
        <v>2.5670305538142104</v>
      </c>
      <c r="GD881">
        <v>0.61720163795297078</v>
      </c>
      <c r="GE881">
        <v>0.35947809610506914</v>
      </c>
      <c r="GF881">
        <v>0</v>
      </c>
      <c r="GG881">
        <v>1.6632147722979369</v>
      </c>
      <c r="GH881">
        <v>3.245920257062465</v>
      </c>
      <c r="GI881">
        <v>5.7994904029563985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9.8952205882352935</v>
      </c>
      <c r="AO882">
        <v>18.934912901200526</v>
      </c>
      <c r="AP882">
        <v>225.25867012559505</v>
      </c>
      <c r="AQ882">
        <v>40.512694684259536</v>
      </c>
      <c r="AR882">
        <v>17.213557182909568</v>
      </c>
      <c r="AS882">
        <v>143.7592722558496</v>
      </c>
      <c r="AT882" t="e">
        <v>#DIV/0!</v>
      </c>
      <c r="AU882" t="e">
        <v>#DIV/0!</v>
      </c>
      <c r="AV882"/>
      <c r="AW882"/>
      <c r="FY882" s="212">
        <v>877</v>
      </c>
      <c r="FZ882">
        <v>1.4443794231618146</v>
      </c>
      <c r="GA882">
        <v>14.544200760999571</v>
      </c>
      <c r="GB882">
        <v>18.101785777281108</v>
      </c>
      <c r="GC882">
        <v>7.1180679525670509</v>
      </c>
      <c r="GD882">
        <v>1.3693321802403102</v>
      </c>
      <c r="GE882">
        <v>0.71895619221013829</v>
      </c>
      <c r="GF882">
        <v>0.80138167652982462</v>
      </c>
      <c r="GG882">
        <v>4.407519146589534</v>
      </c>
      <c r="GH882">
        <v>3.245920257062465</v>
      </c>
      <c r="GI882">
        <v>10.182327400630326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11.705943627450978</v>
      </c>
      <c r="AO883">
        <v>45.063982828976933</v>
      </c>
      <c r="AP883">
        <v>876.23362705876684</v>
      </c>
      <c r="AQ883">
        <v>60.626760033726029</v>
      </c>
      <c r="AR883">
        <v>41.035217661453331</v>
      </c>
      <c r="AS883">
        <v>232.73524949296655</v>
      </c>
      <c r="AT883" t="e">
        <v>#DIV/0!</v>
      </c>
      <c r="AU883" t="e">
        <v>#DIV/0!</v>
      </c>
      <c r="AV883"/>
      <c r="AW883"/>
      <c r="FY883" s="212">
        <v>878</v>
      </c>
      <c r="FZ883">
        <v>0.74064316864268975</v>
      </c>
      <c r="GA883">
        <v>16.033421272499325</v>
      </c>
      <c r="GB883">
        <v>9.5112992135621166</v>
      </c>
      <c r="GC883">
        <v>2.5699892667726689</v>
      </c>
      <c r="GD883">
        <v>0.99321314667750893</v>
      </c>
      <c r="GE883">
        <v>0.35947809610506914</v>
      </c>
      <c r="GF883">
        <v>0.80138167652982462</v>
      </c>
      <c r="GG883">
        <v>4.407519146589534</v>
      </c>
      <c r="GH883">
        <v>3.245920257062465</v>
      </c>
      <c r="GI883">
        <v>8.0362255401817126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13.393443627450981</v>
      </c>
      <c r="AO884">
        <v>48.960174938860987</v>
      </c>
      <c r="AP884">
        <v>352.98144381419343</v>
      </c>
      <c r="AQ884">
        <v>57.052402929985526</v>
      </c>
      <c r="AR884">
        <v>44.611190760721456</v>
      </c>
      <c r="AS884">
        <v>243.96174566325624</v>
      </c>
      <c r="AT884" t="e">
        <v>#DIV/0!</v>
      </c>
      <c r="AU884" t="e">
        <v>#DIV/0!</v>
      </c>
      <c r="AV884"/>
      <c r="AW884"/>
      <c r="FY884" s="212">
        <v>879</v>
      </c>
      <c r="FZ884">
        <v>1.4812863372853795</v>
      </c>
      <c r="GA884">
        <v>30.074935026209445</v>
      </c>
      <c r="GB884">
        <v>23.590028957066551</v>
      </c>
      <c r="GC884">
        <v>7.8208406626545672</v>
      </c>
      <c r="GD884">
        <v>1.9613951034923098</v>
      </c>
      <c r="GE884">
        <v>0.35947809610506914</v>
      </c>
      <c r="GF884">
        <v>0.80138167652982462</v>
      </c>
      <c r="GG884">
        <v>3.5759117604405652</v>
      </c>
      <c r="GH884">
        <v>1.6229601285312325</v>
      </c>
      <c r="GI884">
        <v>13.900057681705327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11.695526960784314</v>
      </c>
      <c r="AO885">
        <v>32.954938139349323</v>
      </c>
      <c r="AP885">
        <v>427.5897521430237</v>
      </c>
      <c r="AQ885">
        <v>61.159136746777321</v>
      </c>
      <c r="AR885">
        <v>30.026995216337333</v>
      </c>
      <c r="AS885">
        <v>186.3410808582486</v>
      </c>
      <c r="AT885" t="e">
        <v>#DIV/0!</v>
      </c>
      <c r="AU885" t="e">
        <v>#DIV/0!</v>
      </c>
      <c r="AV885"/>
      <c r="AW885"/>
      <c r="FY885" s="212">
        <v>880</v>
      </c>
      <c r="FZ885">
        <v>1.273472532445947</v>
      </c>
      <c r="GA885">
        <v>11.792533430905427</v>
      </c>
      <c r="GB885">
        <v>15.322871932833305</v>
      </c>
      <c r="GC885">
        <v>7.1136974457059967</v>
      </c>
      <c r="GD885">
        <v>1.5487009863111005</v>
      </c>
      <c r="GE885">
        <v>0.35947809610506914</v>
      </c>
      <c r="GF885">
        <v>0.80138167652982462</v>
      </c>
      <c r="GG885">
        <v>4.7322912730722599</v>
      </c>
      <c r="GH885">
        <v>1.6229601285312325</v>
      </c>
      <c r="GI885">
        <v>12.906879015855738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7.4718749999999998</v>
      </c>
      <c r="AO886">
        <v>21.729677868013816</v>
      </c>
      <c r="AP886">
        <v>298.38733936249946</v>
      </c>
      <c r="AQ886">
        <v>52.808664247278337</v>
      </c>
      <c r="AR886">
        <v>19.788232879386079</v>
      </c>
      <c r="AS886">
        <v>120.75002261231268</v>
      </c>
      <c r="AT886" t="e">
        <v>#DIV/0!</v>
      </c>
      <c r="AU886" t="e">
        <v>#DIV/0!</v>
      </c>
      <c r="AV886"/>
      <c r="AW886"/>
      <c r="FY886" s="212">
        <v>881</v>
      </c>
      <c r="FZ886">
        <v>3.4786038159061068</v>
      </c>
      <c r="GA886">
        <v>21.153701492155552</v>
      </c>
      <c r="GB886">
        <v>18.590648423136081</v>
      </c>
      <c r="GC886">
        <v>5.8232410240750108</v>
      </c>
      <c r="GD886">
        <v>0.85004535135741521</v>
      </c>
      <c r="GE886">
        <v>0.35947809610506914</v>
      </c>
      <c r="GF886">
        <v>0.80138167652982462</v>
      </c>
      <c r="GG886">
        <v>5.2391265327385028</v>
      </c>
      <c r="GH886">
        <v>4.8688803855936991</v>
      </c>
      <c r="GI886">
        <v>10.480713162227076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4.9479166666666661</v>
      </c>
      <c r="AO887">
        <v>31.169235583288177</v>
      </c>
      <c r="AP887">
        <v>489.50205341701945</v>
      </c>
      <c r="AQ887">
        <v>35.737018908644202</v>
      </c>
      <c r="AR887">
        <v>28.33566871208016</v>
      </c>
      <c r="AS887">
        <v>163.87819418616249</v>
      </c>
      <c r="AT887" t="e">
        <v>#DIV/0!</v>
      </c>
      <c r="AU887" t="e">
        <v>#DIV/0!</v>
      </c>
      <c r="AV887"/>
      <c r="AW887"/>
      <c r="FY887" s="212">
        <v>882</v>
      </c>
      <c r="FZ887">
        <v>1.4443794231618146</v>
      </c>
      <c r="GA887">
        <v>23.01753302885453</v>
      </c>
      <c r="GB887">
        <v>14.922368170328602</v>
      </c>
      <c r="GC887">
        <v>3.5206312324536317</v>
      </c>
      <c r="GD887">
        <v>0.75833268679702481</v>
      </c>
      <c r="GE887">
        <v>0</v>
      </c>
      <c r="GF887">
        <v>0</v>
      </c>
      <c r="GG887">
        <v>0.57818975631584713</v>
      </c>
      <c r="GH887">
        <v>0</v>
      </c>
      <c r="GI887">
        <v>6.1635702166581599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12.180943627450977</v>
      </c>
      <c r="AO888">
        <v>38.329533644638424</v>
      </c>
      <c r="AP888">
        <v>883.45755943913753</v>
      </c>
      <c r="AQ888">
        <v>72.773599579994666</v>
      </c>
      <c r="AR888">
        <v>34.946971402337311</v>
      </c>
      <c r="AS888">
        <v>185.34457746003952</v>
      </c>
      <c r="AT888" t="e">
        <v>#DIV/0!</v>
      </c>
      <c r="AU888" t="e">
        <v>#DIV/0!</v>
      </c>
      <c r="AV888"/>
      <c r="AW888"/>
      <c r="FY888" s="212">
        <v>883</v>
      </c>
      <c r="FZ888">
        <v>2.2219295059280695</v>
      </c>
      <c r="GA888">
        <v>27.396256250330346</v>
      </c>
      <c r="GB888">
        <v>13.927613475127623</v>
      </c>
      <c r="GC888">
        <v>2.5699892667726689</v>
      </c>
      <c r="GD888">
        <v>1.1662206334058061</v>
      </c>
      <c r="GE888">
        <v>0.71895619221013829</v>
      </c>
      <c r="GF888">
        <v>0.80138167652982462</v>
      </c>
      <c r="GG888">
        <v>4.407519146589534</v>
      </c>
      <c r="GH888">
        <v>3.245920257062465</v>
      </c>
      <c r="GI888">
        <v>9.9308355778407549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9.951041666666665</v>
      </c>
      <c r="AO889">
        <v>43.029240707875665</v>
      </c>
      <c r="AP889">
        <v>818.02515959914058</v>
      </c>
      <c r="AQ889">
        <v>61.823088005269078</v>
      </c>
      <c r="AR889">
        <v>39.11749155261424</v>
      </c>
      <c r="AS889">
        <v>254.96769744604202</v>
      </c>
      <c r="AT889" t="e">
        <v>#DIV/0!</v>
      </c>
      <c r="AU889" t="e">
        <v>#DIV/0!</v>
      </c>
      <c r="AV889"/>
      <c r="AW889"/>
      <c r="FY889" s="212">
        <v>884</v>
      </c>
      <c r="FZ889">
        <v>0.53282936380325752</v>
      </c>
      <c r="GA889">
        <v>12.749559045306764</v>
      </c>
      <c r="GB889">
        <v>12.258815833568727</v>
      </c>
      <c r="GC889">
        <v>4.2416871615004474</v>
      </c>
      <c r="GD889">
        <v>1.0104739061184604</v>
      </c>
      <c r="GE889">
        <v>0.35947809610506914</v>
      </c>
      <c r="GF889">
        <v>0.80138167652982462</v>
      </c>
      <c r="GG889">
        <v>3.3224941306074438</v>
      </c>
      <c r="GH889">
        <v>0</v>
      </c>
      <c r="GI889">
        <v>7.9362381186780464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10.718137254901958</v>
      </c>
      <c r="AO890">
        <v>33.302404997363183</v>
      </c>
      <c r="AP890">
        <v>356.63143075124663</v>
      </c>
      <c r="AQ890">
        <v>41.282644791843254</v>
      </c>
      <c r="AR890">
        <v>30.342874178168106</v>
      </c>
      <c r="AS890">
        <v>145.46028243459861</v>
      </c>
      <c r="AT890" t="e">
        <v>#DIV/0!</v>
      </c>
      <c r="AU890" t="e">
        <v>#DIV/0!</v>
      </c>
      <c r="AV890"/>
      <c r="AW890"/>
      <c r="FY890" s="212">
        <v>885</v>
      </c>
      <c r="FZ890">
        <v>2.20513128346016</v>
      </c>
      <c r="GA890">
        <v>19.377868651554078</v>
      </c>
      <c r="GB890">
        <v>14.758855330472343</v>
      </c>
      <c r="GC890">
        <v>5.7710580546227384</v>
      </c>
      <c r="GD890">
        <v>1.7269235482136165</v>
      </c>
      <c r="GE890">
        <v>0</v>
      </c>
      <c r="GF890">
        <v>0.80138167652982462</v>
      </c>
      <c r="GG890">
        <v>3.5759117604405652</v>
      </c>
      <c r="GH890">
        <v>1.6229601285312325</v>
      </c>
      <c r="GI890">
        <v>12.373731105956029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11.830943627450978</v>
      </c>
      <c r="AO891">
        <v>34.909849687488226</v>
      </c>
      <c r="AP891">
        <v>402.17155279216541</v>
      </c>
      <c r="AQ891">
        <v>72.242372661209615</v>
      </c>
      <c r="AR891">
        <v>31.73622698862566</v>
      </c>
      <c r="AS891">
        <v>171.11629048035553</v>
      </c>
      <c r="AT891" t="e">
        <v>#DIV/0!</v>
      </c>
      <c r="AU891" t="e">
        <v>#DIV/0!</v>
      </c>
      <c r="AV891"/>
      <c r="AW891"/>
      <c r="FY891" s="212">
        <v>886</v>
      </c>
      <c r="FZ891">
        <v>2.3760381741760268</v>
      </c>
      <c r="GA891">
        <v>17.452710885635152</v>
      </c>
      <c r="GB891">
        <v>22.571373317938793</v>
      </c>
      <c r="GC891">
        <v>8.4780526683068995</v>
      </c>
      <c r="GD891">
        <v>1.2545029085259671</v>
      </c>
      <c r="GE891">
        <v>1.0784342883152076</v>
      </c>
      <c r="GF891">
        <v>0</v>
      </c>
      <c r="GG891">
        <v>0.83160738614896845</v>
      </c>
      <c r="GH891">
        <v>1.6229601285312325</v>
      </c>
      <c r="GI891">
        <v>10.539740795236042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7.6507352941176476</v>
      </c>
      <c r="AO892">
        <v>24.15928774511897</v>
      </c>
      <c r="AP892">
        <v>323.50463372971325</v>
      </c>
      <c r="AQ892">
        <v>42.586094191579463</v>
      </c>
      <c r="AR892">
        <v>21.962988859199069</v>
      </c>
      <c r="AS892">
        <v>128.69913958874662</v>
      </c>
      <c r="AT892" t="e">
        <v>#DIV/0!</v>
      </c>
      <c r="AU892" t="e">
        <v>#DIV/0!</v>
      </c>
      <c r="AV892"/>
      <c r="AW892"/>
      <c r="FY892" s="212">
        <v>887</v>
      </c>
      <c r="FZ892">
        <v>1.273472532445947</v>
      </c>
      <c r="GA892">
        <v>20.381506410323293</v>
      </c>
      <c r="GB892">
        <v>20.575678486386032</v>
      </c>
      <c r="GC892">
        <v>6.5573230056014493</v>
      </c>
      <c r="GD892">
        <v>0.82871342993745212</v>
      </c>
      <c r="GE892">
        <v>0.35947809610506914</v>
      </c>
      <c r="GF892">
        <v>1.6027633530596492</v>
      </c>
      <c r="GG892">
        <v>7.1518235208811305</v>
      </c>
      <c r="GH892">
        <v>3.245920257062465</v>
      </c>
      <c r="GI892">
        <v>13.966461275552891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10.310110294117646</v>
      </c>
      <c r="AO893">
        <v>21.043621094643306</v>
      </c>
      <c r="AP893">
        <v>269.35810766996997</v>
      </c>
      <c r="AQ893">
        <v>61.933870767272147</v>
      </c>
      <c r="AR893">
        <v>19.16454490359471</v>
      </c>
      <c r="AS893">
        <v>148.96829168966914</v>
      </c>
      <c r="AT893" t="e">
        <v>#DIV/0!</v>
      </c>
      <c r="AU893" t="e">
        <v>#DIV/0!</v>
      </c>
      <c r="AV893"/>
      <c r="AW893"/>
      <c r="FY893" s="212">
        <v>888</v>
      </c>
      <c r="FZ893">
        <v>0.74064316864268975</v>
      </c>
      <c r="GA893">
        <v>14.508861825141661</v>
      </c>
      <c r="GB893">
        <v>6.514263337797777</v>
      </c>
      <c r="GC893">
        <v>1.6641269149803652</v>
      </c>
      <c r="GD893">
        <v>1.0455286727008826</v>
      </c>
      <c r="GE893">
        <v>0</v>
      </c>
      <c r="GF893">
        <v>0</v>
      </c>
      <c r="GG893">
        <v>1.9879868987806626</v>
      </c>
      <c r="GH893">
        <v>1.6229601285312325</v>
      </c>
      <c r="GI893">
        <v>6.5042032021252876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7.7892769607843153</v>
      </c>
      <c r="AO894">
        <v>20.604023654227493</v>
      </c>
      <c r="AP894">
        <v>329.75450946511205</v>
      </c>
      <c r="AQ894">
        <v>46.699090784622918</v>
      </c>
      <c r="AR894">
        <v>18.730930594752266</v>
      </c>
      <c r="AS894">
        <v>102.35618782636008</v>
      </c>
      <c r="AT894" t="e">
        <v>#DIV/0!</v>
      </c>
      <c r="AU894" t="e">
        <v>#DIV/0!</v>
      </c>
      <c r="AV894"/>
      <c r="AW894"/>
      <c r="FY894" s="212">
        <v>889</v>
      </c>
      <c r="FZ894">
        <v>1.46448811481747</v>
      </c>
      <c r="GA894">
        <v>18.501917546218262</v>
      </c>
      <c r="GB894">
        <v>16.686836476030749</v>
      </c>
      <c r="GC894">
        <v>4.4340044953762918</v>
      </c>
      <c r="GD894">
        <v>0.2927874649188551</v>
      </c>
      <c r="GE894">
        <v>0</v>
      </c>
      <c r="GF894">
        <v>0.80138167652982462</v>
      </c>
      <c r="GG894">
        <v>2.7443043742915965</v>
      </c>
      <c r="GH894">
        <v>0</v>
      </c>
      <c r="GI894">
        <v>6.6522796091407512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14.429595588235296</v>
      </c>
      <c r="AO895">
        <v>33.888854165809001</v>
      </c>
      <c r="AP895">
        <v>372.99705411737204</v>
      </c>
      <c r="AQ895">
        <v>85.188275430020269</v>
      </c>
      <c r="AR895">
        <v>30.808049241644543</v>
      </c>
      <c r="AS895">
        <v>203.43764088798554</v>
      </c>
      <c r="AT895" t="e">
        <v>#DIV/0!</v>
      </c>
      <c r="AU895" t="e">
        <v>#DIV/0!</v>
      </c>
      <c r="AV895"/>
      <c r="AW895"/>
      <c r="FY895" s="212">
        <v>890</v>
      </c>
      <c r="FZ895">
        <v>1.273472532445947</v>
      </c>
      <c r="GA895">
        <v>21.019910840596634</v>
      </c>
      <c r="GB895">
        <v>13.099217616196608</v>
      </c>
      <c r="GC895">
        <v>2.9062820157612315</v>
      </c>
      <c r="GD895">
        <v>0.99677021018953416</v>
      </c>
      <c r="GE895">
        <v>0.71895619221013829</v>
      </c>
      <c r="GF895">
        <v>0</v>
      </c>
      <c r="GG895">
        <v>0.57818975631584713</v>
      </c>
      <c r="GH895">
        <v>0</v>
      </c>
      <c r="GI895">
        <v>8.1161972582888939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11.685110294117646</v>
      </c>
      <c r="AO896">
        <v>38.721332358174038</v>
      </c>
      <c r="AP896">
        <v>881.78286672851823</v>
      </c>
      <c r="AQ896">
        <v>57.474266518295906</v>
      </c>
      <c r="AR896">
        <v>35.235191506804462</v>
      </c>
      <c r="AS896">
        <v>201.95160145997795</v>
      </c>
      <c r="AT896" t="e">
        <v>#DIV/0!</v>
      </c>
      <c r="AU896" t="e">
        <v>#DIV/0!</v>
      </c>
      <c r="AV896"/>
      <c r="AW896"/>
      <c r="FY896" s="212">
        <v>891</v>
      </c>
      <c r="FZ896">
        <v>1.8063018962492046</v>
      </c>
      <c r="GA896">
        <v>18.500676160480502</v>
      </c>
      <c r="GB896">
        <v>13.626937519617735</v>
      </c>
      <c r="GC896">
        <v>3.1571371202279304</v>
      </c>
      <c r="GD896">
        <v>0.20806225331071926</v>
      </c>
      <c r="GE896">
        <v>0</v>
      </c>
      <c r="GF896">
        <v>0</v>
      </c>
      <c r="GG896">
        <v>1.4097971424648157</v>
      </c>
      <c r="GH896">
        <v>1.6229601285312325</v>
      </c>
      <c r="GI896">
        <v>5.4239170193440769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15.246997549019607</v>
      </c>
      <c r="AO897">
        <v>24.209884734225874</v>
      </c>
      <c r="AP897">
        <v>340.91599922156308</v>
      </c>
      <c r="AQ897">
        <v>71.645819959824337</v>
      </c>
      <c r="AR897">
        <v>22.1109269383259</v>
      </c>
      <c r="AS897">
        <v>132.14236537329677</v>
      </c>
      <c r="AT897" t="e">
        <v>#DIV/0!</v>
      </c>
      <c r="AU897" t="e">
        <v>#DIV/0!</v>
      </c>
      <c r="AV897"/>
      <c r="AW897"/>
      <c r="FY897" s="212">
        <v>892</v>
      </c>
      <c r="FZ897">
        <v>1.6152863138776818</v>
      </c>
      <c r="GA897">
        <v>18.550173181139943</v>
      </c>
      <c r="GB897">
        <v>16.606304475208482</v>
      </c>
      <c r="GC897">
        <v>5.6268023457109422</v>
      </c>
      <c r="GD897">
        <v>0.97161234625503046</v>
      </c>
      <c r="GE897">
        <v>0</v>
      </c>
      <c r="GF897">
        <v>0</v>
      </c>
      <c r="GG897">
        <v>1.4097971424648157</v>
      </c>
      <c r="GH897">
        <v>1.6229601285312325</v>
      </c>
      <c r="GI897">
        <v>10.227528188060623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8.3903186274509789</v>
      </c>
      <c r="AO898">
        <v>18.719203957303346</v>
      </c>
      <c r="AP898">
        <v>367.35390493468947</v>
      </c>
      <c r="AQ898">
        <v>50.405004514569605</v>
      </c>
      <c r="AR898">
        <v>17.051438415103831</v>
      </c>
      <c r="AS898">
        <v>92.64281979070843</v>
      </c>
      <c r="AT898" t="e">
        <v>#DIV/0!</v>
      </c>
      <c r="AU898" t="e">
        <v>#DIV/0!</v>
      </c>
      <c r="AV898"/>
      <c r="AW898"/>
      <c r="FY898" s="212">
        <v>893</v>
      </c>
      <c r="FZ898">
        <v>1.6185967830654278</v>
      </c>
      <c r="GA898">
        <v>20.126188288756481</v>
      </c>
      <c r="GB898">
        <v>17.50020400075449</v>
      </c>
      <c r="GC898">
        <v>4.9924273772717118</v>
      </c>
      <c r="GD898">
        <v>1.1113351132058735</v>
      </c>
      <c r="GE898">
        <v>1.0784342883152076</v>
      </c>
      <c r="GF898">
        <v>0</v>
      </c>
      <c r="GG898">
        <v>1.1563795126316943</v>
      </c>
      <c r="GH898">
        <v>0</v>
      </c>
      <c r="GI898">
        <v>9.4206714827249023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13.767830882352944</v>
      </c>
      <c r="AO899">
        <v>36.294657209050804</v>
      </c>
      <c r="AP899">
        <v>505.69179657002502</v>
      </c>
      <c r="AQ899">
        <v>66.386621981797234</v>
      </c>
      <c r="AR899">
        <v>32.995142917318908</v>
      </c>
      <c r="AS899">
        <v>205.86432855434336</v>
      </c>
      <c r="AT899" t="e">
        <v>#DIV/0!</v>
      </c>
      <c r="AU899" t="e">
        <v>#DIV/0!</v>
      </c>
      <c r="AV899"/>
      <c r="AW899"/>
      <c r="FY899" s="212">
        <v>894</v>
      </c>
      <c r="FZ899">
        <v>1.8264105879048604</v>
      </c>
      <c r="GA899">
        <v>19.309530887628839</v>
      </c>
      <c r="GB899">
        <v>17.869508480946461</v>
      </c>
      <c r="GC899">
        <v>5.2653129985193008</v>
      </c>
      <c r="GD899">
        <v>0.68961679659636999</v>
      </c>
      <c r="GE899">
        <v>0.35947809610506914</v>
      </c>
      <c r="GF899">
        <v>0.80138167652982462</v>
      </c>
      <c r="GG899">
        <v>2.7443043742915965</v>
      </c>
      <c r="GH899">
        <v>0</v>
      </c>
      <c r="GI899">
        <v>9.4407958922657684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6.7843749999999998</v>
      </c>
      <c r="AO900">
        <v>21.798675986663863</v>
      </c>
      <c r="AP900">
        <v>521.719901242731</v>
      </c>
      <c r="AQ900">
        <v>43.212957332218039</v>
      </c>
      <c r="AR900">
        <v>19.850958441795214</v>
      </c>
      <c r="AS900">
        <v>114.21375061872752</v>
      </c>
      <c r="AT900" t="e">
        <v>#DIV/0!</v>
      </c>
      <c r="AU900" t="e">
        <v>#DIV/0!</v>
      </c>
      <c r="AV900"/>
      <c r="AW900"/>
      <c r="FY900" s="212">
        <v>895</v>
      </c>
      <c r="FZ900">
        <v>1.46448811481747</v>
      </c>
      <c r="GA900">
        <v>23.752163233632643</v>
      </c>
      <c r="GB900">
        <v>18.578294329053648</v>
      </c>
      <c r="GC900">
        <v>5.2905095967223792</v>
      </c>
      <c r="GD900">
        <v>1.153641701438554</v>
      </c>
      <c r="GE900">
        <v>0.35947809610506914</v>
      </c>
      <c r="GF900">
        <v>1.6027633530596492</v>
      </c>
      <c r="GG900">
        <v>5.4886087485831929</v>
      </c>
      <c r="GH900">
        <v>0</v>
      </c>
      <c r="GI900">
        <v>11.094809558495863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13.273345588235292</v>
      </c>
      <c r="AO901">
        <v>32.801768695848146</v>
      </c>
      <c r="AP901">
        <v>499.88991626109862</v>
      </c>
      <c r="AQ901">
        <v>62.213821539780582</v>
      </c>
      <c r="AR901">
        <v>29.8877502676999</v>
      </c>
      <c r="AS901">
        <v>183.71996929747064</v>
      </c>
      <c r="AT901" t="e">
        <v>#DIV/0!</v>
      </c>
      <c r="AU901" t="e">
        <v>#DIV/0!</v>
      </c>
      <c r="AV901"/>
      <c r="AW901"/>
      <c r="FY901" s="212">
        <v>896</v>
      </c>
      <c r="FZ901">
        <v>0.74064316864268975</v>
      </c>
      <c r="GA901">
        <v>18.717820135429697</v>
      </c>
      <c r="GB901">
        <v>17.317798432309779</v>
      </c>
      <c r="GC901">
        <v>5.4125838609938492</v>
      </c>
      <c r="GD901">
        <v>0.79010159984300443</v>
      </c>
      <c r="GE901">
        <v>0.35947809610506914</v>
      </c>
      <c r="GF901">
        <v>0</v>
      </c>
      <c r="GG901">
        <v>1.6632147722979369</v>
      </c>
      <c r="GH901">
        <v>3.245920257062465</v>
      </c>
      <c r="GI901">
        <v>10.612100506389677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13.509803921568624</v>
      </c>
      <c r="AO902">
        <v>20.584445819388513</v>
      </c>
      <c r="AP902">
        <v>168.78698455602924</v>
      </c>
      <c r="AQ902">
        <v>66.205420552814289</v>
      </c>
      <c r="AR902">
        <v>18.78109310728205</v>
      </c>
      <c r="AS902">
        <v>133.31779131575573</v>
      </c>
      <c r="AT902" t="e">
        <v>#DIV/0!</v>
      </c>
      <c r="AU902" t="e">
        <v>#DIV/0!</v>
      </c>
      <c r="AV902"/>
      <c r="AW902"/>
      <c r="FY902" s="212">
        <v>897</v>
      </c>
      <c r="FZ902">
        <v>0.74064316864268975</v>
      </c>
      <c r="GA902">
        <v>22.038257266635348</v>
      </c>
      <c r="GB902">
        <v>12.279434549181724</v>
      </c>
      <c r="GC902">
        <v>3.171233692887875</v>
      </c>
      <c r="GD902">
        <v>1.2980609347921181</v>
      </c>
      <c r="GE902">
        <v>0</v>
      </c>
      <c r="GF902">
        <v>0</v>
      </c>
      <c r="GG902">
        <v>3.3977840412454787</v>
      </c>
      <c r="GH902">
        <v>3.245920257062465</v>
      </c>
      <c r="GI902">
        <v>7.5358245825425341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11.92781862745098</v>
      </c>
      <c r="AO903">
        <v>33.177406744389032</v>
      </c>
      <c r="AP903">
        <v>557.3238484908502</v>
      </c>
      <c r="AQ903">
        <v>75.943140367355383</v>
      </c>
      <c r="AR903">
        <v>30.195259130636277</v>
      </c>
      <c r="AS903">
        <v>178.53674104551359</v>
      </c>
      <c r="AT903" t="e">
        <v>#DIV/0!</v>
      </c>
      <c r="AU903" t="e">
        <v>#DIV/0!</v>
      </c>
      <c r="AV903"/>
      <c r="AW903"/>
      <c r="FY903" s="212">
        <v>898</v>
      </c>
      <c r="FZ903">
        <v>2.3559294825203718</v>
      </c>
      <c r="GA903">
        <v>12.04897632873254</v>
      </c>
      <c r="GB903">
        <v>13.230956020301859</v>
      </c>
      <c r="GC903">
        <v>6.3128467593443176</v>
      </c>
      <c r="GD903">
        <v>1.6492909834229312</v>
      </c>
      <c r="GE903">
        <v>0</v>
      </c>
      <c r="GF903">
        <v>1.6027633530596492</v>
      </c>
      <c r="GG903">
        <v>6.8984058910480091</v>
      </c>
      <c r="GH903">
        <v>1.6229601285312325</v>
      </c>
      <c r="GI903">
        <v>9.8110130425027773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7.8590686274509789</v>
      </c>
      <c r="AO904">
        <v>31.345781708857213</v>
      </c>
      <c r="AP904">
        <v>744.63767991645659</v>
      </c>
      <c r="AQ904">
        <v>34.588574148700559</v>
      </c>
      <c r="AR904">
        <v>28.49616518987019</v>
      </c>
      <c r="AS904">
        <v>156.42369813448971</v>
      </c>
      <c r="AT904" t="e">
        <v>#DIV/0!</v>
      </c>
      <c r="AU904" t="e">
        <v>#DIV/0!</v>
      </c>
      <c r="AV904"/>
      <c r="AW904"/>
      <c r="FY904" s="212">
        <v>899</v>
      </c>
      <c r="FZ904">
        <v>3.632712484154065</v>
      </c>
      <c r="GA904">
        <v>16.765934210962673</v>
      </c>
      <c r="GB904">
        <v>19.510260005661603</v>
      </c>
      <c r="GC904">
        <v>8.3012523794442217</v>
      </c>
      <c r="GD904">
        <v>1.672038028013684</v>
      </c>
      <c r="GE904">
        <v>0.35947809610506914</v>
      </c>
      <c r="GF904">
        <v>1.6027633530596492</v>
      </c>
      <c r="GG904">
        <v>6.6449882612148876</v>
      </c>
      <c r="GH904">
        <v>0</v>
      </c>
      <c r="GI904">
        <v>15.132102106129562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8.6330269607843135</v>
      </c>
      <c r="AO905">
        <v>30.658612870791536</v>
      </c>
      <c r="AP905">
        <v>473.93303910711177</v>
      </c>
      <c r="AQ905">
        <v>51.577999757323795</v>
      </c>
      <c r="AR905">
        <v>27.939426790375709</v>
      </c>
      <c r="AS905">
        <v>126.2247381719523</v>
      </c>
      <c r="AT905" t="e">
        <v>#DIV/0!</v>
      </c>
      <c r="AU905" t="e">
        <v>#DIV/0!</v>
      </c>
      <c r="AV905"/>
      <c r="AW905"/>
      <c r="FY905" s="212">
        <v>900</v>
      </c>
      <c r="FZ905">
        <v>1.2365656183223823</v>
      </c>
      <c r="GA905">
        <v>25.761114109899342</v>
      </c>
      <c r="GB905">
        <v>11.768243226215789</v>
      </c>
      <c r="GC905">
        <v>0.71322463903652711</v>
      </c>
      <c r="GD905">
        <v>0.46579495164715212</v>
      </c>
      <c r="GE905">
        <v>0.35947809610506914</v>
      </c>
      <c r="GF905">
        <v>0.80138167652982462</v>
      </c>
      <c r="GG905">
        <v>4.407519146589534</v>
      </c>
      <c r="GH905">
        <v>3.245920257062465</v>
      </c>
      <c r="GI905">
        <v>5.5675698994876806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8.8694852941176485</v>
      </c>
      <c r="AO906">
        <v>31.629465963418816</v>
      </c>
      <c r="AP906">
        <v>442.25997486080848</v>
      </c>
      <c r="AQ906">
        <v>48.708996422004823</v>
      </c>
      <c r="AR906">
        <v>28.788040238845177</v>
      </c>
      <c r="AS906">
        <v>178.30015698152454</v>
      </c>
      <c r="AT906" t="e">
        <v>#DIV/0!</v>
      </c>
      <c r="AU906" t="e">
        <v>#DIV/0!</v>
      </c>
      <c r="AV906"/>
      <c r="AW906"/>
      <c r="FY906" s="212">
        <v>901</v>
      </c>
      <c r="FZ906">
        <v>1.46448811481747</v>
      </c>
      <c r="GA906">
        <v>14.527151985939495</v>
      </c>
      <c r="GB906">
        <v>10.109075892495625</v>
      </c>
      <c r="GC906">
        <v>4.1000783161360292</v>
      </c>
      <c r="GD906">
        <v>2.1083505428598786</v>
      </c>
      <c r="GE906">
        <v>1.0784342883152076</v>
      </c>
      <c r="GF906">
        <v>0</v>
      </c>
      <c r="GG906">
        <v>0.83160738614896845</v>
      </c>
      <c r="GH906">
        <v>1.6229601285312325</v>
      </c>
      <c r="GI906">
        <v>6.2642886756057097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7.296568627450978</v>
      </c>
      <c r="AO907">
        <v>24.873365141325337</v>
      </c>
      <c r="AP907">
        <v>435.58493758284692</v>
      </c>
      <c r="AQ907">
        <v>45.755789240226221</v>
      </c>
      <c r="AR907">
        <v>22.680110672679163</v>
      </c>
      <c r="AS907">
        <v>123.58026616936949</v>
      </c>
      <c r="AT907" t="e">
        <v>#DIV/0!</v>
      </c>
      <c r="AU907" t="e">
        <v>#DIV/0!</v>
      </c>
      <c r="AV907"/>
      <c r="AW907"/>
      <c r="FY907" s="212">
        <v>902</v>
      </c>
      <c r="FZ907">
        <v>1.6521932280012464</v>
      </c>
      <c r="GA907">
        <v>25.683647148569644</v>
      </c>
      <c r="GB907">
        <v>14.148018994467051</v>
      </c>
      <c r="GC907">
        <v>3.2043642352118993</v>
      </c>
      <c r="GD907">
        <v>1.5455203266398538</v>
      </c>
      <c r="GE907">
        <v>0.71895619221013829</v>
      </c>
      <c r="GF907">
        <v>0.80138167652982462</v>
      </c>
      <c r="GG907">
        <v>5.8173162890543502</v>
      </c>
      <c r="GH907">
        <v>4.8688803855936991</v>
      </c>
      <c r="GI907">
        <v>11.037538085840591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10.244485294117647</v>
      </c>
      <c r="AO908">
        <v>33.716056013835725</v>
      </c>
      <c r="AP908">
        <v>388.10158367624189</v>
      </c>
      <c r="AQ908">
        <v>56.63046412124875</v>
      </c>
      <c r="AR908">
        <v>30.684940284678724</v>
      </c>
      <c r="AS908">
        <v>225.93988611089941</v>
      </c>
      <c r="AT908" t="e">
        <v>#DIV/0!</v>
      </c>
      <c r="AU908" t="e">
        <v>#DIV/0!</v>
      </c>
      <c r="AV908"/>
      <c r="AW908"/>
      <c r="FY908" s="212">
        <v>903</v>
      </c>
      <c r="FZ908">
        <v>1.10256564173008</v>
      </c>
      <c r="GA908">
        <v>19.929645157104346</v>
      </c>
      <c r="GB908">
        <v>9.7886785119744602</v>
      </c>
      <c r="GC908">
        <v>2.5521898432961851</v>
      </c>
      <c r="GD908">
        <v>1.5734824464048258</v>
      </c>
      <c r="GE908">
        <v>0.35947809610506914</v>
      </c>
      <c r="GF908">
        <v>0.80138167652982462</v>
      </c>
      <c r="GG908">
        <v>2.7443043742915965</v>
      </c>
      <c r="GH908">
        <v>0</v>
      </c>
      <c r="GI908">
        <v>13.078981870756502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7.9479166666666661</v>
      </c>
      <c r="AO909">
        <v>32.971135860947328</v>
      </c>
      <c r="AP909">
        <v>591.30508877491843</v>
      </c>
      <c r="AQ909">
        <v>57.004236846725789</v>
      </c>
      <c r="AR909">
        <v>30.109680961991643</v>
      </c>
      <c r="AS909">
        <v>192.39787726918232</v>
      </c>
      <c r="AT909" t="e">
        <v>#DIV/0!</v>
      </c>
      <c r="AU909" t="e">
        <v>#DIV/0!</v>
      </c>
      <c r="AV909"/>
      <c r="AW909"/>
      <c r="FY909" s="212">
        <v>904</v>
      </c>
      <c r="FZ909">
        <v>1.10256564173008</v>
      </c>
      <c r="GA909">
        <v>20.610529655749257</v>
      </c>
      <c r="GB909">
        <v>15.395642227960549</v>
      </c>
      <c r="GC909">
        <v>4.5973377017272057</v>
      </c>
      <c r="GD909">
        <v>1.4962262854549191</v>
      </c>
      <c r="GE909">
        <v>1.0784342883152076</v>
      </c>
      <c r="GF909">
        <v>0</v>
      </c>
      <c r="GG909">
        <v>1.1563795126316943</v>
      </c>
      <c r="GH909">
        <v>0</v>
      </c>
      <c r="GI909">
        <v>7.7021229501340835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9.5913602941176457</v>
      </c>
      <c r="AO910">
        <v>29.697938173575601</v>
      </c>
      <c r="AP910">
        <v>360.41519405444438</v>
      </c>
      <c r="AQ910">
        <v>58.306339790788087</v>
      </c>
      <c r="AR910">
        <v>27.100066428643842</v>
      </c>
      <c r="AS910">
        <v>142.23258792416934</v>
      </c>
      <c r="AT910" t="e">
        <v>#DIV/0!</v>
      </c>
      <c r="AU910" t="e">
        <v>#DIV/0!</v>
      </c>
      <c r="AV910"/>
      <c r="AW910"/>
      <c r="FY910" s="212">
        <v>905</v>
      </c>
      <c r="FZ910">
        <v>2.0141157010886368</v>
      </c>
      <c r="GA910">
        <v>12.667965821947744</v>
      </c>
      <c r="GB910">
        <v>10.15903898005252</v>
      </c>
      <c r="GC910">
        <v>3.1685341358945056</v>
      </c>
      <c r="GD910">
        <v>0.44419415122467376</v>
      </c>
      <c r="GE910">
        <v>0</v>
      </c>
      <c r="GF910">
        <v>0.80138167652982462</v>
      </c>
      <c r="GG910">
        <v>5.3104810293881073</v>
      </c>
      <c r="GH910">
        <v>1.6229601285312325</v>
      </c>
      <c r="GI910">
        <v>6.0003273762017901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10.125735294117645</v>
      </c>
      <c r="AO911">
        <v>27.828151315693255</v>
      </c>
      <c r="AP911">
        <v>476.82888320402128</v>
      </c>
      <c r="AQ911">
        <v>68.784756731908473</v>
      </c>
      <c r="AR911">
        <v>25.366279922104543</v>
      </c>
      <c r="AS911">
        <v>161.87733951240784</v>
      </c>
      <c r="AT911" t="e">
        <v>#DIV/0!</v>
      </c>
      <c r="AU911" t="e">
        <v>#DIV/0!</v>
      </c>
      <c r="AV911"/>
      <c r="AW911"/>
      <c r="FY911" s="212">
        <v>906</v>
      </c>
      <c r="FZ911">
        <v>2.2219295059280695</v>
      </c>
      <c r="GA911">
        <v>20.255667204594459</v>
      </c>
      <c r="GB911">
        <v>14.372941714034175</v>
      </c>
      <c r="GC911">
        <v>4.2270361243063519</v>
      </c>
      <c r="GD911">
        <v>1.0917687282863671</v>
      </c>
      <c r="GE911">
        <v>0.35947809610506914</v>
      </c>
      <c r="GF911">
        <v>1.6027633530596492</v>
      </c>
      <c r="GG911">
        <v>7.7300132771969778</v>
      </c>
      <c r="GH911">
        <v>3.245920257062465</v>
      </c>
      <c r="GI911">
        <v>8.4655044783604065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10.536151960784313</v>
      </c>
      <c r="AO912">
        <v>22.842019400891896</v>
      </c>
      <c r="AP912">
        <v>263.92975393162504</v>
      </c>
      <c r="AQ912">
        <v>58.859660829074173</v>
      </c>
      <c r="AR912">
        <v>20.765472182629004</v>
      </c>
      <c r="AS912">
        <v>119.93530362581595</v>
      </c>
      <c r="AT912" t="e">
        <v>#DIV/0!</v>
      </c>
      <c r="AU912" t="e">
        <v>#DIV/0!</v>
      </c>
      <c r="AV912"/>
      <c r="AW912"/>
      <c r="FY912" s="212">
        <v>907</v>
      </c>
      <c r="FZ912">
        <v>0.36192247308739012</v>
      </c>
      <c r="GA912">
        <v>13.883027468614888</v>
      </c>
      <c r="GB912">
        <v>13.275945577856085</v>
      </c>
      <c r="GC912">
        <v>4.8823257310349568</v>
      </c>
      <c r="GD912">
        <v>1.1253031778328038</v>
      </c>
      <c r="GE912">
        <v>0</v>
      </c>
      <c r="GF912">
        <v>0.80138167652982462</v>
      </c>
      <c r="GG912">
        <v>4.1541015167564126</v>
      </c>
      <c r="GH912">
        <v>1.6229601285312325</v>
      </c>
      <c r="GI912">
        <v>7.528668177706356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8.1090686274509824</v>
      </c>
      <c r="AO913">
        <v>30.035183392956249</v>
      </c>
      <c r="AP913">
        <v>889.14506728867184</v>
      </c>
      <c r="AQ913">
        <v>53.707158492990231</v>
      </c>
      <c r="AR913">
        <v>27.304712175414775</v>
      </c>
      <c r="AS913">
        <v>240.34501028333065</v>
      </c>
      <c r="AT913" t="e">
        <v>#DIV/0!</v>
      </c>
      <c r="AU913" t="e">
        <v>#DIV/0!</v>
      </c>
      <c r="AV913"/>
      <c r="AW913"/>
      <c r="FY913" s="212">
        <v>908</v>
      </c>
      <c r="FZ913">
        <v>1.4443794231618146</v>
      </c>
      <c r="GA913">
        <v>13.331857025031422</v>
      </c>
      <c r="GB913">
        <v>13.514869374043187</v>
      </c>
      <c r="GC913">
        <v>4.5026001647133214</v>
      </c>
      <c r="GD913">
        <v>0.69165354307240945</v>
      </c>
      <c r="GE913">
        <v>0.71895619221013829</v>
      </c>
      <c r="GF913">
        <v>0</v>
      </c>
      <c r="GG913">
        <v>0.57818975631584713</v>
      </c>
      <c r="GH913">
        <v>0</v>
      </c>
      <c r="GI913">
        <v>7.3783910024700914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11.870220588235295</v>
      </c>
      <c r="AO914">
        <v>31.519010528912002</v>
      </c>
      <c r="AP914">
        <v>750.49366646908356</v>
      </c>
      <c r="AQ914">
        <v>55.533141989463687</v>
      </c>
      <c r="AR914">
        <v>28.687626207475343</v>
      </c>
      <c r="AS914">
        <v>180.84452776755074</v>
      </c>
      <c r="AT914" t="e">
        <v>#DIV/0!</v>
      </c>
      <c r="AU914" t="e">
        <v>#DIV/0!</v>
      </c>
      <c r="AV914"/>
      <c r="AW914"/>
      <c r="FY914" s="212">
        <v>909</v>
      </c>
      <c r="FZ914">
        <v>1.10256564173008</v>
      </c>
      <c r="GA914">
        <v>16.248805147417261</v>
      </c>
      <c r="GB914">
        <v>8.8533108153574887</v>
      </c>
      <c r="GC914">
        <v>2.5661319797056219</v>
      </c>
      <c r="GD914">
        <v>1.0934290709216281</v>
      </c>
      <c r="GE914">
        <v>0</v>
      </c>
      <c r="GF914">
        <v>0.80138167652982462</v>
      </c>
      <c r="GG914">
        <v>6.1420884155370761</v>
      </c>
      <c r="GH914">
        <v>3.245920257062465</v>
      </c>
      <c r="GI914">
        <v>10.123684163398876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15.682720588235295</v>
      </c>
      <c r="AO915">
        <v>42.700249192827485</v>
      </c>
      <c r="AP915">
        <v>1057.6077880086195</v>
      </c>
      <c r="AQ915">
        <v>73.621528924745419</v>
      </c>
      <c r="AR915">
        <v>38.988309717619863</v>
      </c>
      <c r="AS915">
        <v>228.59895462039839</v>
      </c>
      <c r="AT915" t="e">
        <v>#DIV/0!</v>
      </c>
      <c r="AU915" t="e">
        <v>#DIV/0!</v>
      </c>
      <c r="AV915"/>
      <c r="AW915"/>
      <c r="FY915" s="212">
        <v>910</v>
      </c>
      <c r="FZ915">
        <v>2.0141157010886364</v>
      </c>
      <c r="GA915">
        <v>21.705996711999315</v>
      </c>
      <c r="GB915">
        <v>15.674217242096601</v>
      </c>
      <c r="GC915">
        <v>5.0105791646874458</v>
      </c>
      <c r="GD915">
        <v>1.1624138401247981</v>
      </c>
      <c r="GE915">
        <v>0</v>
      </c>
      <c r="GF915">
        <v>2.4041450295894737</v>
      </c>
      <c r="GG915">
        <v>9.0645205090237582</v>
      </c>
      <c r="GH915">
        <v>1.6229601285312325</v>
      </c>
      <c r="GI915">
        <v>12.984564009572034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5.3156249999999998</v>
      </c>
      <c r="AO916">
        <v>19.330042720579847</v>
      </c>
      <c r="AP916">
        <v>395.79273810157986</v>
      </c>
      <c r="AQ916">
        <v>54.326811620895768</v>
      </c>
      <c r="AR916">
        <v>17.640726653819627</v>
      </c>
      <c r="AS916">
        <v>95.617270379612549</v>
      </c>
      <c r="AT916" t="e">
        <v>#DIV/0!</v>
      </c>
      <c r="AU916" t="e">
        <v>#DIV/0!</v>
      </c>
      <c r="AV916"/>
      <c r="AW916"/>
      <c r="FY916" s="212">
        <v>911</v>
      </c>
      <c r="FZ916">
        <v>0.36192247308739012</v>
      </c>
      <c r="GA916">
        <v>16.972156726102828</v>
      </c>
      <c r="GB916">
        <v>11.829311734600875</v>
      </c>
      <c r="GC916">
        <v>3.5108218892382679</v>
      </c>
      <c r="GD916">
        <v>1.6937463532744259</v>
      </c>
      <c r="GE916">
        <v>1.0784342883152076</v>
      </c>
      <c r="GF916">
        <v>0.80138167652982462</v>
      </c>
      <c r="GG916">
        <v>5.3104810293881073</v>
      </c>
      <c r="GH916">
        <v>1.6229601285312325</v>
      </c>
      <c r="GI916">
        <v>8.3486027986155129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8.0049019607843128</v>
      </c>
      <c r="AO917">
        <v>19.698237787818169</v>
      </c>
      <c r="AP917">
        <v>208.98660731283232</v>
      </c>
      <c r="AQ917">
        <v>42.106435330849621</v>
      </c>
      <c r="AR917">
        <v>17.9754494422181</v>
      </c>
      <c r="AS917">
        <v>97.069755008281902</v>
      </c>
      <c r="AT917" t="e">
        <v>#DIV/0!</v>
      </c>
      <c r="AU917" t="e">
        <v>#DIV/0!</v>
      </c>
      <c r="AV917"/>
      <c r="AW917"/>
      <c r="FY917" s="212">
        <v>912</v>
      </c>
      <c r="FZ917">
        <v>1.10256564173008</v>
      </c>
      <c r="GA917">
        <v>24.335697181512483</v>
      </c>
      <c r="GB917">
        <v>17.431249457484434</v>
      </c>
      <c r="GC917">
        <v>4.2825396114313241</v>
      </c>
      <c r="GD917">
        <v>0.96843168658378376</v>
      </c>
      <c r="GE917">
        <v>0.35947809610506914</v>
      </c>
      <c r="GF917">
        <v>1.6027633530596492</v>
      </c>
      <c r="GG917">
        <v>6.3202161347321617</v>
      </c>
      <c r="GH917">
        <v>1.6229601285312325</v>
      </c>
      <c r="GI917">
        <v>9.2960272233206904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12.335845588235292</v>
      </c>
      <c r="AO918">
        <v>26.133783133173456</v>
      </c>
      <c r="AP918">
        <v>547.54820423595595</v>
      </c>
      <c r="AQ918">
        <v>69.477816562118292</v>
      </c>
      <c r="AR918">
        <v>23.757984666521324</v>
      </c>
      <c r="AS918">
        <v>135.1282521378603</v>
      </c>
      <c r="AT918" t="e">
        <v>#DIV/0!</v>
      </c>
      <c r="AU918" t="e">
        <v>#DIV/0!</v>
      </c>
      <c r="AV918"/>
      <c r="AW918"/>
      <c r="FY918" s="212">
        <v>913</v>
      </c>
      <c r="FZ918">
        <v>0.89475183689064763</v>
      </c>
      <c r="GA918">
        <v>14.570928919547661</v>
      </c>
      <c r="GB918">
        <v>8.8008058683416071</v>
      </c>
      <c r="GC918">
        <v>2.4372129396377815</v>
      </c>
      <c r="GD918">
        <v>1.2737980834698908</v>
      </c>
      <c r="GE918">
        <v>0.71895619221013829</v>
      </c>
      <c r="GF918">
        <v>0.80138167652982462</v>
      </c>
      <c r="GG918">
        <v>3.5759117604405652</v>
      </c>
      <c r="GH918">
        <v>1.6229601285312325</v>
      </c>
      <c r="GI918">
        <v>5.4550995913746734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10.726776960784314</v>
      </c>
      <c r="AO919">
        <v>42.916145745743144</v>
      </c>
      <c r="AP919">
        <v>508.60664048289834</v>
      </c>
      <c r="AQ919">
        <v>51.930707618192884</v>
      </c>
      <c r="AR919">
        <v>39.048658222776375</v>
      </c>
      <c r="AS919">
        <v>198.34018277709077</v>
      </c>
      <c r="AT919" t="e">
        <v>#DIV/0!</v>
      </c>
      <c r="AU919" t="e">
        <v>#DIV/0!</v>
      </c>
      <c r="AV919"/>
      <c r="AW919"/>
      <c r="FY919" s="212">
        <v>914</v>
      </c>
      <c r="FZ919">
        <v>1.6353950055333373</v>
      </c>
      <c r="GA919">
        <v>27.894977853017203</v>
      </c>
      <c r="GB919">
        <v>25.120486013819086</v>
      </c>
      <c r="GC919">
        <v>7.3780447029953287</v>
      </c>
      <c r="GD919">
        <v>0.85881749004365926</v>
      </c>
      <c r="GE919">
        <v>0</v>
      </c>
      <c r="GF919">
        <v>0</v>
      </c>
      <c r="GG919">
        <v>1.4097971424648157</v>
      </c>
      <c r="GH919">
        <v>1.6229601285312325</v>
      </c>
      <c r="GI919">
        <v>11.192585026860405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8.6507352941176432</v>
      </c>
      <c r="AO920">
        <v>27.245462193013431</v>
      </c>
      <c r="AP920">
        <v>600.33270496710202</v>
      </c>
      <c r="AQ920">
        <v>53.139238263702993</v>
      </c>
      <c r="AR920">
        <v>24.802582265749354</v>
      </c>
      <c r="AS920">
        <v>133.77496268384198</v>
      </c>
      <c r="AT920" t="e">
        <v>#DIV/0!</v>
      </c>
      <c r="AU920" t="e">
        <v>#DIV/0!</v>
      </c>
      <c r="AV920"/>
      <c r="AW920"/>
      <c r="FY920" s="212">
        <v>915</v>
      </c>
      <c r="FZ920">
        <v>0.74064316864268975</v>
      </c>
      <c r="GA920">
        <v>17.245765008467473</v>
      </c>
      <c r="GB920">
        <v>14.076261411715835</v>
      </c>
      <c r="GC920">
        <v>3.2230799279367761</v>
      </c>
      <c r="GD920">
        <v>0.60374767179302702</v>
      </c>
      <c r="GE920">
        <v>1.0784342883152076</v>
      </c>
      <c r="GF920">
        <v>1.6027633530596492</v>
      </c>
      <c r="GG920">
        <v>5.4886087485831929</v>
      </c>
      <c r="GH920">
        <v>0</v>
      </c>
      <c r="GI920">
        <v>6.7825344061042898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9.5337622549019585</v>
      </c>
      <c r="AO921">
        <v>26.480119987451509</v>
      </c>
      <c r="AP921">
        <v>962.8426216665224</v>
      </c>
      <c r="AQ921">
        <v>42.188999000859035</v>
      </c>
      <c r="AR921">
        <v>24.106816624329436</v>
      </c>
      <c r="AS921">
        <v>113.172229173707</v>
      </c>
      <c r="AT921" t="e">
        <v>#DIV/0!</v>
      </c>
      <c r="AU921" t="e">
        <v>#DIV/0!</v>
      </c>
      <c r="AV921"/>
      <c r="AW921"/>
      <c r="FY921" s="212">
        <v>916</v>
      </c>
      <c r="FZ921">
        <v>1.6353950055333373</v>
      </c>
      <c r="GA921">
        <v>17.276453154035579</v>
      </c>
      <c r="GB921">
        <v>11.851515123531387</v>
      </c>
      <c r="GC921">
        <v>3.1995480987643647</v>
      </c>
      <c r="GD921">
        <v>1.277355146981916</v>
      </c>
      <c r="GE921">
        <v>1.0784342883152076</v>
      </c>
      <c r="GF921">
        <v>1.6027633530596492</v>
      </c>
      <c r="GG921">
        <v>5.4886087485831929</v>
      </c>
      <c r="GH921">
        <v>0</v>
      </c>
      <c r="GI921">
        <v>7.8457977987412466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13.573039215686276</v>
      </c>
      <c r="AO922">
        <v>21.97524243121784</v>
      </c>
      <c r="AP922">
        <v>708.58248029757442</v>
      </c>
      <c r="AQ922">
        <v>63.573022738933993</v>
      </c>
      <c r="AR922">
        <v>19.977493119288944</v>
      </c>
      <c r="AS922">
        <v>120.12952651969117</v>
      </c>
      <c r="AT922" t="e">
        <v>#DIV/0!</v>
      </c>
      <c r="AU922" t="e">
        <v>#DIV/0!</v>
      </c>
      <c r="AV922"/>
      <c r="AW922"/>
      <c r="FY922" s="212">
        <v>917</v>
      </c>
      <c r="FZ922">
        <v>0.3418137814317348</v>
      </c>
      <c r="GA922">
        <v>20.138586273526752</v>
      </c>
      <c r="GB922">
        <v>15.288175998316049</v>
      </c>
      <c r="GC922">
        <v>4.0437454891904805</v>
      </c>
      <c r="GD922">
        <v>0.96310908657130145</v>
      </c>
      <c r="GE922">
        <v>0.71895619221013829</v>
      </c>
      <c r="GF922">
        <v>0</v>
      </c>
      <c r="GG922">
        <v>0.57818975631584713</v>
      </c>
      <c r="GH922">
        <v>0</v>
      </c>
      <c r="GI922">
        <v>11.480874225451064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5.9510416666666668</v>
      </c>
      <c r="AO923">
        <v>30.080230213676423</v>
      </c>
      <c r="AP923">
        <v>765.817288196037</v>
      </c>
      <c r="AQ923">
        <v>47.635635927949949</v>
      </c>
      <c r="AR923">
        <v>27.379644102715723</v>
      </c>
      <c r="AS923">
        <v>145.77204793043001</v>
      </c>
      <c r="AT923" t="e">
        <v>#DIV/0!</v>
      </c>
      <c r="AU923" t="e">
        <v>#DIV/0!</v>
      </c>
      <c r="AV923"/>
      <c r="AW923"/>
      <c r="FY923" s="212">
        <v>918</v>
      </c>
      <c r="FZ923">
        <v>0.1709068907158674</v>
      </c>
      <c r="GA923">
        <v>17.594555623870079</v>
      </c>
      <c r="GB923">
        <v>14.929509107432105</v>
      </c>
      <c r="GC923">
        <v>5.2023832787692825</v>
      </c>
      <c r="GD923">
        <v>1.1781734317632968</v>
      </c>
      <c r="GE923">
        <v>0</v>
      </c>
      <c r="GF923">
        <v>2.4041450295894737</v>
      </c>
      <c r="GG923">
        <v>8.8111028791906367</v>
      </c>
      <c r="GH923">
        <v>0</v>
      </c>
      <c r="GI923">
        <v>13.644333200825788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9.088235294117645</v>
      </c>
      <c r="AO924">
        <v>27.855139727270181</v>
      </c>
      <c r="AP924">
        <v>383.00442229873033</v>
      </c>
      <c r="AQ924">
        <v>42.160896481018227</v>
      </c>
      <c r="AR924">
        <v>25.356834569619139</v>
      </c>
      <c r="AS924">
        <v>164.61812673526694</v>
      </c>
      <c r="AT924" t="e">
        <v>#DIV/0!</v>
      </c>
      <c r="AU924" t="e">
        <v>#DIV/0!</v>
      </c>
      <c r="AV924"/>
      <c r="AW924"/>
      <c r="FY924" s="212">
        <v>919</v>
      </c>
      <c r="FZ924">
        <v>2.5469450648918941</v>
      </c>
      <c r="GA924">
        <v>21.442759306975745</v>
      </c>
      <c r="GB924">
        <v>9.2274253946129043</v>
      </c>
      <c r="GC924">
        <v>1.6529607597047951</v>
      </c>
      <c r="GD924">
        <v>1.2349365236064607</v>
      </c>
      <c r="GE924">
        <v>0.35947809610506914</v>
      </c>
      <c r="GF924">
        <v>0</v>
      </c>
      <c r="GG924">
        <v>2.3127590252633885</v>
      </c>
      <c r="GH924">
        <v>0</v>
      </c>
      <c r="GI924">
        <v>6.6665449410221749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8.9976102941176457</v>
      </c>
      <c r="AO925">
        <v>34.851388438252968</v>
      </c>
      <c r="AP925">
        <v>1010.8002142602226</v>
      </c>
      <c r="AQ925">
        <v>50.177317167660327</v>
      </c>
      <c r="AR925">
        <v>31.717060670512581</v>
      </c>
      <c r="AS925">
        <v>295.91736214779417</v>
      </c>
      <c r="AT925" t="e">
        <v>#DIV/0!</v>
      </c>
      <c r="AU925" t="e">
        <v>#DIV/0!</v>
      </c>
      <c r="AV925"/>
      <c r="AW925"/>
      <c r="FY925" s="212">
        <v>920</v>
      </c>
      <c r="FZ925">
        <v>1.273472532445947</v>
      </c>
      <c r="GA925">
        <v>15.751893706677915</v>
      </c>
      <c r="GB925">
        <v>14.345353721473538</v>
      </c>
      <c r="GC925">
        <v>4.6608883821565525</v>
      </c>
      <c r="GD925">
        <v>0.79542419985548674</v>
      </c>
      <c r="GE925">
        <v>0</v>
      </c>
      <c r="GF925">
        <v>0.80138167652982462</v>
      </c>
      <c r="GG925">
        <v>2.7443043742915965</v>
      </c>
      <c r="GH925">
        <v>0</v>
      </c>
      <c r="GI925">
        <v>6.4464726997886626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13.40459558823529</v>
      </c>
      <c r="AO926">
        <v>33.466702468471901</v>
      </c>
      <c r="AP926">
        <v>666.47002368978769</v>
      </c>
      <c r="AQ926">
        <v>71.6435123367133</v>
      </c>
      <c r="AR926">
        <v>30.458255243438884</v>
      </c>
      <c r="AS926">
        <v>162.31099031203865</v>
      </c>
      <c r="AT926" t="e">
        <v>#DIV/0!</v>
      </c>
      <c r="AU926" t="e">
        <v>#DIV/0!</v>
      </c>
      <c r="AV926"/>
      <c r="AW926"/>
      <c r="FY926" s="212">
        <v>921</v>
      </c>
      <c r="FZ926">
        <v>1.6521932280012468</v>
      </c>
      <c r="GA926">
        <v>23.133724322885406</v>
      </c>
      <c r="GB926">
        <v>13.561046004147439</v>
      </c>
      <c r="GC926">
        <v>3.8151068276702955</v>
      </c>
      <c r="GD926">
        <v>1.4973701986501262</v>
      </c>
      <c r="GE926">
        <v>0.35947809610506914</v>
      </c>
      <c r="GF926">
        <v>0.80138167652982462</v>
      </c>
      <c r="GG926">
        <v>2.7443043742915965</v>
      </c>
      <c r="GH926">
        <v>0</v>
      </c>
      <c r="GI926">
        <v>9.7395866108461711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6.2114583333333346</v>
      </c>
      <c r="AO927">
        <v>28.867917467847001</v>
      </c>
      <c r="AP927">
        <v>1157.8271187348005</v>
      </c>
      <c r="AQ927">
        <v>51.529819097683671</v>
      </c>
      <c r="AR927">
        <v>26.277541606507157</v>
      </c>
      <c r="AS927">
        <v>149.85719561202708</v>
      </c>
      <c r="AT927" t="e">
        <v>#DIV/0!</v>
      </c>
      <c r="AU927" t="e">
        <v>#DIV/0!</v>
      </c>
      <c r="AV927"/>
      <c r="AW927"/>
      <c r="FY927" s="212">
        <v>922</v>
      </c>
      <c r="FZ927">
        <v>1.273472532445947</v>
      </c>
      <c r="GA927">
        <v>5.6908656002978288</v>
      </c>
      <c r="GB927">
        <v>3.0190441608519318</v>
      </c>
      <c r="GC927">
        <v>2.8220226323050133</v>
      </c>
      <c r="GD927">
        <v>1.818636212774007</v>
      </c>
      <c r="GE927">
        <v>0.35947809610506914</v>
      </c>
      <c r="GF927">
        <v>2.4041450295894737</v>
      </c>
      <c r="GG927">
        <v>9.6427102653396055</v>
      </c>
      <c r="GH927">
        <v>1.6229601285312325</v>
      </c>
      <c r="GI927">
        <v>14.837458100840518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8.9174019607843142</v>
      </c>
      <c r="AO928">
        <v>19.03095320634457</v>
      </c>
      <c r="AP928">
        <v>454.292695708304</v>
      </c>
      <c r="AQ928">
        <v>67.321928514490907</v>
      </c>
      <c r="AR928">
        <v>17.334846823323129</v>
      </c>
      <c r="AS928">
        <v>125.47883168608837</v>
      </c>
      <c r="AT928" t="e">
        <v>#DIV/0!</v>
      </c>
      <c r="AU928" t="e">
        <v>#DIV/0!</v>
      </c>
      <c r="AV928"/>
      <c r="AW928"/>
      <c r="FY928" s="212">
        <v>923</v>
      </c>
      <c r="FZ928">
        <v>0.72384494617478023</v>
      </c>
      <c r="GA928">
        <v>18.496716173460488</v>
      </c>
      <c r="GB928">
        <v>11.617576299447919</v>
      </c>
      <c r="GC928">
        <v>2.7573151331081287</v>
      </c>
      <c r="GD928">
        <v>0.78983272084048917</v>
      </c>
      <c r="GE928">
        <v>0</v>
      </c>
      <c r="GF928">
        <v>0.80138167652982462</v>
      </c>
      <c r="GG928">
        <v>3.9006838869232907</v>
      </c>
      <c r="GH928">
        <v>0</v>
      </c>
      <c r="GI928">
        <v>8.4556968706705842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4.8677083333333329</v>
      </c>
      <c r="AO929">
        <v>13.665725473478185</v>
      </c>
      <c r="AP929">
        <v>260.97414204018753</v>
      </c>
      <c r="AQ929">
        <v>40.151806996974031</v>
      </c>
      <c r="AR929">
        <v>12.491347338272661</v>
      </c>
      <c r="AS929">
        <v>93.196584537201716</v>
      </c>
      <c r="AT929" t="e">
        <v>#DIV/0!</v>
      </c>
      <c r="AU929" t="e">
        <v>#DIV/0!</v>
      </c>
      <c r="AV929"/>
      <c r="AW929"/>
      <c r="FY929" s="212">
        <v>924</v>
      </c>
      <c r="FZ929">
        <v>1.4812863372853795</v>
      </c>
      <c r="GA929">
        <v>20.184963278671162</v>
      </c>
      <c r="GB929">
        <v>19.67784576709775</v>
      </c>
      <c r="GC929">
        <v>6.9375491833519556</v>
      </c>
      <c r="GD929">
        <v>1.5207388665461288</v>
      </c>
      <c r="GE929">
        <v>0.71895619221013829</v>
      </c>
      <c r="GF929">
        <v>0.80138167652982462</v>
      </c>
      <c r="GG929">
        <v>3.9006838869232907</v>
      </c>
      <c r="GH929">
        <v>0</v>
      </c>
      <c r="GI929">
        <v>9.5169936695863964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12.046568627450981</v>
      </c>
      <c r="AO930">
        <v>34.859524529998204</v>
      </c>
      <c r="AP930">
        <v>481.81630209119345</v>
      </c>
      <c r="AQ930">
        <v>77.113063363265056</v>
      </c>
      <c r="AR930">
        <v>31.758437389654496</v>
      </c>
      <c r="AS930">
        <v>187.81431629402366</v>
      </c>
      <c r="AT930" t="e">
        <v>#DIV/0!</v>
      </c>
      <c r="AU930" t="e">
        <v>#DIV/0!</v>
      </c>
      <c r="AV930"/>
      <c r="AW930"/>
      <c r="FY930" s="212">
        <v>925</v>
      </c>
      <c r="FZ930">
        <v>0.89475183689064763</v>
      </c>
      <c r="GA930">
        <v>22.639530792845051</v>
      </c>
      <c r="GB930">
        <v>23.929125284576433</v>
      </c>
      <c r="GC930">
        <v>8.1572298448805061</v>
      </c>
      <c r="GD930">
        <v>1.3159994778373751</v>
      </c>
      <c r="GE930">
        <v>0.35947809610506914</v>
      </c>
      <c r="GF930">
        <v>0</v>
      </c>
      <c r="GG930">
        <v>1.4097971424648157</v>
      </c>
      <c r="GH930">
        <v>1.6229601285312325</v>
      </c>
      <c r="GI930">
        <v>15.956470488061031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7.0319852941176482</v>
      </c>
      <c r="AO931">
        <v>13.267925889610812</v>
      </c>
      <c r="AP931">
        <v>428.59034930920825</v>
      </c>
      <c r="AQ931">
        <v>50.841837984618138</v>
      </c>
      <c r="AR931">
        <v>12.0617508087371</v>
      </c>
      <c r="AS931">
        <v>76.061290984960152</v>
      </c>
      <c r="AT931" t="e">
        <v>#DIV/0!</v>
      </c>
      <c r="AU931" t="e">
        <v>#DIV/0!</v>
      </c>
      <c r="AV931"/>
      <c r="AW931"/>
      <c r="FY931" s="212">
        <v>926</v>
      </c>
      <c r="FZ931">
        <v>1.4812863372853795</v>
      </c>
      <c r="GA931">
        <v>19.845216722985615</v>
      </c>
      <c r="GB931">
        <v>14.546759883853142</v>
      </c>
      <c r="GC931">
        <v>5.675347135317204</v>
      </c>
      <c r="GD931">
        <v>2.0177817914946954</v>
      </c>
      <c r="GE931">
        <v>0</v>
      </c>
      <c r="GF931">
        <v>0.80138167652982462</v>
      </c>
      <c r="GG931">
        <v>3.5759117604405652</v>
      </c>
      <c r="GH931">
        <v>1.6229601285312325</v>
      </c>
      <c r="GI931">
        <v>9.5878047460589837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8.1778186274509803</v>
      </c>
      <c r="AO932">
        <v>26.501886770084411</v>
      </c>
      <c r="AP932">
        <v>519.30955482695447</v>
      </c>
      <c r="AQ932">
        <v>51.255870717545889</v>
      </c>
      <c r="AR932">
        <v>24.160584880641963</v>
      </c>
      <c r="AS932">
        <v>147.75305527787745</v>
      </c>
      <c r="AT932" t="e">
        <v>#DIV/0!</v>
      </c>
      <c r="AU932" t="e">
        <v>#DIV/0!</v>
      </c>
      <c r="AV932"/>
      <c r="AW932"/>
      <c r="FY932" s="212">
        <v>927</v>
      </c>
      <c r="FZ932">
        <v>1.46448811481747</v>
      </c>
      <c r="GA932">
        <v>17.22747484766964</v>
      </c>
      <c r="GB932">
        <v>15.246522280272217</v>
      </c>
      <c r="GC932">
        <v>4.2641627604120513</v>
      </c>
      <c r="GD932">
        <v>0.55052016325528808</v>
      </c>
      <c r="GE932">
        <v>0.35947809610506914</v>
      </c>
      <c r="GF932">
        <v>0.80138167652982462</v>
      </c>
      <c r="GG932">
        <v>3.3224941306074438</v>
      </c>
      <c r="GH932">
        <v>0</v>
      </c>
      <c r="GI932">
        <v>7.147838178858561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8.9583333333333321</v>
      </c>
      <c r="AO933">
        <v>45.09439849150813</v>
      </c>
      <c r="AP933">
        <v>502.87637130510836</v>
      </c>
      <c r="AQ933">
        <v>53.553450803013362</v>
      </c>
      <c r="AR933">
        <v>40.994907719552842</v>
      </c>
      <c r="AS933">
        <v>260.30216310142413</v>
      </c>
      <c r="AT933" t="e">
        <v>#DIV/0!</v>
      </c>
      <c r="AU933" t="e">
        <v>#DIV/0!</v>
      </c>
      <c r="AV933"/>
      <c r="AW933"/>
      <c r="FY933" s="212">
        <v>928</v>
      </c>
      <c r="FZ933">
        <v>0.53282936380325752</v>
      </c>
      <c r="GA933">
        <v>11.169583950670209</v>
      </c>
      <c r="GB933">
        <v>11.636296305051877</v>
      </c>
      <c r="GC933">
        <v>4.8352744945996049</v>
      </c>
      <c r="GD933">
        <v>1.1939138741682624</v>
      </c>
      <c r="GE933">
        <v>0</v>
      </c>
      <c r="GF933">
        <v>1.6027633530596492</v>
      </c>
      <c r="GG933">
        <v>6.8984058910480091</v>
      </c>
      <c r="GH933">
        <v>1.6229601285312325</v>
      </c>
      <c r="GI933">
        <v>11.604203815601053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9.0822916666666664</v>
      </c>
      <c r="AO934">
        <v>38.722830046135037</v>
      </c>
      <c r="AP934">
        <v>1014.7813317531518</v>
      </c>
      <c r="AQ934">
        <v>63.935109442156531</v>
      </c>
      <c r="AR934">
        <v>35.202572769213674</v>
      </c>
      <c r="AS934">
        <v>181.91519249380113</v>
      </c>
      <c r="AT934" t="e">
        <v>#DIV/0!</v>
      </c>
      <c r="AU934" t="e">
        <v>#DIV/0!</v>
      </c>
      <c r="AV934"/>
      <c r="AW934"/>
      <c r="FY934" s="212">
        <v>929</v>
      </c>
      <c r="FZ934">
        <v>1.6185967830654278</v>
      </c>
      <c r="GA934">
        <v>3.5404717964133914</v>
      </c>
      <c r="GB934">
        <v>13.272951155581344</v>
      </c>
      <c r="GC934">
        <v>6.3693149503103141</v>
      </c>
      <c r="GD934">
        <v>0.84509464488120034</v>
      </c>
      <c r="GE934">
        <v>0.35947809610506914</v>
      </c>
      <c r="GF934">
        <v>0</v>
      </c>
      <c r="GG934">
        <v>1.9879868987806626</v>
      </c>
      <c r="GH934">
        <v>1.6229601285312325</v>
      </c>
      <c r="GI934">
        <v>6.6323689235164318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10.478553921568629</v>
      </c>
      <c r="AO935">
        <v>30.405682477173588</v>
      </c>
      <c r="AP935">
        <v>1120.6592089124733</v>
      </c>
      <c r="AQ935">
        <v>45.443809112182436</v>
      </c>
      <c r="AR935">
        <v>27.709490068904845</v>
      </c>
      <c r="AS935">
        <v>142.52294127942605</v>
      </c>
      <c r="AT935" t="e">
        <v>#DIV/0!</v>
      </c>
      <c r="AU935" t="e">
        <v>#DIV/0!</v>
      </c>
      <c r="AV935"/>
      <c r="AW935"/>
      <c r="FY935" s="212">
        <v>930</v>
      </c>
      <c r="FZ935">
        <v>1.273472532445947</v>
      </c>
      <c r="GA935">
        <v>12.662764449189973</v>
      </c>
      <c r="GB935">
        <v>10.340371217089958</v>
      </c>
      <c r="GC935">
        <v>3.8991779308676033</v>
      </c>
      <c r="GD935">
        <v>1.1659517544032907</v>
      </c>
      <c r="GE935">
        <v>0.35947809610506914</v>
      </c>
      <c r="GF935">
        <v>0.80138167652982462</v>
      </c>
      <c r="GG935">
        <v>3.5759117604405652</v>
      </c>
      <c r="GH935">
        <v>1.6229601285312325</v>
      </c>
      <c r="GI935">
        <v>6.0565033055069319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7.8517769607843135</v>
      </c>
      <c r="AO936">
        <v>22.859742747596336</v>
      </c>
      <c r="AP936">
        <v>356.83705295919538</v>
      </c>
      <c r="AQ936">
        <v>46.819191293219518</v>
      </c>
      <c r="AR936">
        <v>20.815564588097459</v>
      </c>
      <c r="AS936">
        <v>129.93290426901194</v>
      </c>
      <c r="AT936" t="e">
        <v>#DIV/0!</v>
      </c>
      <c r="AU936" t="e">
        <v>#DIV/0!</v>
      </c>
      <c r="AV936"/>
      <c r="AW936"/>
      <c r="FY936" s="212">
        <v>931</v>
      </c>
      <c r="FZ936">
        <v>0.53282936380325752</v>
      </c>
      <c r="GA936">
        <v>18.448862643354854</v>
      </c>
      <c r="GB936">
        <v>21.379371883962232</v>
      </c>
      <c r="GC936">
        <v>7.066398507372905</v>
      </c>
      <c r="GD936">
        <v>0.82376272346123713</v>
      </c>
      <c r="GE936">
        <v>0.35947809610506914</v>
      </c>
      <c r="GF936">
        <v>1.6027633530596492</v>
      </c>
      <c r="GG936">
        <v>6.3202161347321617</v>
      </c>
      <c r="GH936">
        <v>1.6229601285312325</v>
      </c>
      <c r="GI936">
        <v>11.839176094353078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11.898345588235294</v>
      </c>
      <c r="AO937">
        <v>25.652669136423519</v>
      </c>
      <c r="AP937">
        <v>337.11065282853758</v>
      </c>
      <c r="AQ937">
        <v>57.304191339127172</v>
      </c>
      <c r="AR937">
        <v>23.320608305839563</v>
      </c>
      <c r="AS937">
        <v>138.5639873699437</v>
      </c>
      <c r="AT937" t="e">
        <v>#DIV/0!</v>
      </c>
      <c r="AU937" t="e">
        <v>#DIV/0!</v>
      </c>
      <c r="AV937"/>
      <c r="AW937"/>
      <c r="FY937" s="212">
        <v>932</v>
      </c>
      <c r="FZ937">
        <v>1.8432088103727695</v>
      </c>
      <c r="GA937">
        <v>11.677416851218592</v>
      </c>
      <c r="GB937">
        <v>19.472371660831271</v>
      </c>
      <c r="GC937">
        <v>8.3095677454028642</v>
      </c>
      <c r="GD937">
        <v>0.73891083778130495</v>
      </c>
      <c r="GE937">
        <v>0</v>
      </c>
      <c r="GF937">
        <v>0.80138167652982462</v>
      </c>
      <c r="GG937">
        <v>2.7443043742915965</v>
      </c>
      <c r="GH937">
        <v>0</v>
      </c>
      <c r="GI937">
        <v>11.82037186112832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11.253860294117647</v>
      </c>
      <c r="AO938">
        <v>55.470370964557411</v>
      </c>
      <c r="AP938">
        <v>1058.1995390421594</v>
      </c>
      <c r="AQ938">
        <v>43.490792759080627</v>
      </c>
      <c r="AR938">
        <v>50.461590239880252</v>
      </c>
      <c r="AS938">
        <v>222.70618358422459</v>
      </c>
      <c r="AT938" t="e">
        <v>#DIV/0!</v>
      </c>
      <c r="AU938" t="e">
        <v>#DIV/0!</v>
      </c>
      <c r="AV938"/>
      <c r="AW938"/>
      <c r="FY938" s="212">
        <v>933</v>
      </c>
      <c r="FZ938">
        <v>0.91155005935855693</v>
      </c>
      <c r="GA938">
        <v>9.1110194442666135</v>
      </c>
      <c r="GB938">
        <v>6.9603724780826299</v>
      </c>
      <c r="GC938">
        <v>3.0037064650665433</v>
      </c>
      <c r="GD938">
        <v>1.1425830865072881</v>
      </c>
      <c r="GE938">
        <v>0</v>
      </c>
      <c r="GF938">
        <v>0.80138167652982462</v>
      </c>
      <c r="GG938">
        <v>4.1541015167564126</v>
      </c>
      <c r="GH938">
        <v>1.6229601285312325</v>
      </c>
      <c r="GI938">
        <v>7.5687942267758563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6.4822916666666659</v>
      </c>
      <c r="AO939">
        <v>37.039007503674974</v>
      </c>
      <c r="AP939">
        <v>1061.0569372424975</v>
      </c>
      <c r="AQ939">
        <v>47.543047707155495</v>
      </c>
      <c r="AR939">
        <v>33.739785547542468</v>
      </c>
      <c r="AS939">
        <v>217.91524753039019</v>
      </c>
      <c r="AT939" t="e">
        <v>#DIV/0!</v>
      </c>
      <c r="AU939" t="e">
        <v>#DIV/0!</v>
      </c>
      <c r="AV939"/>
      <c r="AW939"/>
      <c r="FY939" s="212">
        <v>934</v>
      </c>
      <c r="FZ939">
        <v>0.87464314523499231</v>
      </c>
      <c r="GA939">
        <v>22.15449862258248</v>
      </c>
      <c r="GB939">
        <v>18.016132682971403</v>
      </c>
      <c r="GC939">
        <v>5.5947945351544082</v>
      </c>
      <c r="GD939">
        <v>1.2170349916267265</v>
      </c>
      <c r="GE939">
        <v>0.35947809610506914</v>
      </c>
      <c r="GF939">
        <v>0</v>
      </c>
      <c r="GG939">
        <v>2.8195942849296314</v>
      </c>
      <c r="GH939">
        <v>3.245920257062465</v>
      </c>
      <c r="GI939">
        <v>12.154389866202301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11.669178921568626</v>
      </c>
      <c r="AO940">
        <v>25.927798785630735</v>
      </c>
      <c r="AP940">
        <v>775.33956418028765</v>
      </c>
      <c r="AQ940">
        <v>64.740398858202028</v>
      </c>
      <c r="AR940">
        <v>23.570726168755211</v>
      </c>
      <c r="AS940">
        <v>162.49199585850846</v>
      </c>
      <c r="AT940" t="e">
        <v>#DIV/0!</v>
      </c>
      <c r="AU940" t="e">
        <v>#DIV/0!</v>
      </c>
      <c r="AV940"/>
      <c r="AW940"/>
      <c r="FY940" s="212">
        <v>935</v>
      </c>
      <c r="FZ940">
        <v>1.273472532445947</v>
      </c>
      <c r="GA940">
        <v>24.213619129036619</v>
      </c>
      <c r="GB940">
        <v>23.619359631301322</v>
      </c>
      <c r="GC940">
        <v>7.8109806915971367</v>
      </c>
      <c r="GD940">
        <v>1.0233172067837162</v>
      </c>
      <c r="GE940">
        <v>0</v>
      </c>
      <c r="GF940">
        <v>0.80138167652982462</v>
      </c>
      <c r="GG940">
        <v>4.4788736432391385</v>
      </c>
      <c r="GH940">
        <v>0</v>
      </c>
      <c r="GI940">
        <v>10.752040592694792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12.802083333333332</v>
      </c>
      <c r="AO941">
        <v>52.286198851289683</v>
      </c>
      <c r="AP941">
        <v>517.86504938013422</v>
      </c>
      <c r="AQ941">
        <v>76.285343092192164</v>
      </c>
      <c r="AR941">
        <v>47.600868590828561</v>
      </c>
      <c r="AS941">
        <v>290.56878704777932</v>
      </c>
      <c r="AT941" t="e">
        <v>#DIV/0!</v>
      </c>
      <c r="AU941" t="e">
        <v>#DIV/0!</v>
      </c>
      <c r="AV941"/>
      <c r="AW941"/>
      <c r="FY941" s="212">
        <v>936</v>
      </c>
      <c r="FZ941">
        <v>0.36192247308739012</v>
      </c>
      <c r="GA941">
        <v>11.81926158945352</v>
      </c>
      <c r="GB941">
        <v>9.3739848427017769</v>
      </c>
      <c r="GC941">
        <v>2.6582311880024823</v>
      </c>
      <c r="GD941">
        <v>0.56627975489378657</v>
      </c>
      <c r="GE941">
        <v>0.35947809610506914</v>
      </c>
      <c r="GF941">
        <v>0.80138167652982462</v>
      </c>
      <c r="GG941">
        <v>3.5759117604405652</v>
      </c>
      <c r="GH941">
        <v>1.6229601285312325</v>
      </c>
      <c r="GI941">
        <v>6.8334207276898784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12.367095588235292</v>
      </c>
      <c r="AO942">
        <v>30.550766068653353</v>
      </c>
      <c r="AP942">
        <v>417.86349765546686</v>
      </c>
      <c r="AQ942">
        <v>59.154450182496639</v>
      </c>
      <c r="AR942">
        <v>27.773423698775773</v>
      </c>
      <c r="AS942">
        <v>193.33413111538934</v>
      </c>
      <c r="AT942" t="e">
        <v>#DIV/0!</v>
      </c>
      <c r="AU942" t="e">
        <v>#DIV/0!</v>
      </c>
      <c r="AV942"/>
      <c r="AW942"/>
      <c r="FY942" s="212">
        <v>937</v>
      </c>
      <c r="FZ942">
        <v>3.4786038159061068</v>
      </c>
      <c r="GA942">
        <v>30.050573029659414</v>
      </c>
      <c r="GB942">
        <v>21.603002933366955</v>
      </c>
      <c r="GC942">
        <v>6.4239507880981019</v>
      </c>
      <c r="GD942">
        <v>1.5715532247670496</v>
      </c>
      <c r="GE942">
        <v>0.35947809610506914</v>
      </c>
      <c r="GF942">
        <v>0.80138167652982462</v>
      </c>
      <c r="GG942">
        <v>4.1541015167564126</v>
      </c>
      <c r="GH942">
        <v>1.6229601285312325</v>
      </c>
      <c r="GI942">
        <v>13.735042967758428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8.2684436274509814</v>
      </c>
      <c r="AO943">
        <v>21.133842509330595</v>
      </c>
      <c r="AP943">
        <v>518.05398735274593</v>
      </c>
      <c r="AQ943">
        <v>50.384360248527564</v>
      </c>
      <c r="AR943">
        <v>19.280544643593032</v>
      </c>
      <c r="AS943">
        <v>107.3552296935629</v>
      </c>
      <c r="AT943" t="e">
        <v>#DIV/0!</v>
      </c>
      <c r="AU943" t="e">
        <v>#DIV/0!</v>
      </c>
      <c r="AV943"/>
      <c r="AW943"/>
      <c r="FY943" s="212">
        <v>938</v>
      </c>
      <c r="FZ943">
        <v>0</v>
      </c>
      <c r="GA943">
        <v>16.585716492343089</v>
      </c>
      <c r="GB943">
        <v>14.692689451370033</v>
      </c>
      <c r="GC943">
        <v>5.1785634761626094</v>
      </c>
      <c r="GD943">
        <v>1.4201465384612311</v>
      </c>
      <c r="GE943">
        <v>0.35947809610506914</v>
      </c>
      <c r="GF943">
        <v>0</v>
      </c>
      <c r="GG943">
        <v>3.9759737975613252</v>
      </c>
      <c r="GH943">
        <v>3.245920257062465</v>
      </c>
      <c r="GI943">
        <v>10.943564621580292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8.0687499999999996</v>
      </c>
      <c r="AO944">
        <v>38.811261869303152</v>
      </c>
      <c r="AP944">
        <v>789.21804350081027</v>
      </c>
      <c r="AQ944">
        <v>51.096231176533159</v>
      </c>
      <c r="AR944">
        <v>35.316945607830931</v>
      </c>
      <c r="AS944">
        <v>162.70194597101806</v>
      </c>
      <c r="AT944" t="e">
        <v>#DIV/0!</v>
      </c>
      <c r="AU944" t="e">
        <v>#DIV/0!</v>
      </c>
      <c r="AV944"/>
      <c r="AW944"/>
      <c r="FY944" s="212">
        <v>939</v>
      </c>
      <c r="FZ944">
        <v>0.1709068907158674</v>
      </c>
      <c r="GA944">
        <v>7.5783737478596223</v>
      </c>
      <c r="GB944">
        <v>12.068195995995861</v>
      </c>
      <c r="GC944">
        <v>5.572832156036811</v>
      </c>
      <c r="GD944">
        <v>1.5367481879536098</v>
      </c>
      <c r="GE944">
        <v>1.0784342883152076</v>
      </c>
      <c r="GF944">
        <v>0.80138167652982462</v>
      </c>
      <c r="GG944">
        <v>4.1541015167564126</v>
      </c>
      <c r="GH944">
        <v>1.6229601285312325</v>
      </c>
      <c r="GI944">
        <v>9.8177766911044575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5.6875</v>
      </c>
      <c r="AO945">
        <v>17.633499303227424</v>
      </c>
      <c r="AP945">
        <v>491.04931612637694</v>
      </c>
      <c r="AQ945">
        <v>36.249223377185075</v>
      </c>
      <c r="AR945">
        <v>16.166375000428101</v>
      </c>
      <c r="AS945">
        <v>178.13314646319193</v>
      </c>
      <c r="AT945" t="e">
        <v>#DIV/0!</v>
      </c>
      <c r="AU945" t="e">
        <v>#DIV/0!</v>
      </c>
      <c r="AV945"/>
      <c r="AW945"/>
      <c r="FY945" s="212">
        <v>940</v>
      </c>
      <c r="FZ945">
        <v>1.10256564173008</v>
      </c>
      <c r="GA945">
        <v>20.457763457705294</v>
      </c>
      <c r="GB945">
        <v>18.779827055947003</v>
      </c>
      <c r="GC945">
        <v>6.8843387610717848</v>
      </c>
      <c r="GD945">
        <v>1.8892296746178934</v>
      </c>
      <c r="GE945">
        <v>0.71895619221013829</v>
      </c>
      <c r="GF945">
        <v>1.6027633530596492</v>
      </c>
      <c r="GG945">
        <v>6.6449882612148876</v>
      </c>
      <c r="GH945">
        <v>0</v>
      </c>
      <c r="GI945">
        <v>10.85624961260528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7.1642769607843135</v>
      </c>
      <c r="AO946">
        <v>22.49567065603868</v>
      </c>
      <c r="AP946">
        <v>327.59308057769414</v>
      </c>
      <c r="AQ946">
        <v>41.757972851110395</v>
      </c>
      <c r="AR946">
        <v>20.48458995940868</v>
      </c>
      <c r="AS946">
        <v>112.38225620551877</v>
      </c>
      <c r="AT946" t="e">
        <v>#DIV/0!</v>
      </c>
      <c r="AU946" t="e">
        <v>#DIV/0!</v>
      </c>
      <c r="AV946"/>
      <c r="AW946"/>
      <c r="FY946" s="212">
        <v>941</v>
      </c>
      <c r="FZ946">
        <v>0.1709068907158674</v>
      </c>
      <c r="GA946">
        <v>20.99641930704103</v>
      </c>
      <c r="GB946">
        <v>16.533137386840281</v>
      </c>
      <c r="GC946">
        <v>6.0670763880652325</v>
      </c>
      <c r="GD946">
        <v>2.2948311449816527</v>
      </c>
      <c r="GE946">
        <v>0.71895619221013829</v>
      </c>
      <c r="GF946">
        <v>0.80138167652982462</v>
      </c>
      <c r="GG946">
        <v>2.7443043742915965</v>
      </c>
      <c r="GH946">
        <v>0</v>
      </c>
      <c r="GI946">
        <v>11.734112936142267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9.4854166666666639</v>
      </c>
      <c r="AO947">
        <v>30.400892459807221</v>
      </c>
      <c r="AP947">
        <v>531.28488793121426</v>
      </c>
      <c r="AQ947">
        <v>69.995818928735673</v>
      </c>
      <c r="AR947">
        <v>27.671155235561905</v>
      </c>
      <c r="AS947">
        <v>160.31935384915337</v>
      </c>
      <c r="AT947" t="e">
        <v>#DIV/0!</v>
      </c>
      <c r="AU947" t="e">
        <v>#DIV/0!</v>
      </c>
      <c r="AV947"/>
      <c r="AW947"/>
      <c r="FY947" s="212">
        <v>942</v>
      </c>
      <c r="FZ947">
        <v>1.8432088103727695</v>
      </c>
      <c r="GA947">
        <v>12.852661551297578</v>
      </c>
      <c r="GB947">
        <v>15.668265526981445</v>
      </c>
      <c r="GC947">
        <v>6.2621382708328932</v>
      </c>
      <c r="GD947">
        <v>1.1343465264946304</v>
      </c>
      <c r="GE947">
        <v>0.71895619221013829</v>
      </c>
      <c r="GF947">
        <v>0.80138167652982462</v>
      </c>
      <c r="GG947">
        <v>4.7322912730722599</v>
      </c>
      <c r="GH947">
        <v>1.6229601285312325</v>
      </c>
      <c r="GI947">
        <v>13.611697936532508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14.273345588235292</v>
      </c>
      <c r="AO948">
        <v>32.741456251866829</v>
      </c>
      <c r="AP948">
        <v>367.62060457592196</v>
      </c>
      <c r="AQ948">
        <v>57.407533817556541</v>
      </c>
      <c r="AR948">
        <v>29.798940501070636</v>
      </c>
      <c r="AS948">
        <v>170.13623830658756</v>
      </c>
      <c r="AT948" t="e">
        <v>#DIV/0!</v>
      </c>
      <c r="AU948" t="e">
        <v>#DIV/0!</v>
      </c>
      <c r="AV948"/>
      <c r="AW948"/>
      <c r="FY948" s="212">
        <v>943</v>
      </c>
      <c r="FZ948">
        <v>1.273472532445947</v>
      </c>
      <c r="GA948">
        <v>12.007917305823362</v>
      </c>
      <c r="GB948">
        <v>13.8271228067739</v>
      </c>
      <c r="GC948">
        <v>6.0875270947863029</v>
      </c>
      <c r="GD948">
        <v>1.6160062636454773</v>
      </c>
      <c r="GE948">
        <v>0.71895619221013829</v>
      </c>
      <c r="GF948">
        <v>0</v>
      </c>
      <c r="GG948">
        <v>0.57818975631584713</v>
      </c>
      <c r="GH948">
        <v>0</v>
      </c>
      <c r="GI948">
        <v>7.1573301185474945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7.9038602941176466</v>
      </c>
      <c r="AO949">
        <v>29.66500007955235</v>
      </c>
      <c r="AP949">
        <v>607.0932502183158</v>
      </c>
      <c r="AQ949">
        <v>35.276469081874957</v>
      </c>
      <c r="AR949">
        <v>26.968181890502137</v>
      </c>
      <c r="AS949">
        <v>123.73205482148491</v>
      </c>
      <c r="AT949" t="e">
        <v>#DIV/0!</v>
      </c>
      <c r="AU949" t="e">
        <v>#DIV/0!</v>
      </c>
      <c r="AV949"/>
      <c r="AW949"/>
      <c r="FY949" s="212">
        <v>944</v>
      </c>
      <c r="FZ949">
        <v>0.74064316864268975</v>
      </c>
      <c r="GA949">
        <v>16.357243829385091</v>
      </c>
      <c r="GB949">
        <v>11.713097224426807</v>
      </c>
      <c r="GC949">
        <v>3.8422220776387985</v>
      </c>
      <c r="GD949">
        <v>1.0548363900607134</v>
      </c>
      <c r="GE949">
        <v>0</v>
      </c>
      <c r="GF949">
        <v>2.4041450295894737</v>
      </c>
      <c r="GG949">
        <v>10.727735281321698</v>
      </c>
      <c r="GH949">
        <v>4.8688803855936991</v>
      </c>
      <c r="GI949">
        <v>13.013738897301215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10.15625</v>
      </c>
      <c r="AO950">
        <v>38.319857418098685</v>
      </c>
      <c r="AP950">
        <v>652.76388634242869</v>
      </c>
      <c r="AQ950">
        <v>66.43648648186948</v>
      </c>
      <c r="AR950">
        <v>34.870214288554138</v>
      </c>
      <c r="AS950">
        <v>201.36800018165192</v>
      </c>
      <c r="AT950" t="e">
        <v>#DIV/0!</v>
      </c>
      <c r="AU950" t="e">
        <v>#DIV/0!</v>
      </c>
      <c r="AV950"/>
      <c r="AW950"/>
      <c r="FY950" s="212">
        <v>945</v>
      </c>
      <c r="FZ950">
        <v>2.0141157010886364</v>
      </c>
      <c r="GA950">
        <v>18.367269419995832</v>
      </c>
      <c r="GB950">
        <v>25.096263588799037</v>
      </c>
      <c r="GC950">
        <v>9.433797062315282</v>
      </c>
      <c r="GD950">
        <v>0.57098073160101925</v>
      </c>
      <c r="GE950">
        <v>0</v>
      </c>
      <c r="GF950">
        <v>0.80138167652982462</v>
      </c>
      <c r="GG950">
        <v>3.3224941306074438</v>
      </c>
      <c r="GH950">
        <v>0</v>
      </c>
      <c r="GI950">
        <v>13.4114549027869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11.549693627450981</v>
      </c>
      <c r="AO951">
        <v>33.853464401792934</v>
      </c>
      <c r="AP951">
        <v>1037.1409177311077</v>
      </c>
      <c r="AQ951">
        <v>73.973045103628493</v>
      </c>
      <c r="AR951">
        <v>30.809857001003458</v>
      </c>
      <c r="AS951">
        <v>178.06431218762998</v>
      </c>
      <c r="AT951" t="e">
        <v>#DIV/0!</v>
      </c>
      <c r="AU951" t="e">
        <v>#DIV/0!</v>
      </c>
      <c r="AV951"/>
      <c r="AW951"/>
      <c r="FY951" s="212">
        <v>946</v>
      </c>
      <c r="FZ951">
        <v>2.3760381741760268</v>
      </c>
      <c r="GA951">
        <v>22.728475214034336</v>
      </c>
      <c r="GB951">
        <v>19.454350574252054</v>
      </c>
      <c r="GC951">
        <v>6.8309304111028695</v>
      </c>
      <c r="GD951">
        <v>1.5171818030341035</v>
      </c>
      <c r="GE951">
        <v>0.35947809610506914</v>
      </c>
      <c r="GF951">
        <v>0.80138167652982462</v>
      </c>
      <c r="GG951">
        <v>3.9006838869232907</v>
      </c>
      <c r="GH951">
        <v>0</v>
      </c>
      <c r="GI951">
        <v>9.8324151026611446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5.3885416666666668</v>
      </c>
      <c r="AO952">
        <v>22.448601772320654</v>
      </c>
      <c r="AP952">
        <v>450.83803395360388</v>
      </c>
      <c r="AQ952">
        <v>37.972832237435526</v>
      </c>
      <c r="AR952">
        <v>20.441800065119569</v>
      </c>
      <c r="AS952">
        <v>107.50403457413965</v>
      </c>
      <c r="AT952" t="e">
        <v>#DIV/0!</v>
      </c>
      <c r="AU952" t="e">
        <v>#DIV/0!</v>
      </c>
      <c r="AV952"/>
      <c r="AW952"/>
      <c r="FY952" s="212">
        <v>947</v>
      </c>
      <c r="FZ952">
        <v>1.46448811481747</v>
      </c>
      <c r="GA952">
        <v>14.23034155905626</v>
      </c>
      <c r="GB952">
        <v>9.4486299866643293</v>
      </c>
      <c r="GC952">
        <v>2.8666946906269297</v>
      </c>
      <c r="GD952">
        <v>1.1819802250443043</v>
      </c>
      <c r="GE952">
        <v>0.71895619221013829</v>
      </c>
      <c r="GF952">
        <v>0</v>
      </c>
      <c r="GG952">
        <v>0</v>
      </c>
      <c r="GH952">
        <v>0</v>
      </c>
      <c r="GI952">
        <v>9.2658176879497631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17.309497549019607</v>
      </c>
      <c r="AO953">
        <v>40.577778871526043</v>
      </c>
      <c r="AP953">
        <v>619.3760865280459</v>
      </c>
      <c r="AQ953">
        <v>83.800648177478607</v>
      </c>
      <c r="AR953">
        <v>36.990830699507875</v>
      </c>
      <c r="AS953">
        <v>267.63955202539267</v>
      </c>
      <c r="AT953" t="e">
        <v>#DIV/0!</v>
      </c>
      <c r="AU953" t="e">
        <v>#DIV/0!</v>
      </c>
      <c r="AV953"/>
      <c r="AW953"/>
      <c r="FY953" s="212">
        <v>948</v>
      </c>
      <c r="FZ953">
        <v>1.6521932280012464</v>
      </c>
      <c r="GA953">
        <v>15.586038720593884</v>
      </c>
      <c r="GB953">
        <v>12.876144435735826</v>
      </c>
      <c r="GC953">
        <v>4.6669522944232833</v>
      </c>
      <c r="GD953">
        <v>1.2205920551387519</v>
      </c>
      <c r="GE953">
        <v>0.71895619221013829</v>
      </c>
      <c r="GF953">
        <v>0.80138167652982462</v>
      </c>
      <c r="GG953">
        <v>5.8886707857039537</v>
      </c>
      <c r="GH953">
        <v>1.6229601285312325</v>
      </c>
      <c r="GI953">
        <v>12.270226084696459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8.5208333333333321</v>
      </c>
      <c r="AO954">
        <v>46.281598320451856</v>
      </c>
      <c r="AP954">
        <v>1328.6433512047156</v>
      </c>
      <c r="AQ954">
        <v>56.402052730646119</v>
      </c>
      <c r="AR954">
        <v>42.07418029131987</v>
      </c>
      <c r="AS954">
        <v>310.46594262217718</v>
      </c>
      <c r="AT954" t="e">
        <v>#DIV/0!</v>
      </c>
      <c r="AU954" t="e">
        <v>#DIV/0!</v>
      </c>
      <c r="AV954"/>
      <c r="AW954"/>
      <c r="FY954" s="212">
        <v>949</v>
      </c>
      <c r="FZ954">
        <v>1.065658727606515</v>
      </c>
      <c r="GA954">
        <v>11.676342136874553</v>
      </c>
      <c r="GB954">
        <v>16.724699661361353</v>
      </c>
      <c r="GC954">
        <v>6.7949792002106522</v>
      </c>
      <c r="GD954">
        <v>1.219071738102766</v>
      </c>
      <c r="GE954">
        <v>0.71895619221013829</v>
      </c>
      <c r="GF954">
        <v>0.80138167652982462</v>
      </c>
      <c r="GG954">
        <v>3.5759117604405652</v>
      </c>
      <c r="GH954">
        <v>1.6229601285312325</v>
      </c>
      <c r="GI954">
        <v>11.695398430022632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7.1697916666666659</v>
      </c>
      <c r="AO955">
        <v>33.164038935704625</v>
      </c>
      <c r="AP955">
        <v>495.75810357417259</v>
      </c>
      <c r="AQ955">
        <v>44.401711279798903</v>
      </c>
      <c r="AR955">
        <v>30.149126305186016</v>
      </c>
      <c r="AS955">
        <v>149.35972256880629</v>
      </c>
      <c r="AT955" t="e">
        <v>#DIV/0!</v>
      </c>
      <c r="AU955" t="e">
        <v>#DIV/0!</v>
      </c>
      <c r="AV955"/>
      <c r="AW955"/>
      <c r="FY955" s="212">
        <v>950</v>
      </c>
      <c r="FZ955">
        <v>0.1709068907158674</v>
      </c>
      <c r="GA955">
        <v>9.410831753303281</v>
      </c>
      <c r="GB955">
        <v>13.125678282614706</v>
      </c>
      <c r="GC955">
        <v>5.8218192365801551</v>
      </c>
      <c r="GD955">
        <v>1.2808001753511666</v>
      </c>
      <c r="GE955">
        <v>0</v>
      </c>
      <c r="GF955">
        <v>0</v>
      </c>
      <c r="GG955">
        <v>3.3977840412454787</v>
      </c>
      <c r="GH955">
        <v>3.245920257062465</v>
      </c>
      <c r="GI955">
        <v>7.4823318871508997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10.438235294117646</v>
      </c>
      <c r="AO956">
        <v>31.261250881716272</v>
      </c>
      <c r="AP956">
        <v>914.71534082033031</v>
      </c>
      <c r="AQ956">
        <v>68.936682010162016</v>
      </c>
      <c r="AR956">
        <v>28.453299255479216</v>
      </c>
      <c r="AS956">
        <v>164.2728333630613</v>
      </c>
      <c r="AT956" t="e">
        <v>#DIV/0!</v>
      </c>
      <c r="AU956" t="e">
        <v>#DIV/0!</v>
      </c>
      <c r="AV956"/>
      <c r="AW956"/>
      <c r="FY956" s="212">
        <v>951</v>
      </c>
      <c r="FZ956">
        <v>1.6353950055333373</v>
      </c>
      <c r="GA956">
        <v>11.40845935914375</v>
      </c>
      <c r="GB956">
        <v>10.539481876219561</v>
      </c>
      <c r="GC956">
        <v>4.2222843783638071</v>
      </c>
      <c r="GD956">
        <v>1.3567532482730584</v>
      </c>
      <c r="GE956">
        <v>0.35947809610506914</v>
      </c>
      <c r="GF956">
        <v>1.6027633530596492</v>
      </c>
      <c r="GG956">
        <v>6.3202161347321617</v>
      </c>
      <c r="GH956">
        <v>1.6229601285312325</v>
      </c>
      <c r="GI956">
        <v>8.9389711991223297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8.3156250000000007</v>
      </c>
      <c r="AO957">
        <v>39.322475121431992</v>
      </c>
      <c r="AP957">
        <v>386.17319094300569</v>
      </c>
      <c r="AQ957">
        <v>62.061126296817875</v>
      </c>
      <c r="AR957">
        <v>35.747704655847272</v>
      </c>
      <c r="AS957">
        <v>202.49176694659715</v>
      </c>
      <c r="AT957" t="e">
        <v>#DIV/0!</v>
      </c>
      <c r="AU957" t="e">
        <v>#DIV/0!</v>
      </c>
      <c r="AV957"/>
      <c r="AW957"/>
      <c r="FY957" s="212">
        <v>952</v>
      </c>
      <c r="FZ957">
        <v>1.10256564173008</v>
      </c>
      <c r="GA957">
        <v>24.837259412541634</v>
      </c>
      <c r="GB957">
        <v>12.483022663873435</v>
      </c>
      <c r="GC957">
        <v>2.8775084242901805</v>
      </c>
      <c r="GD957">
        <v>1.7535825799505731</v>
      </c>
      <c r="GE957">
        <v>0.71895619221013829</v>
      </c>
      <c r="GF957">
        <v>0</v>
      </c>
      <c r="GG957">
        <v>0.57818975631584713</v>
      </c>
      <c r="GH957">
        <v>0</v>
      </c>
      <c r="GI957">
        <v>9.9995580357252241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14.148345588235292</v>
      </c>
      <c r="AO958">
        <v>52.001904483867577</v>
      </c>
      <c r="AP958">
        <v>843.03248981073159</v>
      </c>
      <c r="AQ958">
        <v>59.247907892855281</v>
      </c>
      <c r="AR958">
        <v>47.308438893798581</v>
      </c>
      <c r="AS958">
        <v>237.34214324534469</v>
      </c>
      <c r="AT958" t="e">
        <v>#DIV/0!</v>
      </c>
      <c r="AU958" t="e">
        <v>#DIV/0!</v>
      </c>
      <c r="AV958"/>
      <c r="AW958"/>
      <c r="FY958" s="212">
        <v>953</v>
      </c>
      <c r="FZ958">
        <v>0.36192247308739012</v>
      </c>
      <c r="GA958">
        <v>11.291143288852576</v>
      </c>
      <c r="GB958">
        <v>11.298722630889603</v>
      </c>
      <c r="GC958">
        <v>4.2589663564246028</v>
      </c>
      <c r="GD958">
        <v>1.5382685049895954</v>
      </c>
      <c r="GE958">
        <v>1.0784342883152076</v>
      </c>
      <c r="GF958">
        <v>0.80138167652982462</v>
      </c>
      <c r="GG958">
        <v>5.2391265327385028</v>
      </c>
      <c r="GH958">
        <v>4.8688803855936991</v>
      </c>
      <c r="GI958">
        <v>9.8841407081133443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9.3590686274509807</v>
      </c>
      <c r="AO959">
        <v>31.462523779481653</v>
      </c>
      <c r="AP959">
        <v>420.76327053167768</v>
      </c>
      <c r="AQ959">
        <v>43.266522070548461</v>
      </c>
      <c r="AR959">
        <v>28.636274617084116</v>
      </c>
      <c r="AS959">
        <v>132.13162171250025</v>
      </c>
      <c r="AT959" t="e">
        <v>#DIV/0!</v>
      </c>
      <c r="AU959" t="e">
        <v>#DIV/0!</v>
      </c>
      <c r="AV959"/>
      <c r="AW959"/>
      <c r="FY959" s="212">
        <v>954</v>
      </c>
      <c r="FZ959">
        <v>2.8887588463236291</v>
      </c>
      <c r="GA959">
        <v>10.510258796573352</v>
      </c>
      <c r="GB959">
        <v>11.56016778955582</v>
      </c>
      <c r="GC959">
        <v>5.5673068800373855</v>
      </c>
      <c r="GD959">
        <v>1.5344617117085879</v>
      </c>
      <c r="GE959">
        <v>0.35947809610506914</v>
      </c>
      <c r="GF959">
        <v>1.6027633530596492</v>
      </c>
      <c r="GG959">
        <v>6.6449882612148876</v>
      </c>
      <c r="GH959">
        <v>0</v>
      </c>
      <c r="GI959">
        <v>10.65243563405298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10.410110294117647</v>
      </c>
      <c r="AO960">
        <v>35.375414166370767</v>
      </c>
      <c r="AP960">
        <v>824.22100970305678</v>
      </c>
      <c r="AQ960">
        <v>64.72254228396018</v>
      </c>
      <c r="AR960">
        <v>32.159467423973418</v>
      </c>
      <c r="AS960">
        <v>165.43571611968218</v>
      </c>
      <c r="AT960" t="e">
        <v>#DIV/0!</v>
      </c>
      <c r="AU960" t="e">
        <v>#DIV/0!</v>
      </c>
      <c r="AV960"/>
      <c r="AW960"/>
      <c r="FY960" s="212">
        <v>955</v>
      </c>
      <c r="FZ960">
        <v>2.5838519790154595</v>
      </c>
      <c r="GA960">
        <v>18.654517072868508</v>
      </c>
      <c r="GB960">
        <v>9.3841412869365293</v>
      </c>
      <c r="GC960">
        <v>2.7201564596315437</v>
      </c>
      <c r="GD960">
        <v>1.4698169834869446</v>
      </c>
      <c r="GE960">
        <v>0.71895619221013829</v>
      </c>
      <c r="GF960">
        <v>0.80138167652982462</v>
      </c>
      <c r="GG960">
        <v>4.9857089029053814</v>
      </c>
      <c r="GH960">
        <v>3.245920257062465</v>
      </c>
      <c r="GI960">
        <v>10.029562385110699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15.283762254901955</v>
      </c>
      <c r="AO961">
        <v>41.631347476286585</v>
      </c>
      <c r="AP961">
        <v>710.012270482708</v>
      </c>
      <c r="AQ961">
        <v>73.017757213723968</v>
      </c>
      <c r="AR961">
        <v>37.88065979599768</v>
      </c>
      <c r="AS961">
        <v>208.13321487888879</v>
      </c>
      <c r="AT961" t="e">
        <v>#DIV/0!</v>
      </c>
      <c r="AU961" t="e">
        <v>#DIV/0!</v>
      </c>
      <c r="AV961"/>
      <c r="AW961"/>
      <c r="FY961" s="212">
        <v>956</v>
      </c>
      <c r="FZ961">
        <v>1.8264105879048604</v>
      </c>
      <c r="GA961">
        <v>15.55014920226801</v>
      </c>
      <c r="GB961">
        <v>18.431143886313322</v>
      </c>
      <c r="GC961">
        <v>6.3994197963103732</v>
      </c>
      <c r="GD961">
        <v>1.1007929277146611</v>
      </c>
      <c r="GE961">
        <v>1.0784342883152076</v>
      </c>
      <c r="GF961">
        <v>0.80138167652982462</v>
      </c>
      <c r="GG961">
        <v>2.7443043742915965</v>
      </c>
      <c r="GH961">
        <v>0</v>
      </c>
      <c r="GI961">
        <v>9.8121766847422691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13.054595588235292</v>
      </c>
      <c r="AO962">
        <v>32.422228951767387</v>
      </c>
      <c r="AP962">
        <v>836.27855840415577</v>
      </c>
      <c r="AQ962">
        <v>67.800934938818727</v>
      </c>
      <c r="AR962">
        <v>29.542714136717386</v>
      </c>
      <c r="AS962">
        <v>229.12120166972542</v>
      </c>
      <c r="AT962" t="e">
        <v>#DIV/0!</v>
      </c>
      <c r="AU962" t="e">
        <v>#DIV/0!</v>
      </c>
      <c r="AV962"/>
      <c r="AW962"/>
      <c r="FY962" s="212">
        <v>957</v>
      </c>
      <c r="FZ962">
        <v>2.20513128346016</v>
      </c>
      <c r="GA962">
        <v>21.407420371117833</v>
      </c>
      <c r="GB962">
        <v>13.82583358132754</v>
      </c>
      <c r="GC962">
        <v>3.0240455009877794</v>
      </c>
      <c r="GD962">
        <v>0.46897561131839888</v>
      </c>
      <c r="GE962">
        <v>0</v>
      </c>
      <c r="GF962">
        <v>0.80138167652982462</v>
      </c>
      <c r="GG962">
        <v>2.7443043742915965</v>
      </c>
      <c r="GH962">
        <v>0</v>
      </c>
      <c r="GI962">
        <v>7.7964228881346305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8.5674019607843128</v>
      </c>
      <c r="AO963">
        <v>30.344301745392567</v>
      </c>
      <c r="AP963">
        <v>169.6614349074332</v>
      </c>
      <c r="AQ963">
        <v>39.176908456369191</v>
      </c>
      <c r="AR963">
        <v>27.653689403649377</v>
      </c>
      <c r="AS963">
        <v>177.89790970552488</v>
      </c>
      <c r="AT963" t="e">
        <v>#DIV/0!</v>
      </c>
      <c r="AU963" t="e">
        <v>#DIV/0!</v>
      </c>
      <c r="AV963"/>
      <c r="AW963"/>
      <c r="FY963" s="212">
        <v>958</v>
      </c>
      <c r="FZ963">
        <v>1.46448811481747</v>
      </c>
      <c r="GA963">
        <v>9.6797892453781209</v>
      </c>
      <c r="GB963">
        <v>11.050371466971207</v>
      </c>
      <c r="GC963">
        <v>5.8467530925036915</v>
      </c>
      <c r="GD963">
        <v>1.8097195381839764</v>
      </c>
      <c r="GE963">
        <v>0</v>
      </c>
      <c r="GF963">
        <v>0.80138167652982462</v>
      </c>
      <c r="GG963">
        <v>3.3224941306074438</v>
      </c>
      <c r="GH963">
        <v>0</v>
      </c>
      <c r="GI963">
        <v>7.4696278095956492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13.356678921568626</v>
      </c>
      <c r="AO964">
        <v>41.111625800820796</v>
      </c>
      <c r="AP964">
        <v>1190.8456832410798</v>
      </c>
      <c r="AQ964">
        <v>57.30411560156459</v>
      </c>
      <c r="AR964">
        <v>37.37420527347345</v>
      </c>
      <c r="AS964">
        <v>216.81269291942348</v>
      </c>
      <c r="AT964" t="e">
        <v>#DIV/0!</v>
      </c>
      <c r="AU964" t="e">
        <v>#DIV/0!</v>
      </c>
      <c r="AV964"/>
      <c r="AW964"/>
      <c r="FY964" s="212">
        <v>959</v>
      </c>
      <c r="FZ964">
        <v>1.2533638407902918</v>
      </c>
      <c r="GA964">
        <v>21.87061031234559</v>
      </c>
      <c r="GB964">
        <v>23.582683538189357</v>
      </c>
      <c r="GC964">
        <v>7.3003974499060362</v>
      </c>
      <c r="GD964">
        <v>0.18521001485477026</v>
      </c>
      <c r="GE964">
        <v>0</v>
      </c>
      <c r="GF964">
        <v>2.4041450295894737</v>
      </c>
      <c r="GG964">
        <v>9.0645205090237582</v>
      </c>
      <c r="GH964">
        <v>1.6229601285312325</v>
      </c>
      <c r="GI964">
        <v>13.2019958598834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8.669791666666665</v>
      </c>
      <c r="AO965">
        <v>27.993008596887602</v>
      </c>
      <c r="AP965">
        <v>341.10799162529224</v>
      </c>
      <c r="AQ965">
        <v>55.895359651890232</v>
      </c>
      <c r="AR965">
        <v>25.516150177735771</v>
      </c>
      <c r="AS965">
        <v>175.0398187284737</v>
      </c>
      <c r="AT965" t="e">
        <v>#DIV/0!</v>
      </c>
      <c r="AU965" t="e">
        <v>#DIV/0!</v>
      </c>
      <c r="AV965"/>
      <c r="AW965"/>
      <c r="FY965" s="212">
        <v>960</v>
      </c>
      <c r="FZ965">
        <v>0.70373625451912492</v>
      </c>
      <c r="GA965">
        <v>15.885300447162585</v>
      </c>
      <c r="GB965">
        <v>20.390788803966387</v>
      </c>
      <c r="GC965">
        <v>7.6964659583672317</v>
      </c>
      <c r="GD965">
        <v>0.98063421471025702</v>
      </c>
      <c r="GE965">
        <v>0</v>
      </c>
      <c r="GF965">
        <v>0.80138167652982462</v>
      </c>
      <c r="GG965">
        <v>4.1541015167564126</v>
      </c>
      <c r="GH965">
        <v>1.6229601285312325</v>
      </c>
      <c r="GI965">
        <v>11.125185243693371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5.7604166666666661</v>
      </c>
      <c r="AO966">
        <v>25.023867892187042</v>
      </c>
      <c r="AP966">
        <v>800.86702400143383</v>
      </c>
      <c r="AQ966">
        <v>43.93607252402402</v>
      </c>
      <c r="AR966">
        <v>22.748970811079133</v>
      </c>
      <c r="AS966">
        <v>210.42542992240735</v>
      </c>
      <c r="AT966" t="e">
        <v>#DIV/0!</v>
      </c>
      <c r="AU966" t="e">
        <v>#DIV/0!</v>
      </c>
      <c r="AV966"/>
      <c r="AW966"/>
      <c r="FY966" s="212">
        <v>961</v>
      </c>
      <c r="FZ966">
        <v>1.6353950055333373</v>
      </c>
      <c r="GA966">
        <v>23.593504859561115</v>
      </c>
      <c r="GB966">
        <v>17.98468265486013</v>
      </c>
      <c r="GC966">
        <v>4.2844582631967461</v>
      </c>
      <c r="GD966">
        <v>0.65456203001394775</v>
      </c>
      <c r="GE966">
        <v>0.71895619221013829</v>
      </c>
      <c r="GF966">
        <v>0.80138167652982462</v>
      </c>
      <c r="GG966">
        <v>4.1541015167564126</v>
      </c>
      <c r="GH966">
        <v>1.6229601285312325</v>
      </c>
      <c r="GI966">
        <v>10.03791893722455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9.1257352941176446</v>
      </c>
      <c r="AO967">
        <v>34.546611795887657</v>
      </c>
      <c r="AP967">
        <v>575.58403105034449</v>
      </c>
      <c r="AQ967">
        <v>48.006762779083957</v>
      </c>
      <c r="AR967">
        <v>31.473971267735816</v>
      </c>
      <c r="AS967">
        <v>147.57305268212573</v>
      </c>
      <c r="AT967" t="e">
        <v>#DIV/0!</v>
      </c>
      <c r="AU967" t="e">
        <v>#DIV/0!</v>
      </c>
      <c r="AV967"/>
      <c r="AW967"/>
      <c r="FY967" s="212">
        <v>962</v>
      </c>
      <c r="FZ967">
        <v>1.46448811481747</v>
      </c>
      <c r="GA967">
        <v>17.137326326499643</v>
      </c>
      <c r="GB967">
        <v>15.302265167486297</v>
      </c>
      <c r="GC967">
        <v>5.3627880756666793</v>
      </c>
      <c r="GD967">
        <v>1.2278438767890103</v>
      </c>
      <c r="GE967">
        <v>0.35947809610506914</v>
      </c>
      <c r="GF967">
        <v>0</v>
      </c>
      <c r="GG967">
        <v>3.3977840412454787</v>
      </c>
      <c r="GH967">
        <v>3.245920257062465</v>
      </c>
      <c r="GI967">
        <v>13.008086357322407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9.8903186274509807</v>
      </c>
      <c r="AO968">
        <v>42.327050711022615</v>
      </c>
      <c r="AP968">
        <v>592.05542753366763</v>
      </c>
      <c r="AQ968">
        <v>54.35064270663711</v>
      </c>
      <c r="AR968">
        <v>38.51311728212135</v>
      </c>
      <c r="AS968">
        <v>191.92089342766411</v>
      </c>
      <c r="AT968" t="e">
        <v>#DIV/0!</v>
      </c>
      <c r="AU968" t="e">
        <v>#DIV/0!</v>
      </c>
      <c r="AV968"/>
      <c r="AW968"/>
      <c r="FY968" s="212">
        <v>963</v>
      </c>
      <c r="FZ968">
        <v>0.89475183689064763</v>
      </c>
      <c r="GA968">
        <v>14.642268565626329</v>
      </c>
      <c r="GB968">
        <v>15.82288381882528</v>
      </c>
      <c r="GC968">
        <v>6.0284993078393532</v>
      </c>
      <c r="GD968">
        <v>1.3196617352145967</v>
      </c>
      <c r="GE968">
        <v>0.35947809610506914</v>
      </c>
      <c r="GF968">
        <v>0.80138167652982462</v>
      </c>
      <c r="GG968">
        <v>4.1541015167564126</v>
      </c>
      <c r="GH968">
        <v>1.6229601285312325</v>
      </c>
      <c r="GI968">
        <v>8.3265758159351702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6.5239583333333329</v>
      </c>
      <c r="AO969">
        <v>26.387253478470107</v>
      </c>
      <c r="AP969">
        <v>399.77131778870455</v>
      </c>
      <c r="AQ969">
        <v>50.62098684553434</v>
      </c>
      <c r="AR969">
        <v>24.022392525255437</v>
      </c>
      <c r="AS969">
        <v>124.66410496409247</v>
      </c>
      <c r="AT969" t="e">
        <v>#DIV/0!</v>
      </c>
      <c r="AU969" t="e">
        <v>#DIV/0!</v>
      </c>
      <c r="AV969"/>
      <c r="AW969"/>
      <c r="FY969" s="212">
        <v>964</v>
      </c>
      <c r="FZ969">
        <v>1.0824569500744246</v>
      </c>
      <c r="GA969">
        <v>22.396900045085527</v>
      </c>
      <c r="GB969">
        <v>15.603940438257689</v>
      </c>
      <c r="GC969">
        <v>3.7824333690001035</v>
      </c>
      <c r="GD969">
        <v>0.78515089336678956</v>
      </c>
      <c r="GE969">
        <v>0.35947809610506914</v>
      </c>
      <c r="GF969">
        <v>0.80138167652982462</v>
      </c>
      <c r="GG969">
        <v>4.1541015167564126</v>
      </c>
      <c r="GH969">
        <v>1.6229601285312325</v>
      </c>
      <c r="GI969">
        <v>9.8324197220742526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13.109803921568627</v>
      </c>
      <c r="AO970">
        <v>35.108054848679487</v>
      </c>
      <c r="AP970">
        <v>937.35491564515792</v>
      </c>
      <c r="AQ970">
        <v>51.320619368631355</v>
      </c>
      <c r="AR970">
        <v>31.984374043001122</v>
      </c>
      <c r="AS970">
        <v>182.68116344328431</v>
      </c>
      <c r="AT970" t="e">
        <v>#DIV/0!</v>
      </c>
      <c r="AU970" t="e">
        <v>#DIV/0!</v>
      </c>
      <c r="AV970"/>
      <c r="AW970"/>
      <c r="FY970" s="212">
        <v>965</v>
      </c>
      <c r="FZ970">
        <v>0.36192247308739012</v>
      </c>
      <c r="GA970">
        <v>6.7588811359722696</v>
      </c>
      <c r="GB970">
        <v>13.198845370982902</v>
      </c>
      <c r="GC970">
        <v>5.4768330805408105</v>
      </c>
      <c r="GD970">
        <v>0.58177046752976991</v>
      </c>
      <c r="GE970">
        <v>0</v>
      </c>
      <c r="GF970">
        <v>0.80138167652982462</v>
      </c>
      <c r="GG970">
        <v>4.407519146589534</v>
      </c>
      <c r="GH970">
        <v>3.245920257062465</v>
      </c>
      <c r="GI970">
        <v>8.0652913696978459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13.955330882352939</v>
      </c>
      <c r="AO971">
        <v>44.415926740228123</v>
      </c>
      <c r="AP971">
        <v>725.58330245945308</v>
      </c>
      <c r="AQ971">
        <v>54.594013195757491</v>
      </c>
      <c r="AR971">
        <v>40.412095490489989</v>
      </c>
      <c r="AS971">
        <v>195.65909665352277</v>
      </c>
      <c r="AT971" t="e">
        <v>#DIV/0!</v>
      </c>
      <c r="AU971" t="e">
        <v>#DIV/0!</v>
      </c>
      <c r="AV971"/>
      <c r="AW971"/>
      <c r="FY971" s="212">
        <v>966</v>
      </c>
      <c r="FZ971">
        <v>0.1709068907158674</v>
      </c>
      <c r="GA971">
        <v>8.1358703404611603</v>
      </c>
      <c r="GB971">
        <v>14.34704257844639</v>
      </c>
      <c r="GC971">
        <v>6.1419826583268478</v>
      </c>
      <c r="GD971">
        <v>1.0972550134361687</v>
      </c>
      <c r="GE971">
        <v>0.71895619221013829</v>
      </c>
      <c r="GF971">
        <v>1.6027633530596492</v>
      </c>
      <c r="GG971">
        <v>6.3202161347321617</v>
      </c>
      <c r="GH971">
        <v>1.6229601285312325</v>
      </c>
      <c r="GI971">
        <v>13.622005251718011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9.7059436274509796</v>
      </c>
      <c r="AO972">
        <v>24.426601174463819</v>
      </c>
      <c r="AP972">
        <v>275.08736622788103</v>
      </c>
      <c r="AQ972">
        <v>57.744213424390125</v>
      </c>
      <c r="AR972">
        <v>22.307941883996758</v>
      </c>
      <c r="AS972">
        <v>161.14308035247112</v>
      </c>
      <c r="AT972" t="e">
        <v>#DIV/0!</v>
      </c>
      <c r="AU972" t="e">
        <v>#DIV/0!</v>
      </c>
      <c r="AV972"/>
      <c r="AW972"/>
      <c r="FY972" s="212">
        <v>967</v>
      </c>
      <c r="FZ972">
        <v>2.3928363966439363</v>
      </c>
      <c r="GA972">
        <v>28.775611616817294</v>
      </c>
      <c r="GB972">
        <v>19.309608079285191</v>
      </c>
      <c r="GC972">
        <v>5.2155833429245648</v>
      </c>
      <c r="GD972">
        <v>1.5028373345663948</v>
      </c>
      <c r="GE972">
        <v>0.71895619221013829</v>
      </c>
      <c r="GF972">
        <v>0.80138167652982462</v>
      </c>
      <c r="GG972">
        <v>3.5759117604405652</v>
      </c>
      <c r="GH972">
        <v>1.6229601285312325</v>
      </c>
      <c r="GI972">
        <v>13.714670280724746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10.835845588235294</v>
      </c>
      <c r="AO973">
        <v>20.802882974677363</v>
      </c>
      <c r="AP973">
        <v>300.28585635789102</v>
      </c>
      <c r="AQ973">
        <v>52.273515287167754</v>
      </c>
      <c r="AR973">
        <v>18.979672339362821</v>
      </c>
      <c r="AS973">
        <v>114.52230052727012</v>
      </c>
      <c r="AT973" t="e">
        <v>#DIV/0!</v>
      </c>
      <c r="AU973" t="e">
        <v>#DIV/0!</v>
      </c>
      <c r="AV973"/>
      <c r="AW973"/>
      <c r="FY973" s="212">
        <v>968</v>
      </c>
      <c r="FZ973">
        <v>0.70373625451912492</v>
      </c>
      <c r="GA973">
        <v>11.523575938830586</v>
      </c>
      <c r="GB973">
        <v>15.19459183782301</v>
      </c>
      <c r="GC973">
        <v>6.7113309446853524</v>
      </c>
      <c r="GD973">
        <v>1.4572380515196928</v>
      </c>
      <c r="GE973">
        <v>0.35947809610506914</v>
      </c>
      <c r="GF973">
        <v>0.80138167652982462</v>
      </c>
      <c r="GG973">
        <v>2.7443043742915965</v>
      </c>
      <c r="GH973">
        <v>0</v>
      </c>
      <c r="GI973">
        <v>9.9919757307916903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8.4351102941176475</v>
      </c>
      <c r="AO974">
        <v>22.262078777888227</v>
      </c>
      <c r="AP974">
        <v>453.82836972318694</v>
      </c>
      <c r="AQ974">
        <v>41.444625074587385</v>
      </c>
      <c r="AR974">
        <v>20.306213978645431</v>
      </c>
      <c r="AS974">
        <v>140.17703080735856</v>
      </c>
      <c r="AT974" t="e">
        <v>#DIV/0!</v>
      </c>
      <c r="AU974" t="e">
        <v>#DIV/0!</v>
      </c>
      <c r="AV974"/>
      <c r="AW974"/>
      <c r="FY974" s="212">
        <v>969</v>
      </c>
      <c r="FZ974">
        <v>0.74064316864268975</v>
      </c>
      <c r="GA974">
        <v>6.35935211417247</v>
      </c>
      <c r="GB974">
        <v>6.3341413616953197</v>
      </c>
      <c r="GC974">
        <v>3.6953917579760613</v>
      </c>
      <c r="GD974">
        <v>1.4075676064939791</v>
      </c>
      <c r="GE974">
        <v>0</v>
      </c>
      <c r="GF974">
        <v>0</v>
      </c>
      <c r="GG974">
        <v>1.1563795126316943</v>
      </c>
      <c r="GH974">
        <v>0</v>
      </c>
      <c r="GI974">
        <v>6.9889731850049701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12.149693627450977</v>
      </c>
      <c r="AO975">
        <v>28.029291383098684</v>
      </c>
      <c r="AP975">
        <v>680.7001554555834</v>
      </c>
      <c r="AQ975">
        <v>80.485886683113904</v>
      </c>
      <c r="AR975">
        <v>25.481173984635163</v>
      </c>
      <c r="AS975">
        <v>153.29498616952338</v>
      </c>
      <c r="AT975" t="e">
        <v>#DIV/0!</v>
      </c>
      <c r="AU975" t="e">
        <v>#DIV/0!</v>
      </c>
      <c r="AV975"/>
      <c r="AW975"/>
      <c r="FY975" s="212">
        <v>970</v>
      </c>
      <c r="FZ975">
        <v>0.36192247308739012</v>
      </c>
      <c r="GA975">
        <v>22.858440681792494</v>
      </c>
      <c r="GB975">
        <v>17.081864924109965</v>
      </c>
      <c r="GC975">
        <v>4.3473482386668323</v>
      </c>
      <c r="GD975">
        <v>0.75274120778202747</v>
      </c>
      <c r="GE975">
        <v>0</v>
      </c>
      <c r="GF975">
        <v>0</v>
      </c>
      <c r="GG975">
        <v>0.83160738614896845</v>
      </c>
      <c r="GH975">
        <v>1.6229601285312325</v>
      </c>
      <c r="GI975">
        <v>8.2640840262891686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8.8364583333333311</v>
      </c>
      <c r="AO976">
        <v>30.125698783716576</v>
      </c>
      <c r="AP976">
        <v>501.58934353079593</v>
      </c>
      <c r="AQ976">
        <v>63.360554244236425</v>
      </c>
      <c r="AR976">
        <v>27.420979166388587</v>
      </c>
      <c r="AS976">
        <v>166.62452928807863</v>
      </c>
      <c r="AT976" t="e">
        <v>#DIV/0!</v>
      </c>
      <c r="AU976" t="e">
        <v>#DIV/0!</v>
      </c>
      <c r="AV976"/>
      <c r="AW976"/>
      <c r="FY976" s="212">
        <v>971</v>
      </c>
      <c r="FZ976">
        <v>1.273472532445947</v>
      </c>
      <c r="GA976">
        <v>20.830564320956999</v>
      </c>
      <c r="GB976">
        <v>9.7581355860213232</v>
      </c>
      <c r="GC976">
        <v>1.3902389112157483</v>
      </c>
      <c r="GD976">
        <v>0.59231265302098235</v>
      </c>
      <c r="GE976">
        <v>0</v>
      </c>
      <c r="GF976">
        <v>0.80138167652982462</v>
      </c>
      <c r="GG976">
        <v>5.2391265327385028</v>
      </c>
      <c r="GH976">
        <v>4.8688803855936991</v>
      </c>
      <c r="GI976">
        <v>8.5197232116683708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9.8726102941176457</v>
      </c>
      <c r="AO977">
        <v>30.714051873047502</v>
      </c>
      <c r="AP977">
        <v>564.12349188048609</v>
      </c>
      <c r="AQ977">
        <v>65.487921264417437</v>
      </c>
      <c r="AR977">
        <v>27.989825883335673</v>
      </c>
      <c r="AS977">
        <v>152.16547247489737</v>
      </c>
      <c r="AT977" t="e">
        <v>#DIV/0!</v>
      </c>
      <c r="AU977" t="e">
        <v>#DIV/0!</v>
      </c>
      <c r="AV977"/>
      <c r="AW977"/>
      <c r="FY977" s="212">
        <v>972</v>
      </c>
      <c r="FZ977">
        <v>0.36192247308739012</v>
      </c>
      <c r="GA977">
        <v>18.247118138944948</v>
      </c>
      <c r="GB977">
        <v>18.298659062183422</v>
      </c>
      <c r="GC977">
        <v>6.5825642912388567</v>
      </c>
      <c r="GD977">
        <v>1.1658442295650273</v>
      </c>
      <c r="GE977">
        <v>0</v>
      </c>
      <c r="GF977">
        <v>0</v>
      </c>
      <c r="GG977">
        <v>1.4097971424648157</v>
      </c>
      <c r="GH977">
        <v>1.6229601285312325</v>
      </c>
      <c r="GI977">
        <v>11.368247993394654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11.234068627450982</v>
      </c>
      <c r="AO978">
        <v>45.441873022064556</v>
      </c>
      <c r="AP978">
        <v>847.1470574498926</v>
      </c>
      <c r="AQ978">
        <v>60.505980312994524</v>
      </c>
      <c r="AR978">
        <v>41.378754200623909</v>
      </c>
      <c r="AS978">
        <v>305.37618066497822</v>
      </c>
      <c r="AT978" t="e">
        <v>#DIV/0!</v>
      </c>
      <c r="AU978" t="e">
        <v>#DIV/0!</v>
      </c>
      <c r="AV978"/>
      <c r="AW978"/>
      <c r="FY978" s="212">
        <v>973</v>
      </c>
      <c r="FZ978">
        <v>0.3418137814317348</v>
      </c>
      <c r="GA978">
        <v>16.773821626244967</v>
      </c>
      <c r="GB978">
        <v>15.833587458071293</v>
      </c>
      <c r="GC978">
        <v>5.0409993027927698</v>
      </c>
      <c r="GD978">
        <v>0.67208715815290332</v>
      </c>
      <c r="GE978">
        <v>0</v>
      </c>
      <c r="GF978">
        <v>0.80138167652982462</v>
      </c>
      <c r="GG978">
        <v>2.7443043742915965</v>
      </c>
      <c r="GH978">
        <v>0</v>
      </c>
      <c r="GI978">
        <v>6.3008636410167584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7.3260416666666641</v>
      </c>
      <c r="AO979">
        <v>26.428953010009565</v>
      </c>
      <c r="AP979">
        <v>519.41681149224428</v>
      </c>
      <c r="AQ979">
        <v>53.972562498253914</v>
      </c>
      <c r="AR979">
        <v>24.094281462392093</v>
      </c>
      <c r="AS979">
        <v>136.53164480427984</v>
      </c>
      <c r="AT979" t="e">
        <v>#DIV/0!</v>
      </c>
      <c r="AU979" t="e">
        <v>#DIV/0!</v>
      </c>
      <c r="AV979"/>
      <c r="AW979"/>
      <c r="FY979" s="212">
        <v>974</v>
      </c>
      <c r="FZ979">
        <v>1.0857674192621707</v>
      </c>
      <c r="GA979">
        <v>18.96221679718747</v>
      </c>
      <c r="GB979">
        <v>11.693704814943976</v>
      </c>
      <c r="GC979">
        <v>2.5960844390843372</v>
      </c>
      <c r="GD979">
        <v>0.80800313182273864</v>
      </c>
      <c r="GE979">
        <v>0.35947809610506914</v>
      </c>
      <c r="GF979">
        <v>1.6027633530596492</v>
      </c>
      <c r="GG979">
        <v>7.9834309070300984</v>
      </c>
      <c r="GH979">
        <v>4.8688803855936991</v>
      </c>
      <c r="GI979">
        <v>8.3491699514200164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10.216360294117646</v>
      </c>
      <c r="AO980">
        <v>35.50131289105822</v>
      </c>
      <c r="AP980">
        <v>630.69730847466508</v>
      </c>
      <c r="AQ980">
        <v>60.421222835781322</v>
      </c>
      <c r="AR980">
        <v>32.273920810052935</v>
      </c>
      <c r="AS980">
        <v>162.34552871620568</v>
      </c>
      <c r="AT980" t="e">
        <v>#DIV/0!</v>
      </c>
      <c r="AU980" t="e">
        <v>#DIV/0!</v>
      </c>
      <c r="AV980"/>
      <c r="AW980"/>
      <c r="FY980" s="212">
        <v>975</v>
      </c>
      <c r="FZ980">
        <v>2.3760381741760268</v>
      </c>
      <c r="GA980">
        <v>10.990640176546117</v>
      </c>
      <c r="GB980">
        <v>11.175821896483473</v>
      </c>
      <c r="GC980">
        <v>6.7692010015586241</v>
      </c>
      <c r="GD980">
        <v>2.3742292462727947</v>
      </c>
      <c r="GE980">
        <v>0</v>
      </c>
      <c r="GF980">
        <v>1.6027633530596492</v>
      </c>
      <c r="GG980">
        <v>6.3202161347321617</v>
      </c>
      <c r="GH980">
        <v>1.6229601285312325</v>
      </c>
      <c r="GI980">
        <v>11.841227544575384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5.8468749999999989</v>
      </c>
      <c r="AO981">
        <v>24.634907052866843</v>
      </c>
      <c r="AP981">
        <v>385.97493475519514</v>
      </c>
      <c r="AQ981">
        <v>42.898364977992813</v>
      </c>
      <c r="AR981">
        <v>22.429350320161561</v>
      </c>
      <c r="AS981">
        <v>117.93471241085815</v>
      </c>
      <c r="AT981" t="e">
        <v>#DIV/0!</v>
      </c>
      <c r="AU981" t="e">
        <v>#DIV/0!</v>
      </c>
      <c r="AV981"/>
      <c r="AW981"/>
      <c r="FY981" s="212">
        <v>976</v>
      </c>
      <c r="FZ981">
        <v>1.4812863372853795</v>
      </c>
      <c r="GA981">
        <v>18.165524915585927</v>
      </c>
      <c r="GB981">
        <v>15.715972600170582</v>
      </c>
      <c r="GC981">
        <v>4.7797875483166514</v>
      </c>
      <c r="GD981">
        <v>0.38617962134803918</v>
      </c>
      <c r="GE981">
        <v>0</v>
      </c>
      <c r="GF981">
        <v>0.80138167652982462</v>
      </c>
      <c r="GG981">
        <v>2.7443043742915965</v>
      </c>
      <c r="GH981">
        <v>0</v>
      </c>
      <c r="GI981">
        <v>12.713073186229062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8.9229166666666639</v>
      </c>
      <c r="AO982">
        <v>48.130762889820673</v>
      </c>
      <c r="AP982">
        <v>556.66348862085897</v>
      </c>
      <c r="AQ982">
        <v>53.779958541637626</v>
      </c>
      <c r="AR982">
        <v>43.755238990746079</v>
      </c>
      <c r="AS982">
        <v>218.29054494593979</v>
      </c>
      <c r="AT982" t="e">
        <v>#DIV/0!</v>
      </c>
      <c r="AU982" t="e">
        <v>#DIV/0!</v>
      </c>
      <c r="AV982"/>
      <c r="AW982"/>
      <c r="FY982" s="212">
        <v>977</v>
      </c>
      <c r="FZ982">
        <v>0.72384494617478023</v>
      </c>
      <c r="GA982">
        <v>24.985342952121322</v>
      </c>
      <c r="GB982">
        <v>20.407071028829961</v>
      </c>
      <c r="GC982">
        <v>5.9448958833686536</v>
      </c>
      <c r="GD982">
        <v>1.0390767984222147</v>
      </c>
      <c r="GE982">
        <v>0</v>
      </c>
      <c r="GF982">
        <v>0.80138167652982462</v>
      </c>
      <c r="GG982">
        <v>3.3224941306074438</v>
      </c>
      <c r="GH982">
        <v>0</v>
      </c>
      <c r="GI982">
        <v>11.109772383887636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16.996997549019607</v>
      </c>
      <c r="AO983">
        <v>41.877431062330523</v>
      </c>
      <c r="AP983">
        <v>471.31957626194503</v>
      </c>
      <c r="AQ983">
        <v>77.630356808673881</v>
      </c>
      <c r="AR983">
        <v>38.070391874845932</v>
      </c>
      <c r="AS983">
        <v>208.37129468533576</v>
      </c>
      <c r="AT983" t="e">
        <v>#DIV/0!</v>
      </c>
      <c r="AU983" t="e">
        <v>#DIV/0!</v>
      </c>
      <c r="AV983"/>
      <c r="AW983"/>
      <c r="FY983" s="212">
        <v>978</v>
      </c>
      <c r="FZ983">
        <v>0</v>
      </c>
      <c r="GA983">
        <v>11.990317948295322</v>
      </c>
      <c r="GB983">
        <v>11.644985029378818</v>
      </c>
      <c r="GC983">
        <v>3.5506228292702597</v>
      </c>
      <c r="GD983">
        <v>0.84332910838074349</v>
      </c>
      <c r="GE983">
        <v>1.0784342883152076</v>
      </c>
      <c r="GF983">
        <v>1.6027633530596492</v>
      </c>
      <c r="GG983">
        <v>6.3202161347321617</v>
      </c>
      <c r="GH983">
        <v>1.6229601285312325</v>
      </c>
      <c r="GI983">
        <v>10.91849822375513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8.4093749999999989</v>
      </c>
      <c r="AO984">
        <v>26.977732858194457</v>
      </c>
      <c r="AP984">
        <v>360.74069800797309</v>
      </c>
      <c r="AQ984">
        <v>49.487612905095943</v>
      </c>
      <c r="AR984">
        <v>24.559191961368484</v>
      </c>
      <c r="AS984">
        <v>161.15668506823533</v>
      </c>
      <c r="AT984" t="e">
        <v>#DIV/0!</v>
      </c>
      <c r="AU984" t="e">
        <v>#DIV/0!</v>
      </c>
      <c r="AV984"/>
      <c r="AW984"/>
      <c r="FY984" s="212">
        <v>979</v>
      </c>
      <c r="FZ984">
        <v>0.74064316864268975</v>
      </c>
      <c r="GA984">
        <v>15.783823237983778</v>
      </c>
      <c r="GB984">
        <v>20.192660116577105</v>
      </c>
      <c r="GC984">
        <v>8.3836554937091492</v>
      </c>
      <c r="GD984">
        <v>1.4973701986501262</v>
      </c>
      <c r="GE984">
        <v>0.35947809610506914</v>
      </c>
      <c r="GF984">
        <v>0</v>
      </c>
      <c r="GG984">
        <v>0.57818975631584713</v>
      </c>
      <c r="GH984">
        <v>0</v>
      </c>
      <c r="GI984">
        <v>10.065452644331495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7.8799019607843119</v>
      </c>
      <c r="AO985">
        <v>38.203502397176514</v>
      </c>
      <c r="AP985">
        <v>736.68864524351056</v>
      </c>
      <c r="AQ985">
        <v>26.682448706617187</v>
      </c>
      <c r="AR985">
        <v>34.730456724705924</v>
      </c>
      <c r="AS985">
        <v>227.0119036361796</v>
      </c>
      <c r="AT985" t="e">
        <v>#DIV/0!</v>
      </c>
      <c r="AU985" t="e">
        <v>#DIV/0!</v>
      </c>
      <c r="AV985"/>
      <c r="AW985"/>
      <c r="FY985" s="212">
        <v>980</v>
      </c>
      <c r="FZ985">
        <v>1.46448811481747</v>
      </c>
      <c r="GA985">
        <v>22.695470572000019</v>
      </c>
      <c r="GB985">
        <v>22.175435487702476</v>
      </c>
      <c r="GC985">
        <v>6.7901630637631172</v>
      </c>
      <c r="GD985">
        <v>1.0245731551216979</v>
      </c>
      <c r="GE985">
        <v>0.71895619221013829</v>
      </c>
      <c r="GF985">
        <v>0</v>
      </c>
      <c r="GG985">
        <v>0</v>
      </c>
      <c r="GH985">
        <v>0</v>
      </c>
      <c r="GI985">
        <v>9.2789609499861267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7.09375</v>
      </c>
      <c r="AO986">
        <v>31.986044376660921</v>
      </c>
      <c r="AP986">
        <v>584.70773683402842</v>
      </c>
      <c r="AQ986">
        <v>56.12096906640808</v>
      </c>
      <c r="AR986">
        <v>29.112202432701626</v>
      </c>
      <c r="AS986">
        <v>145.03264847908167</v>
      </c>
      <c r="AT986" t="e">
        <v>#DIV/0!</v>
      </c>
      <c r="AU986" t="e">
        <v>#DIV/0!</v>
      </c>
      <c r="AV986"/>
      <c r="AW986"/>
      <c r="FY986" s="212">
        <v>981</v>
      </c>
      <c r="FZ986">
        <v>2.0141157010886368</v>
      </c>
      <c r="GA986">
        <v>16.564189706552767</v>
      </c>
      <c r="GB986">
        <v>11.927014611891872</v>
      </c>
      <c r="GC986">
        <v>3.8442053586764429</v>
      </c>
      <c r="GD986">
        <v>1.5966919394680206</v>
      </c>
      <c r="GE986">
        <v>1.0784342883152076</v>
      </c>
      <c r="GF986">
        <v>1.6027633530596492</v>
      </c>
      <c r="GG986">
        <v>6.8984058910480091</v>
      </c>
      <c r="GH986">
        <v>1.6229601285312325</v>
      </c>
      <c r="GI986">
        <v>8.1353904193563036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8.4142769607843135</v>
      </c>
      <c r="AO987">
        <v>31.391908682160789</v>
      </c>
      <c r="AP987">
        <v>445.75718842513612</v>
      </c>
      <c r="AQ987">
        <v>53.273835810191393</v>
      </c>
      <c r="AR987">
        <v>28.572079074065147</v>
      </c>
      <c r="AS987">
        <v>148.2724262453483</v>
      </c>
      <c r="AT987" t="e">
        <v>#DIV/0!</v>
      </c>
      <c r="AU987" t="e">
        <v>#DIV/0!</v>
      </c>
      <c r="AV987"/>
      <c r="AW987"/>
      <c r="FY987" s="212">
        <v>982</v>
      </c>
      <c r="FZ987">
        <v>0.3418137814317348</v>
      </c>
      <c r="GA987">
        <v>6.1210827676657331</v>
      </c>
      <c r="GB987">
        <v>8.8803661777867493</v>
      </c>
      <c r="GC987">
        <v>3.7923379857935551</v>
      </c>
      <c r="GD987">
        <v>0.89069392792790225</v>
      </c>
      <c r="GE987">
        <v>0.71895619221013829</v>
      </c>
      <c r="GF987">
        <v>0.80138167652982462</v>
      </c>
      <c r="GG987">
        <v>2.7443043742915965</v>
      </c>
      <c r="GH987">
        <v>0</v>
      </c>
      <c r="GI987">
        <v>6.6801861383709848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9.2604166666666679</v>
      </c>
      <c r="AO988">
        <v>26.659935622110471</v>
      </c>
      <c r="AP988">
        <v>608.6090519448644</v>
      </c>
      <c r="AQ988">
        <v>59.057113459410346</v>
      </c>
      <c r="AR988">
        <v>24.270285383110306</v>
      </c>
      <c r="AS988">
        <v>187.42835177821826</v>
      </c>
      <c r="AT988" t="e">
        <v>#DIV/0!</v>
      </c>
      <c r="AU988" t="e">
        <v>#DIV/0!</v>
      </c>
      <c r="AV988"/>
      <c r="AW988"/>
      <c r="FY988" s="212">
        <v>983</v>
      </c>
      <c r="FZ988">
        <v>1.6521932280012468</v>
      </c>
      <c r="GA988">
        <v>14.095693432833832</v>
      </c>
      <c r="GB988">
        <v>7.8321901712020505</v>
      </c>
      <c r="GC988">
        <v>1.3874743787877299</v>
      </c>
      <c r="GD988">
        <v>0.43392084473597664</v>
      </c>
      <c r="GE988">
        <v>0.35947809610506914</v>
      </c>
      <c r="GF988">
        <v>0</v>
      </c>
      <c r="GG988">
        <v>1.7345692689475418</v>
      </c>
      <c r="GH988">
        <v>0</v>
      </c>
      <c r="GI988">
        <v>6.7265095642794064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5.4302083333333337</v>
      </c>
      <c r="AO989">
        <v>14.759113806006166</v>
      </c>
      <c r="AP989">
        <v>278.9897936048244</v>
      </c>
      <c r="AQ989">
        <v>48.508859018531851</v>
      </c>
      <c r="AR989">
        <v>13.417376187278332</v>
      </c>
      <c r="AS989">
        <v>117.80571919710908</v>
      </c>
      <c r="AT989" t="e">
        <v>#DIV/0!</v>
      </c>
      <c r="AU989" t="e">
        <v>#DIV/0!</v>
      </c>
      <c r="AV989"/>
      <c r="AW989"/>
      <c r="FY989" s="212">
        <v>984</v>
      </c>
      <c r="FZ989">
        <v>0</v>
      </c>
      <c r="GA989">
        <v>22.902768197868625</v>
      </c>
      <c r="GB989">
        <v>15.983167830463797</v>
      </c>
      <c r="GC989">
        <v>3.2900251181626512</v>
      </c>
      <c r="GD989">
        <v>0.32987897797731686</v>
      </c>
      <c r="GE989">
        <v>0</v>
      </c>
      <c r="GF989">
        <v>0.80138167652982462</v>
      </c>
      <c r="GG989">
        <v>4.7322912730722599</v>
      </c>
      <c r="GH989">
        <v>1.6229601285312325</v>
      </c>
      <c r="GI989">
        <v>7.2802333591979451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5.8812499999999996</v>
      </c>
      <c r="AO990">
        <v>40.392996408890781</v>
      </c>
      <c r="AP990">
        <v>896.07839092148299</v>
      </c>
      <c r="AQ990">
        <v>58.309499295509227</v>
      </c>
      <c r="AR990">
        <v>36.822846642566731</v>
      </c>
      <c r="AS990">
        <v>154.54244748143955</v>
      </c>
      <c r="AT990" t="e">
        <v>#DIV/0!</v>
      </c>
      <c r="AU990" t="e">
        <v>#DIV/0!</v>
      </c>
      <c r="AV990"/>
      <c r="AW990"/>
      <c r="FY990" s="212">
        <v>985</v>
      </c>
      <c r="FZ990">
        <v>0.70373625451912492</v>
      </c>
      <c r="GA990">
        <v>19.439411614084008</v>
      </c>
      <c r="GB990">
        <v>15.049379829471331</v>
      </c>
      <c r="GC990">
        <v>3.8924194119601419</v>
      </c>
      <c r="GD990">
        <v>0.90123611341911469</v>
      </c>
      <c r="GE990">
        <v>0.71895619221013829</v>
      </c>
      <c r="GF990">
        <v>1.6027633530596492</v>
      </c>
      <c r="GG990">
        <v>5.4886087485831929</v>
      </c>
      <c r="GH990">
        <v>0</v>
      </c>
      <c r="GI990">
        <v>9.7372152824054403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13.224387254901959</v>
      </c>
      <c r="AO991">
        <v>33.636819344969922</v>
      </c>
      <c r="AP991">
        <v>528.62386728376669</v>
      </c>
      <c r="AQ991">
        <v>55.073097655935463</v>
      </c>
      <c r="AR991">
        <v>30.646887221446963</v>
      </c>
      <c r="AS991">
        <v>168.63524327930634</v>
      </c>
      <c r="AT991" t="e">
        <v>#DIV/0!</v>
      </c>
      <c r="AU991" t="e">
        <v>#DIV/0!</v>
      </c>
      <c r="AV991"/>
      <c r="AW991"/>
      <c r="FY991" s="212">
        <v>986</v>
      </c>
      <c r="FZ991">
        <v>0.53282936380325752</v>
      </c>
      <c r="GA991">
        <v>23.044261187402626</v>
      </c>
      <c r="GB991">
        <v>21.538548272427306</v>
      </c>
      <c r="GC991">
        <v>6.6991509164885992</v>
      </c>
      <c r="GD991">
        <v>1.3298298478380977</v>
      </c>
      <c r="GE991">
        <v>0.35947809610506914</v>
      </c>
      <c r="GF991">
        <v>0.80138167652982462</v>
      </c>
      <c r="GG991">
        <v>4.9857089029053814</v>
      </c>
      <c r="GH991">
        <v>3.245920257062465</v>
      </c>
      <c r="GI991">
        <v>13.992936575496994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13.596262254901962</v>
      </c>
      <c r="AO992">
        <v>37.437633272465099</v>
      </c>
      <c r="AP992">
        <v>517.05229771157838</v>
      </c>
      <c r="AQ992">
        <v>56.787510259757056</v>
      </c>
      <c r="AR992">
        <v>34.034212065877369</v>
      </c>
      <c r="AS992">
        <v>179.16930092137116</v>
      </c>
      <c r="AT992" t="e">
        <v>#DIV/0!</v>
      </c>
      <c r="AU992" t="e">
        <v>#DIV/0!</v>
      </c>
      <c r="AV992"/>
      <c r="AW992"/>
      <c r="FY992" s="212">
        <v>987</v>
      </c>
      <c r="FZ992">
        <v>0.53282936380325752</v>
      </c>
      <c r="GA992">
        <v>16.80575115755083</v>
      </c>
      <c r="GB992">
        <v>15.63460574852726</v>
      </c>
      <c r="GC992">
        <v>5.8069231522463189</v>
      </c>
      <c r="GD992">
        <v>1.727299952054395</v>
      </c>
      <c r="GE992">
        <v>0.71895619221013829</v>
      </c>
      <c r="GF992">
        <v>0</v>
      </c>
      <c r="GG992">
        <v>2.5661766550965104</v>
      </c>
      <c r="GH992">
        <v>1.6229601285312325</v>
      </c>
      <c r="GI992">
        <v>10.842671977016007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8.5864583333333346</v>
      </c>
      <c r="AO993">
        <v>33.004071349022055</v>
      </c>
      <c r="AP993">
        <v>920.15316482218282</v>
      </c>
      <c r="AQ993">
        <v>68.333879799941826</v>
      </c>
      <c r="AR993">
        <v>30.071661770585273</v>
      </c>
      <c r="AS993">
        <v>154.36941248195433</v>
      </c>
      <c r="AT993" t="e">
        <v>#DIV/0!</v>
      </c>
      <c r="AU993" t="e">
        <v>#DIV/0!</v>
      </c>
      <c r="AV993"/>
      <c r="AW993"/>
      <c r="FY993" s="212">
        <v>988</v>
      </c>
      <c r="FZ993">
        <v>1.0857674192621707</v>
      </c>
      <c r="GA993">
        <v>15.391662917172777</v>
      </c>
      <c r="GB993">
        <v>12.877980836524832</v>
      </c>
      <c r="GC993">
        <v>4.3560163926505382</v>
      </c>
      <c r="GD993">
        <v>1.1124790264010804</v>
      </c>
      <c r="GE993">
        <v>0.35947809610506914</v>
      </c>
      <c r="GF993">
        <v>1.6027633530596492</v>
      </c>
      <c r="GG993">
        <v>8.3082030335128252</v>
      </c>
      <c r="GH993">
        <v>3.245920257062465</v>
      </c>
      <c r="GI993">
        <v>12.603609169530978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6.9645833333333345</v>
      </c>
      <c r="AO994">
        <v>27.510851970446616</v>
      </c>
      <c r="AP994">
        <v>642.43927627392804</v>
      </c>
      <c r="AQ994">
        <v>49.572127043718524</v>
      </c>
      <c r="AR994">
        <v>25.00986542767874</v>
      </c>
      <c r="AS994">
        <v>144.15729744041309</v>
      </c>
      <c r="AT994" t="e">
        <v>#DIV/0!</v>
      </c>
      <c r="AU994" t="e">
        <v>#DIV/0!</v>
      </c>
      <c r="AV994"/>
      <c r="AW994"/>
      <c r="FY994" s="212">
        <v>989</v>
      </c>
      <c r="FZ994">
        <v>1.273472532445947</v>
      </c>
      <c r="GA994">
        <v>14.789148005225311</v>
      </c>
      <c r="GB994">
        <v>14.872407701016803</v>
      </c>
      <c r="GC994">
        <v>5.1137171702510953</v>
      </c>
      <c r="GD994">
        <v>0.80800313182273864</v>
      </c>
      <c r="GE994">
        <v>0.35947809610506914</v>
      </c>
      <c r="GF994">
        <v>0</v>
      </c>
      <c r="GG994">
        <v>0.83160738614896845</v>
      </c>
      <c r="GH994">
        <v>1.6229601285312325</v>
      </c>
      <c r="GI994">
        <v>7.0463773956606754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10.765318627450981</v>
      </c>
      <c r="AO995">
        <v>28.195570382987334</v>
      </c>
      <c r="AP995">
        <v>449.64569916564818</v>
      </c>
      <c r="AQ995">
        <v>57.601272712315257</v>
      </c>
      <c r="AR995">
        <v>25.632336711806666</v>
      </c>
      <c r="AS995">
        <v>211.06030397799313</v>
      </c>
      <c r="AT995" t="e">
        <v>#DIV/0!</v>
      </c>
      <c r="AU995" t="e">
        <v>#DIV/0!</v>
      </c>
      <c r="AV995"/>
      <c r="AW995"/>
      <c r="FY995" s="212">
        <v>990</v>
      </c>
      <c r="FZ995">
        <v>1.273472532445947</v>
      </c>
      <c r="GA995">
        <v>9.8998239105858623</v>
      </c>
      <c r="GB995">
        <v>10.738463585763595</v>
      </c>
      <c r="GC995">
        <v>4.5841047048696595</v>
      </c>
      <c r="GD995">
        <v>0.98063421471025702</v>
      </c>
      <c r="GE995">
        <v>0</v>
      </c>
      <c r="GF995">
        <v>3.2055267061192985</v>
      </c>
      <c r="GG995">
        <v>13.796811782096018</v>
      </c>
      <c r="GH995">
        <v>3.245920257062465</v>
      </c>
      <c r="GI995">
        <v>11.87417494219001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10.411151960784313</v>
      </c>
      <c r="AO996">
        <v>17.746344944688012</v>
      </c>
      <c r="AP996">
        <v>113.03649874769172</v>
      </c>
      <c r="AQ996">
        <v>64.148047535601037</v>
      </c>
      <c r="AR996">
        <v>16.201001403008867</v>
      </c>
      <c r="AS996">
        <v>109.06420134834232</v>
      </c>
      <c r="AT996" t="e">
        <v>#DIV/0!</v>
      </c>
      <c r="AU996" t="e">
        <v>#DIV/0!</v>
      </c>
      <c r="AV996"/>
      <c r="AW996"/>
      <c r="FY996" s="212">
        <v>991</v>
      </c>
      <c r="FZ996">
        <v>0.53282936380325752</v>
      </c>
      <c r="GA996">
        <v>18.448862643354854</v>
      </c>
      <c r="GB996">
        <v>16.524029094844469</v>
      </c>
      <c r="GC996">
        <v>4.9457505539157367</v>
      </c>
      <c r="GD996">
        <v>1.0972550134361687</v>
      </c>
      <c r="GE996">
        <v>0.71895619221013829</v>
      </c>
      <c r="GF996">
        <v>0.80138167652982462</v>
      </c>
      <c r="GG996">
        <v>4.7322912730722599</v>
      </c>
      <c r="GH996">
        <v>1.6229601285312325</v>
      </c>
      <c r="GI996">
        <v>13.007556221961361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10.703553921568625</v>
      </c>
      <c r="AO997">
        <v>24.277129026953343</v>
      </c>
      <c r="AP997">
        <v>703.53371371678179</v>
      </c>
      <c r="AQ997">
        <v>55.284171397988146</v>
      </c>
      <c r="AR997">
        <v>22.104097569331103</v>
      </c>
      <c r="AS997">
        <v>135.312536501549</v>
      </c>
      <c r="AT997" t="e">
        <v>#DIV/0!</v>
      </c>
      <c r="AU997" t="e">
        <v>#DIV/0!</v>
      </c>
      <c r="AV997"/>
      <c r="AW997"/>
      <c r="FY997" s="212">
        <v>992</v>
      </c>
      <c r="FZ997">
        <v>1.9973174786207277</v>
      </c>
      <c r="GA997">
        <v>23.440738661517145</v>
      </c>
      <c r="GB997">
        <v>19.936088084858458</v>
      </c>
      <c r="GC997">
        <v>6.4651375404156806</v>
      </c>
      <c r="GD997">
        <v>1.2769787431411372</v>
      </c>
      <c r="GE997">
        <v>0.35947809610506914</v>
      </c>
      <c r="GF997">
        <v>0.80138167652982462</v>
      </c>
      <c r="GG997">
        <v>4.1541015167564126</v>
      </c>
      <c r="GH997">
        <v>1.6229601285312325</v>
      </c>
      <c r="GI997">
        <v>11.368269322549345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5.7843749999999998</v>
      </c>
      <c r="AO998">
        <v>27.582485880272902</v>
      </c>
      <c r="AP998">
        <v>328.41050296723131</v>
      </c>
      <c r="AQ998">
        <v>30.971123022008221</v>
      </c>
      <c r="AR998">
        <v>25.074987163884455</v>
      </c>
      <c r="AS998">
        <v>113.26037633868538</v>
      </c>
      <c r="AT998" t="e">
        <v>#DIV/0!</v>
      </c>
      <c r="AU998" t="e">
        <v>#DIV/0!</v>
      </c>
      <c r="AV998"/>
      <c r="AW998"/>
      <c r="FY998" s="212">
        <v>993</v>
      </c>
      <c r="FZ998">
        <v>1.10256564173008</v>
      </c>
      <c r="GA998">
        <v>25.145676684921121</v>
      </c>
      <c r="GB998">
        <v>16.866831947263677</v>
      </c>
      <c r="GC998">
        <v>5.2501954368963801</v>
      </c>
      <c r="GD998">
        <v>1.9227832733978625</v>
      </c>
      <c r="GE998">
        <v>0.35947809610506914</v>
      </c>
      <c r="GF998">
        <v>0.80138167652982462</v>
      </c>
      <c r="GG998">
        <v>3.3224941306074438</v>
      </c>
      <c r="GH998">
        <v>0</v>
      </c>
      <c r="GI998">
        <v>11.239056370083171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9.5306372549019596</v>
      </c>
      <c r="AO999">
        <v>38.77247773485955</v>
      </c>
      <c r="AP999">
        <v>971.92153289908492</v>
      </c>
      <c r="AQ999">
        <v>34.222028984892852</v>
      </c>
      <c r="AR999">
        <v>35.247707031690489</v>
      </c>
      <c r="AS999">
        <v>198.99304239733036</v>
      </c>
      <c r="AT999" t="e">
        <v>#DIV/0!</v>
      </c>
      <c r="AU999" t="e">
        <v>#DIV/0!</v>
      </c>
      <c r="AV999"/>
      <c r="AW999"/>
      <c r="FY999" s="212">
        <v>994</v>
      </c>
      <c r="FZ999">
        <v>0.53282936380325752</v>
      </c>
      <c r="GA999">
        <v>25.978258084848537</v>
      </c>
      <c r="GB999">
        <v>27.596354766899875</v>
      </c>
      <c r="GC999">
        <v>8.9098097890010415</v>
      </c>
      <c r="GD999">
        <v>0.93452083319656853</v>
      </c>
      <c r="GE999">
        <v>0</v>
      </c>
      <c r="GF999">
        <v>0.80138167652982462</v>
      </c>
      <c r="GG999">
        <v>2.7443043742915965</v>
      </c>
      <c r="GH999">
        <v>0</v>
      </c>
      <c r="GI999">
        <v>12.22178824872006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6.3781249999999998</v>
      </c>
      <c r="AO1000">
        <v>28.676940785704328</v>
      </c>
      <c r="AP1000">
        <v>1067.380803582178</v>
      </c>
      <c r="AQ1000">
        <v>56.942706561803654</v>
      </c>
      <c r="AR1000">
        <v>26.069946168822117</v>
      </c>
      <c r="AS1000">
        <v>141.37593059812454</v>
      </c>
      <c r="AT1000" t="e">
        <v>#DIV/0!</v>
      </c>
      <c r="AU1000" t="e">
        <v>#DIV/0!</v>
      </c>
      <c r="AV1000"/>
      <c r="AW1000"/>
      <c r="FY1000" s="212">
        <v>995</v>
      </c>
      <c r="FZ1000">
        <v>2.908867537979285</v>
      </c>
      <c r="GA1000">
        <v>15.958839583845593</v>
      </c>
      <c r="GB1000">
        <v>22.500877527090537</v>
      </c>
      <c r="GC1000">
        <v>9.9788143342039657</v>
      </c>
      <c r="GD1000">
        <v>1.8841714433034147</v>
      </c>
      <c r="GE1000">
        <v>0.35947809610506914</v>
      </c>
      <c r="GF1000">
        <v>0</v>
      </c>
      <c r="GG1000">
        <v>0.57818975631584713</v>
      </c>
      <c r="GH1000">
        <v>0</v>
      </c>
      <c r="GI1000">
        <v>12.096171266962303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7.35</v>
      </c>
      <c r="AO1001">
        <v>30.061542646309867</v>
      </c>
      <c r="AP1001">
        <v>503.18360232814246</v>
      </c>
      <c r="AQ1001">
        <v>57.533726799712142</v>
      </c>
      <c r="AR1001">
        <v>27.362655405109763</v>
      </c>
      <c r="AS1001">
        <v>149.10974830014129</v>
      </c>
      <c r="AT1001" t="e">
        <v>#DIV/0!</v>
      </c>
      <c r="AU1001" t="e">
        <v>#DIV/0!</v>
      </c>
      <c r="AV1001"/>
      <c r="AW1001"/>
      <c r="FY1001" s="212">
        <v>996</v>
      </c>
      <c r="FZ1001">
        <v>0.3418137814317348</v>
      </c>
      <c r="GA1001">
        <v>27.533505677774308</v>
      </c>
      <c r="GB1001">
        <v>23.297121669793825</v>
      </c>
      <c r="GC1001">
        <v>6.47488075389861</v>
      </c>
      <c r="GD1001">
        <v>0.71972085670257746</v>
      </c>
      <c r="GE1001">
        <v>0</v>
      </c>
      <c r="GF1001">
        <v>0</v>
      </c>
      <c r="GG1001">
        <v>0</v>
      </c>
      <c r="GH1001">
        <v>0</v>
      </c>
      <c r="GI1001">
        <v>7.85528883353527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10.576041666666667</v>
      </c>
      <c r="AO1002">
        <v>35.2657966111882</v>
      </c>
      <c r="AP1002">
        <v>607.18290523618521</v>
      </c>
      <c r="AQ1002">
        <v>76.530045096059624</v>
      </c>
      <c r="AR1002">
        <v>32.093795373180974</v>
      </c>
      <c r="AS1002">
        <v>198.64508867463618</v>
      </c>
      <c r="AT1002" t="e">
        <v>#DIV/0!</v>
      </c>
      <c r="AU1002" t="e">
        <v>#DIV/0!</v>
      </c>
      <c r="AV1002"/>
      <c r="AW1002"/>
      <c r="FY1002" s="212">
        <v>997</v>
      </c>
      <c r="FZ1002">
        <v>2.3760381741760268</v>
      </c>
      <c r="GA1002">
        <v>21.858762910043286</v>
      </c>
      <c r="GB1002">
        <v>12.361635913399962</v>
      </c>
      <c r="GC1002">
        <v>3.1674376340971744</v>
      </c>
      <c r="GD1002">
        <v>1.1922535315330012</v>
      </c>
      <c r="GE1002">
        <v>0.35947809610506914</v>
      </c>
      <c r="GF1002">
        <v>0.80138167652982462</v>
      </c>
      <c r="GG1002">
        <v>4.1541015167564126</v>
      </c>
      <c r="GH1002">
        <v>1.6229601285312325</v>
      </c>
      <c r="GI1002">
        <v>9.7875082958013504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8.2499999999999982</v>
      </c>
      <c r="AO1003">
        <v>35.697271600942003</v>
      </c>
      <c r="AP1003">
        <v>873.68559294368424</v>
      </c>
      <c r="AQ1003">
        <v>56.25817432703596</v>
      </c>
      <c r="AR1003">
        <v>32.486045363866239</v>
      </c>
      <c r="AS1003">
        <v>281.61489930908891</v>
      </c>
      <c r="AT1003" t="e">
        <v>#DIV/0!</v>
      </c>
      <c r="AU1003" t="e">
        <v>#DIV/0!</v>
      </c>
      <c r="AV1003"/>
      <c r="AW1003"/>
      <c r="FY1003" s="212">
        <v>998</v>
      </c>
      <c r="FZ1003">
        <v>1.273472532445947</v>
      </c>
      <c r="GA1003">
        <v>23.065386558960164</v>
      </c>
      <c r="GB1003">
        <v>13.350704272756525</v>
      </c>
      <c r="GC1003">
        <v>2.4853657646451346</v>
      </c>
      <c r="GD1003">
        <v>1.4153078671277908</v>
      </c>
      <c r="GE1003">
        <v>1.7973904805253458</v>
      </c>
      <c r="GF1003">
        <v>0.80138167652982462</v>
      </c>
      <c r="GG1003">
        <v>4.1541015167564126</v>
      </c>
      <c r="GH1003">
        <v>1.6229601285312325</v>
      </c>
      <c r="GI1003">
        <v>8.0829197452074535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8.8499999999999979</v>
      </c>
      <c r="AO1004">
        <v>43.163551849827968</v>
      </c>
      <c r="AP1004">
        <v>1193.3069194941986</v>
      </c>
      <c r="AQ1004">
        <v>60.943880501282393</v>
      </c>
      <c r="AR1004">
        <v>39.341533407055074</v>
      </c>
      <c r="AS1004">
        <v>397.17527968855376</v>
      </c>
      <c r="AT1004" t="e">
        <v>#DIV/0!</v>
      </c>
      <c r="AU1004" t="e">
        <v>#DIV/0!</v>
      </c>
      <c r="AV1004"/>
      <c r="AW1004"/>
      <c r="FY1004" s="212">
        <v>999</v>
      </c>
      <c r="FZ1004">
        <v>1.4443794231618146</v>
      </c>
      <c r="GA1004">
        <v>10.952990558188983</v>
      </c>
      <c r="GB1004">
        <v>14.425941098301109</v>
      </c>
      <c r="GC1004">
        <v>6.1168274859580753</v>
      </c>
      <c r="GD1004">
        <v>1.1446198329833275</v>
      </c>
      <c r="GE1004">
        <v>0.35947809610506914</v>
      </c>
      <c r="GF1004">
        <v>0</v>
      </c>
      <c r="GG1004">
        <v>0.57818975631584713</v>
      </c>
      <c r="GH1004">
        <v>0</v>
      </c>
      <c r="GI1004">
        <v>8.5853375660879845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8.2965686274509789</v>
      </c>
      <c r="AO1005">
        <v>26.561288393516758</v>
      </c>
      <c r="AP1005">
        <v>221.53033989499872</v>
      </c>
      <c r="AQ1005">
        <v>46.71717154720784</v>
      </c>
      <c r="AR1005">
        <v>24.180606084388756</v>
      </c>
      <c r="AS1005">
        <v>138.69068211834829</v>
      </c>
      <c r="AT1005" t="e">
        <v>#DIV/0!</v>
      </c>
      <c r="AU1005" t="e">
        <v>#DIV/0!</v>
      </c>
      <c r="AV1005"/>
      <c r="AW1005"/>
      <c r="FY1005" s="212">
        <v>1000</v>
      </c>
      <c r="FZ1005">
        <v>1.8432088103727695</v>
      </c>
      <c r="GA1005">
        <v>15.976004968383126</v>
      </c>
      <c r="GB1005">
        <v>13.625590079880542</v>
      </c>
      <c r="GC1005">
        <v>5.1745082614068201</v>
      </c>
      <c r="GD1005">
        <v>1.3725128399115567</v>
      </c>
      <c r="GE1005">
        <v>0.35947809610506914</v>
      </c>
      <c r="GF1005">
        <v>0.80138167652982462</v>
      </c>
      <c r="GG1005">
        <v>3.5759117604405652</v>
      </c>
      <c r="GH1005">
        <v>1.6229601285312325</v>
      </c>
      <c r="GI1005">
        <v>9.9752030306879433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9.90281862745098</v>
      </c>
      <c r="AO1006">
        <v>33.942535523427274</v>
      </c>
      <c r="AP1006">
        <v>1275.7961756896123</v>
      </c>
      <c r="AQ1006">
        <v>59.598932635843113</v>
      </c>
      <c r="AR1006">
        <v>30.890830747943767</v>
      </c>
      <c r="AS1006">
        <v>159.95194036668227</v>
      </c>
      <c r="AT1006" t="e">
        <v>#DIV/0!</v>
      </c>
      <c r="AU1006" t="e">
        <v>#DIV/0!</v>
      </c>
      <c r="AV1006"/>
      <c r="AW1006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9.638541666666665</v>
      </c>
      <c r="AO1007">
        <v>53.179562054817929</v>
      </c>
      <c r="AP1007">
        <v>925.29821423336466</v>
      </c>
      <c r="AQ1007">
        <v>62.431872161659292</v>
      </c>
      <c r="AR1007">
        <v>48.379036685571634</v>
      </c>
      <c r="AS1007">
        <v>214.15929355187308</v>
      </c>
      <c r="AT1007" t="e">
        <v>#DIV/0!</v>
      </c>
      <c r="AU1007" t="e">
        <v>#DIV/0!</v>
      </c>
      <c r="AV1007"/>
      <c r="AW1007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11.70594362745098</v>
      </c>
      <c r="AO1008">
        <v>30.470290573300304</v>
      </c>
      <c r="AP1008">
        <v>513.85439193467141</v>
      </c>
      <c r="AQ1008">
        <v>71.422451249025031</v>
      </c>
      <c r="AR1008">
        <v>27.802204973848106</v>
      </c>
      <c r="AS1008">
        <v>223.10516407509837</v>
      </c>
      <c r="AT1008" t="e">
        <v>#DIV/0!</v>
      </c>
      <c r="AU1008" t="e">
        <v>#DIV/0!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11.080943627450981</v>
      </c>
      <c r="AO1009">
        <v>36.315403740195919</v>
      </c>
      <c r="AP1009">
        <v>664.41945711817357</v>
      </c>
      <c r="AQ1009">
        <v>66.010463257534639</v>
      </c>
      <c r="AR1009">
        <v>33.04798367227891</v>
      </c>
      <c r="AS1009">
        <v>212.16007219977996</v>
      </c>
      <c r="AT1009" t="e">
        <v>#DIV/0!</v>
      </c>
      <c r="AU1009" t="e">
        <v>#DIV/0!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10.138541666666667</v>
      </c>
      <c r="AO1010">
        <v>24.46614659316845</v>
      </c>
      <c r="AP1010">
        <v>322.84134767034789</v>
      </c>
      <c r="AQ1010">
        <v>79.719247137290765</v>
      </c>
      <c r="AR1010">
        <v>22.275931720435743</v>
      </c>
      <c r="AS1010">
        <v>148.08965161390452</v>
      </c>
      <c r="AT1010" t="e">
        <v>#DIV/0!</v>
      </c>
      <c r="AU1010" t="e">
        <v>#DIV/0!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15.561887254901958</v>
      </c>
      <c r="AO1011">
        <v>32.396676094330758</v>
      </c>
      <c r="AP1011">
        <v>461.29420141715264</v>
      </c>
      <c r="AQ1011">
        <v>66.265409545806023</v>
      </c>
      <c r="AR1011">
        <v>29.553464538421245</v>
      </c>
      <c r="AS1011">
        <v>300.54882272931712</v>
      </c>
      <c r="AT1011" t="e">
        <v>#DIV/0!</v>
      </c>
      <c r="AU1011" t="e">
        <v>#DIV/0!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7.59375</v>
      </c>
      <c r="AO1012">
        <v>14.580448689125285</v>
      </c>
      <c r="AP1012">
        <v>103.27062793487104</v>
      </c>
      <c r="AQ1012">
        <v>66.22233157313633</v>
      </c>
      <c r="AR1012">
        <v>13.254953353750256</v>
      </c>
      <c r="AS1012">
        <v>98.220769296657338</v>
      </c>
      <c r="AT1012" t="e">
        <v>#DIV/0!</v>
      </c>
      <c r="AU1012" t="e">
        <v>#DIV/0!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11.648345588235292</v>
      </c>
      <c r="AO1013">
        <v>28.210153561126923</v>
      </c>
      <c r="AP1013">
        <v>554.79233132627837</v>
      </c>
      <c r="AQ1013">
        <v>57.681557876973343</v>
      </c>
      <c r="AR1013">
        <v>25.713554690680606</v>
      </c>
      <c r="AS1013">
        <v>147.37324680352012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8.3101102941176475</v>
      </c>
      <c r="AO1014">
        <v>30.816317996616061</v>
      </c>
      <c r="AP1014">
        <v>613.71214436020625</v>
      </c>
      <c r="AQ1014">
        <v>58.048990543485836</v>
      </c>
      <c r="AR1014">
        <v>28.048814814479023</v>
      </c>
      <c r="AS1014">
        <v>141.65336939675848</v>
      </c>
      <c r="AT1014" t="e">
        <v>#DIV/0!</v>
      </c>
      <c r="AU1014" t="e">
        <v>#DIV/0!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9.4424019607843146</v>
      </c>
      <c r="AO1015">
        <v>32.526831675442608</v>
      </c>
      <c r="AP1015">
        <v>396.00291960207738</v>
      </c>
      <c r="AQ1015">
        <v>43.607763817102217</v>
      </c>
      <c r="AR1015">
        <v>29.60382724977589</v>
      </c>
      <c r="AS1015">
        <v>194.1963875913639</v>
      </c>
      <c r="AT1015" t="e">
        <v>#DIV/0!</v>
      </c>
      <c r="AU1015" t="e">
        <v>#DIV/0!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11.502512254901958</v>
      </c>
      <c r="AO1016">
        <v>21.456990291531174</v>
      </c>
      <c r="AP1016">
        <v>307.00377130411857</v>
      </c>
      <c r="AQ1016">
        <v>54.326759652249443</v>
      </c>
      <c r="AR1016">
        <v>19.540335082583681</v>
      </c>
      <c r="AS1016">
        <v>131.70574897453838</v>
      </c>
      <c r="AT1016" t="e">
        <v>#DIV/0!</v>
      </c>
      <c r="AU1016" t="e">
        <v>#DIV/0!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  <mergeCell ref="FI10:FJ10"/>
    <mergeCell ref="FK10:FL10"/>
    <mergeCell ref="FM10:FN10"/>
    <mergeCell ref="FI11:FJ11"/>
    <mergeCell ref="FK11:FL11"/>
    <mergeCell ref="FM11:FN11"/>
    <mergeCell ref="FI12:FJ12"/>
    <mergeCell ref="FK12:FL12"/>
    <mergeCell ref="FM12:FN12"/>
    <mergeCell ref="FI13:FJ13"/>
    <mergeCell ref="FK13:FL13"/>
    <mergeCell ref="FM13:FN13"/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2011-01-13T00:17:53Z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