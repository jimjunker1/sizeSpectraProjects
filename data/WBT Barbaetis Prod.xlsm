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5" yWindow="0" windowWidth="17805" windowHeight="757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2" i="1"/>
  <c r="DH212"/>
  <c r="DI212"/>
  <c r="DJ212"/>
  <c r="DK212"/>
  <c r="DL212"/>
  <c r="DM212"/>
  <c r="DN212"/>
  <c r="DO212"/>
  <c r="DG213"/>
  <c r="DH213"/>
  <c r="DI213"/>
  <c r="DJ213"/>
  <c r="DK213"/>
  <c r="DL213"/>
  <c r="DM213"/>
  <c r="DN213"/>
  <c r="DO213"/>
  <c r="DG214"/>
  <c r="DH214"/>
  <c r="DI214"/>
  <c r="DJ214"/>
  <c r="DK214"/>
  <c r="DL214"/>
  <c r="DM214"/>
  <c r="DN214"/>
  <c r="DO214"/>
  <c r="DG215"/>
  <c r="DH215"/>
  <c r="DI215"/>
  <c r="DJ215"/>
  <c r="DK215"/>
  <c r="DL215"/>
  <c r="DM215"/>
  <c r="DN215"/>
  <c r="DO215"/>
  <c r="DG216"/>
  <c r="DH216"/>
  <c r="DI216"/>
  <c r="DJ216"/>
  <c r="DK216"/>
  <c r="DL216"/>
  <c r="DM216"/>
  <c r="DN216"/>
  <c r="DO216"/>
  <c r="DG217"/>
  <c r="DH217"/>
  <c r="DI217"/>
  <c r="DJ217"/>
  <c r="DK217"/>
  <c r="DL217"/>
  <c r="DM217"/>
  <c r="DN217"/>
  <c r="DO217"/>
  <c r="DG218"/>
  <c r="DH218"/>
  <c r="DI218"/>
  <c r="DJ218"/>
  <c r="DK218"/>
  <c r="DL218"/>
  <c r="DM218"/>
  <c r="DN218"/>
  <c r="DO218"/>
  <c r="DG219"/>
  <c r="DH219"/>
  <c r="DI219"/>
  <c r="DJ219"/>
  <c r="DK219"/>
  <c r="DL219"/>
  <c r="DM219"/>
  <c r="DN219"/>
  <c r="DO219"/>
  <c r="DG220"/>
  <c r="DH220"/>
  <c r="DI220"/>
  <c r="DJ220"/>
  <c r="DK220"/>
  <c r="DL220"/>
  <c r="DM220"/>
  <c r="DN220"/>
  <c r="DO220"/>
  <c r="DG221"/>
  <c r="DH221"/>
  <c r="DI221"/>
  <c r="DJ221"/>
  <c r="DK221"/>
  <c r="DL221"/>
  <c r="DM221"/>
  <c r="DN221"/>
  <c r="DO221"/>
  <c r="CX112" l="1"/>
  <c r="FQ7" l="1"/>
  <c r="FU16"/>
  <c r="FU15"/>
  <c r="FU14"/>
  <c r="FU13"/>
  <c r="FU12"/>
  <c r="FU11"/>
  <c r="FU10"/>
  <c r="FU9"/>
  <c r="FU8"/>
  <c r="FU7"/>
  <c r="FS16"/>
  <c r="FS15"/>
  <c r="FS14"/>
  <c r="FS13"/>
  <c r="FS12"/>
  <c r="FS11"/>
  <c r="FS10"/>
  <c r="FS9"/>
  <c r="FS8"/>
  <c r="FS7"/>
  <c r="FQ8"/>
  <c r="FQ9"/>
  <c r="FQ10"/>
  <c r="FQ11"/>
  <c r="FQ12"/>
  <c r="FQ13"/>
  <c r="FQ14"/>
  <c r="FQ15"/>
  <c r="FQ16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H422" s="1"/>
  <c r="A438"/>
  <c r="I36"/>
  <c r="I372" s="1"/>
  <c r="I422" s="1"/>
  <c r="J36"/>
  <c r="E463" s="1"/>
  <c r="K36"/>
  <c r="E465" s="1"/>
  <c r="L36"/>
  <c r="E467" s="1"/>
  <c r="M36"/>
  <c r="E469" s="1"/>
  <c r="N36"/>
  <c r="E471" s="1"/>
  <c r="O36"/>
  <c r="O372" s="1"/>
  <c r="P36"/>
  <c r="P372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AD372" s="1"/>
  <c r="AD422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N372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1"/>
  <c r="CX186"/>
  <c r="CZ186"/>
  <c r="DJ186"/>
  <c r="DN186"/>
  <c r="DO186"/>
  <c r="DP186"/>
  <c r="DQ186"/>
  <c r="FA186" s="1"/>
  <c r="DR186"/>
  <c r="DS186"/>
  <c r="DT186"/>
  <c r="FD186" s="1"/>
  <c r="DU186"/>
  <c r="DV186"/>
  <c r="DW186"/>
  <c r="DX186"/>
  <c r="DY186"/>
  <c r="FI186" s="1"/>
  <c r="DZ186"/>
  <c r="EA186"/>
  <c r="FK186" s="1"/>
  <c r="EB186"/>
  <c r="EC186"/>
  <c r="FM186" s="1"/>
  <c r="ED186"/>
  <c r="EE186"/>
  <c r="FO186" s="1"/>
  <c r="EF186"/>
  <c r="EG186"/>
  <c r="EH186"/>
  <c r="EI186"/>
  <c r="EJ186"/>
  <c r="DD186"/>
  <c r="BA186"/>
  <c r="CM186"/>
  <c r="CL186"/>
  <c r="CK186"/>
  <c r="AY186"/>
  <c r="B187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2"/>
  <c r="CX184"/>
  <c r="CZ184"/>
  <c r="DF184"/>
  <c r="DL184"/>
  <c r="DT184"/>
  <c r="EA184"/>
  <c r="EI184"/>
  <c r="FS184" s="1"/>
  <c r="DD184"/>
  <c r="BA184"/>
  <c r="CM184"/>
  <c r="CL184"/>
  <c r="CK184"/>
  <c r="AY184"/>
  <c r="B184"/>
  <c r="CX183"/>
  <c r="CZ183"/>
  <c r="DH183"/>
  <c r="DL183"/>
  <c r="DP183"/>
  <c r="EZ183" s="1"/>
  <c r="DR183"/>
  <c r="DT183"/>
  <c r="DZ183"/>
  <c r="EF183"/>
  <c r="EH183"/>
  <c r="EJ183"/>
  <c r="DD183"/>
  <c r="DC183" s="1"/>
  <c r="DE183"/>
  <c r="BA183"/>
  <c r="CM183" s="1"/>
  <c r="CL183"/>
  <c r="CK183"/>
  <c r="AY183"/>
  <c r="B178"/>
  <c r="CX182"/>
  <c r="CZ182"/>
  <c r="DF182"/>
  <c r="DG182"/>
  <c r="DH182"/>
  <c r="DI182"/>
  <c r="ES182" s="1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6"/>
  <c r="CX181"/>
  <c r="CZ181"/>
  <c r="DO181"/>
  <c r="DQ181"/>
  <c r="DS181"/>
  <c r="DU181"/>
  <c r="DW181"/>
  <c r="DY181"/>
  <c r="EA181"/>
  <c r="EC181"/>
  <c r="EE181"/>
  <c r="FO181" s="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FA180" s="1"/>
  <c r="DR180"/>
  <c r="DS180"/>
  <c r="DU180"/>
  <c r="DV180"/>
  <c r="DX180"/>
  <c r="FH180" s="1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0"/>
  <c r="CX179"/>
  <c r="CZ179"/>
  <c r="DP179"/>
  <c r="DR179"/>
  <c r="EF179"/>
  <c r="EH179"/>
  <c r="DD179"/>
  <c r="DC179" s="1"/>
  <c r="BA179"/>
  <c r="CM179"/>
  <c r="CL179"/>
  <c r="CK179"/>
  <c r="AY179"/>
  <c r="B179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3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3"/>
  <c r="CZ176"/>
  <c r="DK176"/>
  <c r="DM176"/>
  <c r="DS176"/>
  <c r="DU176"/>
  <c r="EA176"/>
  <c r="EC176"/>
  <c r="FM176" s="1"/>
  <c r="EI176"/>
  <c r="DD176"/>
  <c r="DE176"/>
  <c r="DC176"/>
  <c r="BA176"/>
  <c r="CM176" s="1"/>
  <c r="CL176"/>
  <c r="CK176"/>
  <c r="AY176"/>
  <c r="B170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7"/>
  <c r="CZ174"/>
  <c r="DG174"/>
  <c r="DI174"/>
  <c r="ES174" s="1"/>
  <c r="DK174"/>
  <c r="DM174"/>
  <c r="EW174" s="1"/>
  <c r="DO174"/>
  <c r="DQ174"/>
  <c r="DR174"/>
  <c r="DS174"/>
  <c r="FC174" s="1"/>
  <c r="DT174"/>
  <c r="FD174" s="1"/>
  <c r="DU174"/>
  <c r="DV174"/>
  <c r="DW174"/>
  <c r="DX174"/>
  <c r="DY174"/>
  <c r="FI174" s="1"/>
  <c r="DZ174"/>
  <c r="EA174"/>
  <c r="FK174" s="1"/>
  <c r="EB174"/>
  <c r="FL174" s="1"/>
  <c r="EC174"/>
  <c r="FM174" s="1"/>
  <c r="ED174"/>
  <c r="EE174"/>
  <c r="FO174" s="1"/>
  <c r="EF174"/>
  <c r="EG174"/>
  <c r="EH174"/>
  <c r="EI174"/>
  <c r="EJ174"/>
  <c r="DD174"/>
  <c r="DE174" s="1"/>
  <c r="DC174"/>
  <c r="BA174"/>
  <c r="CM174" s="1"/>
  <c r="CL174"/>
  <c r="CK174"/>
  <c r="AY174"/>
  <c r="B174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FD173" s="1"/>
  <c r="DU173"/>
  <c r="DV173"/>
  <c r="DW173"/>
  <c r="DX173"/>
  <c r="FH173" s="1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5"/>
  <c r="CZ172"/>
  <c r="DD172"/>
  <c r="DE172" s="1"/>
  <c r="DC172"/>
  <c r="BA172"/>
  <c r="CM172" s="1"/>
  <c r="CL172"/>
  <c r="CK172"/>
  <c r="AY172"/>
  <c r="B169"/>
  <c r="CX171"/>
  <c r="CZ171"/>
  <c r="DF171"/>
  <c r="DH171"/>
  <c r="DJ171"/>
  <c r="DL171"/>
  <c r="DN171"/>
  <c r="DP171"/>
  <c r="DR171"/>
  <c r="DT171"/>
  <c r="FD171" s="1"/>
  <c r="DV171"/>
  <c r="DX171"/>
  <c r="DZ171"/>
  <c r="EB171"/>
  <c r="ED171"/>
  <c r="EF171"/>
  <c r="EH171"/>
  <c r="EJ171"/>
  <c r="DD171"/>
  <c r="BA171"/>
  <c r="CM171"/>
  <c r="CL171"/>
  <c r="CK171"/>
  <c r="AY171"/>
  <c r="B176"/>
  <c r="CX170"/>
  <c r="CZ170"/>
  <c r="DF170"/>
  <c r="DG170"/>
  <c r="DH170"/>
  <c r="DI170"/>
  <c r="ES170" s="1"/>
  <c r="DJ170"/>
  <c r="DK170"/>
  <c r="DL170"/>
  <c r="DM170"/>
  <c r="DN170"/>
  <c r="DO170"/>
  <c r="DP170"/>
  <c r="DQ170"/>
  <c r="FA170" s="1"/>
  <c r="DR170"/>
  <c r="DS170"/>
  <c r="DT170"/>
  <c r="FD170" s="1"/>
  <c r="DU170"/>
  <c r="DV170"/>
  <c r="DW170"/>
  <c r="DX170"/>
  <c r="DY170"/>
  <c r="FI170" s="1"/>
  <c r="DZ170"/>
  <c r="EA170"/>
  <c r="FK170" s="1"/>
  <c r="EB170"/>
  <c r="EC170"/>
  <c r="FM170" s="1"/>
  <c r="ED170"/>
  <c r="EE170"/>
  <c r="FO170" s="1"/>
  <c r="EF170"/>
  <c r="EG170"/>
  <c r="EH170"/>
  <c r="EI170"/>
  <c r="FS170" s="1"/>
  <c r="EJ170"/>
  <c r="DD170"/>
  <c r="DC170" s="1"/>
  <c r="DE170"/>
  <c r="BA170"/>
  <c r="CM170"/>
  <c r="CL170"/>
  <c r="CK170"/>
  <c r="AY170"/>
  <c r="B171"/>
  <c r="CZ169"/>
  <c r="DI169" s="1"/>
  <c r="ES169" s="1"/>
  <c r="DG169"/>
  <c r="DK169"/>
  <c r="DO169"/>
  <c r="DS169"/>
  <c r="DW169"/>
  <c r="EA169"/>
  <c r="FK169" s="1"/>
  <c r="EE169"/>
  <c r="EI169"/>
  <c r="DD169"/>
  <c r="DE169" s="1"/>
  <c r="DC169"/>
  <c r="BA169"/>
  <c r="CM169"/>
  <c r="CL169"/>
  <c r="CK169"/>
  <c r="AY169"/>
  <c r="B168"/>
  <c r="CX168"/>
  <c r="CZ168"/>
  <c r="DZ168" s="1"/>
  <c r="DJ168"/>
  <c r="DP168"/>
  <c r="EF168"/>
  <c r="DD168"/>
  <c r="DC168" s="1"/>
  <c r="DE168"/>
  <c r="CL168"/>
  <c r="CK168"/>
  <c r="AY168"/>
  <c r="B172"/>
  <c r="CX167"/>
  <c r="CZ167"/>
  <c r="DZ167" s="1"/>
  <c r="DJ167"/>
  <c r="DK167"/>
  <c r="DP167"/>
  <c r="DU167"/>
  <c r="EA167"/>
  <c r="FK167" s="1"/>
  <c r="EF167"/>
  <c r="DD167"/>
  <c r="DE167" s="1"/>
  <c r="DC167"/>
  <c r="BA167"/>
  <c r="CM167"/>
  <c r="CL167"/>
  <c r="CK167"/>
  <c r="AY167"/>
  <c r="B163"/>
  <c r="CW166"/>
  <c r="CX166"/>
  <c r="CZ166"/>
  <c r="DF166"/>
  <c r="DK166"/>
  <c r="DP166"/>
  <c r="DQ166"/>
  <c r="FA166" s="1"/>
  <c r="DV166"/>
  <c r="EA166"/>
  <c r="EF166"/>
  <c r="EG166"/>
  <c r="DD166"/>
  <c r="BA166"/>
  <c r="CM166"/>
  <c r="CL166"/>
  <c r="CK166"/>
  <c r="AY166"/>
  <c r="B159"/>
  <c r="CZ165"/>
  <c r="DF165"/>
  <c r="DG165"/>
  <c r="DH165"/>
  <c r="DI165"/>
  <c r="ES165" s="1"/>
  <c r="DJ165"/>
  <c r="DK165"/>
  <c r="DL165"/>
  <c r="DM165"/>
  <c r="EW165" s="1"/>
  <c r="DN165"/>
  <c r="DO165"/>
  <c r="DP165"/>
  <c r="DQ165"/>
  <c r="FA165" s="1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6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FD164" s="1"/>
  <c r="DV164"/>
  <c r="DW164"/>
  <c r="DX164"/>
  <c r="FH164" s="1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1"/>
  <c r="CZ163"/>
  <c r="DF163"/>
  <c r="DG163"/>
  <c r="DH163"/>
  <c r="DI163"/>
  <c r="ES163" s="1"/>
  <c r="DJ163"/>
  <c r="DK163"/>
  <c r="DL163"/>
  <c r="DM163"/>
  <c r="DN163"/>
  <c r="DO163"/>
  <c r="DP163"/>
  <c r="DQ163"/>
  <c r="FA163" s="1"/>
  <c r="DR163"/>
  <c r="DS163"/>
  <c r="DT163"/>
  <c r="FD163" s="1"/>
  <c r="DU163"/>
  <c r="DV163"/>
  <c r="DW163"/>
  <c r="FG163" s="1"/>
  <c r="DX163"/>
  <c r="DY163"/>
  <c r="FI163" s="1"/>
  <c r="DZ163"/>
  <c r="EA163"/>
  <c r="FK163" s="1"/>
  <c r="EB163"/>
  <c r="EC163"/>
  <c r="FM163" s="1"/>
  <c r="ED163"/>
  <c r="EE163"/>
  <c r="FO163" s="1"/>
  <c r="EF163"/>
  <c r="EG163"/>
  <c r="EH163"/>
  <c r="EI163"/>
  <c r="FS163" s="1"/>
  <c r="EJ163"/>
  <c r="DD163"/>
  <c r="BA163"/>
  <c r="CM163"/>
  <c r="CL163"/>
  <c r="CK163"/>
  <c r="AY163"/>
  <c r="B164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FD162" s="1"/>
  <c r="DU162"/>
  <c r="DV162"/>
  <c r="DW162"/>
  <c r="DX162"/>
  <c r="FH162" s="1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5"/>
  <c r="CX161"/>
  <c r="CZ161"/>
  <c r="DP161"/>
  <c r="DV161"/>
  <c r="DD161"/>
  <c r="BA161"/>
  <c r="CM161"/>
  <c r="CL161"/>
  <c r="CK161"/>
  <c r="AY161"/>
  <c r="B160"/>
  <c r="CW160"/>
  <c r="CX160"/>
  <c r="CZ160"/>
  <c r="EB160"/>
  <c r="ED160"/>
  <c r="DD160"/>
  <c r="DC160" s="1"/>
  <c r="DE160"/>
  <c r="BA160"/>
  <c r="CM160"/>
  <c r="CL160"/>
  <c r="CK160"/>
  <c r="AY160"/>
  <c r="B162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FD158" s="1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8"/>
  <c r="CZ157"/>
  <c r="DF157"/>
  <c r="DH157"/>
  <c r="DJ157"/>
  <c r="DL157"/>
  <c r="DN157"/>
  <c r="DP157"/>
  <c r="DR157"/>
  <c r="DT157"/>
  <c r="DV157"/>
  <c r="DX157"/>
  <c r="FH157" s="1"/>
  <c r="DZ157"/>
  <c r="EB157"/>
  <c r="ED157"/>
  <c r="EF157"/>
  <c r="EH157"/>
  <c r="EJ157"/>
  <c r="DD157"/>
  <c r="DC157" s="1"/>
  <c r="DE157"/>
  <c r="BA157"/>
  <c r="CM157" s="1"/>
  <c r="CL157"/>
  <c r="CK157"/>
  <c r="AY157"/>
  <c r="B150"/>
  <c r="CX156"/>
  <c r="DI156" s="1"/>
  <c r="ES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48"/>
  <c r="CZ155"/>
  <c r="DK155" s="1"/>
  <c r="DG155"/>
  <c r="DO155"/>
  <c r="DW155"/>
  <c r="EE155"/>
  <c r="FO155" s="1"/>
  <c r="DD155"/>
  <c r="DE155"/>
  <c r="DC155"/>
  <c r="BA155"/>
  <c r="CM155" s="1"/>
  <c r="CL155"/>
  <c r="CK155"/>
  <c r="AY155"/>
  <c r="B157"/>
  <c r="CZ154"/>
  <c r="DG154" s="1"/>
  <c r="DF154"/>
  <c r="DH154"/>
  <c r="DJ154"/>
  <c r="DL154"/>
  <c r="DN154"/>
  <c r="DP154"/>
  <c r="DR154"/>
  <c r="DT154"/>
  <c r="FD154" s="1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4"/>
  <c r="CZ153"/>
  <c r="DG153"/>
  <c r="DI153"/>
  <c r="ES153" s="1"/>
  <c r="DK153"/>
  <c r="DM153"/>
  <c r="DO153"/>
  <c r="DQ153"/>
  <c r="FA153" s="1"/>
  <c r="DS153"/>
  <c r="DU153"/>
  <c r="DW153"/>
  <c r="DY153"/>
  <c r="EA153"/>
  <c r="EC153"/>
  <c r="FM153" s="1"/>
  <c r="EE153"/>
  <c r="EG153"/>
  <c r="EI153"/>
  <c r="DD153"/>
  <c r="DE153"/>
  <c r="DC153"/>
  <c r="BA153"/>
  <c r="CM153" s="1"/>
  <c r="CL153"/>
  <c r="CK153"/>
  <c r="AY153"/>
  <c r="B149"/>
  <c r="CZ152"/>
  <c r="DG152" s="1"/>
  <c r="DF152"/>
  <c r="DH152"/>
  <c r="DJ152"/>
  <c r="DL152"/>
  <c r="DN152"/>
  <c r="DP152"/>
  <c r="DR152"/>
  <c r="DT152"/>
  <c r="DV152"/>
  <c r="DX152"/>
  <c r="FH152" s="1"/>
  <c r="DZ152"/>
  <c r="EB152"/>
  <c r="ED152"/>
  <c r="EF152"/>
  <c r="EH152"/>
  <c r="EJ152"/>
  <c r="DD152"/>
  <c r="DC152" s="1"/>
  <c r="DE152"/>
  <c r="BA152"/>
  <c r="CM152"/>
  <c r="CL152"/>
  <c r="CK152"/>
  <c r="AY152"/>
  <c r="B156"/>
  <c r="CZ151"/>
  <c r="DK151" s="1"/>
  <c r="DG151"/>
  <c r="DO151"/>
  <c r="DW151"/>
  <c r="EE151"/>
  <c r="DD151"/>
  <c r="DE151"/>
  <c r="DC151"/>
  <c r="BA151"/>
  <c r="CM151" s="1"/>
  <c r="CL151"/>
  <c r="CK151"/>
  <c r="AY151"/>
  <c r="B151"/>
  <c r="CZ150"/>
  <c r="DG150" s="1"/>
  <c r="DF150"/>
  <c r="DH150"/>
  <c r="DJ150"/>
  <c r="DL150"/>
  <c r="DN150"/>
  <c r="DP150"/>
  <c r="DR150"/>
  <c r="DT150"/>
  <c r="FD150" s="1"/>
  <c r="DV150"/>
  <c r="DX150"/>
  <c r="DZ150"/>
  <c r="EB150"/>
  <c r="FL150" s="1"/>
  <c r="ED150"/>
  <c r="EF150"/>
  <c r="EH150"/>
  <c r="EJ150"/>
  <c r="DD150"/>
  <c r="DC150" s="1"/>
  <c r="DE150"/>
  <c r="BA150"/>
  <c r="CM150"/>
  <c r="CL150"/>
  <c r="CK150"/>
  <c r="AY150"/>
  <c r="B155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3"/>
  <c r="CZ148"/>
  <c r="DF148"/>
  <c r="DJ148"/>
  <c r="DN148"/>
  <c r="DR148"/>
  <c r="DV148"/>
  <c r="DZ148"/>
  <c r="ED148"/>
  <c r="EH148"/>
  <c r="DD148"/>
  <c r="CL148"/>
  <c r="CK148"/>
  <c r="AY148"/>
  <c r="B152"/>
  <c r="CZ147"/>
  <c r="DF147"/>
  <c r="DH147"/>
  <c r="DJ147"/>
  <c r="DL147"/>
  <c r="DN147"/>
  <c r="DP147"/>
  <c r="DR147"/>
  <c r="DT147"/>
  <c r="FD147" s="1"/>
  <c r="DV147"/>
  <c r="DX147"/>
  <c r="DZ147"/>
  <c r="EB147"/>
  <c r="FL147" s="1"/>
  <c r="ED147"/>
  <c r="EF147"/>
  <c r="EH147"/>
  <c r="EJ147"/>
  <c r="DD147"/>
  <c r="BA147"/>
  <c r="CM147"/>
  <c r="CL147"/>
  <c r="CK147"/>
  <c r="AY147"/>
  <c r="B147"/>
  <c r="CX146"/>
  <c r="CZ146"/>
  <c r="DG146" s="1"/>
  <c r="DF146"/>
  <c r="DH146"/>
  <c r="DJ146"/>
  <c r="DL146"/>
  <c r="DN146"/>
  <c r="DP146"/>
  <c r="DR146"/>
  <c r="DT146"/>
  <c r="FD146" s="1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0"/>
  <c r="CX145"/>
  <c r="CZ145"/>
  <c r="DI145"/>
  <c r="ES145" s="1"/>
  <c r="DM145"/>
  <c r="EW145" s="1"/>
  <c r="DN145"/>
  <c r="DO145"/>
  <c r="DP145"/>
  <c r="DQ145"/>
  <c r="FA145" s="1"/>
  <c r="DR145"/>
  <c r="DS145"/>
  <c r="DT145"/>
  <c r="FD145" s="1"/>
  <c r="DU145"/>
  <c r="DV145"/>
  <c r="DW145"/>
  <c r="DX145"/>
  <c r="FH145" s="1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4"/>
  <c r="CX144"/>
  <c r="CZ144"/>
  <c r="DG144"/>
  <c r="DK144"/>
  <c r="DO144"/>
  <c r="DS144"/>
  <c r="DW144"/>
  <c r="FG144" s="1"/>
  <c r="EA144"/>
  <c r="EE144"/>
  <c r="EI144"/>
  <c r="DD144"/>
  <c r="DE144"/>
  <c r="DC144"/>
  <c r="BA144"/>
  <c r="CM144" s="1"/>
  <c r="CL144"/>
  <c r="CK144"/>
  <c r="AY144"/>
  <c r="B139"/>
  <c r="CZ143"/>
  <c r="DG143" s="1"/>
  <c r="DF143"/>
  <c r="DH143"/>
  <c r="DJ143"/>
  <c r="DL143"/>
  <c r="DN143"/>
  <c r="DP143"/>
  <c r="DR143"/>
  <c r="DT143"/>
  <c r="FD143" s="1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2"/>
  <c r="CX142"/>
  <c r="CZ142"/>
  <c r="DI142"/>
  <c r="ES142" s="1"/>
  <c r="DM142"/>
  <c r="DN142"/>
  <c r="DO142"/>
  <c r="DP142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3"/>
  <c r="CW141"/>
  <c r="CX141"/>
  <c r="CZ141"/>
  <c r="DI141"/>
  <c r="ES141" s="1"/>
  <c r="DM141"/>
  <c r="EW141" s="1"/>
  <c r="DO141"/>
  <c r="DQ141"/>
  <c r="DS141"/>
  <c r="DU141"/>
  <c r="DW141"/>
  <c r="DY141"/>
  <c r="FI141" s="1"/>
  <c r="EA141"/>
  <c r="EC141"/>
  <c r="EE141"/>
  <c r="EG141"/>
  <c r="EI141"/>
  <c r="DD141"/>
  <c r="DE141"/>
  <c r="DC141"/>
  <c r="BA141"/>
  <c r="CM141"/>
  <c r="CL141"/>
  <c r="CK141"/>
  <c r="AY141"/>
  <c r="B145"/>
  <c r="CW140"/>
  <c r="CX140"/>
  <c r="CZ140"/>
  <c r="DO140"/>
  <c r="DQ140"/>
  <c r="FA140" s="1"/>
  <c r="DS140"/>
  <c r="DU140"/>
  <c r="DW140"/>
  <c r="DY140"/>
  <c r="EA140"/>
  <c r="EC140"/>
  <c r="EE140"/>
  <c r="FO140" s="1"/>
  <c r="EG140"/>
  <c r="EI140"/>
  <c r="DD140"/>
  <c r="DE140"/>
  <c r="DC140"/>
  <c r="BA140"/>
  <c r="CM140"/>
  <c r="CL140"/>
  <c r="CK140"/>
  <c r="AY140"/>
  <c r="B138"/>
  <c r="CZ139"/>
  <c r="DJ139" s="1"/>
  <c r="DF139"/>
  <c r="DG139"/>
  <c r="DH139"/>
  <c r="DI139"/>
  <c r="ES139" s="1"/>
  <c r="DK139"/>
  <c r="DL139"/>
  <c r="DN139"/>
  <c r="DO139"/>
  <c r="DP139"/>
  <c r="DQ139"/>
  <c r="DS139"/>
  <c r="DT139"/>
  <c r="FD139" s="1"/>
  <c r="DV139"/>
  <c r="DW139"/>
  <c r="DX139"/>
  <c r="DY139"/>
  <c r="EA139"/>
  <c r="EB139"/>
  <c r="ED139"/>
  <c r="EE139"/>
  <c r="FO139" s="1"/>
  <c r="EF139"/>
  <c r="EG139"/>
  <c r="EI139"/>
  <c r="EJ139"/>
  <c r="DD139"/>
  <c r="DE139" s="1"/>
  <c r="DC139"/>
  <c r="BA139"/>
  <c r="CM139"/>
  <c r="CL139"/>
  <c r="CK139"/>
  <c r="AY139"/>
  <c r="B146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1"/>
  <c r="CZ137"/>
  <c r="DF137"/>
  <c r="DG137"/>
  <c r="DH137"/>
  <c r="DI137"/>
  <c r="ES137" s="1"/>
  <c r="DJ137"/>
  <c r="DK137"/>
  <c r="DL137"/>
  <c r="DM137"/>
  <c r="DN137"/>
  <c r="DO137"/>
  <c r="DP137"/>
  <c r="DQ137"/>
  <c r="FA137" s="1"/>
  <c r="DR137"/>
  <c r="DS137"/>
  <c r="DT137"/>
  <c r="FD137" s="1"/>
  <c r="DU137"/>
  <c r="DV137"/>
  <c r="DW137"/>
  <c r="DX137"/>
  <c r="DY137"/>
  <c r="FI137" s="1"/>
  <c r="DZ137"/>
  <c r="EA137"/>
  <c r="FK137" s="1"/>
  <c r="EB137"/>
  <c r="EC137"/>
  <c r="FM137" s="1"/>
  <c r="ED137"/>
  <c r="EE137"/>
  <c r="FO137" s="1"/>
  <c r="EF137"/>
  <c r="EG137"/>
  <c r="EH137"/>
  <c r="EI137"/>
  <c r="FS137" s="1"/>
  <c r="EJ137"/>
  <c r="DD137"/>
  <c r="DE137"/>
  <c r="DC137"/>
  <c r="BA137"/>
  <c r="CM137" s="1"/>
  <c r="CL137"/>
  <c r="CK137"/>
  <c r="AY137"/>
  <c r="B132"/>
  <c r="CZ136"/>
  <c r="DG136" s="1"/>
  <c r="DF136"/>
  <c r="DH136"/>
  <c r="DJ136"/>
  <c r="DL136"/>
  <c r="DN136"/>
  <c r="DP136"/>
  <c r="DR136"/>
  <c r="DT136"/>
  <c r="DV136"/>
  <c r="DX136"/>
  <c r="FH136" s="1"/>
  <c r="DZ136"/>
  <c r="EB136"/>
  <c r="ED136"/>
  <c r="EF136"/>
  <c r="EH136"/>
  <c r="EJ136"/>
  <c r="DD136"/>
  <c r="DC136" s="1"/>
  <c r="DE136"/>
  <c r="BA136"/>
  <c r="CM136"/>
  <c r="CL136"/>
  <c r="CK136"/>
  <c r="AY136"/>
  <c r="B129"/>
  <c r="CW135"/>
  <c r="CX135"/>
  <c r="CZ135"/>
  <c r="DF135"/>
  <c r="DH135"/>
  <c r="DJ135"/>
  <c r="DL135"/>
  <c r="DN135"/>
  <c r="DP135"/>
  <c r="DR135"/>
  <c r="DT135"/>
  <c r="FD135" s="1"/>
  <c r="DV135"/>
  <c r="DX135"/>
  <c r="DZ135"/>
  <c r="EB135"/>
  <c r="ED135"/>
  <c r="EF135"/>
  <c r="EH135"/>
  <c r="EJ135"/>
  <c r="DD135"/>
  <c r="DC135" s="1"/>
  <c r="BA135"/>
  <c r="CM135"/>
  <c r="CL135"/>
  <c r="CK135"/>
  <c r="AY135"/>
  <c r="B137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4"/>
  <c r="CZ133"/>
  <c r="DG133" s="1"/>
  <c r="DD133"/>
  <c r="DE133"/>
  <c r="DC133"/>
  <c r="BA133"/>
  <c r="CM133" s="1"/>
  <c r="CL133"/>
  <c r="CK133"/>
  <c r="AY133"/>
  <c r="B128"/>
  <c r="CX132"/>
  <c r="CZ132"/>
  <c r="DF132"/>
  <c r="EP132" s="1"/>
  <c r="DH132"/>
  <c r="DJ132"/>
  <c r="DL132"/>
  <c r="DN132"/>
  <c r="DP132"/>
  <c r="DR132"/>
  <c r="DT132"/>
  <c r="FD132" s="1"/>
  <c r="DV132"/>
  <c r="DX132"/>
  <c r="DZ132"/>
  <c r="EB132"/>
  <c r="ED132"/>
  <c r="EF132"/>
  <c r="EH132"/>
  <c r="EJ132"/>
  <c r="DD132"/>
  <c r="BA132"/>
  <c r="CM132" s="1"/>
  <c r="CL132"/>
  <c r="CK132"/>
  <c r="AY132"/>
  <c r="B136"/>
  <c r="CZ131"/>
  <c r="DF131"/>
  <c r="EP131" s="1"/>
  <c r="DG131"/>
  <c r="DH131"/>
  <c r="DI131"/>
  <c r="ES131" s="1"/>
  <c r="DJ131"/>
  <c r="DK131"/>
  <c r="DL131"/>
  <c r="DM131"/>
  <c r="EW131" s="1"/>
  <c r="DN131"/>
  <c r="DO131"/>
  <c r="DP131"/>
  <c r="DQ131"/>
  <c r="FA131" s="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1"/>
  <c r="CX130"/>
  <c r="DG130" s="1"/>
  <c r="CZ130"/>
  <c r="DI130"/>
  <c r="ES130" s="1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0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5"/>
  <c r="CW128"/>
  <c r="CX128"/>
  <c r="CZ128"/>
  <c r="DH128"/>
  <c r="DL128"/>
  <c r="DP128"/>
  <c r="DT128"/>
  <c r="DX128"/>
  <c r="EB128"/>
  <c r="EF128"/>
  <c r="EJ128"/>
  <c r="DD128"/>
  <c r="CL128"/>
  <c r="CK128"/>
  <c r="AY128"/>
  <c r="B133"/>
  <c r="CX127"/>
  <c r="CZ127"/>
  <c r="DD127"/>
  <c r="DE127"/>
  <c r="DC127"/>
  <c r="BA127"/>
  <c r="CM127" s="1"/>
  <c r="CL127"/>
  <c r="CK127"/>
  <c r="AY127"/>
  <c r="B127"/>
  <c r="CX126"/>
  <c r="CZ126"/>
  <c r="DF126"/>
  <c r="DH126"/>
  <c r="DJ126"/>
  <c r="DL126"/>
  <c r="DN126"/>
  <c r="DP126"/>
  <c r="DR126"/>
  <c r="DT126"/>
  <c r="FD126" s="1"/>
  <c r="DV126"/>
  <c r="DX126"/>
  <c r="DZ126"/>
  <c r="EB126"/>
  <c r="ED126"/>
  <c r="EF126"/>
  <c r="EH126"/>
  <c r="EJ126"/>
  <c r="DD126"/>
  <c r="BA126"/>
  <c r="CM126" s="1"/>
  <c r="CL126"/>
  <c r="CK126"/>
  <c r="AY126"/>
  <c r="B120"/>
  <c r="CX125"/>
  <c r="CZ125"/>
  <c r="DG125" s="1"/>
  <c r="DF125"/>
  <c r="DH125"/>
  <c r="DJ125"/>
  <c r="DL125"/>
  <c r="DN125"/>
  <c r="DP125"/>
  <c r="DR125"/>
  <c r="DT125"/>
  <c r="FD125" s="1"/>
  <c r="DV125"/>
  <c r="DX125"/>
  <c r="DZ125"/>
  <c r="EB125"/>
  <c r="ED125"/>
  <c r="EF125"/>
  <c r="EH125"/>
  <c r="EJ125"/>
  <c r="DD125"/>
  <c r="DC125" s="1"/>
  <c r="BA125"/>
  <c r="CM125"/>
  <c r="CL125"/>
  <c r="CK125"/>
  <c r="AY125"/>
  <c r="B118"/>
  <c r="CX124"/>
  <c r="DI124" s="1"/>
  <c r="ES124" s="1"/>
  <c r="CZ124"/>
  <c r="DN124"/>
  <c r="DO124"/>
  <c r="DP124"/>
  <c r="DQ124"/>
  <c r="DR124"/>
  <c r="DS124"/>
  <c r="DT124"/>
  <c r="FD124" s="1"/>
  <c r="DU124"/>
  <c r="DV124"/>
  <c r="DW124"/>
  <c r="DX124"/>
  <c r="DY124"/>
  <c r="FI124" s="1"/>
  <c r="DZ124"/>
  <c r="EA124"/>
  <c r="FK124" s="1"/>
  <c r="EB124"/>
  <c r="EC124"/>
  <c r="FM124" s="1"/>
  <c r="ED124"/>
  <c r="EE124"/>
  <c r="FO124" s="1"/>
  <c r="EF124"/>
  <c r="EG124"/>
  <c r="EH124"/>
  <c r="EI124"/>
  <c r="FS124" s="1"/>
  <c r="EJ124"/>
  <c r="DD124"/>
  <c r="DE124"/>
  <c r="DC124"/>
  <c r="BA124"/>
  <c r="CM124"/>
  <c r="CL124"/>
  <c r="CK124"/>
  <c r="AY124"/>
  <c r="B123"/>
  <c r="CX123"/>
  <c r="CZ123"/>
  <c r="DD123"/>
  <c r="DE123"/>
  <c r="DC123"/>
  <c r="BA123"/>
  <c r="CM123" s="1"/>
  <c r="CL123"/>
  <c r="CK123"/>
  <c r="AY123"/>
  <c r="B122"/>
  <c r="CX122"/>
  <c r="CZ122"/>
  <c r="DF122"/>
  <c r="EP122" s="1"/>
  <c r="DH122"/>
  <c r="DJ122"/>
  <c r="DL122"/>
  <c r="DN122"/>
  <c r="DP122"/>
  <c r="DR122"/>
  <c r="DT122"/>
  <c r="DV122"/>
  <c r="DX122"/>
  <c r="FH122" s="1"/>
  <c r="DZ122"/>
  <c r="EB122"/>
  <c r="ED122"/>
  <c r="EF122"/>
  <c r="EH122"/>
  <c r="EJ122"/>
  <c r="DD122"/>
  <c r="BA122"/>
  <c r="CM122" s="1"/>
  <c r="CL122"/>
  <c r="CK122"/>
  <c r="AY122"/>
  <c r="B124"/>
  <c r="CW121"/>
  <c r="CX121"/>
  <c r="CZ121"/>
  <c r="DD121"/>
  <c r="BA121"/>
  <c r="CM121"/>
  <c r="CL121"/>
  <c r="CK121"/>
  <c r="AY121"/>
  <c r="B121"/>
  <c r="CZ120"/>
  <c r="DF120"/>
  <c r="DG120"/>
  <c r="DH120"/>
  <c r="DI120"/>
  <c r="ES120" s="1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5"/>
  <c r="CW119"/>
  <c r="CX119"/>
  <c r="DG119" s="1"/>
  <c r="CZ119"/>
  <c r="DI119"/>
  <c r="ES119" s="1"/>
  <c r="DM119"/>
  <c r="EW119" s="1"/>
  <c r="DO119"/>
  <c r="DQ119"/>
  <c r="FA119" s="1"/>
  <c r="DS119"/>
  <c r="DU119"/>
  <c r="DW119"/>
  <c r="DY119"/>
  <c r="FI119" s="1"/>
  <c r="EA119"/>
  <c r="EC119"/>
  <c r="EE119"/>
  <c r="EG119"/>
  <c r="EI119"/>
  <c r="DD119"/>
  <c r="DE119"/>
  <c r="DC119"/>
  <c r="BA119"/>
  <c r="CM119"/>
  <c r="CL119"/>
  <c r="CK119"/>
  <c r="AY119"/>
  <c r="B119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6"/>
  <c r="CZ117"/>
  <c r="DI117" s="1"/>
  <c r="ES117" s="1"/>
  <c r="DG117"/>
  <c r="DK117"/>
  <c r="DO117"/>
  <c r="DS117"/>
  <c r="DW117"/>
  <c r="EA117"/>
  <c r="FK117" s="1"/>
  <c r="EE117"/>
  <c r="EI117"/>
  <c r="DD117"/>
  <c r="DE117"/>
  <c r="DC117"/>
  <c r="BA117"/>
  <c r="CM117" s="1"/>
  <c r="CL117"/>
  <c r="CK117"/>
  <c r="AY117"/>
  <c r="B110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3"/>
  <c r="CZ115"/>
  <c r="DI115"/>
  <c r="ES115" s="1"/>
  <c r="DM115"/>
  <c r="EW115" s="1"/>
  <c r="DQ115"/>
  <c r="FA115" s="1"/>
  <c r="DU115"/>
  <c r="DY115"/>
  <c r="EC115"/>
  <c r="EG115"/>
  <c r="DD115"/>
  <c r="DE115"/>
  <c r="DC115"/>
  <c r="BA115"/>
  <c r="CM115" s="1"/>
  <c r="CL115"/>
  <c r="CK115"/>
  <c r="AY115"/>
  <c r="B115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6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1"/>
  <c r="CZ112"/>
  <c r="DG112" s="1"/>
  <c r="DF112"/>
  <c r="DH112"/>
  <c r="DJ112"/>
  <c r="DL112"/>
  <c r="DN112"/>
  <c r="DP112"/>
  <c r="DR112"/>
  <c r="DT112"/>
  <c r="FD112" s="1"/>
  <c r="DV112"/>
  <c r="DX112"/>
  <c r="DZ112"/>
  <c r="EB112"/>
  <c r="ED112"/>
  <c r="EF112"/>
  <c r="EH112"/>
  <c r="EJ112"/>
  <c r="DD112"/>
  <c r="DC112" s="1"/>
  <c r="BA112"/>
  <c r="CM112"/>
  <c r="CL112"/>
  <c r="CK112"/>
  <c r="AY112"/>
  <c r="B117"/>
  <c r="CZ111"/>
  <c r="DI111"/>
  <c r="ES111" s="1"/>
  <c r="DM111"/>
  <c r="DQ111"/>
  <c r="DU111"/>
  <c r="DY111"/>
  <c r="FI111" s="1"/>
  <c r="EC111"/>
  <c r="EG111"/>
  <c r="DD111"/>
  <c r="DE111"/>
  <c r="DC111"/>
  <c r="BA111"/>
  <c r="CM111" s="1"/>
  <c r="CL111"/>
  <c r="CK111"/>
  <c r="AY111"/>
  <c r="B114"/>
  <c r="CZ110"/>
  <c r="DG110" s="1"/>
  <c r="DF110"/>
  <c r="DH110"/>
  <c r="DJ110"/>
  <c r="DL110"/>
  <c r="DN110"/>
  <c r="DP110"/>
  <c r="DR110"/>
  <c r="DT110"/>
  <c r="FD110" s="1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2"/>
  <c r="CZ109"/>
  <c r="DI109" s="1"/>
  <c r="ES109" s="1"/>
  <c r="DG109"/>
  <c r="DK109"/>
  <c r="DO109"/>
  <c r="DS109"/>
  <c r="DW109"/>
  <c r="EA109"/>
  <c r="FK109" s="1"/>
  <c r="EE109"/>
  <c r="EI109"/>
  <c r="DD109"/>
  <c r="DE109"/>
  <c r="DC109"/>
  <c r="BA109"/>
  <c r="CM109" s="1"/>
  <c r="CL109"/>
  <c r="CK109"/>
  <c r="AY109"/>
  <c r="B108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09"/>
  <c r="CW107"/>
  <c r="CX107"/>
  <c r="DG107" s="1"/>
  <c r="CZ107"/>
  <c r="DO107" s="1"/>
  <c r="DI107"/>
  <c r="ES107" s="1"/>
  <c r="DM107"/>
  <c r="EW107" s="1"/>
  <c r="DQ107"/>
  <c r="FA107" s="1"/>
  <c r="DU107"/>
  <c r="DY107"/>
  <c r="EC107"/>
  <c r="EG107"/>
  <c r="DD107"/>
  <c r="DE107"/>
  <c r="DC107"/>
  <c r="BA107"/>
  <c r="CM107" s="1"/>
  <c r="CL107"/>
  <c r="CK107"/>
  <c r="AY107"/>
  <c r="B99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3"/>
  <c r="CZ105"/>
  <c r="DI105" s="1"/>
  <c r="ES105" s="1"/>
  <c r="DG105"/>
  <c r="DK105"/>
  <c r="DO105"/>
  <c r="DS105"/>
  <c r="DW105"/>
  <c r="EA105"/>
  <c r="EE105"/>
  <c r="EI105"/>
  <c r="FS105" s="1"/>
  <c r="DD105"/>
  <c r="DE105"/>
  <c r="DC105"/>
  <c r="BA105"/>
  <c r="CM105" s="1"/>
  <c r="CL105"/>
  <c r="CK105"/>
  <c r="AY105"/>
  <c r="B102"/>
  <c r="CZ104"/>
  <c r="DG104" s="1"/>
  <c r="DF104"/>
  <c r="DH104"/>
  <c r="DJ104"/>
  <c r="DL104"/>
  <c r="DN104"/>
  <c r="DP104"/>
  <c r="DR104"/>
  <c r="DT104"/>
  <c r="FD104" s="1"/>
  <c r="DV104"/>
  <c r="DX104"/>
  <c r="DZ104"/>
  <c r="EB104"/>
  <c r="ED104"/>
  <c r="EF104"/>
  <c r="EH104"/>
  <c r="EJ104"/>
  <c r="DD104"/>
  <c r="DC104" s="1"/>
  <c r="BA104"/>
  <c r="CM104"/>
  <c r="CL104"/>
  <c r="CK104"/>
  <c r="AY104"/>
  <c r="B98"/>
  <c r="CZ103"/>
  <c r="DI103"/>
  <c r="ES103" s="1"/>
  <c r="DM103"/>
  <c r="DQ103"/>
  <c r="FA103" s="1"/>
  <c r="DU103"/>
  <c r="DY103"/>
  <c r="FI103" s="1"/>
  <c r="EC103"/>
  <c r="EG103"/>
  <c r="DD103"/>
  <c r="DE103"/>
  <c r="DC103"/>
  <c r="BA103"/>
  <c r="CM103" s="1"/>
  <c r="CL103"/>
  <c r="CK103"/>
  <c r="AY103"/>
  <c r="B101"/>
  <c r="CZ102"/>
  <c r="DG102" s="1"/>
  <c r="DF102"/>
  <c r="DH102"/>
  <c r="DJ102"/>
  <c r="DL102"/>
  <c r="DN102"/>
  <c r="DP102"/>
  <c r="DR102"/>
  <c r="DT102"/>
  <c r="FD102" s="1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0"/>
  <c r="CX101"/>
  <c r="DG101" s="1"/>
  <c r="CZ101"/>
  <c r="DI101"/>
  <c r="ES101" s="1"/>
  <c r="DM101"/>
  <c r="EW101" s="1"/>
  <c r="DN101"/>
  <c r="DO101"/>
  <c r="DP101"/>
  <c r="EZ101" s="1"/>
  <c r="DQ101"/>
  <c r="FA101" s="1"/>
  <c r="DR101"/>
  <c r="DS101"/>
  <c r="DT101"/>
  <c r="FD101" s="1"/>
  <c r="DU101"/>
  <c r="DV101"/>
  <c r="DW101"/>
  <c r="DX101"/>
  <c r="FH101" s="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5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7"/>
  <c r="CZ99"/>
  <c r="DG99" s="1"/>
  <c r="DF99"/>
  <c r="DH99"/>
  <c r="DJ99"/>
  <c r="DL99"/>
  <c r="DN99"/>
  <c r="DP99"/>
  <c r="DR99"/>
  <c r="DT99"/>
  <c r="FD99" s="1"/>
  <c r="DV99"/>
  <c r="DX99"/>
  <c r="DZ99"/>
  <c r="EB99"/>
  <c r="FL99" s="1"/>
  <c r="ED99"/>
  <c r="EF99"/>
  <c r="EG99"/>
  <c r="EH99"/>
  <c r="EI99"/>
  <c r="EJ99"/>
  <c r="DD99"/>
  <c r="DC99" s="1"/>
  <c r="BA99"/>
  <c r="CM99"/>
  <c r="CL99"/>
  <c r="CK99"/>
  <c r="AY99"/>
  <c r="B104"/>
  <c r="CZ98"/>
  <c r="DI98"/>
  <c r="DM98"/>
  <c r="DQ98"/>
  <c r="DU98"/>
  <c r="DY98"/>
  <c r="EC98"/>
  <c r="EG98"/>
  <c r="DD98"/>
  <c r="DE98" s="1"/>
  <c r="DC98"/>
  <c r="CL98"/>
  <c r="CK98"/>
  <c r="AY98"/>
  <c r="B106"/>
  <c r="CZ97"/>
  <c r="DG97" s="1"/>
  <c r="DD97"/>
  <c r="DE97" s="1"/>
  <c r="DC97"/>
  <c r="BA97"/>
  <c r="CM97" s="1"/>
  <c r="CL97"/>
  <c r="CK97"/>
  <c r="AY97"/>
  <c r="B93"/>
  <c r="CZ96"/>
  <c r="DF96"/>
  <c r="DG96"/>
  <c r="DH96"/>
  <c r="DI96"/>
  <c r="ES96" s="1"/>
  <c r="DJ96"/>
  <c r="DK96"/>
  <c r="DL96"/>
  <c r="DM96"/>
  <c r="EW96" s="1"/>
  <c r="DN96"/>
  <c r="DO96"/>
  <c r="DP96"/>
  <c r="DQ96"/>
  <c r="FA96" s="1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88"/>
  <c r="CZ95"/>
  <c r="DD95"/>
  <c r="DE95" s="1"/>
  <c r="DC95"/>
  <c r="BA95"/>
  <c r="CM95" s="1"/>
  <c r="CL95"/>
  <c r="CK95"/>
  <c r="AY95"/>
  <c r="B91"/>
  <c r="CZ94"/>
  <c r="DF94"/>
  <c r="DG94"/>
  <c r="DH94"/>
  <c r="DI94"/>
  <c r="ES94" s="1"/>
  <c r="DJ94"/>
  <c r="DK94"/>
  <c r="DL94"/>
  <c r="DM94"/>
  <c r="DN94"/>
  <c r="DO94"/>
  <c r="DP94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4"/>
  <c r="CZ93"/>
  <c r="DD93"/>
  <c r="DE93" s="1"/>
  <c r="DC93"/>
  <c r="BA93"/>
  <c r="CM93" s="1"/>
  <c r="CL93"/>
  <c r="CK93"/>
  <c r="AY93"/>
  <c r="B89"/>
  <c r="CZ92"/>
  <c r="DF92"/>
  <c r="DG92"/>
  <c r="DH92"/>
  <c r="DI92"/>
  <c r="ES92" s="1"/>
  <c r="DJ92"/>
  <c r="DK92"/>
  <c r="DL92"/>
  <c r="DM92"/>
  <c r="DN92"/>
  <c r="DO92"/>
  <c r="DP92"/>
  <c r="DQ92"/>
  <c r="FA92" s="1"/>
  <c r="DR92"/>
  <c r="DS92"/>
  <c r="FC92" s="1"/>
  <c r="DT92"/>
  <c r="FD92" s="1"/>
  <c r="DU92"/>
  <c r="DV92"/>
  <c r="DW92"/>
  <c r="FG92" s="1"/>
  <c r="DX92"/>
  <c r="DY92"/>
  <c r="FI92" s="1"/>
  <c r="DZ92"/>
  <c r="EA92"/>
  <c r="FK92" s="1"/>
  <c r="EB92"/>
  <c r="FL92" s="1"/>
  <c r="EC92"/>
  <c r="FM92" s="1"/>
  <c r="ED92"/>
  <c r="EE92"/>
  <c r="FO92" s="1"/>
  <c r="EF92"/>
  <c r="EG92"/>
  <c r="EH92"/>
  <c r="EI92"/>
  <c r="FS92" s="1"/>
  <c r="EJ92"/>
  <c r="DD92"/>
  <c r="DC92" s="1"/>
  <c r="BA92"/>
  <c r="CM92"/>
  <c r="CL92"/>
  <c r="CK92"/>
  <c r="AY92"/>
  <c r="B96"/>
  <c r="CZ91"/>
  <c r="DG91" s="1"/>
  <c r="DD91"/>
  <c r="DE91" s="1"/>
  <c r="DC91"/>
  <c r="BA91"/>
  <c r="CM91" s="1"/>
  <c r="CL91"/>
  <c r="CK91"/>
  <c r="AY91"/>
  <c r="B90"/>
  <c r="CZ90"/>
  <c r="DF90"/>
  <c r="DG90"/>
  <c r="DH90"/>
  <c r="DI90"/>
  <c r="ES90" s="1"/>
  <c r="DJ90"/>
  <c r="DK90"/>
  <c r="DL90"/>
  <c r="DM90"/>
  <c r="EW90" s="1"/>
  <c r="DN90"/>
  <c r="DO90"/>
  <c r="DP90"/>
  <c r="EZ90" s="1"/>
  <c r="DQ90"/>
  <c r="FA90" s="1"/>
  <c r="DR90"/>
  <c r="DS90"/>
  <c r="DT90"/>
  <c r="FD90" s="1"/>
  <c r="DU90"/>
  <c r="DV90"/>
  <c r="DW90"/>
  <c r="DX90"/>
  <c r="FH90" s="1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2"/>
  <c r="CX89"/>
  <c r="CZ89"/>
  <c r="DN89" s="1"/>
  <c r="DO89"/>
  <c r="DQ89"/>
  <c r="FA89" s="1"/>
  <c r="DS89"/>
  <c r="FC89" s="1"/>
  <c r="DU89"/>
  <c r="DW89"/>
  <c r="DY89"/>
  <c r="EA89"/>
  <c r="FK89" s="1"/>
  <c r="EC89"/>
  <c r="EE89"/>
  <c r="EG89"/>
  <c r="EI89"/>
  <c r="FS89" s="1"/>
  <c r="DD89"/>
  <c r="DE89"/>
  <c r="DC89"/>
  <c r="BA89"/>
  <c r="CM89" s="1"/>
  <c r="CL89"/>
  <c r="CK89"/>
  <c r="AY89"/>
  <c r="B95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7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D96" l="1"/>
  <c r="FD106"/>
  <c r="FD108"/>
  <c r="FD114"/>
  <c r="FD116"/>
  <c r="FD131"/>
  <c r="FD149"/>
  <c r="FD156"/>
  <c r="FD165"/>
  <c r="FP94"/>
  <c r="FD94"/>
  <c r="FP99"/>
  <c r="FD120"/>
  <c r="FD122"/>
  <c r="FD136"/>
  <c r="FP142"/>
  <c r="FD142"/>
  <c r="FP150"/>
  <c r="FD152"/>
  <c r="FD157"/>
  <c r="FD159"/>
  <c r="FD175"/>
  <c r="FP182"/>
  <c r="FD182"/>
  <c r="FD183"/>
  <c r="FD184"/>
  <c r="U372"/>
  <c r="U378" s="1"/>
  <c r="ET110"/>
  <c r="ET112"/>
  <c r="EQ137"/>
  <c r="ET139"/>
  <c r="EQ151"/>
  <c r="ET154"/>
  <c r="EQ163"/>
  <c r="ET171"/>
  <c r="EQ92"/>
  <c r="ET94"/>
  <c r="EQ97"/>
  <c r="EQ99"/>
  <c r="EQ100"/>
  <c r="ET102"/>
  <c r="ET104"/>
  <c r="ET120"/>
  <c r="EQ143"/>
  <c r="EQ144"/>
  <c r="ET146"/>
  <c r="ET148"/>
  <c r="EQ150"/>
  <c r="ET167"/>
  <c r="EQ170"/>
  <c r="EX90"/>
  <c r="EX101"/>
  <c r="EX102"/>
  <c r="EX104"/>
  <c r="EX110"/>
  <c r="EX126"/>
  <c r="EX129"/>
  <c r="EX132"/>
  <c r="EX134"/>
  <c r="EX145"/>
  <c r="EX146"/>
  <c r="EX154"/>
  <c r="EX162"/>
  <c r="EX173"/>
  <c r="J376"/>
  <c r="J422"/>
  <c r="U374"/>
  <c r="U422"/>
  <c r="O381"/>
  <c r="O422"/>
  <c r="FR94"/>
  <c r="FR104"/>
  <c r="FR110"/>
  <c r="FR112"/>
  <c r="FR120"/>
  <c r="FR125"/>
  <c r="FR132"/>
  <c r="FR159"/>
  <c r="FR171"/>
  <c r="FR182"/>
  <c r="FR187"/>
  <c r="P374"/>
  <c r="P422"/>
  <c r="N382"/>
  <c r="N422"/>
  <c r="FR99"/>
  <c r="FR102"/>
  <c r="FR126"/>
  <c r="FR135"/>
  <c r="FR142"/>
  <c r="FR146"/>
  <c r="FR154"/>
  <c r="FR180"/>
  <c r="EZ92"/>
  <c r="FS94"/>
  <c r="FO94"/>
  <c r="FC94"/>
  <c r="FS99"/>
  <c r="FO109"/>
  <c r="FO117"/>
  <c r="FO119"/>
  <c r="FO120"/>
  <c r="FO141"/>
  <c r="FS142"/>
  <c r="FO142"/>
  <c r="FC142"/>
  <c r="EZ149"/>
  <c r="FO159"/>
  <c r="FO164"/>
  <c r="FO169"/>
  <c r="FS182"/>
  <c r="FO182"/>
  <c r="FO185"/>
  <c r="EZ187"/>
  <c r="EX88"/>
  <c r="ES158"/>
  <c r="FA98"/>
  <c r="EW98"/>
  <c r="FR96"/>
  <c r="FR122"/>
  <c r="FR131"/>
  <c r="FR143"/>
  <c r="FR183"/>
  <c r="EZ88"/>
  <c r="FS90"/>
  <c r="FG90"/>
  <c r="FC90"/>
  <c r="FJ92"/>
  <c r="EV96"/>
  <c r="ER96"/>
  <c r="FS100"/>
  <c r="FC100"/>
  <c r="FS101"/>
  <c r="FC101"/>
  <c r="EZ102"/>
  <c r="EZ104"/>
  <c r="EV106"/>
  <c r="EV108"/>
  <c r="EZ110"/>
  <c r="EV114"/>
  <c r="FJ124"/>
  <c r="EZ126"/>
  <c r="ER126"/>
  <c r="ER129"/>
  <c r="EV131"/>
  <c r="EZ132"/>
  <c r="EZ135"/>
  <c r="FS144"/>
  <c r="EZ156"/>
  <c r="FJ163"/>
  <c r="EV164"/>
  <c r="EZ165"/>
  <c r="ER165"/>
  <c r="EZ171"/>
  <c r="ER171"/>
  <c r="FJ183"/>
  <c r="AB372"/>
  <c r="AB375" s="1"/>
  <c r="FR136"/>
  <c r="FR152"/>
  <c r="FR156"/>
  <c r="FR157"/>
  <c r="FR165"/>
  <c r="FJ90"/>
  <c r="EZ94"/>
  <c r="EV94"/>
  <c r="FS96"/>
  <c r="EU96"/>
  <c r="EZ99"/>
  <c r="FJ101"/>
  <c r="EU105"/>
  <c r="FS109"/>
  <c r="FC109"/>
  <c r="EU113"/>
  <c r="FS117"/>
  <c r="EV120"/>
  <c r="EV122"/>
  <c r="EU131"/>
  <c r="EZ142"/>
  <c r="FS143"/>
  <c r="EZ143"/>
  <c r="FJ149"/>
  <c r="EZ150"/>
  <c r="EV157"/>
  <c r="EU164"/>
  <c r="FS165"/>
  <c r="EU165"/>
  <c r="EU166"/>
  <c r="FJ180"/>
  <c r="FS181"/>
  <c r="FC181"/>
  <c r="EV182"/>
  <c r="N373"/>
  <c r="Z372"/>
  <c r="Z422" s="1"/>
  <c r="AD382"/>
  <c r="AD381"/>
  <c r="FI89"/>
  <c r="EU90"/>
  <c r="EX92"/>
  <c r="FM94"/>
  <c r="FP96"/>
  <c r="FM103"/>
  <c r="FP104"/>
  <c r="FM111"/>
  <c r="FP112"/>
  <c r="FM120"/>
  <c r="FP125"/>
  <c r="FP126"/>
  <c r="FP132"/>
  <c r="FM142"/>
  <c r="EU151"/>
  <c r="EX152"/>
  <c r="FP156"/>
  <c r="EX158"/>
  <c r="FM159"/>
  <c r="EX163"/>
  <c r="FP165"/>
  <c r="EU174"/>
  <c r="EX177"/>
  <c r="FI182"/>
  <c r="EX186"/>
  <c r="E503"/>
  <c r="FT90"/>
  <c r="EV90"/>
  <c r="EY92"/>
  <c r="EU92"/>
  <c r="EV88"/>
  <c r="FM89"/>
  <c r="EX89"/>
  <c r="FM90"/>
  <c r="FI90"/>
  <c r="FP92"/>
  <c r="EV92"/>
  <c r="EU94"/>
  <c r="FJ96"/>
  <c r="FF96"/>
  <c r="FB96"/>
  <c r="EX96"/>
  <c r="FF99"/>
  <c r="EX99"/>
  <c r="EU100"/>
  <c r="FM101"/>
  <c r="FI101"/>
  <c r="EV102"/>
  <c r="EV104"/>
  <c r="FP106"/>
  <c r="ER106"/>
  <c r="FM107"/>
  <c r="FP108"/>
  <c r="ER108"/>
  <c r="ER114"/>
  <c r="FM115"/>
  <c r="EU120"/>
  <c r="FB122"/>
  <c r="FP124"/>
  <c r="EV125"/>
  <c r="FF131"/>
  <c r="FB131"/>
  <c r="EX131"/>
  <c r="EV135"/>
  <c r="FB136"/>
  <c r="FP139"/>
  <c r="FF139"/>
  <c r="EU139"/>
  <c r="FI140"/>
  <c r="FF143"/>
  <c r="EU144"/>
  <c r="FM145"/>
  <c r="FI145"/>
  <c r="FF147"/>
  <c r="FP149"/>
  <c r="FF150"/>
  <c r="FB152"/>
  <c r="EU153"/>
  <c r="FJ156"/>
  <c r="FF156"/>
  <c r="FB156"/>
  <c r="EX156"/>
  <c r="FJ157"/>
  <c r="FB157"/>
  <c r="EV158"/>
  <c r="FM162"/>
  <c r="FI162"/>
  <c r="FP163"/>
  <c r="FI164"/>
  <c r="FJ165"/>
  <c r="FF165"/>
  <c r="FB165"/>
  <c r="FF166"/>
  <c r="FP167"/>
  <c r="EU167"/>
  <c r="FP170"/>
  <c r="EV170"/>
  <c r="ER170"/>
  <c r="FM173"/>
  <c r="FI173"/>
  <c r="FB175"/>
  <c r="EU176"/>
  <c r="FF177"/>
  <c r="FI180"/>
  <c r="FI181"/>
  <c r="EU182"/>
  <c r="FB183"/>
  <c r="EV184"/>
  <c r="FP186"/>
  <c r="AK372"/>
  <c r="AK377" s="1"/>
  <c r="W372"/>
  <c r="W422" s="1"/>
  <c r="M372"/>
  <c r="H466"/>
  <c r="FI94"/>
  <c r="FP102"/>
  <c r="FP110"/>
  <c r="FI120"/>
  <c r="EX122"/>
  <c r="FI130"/>
  <c r="FP135"/>
  <c r="EX136"/>
  <c r="EX139"/>
  <c r="FM140"/>
  <c r="FI142"/>
  <c r="FI159"/>
  <c r="EU162"/>
  <c r="FP166"/>
  <c r="EX170"/>
  <c r="FP171"/>
  <c r="EU173"/>
  <c r="FM181"/>
  <c r="FM182"/>
  <c r="EU185"/>
  <c r="FP90"/>
  <c r="FF94"/>
  <c r="FB94"/>
  <c r="EX94"/>
  <c r="FM96"/>
  <c r="FI96"/>
  <c r="FE96"/>
  <c r="EV99"/>
  <c r="FT101"/>
  <c r="FP101"/>
  <c r="FJ102"/>
  <c r="FB102"/>
  <c r="FJ104"/>
  <c r="FB104"/>
  <c r="FF106"/>
  <c r="EX106"/>
  <c r="FI107"/>
  <c r="EU109"/>
  <c r="FJ110"/>
  <c r="FB110"/>
  <c r="FJ112"/>
  <c r="FB112"/>
  <c r="FF114"/>
  <c r="FI115"/>
  <c r="FF116"/>
  <c r="EX116"/>
  <c r="EU117"/>
  <c r="EU118"/>
  <c r="FM119"/>
  <c r="FJ120"/>
  <c r="FF120"/>
  <c r="FB120"/>
  <c r="EY124"/>
  <c r="FB125"/>
  <c r="FB126"/>
  <c r="FF129"/>
  <c r="FM130"/>
  <c r="FM131"/>
  <c r="FI131"/>
  <c r="FB132"/>
  <c r="FF134"/>
  <c r="FB135"/>
  <c r="FP136"/>
  <c r="EY137"/>
  <c r="EU137"/>
  <c r="FP138"/>
  <c r="FT139"/>
  <c r="FI139"/>
  <c r="EY139"/>
  <c r="EY140"/>
  <c r="FM141"/>
  <c r="FF142"/>
  <c r="FB142"/>
  <c r="EX142"/>
  <c r="FM143"/>
  <c r="FI143"/>
  <c r="EV143"/>
  <c r="FT145"/>
  <c r="FJ146"/>
  <c r="FB146"/>
  <c r="FT147"/>
  <c r="EV147"/>
  <c r="FF149"/>
  <c r="FT150"/>
  <c r="EV150"/>
  <c r="FI153"/>
  <c r="FJ154"/>
  <c r="FB154"/>
  <c r="EU155"/>
  <c r="FM156"/>
  <c r="FI156"/>
  <c r="FF159"/>
  <c r="FB159"/>
  <c r="ER159"/>
  <c r="FT162"/>
  <c r="ER162"/>
  <c r="EY163"/>
  <c r="EU163"/>
  <c r="EX164"/>
  <c r="FQ165"/>
  <c r="FM165"/>
  <c r="FI165"/>
  <c r="EU169"/>
  <c r="EY170"/>
  <c r="EU170"/>
  <c r="FJ171"/>
  <c r="FB171"/>
  <c r="FT173"/>
  <c r="FP173"/>
  <c r="EV173"/>
  <c r="FT175"/>
  <c r="FP177"/>
  <c r="FB179"/>
  <c r="FM180"/>
  <c r="FB180"/>
  <c r="EU180"/>
  <c r="EY181"/>
  <c r="FF182"/>
  <c r="FB182"/>
  <c r="FP183"/>
  <c r="FM185"/>
  <c r="EY185"/>
  <c r="EY186"/>
  <c r="L372"/>
  <c r="L380" s="1"/>
  <c r="H382"/>
  <c r="H380"/>
  <c r="H375"/>
  <c r="H378"/>
  <c r="H379"/>
  <c r="FH92"/>
  <c r="FK94"/>
  <c r="EY94"/>
  <c r="EQ94"/>
  <c r="ET96"/>
  <c r="FK100"/>
  <c r="FE101"/>
  <c r="FT102"/>
  <c r="FE103"/>
  <c r="EQ104"/>
  <c r="EQ105"/>
  <c r="EY109"/>
  <c r="FT110"/>
  <c r="EQ110"/>
  <c r="FT112"/>
  <c r="EQ112"/>
  <c r="FH116"/>
  <c r="EY117"/>
  <c r="EQ119"/>
  <c r="FT124"/>
  <c r="FH124"/>
  <c r="FN131"/>
  <c r="FT132"/>
  <c r="FT135"/>
  <c r="ET136"/>
  <c r="FH137"/>
  <c r="FK142"/>
  <c r="EY142"/>
  <c r="EQ146"/>
  <c r="ET152"/>
  <c r="FT154"/>
  <c r="EQ156"/>
  <c r="FK159"/>
  <c r="FT164"/>
  <c r="ET165"/>
  <c r="FT174"/>
  <c r="FH174"/>
  <c r="EQ174"/>
  <c r="FN180"/>
  <c r="EY182"/>
  <c r="EQ182"/>
  <c r="U379"/>
  <c r="N381"/>
  <c r="E475"/>
  <c r="FO89"/>
  <c r="EY89"/>
  <c r="FR90"/>
  <c r="FF90"/>
  <c r="FB90"/>
  <c r="ET90"/>
  <c r="FE92"/>
  <c r="EW92"/>
  <c r="FT94"/>
  <c r="FH94"/>
  <c r="FO96"/>
  <c r="FK96"/>
  <c r="EY96"/>
  <c r="EQ96"/>
  <c r="FT99"/>
  <c r="FH99"/>
  <c r="FO100"/>
  <c r="EY100"/>
  <c r="FR101"/>
  <c r="FF101"/>
  <c r="FB101"/>
  <c r="EQ101"/>
  <c r="FF102"/>
  <c r="FF104"/>
  <c r="FK105"/>
  <c r="FR106"/>
  <c r="FB106"/>
  <c r="ET106"/>
  <c r="FQ107"/>
  <c r="EQ107"/>
  <c r="ET108"/>
  <c r="FF110"/>
  <c r="FF112"/>
  <c r="FK113"/>
  <c r="FR114"/>
  <c r="FB114"/>
  <c r="FQ115"/>
  <c r="FR116"/>
  <c r="FB116"/>
  <c r="FT120"/>
  <c r="FH120"/>
  <c r="FT122"/>
  <c r="FE124"/>
  <c r="FF125"/>
  <c r="FF126"/>
  <c r="FO131"/>
  <c r="FK131"/>
  <c r="EY131"/>
  <c r="EQ131"/>
  <c r="FN132"/>
  <c r="FF132"/>
  <c r="FN134"/>
  <c r="FF135"/>
  <c r="FT136"/>
  <c r="EQ136"/>
  <c r="EW137"/>
  <c r="EQ139"/>
  <c r="FK140"/>
  <c r="FT142"/>
  <c r="FH142"/>
  <c r="FO143"/>
  <c r="FK143"/>
  <c r="FO144"/>
  <c r="EY144"/>
  <c r="FR145"/>
  <c r="FN145"/>
  <c r="FF145"/>
  <c r="FB145"/>
  <c r="FF146"/>
  <c r="FH147"/>
  <c r="FR149"/>
  <c r="FB149"/>
  <c r="ET149"/>
  <c r="FH150"/>
  <c r="FT152"/>
  <c r="EQ152"/>
  <c r="EW153"/>
  <c r="FF154"/>
  <c r="EY155"/>
  <c r="FO156"/>
  <c r="FK156"/>
  <c r="EY156"/>
  <c r="FT157"/>
  <c r="EW158"/>
  <c r="FT159"/>
  <c r="FH159"/>
  <c r="EQ159"/>
  <c r="FR162"/>
  <c r="FF162"/>
  <c r="FB162"/>
  <c r="ET162"/>
  <c r="FQ163"/>
  <c r="FK164"/>
  <c r="FF164"/>
  <c r="FO165"/>
  <c r="FK165"/>
  <c r="EY165"/>
  <c r="EQ165"/>
  <c r="FK166"/>
  <c r="EW170"/>
  <c r="FF171"/>
  <c r="FR173"/>
  <c r="FF173"/>
  <c r="FB173"/>
  <c r="FQ174"/>
  <c r="FE174"/>
  <c r="ET175"/>
  <c r="EW176"/>
  <c r="FH177"/>
  <c r="FR179"/>
  <c r="FE180"/>
  <c r="FK181"/>
  <c r="FT182"/>
  <c r="FH182"/>
  <c r="FT183"/>
  <c r="FF187"/>
  <c r="J377"/>
  <c r="J378"/>
  <c r="W379"/>
  <c r="AD380"/>
  <c r="AF372"/>
  <c r="Y372"/>
  <c r="H468"/>
  <c r="FQ90"/>
  <c r="EQ91"/>
  <c r="FT92"/>
  <c r="FN96"/>
  <c r="EQ102"/>
  <c r="FT104"/>
  <c r="FH106"/>
  <c r="FE111"/>
  <c r="EQ113"/>
  <c r="FH114"/>
  <c r="EY119"/>
  <c r="FK120"/>
  <c r="EY120"/>
  <c r="EQ120"/>
  <c r="FT125"/>
  <c r="EQ125"/>
  <c r="FT126"/>
  <c r="EQ130"/>
  <c r="FT137"/>
  <c r="FK139"/>
  <c r="EY141"/>
  <c r="FK144"/>
  <c r="FT146"/>
  <c r="FH149"/>
  <c r="EY151"/>
  <c r="FK153"/>
  <c r="EQ154"/>
  <c r="EY159"/>
  <c r="FT163"/>
  <c r="FH163"/>
  <c r="EY164"/>
  <c r="ET164"/>
  <c r="EY169"/>
  <c r="FT170"/>
  <c r="FH170"/>
  <c r="FT171"/>
  <c r="EY174"/>
  <c r="FK176"/>
  <c r="FK182"/>
  <c r="FT186"/>
  <c r="FH186"/>
  <c r="FQ89"/>
  <c r="FO90"/>
  <c r="FK90"/>
  <c r="EY90"/>
  <c r="EQ90"/>
  <c r="FR92"/>
  <c r="FF92"/>
  <c r="FB92"/>
  <c r="ET92"/>
  <c r="FE94"/>
  <c r="EW94"/>
  <c r="FT96"/>
  <c r="FH96"/>
  <c r="FB99"/>
  <c r="ET99"/>
  <c r="FO101"/>
  <c r="FK101"/>
  <c r="EY101"/>
  <c r="FH102"/>
  <c r="EW103"/>
  <c r="FH104"/>
  <c r="FO105"/>
  <c r="EY105"/>
  <c r="FT106"/>
  <c r="EQ106"/>
  <c r="FE107"/>
  <c r="EY107"/>
  <c r="EQ108"/>
  <c r="EQ109"/>
  <c r="FH110"/>
  <c r="EW111"/>
  <c r="FH112"/>
  <c r="FO113"/>
  <c r="EY113"/>
  <c r="FT114"/>
  <c r="FL114"/>
  <c r="EQ114"/>
  <c r="FT116"/>
  <c r="FL116"/>
  <c r="EQ117"/>
  <c r="EQ118"/>
  <c r="FK119"/>
  <c r="FE120"/>
  <c r="EW120"/>
  <c r="FN122"/>
  <c r="FF122"/>
  <c r="FR124"/>
  <c r="FF124"/>
  <c r="FB124"/>
  <c r="FH125"/>
  <c r="FH126"/>
  <c r="FR129"/>
  <c r="FB129"/>
  <c r="FT131"/>
  <c r="FH131"/>
  <c r="FH132"/>
  <c r="EQ133"/>
  <c r="FR134"/>
  <c r="FB134"/>
  <c r="FH135"/>
  <c r="FF136"/>
  <c r="FR137"/>
  <c r="FF137"/>
  <c r="FB137"/>
  <c r="EQ138"/>
  <c r="FH139"/>
  <c r="FK141"/>
  <c r="EW142"/>
  <c r="FT143"/>
  <c r="FH143"/>
  <c r="FB143"/>
  <c r="FO145"/>
  <c r="FK145"/>
  <c r="EY145"/>
  <c r="FH146"/>
  <c r="FR147"/>
  <c r="FB147"/>
  <c r="ET147"/>
  <c r="FT149"/>
  <c r="FR150"/>
  <c r="FB150"/>
  <c r="FO151"/>
  <c r="FF152"/>
  <c r="FO153"/>
  <c r="EY153"/>
  <c r="EQ153"/>
  <c r="FH154"/>
  <c r="FT156"/>
  <c r="FH156"/>
  <c r="ET156"/>
  <c r="FN157"/>
  <c r="FF157"/>
  <c r="FF158"/>
  <c r="ET159"/>
  <c r="FF161"/>
  <c r="FO162"/>
  <c r="FK162"/>
  <c r="EY162"/>
  <c r="EQ162"/>
  <c r="FR163"/>
  <c r="FN163"/>
  <c r="FF163"/>
  <c r="FB163"/>
  <c r="ET163"/>
  <c r="EQ164"/>
  <c r="FT165"/>
  <c r="FH165"/>
  <c r="EQ169"/>
  <c r="FR170"/>
  <c r="FF170"/>
  <c r="FB170"/>
  <c r="FH171"/>
  <c r="FO173"/>
  <c r="FK173"/>
  <c r="EY173"/>
  <c r="EQ173"/>
  <c r="FR174"/>
  <c r="FF174"/>
  <c r="FB174"/>
  <c r="FR175"/>
  <c r="FH175"/>
  <c r="FK180"/>
  <c r="FF180"/>
  <c r="ET180"/>
  <c r="EW182"/>
  <c r="FK184"/>
  <c r="FK185"/>
  <c r="FR186"/>
  <c r="FF186"/>
  <c r="FB186"/>
  <c r="J373"/>
  <c r="N374"/>
  <c r="N377"/>
  <c r="N380"/>
  <c r="AI372"/>
  <c r="AI376" s="1"/>
  <c r="S372"/>
  <c r="S381" s="1"/>
  <c r="H516"/>
  <c r="EK137"/>
  <c r="FD88"/>
  <c r="EV128"/>
  <c r="FS138"/>
  <c r="FM138"/>
  <c r="FI158"/>
  <c r="FB178"/>
  <c r="EY178"/>
  <c r="EY118"/>
  <c r="EZ128"/>
  <c r="EW138"/>
  <c r="ES138"/>
  <c r="FR148"/>
  <c r="FI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F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4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74"/>
  <c r="O376"/>
  <c r="O373"/>
  <c r="O380"/>
  <c r="J380"/>
  <c r="J374"/>
  <c r="J382"/>
  <c r="J381"/>
  <c r="AA372"/>
  <c r="AA376" s="1"/>
  <c r="FJ182"/>
  <c r="FJ158"/>
  <c r="FJ150"/>
  <c r="FJ143"/>
  <c r="FJ142"/>
  <c r="FJ114"/>
  <c r="FJ159"/>
  <c r="FJ145"/>
  <c r="FJ137"/>
  <c r="FJ131"/>
  <c r="E487"/>
  <c r="H488" s="1"/>
  <c r="FE156"/>
  <c r="FC164"/>
  <c r="T372"/>
  <c r="FC169"/>
  <c r="FC156"/>
  <c r="FC153"/>
  <c r="EZ186"/>
  <c r="EZ177"/>
  <c r="EZ170"/>
  <c r="EZ152"/>
  <c r="EZ145"/>
  <c r="EZ131"/>
  <c r="EZ116"/>
  <c r="E477"/>
  <c r="H478" s="1"/>
  <c r="Q372"/>
  <c r="EZ182"/>
  <c r="EZ154"/>
  <c r="EZ146"/>
  <c r="EZ137"/>
  <c r="EZ120"/>
  <c r="AK378"/>
  <c r="R372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74" s="1"/>
  <c r="E511"/>
  <c r="H512" s="1"/>
  <c r="E50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G372"/>
  <c r="G422" s="1"/>
  <c r="H514"/>
  <c r="E497"/>
  <c r="H498" s="1"/>
  <c r="E483"/>
  <c r="H484" s="1"/>
  <c r="W377"/>
  <c r="AJ372"/>
  <c r="AJ422" s="1"/>
  <c r="FS164"/>
  <c r="FS162"/>
  <c r="FS139"/>
  <c r="FS180"/>
  <c r="FS169"/>
  <c r="FS156"/>
  <c r="FS153"/>
  <c r="AG372"/>
  <c r="AG382" s="1"/>
  <c r="FP152"/>
  <c r="FP145"/>
  <c r="FP143"/>
  <c r="FP131"/>
  <c r="FP116"/>
  <c r="E509"/>
  <c r="H508" s="1"/>
  <c r="FP157"/>
  <c r="FP154"/>
  <c r="FP146"/>
  <c r="FP137"/>
  <c r="FP120"/>
  <c r="K372"/>
  <c r="K422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S380"/>
  <c r="AH372"/>
  <c r="AC372"/>
  <c r="AC374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P215" s="1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DK108"/>
  <c r="DI108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3"/>
  <c r="AJ379"/>
  <c r="AG377"/>
  <c r="AA379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74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0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D379"/>
  <c r="AD375"/>
  <c r="AD378"/>
  <c r="AD376"/>
  <c r="AD377"/>
  <c r="AD374"/>
  <c r="AD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5"/>
  <c r="AB373"/>
  <c r="Y378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B30"/>
  <c r="AB46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AF377"/>
  <c r="H480"/>
  <c r="H470"/>
  <c r="W378"/>
  <c r="O382"/>
  <c r="O378"/>
  <c r="O374"/>
  <c r="J379"/>
  <c r="J375"/>
  <c r="AH23"/>
  <c r="AH39" s="1"/>
  <c r="AH30"/>
  <c r="AH46" s="1"/>
  <c r="AD23"/>
  <c r="AD39" s="1"/>
  <c r="AD30"/>
  <c r="AD46" s="1"/>
  <c r="AD432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DF219" l="1"/>
  <c r="W374"/>
  <c r="AG380"/>
  <c r="AJ377"/>
  <c r="AJ378"/>
  <c r="W376"/>
  <c r="L379"/>
  <c r="AG375"/>
  <c r="AJ374"/>
  <c r="AJ382"/>
  <c r="AB378"/>
  <c r="K378"/>
  <c r="S376"/>
  <c r="AG373"/>
  <c r="AJ380"/>
  <c r="AJ381"/>
  <c r="AH379"/>
  <c r="AH422"/>
  <c r="AH431" s="1"/>
  <c r="AH449" s="1"/>
  <c r="AC378"/>
  <c r="AC422"/>
  <c r="AC429" s="1"/>
  <c r="AC447" s="1"/>
  <c r="Q382"/>
  <c r="Q422"/>
  <c r="Q431" s="1"/>
  <c r="Q449" s="1"/>
  <c r="T381"/>
  <c r="T422"/>
  <c r="T429" s="1"/>
  <c r="T447" s="1"/>
  <c r="AF380"/>
  <c r="AF422"/>
  <c r="AF432" s="1"/>
  <c r="AF450" s="1"/>
  <c r="M373"/>
  <c r="M422"/>
  <c r="M432" s="1"/>
  <c r="M450" s="1"/>
  <c r="G428"/>
  <c r="G446" s="1"/>
  <c r="AK373"/>
  <c r="AK379"/>
  <c r="Z380"/>
  <c r="Z375"/>
  <c r="AB379"/>
  <c r="AB381"/>
  <c r="AK380"/>
  <c r="Z373"/>
  <c r="W373"/>
  <c r="Z382"/>
  <c r="AE432"/>
  <c r="AE450" s="1"/>
  <c r="AA374"/>
  <c r="AA422"/>
  <c r="AI378"/>
  <c r="AI422"/>
  <c r="AI427" s="1"/>
  <c r="AI445" s="1"/>
  <c r="AK381"/>
  <c r="AK422"/>
  <c r="AB376"/>
  <c r="AB422"/>
  <c r="AB432" s="1"/>
  <c r="AB450" s="1"/>
  <c r="AE378"/>
  <c r="AE422"/>
  <c r="X373"/>
  <c r="X422"/>
  <c r="X432" s="1"/>
  <c r="X450" s="1"/>
  <c r="S373"/>
  <c r="S422"/>
  <c r="AG378"/>
  <c r="AG422"/>
  <c r="AG432" s="1"/>
  <c r="AG450" s="1"/>
  <c r="V376"/>
  <c r="V422"/>
  <c r="R379"/>
  <c r="R422"/>
  <c r="R429" s="1"/>
  <c r="R447" s="1"/>
  <c r="Y373"/>
  <c r="Y422"/>
  <c r="L382"/>
  <c r="L422"/>
  <c r="L424" s="1"/>
  <c r="L442" s="1"/>
  <c r="G423"/>
  <c r="G441" s="1"/>
  <c r="G430"/>
  <c r="G448" s="1"/>
  <c r="Z432"/>
  <c r="Z450" s="1"/>
  <c r="Z379"/>
  <c r="AB382"/>
  <c r="AK382"/>
  <c r="AI382"/>
  <c r="AB374"/>
  <c r="G427"/>
  <c r="H460"/>
  <c r="N432"/>
  <c r="N450" s="1"/>
  <c r="V432"/>
  <c r="V450" s="1"/>
  <c r="G382"/>
  <c r="W382"/>
  <c r="AB377"/>
  <c r="AK376"/>
  <c r="X381"/>
  <c r="AI373"/>
  <c r="AA382"/>
  <c r="H502"/>
  <c r="AK374"/>
  <c r="Z378"/>
  <c r="AB380"/>
  <c r="DF217"/>
  <c r="DF218"/>
  <c r="ES108"/>
  <c r="EY98"/>
  <c r="EV98"/>
  <c r="EU98"/>
  <c r="EY88"/>
  <c r="EX98"/>
  <c r="EW108"/>
  <c r="FA88"/>
  <c r="DQ212"/>
  <c r="EZ98"/>
  <c r="DP213"/>
  <c r="EQ148"/>
  <c r="EW88"/>
  <c r="ER118"/>
  <c r="EU108"/>
  <c r="ES168"/>
  <c r="EV118"/>
  <c r="EU88"/>
  <c r="EQ128"/>
  <c r="DQ213"/>
  <c r="DP214"/>
  <c r="DP212"/>
  <c r="N424"/>
  <c r="N442" s="1"/>
  <c r="AD424"/>
  <c r="AD442" s="1"/>
  <c r="W426"/>
  <c r="W444" s="1"/>
  <c r="N426"/>
  <c r="N444" s="1"/>
  <c r="AH428"/>
  <c r="AH446" s="1"/>
  <c r="N425"/>
  <c r="N443" s="1"/>
  <c r="AD425"/>
  <c r="AD443" s="1"/>
  <c r="W424"/>
  <c r="W442" s="1"/>
  <c r="V427"/>
  <c r="V445" s="1"/>
  <c r="W423"/>
  <c r="W441" s="1"/>
  <c r="T423"/>
  <c r="T441" s="1"/>
  <c r="J427"/>
  <c r="J445" s="1"/>
  <c r="S61"/>
  <c r="S432"/>
  <c r="S450" s="1"/>
  <c r="AD423"/>
  <c r="AD441" s="1"/>
  <c r="AA432"/>
  <c r="AA450" s="1"/>
  <c r="Q426"/>
  <c r="Q444" s="1"/>
  <c r="H427"/>
  <c r="H445" s="1"/>
  <c r="AK427"/>
  <c r="AK445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K431"/>
  <c r="K449" s="1"/>
  <c r="AI431"/>
  <c r="AI449" s="1"/>
  <c r="K425"/>
  <c r="K443" s="1"/>
  <c r="AK425"/>
  <c r="AK443" s="1"/>
  <c r="AJ427"/>
  <c r="AJ445" s="1"/>
  <c r="J424"/>
  <c r="J442" s="1"/>
  <c r="Z424"/>
  <c r="Z442" s="1"/>
  <c r="J426"/>
  <c r="J444" s="1"/>
  <c r="Z426"/>
  <c r="Z444" s="1"/>
  <c r="AD428"/>
  <c r="AD446" s="1"/>
  <c r="AD430"/>
  <c r="AD448" s="1"/>
  <c r="AJ423"/>
  <c r="AJ441" s="1"/>
  <c r="Z431"/>
  <c r="Z449" s="1"/>
  <c r="AI423"/>
  <c r="AI441" s="1"/>
  <c r="M61"/>
  <c r="AK424"/>
  <c r="AK442" s="1"/>
  <c r="N431"/>
  <c r="N449" s="1"/>
  <c r="I423"/>
  <c r="I441" s="1"/>
  <c r="H432"/>
  <c r="H450" s="1"/>
  <c r="P425"/>
  <c r="P443" s="1"/>
  <c r="M426"/>
  <c r="M444" s="1"/>
  <c r="H428"/>
  <c r="H446" s="1"/>
  <c r="AJ429"/>
  <c r="AJ447" s="1"/>
  <c r="W428"/>
  <c r="W446" s="1"/>
  <c r="O429"/>
  <c r="O447" s="1"/>
  <c r="AK429"/>
  <c r="AK447" s="1"/>
  <c r="K430"/>
  <c r="K448" s="1"/>
  <c r="AE431"/>
  <c r="AE449" s="1"/>
  <c r="T428"/>
  <c r="T446" s="1"/>
  <c r="U427"/>
  <c r="U445" s="1"/>
  <c r="Q423"/>
  <c r="Q441" s="1"/>
  <c r="V426"/>
  <c r="V444" s="1"/>
  <c r="AH425"/>
  <c r="AH443" s="1"/>
  <c r="Z430"/>
  <c r="Z448" s="1"/>
  <c r="O424"/>
  <c r="O442" s="1"/>
  <c r="AE424"/>
  <c r="AE442" s="1"/>
  <c r="I61"/>
  <c r="I432"/>
  <c r="I450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V423"/>
  <c r="V441" s="1"/>
  <c r="U423"/>
  <c r="U441" s="1"/>
  <c r="AK61"/>
  <c r="AK432"/>
  <c r="AK450" s="1"/>
  <c r="Y424"/>
  <c r="Y442" s="1"/>
  <c r="H425"/>
  <c r="H443" s="1"/>
  <c r="S425"/>
  <c r="S443" s="1"/>
  <c r="I426"/>
  <c r="I444" s="1"/>
  <c r="Y426"/>
  <c r="Y444" s="1"/>
  <c r="I427"/>
  <c r="I445" s="1"/>
  <c r="O427"/>
  <c r="O445" s="1"/>
  <c r="AA427"/>
  <c r="AA445" s="1"/>
  <c r="Q428"/>
  <c r="Q446" s="1"/>
  <c r="L429"/>
  <c r="L447" s="1"/>
  <c r="S428"/>
  <c r="S446" s="1"/>
  <c r="K429"/>
  <c r="K447" s="1"/>
  <c r="AA429"/>
  <c r="AA447" s="1"/>
  <c r="W430"/>
  <c r="W448" s="1"/>
  <c r="U430"/>
  <c r="U448" s="1"/>
  <c r="I431"/>
  <c r="I449" s="1"/>
  <c r="AF431"/>
  <c r="AF449" s="1"/>
  <c r="W431"/>
  <c r="W449" s="1"/>
  <c r="S431"/>
  <c r="S449" s="1"/>
  <c r="AJ428"/>
  <c r="AJ446" s="1"/>
  <c r="AJ424"/>
  <c r="AJ442" s="1"/>
  <c r="I425"/>
  <c r="I443" s="1"/>
  <c r="Y431"/>
  <c r="Y449" s="1"/>
  <c r="AH423"/>
  <c r="AH441" s="1"/>
  <c r="L425"/>
  <c r="L443" s="1"/>
  <c r="H426"/>
  <c r="H444" s="1"/>
  <c r="AE429"/>
  <c r="AE447" s="1"/>
  <c r="AJ430"/>
  <c r="AJ448" s="1"/>
  <c r="AD426"/>
  <c r="AD444" s="1"/>
  <c r="V425"/>
  <c r="V443" s="1"/>
  <c r="H423"/>
  <c r="H441" s="1"/>
  <c r="N429"/>
  <c r="N447" s="1"/>
  <c r="V431"/>
  <c r="V449" s="1"/>
  <c r="N423"/>
  <c r="N441" s="1"/>
  <c r="AE425"/>
  <c r="AE443" s="1"/>
  <c r="S427"/>
  <c r="S445" s="1"/>
  <c r="K428"/>
  <c r="K446" s="1"/>
  <c r="U428"/>
  <c r="U446" s="1"/>
  <c r="I429"/>
  <c r="I447" s="1"/>
  <c r="Y429"/>
  <c r="Y447" s="1"/>
  <c r="H430"/>
  <c r="H448" s="1"/>
  <c r="AB424"/>
  <c r="AB442" s="1"/>
  <c r="U425"/>
  <c r="U443" s="1"/>
  <c r="AK423"/>
  <c r="AK441" s="1"/>
  <c r="P430"/>
  <c r="P448" s="1"/>
  <c r="S426"/>
  <c r="S444" s="1"/>
  <c r="N428"/>
  <c r="N446" s="1"/>
  <c r="N430"/>
  <c r="N448" s="1"/>
  <c r="S424"/>
  <c r="S442" s="1"/>
  <c r="N427"/>
  <c r="N445" s="1"/>
  <c r="Z429"/>
  <c r="Z447" s="1"/>
  <c r="S423"/>
  <c r="S441" s="1"/>
  <c r="K432"/>
  <c r="K450" s="1"/>
  <c r="Z423"/>
  <c r="Z441" s="1"/>
  <c r="Y432"/>
  <c r="Y450" s="1"/>
  <c r="O432"/>
  <c r="O450" s="1"/>
  <c r="U61"/>
  <c r="U432"/>
  <c r="U450" s="1"/>
  <c r="AA425"/>
  <c r="AA443" s="1"/>
  <c r="K427"/>
  <c r="K445" s="1"/>
  <c r="AE427"/>
  <c r="AE445" s="1"/>
  <c r="Y428"/>
  <c r="Y446" s="1"/>
  <c r="U429"/>
  <c r="U447" s="1"/>
  <c r="AE430"/>
  <c r="AE448" s="1"/>
  <c r="AA430"/>
  <c r="AA448" s="1"/>
  <c r="M431"/>
  <c r="M449" s="1"/>
  <c r="AA431"/>
  <c r="AA449" s="1"/>
  <c r="P427"/>
  <c r="P445" s="1"/>
  <c r="X425"/>
  <c r="X443" s="1"/>
  <c r="P426"/>
  <c r="P444" s="1"/>
  <c r="AK431"/>
  <c r="AK449" s="1"/>
  <c r="V424"/>
  <c r="V442" s="1"/>
  <c r="O426"/>
  <c r="O444" s="1"/>
  <c r="AE426"/>
  <c r="AE444" s="1"/>
  <c r="Z428"/>
  <c r="Z446" s="1"/>
  <c r="Z425"/>
  <c r="Z443" s="1"/>
  <c r="K426"/>
  <c r="K444" s="1"/>
  <c r="AA426"/>
  <c r="AA444" s="1"/>
  <c r="V428"/>
  <c r="V446" s="1"/>
  <c r="V430"/>
  <c r="V448" s="1"/>
  <c r="K424"/>
  <c r="K442" s="1"/>
  <c r="AA424"/>
  <c r="AA442" s="1"/>
  <c r="K423"/>
  <c r="K441" s="1"/>
  <c r="AA423"/>
  <c r="AA441" s="1"/>
  <c r="U424"/>
  <c r="U442" s="1"/>
  <c r="R427"/>
  <c r="R445" s="1"/>
  <c r="V429"/>
  <c r="V447" s="1"/>
  <c r="AD431"/>
  <c r="AD449" s="1"/>
  <c r="W61"/>
  <c r="W432"/>
  <c r="W450" s="1"/>
  <c r="J423"/>
  <c r="J441" s="1"/>
  <c r="Q432"/>
  <c r="Q450" s="1"/>
  <c r="AI61"/>
  <c r="AI432"/>
  <c r="AI450" s="1"/>
  <c r="I424"/>
  <c r="I442" s="1"/>
  <c r="G425"/>
  <c r="G443" s="1"/>
  <c r="AI425"/>
  <c r="AI443" s="1"/>
  <c r="U426"/>
  <c r="U444" s="1"/>
  <c r="AK426"/>
  <c r="AK444" s="1"/>
  <c r="Y427"/>
  <c r="Y445" s="1"/>
  <c r="T427"/>
  <c r="T445" s="1"/>
  <c r="W427"/>
  <c r="W445" s="1"/>
  <c r="I428"/>
  <c r="I446" s="1"/>
  <c r="AK428"/>
  <c r="AK446" s="1"/>
  <c r="H429"/>
  <c r="H447" s="1"/>
  <c r="O428"/>
  <c r="O446" s="1"/>
  <c r="AE428"/>
  <c r="AE446" s="1"/>
  <c r="G429"/>
  <c r="G447" s="1"/>
  <c r="W429"/>
  <c r="W447" s="1"/>
  <c r="P429"/>
  <c r="P447" s="1"/>
  <c r="S430"/>
  <c r="S448" s="1"/>
  <c r="Y430"/>
  <c r="Y448" s="1"/>
  <c r="AJ431"/>
  <c r="AJ449" s="1"/>
  <c r="U431"/>
  <c r="U449" s="1"/>
  <c r="O431"/>
  <c r="O449" s="1"/>
  <c r="G431"/>
  <c r="G449" s="1"/>
  <c r="AB428"/>
  <c r="AB446" s="1"/>
  <c r="P424"/>
  <c r="P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Z376"/>
  <c r="Z377"/>
  <c r="T380"/>
  <c r="AF373"/>
  <c r="AE382"/>
  <c r="AC382"/>
  <c r="L381"/>
  <c r="DG235"/>
  <c r="AF382"/>
  <c r="AC380"/>
  <c r="H476"/>
  <c r="M379"/>
  <c r="M375"/>
  <c r="L376"/>
  <c r="L378"/>
  <c r="W381"/>
  <c r="W380"/>
  <c r="W375"/>
  <c r="T378"/>
  <c r="M376"/>
  <c r="M378"/>
  <c r="H474"/>
  <c r="Q379"/>
  <c r="T377"/>
  <c r="AF381"/>
  <c r="S374"/>
  <c r="M374"/>
  <c r="M382"/>
  <c r="L374"/>
  <c r="L373"/>
  <c r="V381"/>
  <c r="AF376"/>
  <c r="S379"/>
  <c r="S382"/>
  <c r="S375"/>
  <c r="Q376"/>
  <c r="AF375"/>
  <c r="Q374"/>
  <c r="S378"/>
  <c r="M381"/>
  <c r="L375"/>
  <c r="L377"/>
  <c r="H496"/>
  <c r="M377"/>
  <c r="G459"/>
  <c r="Y382"/>
  <c r="Y379"/>
  <c r="AH375"/>
  <c r="AC376"/>
  <c r="Y380"/>
  <c r="AA377"/>
  <c r="H500"/>
  <c r="Y375"/>
  <c r="Y377"/>
  <c r="AI381"/>
  <c r="AI380"/>
  <c r="AI377"/>
  <c r="AI375"/>
  <c r="AI379"/>
  <c r="AF379"/>
  <c r="AF374"/>
  <c r="AF378"/>
  <c r="H510"/>
  <c r="H482"/>
  <c r="H472"/>
  <c r="AC381"/>
  <c r="Y376"/>
  <c r="AI374"/>
  <c r="AA375"/>
  <c r="H490"/>
  <c r="Y374"/>
  <c r="DT212"/>
  <c r="DT214"/>
  <c r="EB217"/>
  <c r="DY221"/>
  <c r="EG217"/>
  <c r="EJ217"/>
  <c r="DY219"/>
  <c r="DF212"/>
  <c r="DF214"/>
  <c r="EK171"/>
  <c r="DF221"/>
  <c r="EK156"/>
  <c r="DF216"/>
  <c r="FU131"/>
  <c r="EY108"/>
  <c r="FB168"/>
  <c r="DR220"/>
  <c r="FQ168"/>
  <c r="EG220"/>
  <c r="FF118"/>
  <c r="DV215"/>
  <c r="FJ128"/>
  <c r="DZ216"/>
  <c r="FS98"/>
  <c r="EI213"/>
  <c r="FH148"/>
  <c r="DX218"/>
  <c r="FM148"/>
  <c r="EC218"/>
  <c r="FE148"/>
  <c r="DU218"/>
  <c r="FS88"/>
  <c r="EI212"/>
  <c r="FG128"/>
  <c r="DW216"/>
  <c r="EY128"/>
  <c r="FR98"/>
  <c r="EH213"/>
  <c r="FB98"/>
  <c r="DR213"/>
  <c r="FR168"/>
  <c r="EH220"/>
  <c r="FT168"/>
  <c r="EJ220"/>
  <c r="FK168"/>
  <c r="EA220"/>
  <c r="FH118"/>
  <c r="DX215"/>
  <c r="FO148"/>
  <c r="EE218"/>
  <c r="EY148"/>
  <c r="FM88"/>
  <c r="EC212"/>
  <c r="FE88"/>
  <c r="DU212"/>
  <c r="FQ128"/>
  <c r="EG216"/>
  <c r="FA128"/>
  <c r="DQ216"/>
  <c r="FL98"/>
  <c r="EB213"/>
  <c r="FA108"/>
  <c r="DQ214"/>
  <c r="FI108"/>
  <c r="DY214"/>
  <c r="FQ108"/>
  <c r="EG214"/>
  <c r="FH168"/>
  <c r="DX220"/>
  <c r="FD168"/>
  <c r="DT220"/>
  <c r="FO168"/>
  <c r="EE220"/>
  <c r="FG168"/>
  <c r="DW220"/>
  <c r="EY168"/>
  <c r="EQ168"/>
  <c r="FT118"/>
  <c r="EJ215"/>
  <c r="FL118"/>
  <c r="EB215"/>
  <c r="FD118"/>
  <c r="DT215"/>
  <c r="EX128"/>
  <c r="FN128"/>
  <c r="ED216"/>
  <c r="FA118"/>
  <c r="DQ215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FM128"/>
  <c r="EC216"/>
  <c r="FE128"/>
  <c r="DU216"/>
  <c r="EW128"/>
  <c r="FP98"/>
  <c r="EF213"/>
  <c r="FH98"/>
  <c r="DX213"/>
  <c r="ER98"/>
  <c r="EB219"/>
  <c r="DZ219"/>
  <c r="DQ219"/>
  <c r="EJ219"/>
  <c r="EF221"/>
  <c r="EJ216"/>
  <c r="EI215"/>
  <c r="ED214"/>
  <c r="EF212"/>
  <c r="DP216"/>
  <c r="FU92"/>
  <c r="DF215"/>
  <c r="DW217"/>
  <c r="EI219"/>
  <c r="EE221"/>
  <c r="DX219"/>
  <c r="DR212"/>
  <c r="EC221"/>
  <c r="EF216"/>
  <c r="DV212"/>
  <c r="DY217"/>
  <c r="DP220"/>
  <c r="FU162"/>
  <c r="EF220"/>
  <c r="EF217"/>
  <c r="EG219"/>
  <c r="EB221"/>
  <c r="DP217"/>
  <c r="EA221"/>
  <c r="EH221"/>
  <c r="DU219"/>
  <c r="EE219"/>
  <c r="DU217"/>
  <c r="DZ212"/>
  <c r="DS221"/>
  <c r="EJ221"/>
  <c r="DR218"/>
  <c r="EE215"/>
  <c r="EH214"/>
  <c r="EI221"/>
  <c r="DV217"/>
  <c r="EA215"/>
  <c r="DZ214"/>
  <c r="EJ212"/>
  <c r="ED221"/>
  <c r="DW219"/>
  <c r="DX217"/>
  <c r="DX214"/>
  <c r="DT217"/>
  <c r="EB214"/>
  <c r="FG108"/>
  <c r="DW214"/>
  <c r="FO108"/>
  <c r="EE214"/>
  <c r="FF168"/>
  <c r="DV220"/>
  <c r="FL168"/>
  <c r="EB220"/>
  <c r="FI168"/>
  <c r="DY220"/>
  <c r="FA168"/>
  <c r="DQ220"/>
  <c r="FN118"/>
  <c r="ED215"/>
  <c r="EX118"/>
  <c r="ET128"/>
  <c r="FM118"/>
  <c r="EC215"/>
  <c r="FC98"/>
  <c r="DS213"/>
  <c r="FK88"/>
  <c r="EA212"/>
  <c r="FC88"/>
  <c r="DS212"/>
  <c r="FO128"/>
  <c r="EE216"/>
  <c r="FJ98"/>
  <c r="DZ213"/>
  <c r="ET98"/>
  <c r="FE108"/>
  <c r="DU214"/>
  <c r="FM108"/>
  <c r="EC214"/>
  <c r="FN168"/>
  <c r="ED220"/>
  <c r="FS168"/>
  <c r="EI220"/>
  <c r="FC168"/>
  <c r="DS220"/>
  <c r="FP118"/>
  <c r="EF215"/>
  <c r="EZ118"/>
  <c r="FF128"/>
  <c r="DV216"/>
  <c r="FI118"/>
  <c r="DY215"/>
  <c r="FO98"/>
  <c r="EE213"/>
  <c r="FL148"/>
  <c r="EB218"/>
  <c r="FG148"/>
  <c r="DW218"/>
  <c r="FI128"/>
  <c r="DY216"/>
  <c r="ES128"/>
  <c r="FT98"/>
  <c r="EJ213"/>
  <c r="FD98"/>
  <c r="DT213"/>
  <c r="EW178"/>
  <c r="FU178" s="1"/>
  <c r="FC108"/>
  <c r="DS214"/>
  <c r="FK108"/>
  <c r="EA214"/>
  <c r="FS108"/>
  <c r="EI214"/>
  <c r="ER168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FS128"/>
  <c r="EI216"/>
  <c r="FK128"/>
  <c r="EA216"/>
  <c r="FC128"/>
  <c r="DS216"/>
  <c r="EU128"/>
  <c r="FN98"/>
  <c r="ED213"/>
  <c r="FF98"/>
  <c r="DV213"/>
  <c r="DX221"/>
  <c r="DW221"/>
  <c r="DS215"/>
  <c r="ED218"/>
  <c r="DT221"/>
  <c r="EA219"/>
  <c r="EE217"/>
  <c r="EI217"/>
  <c r="FU137"/>
  <c r="FU170"/>
  <c r="FU173"/>
  <c r="DU221"/>
  <c r="DW215"/>
  <c r="DT219"/>
  <c r="DR219"/>
  <c r="DZ218"/>
  <c r="DX216"/>
  <c r="DY213"/>
  <c r="EH212"/>
  <c r="DV214"/>
  <c r="DZ220"/>
  <c r="EC219"/>
  <c r="EC213"/>
  <c r="EH219"/>
  <c r="DR217"/>
  <c r="DP221"/>
  <c r="ED219"/>
  <c r="ED217"/>
  <c r="DV221"/>
  <c r="EF219"/>
  <c r="EB212"/>
  <c r="FU125"/>
  <c r="FU106"/>
  <c r="FU102"/>
  <c r="DF220"/>
  <c r="DF213"/>
  <c r="FU147"/>
  <c r="FU129"/>
  <c r="FU158"/>
  <c r="DQ221"/>
  <c r="EF214"/>
  <c r="DQ217"/>
  <c r="EG213"/>
  <c r="DV219"/>
  <c r="EB216"/>
  <c r="EG221"/>
  <c r="EH217"/>
  <c r="EJ214"/>
  <c r="DP219"/>
  <c r="DZ217"/>
  <c r="ED212"/>
  <c r="DS219"/>
  <c r="DS217"/>
  <c r="DZ221"/>
  <c r="DV218"/>
  <c r="EA217"/>
  <c r="DT216"/>
  <c r="DR214"/>
  <c r="DU213"/>
  <c r="DX212"/>
  <c r="EH218"/>
  <c r="DR221"/>
  <c r="EC21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G501"/>
  <c r="F485"/>
  <c r="G485"/>
  <c r="F469"/>
  <c r="I470" s="1"/>
  <c r="J470" s="1"/>
  <c r="G469"/>
  <c r="R61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G465"/>
  <c r="F465"/>
  <c r="I466" s="1"/>
  <c r="J466" s="1"/>
  <c r="G38"/>
  <c r="G424" s="1"/>
  <c r="D22"/>
  <c r="C373"/>
  <c r="D531"/>
  <c r="N61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L427" l="1"/>
  <c r="L445" s="1"/>
  <c r="AB425"/>
  <c r="AB443" s="1"/>
  <c r="L431"/>
  <c r="L449" s="1"/>
  <c r="I476"/>
  <c r="J476" s="1"/>
  <c r="I510"/>
  <c r="J510" s="1"/>
  <c r="K512" s="1"/>
  <c r="T430"/>
  <c r="T448" s="1"/>
  <c r="X429"/>
  <c r="X447" s="1"/>
  <c r="T432"/>
  <c r="T450" s="1"/>
  <c r="AI428"/>
  <c r="AI446" s="1"/>
  <c r="X424"/>
  <c r="X442" s="1"/>
  <c r="T431"/>
  <c r="T449" s="1"/>
  <c r="M429"/>
  <c r="M447" s="1"/>
  <c r="AC430"/>
  <c r="AC448" s="1"/>
  <c r="AC432"/>
  <c r="AC450" s="1"/>
  <c r="AG423"/>
  <c r="AG441" s="1"/>
  <c r="L423"/>
  <c r="L441" s="1"/>
  <c r="AC423"/>
  <c r="AC441" s="1"/>
  <c r="T425"/>
  <c r="T443" s="1"/>
  <c r="X431"/>
  <c r="X449" s="1"/>
  <c r="AI429"/>
  <c r="AI447" s="1"/>
  <c r="M430"/>
  <c r="M448" s="1"/>
  <c r="M423"/>
  <c r="M441" s="1"/>
  <c r="AG429"/>
  <c r="AG447" s="1"/>
  <c r="M424"/>
  <c r="M442" s="1"/>
  <c r="T426"/>
  <c r="T444" s="1"/>
  <c r="AC428"/>
  <c r="AC446" s="1"/>
  <c r="AC424"/>
  <c r="AC442" s="1"/>
  <c r="AC425"/>
  <c r="AC443" s="1"/>
  <c r="AC431"/>
  <c r="AC449" s="1"/>
  <c r="AC427"/>
  <c r="AC445" s="1"/>
  <c r="AC426"/>
  <c r="AC444" s="1"/>
  <c r="I502"/>
  <c r="J502" s="1"/>
  <c r="M428"/>
  <c r="M446" s="1"/>
  <c r="M427"/>
  <c r="M445" s="1"/>
  <c r="AI430"/>
  <c r="AI448" s="1"/>
  <c r="L426"/>
  <c r="L444" s="1"/>
  <c r="T424"/>
  <c r="T442" s="1"/>
  <c r="AB430"/>
  <c r="AB448" s="1"/>
  <c r="L432"/>
  <c r="L450" s="1"/>
  <c r="L430"/>
  <c r="L448" s="1"/>
  <c r="M425"/>
  <c r="M443" s="1"/>
  <c r="AG431"/>
  <c r="AG449" s="1"/>
  <c r="AG427"/>
  <c r="AG445" s="1"/>
  <c r="R432"/>
  <c r="R450" s="1"/>
  <c r="Q430"/>
  <c r="Q448" s="1"/>
  <c r="AF423"/>
  <c r="AF441" s="1"/>
  <c r="AH429"/>
  <c r="AH447" s="1"/>
  <c r="X430"/>
  <c r="X448" s="1"/>
  <c r="Q424"/>
  <c r="Q442" s="1"/>
  <c r="AF427"/>
  <c r="AF445" s="1"/>
  <c r="AH426"/>
  <c r="AH444" s="1"/>
  <c r="AH424"/>
  <c r="AH442" s="1"/>
  <c r="AG425"/>
  <c r="AG443" s="1"/>
  <c r="AB431"/>
  <c r="AB449" s="1"/>
  <c r="AG428"/>
  <c r="AG446" s="1"/>
  <c r="AH427"/>
  <c r="AH445" s="1"/>
  <c r="AI426"/>
  <c r="AI444" s="1"/>
  <c r="AF430"/>
  <c r="AF448" s="1"/>
  <c r="X428"/>
  <c r="X446" s="1"/>
  <c r="Q427"/>
  <c r="Q445" s="1"/>
  <c r="Q425"/>
  <c r="Q443" s="1"/>
  <c r="R430"/>
  <c r="R448" s="1"/>
  <c r="L428"/>
  <c r="L446" s="1"/>
  <c r="Q429"/>
  <c r="Q447" s="1"/>
  <c r="X427"/>
  <c r="X445" s="1"/>
  <c r="X423"/>
  <c r="X441" s="1"/>
  <c r="R431"/>
  <c r="R449" s="1"/>
  <c r="R425"/>
  <c r="R443" s="1"/>
  <c r="AG430"/>
  <c r="AG448" s="1"/>
  <c r="AI424"/>
  <c r="AI442" s="1"/>
  <c r="X426"/>
  <c r="X444" s="1"/>
  <c r="AH430"/>
  <c r="AH448" s="1"/>
  <c r="R428"/>
  <c r="R446" s="1"/>
  <c r="AF429"/>
  <c r="AF447" s="1"/>
  <c r="AH432"/>
  <c r="AH450" s="1"/>
  <c r="I474"/>
  <c r="J474" s="1"/>
  <c r="I460"/>
  <c r="J460" s="1"/>
  <c r="K462" s="1"/>
  <c r="AF426"/>
  <c r="AF444" s="1"/>
  <c r="AF424"/>
  <c r="AF442" s="1"/>
  <c r="AB429"/>
  <c r="AB447" s="1"/>
  <c r="AG424"/>
  <c r="AG442" s="1"/>
  <c r="R423"/>
  <c r="R441" s="1"/>
  <c r="R426"/>
  <c r="R444" s="1"/>
  <c r="R424"/>
  <c r="R442" s="1"/>
  <c r="AB423"/>
  <c r="AB441" s="1"/>
  <c r="AB426"/>
  <c r="AB444" s="1"/>
  <c r="AF428"/>
  <c r="AF446" s="1"/>
  <c r="AG426"/>
  <c r="AG444" s="1"/>
  <c r="AB427"/>
  <c r="AB445" s="1"/>
  <c r="AF425"/>
  <c r="AF443" s="1"/>
  <c r="J429"/>
  <c r="J447" s="1"/>
  <c r="J431"/>
  <c r="J449" s="1"/>
  <c r="I496"/>
  <c r="J496" s="1"/>
  <c r="K496" s="1"/>
  <c r="I482"/>
  <c r="J482" s="1"/>
  <c r="K484" s="1"/>
  <c r="I472"/>
  <c r="J472" s="1"/>
  <c r="K472" s="1"/>
  <c r="I504"/>
  <c r="J504" s="1"/>
  <c r="I490"/>
  <c r="J490" s="1"/>
  <c r="K490" s="1"/>
  <c r="I500"/>
  <c r="J500" s="1"/>
  <c r="FU108"/>
  <c r="FU153"/>
  <c r="Y11"/>
  <c r="AD9"/>
  <c r="Z9"/>
  <c r="X11"/>
  <c r="FU88"/>
  <c r="FU154"/>
  <c r="AD13"/>
  <c r="DG229"/>
  <c r="DG234"/>
  <c r="FU98"/>
  <c r="AC5" s="1"/>
  <c r="FU168"/>
  <c r="FU148"/>
  <c r="FU116"/>
  <c r="DG232"/>
  <c r="DG230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D375"/>
  <c r="E375" s="1"/>
  <c r="D32"/>
  <c r="AN15" s="1"/>
  <c r="D45"/>
  <c r="E45" s="1"/>
  <c r="FU175"/>
  <c r="AD11"/>
  <c r="AC11"/>
  <c r="G445"/>
  <c r="K494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80"/>
  <c r="K468"/>
  <c r="K504" l="1"/>
  <c r="K476"/>
  <c r="K478"/>
  <c r="K510"/>
  <c r="C445"/>
  <c r="K502"/>
  <c r="C447"/>
  <c r="C427"/>
  <c r="C449"/>
  <c r="AE8"/>
  <c r="AF8" s="1"/>
  <c r="K492"/>
  <c r="C431"/>
  <c r="K482"/>
  <c r="K506"/>
  <c r="C429"/>
  <c r="K474"/>
  <c r="K498"/>
  <c r="K500"/>
  <c r="F395"/>
  <c r="F381" s="1"/>
  <c r="E59" s="1"/>
  <c r="L59" s="1"/>
  <c r="F390"/>
  <c r="F376" s="1"/>
  <c r="E54" s="1"/>
  <c r="M54" s="1"/>
  <c r="DH235"/>
  <c r="F394"/>
  <c r="F380" s="1"/>
  <c r="E58" s="1"/>
  <c r="U58" s="1"/>
  <c r="AC6"/>
  <c r="AE6"/>
  <c r="AD6"/>
  <c r="AE7"/>
  <c r="DH230"/>
  <c r="AA11"/>
  <c r="DH232"/>
  <c r="AC4"/>
  <c r="DH229"/>
  <c r="AA9"/>
  <c r="AE5"/>
  <c r="AD5"/>
  <c r="AE10"/>
  <c r="AF9"/>
  <c r="DH234"/>
  <c r="AC8"/>
  <c r="AA13"/>
  <c r="AF13"/>
  <c r="AC12"/>
  <c r="DH226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59" l="1"/>
  <c r="M58"/>
  <c r="Q59"/>
  <c r="Z58"/>
  <c r="Z59"/>
  <c r="P59"/>
  <c r="AD58"/>
  <c r="AG54"/>
  <c r="R54"/>
  <c r="AE54"/>
  <c r="AH54"/>
  <c r="L54"/>
  <c r="H54"/>
  <c r="AA54"/>
  <c r="AF54"/>
  <c r="AC54"/>
  <c r="Y54"/>
  <c r="AK54"/>
  <c r="Q54"/>
  <c r="K54"/>
  <c r="AD54"/>
  <c r="AJ54"/>
  <c r="W54"/>
  <c r="AJ58"/>
  <c r="AE58"/>
  <c r="AF58"/>
  <c r="Y58"/>
  <c r="T58"/>
  <c r="P58"/>
  <c r="V58"/>
  <c r="V59"/>
  <c r="O59"/>
  <c r="AK58"/>
  <c r="R58"/>
  <c r="AG58"/>
  <c r="J58"/>
  <c r="AB58"/>
  <c r="AH58"/>
  <c r="N58"/>
  <c r="I58"/>
  <c r="O58"/>
  <c r="G58"/>
  <c r="W58"/>
  <c r="H58"/>
  <c r="AK59"/>
  <c r="AE59"/>
  <c r="AI58"/>
  <c r="Q58"/>
  <c r="AA58"/>
  <c r="AC58"/>
  <c r="L58"/>
  <c r="X58"/>
  <c r="S58"/>
  <c r="K58"/>
  <c r="Y59"/>
  <c r="AI59"/>
  <c r="S59"/>
  <c r="T59"/>
  <c r="M59"/>
  <c r="AG59"/>
  <c r="AC59"/>
  <c r="J59"/>
  <c r="W59"/>
  <c r="G59"/>
  <c r="X59"/>
  <c r="H59"/>
  <c r="O54"/>
  <c r="I54"/>
  <c r="G54"/>
  <c r="V54"/>
  <c r="P54"/>
  <c r="U54"/>
  <c r="N54"/>
  <c r="AD59"/>
  <c r="AH59"/>
  <c r="AJ59"/>
  <c r="U59"/>
  <c r="N59"/>
  <c r="I59"/>
  <c r="R59"/>
  <c r="AA59"/>
  <c r="K59"/>
  <c r="AB59"/>
  <c r="AB54"/>
  <c r="J54"/>
  <c r="X54"/>
  <c r="AI54"/>
  <c r="S54"/>
  <c r="T54"/>
  <c r="Z54"/>
  <c r="AF6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 l="1"/>
  <c r="D58"/>
  <c r="D54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<sst xmlns="http://schemas.openxmlformats.org/spreadsheetml/2006/main" count="1032" uniqueCount="150">
  <si>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</si>
  <si>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</si>
  <si>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</si>
  <si>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</si>
  <si>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</si>
  <si>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</si>
  <si>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</si>
  <si>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</si>
  <si>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</si>
  <si>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</si>
  <si>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</si>
  <si>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</si>
  <si>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</si>
  <si>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</si>
  <si>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</si>
  <si>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</si>
  <si>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</si>
  <si>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</si>
  <si>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</si>
  <si>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</si>
  <si>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</si>
  <si>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</si>
  <si>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</si>
  <si>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</si>
  <si>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</si>
  <si>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</si>
  <si>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</si>
  <si>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</si>
  <si>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</si>
  <si>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</si>
  <si>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</si>
  <si>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</si>
  <si>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</si>
  <si>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</si>
  <si>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</si>
  <si>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</si>
  <si>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</si>
  <si>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</si>
  <si>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</si>
  <si>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</si>
  <si>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</si>
  <si>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</si>
  <si>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</si>
  <si>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</si>
  <si>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</si>
  <si>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</si>
  <si>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</si>
  <si>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</si>
  <si>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</si>
  <si>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</si>
  <si>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</si>
  <si>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</si>
  <si>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</si>
  <si>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</si>
  <si>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</si>
  <si>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</si>
  <si>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</si>
  <si>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</si>
  <si>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</si>
  <si>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</si>
  <si>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</si>
  <si>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</si>
  <si>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</si>
  <si>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</si>
  <si>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</si>
  <si>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</si>
  <si>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</si>
  <si>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</si>
  <si>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</si>
  <si>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</si>
  <si>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</si>
  <si>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</si>
  <si>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</si>
  <si>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</si>
  <si>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</si>
  <si>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</si>
  <si>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</si>
  <si>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</si>
  <si>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</si>
  <si>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</si>
  <si>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</si>
  <si>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</si>
  <si>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</si>
  <si>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</si>
  <si>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</si>
  <si>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</si>
  <si>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</si>
  <si>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</si>
  <si>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</si>
  <si>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</si>
  <si>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</si>
  <si>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</si>
  <si>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</si>
  <si>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</si>
  <si>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</si>
  <si>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</si>
  <si>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</si>
  <si>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</si>
  <si>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</si>
  <si>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</si>
  <si>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</si>
  <si>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</si>
  <si>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</si>
  <si>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</si>
  <si>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</si>
  <si>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</si>
  <si>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</si>
  <si>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</si>
  <si>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</si>
  <si>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</si>
  <si>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</si>
  <si>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</si>
  <si>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</si>
  <si>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</si>
  <si>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</si>
  <si>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</si>
  <si>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</si>
  <si>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</si>
  <si>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</si>
  <si>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</si>
  <si>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</si>
  <si>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</si>
  <si>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</si>
  <si>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</si>
  <si>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</si>
  <si>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</si>
  <si>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</si>
  <si>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</si>
  <si>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</si>
  <si>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</si>
  <si>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</si>
  <si>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</si>
  <si>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</si>
  <si>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</si>
  <si>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</si>
  <si>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</si>
  <si>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</si>
  <si>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</si>
  <si>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</si>
  <si>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</si>
  <si>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</si>
  <si>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</si>
  <si>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</si>
  <si>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</si>
  <si>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</si>
  <si>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</si>
  <si>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</si>
  <si>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</si>
  <si>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</si>
  <si>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Barbaetis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</si>
</sst>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4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11" borderId="0" applyNumberFormat="0" applyBorder="0" applyAlignment="0" applyProtection="0"/>
    <xf numFmtId="0" fontId="24" fillId="6" borderId="0" applyNumberFormat="0" applyBorder="0" applyAlignment="0" applyProtection="0"/>
    <xf numFmtId="0" fontId="24" fillId="4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4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5" fillId="2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6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227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0" fillId="0" borderId="0" xfId="0"/>
    <xf numFmtId="0" fontId="0" fillId="0" borderId="0" xfId="0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3" fillId="20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  <xf numFmtId="0" fontId="3" fillId="20" borderId="17" xfId="0" applyFont="1" applyFill="1" applyBorder="1" applyAlignment="1">
      <alignment horizontal="center"/>
    </xf>
    <xf numFmtId="0" fontId="3" fillId="20" borderId="16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3" fillId="20" borderId="15" xfId="0" applyFont="1" applyFill="1" applyBorder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</cellXfs>
  <cellStyles count="64">
    <cellStyle name="20% - Accent1 2" xfId="45"/>
    <cellStyle name="20% - Accent2 2" xfId="46"/>
    <cellStyle name="20% - Accent3 2" xfId="47"/>
    <cellStyle name="20% - Accent4 2" xfId="48"/>
    <cellStyle name="20% - Accent5 2" xfId="49"/>
    <cellStyle name="20% - Accent6 2" xfId="50"/>
    <cellStyle name="40% - Accent1 2" xfId="51"/>
    <cellStyle name="40% - Accent2 2" xfId="52"/>
    <cellStyle name="40% - Accent3 2" xfId="53"/>
    <cellStyle name="40% - Accent4 2" xfId="54"/>
    <cellStyle name="40% - Accent5 2" xfId="55"/>
    <cellStyle name="40% - Accent6 2" xfId="56"/>
    <cellStyle name="60% - Accent1 2" xfId="57"/>
    <cellStyle name="60% - Accent2 2" xfId="58"/>
    <cellStyle name="60% - Accent3 2" xfId="59"/>
    <cellStyle name="60% - Accent4 2" xfId="60"/>
    <cellStyle name="60% - Accent5 2" xfId="61"/>
    <cellStyle name="60% - Accent6 2" xfId="62"/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itle 2" xfId="63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1338"/>
  <sheetViews>
    <sheetView tabSelected="1" topLeftCell="FC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71" width="8.85546875" style="8"/>
    <col min="172" max="172" width="9.85546875" style="8" bestFit="1" customWidth="1"/>
    <col min="173" max="176" width="8.85546875" style="8"/>
    <col min="177" max="177" width="15.140625" style="8" customWidth="1"/>
    <col min="178" max="193" width="8.85546875" style="8"/>
    <col min="194" max="194" width="9.85546875" style="8" bestFit="1" customWidth="1"/>
    <col min="195" max="195" width="9.7109375" style="8" bestFit="1" customWidth="1"/>
    <col min="196" max="16384" width="8.85546875" style="8"/>
  </cols>
  <sheetData>
    <row r="1" spans="1:203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03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6" t="s">
        <v>143</v>
      </c>
      <c r="GD2" s="226"/>
      <c r="GE2" s="226"/>
      <c r="GF2" s="226"/>
      <c r="GG2" s="226"/>
      <c r="GH2" s="226"/>
      <c r="GI2" s="226"/>
      <c r="GJ2" s="209"/>
      <c r="GK2" s="209"/>
      <c r="GL2" s="209"/>
      <c r="GM2" s="209"/>
      <c r="GN2" s="209"/>
      <c r="GO2" s="209"/>
      <c r="GP2" s="209"/>
      <c r="GQ2" s="209"/>
      <c r="GR2" s="209"/>
      <c r="GS2" s="209"/>
      <c r="GT2" s="209"/>
      <c r="GU2" s="209"/>
    </row>
    <row r="3" spans="1:203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10"/>
      <c r="FZ3" s="210"/>
      <c r="GA3" s="210"/>
      <c r="GB3" s="210"/>
      <c r="GC3" s="210"/>
      <c r="GD3" s="210"/>
      <c r="GE3" s="210"/>
      <c r="GF3" s="210"/>
      <c r="GG3" s="210"/>
      <c r="GH3" s="210"/>
      <c r="GI3" s="210"/>
      <c r="GJ3" s="210"/>
      <c r="GK3" s="210"/>
      <c r="GL3" s="210"/>
      <c r="GM3" s="210"/>
      <c r="GN3" s="210"/>
      <c r="GO3" s="210"/>
      <c r="GP3" s="210"/>
      <c r="GQ3" s="210"/>
      <c r="GR3" s="210"/>
      <c r="GS3" s="210"/>
      <c r="GT3" s="210"/>
      <c r="GU3" s="210"/>
    </row>
    <row r="4" spans="1:203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85.823761055778036</v>
      </c>
      <c r="N4" s="130">
        <v>13.093456958993894</v>
      </c>
      <c r="O4" s="130">
        <v>66.185880301425087</v>
      </c>
      <c r="P4" s="130">
        <v>103.1377299921658</v>
      </c>
      <c r="Q4" s="130">
        <v>12.082096593750448</v>
      </c>
      <c r="R4" s="130">
        <v>162.0120813195071</v>
      </c>
      <c r="S4" s="131">
        <v>7.9187257970874931</v>
      </c>
      <c r="T4" s="131">
        <v>16.189996343110831</v>
      </c>
      <c r="U4" s="5"/>
      <c r="V4" s="4"/>
      <c r="W4" s="127">
        <f t="shared" ref="W4:W13" si="0">C4</f>
        <v>39646</v>
      </c>
      <c r="X4" s="132">
        <f>AVERAGE(EK88:EK97)</f>
        <v>41.666666666666664</v>
      </c>
      <c r="Y4" s="131">
        <f>COUNT(EK88:EK97)</f>
        <v>10</v>
      </c>
      <c r="Z4" s="130">
        <f>STDEV(EK88:EK97)</f>
        <v>75.275983988468056</v>
      </c>
      <c r="AA4" s="130">
        <f>Z4/SQRT(Y4)</f>
        <v>23.804356251392512</v>
      </c>
      <c r="AB4" s="131"/>
      <c r="AC4" s="130">
        <f>AVERAGE($FU88:$FU97)</f>
        <v>2.5215777004047149</v>
      </c>
      <c r="AD4" s="132">
        <f>COUNT($FU88:$FU97)</f>
        <v>10</v>
      </c>
      <c r="AE4" s="130">
        <f>STDEV($FU88:$FU97)</f>
        <v>4.7042851868285522</v>
      </c>
      <c r="AF4" s="130">
        <f>AE4/SQRT(AD4)</f>
        <v>1.487625595336896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145</v>
      </c>
      <c r="FK4" s="222"/>
      <c r="FL4" s="222"/>
      <c r="FM4" s="222"/>
      <c r="FN4" s="5"/>
      <c r="FO4" s="5"/>
      <c r="FP4" s="5"/>
      <c r="FQ4" s="5"/>
      <c r="FR4" s="222"/>
      <c r="FS4" s="222"/>
      <c r="FT4" s="222"/>
      <c r="FU4" s="222"/>
      <c r="FV4" s="5"/>
      <c r="FW4" s="5"/>
      <c r="FX4" s="209"/>
      <c r="FY4" s="211" t="s">
        <v>144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11"/>
      <c r="GK4" s="212">
        <v>39646</v>
      </c>
      <c r="GL4" s="212">
        <v>39673</v>
      </c>
      <c r="GM4" s="212">
        <v>39714</v>
      </c>
      <c r="GN4" s="212">
        <v>39747</v>
      </c>
      <c r="GO4" s="212">
        <v>39775</v>
      </c>
      <c r="GP4" s="212">
        <v>39799</v>
      </c>
      <c r="GQ4" s="212">
        <v>39847</v>
      </c>
      <c r="GR4" s="212">
        <v>39910</v>
      </c>
      <c r="GS4" s="212">
        <v>39949</v>
      </c>
      <c r="GT4" s="212">
        <v>39987</v>
      </c>
      <c r="GU4" s="211" t="s">
        <v>144</v>
      </c>
    </row>
    <row r="5" spans="1:203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85.601113050136732</v>
      </c>
      <c r="N5" s="130">
        <f t="shared" si="1"/>
        <v>13.070095936679859</v>
      </c>
      <c r="O5" s="130">
        <f t="shared" si="1"/>
        <v>85.320464532838656</v>
      </c>
      <c r="P5" s="130">
        <f t="shared" si="1"/>
        <v>102.77225308518346</v>
      </c>
      <c r="Q5" s="130">
        <f t="shared" si="1"/>
        <v>12.063273091346936</v>
      </c>
      <c r="R5" s="130">
        <f t="shared" si="1"/>
        <v>152.20998541519026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172.45798319327727</v>
      </c>
      <c r="Y5" s="131">
        <f>COUNT(EK98:EK107)</f>
        <v>10</v>
      </c>
      <c r="Z5" s="130">
        <f>STDEV(EK98:EK107)</f>
        <v>231.882997176169</v>
      </c>
      <c r="AA5" s="130">
        <f t="shared" ref="AA5:AA13" si="2">Z5/SQRT(Y5)</f>
        <v>73.327842174308657</v>
      </c>
      <c r="AB5" s="131"/>
      <c r="AC5" s="130">
        <f>AVERAGE($FU98:$FU107)</f>
        <v>58.818980752662263</v>
      </c>
      <c r="AD5" s="132">
        <f>COUNT($FU98:$FU107)</f>
        <v>10</v>
      </c>
      <c r="AE5" s="130">
        <f>STDEV($FU98:$FU107)</f>
        <v>90.028659080163393</v>
      </c>
      <c r="AF5" s="130">
        <f t="shared" ref="AF5:AF13" si="3">AE5/SQRT(AD5)</f>
        <v>28.469561738411581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216"/>
      <c r="FK5" s="137"/>
      <c r="FL5" s="216"/>
      <c r="FM5" s="216"/>
      <c r="FN5" s="216"/>
      <c r="FO5" s="5"/>
      <c r="FP5" s="13"/>
      <c r="FQ5" s="13"/>
      <c r="FR5" s="216"/>
      <c r="FS5" s="137"/>
      <c r="FT5" s="216"/>
      <c r="FU5" s="216"/>
      <c r="FV5" s="216"/>
      <c r="FW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  <c r="GO5" s="209"/>
      <c r="GP5" s="209"/>
      <c r="GQ5" s="209"/>
      <c r="GR5" s="209"/>
      <c r="GS5" s="209"/>
      <c r="GT5" s="209"/>
      <c r="GU5" s="209"/>
    </row>
    <row r="6" spans="1:203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114.82651165326322</v>
      </c>
      <c r="N6" s="130">
        <f t="shared" si="4"/>
        <v>20.5069500571141</v>
      </c>
      <c r="O6" s="130">
        <f t="shared" si="4"/>
        <v>181.09527063434382</v>
      </c>
      <c r="P6" s="130">
        <f t="shared" si="4"/>
        <v>174.18531279893651</v>
      </c>
      <c r="Q6" s="130">
        <f t="shared" si="4"/>
        <v>18.909918710329766</v>
      </c>
      <c r="R6" s="130">
        <f t="shared" si="4"/>
        <v>221.78848302667919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25.148809523809526</v>
      </c>
      <c r="Y6" s="131">
        <f>COUNT(EK108:EK117)</f>
        <v>10</v>
      </c>
      <c r="Z6" s="130">
        <f>STDEV(EK108:EK117)</f>
        <v>57.327408455328595</v>
      </c>
      <c r="AA6" s="130">
        <f t="shared" si="2"/>
        <v>18.128518307363347</v>
      </c>
      <c r="AB6" s="131"/>
      <c r="AC6" s="130">
        <f>AVERAGE($FU108:$FU117)</f>
        <v>6.2191038742015508</v>
      </c>
      <c r="AD6" s="132">
        <f>COUNT($FU108:$FU117)</f>
        <v>10</v>
      </c>
      <c r="AE6" s="130">
        <f>STDEV($FU108:$FU117)</f>
        <v>17.533284966149125</v>
      </c>
      <c r="AF6" s="130">
        <f t="shared" si="3"/>
        <v>5.5445115357819477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1" t="s">
        <v>146</v>
      </c>
      <c r="FJ6" s="221"/>
      <c r="FK6" s="220" t="s">
        <v>147</v>
      </c>
      <c r="FL6" s="220"/>
      <c r="FM6" s="220" t="s">
        <v>148</v>
      </c>
      <c r="FN6" s="220"/>
      <c r="FO6" s="5"/>
      <c r="FP6" s="13"/>
      <c r="FQ6" s="221" t="s">
        <v>146</v>
      </c>
      <c r="FR6" s="221"/>
      <c r="FS6" s="220" t="s">
        <v>147</v>
      </c>
      <c r="FT6" s="220"/>
      <c r="FU6" s="220" t="s">
        <v>148</v>
      </c>
      <c r="FV6" s="220"/>
      <c r="FW6" s="5"/>
      <c r="FY6" s="213">
        <v>1</v>
      </c>
      <c r="FZ6">
        <v>21.049564021546992</v>
      </c>
      <c r="GA6">
        <v>24.653854179773493</v>
      </c>
      <c r="GB6">
        <v>4.7892783959122394</v>
      </c>
      <c r="GC6">
        <v>3.9048846784982789</v>
      </c>
      <c r="GD6">
        <v>2.6405163941024412</v>
      </c>
      <c r="GE6">
        <v>2.2588281865584676</v>
      </c>
      <c r="GF6">
        <v>4.0447826622989762</v>
      </c>
      <c r="GG6">
        <v>3.3936378378573524</v>
      </c>
      <c r="GH6">
        <v>1.8024129433554106</v>
      </c>
      <c r="GI6">
        <v>6.934464227281274</v>
      </c>
      <c r="GJ6"/>
      <c r="GK6"/>
      <c r="GL6"/>
      <c r="GM6"/>
      <c r="GN6" s="208"/>
      <c r="GO6" s="208"/>
      <c r="GP6" s="208"/>
      <c r="GQ6" s="208"/>
      <c r="GR6" s="208"/>
      <c r="GS6" s="208"/>
      <c r="GT6" s="208"/>
      <c r="GU6" s="213">
        <v>1</v>
      </c>
    </row>
    <row r="7" spans="1:203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59.275388539496994</v>
      </c>
      <c r="N7" s="130">
        <f t="shared" si="5"/>
        <v>7.2494829138897847</v>
      </c>
      <c r="O7" s="130">
        <f t="shared" si="5"/>
        <v>30.981289134376713</v>
      </c>
      <c r="P7" s="130">
        <f t="shared" si="5"/>
        <v>49.798372953048776</v>
      </c>
      <c r="Q7" s="130">
        <f t="shared" si="5"/>
        <v>6.8038061169387412</v>
      </c>
      <c r="R7" s="130">
        <f t="shared" si="5"/>
        <v>95.449779611481247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288.60777034268415</v>
      </c>
      <c r="Y7" s="131">
        <f>COUNT(EK118:EK127)</f>
        <v>10</v>
      </c>
      <c r="Z7" s="130">
        <f>STDEV(EK118:EK127)</f>
        <v>289.36462087701909</v>
      </c>
      <c r="AA7" s="130">
        <f t="shared" si="2"/>
        <v>91.505127624248999</v>
      </c>
      <c r="AB7" s="131"/>
      <c r="AC7" s="130">
        <f>AVERAGE($FU118:$FU127)</f>
        <v>21.582108481248085</v>
      </c>
      <c r="AD7" s="132">
        <f>COUNT($FU118:$FU127)</f>
        <v>10</v>
      </c>
      <c r="AE7" s="130">
        <f>STDEV($FU118:$FU127)</f>
        <v>26.67152299329457</v>
      </c>
      <c r="AF7" s="130">
        <f t="shared" si="3"/>
        <v>8.4342761324362669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18">
        <f>AVERAGE(FZ6:FZ1005)</f>
        <v>29.743587236820925</v>
      </c>
      <c r="FJ7" s="219"/>
      <c r="FK7" s="219">
        <f>PERCENTILE($FZ$6:$FZ$1005,0.975)</f>
        <v>59.316420662743795</v>
      </c>
      <c r="FL7" s="219"/>
      <c r="FM7" s="219">
        <f>PERCENTILE($FZ$6:$FZ$1005,0.025)</f>
        <v>8.4078461689702717</v>
      </c>
      <c r="FN7" s="219"/>
      <c r="FO7" s="5"/>
      <c r="FP7" s="214">
        <v>39646</v>
      </c>
      <c r="FQ7" s="218" t="e">
        <f>AVERAGE(GK6:GK1005)</f>
        <v>#DIV/0!</v>
      </c>
      <c r="FR7" s="219"/>
      <c r="FS7" s="219" t="e">
        <f>PERCENTILE($GK$6:$GK$1005,0.975)</f>
        <v>#NUM!</v>
      </c>
      <c r="FT7" s="219"/>
      <c r="FU7" s="219" t="e">
        <f>PERCENTILE($GK$6:$GK$1005,0.025)</f>
        <v>#NUM!</v>
      </c>
      <c r="FV7" s="219"/>
      <c r="FW7" s="5"/>
      <c r="FY7" s="213">
        <v>2</v>
      </c>
      <c r="FZ7">
        <v>44.998988782607917</v>
      </c>
      <c r="GA7">
        <v>51.189385752137667</v>
      </c>
      <c r="GB7">
        <v>9.3914118549860515</v>
      </c>
      <c r="GC7">
        <v>6.757977904738099</v>
      </c>
      <c r="GD7">
        <v>2.1983524104670371</v>
      </c>
      <c r="GE7">
        <v>2.1464921534645152</v>
      </c>
      <c r="GF7">
        <v>4.419153532198691</v>
      </c>
      <c r="GG7">
        <v>3.6583482851443723</v>
      </c>
      <c r="GH7">
        <v>0.60080431445180338</v>
      </c>
      <c r="GI7">
        <v>11.141069973133032</v>
      </c>
      <c r="GJ7"/>
      <c r="GK7"/>
      <c r="GL7"/>
      <c r="GM7"/>
      <c r="GN7" s="208"/>
      <c r="GO7" s="208"/>
      <c r="GP7" s="208"/>
      <c r="GQ7" s="208"/>
      <c r="GR7" s="208"/>
      <c r="GS7" s="208"/>
      <c r="GT7" s="208"/>
      <c r="GU7" s="213">
        <v>2</v>
      </c>
    </row>
    <row r="8" spans="1:203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145.33504689754687</v>
      </c>
      <c r="Y8" s="131">
        <f>COUNT(EK128:EK137)</f>
        <v>10</v>
      </c>
      <c r="Z8" s="130">
        <f>STDEV(EK128:EK137)</f>
        <v>112.40880407501206</v>
      </c>
      <c r="AA8" s="130">
        <f t="shared" si="2"/>
        <v>35.54678499326549</v>
      </c>
      <c r="AB8" s="131"/>
      <c r="AC8" s="130">
        <f>AVERAGE($FU128:$FU137)</f>
        <v>9.2914122646869917</v>
      </c>
      <c r="AD8" s="132">
        <f>COUNT($FU128:$FU137)</f>
        <v>10</v>
      </c>
      <c r="AE8" s="130">
        <f>STDEV($FU128:$FU137)</f>
        <v>6.8673574273268443</v>
      </c>
      <c r="AF8" s="130">
        <f t="shared" si="3"/>
        <v>2.1716490976827072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24">
        <f>AVERAGE(GA6:GA1005)</f>
        <v>36.961876757175339</v>
      </c>
      <c r="FJ8" s="217"/>
      <c r="FK8" s="217">
        <f>PERCENTILE($GA$6:$GA$1005,0.975)</f>
        <v>71.186441819407065</v>
      </c>
      <c r="FL8" s="217"/>
      <c r="FM8" s="217">
        <f>PERCENTILE($GA$6:$GA$1005,0.025)</f>
        <v>9.8845108448825965</v>
      </c>
      <c r="FN8" s="217"/>
      <c r="FO8" s="5"/>
      <c r="FP8" s="214">
        <v>39673</v>
      </c>
      <c r="FQ8" s="218" t="e">
        <f t="shared" ref="FQ8:FQ16" si="7">AVERAGE(GK7:GT1006)</f>
        <v>#DIV/0!</v>
      </c>
      <c r="FR8" s="219"/>
      <c r="FS8" s="217" t="e">
        <f>PERCENTILE($GL$6:$GL$1005,0.975)</f>
        <v>#NUM!</v>
      </c>
      <c r="FT8" s="217"/>
      <c r="FU8" s="217" t="e">
        <f>PERCENTILE($GL$6:$GL$1005,0.025)</f>
        <v>#NUM!</v>
      </c>
      <c r="FV8" s="217"/>
      <c r="FW8" s="5"/>
      <c r="FY8" s="213">
        <v>3</v>
      </c>
      <c r="FZ8">
        <v>39.356677855066863</v>
      </c>
      <c r="GA8">
        <v>48.845998579565915</v>
      </c>
      <c r="GB8">
        <v>6.3008181054327981</v>
      </c>
      <c r="GC8">
        <v>4.5521465108179635</v>
      </c>
      <c r="GD8">
        <v>2.5731951671266846</v>
      </c>
      <c r="GE8">
        <v>2.310185591398664</v>
      </c>
      <c r="GF8">
        <v>2.6633972479456922</v>
      </c>
      <c r="GG8">
        <v>3.2344435756095962</v>
      </c>
      <c r="GH8">
        <v>2.7619779405139626</v>
      </c>
      <c r="GI8">
        <v>9.8275284328143684</v>
      </c>
      <c r="GJ8"/>
      <c r="GK8"/>
      <c r="GL8"/>
      <c r="GM8"/>
      <c r="GN8" s="208"/>
      <c r="GO8" s="208"/>
      <c r="GP8" s="208"/>
      <c r="GQ8" s="208"/>
      <c r="GR8" s="208"/>
      <c r="GS8" s="208"/>
      <c r="GT8" s="208"/>
      <c r="GU8" s="213">
        <v>3</v>
      </c>
    </row>
    <row r="9" spans="1:203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78.351795263559964</v>
      </c>
      <c r="Y9" s="131">
        <f>COUNT(EK138:EK147)</f>
        <v>10</v>
      </c>
      <c r="Z9" s="130">
        <f>STDEV(EK138:EK147)</f>
        <v>107.13476047726023</v>
      </c>
      <c r="AA9" s="130">
        <f t="shared" si="2"/>
        <v>33.878985968473025</v>
      </c>
      <c r="AB9" s="131"/>
      <c r="AC9" s="130">
        <f>AVERAGE($FU138:$FU147)</f>
        <v>8.5181437437086789</v>
      </c>
      <c r="AD9" s="132">
        <f>COUNT($FU138:$FU147)</f>
        <v>10</v>
      </c>
      <c r="AE9" s="130">
        <f>STDEV($FU138:$FU147)</f>
        <v>7.6102254906624855</v>
      </c>
      <c r="AF9" s="130">
        <f t="shared" si="3"/>
        <v>2.4065646057965919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24">
        <f>AVERAGE(GB6:GB1005)</f>
        <v>8.0818581564355529</v>
      </c>
      <c r="FJ9" s="217"/>
      <c r="FK9" s="217">
        <f>PERCENTILE($GB$6:$GB$1005,0.975)</f>
        <v>13.969205644921853</v>
      </c>
      <c r="FL9" s="217"/>
      <c r="FM9" s="217">
        <f>PERCENTILE($GB$6:$GB$1005,0.025)</f>
        <v>3.1894464594978182</v>
      </c>
      <c r="FN9" s="217"/>
      <c r="FO9" s="5"/>
      <c r="FP9" s="214">
        <v>39714</v>
      </c>
      <c r="FQ9" s="218" t="e">
        <f t="shared" si="7"/>
        <v>#DIV/0!</v>
      </c>
      <c r="FR9" s="219"/>
      <c r="FS9" s="217" t="e">
        <f>PERCENTILE($GM$6:$GM$1005,0.975)</f>
        <v>#NUM!</v>
      </c>
      <c r="FT9" s="217"/>
      <c r="FU9" s="217" t="e">
        <f>PERCENTILE($GM$6:$GM$1005,0.025)</f>
        <v>#NUM!</v>
      </c>
      <c r="FV9" s="217"/>
      <c r="FW9" s="5"/>
      <c r="FY9" s="213">
        <v>4</v>
      </c>
      <c r="FZ9">
        <v>34.400895344163679</v>
      </c>
      <c r="GA9">
        <v>38.876452139746156</v>
      </c>
      <c r="GB9">
        <v>8.8087009356390258</v>
      </c>
      <c r="GC9">
        <v>5.7796770113026419</v>
      </c>
      <c r="GD9">
        <v>1.9274767150390273</v>
      </c>
      <c r="GE9">
        <v>2.6052573017288814</v>
      </c>
      <c r="GF9">
        <v>5.0734516513365211</v>
      </c>
      <c r="GG9">
        <v>6.2333005099076804</v>
      </c>
      <c r="GH9">
        <v>3.7215429376725151</v>
      </c>
      <c r="GI9">
        <v>9.8931155166162252</v>
      </c>
      <c r="GJ9"/>
      <c r="GK9"/>
      <c r="GL9"/>
      <c r="GM9"/>
      <c r="GN9" s="208"/>
      <c r="GO9" s="208"/>
      <c r="GP9" s="208"/>
      <c r="GQ9" s="208"/>
      <c r="GR9" s="208"/>
      <c r="GS9" s="208"/>
      <c r="GT9" s="208"/>
      <c r="GU9" s="213">
        <v>4</v>
      </c>
    </row>
    <row r="10" spans="1:203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4.1666666666666661</v>
      </c>
      <c r="Y10" s="131">
        <f>COUNT(EK148:EK157)</f>
        <v>10</v>
      </c>
      <c r="Z10" s="130">
        <f>STDEV(EK148:EK157)</f>
        <v>7.2833947789593854</v>
      </c>
      <c r="AA10" s="130">
        <f t="shared" si="2"/>
        <v>2.3032116599690275</v>
      </c>
      <c r="AB10" s="131"/>
      <c r="AC10" s="130">
        <f>AVERAGE($FU148:$FU157)</f>
        <v>0.917433487786665</v>
      </c>
      <c r="AD10" s="132">
        <f>COUNT($FU148:$FU157)</f>
        <v>10</v>
      </c>
      <c r="AE10" s="130">
        <f>STDEV($FU148:$FU157)</f>
        <v>1.6525269145133425</v>
      </c>
      <c r="AF10" s="130">
        <f t="shared" si="3"/>
        <v>0.52257489445925243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24">
        <f>AVERAGE(GC6:GC1005)</f>
        <v>5.0611799679535689</v>
      </c>
      <c r="FJ10" s="217"/>
      <c r="FK10" s="217">
        <f>PERCENTILE($GC$6:$GC$1005,0.975)</f>
        <v>7.994369896446722</v>
      </c>
      <c r="FL10" s="217"/>
      <c r="FM10" s="217">
        <f>PERCENTILE($GC$6:$GC$1005,0.025)</f>
        <v>2.5668613721221303</v>
      </c>
      <c r="FN10" s="217"/>
      <c r="FO10" s="5"/>
      <c r="FP10" s="214">
        <v>39747</v>
      </c>
      <c r="FQ10" s="218" t="e">
        <f t="shared" si="7"/>
        <v>#DIV/0!</v>
      </c>
      <c r="FR10" s="219"/>
      <c r="FS10" s="217" t="e">
        <f>PERCENTILE($GN$6:$GN$1005,0.975)</f>
        <v>#NUM!</v>
      </c>
      <c r="FT10" s="217"/>
      <c r="FU10" s="217" t="e">
        <f>PERCENTILE($GN$6:$GN$1005,0.025)</f>
        <v>#NUM!</v>
      </c>
      <c r="FV10" s="217"/>
      <c r="FW10" s="5"/>
      <c r="FY10" s="213">
        <v>5</v>
      </c>
      <c r="FZ10">
        <v>20.763956194677512</v>
      </c>
      <c r="GA10">
        <v>23.768720374249291</v>
      </c>
      <c r="GB10">
        <v>11.102814081889361</v>
      </c>
      <c r="GC10">
        <v>7.6383361504510301</v>
      </c>
      <c r="GD10">
        <v>1.817967093185231</v>
      </c>
      <c r="GE10">
        <v>1.3184020182527765</v>
      </c>
      <c r="GF10">
        <v>6.3401158779106002</v>
      </c>
      <c r="GG10">
        <v>5.402179100256685</v>
      </c>
      <c r="GH10">
        <v>0.60080431445180338</v>
      </c>
      <c r="GI10">
        <v>8.134001510164202</v>
      </c>
      <c r="GJ10"/>
      <c r="GK10"/>
      <c r="GL10"/>
      <c r="GM10"/>
      <c r="GN10" s="208"/>
      <c r="GO10" s="208"/>
      <c r="GP10" s="208"/>
      <c r="GQ10" s="208"/>
      <c r="GR10" s="208"/>
      <c r="GS10" s="208"/>
      <c r="GT10" s="208"/>
      <c r="GU10" s="213">
        <v>5</v>
      </c>
    </row>
    <row r="11" spans="1:203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30.583964646464647</v>
      </c>
      <c r="Y11" s="131">
        <f>COUNT(EK158:EK167)</f>
        <v>10</v>
      </c>
      <c r="Z11" s="130">
        <f>STDEV(EK158:EK167)</f>
        <v>46.328148597482411</v>
      </c>
      <c r="AA11" s="130">
        <f t="shared" si="2"/>
        <v>14.650246934677966</v>
      </c>
      <c r="AB11" s="131"/>
      <c r="AC11" s="130">
        <f>AVERAGE($FU158:$FU167)</f>
        <v>8.040246085513953</v>
      </c>
      <c r="AD11" s="132">
        <f>COUNT($FU158:$FU167)</f>
        <v>10</v>
      </c>
      <c r="AE11" s="130">
        <f>STDEV($FU158:$FU167)</f>
        <v>11.734268621463972</v>
      </c>
      <c r="AF11" s="130">
        <f t="shared" si="3"/>
        <v>3.7107015520070323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24">
        <f>AVERAGE(GD5:GD1005)</f>
        <v>2.1957000691992716</v>
      </c>
      <c r="FJ11" s="217"/>
      <c r="FK11" s="217">
        <f>PERCENTILE($GD$6:$GD$1005,0.975)</f>
        <v>2.931061008703971</v>
      </c>
      <c r="FL11" s="217"/>
      <c r="FM11" s="217">
        <f>PERCENTILE($GD$6:$GD$1005,0.025)</f>
        <v>1.5292926618427261</v>
      </c>
      <c r="FN11" s="217"/>
      <c r="FO11" s="5"/>
      <c r="FP11" s="214">
        <v>39775</v>
      </c>
      <c r="FQ11" s="218" t="e">
        <f t="shared" si="7"/>
        <v>#DIV/0!</v>
      </c>
      <c r="FR11" s="219"/>
      <c r="FS11" s="217" t="e">
        <f>PERCENTILE($GO$6:$GO$1005,0.975)</f>
        <v>#NUM!</v>
      </c>
      <c r="FT11" s="217"/>
      <c r="FU11" s="217" t="e">
        <f>PERCENTILE($GO$6:$GO$1005,0.025)</f>
        <v>#NUM!</v>
      </c>
      <c r="FV11" s="217"/>
      <c r="FW11" s="5"/>
      <c r="FY11" s="213">
        <v>6</v>
      </c>
      <c r="FZ11">
        <v>21.89438516685918</v>
      </c>
      <c r="GA11">
        <v>29.82752588277738</v>
      </c>
      <c r="GB11">
        <v>5.9046136124853659</v>
      </c>
      <c r="GC11">
        <v>3.5654856480350521</v>
      </c>
      <c r="GD11">
        <v>2.7051165413138265</v>
      </c>
      <c r="GE11">
        <v>2.5527137746572581</v>
      </c>
      <c r="GF11">
        <v>3.3468456488821614</v>
      </c>
      <c r="GG11">
        <v>2.6133957667978773</v>
      </c>
      <c r="GH11">
        <v>0.60080431445180338</v>
      </c>
      <c r="GI11">
        <v>7.0604188020713927</v>
      </c>
      <c r="GJ11"/>
      <c r="GK11"/>
      <c r="GL11"/>
      <c r="GM11"/>
      <c r="GN11" s="208"/>
      <c r="GO11" s="208"/>
      <c r="GP11" s="208"/>
      <c r="GQ11" s="208"/>
      <c r="GR11" s="208"/>
      <c r="GS11" s="208"/>
      <c r="GT11" s="208"/>
      <c r="GU11" s="213">
        <v>6</v>
      </c>
    </row>
    <row r="12" spans="1:203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12.268518518518519</v>
      </c>
      <c r="Y12" s="131">
        <f>COUNT(EK168:EK177)</f>
        <v>10</v>
      </c>
      <c r="Z12" s="130">
        <f>STDEV(EK168:EK177)</f>
        <v>38.796462034473173</v>
      </c>
      <c r="AA12" s="130">
        <f t="shared" si="2"/>
        <v>12.268518518518517</v>
      </c>
      <c r="AB12" s="131"/>
      <c r="AC12" s="130">
        <f>AVERAGE($FU168:$FU177)</f>
        <v>3.4965513650642555</v>
      </c>
      <c r="AD12" s="132">
        <f>COUNT($FU168:$FU177)</f>
        <v>10</v>
      </c>
      <c r="AE12" s="130">
        <f>STDEV($FU168:$FU177)</f>
        <v>11.057066269373946</v>
      </c>
      <c r="AF12" s="130">
        <f t="shared" si="3"/>
        <v>3.496551365064255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24">
        <f>AVERAGE(GE6:GE1005)</f>
        <v>2.2655404062300724</v>
      </c>
      <c r="FJ12" s="217"/>
      <c r="FK12" s="217">
        <f>PERCENTILE($GE$6:$GE$1005,0.975)</f>
        <v>3.3473163515761133</v>
      </c>
      <c r="FL12" s="217"/>
      <c r="FM12" s="217">
        <f>PERCENTILE($GE$6:$GE$1005,0.025)</f>
        <v>1.232801670038816</v>
      </c>
      <c r="FN12" s="217"/>
      <c r="FO12" s="5"/>
      <c r="FP12" s="214">
        <v>39799</v>
      </c>
      <c r="FQ12" s="218" t="e">
        <f t="shared" si="7"/>
        <v>#DIV/0!</v>
      </c>
      <c r="FR12" s="219"/>
      <c r="FS12" s="217" t="e">
        <f>PERCENTILE($GP$6:$GP$1005,0.975)</f>
        <v>#NUM!</v>
      </c>
      <c r="FT12" s="217"/>
      <c r="FU12" s="217" t="e">
        <f>PERCENTILE($GP$6:$GP$1005,0.025)</f>
        <v>#NUM!</v>
      </c>
      <c r="FV12" s="217"/>
      <c r="FW12" s="5"/>
      <c r="FY12" s="213">
        <v>7</v>
      </c>
      <c r="FZ12">
        <v>23.715175933432182</v>
      </c>
      <c r="GA12">
        <v>27.681963541091847</v>
      </c>
      <c r="GB12">
        <v>7.413495740535307</v>
      </c>
      <c r="GC12">
        <v>5.6967233873813052</v>
      </c>
      <c r="GD12">
        <v>2.9840297858457463</v>
      </c>
      <c r="GE12">
        <v>3.5564783400596474</v>
      </c>
      <c r="GF12">
        <v>3.9701783639856543</v>
      </c>
      <c r="GG12">
        <v>3.097945133580251</v>
      </c>
      <c r="GH12">
        <v>0.60080431445180338</v>
      </c>
      <c r="GI12">
        <v>7.9348069421928455</v>
      </c>
      <c r="GJ12"/>
      <c r="GK12"/>
      <c r="GL12"/>
      <c r="GM12"/>
      <c r="GN12" s="208"/>
      <c r="GO12" s="208"/>
      <c r="GP12" s="208"/>
      <c r="GQ12" s="208"/>
      <c r="GR12" s="208"/>
      <c r="GS12" s="208"/>
      <c r="GT12" s="208"/>
      <c r="GU12" s="213">
        <v>7</v>
      </c>
    </row>
    <row r="13" spans="1:203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1.0416666666666665</v>
      </c>
      <c r="Y13" s="131">
        <f>COUNT(EK178:EK187)</f>
        <v>10</v>
      </c>
      <c r="Z13" s="130">
        <f>STDEV(EK178:EK187)</f>
        <v>3.2940392293420615</v>
      </c>
      <c r="AA13" s="130">
        <f t="shared" si="2"/>
        <v>1.0416666666666665</v>
      </c>
      <c r="AB13" s="131"/>
      <c r="AC13" s="130">
        <f>AVERAGE($FU178:$FU187)</f>
        <v>1.4154081822273552</v>
      </c>
      <c r="AD13" s="132">
        <f>COUNT($FU178:$FU187)</f>
        <v>10</v>
      </c>
      <c r="AE13" s="130">
        <f>STDEV($FU178:$FU187)</f>
        <v>4.4759136746770993</v>
      </c>
      <c r="AF13" s="130">
        <f t="shared" si="3"/>
        <v>1.415408182227355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24">
        <f>AVERAGE(GF6:GF1005)</f>
        <v>3.5760070727873927</v>
      </c>
      <c r="FJ13" s="217"/>
      <c r="FK13" s="217">
        <f>PERCENTILE($GF$6:$GF$1005,0.975)</f>
        <v>6.6884540608903231</v>
      </c>
      <c r="FL13" s="217"/>
      <c r="FM13" s="217">
        <f>PERCENTILE($GF$6:$GF$1005,0.025)</f>
        <v>1.0252632203448027</v>
      </c>
      <c r="FN13" s="217"/>
      <c r="FO13" s="5"/>
      <c r="FP13" s="214">
        <v>39847</v>
      </c>
      <c r="FQ13" s="218" t="e">
        <f t="shared" si="7"/>
        <v>#DIV/0!</v>
      </c>
      <c r="FR13" s="219"/>
      <c r="FS13" s="217" t="e">
        <f>PERCENTILE($GQ$6:$GQ$1005,0.975)</f>
        <v>#NUM!</v>
      </c>
      <c r="FT13" s="217"/>
      <c r="FU13" s="217" t="e">
        <f>PERCENTILE($GQ$6:$GQ$1005,0.025)</f>
        <v>#NUM!</v>
      </c>
      <c r="FV13" s="217"/>
      <c r="FW13" s="5"/>
      <c r="FY13" s="213">
        <v>8</v>
      </c>
      <c r="FZ13">
        <v>38.847720146241521</v>
      </c>
      <c r="GA13">
        <v>47.134443999241604</v>
      </c>
      <c r="GB13">
        <v>8.8431142581484128</v>
      </c>
      <c r="GC13">
        <v>6.1401049395946563</v>
      </c>
      <c r="GD13">
        <v>2.5050115171265617</v>
      </c>
      <c r="GE13">
        <v>2.0035615426900706</v>
      </c>
      <c r="GF13">
        <v>5.1516874322815251</v>
      </c>
      <c r="GG13">
        <v>4.3048343822611095</v>
      </c>
      <c r="GH13">
        <v>0.60080431445180338</v>
      </c>
      <c r="GI13">
        <v>10.45549844284054</v>
      </c>
      <c r="GJ13"/>
      <c r="GK13"/>
      <c r="GL13"/>
      <c r="GM13"/>
      <c r="GN13" s="208"/>
      <c r="GO13" s="208"/>
      <c r="GP13" s="208"/>
      <c r="GQ13" s="208"/>
      <c r="GR13" s="208"/>
      <c r="GS13" s="208"/>
      <c r="GT13" s="208"/>
      <c r="GU13" s="213">
        <v>8</v>
      </c>
    </row>
    <row r="14" spans="1:203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24">
        <f>AVERAGE(GG6:GG1005)</f>
        <v>3.9910251436478656</v>
      </c>
      <c r="FJ14" s="217"/>
      <c r="FK14" s="217">
        <f>PERCENTILE($GG$6:$GG$1005,0.975)</f>
        <v>7.4724886073370786</v>
      </c>
      <c r="FL14" s="217"/>
      <c r="FM14" s="217">
        <f>PERCENTILE($GG$6:$GG$1005,0.025)</f>
        <v>1.0217566562938358</v>
      </c>
      <c r="FN14" s="217"/>
      <c r="FO14" s="5"/>
      <c r="FP14" s="214">
        <v>39910</v>
      </c>
      <c r="FQ14" s="218" t="e">
        <f t="shared" si="7"/>
        <v>#DIV/0!</v>
      </c>
      <c r="FR14" s="219"/>
      <c r="FS14" s="217" t="e">
        <f>PERCENTILE($GR$6:$GR$1005,0.975)</f>
        <v>#NUM!</v>
      </c>
      <c r="FT14" s="217"/>
      <c r="FU14" s="217" t="e">
        <f>PERCENTILE($GR$6:$GR$1005,0.025)</f>
        <v>#NUM!</v>
      </c>
      <c r="FV14" s="217"/>
      <c r="FW14" s="5"/>
      <c r="FY14" s="213">
        <v>9</v>
      </c>
      <c r="FZ14">
        <v>37.01008915293513</v>
      </c>
      <c r="GA14">
        <v>43.408750649942256</v>
      </c>
      <c r="GB14">
        <v>9.7023376051606025</v>
      </c>
      <c r="GC14">
        <v>6.8395664305153598</v>
      </c>
      <c r="GD14">
        <v>2.0628423714059427</v>
      </c>
      <c r="GE14">
        <v>1.6892836233230391</v>
      </c>
      <c r="GF14">
        <v>4.1033894957800294</v>
      </c>
      <c r="GG14">
        <v>4.5693130856412747</v>
      </c>
      <c r="GH14">
        <v>2.1611736260621592</v>
      </c>
      <c r="GI14">
        <v>10.194935639542773</v>
      </c>
      <c r="GJ14"/>
      <c r="GK14"/>
      <c r="GL14"/>
      <c r="GM14"/>
      <c r="GN14" s="208"/>
      <c r="GO14" s="208"/>
      <c r="GP14" s="208"/>
      <c r="GQ14" s="208"/>
      <c r="GR14" s="208"/>
      <c r="GS14" s="208"/>
      <c r="GT14" s="208"/>
      <c r="GU14" s="213">
        <v>9</v>
      </c>
    </row>
    <row r="15" spans="1:203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58.409513871861733</v>
      </c>
      <c r="AO15" s="163">
        <f>D48</f>
        <v>7.3644102636692796</v>
      </c>
      <c r="AP15" s="163">
        <f>D63</f>
        <v>38.608470243192798</v>
      </c>
      <c r="AQ15" s="163">
        <f>C453</f>
        <v>49.9169151801323</v>
      </c>
      <c r="AR15" s="163">
        <f>G520</f>
        <v>6.9822086924845133</v>
      </c>
      <c r="AS15" s="163">
        <f>I523</f>
        <v>102.67081079690058</v>
      </c>
      <c r="AT15" s="122">
        <f>G556</f>
        <v>4.4486684966619974</v>
      </c>
      <c r="AU15" s="122">
        <f>I556</f>
        <v>32.754306691825469</v>
      </c>
      <c r="AV15" s="23"/>
      <c r="AW15" s="23"/>
      <c r="FG15" s="5"/>
      <c r="FH15" s="214">
        <f t="shared" si="6"/>
        <v>39949</v>
      </c>
      <c r="FI15" s="224">
        <f>AVERAGE(GH6:GH1005)</f>
        <v>2.1780956448581352</v>
      </c>
      <c r="FJ15" s="217"/>
      <c r="FK15" s="217">
        <f>PERCENTILE($GH$6:$GH$1005,0.975)</f>
        <v>5.8827165637346734</v>
      </c>
      <c r="FL15" s="217"/>
      <c r="FM15" s="217">
        <f>PERCENTILE($GH$6:$GH$1005,0.025)</f>
        <v>0</v>
      </c>
      <c r="FN15" s="217"/>
      <c r="FO15" s="5"/>
      <c r="FP15" s="214">
        <v>39949</v>
      </c>
      <c r="FQ15" s="218" t="e">
        <f t="shared" si="7"/>
        <v>#DIV/0!</v>
      </c>
      <c r="FR15" s="219"/>
      <c r="FS15" s="217" t="e">
        <f>PERCENTILE($GS$6:$GS$1005,0.975)</f>
        <v>#NUM!</v>
      </c>
      <c r="FT15" s="217"/>
      <c r="FU15" s="217" t="e">
        <f>PERCENTILE($GS$6:$GS$1005,0.025)</f>
        <v>#NUM!</v>
      </c>
      <c r="FV15" s="217"/>
      <c r="FW15" s="5"/>
      <c r="FY15" s="213">
        <v>10</v>
      </c>
      <c r="FZ15">
        <v>18.464814962849765</v>
      </c>
      <c r="GA15">
        <v>24.43351845355723</v>
      </c>
      <c r="GB15">
        <v>2.7950975832917013</v>
      </c>
      <c r="GC15">
        <v>2.0014820515782108</v>
      </c>
      <c r="GD15">
        <v>2.0754677994267103</v>
      </c>
      <c r="GE15">
        <v>2.3879338736260132</v>
      </c>
      <c r="GF15">
        <v>2.0332185534414773</v>
      </c>
      <c r="GG15">
        <v>3.8342541531573273</v>
      </c>
      <c r="GH15">
        <v>3.7215429376725151</v>
      </c>
      <c r="GI15">
        <v>5.5913149118050534</v>
      </c>
      <c r="GJ15"/>
      <c r="GK15"/>
      <c r="GL15"/>
      <c r="GM15"/>
      <c r="GN15" s="208"/>
      <c r="GO15" s="208"/>
      <c r="GP15" s="208"/>
      <c r="GQ15" s="208"/>
      <c r="GR15" s="208"/>
      <c r="GS15" s="208"/>
      <c r="GT15" s="208"/>
      <c r="GU15" s="213">
        <v>10</v>
      </c>
    </row>
    <row r="16" spans="1:203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24">
        <f>AVERAGE(GI6:GI1005)</f>
        <v>8.7173826300753028</v>
      </c>
      <c r="FJ16" s="217"/>
      <c r="FK16" s="217">
        <f>PERCENTILE($GI$6:$GI$1005,0.975)</f>
        <v>13.628747657437328</v>
      </c>
      <c r="FL16" s="217"/>
      <c r="FM16" s="217">
        <f>PERCENTILE($GI$6:$GI$1005,0.025)</f>
        <v>4.94770930202887</v>
      </c>
      <c r="FN16" s="217"/>
      <c r="FO16" s="5"/>
      <c r="FP16" s="214">
        <v>39987</v>
      </c>
      <c r="FQ16" s="218" t="e">
        <f t="shared" si="7"/>
        <v>#DIV/0!</v>
      </c>
      <c r="FR16" s="219"/>
      <c r="FS16" s="217" t="e">
        <f>PERCENTILE($GT$6:$GT$1005,0.975)</f>
        <v>#NUM!</v>
      </c>
      <c r="FT16" s="217"/>
      <c r="FU16" s="217" t="e">
        <f>PERCENTILE($GT$6:$GT$1005,0.025)</f>
        <v>#NUM!</v>
      </c>
      <c r="FV16" s="217"/>
      <c r="FW16" s="5"/>
      <c r="FY16" s="213">
        <v>11</v>
      </c>
      <c r="FZ16">
        <v>36.6776301736788</v>
      </c>
      <c r="GA16">
        <v>45.891647218121854</v>
      </c>
      <c r="GB16">
        <v>9.625405360102647</v>
      </c>
      <c r="GC16">
        <v>6.0508905180035368</v>
      </c>
      <c r="GD16">
        <v>2.3624531851794326</v>
      </c>
      <c r="GE16">
        <v>2.4142738959659407</v>
      </c>
      <c r="GF16">
        <v>5.4760764904505095</v>
      </c>
      <c r="GG16">
        <v>5.6529617242943564</v>
      </c>
      <c r="GH16">
        <v>2.7619779405139626</v>
      </c>
      <c r="GI16">
        <v>10.633221920246466</v>
      </c>
      <c r="GJ16"/>
      <c r="GK16"/>
      <c r="GL16"/>
      <c r="GM16"/>
      <c r="GN16" s="208"/>
      <c r="GO16" s="208"/>
      <c r="GP16" s="208"/>
      <c r="GQ16" s="208"/>
      <c r="GR16" s="208"/>
      <c r="GS16" s="208"/>
      <c r="GT16" s="208"/>
      <c r="GU16" s="213">
        <v>11</v>
      </c>
    </row>
    <row r="17" spans="1:203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72.160070953668836</v>
      </c>
      <c r="AO17">
        <v>10.098478041862274</v>
      </c>
      <c r="AP17">
        <v>103.12790826184354</v>
      </c>
      <c r="AQ17">
        <v>75.472223527184923</v>
      </c>
      <c r="AR17">
        <v>9.6159385049564303</v>
      </c>
      <c r="AS17">
        <v>125.71040248646726</v>
      </c>
      <c r="AT17" t="e">
        <v>#DIV/0!</v>
      </c>
      <c r="AU17" t="e">
        <v>#DIV/0!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P17" s="215"/>
      <c r="FQ17" s="13"/>
      <c r="FR17" s="13"/>
      <c r="FS17" s="13"/>
      <c r="FT17" s="13"/>
      <c r="FU17" s="13"/>
      <c r="FV17" s="13"/>
      <c r="FW17" s="5"/>
      <c r="FY17" s="213">
        <v>12</v>
      </c>
      <c r="FZ17">
        <v>24.078393492426876</v>
      </c>
      <c r="GA17">
        <v>33.612672049389481</v>
      </c>
      <c r="GB17">
        <v>7.5885055063438127</v>
      </c>
      <c r="GC17">
        <v>3.9781801440036575</v>
      </c>
      <c r="GD17">
        <v>2.0182869939560986</v>
      </c>
      <c r="GE17">
        <v>2.00353543764479</v>
      </c>
      <c r="GF17">
        <v>3.0533859148614155</v>
      </c>
      <c r="GG17">
        <v>4.8472813649298629</v>
      </c>
      <c r="GH17">
        <v>3.1207386232207117</v>
      </c>
      <c r="GI17">
        <v>7.7021161852972266</v>
      </c>
      <c r="GJ17"/>
      <c r="GK17"/>
      <c r="GL17"/>
      <c r="GM17"/>
      <c r="GN17" s="208"/>
      <c r="GO17" s="208"/>
      <c r="GP17" s="208"/>
      <c r="GQ17" s="208"/>
      <c r="GR17" s="208"/>
      <c r="GS17" s="208"/>
      <c r="GT17" s="208"/>
      <c r="GU17" s="213">
        <v>12</v>
      </c>
    </row>
    <row r="18" spans="1:203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107.12316202785271</v>
      </c>
      <c r="AO18">
        <v>16.67132880499376</v>
      </c>
      <c r="AP18">
        <v>274.70145830645299</v>
      </c>
      <c r="AQ18">
        <v>136.50198496332919</v>
      </c>
      <c r="AR18">
        <v>15.347867593083855</v>
      </c>
      <c r="AS18">
        <v>185.08010025394901</v>
      </c>
      <c r="AT18" t="e">
        <v>#DIV/0!</v>
      </c>
      <c r="AU18" t="e">
        <v>#DIV/0!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P18" s="215"/>
      <c r="FQ18" s="13"/>
      <c r="FR18" s="13"/>
      <c r="FS18" s="13"/>
      <c r="FT18" s="13"/>
      <c r="FU18" s="13"/>
      <c r="FV18" s="13"/>
      <c r="FW18" s="5"/>
      <c r="FY18" s="213">
        <v>13</v>
      </c>
      <c r="FZ18">
        <v>21.47079663466436</v>
      </c>
      <c r="GA18">
        <v>23.9580210783203</v>
      </c>
      <c r="GB18">
        <v>6.0150086691658151</v>
      </c>
      <c r="GC18">
        <v>5.2188900045624287</v>
      </c>
      <c r="GD18">
        <v>2.6243495236506185</v>
      </c>
      <c r="GE18">
        <v>2.7309876009930494</v>
      </c>
      <c r="GF18">
        <v>3.8048989045942623</v>
      </c>
      <c r="GG18">
        <v>3.9605075276263308</v>
      </c>
      <c r="GH18">
        <v>2.1611736260621592</v>
      </c>
      <c r="GI18">
        <v>7.2368850073326598</v>
      </c>
      <c r="GJ18"/>
      <c r="GK18"/>
      <c r="GL18"/>
      <c r="GM18"/>
      <c r="GN18" s="208"/>
      <c r="GO18" s="208"/>
      <c r="GP18" s="208"/>
      <c r="GQ18" s="208"/>
      <c r="GR18" s="208"/>
      <c r="GS18" s="208"/>
      <c r="GT18" s="208"/>
      <c r="GU18" s="213">
        <v>13</v>
      </c>
    </row>
    <row r="19" spans="1:203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87.808758901069993</v>
      </c>
      <c r="AO19">
        <v>14.766201706900087</v>
      </c>
      <c r="AP19">
        <v>89.558001001498013</v>
      </c>
      <c r="AQ19">
        <v>122.4263690062925</v>
      </c>
      <c r="AR19">
        <v>13.609851362824649</v>
      </c>
      <c r="AS19">
        <v>163.45878429857765</v>
      </c>
      <c r="AT19">
        <v>9.3706185136447218</v>
      </c>
      <c r="AU19">
        <v>18.599004241371794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P19" s="215"/>
      <c r="FQ19" s="13"/>
      <c r="FR19" s="13"/>
      <c r="FS19" s="13"/>
      <c r="FT19" s="13"/>
      <c r="FU19" s="13"/>
      <c r="FV19" s="13"/>
      <c r="FW19" s="5"/>
      <c r="FY19" s="213">
        <v>14</v>
      </c>
      <c r="FZ19">
        <v>32.617084374906923</v>
      </c>
      <c r="GA19">
        <v>40.789960852757531</v>
      </c>
      <c r="GB19">
        <v>5.7308181511587728</v>
      </c>
      <c r="GC19">
        <v>4.0813759671397341</v>
      </c>
      <c r="GD19">
        <v>2.7205220871549862</v>
      </c>
      <c r="GE19">
        <v>2.8664134838978756</v>
      </c>
      <c r="GF19">
        <v>3.8951943978560735</v>
      </c>
      <c r="GG19">
        <v>3.2541266313867805</v>
      </c>
      <c r="GH19">
        <v>1.2016086289036068</v>
      </c>
      <c r="GI19">
        <v>8.7379320991521698</v>
      </c>
      <c r="GJ19"/>
      <c r="GK19"/>
      <c r="GL19"/>
      <c r="GM19"/>
      <c r="GN19" s="208"/>
      <c r="GO19" s="208"/>
      <c r="GP19" s="208"/>
      <c r="GQ19" s="208"/>
      <c r="GR19" s="208"/>
      <c r="GS19" s="208"/>
      <c r="GT19" s="208"/>
      <c r="GU19" s="213">
        <v>14</v>
      </c>
    </row>
    <row r="20" spans="1:203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92.806552807167662</v>
      </c>
      <c r="AO20">
        <v>14.75010009145708</v>
      </c>
      <c r="AP20">
        <v>90.336488677831824</v>
      </c>
      <c r="AQ20">
        <v>117.31987006315234</v>
      </c>
      <c r="AR20">
        <v>13.634444481266927</v>
      </c>
      <c r="AS20">
        <v>170.31429136918027</v>
      </c>
      <c r="AT20">
        <v>9.1188428225394151</v>
      </c>
      <c r="AU20">
        <v>29.846042102055605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Y20" s="213">
        <v>15</v>
      </c>
      <c r="FZ20">
        <v>22.395414629669538</v>
      </c>
      <c r="GA20">
        <v>31.067047447772943</v>
      </c>
      <c r="GB20">
        <v>8.826345890566957</v>
      </c>
      <c r="GC20">
        <v>4.6279405318655629</v>
      </c>
      <c r="GD20">
        <v>1.9900193571110603</v>
      </c>
      <c r="GE20">
        <v>1.8800942325861105</v>
      </c>
      <c r="GF20">
        <v>1.4156760311355256</v>
      </c>
      <c r="GG20">
        <v>1.1302856057743269</v>
      </c>
      <c r="GH20">
        <v>0.60080431445180338</v>
      </c>
      <c r="GI20">
        <v>7.0911986107766225</v>
      </c>
      <c r="GJ20"/>
      <c r="GK20"/>
      <c r="GL20"/>
      <c r="GM20"/>
      <c r="GN20" s="208"/>
      <c r="GO20" s="208"/>
      <c r="GP20" s="208"/>
      <c r="GQ20" s="208"/>
      <c r="GR20" s="208"/>
      <c r="GS20" s="208"/>
      <c r="GT20" s="208"/>
      <c r="GU20" s="213">
        <v>15</v>
      </c>
    </row>
    <row r="21" spans="1:203" s="7" customFormat="1">
      <c r="A21" s="4"/>
      <c r="B21" s="36"/>
      <c r="C21" s="48" t="s">
        <v>38</v>
      </c>
      <c r="D21" s="49">
        <f t="shared" ref="D21:D26" si="8">SUM(G21:AK21)</f>
        <v>58.639705882352949</v>
      </c>
      <c r="E21" s="18">
        <f t="shared" ref="E21:E26" si="9">C5-C4</f>
        <v>27</v>
      </c>
      <c r="F21" s="50"/>
      <c r="G21" s="18">
        <f t="shared" ref="G21:AK21" si="10">AVERAGE(G70:G71)</f>
        <v>0</v>
      </c>
      <c r="H21" s="18">
        <f t="shared" si="10"/>
        <v>0</v>
      </c>
      <c r="I21" s="18">
        <f t="shared" si="10"/>
        <v>22.916666666666675</v>
      </c>
      <c r="J21" s="18">
        <f t="shared" si="10"/>
        <v>16.973039215686274</v>
      </c>
      <c r="K21" s="18">
        <f t="shared" si="10"/>
        <v>13.020833333333332</v>
      </c>
      <c r="L21" s="18">
        <f t="shared" si="10"/>
        <v>4.166666666666667</v>
      </c>
      <c r="M21" s="18">
        <f t="shared" si="10"/>
        <v>1.5625</v>
      </c>
      <c r="N21" s="18">
        <f t="shared" si="10"/>
        <v>0</v>
      </c>
      <c r="O21" s="18">
        <f t="shared" si="10"/>
        <v>0</v>
      </c>
      <c r="P21" s="18">
        <f t="shared" si="10"/>
        <v>0</v>
      </c>
      <c r="Q21" s="18">
        <f t="shared" si="10"/>
        <v>0</v>
      </c>
      <c r="R21" s="18">
        <f t="shared" si="10"/>
        <v>0</v>
      </c>
      <c r="S21" s="18">
        <f t="shared" si="10"/>
        <v>0</v>
      </c>
      <c r="T21" s="18">
        <f t="shared" si="10"/>
        <v>0</v>
      </c>
      <c r="U21" s="18">
        <f t="shared" si="10"/>
        <v>0</v>
      </c>
      <c r="V21" s="18">
        <f t="shared" si="10"/>
        <v>0</v>
      </c>
      <c r="W21" s="18">
        <f t="shared" si="10"/>
        <v>0</v>
      </c>
      <c r="X21" s="18">
        <f t="shared" si="10"/>
        <v>0</v>
      </c>
      <c r="Y21" s="18">
        <f t="shared" si="10"/>
        <v>0</v>
      </c>
      <c r="Z21" s="18">
        <f t="shared" si="10"/>
        <v>0</v>
      </c>
      <c r="AA21" s="18">
        <f t="shared" si="10"/>
        <v>0</v>
      </c>
      <c r="AB21" s="18">
        <f t="shared" si="10"/>
        <v>0</v>
      </c>
      <c r="AC21" s="18">
        <f t="shared" si="10"/>
        <v>0</v>
      </c>
      <c r="AD21" s="18">
        <f t="shared" si="10"/>
        <v>0</v>
      </c>
      <c r="AE21" s="18">
        <f t="shared" si="10"/>
        <v>0</v>
      </c>
      <c r="AF21" s="18">
        <f t="shared" si="10"/>
        <v>0</v>
      </c>
      <c r="AG21" s="18">
        <f t="shared" si="10"/>
        <v>0</v>
      </c>
      <c r="AH21" s="18">
        <f t="shared" si="10"/>
        <v>0</v>
      </c>
      <c r="AI21" s="18">
        <f t="shared" si="10"/>
        <v>0</v>
      </c>
      <c r="AJ21" s="18">
        <f t="shared" si="10"/>
        <v>0</v>
      </c>
      <c r="AK21" s="18">
        <f t="shared" si="10"/>
        <v>0</v>
      </c>
      <c r="AL21" s="42"/>
      <c r="AM21" s="43">
        <v>5</v>
      </c>
      <c r="AN21">
        <v>89.208760946907489</v>
      </c>
      <c r="AO21">
        <v>12.190595801129499</v>
      </c>
      <c r="AP21">
        <v>54.080419880020465</v>
      </c>
      <c r="AQ21">
        <v>86.887296715488503</v>
      </c>
      <c r="AR21">
        <v>11.206165461193343</v>
      </c>
      <c r="AS21">
        <v>153.70993248278998</v>
      </c>
      <c r="AT21" t="e">
        <v>#DIV/0!</v>
      </c>
      <c r="AU21" t="e">
        <v>#DIV/0!</v>
      </c>
      <c r="AV21"/>
      <c r="AW21"/>
      <c r="FY21" s="213">
        <v>16</v>
      </c>
      <c r="FZ21">
        <v>36.535462567296108</v>
      </c>
      <c r="GA21">
        <v>41.819541118830792</v>
      </c>
      <c r="GB21">
        <v>6.8820326789185406</v>
      </c>
      <c r="GC21">
        <v>4.9534685326621331</v>
      </c>
      <c r="GD21">
        <v>1.6563291197943846</v>
      </c>
      <c r="GE21">
        <v>1.5433675048720241</v>
      </c>
      <c r="GF21">
        <v>3.2554209710846873</v>
      </c>
      <c r="GG21">
        <v>6.0187398360173781</v>
      </c>
      <c r="GH21">
        <v>5.2819122492828701</v>
      </c>
      <c r="GI21">
        <v>9.5349843648260553</v>
      </c>
      <c r="GJ21"/>
      <c r="GK21"/>
      <c r="GL21"/>
      <c r="GM21"/>
      <c r="GN21" s="208"/>
      <c r="GO21" s="208"/>
      <c r="GP21" s="208"/>
      <c r="GQ21" s="208"/>
      <c r="GR21" s="208"/>
      <c r="GS21" s="208"/>
      <c r="GT21" s="208"/>
      <c r="GU21" s="213">
        <v>16</v>
      </c>
    </row>
    <row r="22" spans="1:203" s="7" customFormat="1">
      <c r="B22" s="36"/>
      <c r="C22" s="48" t="s">
        <v>39</v>
      </c>
      <c r="D22" s="49">
        <f t="shared" si="8"/>
        <v>32.077205882352942</v>
      </c>
      <c r="E22" s="18">
        <f t="shared" si="9"/>
        <v>41</v>
      </c>
      <c r="F22" s="50"/>
      <c r="G22" s="18">
        <f t="shared" ref="G22:AK22" si="11">AVERAGE(G71:G72)</f>
        <v>0</v>
      </c>
      <c r="H22" s="18">
        <f t="shared" si="11"/>
        <v>0</v>
      </c>
      <c r="I22" s="18">
        <f t="shared" si="11"/>
        <v>1.0416666666666665</v>
      </c>
      <c r="J22" s="18">
        <f t="shared" si="11"/>
        <v>12.285539215686274</v>
      </c>
      <c r="K22" s="18">
        <f t="shared" si="11"/>
        <v>13.020833333333332</v>
      </c>
      <c r="L22" s="18">
        <f t="shared" si="11"/>
        <v>4.166666666666667</v>
      </c>
      <c r="M22" s="18">
        <f t="shared" si="11"/>
        <v>1.5625</v>
      </c>
      <c r="N22" s="18">
        <f t="shared" si="11"/>
        <v>0</v>
      </c>
      <c r="O22" s="18">
        <f t="shared" si="11"/>
        <v>0</v>
      </c>
      <c r="P22" s="18">
        <f t="shared" si="11"/>
        <v>0</v>
      </c>
      <c r="Q22" s="18">
        <f t="shared" si="11"/>
        <v>0</v>
      </c>
      <c r="R22" s="18">
        <f t="shared" si="11"/>
        <v>0</v>
      </c>
      <c r="S22" s="18">
        <f t="shared" si="11"/>
        <v>0</v>
      </c>
      <c r="T22" s="18">
        <f t="shared" si="11"/>
        <v>0</v>
      </c>
      <c r="U22" s="18">
        <f t="shared" si="11"/>
        <v>0</v>
      </c>
      <c r="V22" s="18">
        <f t="shared" si="11"/>
        <v>0</v>
      </c>
      <c r="W22" s="18">
        <f t="shared" si="11"/>
        <v>0</v>
      </c>
      <c r="X22" s="18">
        <f t="shared" si="11"/>
        <v>0</v>
      </c>
      <c r="Y22" s="18">
        <f t="shared" si="11"/>
        <v>0</v>
      </c>
      <c r="Z22" s="18">
        <f t="shared" si="11"/>
        <v>0</v>
      </c>
      <c r="AA22" s="18">
        <f t="shared" si="11"/>
        <v>0</v>
      </c>
      <c r="AB22" s="18">
        <f t="shared" si="11"/>
        <v>0</v>
      </c>
      <c r="AC22" s="18">
        <f t="shared" si="11"/>
        <v>0</v>
      </c>
      <c r="AD22" s="18">
        <f t="shared" si="11"/>
        <v>0</v>
      </c>
      <c r="AE22" s="18">
        <f t="shared" si="11"/>
        <v>0</v>
      </c>
      <c r="AF22" s="18">
        <f t="shared" si="11"/>
        <v>0</v>
      </c>
      <c r="AG22" s="18">
        <f t="shared" si="11"/>
        <v>0</v>
      </c>
      <c r="AH22" s="18">
        <f t="shared" si="11"/>
        <v>0</v>
      </c>
      <c r="AI22" s="18">
        <f t="shared" si="11"/>
        <v>0</v>
      </c>
      <c r="AJ22" s="18">
        <f t="shared" si="11"/>
        <v>0</v>
      </c>
      <c r="AK22" s="18">
        <f t="shared" si="11"/>
        <v>0</v>
      </c>
      <c r="AL22" s="42"/>
      <c r="AM22" s="43">
        <v>6</v>
      </c>
      <c r="AN22">
        <v>65.758003780645751</v>
      </c>
      <c r="AO22">
        <v>10.495182433963812</v>
      </c>
      <c r="AP22">
        <v>63.653217265438329</v>
      </c>
      <c r="AQ22">
        <v>80.071305158331313</v>
      </c>
      <c r="AR22">
        <v>9.792657980394635</v>
      </c>
      <c r="AS22">
        <v>125.66404756771772</v>
      </c>
      <c r="AT22" t="e">
        <v>#DIV/0!</v>
      </c>
      <c r="AU22" t="e">
        <v>#DIV/0!</v>
      </c>
      <c r="AV22"/>
      <c r="AW22"/>
      <c r="FY22" s="213">
        <v>17</v>
      </c>
      <c r="FZ22">
        <v>8.2148182803369263</v>
      </c>
      <c r="GA22">
        <v>12.496862539065535</v>
      </c>
      <c r="GB22">
        <v>7.7703836726368198</v>
      </c>
      <c r="GC22">
        <v>5.1547955734597295</v>
      </c>
      <c r="GD22">
        <v>2.8985439410181741</v>
      </c>
      <c r="GE22">
        <v>3.0652013426373199</v>
      </c>
      <c r="GF22">
        <v>1.6687486856927098</v>
      </c>
      <c r="GG22">
        <v>1.461872929759565</v>
      </c>
      <c r="GH22">
        <v>1.2016086289036068</v>
      </c>
      <c r="GI22">
        <v>5.3773019596354761</v>
      </c>
      <c r="GJ22"/>
      <c r="GK22"/>
      <c r="GL22"/>
      <c r="GM22"/>
      <c r="GN22" s="208"/>
      <c r="GO22" s="208"/>
      <c r="GP22" s="208"/>
      <c r="GQ22" s="208"/>
      <c r="GR22" s="208"/>
      <c r="GS22" s="208"/>
      <c r="GT22" s="208"/>
      <c r="GU22" s="213">
        <v>17</v>
      </c>
    </row>
    <row r="23" spans="1:203" s="7" customFormat="1">
      <c r="B23" s="36"/>
      <c r="C23" s="48" t="s">
        <v>40</v>
      </c>
      <c r="D23" s="49">
        <f t="shared" si="8"/>
        <v>114.95693004313695</v>
      </c>
      <c r="E23" s="18">
        <f t="shared" si="9"/>
        <v>33</v>
      </c>
      <c r="F23" s="50"/>
      <c r="G23" s="18">
        <f t="shared" ref="G23:AK23" si="12">AVERAGE(G72:G73)</f>
        <v>0</v>
      </c>
      <c r="H23" s="18">
        <f t="shared" si="12"/>
        <v>18.095828979449667</v>
      </c>
      <c r="I23" s="18">
        <f t="shared" si="12"/>
        <v>69.905997977118673</v>
      </c>
      <c r="J23" s="18">
        <f t="shared" si="12"/>
        <v>24.492981874447391</v>
      </c>
      <c r="K23" s="18">
        <f t="shared" si="12"/>
        <v>1.0416666666666665</v>
      </c>
      <c r="L23" s="18">
        <f t="shared" si="12"/>
        <v>1.4204545454545454</v>
      </c>
      <c r="M23" s="18">
        <f t="shared" si="12"/>
        <v>0</v>
      </c>
      <c r="N23" s="18">
        <f t="shared" si="12"/>
        <v>0</v>
      </c>
      <c r="O23" s="18">
        <f t="shared" si="12"/>
        <v>0</v>
      </c>
      <c r="P23" s="18">
        <f t="shared" si="12"/>
        <v>0</v>
      </c>
      <c r="Q23" s="18">
        <f t="shared" si="12"/>
        <v>0</v>
      </c>
      <c r="R23" s="18">
        <f t="shared" si="12"/>
        <v>0</v>
      </c>
      <c r="S23" s="18">
        <f t="shared" si="12"/>
        <v>0</v>
      </c>
      <c r="T23" s="18">
        <f t="shared" si="12"/>
        <v>0</v>
      </c>
      <c r="U23" s="18">
        <f t="shared" si="12"/>
        <v>0</v>
      </c>
      <c r="V23" s="18">
        <f t="shared" si="12"/>
        <v>0</v>
      </c>
      <c r="W23" s="18">
        <f t="shared" si="12"/>
        <v>0</v>
      </c>
      <c r="X23" s="18">
        <f t="shared" si="12"/>
        <v>0</v>
      </c>
      <c r="Y23" s="18">
        <f t="shared" si="12"/>
        <v>0</v>
      </c>
      <c r="Z23" s="18">
        <f t="shared" si="12"/>
        <v>0</v>
      </c>
      <c r="AA23" s="18">
        <f t="shared" si="12"/>
        <v>0</v>
      </c>
      <c r="AB23" s="18">
        <f t="shared" si="12"/>
        <v>0</v>
      </c>
      <c r="AC23" s="18">
        <f t="shared" si="12"/>
        <v>0</v>
      </c>
      <c r="AD23" s="18">
        <f t="shared" si="12"/>
        <v>0</v>
      </c>
      <c r="AE23" s="18">
        <f t="shared" si="12"/>
        <v>0</v>
      </c>
      <c r="AF23" s="18">
        <f t="shared" si="12"/>
        <v>0</v>
      </c>
      <c r="AG23" s="18">
        <f t="shared" si="12"/>
        <v>0</v>
      </c>
      <c r="AH23" s="18">
        <f t="shared" si="12"/>
        <v>0</v>
      </c>
      <c r="AI23" s="18">
        <f t="shared" si="12"/>
        <v>0</v>
      </c>
      <c r="AJ23" s="18">
        <f t="shared" si="12"/>
        <v>0</v>
      </c>
      <c r="AK23" s="18">
        <f t="shared" si="12"/>
        <v>0</v>
      </c>
      <c r="AL23" s="42"/>
      <c r="AM23" s="43">
        <v>7</v>
      </c>
      <c r="AN23">
        <v>97.884071645899738</v>
      </c>
      <c r="AO23">
        <v>11.897465248618614</v>
      </c>
      <c r="AP23">
        <v>77.911489247109557</v>
      </c>
      <c r="AQ23">
        <v>86.6516014825566</v>
      </c>
      <c r="AR23">
        <v>10.937572392467523</v>
      </c>
      <c r="AS23">
        <v>159.80354697010949</v>
      </c>
      <c r="AT23" t="e">
        <v>#DIV/0!</v>
      </c>
      <c r="AU23" t="e">
        <v>#DIV/0!</v>
      </c>
      <c r="AV23"/>
      <c r="AW23"/>
      <c r="FY23" s="213">
        <v>18</v>
      </c>
      <c r="FZ23">
        <v>12.22538857833035</v>
      </c>
      <c r="GA23">
        <v>14.253808323491764</v>
      </c>
      <c r="GB23">
        <v>3.7635046749295378</v>
      </c>
      <c r="GC23">
        <v>3.4557116163077941</v>
      </c>
      <c r="GD23">
        <v>2.0914063711393851</v>
      </c>
      <c r="GE23">
        <v>2.0370339918815796</v>
      </c>
      <c r="GF23">
        <v>2.4548224822054756</v>
      </c>
      <c r="GG23">
        <v>5.5284352367071685</v>
      </c>
      <c r="GH23">
        <v>5.8827165637346734</v>
      </c>
      <c r="GI23">
        <v>5.4040349684736837</v>
      </c>
      <c r="GJ23"/>
      <c r="GK23"/>
      <c r="GL23"/>
      <c r="GM23"/>
      <c r="GN23" s="208"/>
      <c r="GO23" s="208"/>
      <c r="GP23" s="208"/>
      <c r="GQ23" s="208"/>
      <c r="GR23" s="208"/>
      <c r="GS23" s="208"/>
      <c r="GT23" s="208"/>
      <c r="GU23" s="213">
        <v>18</v>
      </c>
    </row>
    <row r="24" spans="1:203" s="7" customFormat="1">
      <c r="A24" s="4"/>
      <c r="B24" s="36"/>
      <c r="C24" s="48" t="s">
        <v>41</v>
      </c>
      <c r="D24" s="49">
        <f t="shared" si="8"/>
        <v>159.49832614703303</v>
      </c>
      <c r="E24" s="18">
        <f t="shared" si="9"/>
        <v>28</v>
      </c>
      <c r="F24" s="50"/>
      <c r="G24" s="18">
        <f t="shared" ref="G24:AK24" si="13">AVERAGE(G73:G74)</f>
        <v>0</v>
      </c>
      <c r="H24" s="18">
        <f t="shared" si="13"/>
        <v>20.037116858237546</v>
      </c>
      <c r="I24" s="18">
        <f t="shared" si="13"/>
        <v>103.46254559616628</v>
      </c>
      <c r="J24" s="18">
        <f t="shared" si="13"/>
        <v>30.695633389598907</v>
      </c>
      <c r="K24" s="18">
        <f t="shared" si="13"/>
        <v>2.4621212121212119</v>
      </c>
      <c r="L24" s="18">
        <f t="shared" si="13"/>
        <v>2.8409090909090908</v>
      </c>
      <c r="M24" s="18">
        <f t="shared" si="13"/>
        <v>0</v>
      </c>
      <c r="N24" s="18">
        <f t="shared" si="13"/>
        <v>0</v>
      </c>
      <c r="O24" s="18">
        <f t="shared" si="13"/>
        <v>0</v>
      </c>
      <c r="P24" s="18">
        <f t="shared" si="13"/>
        <v>0</v>
      </c>
      <c r="Q24" s="18">
        <f t="shared" si="13"/>
        <v>0</v>
      </c>
      <c r="R24" s="18">
        <f t="shared" si="13"/>
        <v>0</v>
      </c>
      <c r="S24" s="18">
        <f t="shared" si="13"/>
        <v>0</v>
      </c>
      <c r="T24" s="18">
        <f t="shared" si="13"/>
        <v>0</v>
      </c>
      <c r="U24" s="18">
        <f t="shared" si="13"/>
        <v>0</v>
      </c>
      <c r="V24" s="18">
        <f t="shared" si="13"/>
        <v>0</v>
      </c>
      <c r="W24" s="18">
        <f t="shared" si="13"/>
        <v>0</v>
      </c>
      <c r="X24" s="18">
        <f t="shared" si="13"/>
        <v>0</v>
      </c>
      <c r="Y24" s="18">
        <f t="shared" si="13"/>
        <v>0</v>
      </c>
      <c r="Z24" s="18">
        <f t="shared" si="13"/>
        <v>0</v>
      </c>
      <c r="AA24" s="18">
        <f t="shared" si="13"/>
        <v>0</v>
      </c>
      <c r="AB24" s="18">
        <f t="shared" si="13"/>
        <v>0</v>
      </c>
      <c r="AC24" s="18">
        <f t="shared" si="13"/>
        <v>0</v>
      </c>
      <c r="AD24" s="18">
        <f t="shared" si="13"/>
        <v>0</v>
      </c>
      <c r="AE24" s="18">
        <f t="shared" si="13"/>
        <v>0</v>
      </c>
      <c r="AF24" s="18">
        <f t="shared" si="13"/>
        <v>0</v>
      </c>
      <c r="AG24" s="18">
        <f t="shared" si="13"/>
        <v>0</v>
      </c>
      <c r="AH24" s="18">
        <f t="shared" si="13"/>
        <v>0</v>
      </c>
      <c r="AI24" s="18">
        <f t="shared" si="13"/>
        <v>0</v>
      </c>
      <c r="AJ24" s="18">
        <f t="shared" si="13"/>
        <v>0</v>
      </c>
      <c r="AK24" s="18">
        <f t="shared" si="13"/>
        <v>0</v>
      </c>
      <c r="AL24" s="42"/>
      <c r="AM24" s="43">
        <v>8</v>
      </c>
      <c r="AN24">
        <v>95.023707662773319</v>
      </c>
      <c r="AO24">
        <v>15.685952420815152</v>
      </c>
      <c r="AP24">
        <v>123.80594940562281</v>
      </c>
      <c r="AQ24">
        <v>125.98678097487779</v>
      </c>
      <c r="AR24">
        <v>14.449960131932826</v>
      </c>
      <c r="AS24">
        <v>182.23780962997799</v>
      </c>
      <c r="AT24" t="e">
        <v>#DIV/0!</v>
      </c>
      <c r="AU24" t="e">
        <v>#DIV/0!</v>
      </c>
      <c r="AV24"/>
      <c r="AW24"/>
      <c r="FY24" s="213">
        <v>19</v>
      </c>
      <c r="FZ24">
        <v>43.502746687116648</v>
      </c>
      <c r="GA24">
        <v>53.093012426857278</v>
      </c>
      <c r="GB24">
        <v>6.6970595263399115</v>
      </c>
      <c r="GC24">
        <v>4.3143746376459289</v>
      </c>
      <c r="GD24">
        <v>1.7667642205598706</v>
      </c>
      <c r="GE24">
        <v>1.1591545968907018</v>
      </c>
      <c r="GF24">
        <v>4.7938306719821835</v>
      </c>
      <c r="GG24">
        <v>4.089735114088799</v>
      </c>
      <c r="GH24">
        <v>0</v>
      </c>
      <c r="GI24">
        <v>9.987803573253494</v>
      </c>
      <c r="GJ24"/>
      <c r="GK24"/>
      <c r="GL24"/>
      <c r="GM24"/>
      <c r="GN24" s="208"/>
      <c r="GO24" s="208"/>
      <c r="GP24" s="208"/>
      <c r="GQ24" s="208"/>
      <c r="GR24" s="208"/>
      <c r="GS24" s="208"/>
      <c r="GT24" s="208"/>
      <c r="GU24" s="213">
        <v>19</v>
      </c>
    </row>
    <row r="25" spans="1:203" s="7" customFormat="1">
      <c r="A25" s="4"/>
      <c r="B25" s="36"/>
      <c r="C25" s="48" t="s">
        <v>42</v>
      </c>
      <c r="D25" s="49">
        <f t="shared" si="8"/>
        <v>83.157467532467521</v>
      </c>
      <c r="E25" s="18">
        <f t="shared" si="9"/>
        <v>24</v>
      </c>
      <c r="F25" s="50"/>
      <c r="G25" s="18">
        <f t="shared" ref="G25:AK25" si="14">AVERAGE(G74:G75)</f>
        <v>0</v>
      </c>
      <c r="H25" s="18">
        <f t="shared" si="14"/>
        <v>10.274621212121211</v>
      </c>
      <c r="I25" s="18">
        <f t="shared" si="14"/>
        <v>50.223214285714278</v>
      </c>
      <c r="J25" s="18">
        <f t="shared" si="14"/>
        <v>15.652056277056275</v>
      </c>
      <c r="K25" s="18">
        <f t="shared" si="14"/>
        <v>4.545454545454545</v>
      </c>
      <c r="L25" s="18">
        <f t="shared" si="14"/>
        <v>1.4204545454545454</v>
      </c>
      <c r="M25" s="18">
        <f t="shared" si="14"/>
        <v>0</v>
      </c>
      <c r="N25" s="18">
        <f t="shared" si="14"/>
        <v>0</v>
      </c>
      <c r="O25" s="18">
        <f t="shared" si="14"/>
        <v>1.0416666666666665</v>
      </c>
      <c r="P25" s="18">
        <f t="shared" si="14"/>
        <v>0</v>
      </c>
      <c r="Q25" s="18">
        <f t="shared" si="14"/>
        <v>0</v>
      </c>
      <c r="R25" s="18">
        <f t="shared" si="14"/>
        <v>0</v>
      </c>
      <c r="S25" s="18">
        <f t="shared" si="14"/>
        <v>0</v>
      </c>
      <c r="T25" s="18">
        <f t="shared" si="14"/>
        <v>0</v>
      </c>
      <c r="U25" s="18">
        <f t="shared" si="14"/>
        <v>0</v>
      </c>
      <c r="V25" s="18">
        <f t="shared" si="14"/>
        <v>0</v>
      </c>
      <c r="W25" s="18">
        <f t="shared" si="14"/>
        <v>0</v>
      </c>
      <c r="X25" s="18">
        <f t="shared" si="14"/>
        <v>0</v>
      </c>
      <c r="Y25" s="18">
        <f t="shared" si="14"/>
        <v>0</v>
      </c>
      <c r="Z25" s="18">
        <f t="shared" si="14"/>
        <v>0</v>
      </c>
      <c r="AA25" s="18">
        <f t="shared" si="14"/>
        <v>0</v>
      </c>
      <c r="AB25" s="18">
        <f t="shared" si="14"/>
        <v>0</v>
      </c>
      <c r="AC25" s="18">
        <f t="shared" si="14"/>
        <v>0</v>
      </c>
      <c r="AD25" s="18">
        <f t="shared" si="14"/>
        <v>0</v>
      </c>
      <c r="AE25" s="18">
        <f t="shared" si="14"/>
        <v>0</v>
      </c>
      <c r="AF25" s="18">
        <f t="shared" si="14"/>
        <v>0</v>
      </c>
      <c r="AG25" s="18">
        <f t="shared" si="14"/>
        <v>0</v>
      </c>
      <c r="AH25" s="18">
        <f t="shared" si="14"/>
        <v>0</v>
      </c>
      <c r="AI25" s="18">
        <f t="shared" si="14"/>
        <v>0</v>
      </c>
      <c r="AJ25" s="18">
        <f t="shared" si="14"/>
        <v>0</v>
      </c>
      <c r="AK25" s="18">
        <f t="shared" si="14"/>
        <v>0</v>
      </c>
      <c r="AL25" s="42"/>
      <c r="AM25" s="43">
        <v>9</v>
      </c>
      <c r="AN25">
        <v>97.057117832396742</v>
      </c>
      <c r="AO25">
        <v>15.368917923638634</v>
      </c>
      <c r="AP25">
        <v>99.095456851401423</v>
      </c>
      <c r="AQ25">
        <v>121.74168168030859</v>
      </c>
      <c r="AR25">
        <v>14.095648357063787</v>
      </c>
      <c r="AS25">
        <v>180.76502293497768</v>
      </c>
      <c r="AT25">
        <v>9.2344533013143941</v>
      </c>
      <c r="AU25">
        <v>14.793393830840291</v>
      </c>
      <c r="AV25"/>
      <c r="AW25"/>
      <c r="FY25" s="213">
        <v>20</v>
      </c>
      <c r="FZ25">
        <v>27.596027034235149</v>
      </c>
      <c r="GA25">
        <v>42.995913564535343</v>
      </c>
      <c r="GB25">
        <v>13.967518492120309</v>
      </c>
      <c r="GC25">
        <v>6.0483918362223799</v>
      </c>
      <c r="GD25">
        <v>1.9464724035330998</v>
      </c>
      <c r="GE25">
        <v>1.8478621787300997</v>
      </c>
      <c r="GF25">
        <v>2.3489091919276563</v>
      </c>
      <c r="GG25">
        <v>1.4589191978301796</v>
      </c>
      <c r="GH25">
        <v>0.60080431445180338</v>
      </c>
      <c r="GI25">
        <v>9.267019323908098</v>
      </c>
      <c r="GJ25"/>
      <c r="GK25"/>
      <c r="GL25"/>
      <c r="GM25"/>
      <c r="GN25" s="208"/>
      <c r="GO25" s="208"/>
      <c r="GP25" s="208"/>
      <c r="GQ25" s="208"/>
      <c r="GR25" s="208"/>
      <c r="GS25" s="208"/>
      <c r="GT25" s="208"/>
      <c r="GU25" s="213">
        <v>20</v>
      </c>
    </row>
    <row r="26" spans="1:203" s="7" customFormat="1">
      <c r="A26" s="4"/>
      <c r="B26" s="36"/>
      <c r="C26" s="48" t="s">
        <v>118</v>
      </c>
      <c r="D26" s="49">
        <f t="shared" si="8"/>
        <v>38.616071428571423</v>
      </c>
      <c r="E26" s="18">
        <f t="shared" si="9"/>
        <v>48</v>
      </c>
      <c r="F26" s="50"/>
      <c r="G26" s="18">
        <f t="shared" ref="G26:AK26" si="15">AVERAGE(G75:G76)</f>
        <v>0</v>
      </c>
      <c r="H26" s="18">
        <f t="shared" si="15"/>
        <v>8.3333333333333321</v>
      </c>
      <c r="I26" s="18">
        <f t="shared" si="15"/>
        <v>16.666666666666664</v>
      </c>
      <c r="J26" s="18">
        <f t="shared" si="15"/>
        <v>8.9285714285714288</v>
      </c>
      <c r="K26" s="18">
        <f t="shared" si="15"/>
        <v>3.645833333333333</v>
      </c>
      <c r="L26" s="18">
        <f t="shared" si="15"/>
        <v>0</v>
      </c>
      <c r="M26" s="18">
        <f t="shared" si="15"/>
        <v>0</v>
      </c>
      <c r="N26" s="18">
        <f t="shared" si="15"/>
        <v>0</v>
      </c>
      <c r="O26" s="18">
        <f t="shared" si="15"/>
        <v>1.0416666666666665</v>
      </c>
      <c r="P26" s="18">
        <f t="shared" si="15"/>
        <v>0</v>
      </c>
      <c r="Q26" s="18">
        <f t="shared" si="15"/>
        <v>0</v>
      </c>
      <c r="R26" s="18">
        <f t="shared" si="15"/>
        <v>0</v>
      </c>
      <c r="S26" s="18">
        <f t="shared" si="15"/>
        <v>0</v>
      </c>
      <c r="T26" s="18">
        <f t="shared" si="15"/>
        <v>0</v>
      </c>
      <c r="U26" s="18">
        <f t="shared" si="15"/>
        <v>0</v>
      </c>
      <c r="V26" s="18">
        <f t="shared" si="15"/>
        <v>0</v>
      </c>
      <c r="W26" s="18">
        <f t="shared" si="15"/>
        <v>0</v>
      </c>
      <c r="X26" s="18">
        <f t="shared" si="15"/>
        <v>0</v>
      </c>
      <c r="Y26" s="18">
        <f t="shared" si="15"/>
        <v>0</v>
      </c>
      <c r="Z26" s="18">
        <f t="shared" si="15"/>
        <v>0</v>
      </c>
      <c r="AA26" s="18">
        <f t="shared" si="15"/>
        <v>0</v>
      </c>
      <c r="AB26" s="18">
        <f t="shared" si="15"/>
        <v>0</v>
      </c>
      <c r="AC26" s="18">
        <f t="shared" si="15"/>
        <v>0</v>
      </c>
      <c r="AD26" s="18">
        <f t="shared" si="15"/>
        <v>0</v>
      </c>
      <c r="AE26" s="18">
        <f t="shared" si="15"/>
        <v>0</v>
      </c>
      <c r="AF26" s="18">
        <f t="shared" si="15"/>
        <v>0</v>
      </c>
      <c r="AG26" s="18">
        <f t="shared" si="15"/>
        <v>0</v>
      </c>
      <c r="AH26" s="18">
        <f t="shared" si="15"/>
        <v>0</v>
      </c>
      <c r="AI26" s="18">
        <f t="shared" si="15"/>
        <v>0</v>
      </c>
      <c r="AJ26" s="18">
        <f t="shared" si="15"/>
        <v>0</v>
      </c>
      <c r="AK26" s="18">
        <f t="shared" si="15"/>
        <v>0</v>
      </c>
      <c r="AL26" s="42"/>
      <c r="AM26" s="43">
        <v>10</v>
      </c>
      <c r="AN26">
        <v>62.184411959228136</v>
      </c>
      <c r="AO26">
        <v>8.3595115315162349</v>
      </c>
      <c r="AP26">
        <v>66.277495173039995</v>
      </c>
      <c r="AQ26">
        <v>67.338645280405999</v>
      </c>
      <c r="AR26">
        <v>7.6991518675028967</v>
      </c>
      <c r="AS26">
        <v>105.62170983460072</v>
      </c>
      <c r="AT26">
        <v>5.4279755310459628</v>
      </c>
      <c r="AU26">
        <v>30.580987527980156</v>
      </c>
      <c r="AV26"/>
      <c r="AW26"/>
      <c r="FY26" s="213">
        <v>21</v>
      </c>
      <c r="FZ26">
        <v>33.199818265782469</v>
      </c>
      <c r="GA26">
        <v>40.666583160843395</v>
      </c>
      <c r="GB26">
        <v>5.6306617398220924</v>
      </c>
      <c r="GC26">
        <v>3.9980363800267997</v>
      </c>
      <c r="GD26">
        <v>2.0819814113607462</v>
      </c>
      <c r="GE26">
        <v>1.7485951579712149</v>
      </c>
      <c r="GF26">
        <v>4.6845560890703615</v>
      </c>
      <c r="GG26">
        <v>3.7349519280509038</v>
      </c>
      <c r="GH26">
        <v>0</v>
      </c>
      <c r="GI26">
        <v>8.4299747287114837</v>
      </c>
      <c r="GJ26"/>
      <c r="GK26"/>
      <c r="GL26"/>
      <c r="GM26"/>
      <c r="GN26" s="208"/>
      <c r="GO26" s="208"/>
      <c r="GP26" s="208"/>
      <c r="GQ26" s="208"/>
      <c r="GR26" s="208"/>
      <c r="GS26" s="208"/>
      <c r="GT26" s="208"/>
      <c r="GU26" s="213">
        <v>21</v>
      </c>
    </row>
    <row r="27" spans="1:203" s="7" customFormat="1">
      <c r="A27" s="4"/>
      <c r="B27" s="1"/>
      <c r="C27" s="48" t="s">
        <v>119</v>
      </c>
      <c r="D27" s="49">
        <f>SUM(G27:AK27)</f>
        <v>2.083333333333333</v>
      </c>
      <c r="E27" s="18">
        <f>C11-C10</f>
        <v>63</v>
      </c>
      <c r="F27" s="50"/>
      <c r="G27" s="18">
        <f t="shared" ref="G27:AK29" si="16">AVERAGE(G76:G77)</f>
        <v>0</v>
      </c>
      <c r="H27" s="18">
        <f t="shared" si="16"/>
        <v>0</v>
      </c>
      <c r="I27" s="18">
        <f t="shared" si="16"/>
        <v>0</v>
      </c>
      <c r="J27" s="18">
        <f t="shared" si="16"/>
        <v>0.52083333333333326</v>
      </c>
      <c r="K27" s="18">
        <f t="shared" si="16"/>
        <v>1.5624999999999998</v>
      </c>
      <c r="L27" s="18">
        <f t="shared" si="16"/>
        <v>0</v>
      </c>
      <c r="M27" s="18">
        <f t="shared" si="16"/>
        <v>0</v>
      </c>
      <c r="N27" s="18">
        <f t="shared" si="16"/>
        <v>0</v>
      </c>
      <c r="O27" s="18">
        <f t="shared" si="16"/>
        <v>0</v>
      </c>
      <c r="P27" s="18">
        <f t="shared" si="16"/>
        <v>0</v>
      </c>
      <c r="Q27" s="18">
        <f t="shared" si="16"/>
        <v>0</v>
      </c>
      <c r="R27" s="18">
        <f t="shared" si="16"/>
        <v>0</v>
      </c>
      <c r="S27" s="18">
        <f t="shared" si="16"/>
        <v>0</v>
      </c>
      <c r="T27" s="18">
        <f t="shared" si="16"/>
        <v>0</v>
      </c>
      <c r="U27" s="18">
        <f t="shared" si="16"/>
        <v>0</v>
      </c>
      <c r="V27" s="18">
        <f t="shared" si="16"/>
        <v>0</v>
      </c>
      <c r="W27" s="18">
        <f t="shared" si="16"/>
        <v>0</v>
      </c>
      <c r="X27" s="18">
        <f t="shared" si="16"/>
        <v>0</v>
      </c>
      <c r="Y27" s="18">
        <f t="shared" si="16"/>
        <v>0</v>
      </c>
      <c r="Z27" s="18">
        <f t="shared" si="16"/>
        <v>0</v>
      </c>
      <c r="AA27" s="18">
        <f t="shared" si="16"/>
        <v>0</v>
      </c>
      <c r="AB27" s="18">
        <f t="shared" si="16"/>
        <v>0</v>
      </c>
      <c r="AC27" s="18">
        <f t="shared" si="16"/>
        <v>0</v>
      </c>
      <c r="AD27" s="18">
        <f t="shared" si="16"/>
        <v>0</v>
      </c>
      <c r="AE27" s="18">
        <f t="shared" si="16"/>
        <v>0</v>
      </c>
      <c r="AF27" s="18">
        <f t="shared" si="16"/>
        <v>0</v>
      </c>
      <c r="AG27" s="18">
        <f t="shared" si="16"/>
        <v>0</v>
      </c>
      <c r="AH27" s="18">
        <f t="shared" si="16"/>
        <v>0</v>
      </c>
      <c r="AI27" s="18">
        <f t="shared" si="16"/>
        <v>0</v>
      </c>
      <c r="AJ27" s="18">
        <f t="shared" si="16"/>
        <v>0</v>
      </c>
      <c r="AK27" s="18">
        <f t="shared" si="16"/>
        <v>0</v>
      </c>
      <c r="AL27" s="42"/>
      <c r="AM27" s="43">
        <v>11</v>
      </c>
      <c r="AN27">
        <v>101.64929636605601</v>
      </c>
      <c r="AO27">
        <v>16.015645135611074</v>
      </c>
      <c r="AP27">
        <v>91.686166273689821</v>
      </c>
      <c r="AQ27">
        <v>127.5465384265575</v>
      </c>
      <c r="AR27">
        <v>14.728129002254081</v>
      </c>
      <c r="AS27">
        <v>174.94434804048586</v>
      </c>
      <c r="AT27">
        <v>9.6645098228351767</v>
      </c>
      <c r="AU27">
        <v>13.746153666590343</v>
      </c>
      <c r="AV27"/>
      <c r="AW27"/>
      <c r="FY27" s="213">
        <v>22</v>
      </c>
      <c r="FZ27">
        <v>9.2286298569028009</v>
      </c>
      <c r="GA27">
        <v>9.8274276180166993</v>
      </c>
      <c r="GB27">
        <v>9.1934380953019303</v>
      </c>
      <c r="GC27">
        <v>5.7125697206039892</v>
      </c>
      <c r="GD27">
        <v>1.4495929024130418</v>
      </c>
      <c r="GE27">
        <v>1.8368296526929091</v>
      </c>
      <c r="GF27">
        <v>2.3299301022776451</v>
      </c>
      <c r="GG27">
        <v>3.043555750694737</v>
      </c>
      <c r="GH27">
        <v>3.9635865694175694</v>
      </c>
      <c r="GI27">
        <v>5.6133375529502665</v>
      </c>
      <c r="GJ27"/>
      <c r="GK27"/>
      <c r="GL27"/>
      <c r="GM27"/>
      <c r="GN27" s="208"/>
      <c r="GO27" s="208"/>
      <c r="GP27" s="208"/>
      <c r="GQ27" s="208"/>
      <c r="GR27" s="208"/>
      <c r="GS27" s="208"/>
      <c r="GT27" s="208"/>
      <c r="GU27" s="213">
        <v>22</v>
      </c>
    </row>
    <row r="28" spans="1:203" s="7" customFormat="1">
      <c r="A28" s="51"/>
      <c r="B28" s="1"/>
      <c r="C28" s="48" t="s">
        <v>120</v>
      </c>
      <c r="D28" s="49">
        <f>SUM(G28:AK28)</f>
        <v>19.965277777777779</v>
      </c>
      <c r="E28" s="18">
        <f>C12-C11</f>
        <v>39</v>
      </c>
      <c r="F28" s="50"/>
      <c r="G28" s="18">
        <f t="shared" si="16"/>
        <v>0</v>
      </c>
      <c r="H28" s="18">
        <f t="shared" si="16"/>
        <v>0</v>
      </c>
      <c r="I28" s="18">
        <f t="shared" si="16"/>
        <v>12.152777777777777</v>
      </c>
      <c r="J28" s="18">
        <f t="shared" si="16"/>
        <v>0.52083333333333326</v>
      </c>
      <c r="K28" s="18">
        <f t="shared" si="16"/>
        <v>2.6041666666666665</v>
      </c>
      <c r="L28" s="18">
        <f t="shared" si="16"/>
        <v>0</v>
      </c>
      <c r="M28" s="18">
        <f t="shared" si="16"/>
        <v>4.6875</v>
      </c>
      <c r="N28" s="18">
        <f t="shared" si="16"/>
        <v>0</v>
      </c>
      <c r="O28" s="18">
        <f t="shared" si="16"/>
        <v>0</v>
      </c>
      <c r="P28" s="18">
        <f t="shared" si="16"/>
        <v>0</v>
      </c>
      <c r="Q28" s="18">
        <f t="shared" si="16"/>
        <v>0</v>
      </c>
      <c r="R28" s="18">
        <f t="shared" si="16"/>
        <v>0</v>
      </c>
      <c r="S28" s="18">
        <f t="shared" si="16"/>
        <v>0</v>
      </c>
      <c r="T28" s="18">
        <f t="shared" si="16"/>
        <v>0</v>
      </c>
      <c r="U28" s="18">
        <f t="shared" si="16"/>
        <v>0</v>
      </c>
      <c r="V28" s="18">
        <f t="shared" si="16"/>
        <v>0</v>
      </c>
      <c r="W28" s="18">
        <f t="shared" si="16"/>
        <v>0</v>
      </c>
      <c r="X28" s="18">
        <f t="shared" si="16"/>
        <v>0</v>
      </c>
      <c r="Y28" s="18">
        <f t="shared" si="16"/>
        <v>0</v>
      </c>
      <c r="Z28" s="18">
        <f t="shared" si="16"/>
        <v>0</v>
      </c>
      <c r="AA28" s="18">
        <f t="shared" si="16"/>
        <v>0</v>
      </c>
      <c r="AB28" s="18">
        <f t="shared" si="16"/>
        <v>0</v>
      </c>
      <c r="AC28" s="18">
        <f t="shared" si="16"/>
        <v>0</v>
      </c>
      <c r="AD28" s="18">
        <f t="shared" si="16"/>
        <v>0</v>
      </c>
      <c r="AE28" s="18">
        <f t="shared" si="16"/>
        <v>0</v>
      </c>
      <c r="AF28" s="18">
        <f t="shared" si="16"/>
        <v>0</v>
      </c>
      <c r="AG28" s="18">
        <f t="shared" si="16"/>
        <v>0</v>
      </c>
      <c r="AH28" s="18">
        <f t="shared" si="16"/>
        <v>0</v>
      </c>
      <c r="AI28" s="18">
        <f t="shared" si="16"/>
        <v>0</v>
      </c>
      <c r="AJ28" s="18">
        <f t="shared" si="16"/>
        <v>0</v>
      </c>
      <c r="AK28" s="18">
        <f t="shared" si="16"/>
        <v>0</v>
      </c>
      <c r="AL28" s="42"/>
      <c r="AM28" s="43">
        <v>12</v>
      </c>
      <c r="AN28">
        <v>84.109754916924047</v>
      </c>
      <c r="AO28">
        <v>11.617955954689963</v>
      </c>
      <c r="AP28">
        <v>78.726477553614401</v>
      </c>
      <c r="AQ28">
        <v>92.003095712073929</v>
      </c>
      <c r="AR28">
        <v>10.634506425433635</v>
      </c>
      <c r="AS28">
        <v>129.78872804284376</v>
      </c>
      <c r="AT28" t="e">
        <v>#DIV/0!</v>
      </c>
      <c r="AU28" t="e">
        <v>#DIV/0!</v>
      </c>
      <c r="AV28"/>
      <c r="AW28"/>
      <c r="FY28" s="213">
        <v>23</v>
      </c>
      <c r="FZ28">
        <v>15.948132568278057</v>
      </c>
      <c r="GA28">
        <v>20.314318039862883</v>
      </c>
      <c r="GB28">
        <v>8.0894891646001827</v>
      </c>
      <c r="GC28">
        <v>5.4185743272087068</v>
      </c>
      <c r="GD28">
        <v>2.4311175032670884</v>
      </c>
      <c r="GE28">
        <v>2.2228142796709034</v>
      </c>
      <c r="GF28">
        <v>2.9565507120826604</v>
      </c>
      <c r="GG28">
        <v>3.5892267616474922</v>
      </c>
      <c r="GH28">
        <v>2.1611736260621592</v>
      </c>
      <c r="GI28">
        <v>6.6674799637634345</v>
      </c>
      <c r="GJ28"/>
      <c r="GK28"/>
      <c r="GL28"/>
      <c r="GM28"/>
      <c r="GN28" s="208"/>
      <c r="GO28" s="208"/>
      <c r="GP28" s="208"/>
      <c r="GQ28" s="208"/>
      <c r="GR28" s="208"/>
      <c r="GS28" s="208"/>
      <c r="GT28" s="208"/>
      <c r="GU28" s="213">
        <v>23</v>
      </c>
    </row>
    <row r="29" spans="1:203" s="7" customFormat="1">
      <c r="A29" s="51"/>
      <c r="B29" s="1"/>
      <c r="C29" s="48" t="s">
        <v>121</v>
      </c>
      <c r="D29" s="49">
        <f>SUM(G29:AK29)</f>
        <v>19.444444444444446</v>
      </c>
      <c r="E29" s="18">
        <f>C13-C12</f>
        <v>38</v>
      </c>
      <c r="F29" s="50"/>
      <c r="G29" s="18">
        <f t="shared" si="16"/>
        <v>0</v>
      </c>
      <c r="H29" s="18">
        <f t="shared" si="16"/>
        <v>0</v>
      </c>
      <c r="I29" s="18">
        <f t="shared" si="16"/>
        <v>12.152777777777777</v>
      </c>
      <c r="J29" s="18">
        <f t="shared" si="16"/>
        <v>0</v>
      </c>
      <c r="K29" s="18">
        <f t="shared" si="16"/>
        <v>1.5625</v>
      </c>
      <c r="L29" s="18">
        <f t="shared" si="16"/>
        <v>0</v>
      </c>
      <c r="M29" s="18">
        <f t="shared" si="16"/>
        <v>4.6875</v>
      </c>
      <c r="N29" s="18">
        <f t="shared" si="16"/>
        <v>1.0416666666666665</v>
      </c>
      <c r="O29" s="18">
        <f t="shared" si="16"/>
        <v>0</v>
      </c>
      <c r="P29" s="18">
        <f t="shared" si="16"/>
        <v>0</v>
      </c>
      <c r="Q29" s="18">
        <f t="shared" si="16"/>
        <v>0</v>
      </c>
      <c r="R29" s="18">
        <f t="shared" si="16"/>
        <v>0</v>
      </c>
      <c r="S29" s="18">
        <f t="shared" si="16"/>
        <v>0</v>
      </c>
      <c r="T29" s="18">
        <f t="shared" si="16"/>
        <v>0</v>
      </c>
      <c r="U29" s="18">
        <f t="shared" si="16"/>
        <v>0</v>
      </c>
      <c r="V29" s="18">
        <f t="shared" si="16"/>
        <v>0</v>
      </c>
      <c r="W29" s="18">
        <f t="shared" si="16"/>
        <v>0</v>
      </c>
      <c r="X29" s="18">
        <f t="shared" si="16"/>
        <v>0</v>
      </c>
      <c r="Y29" s="18">
        <f t="shared" si="16"/>
        <v>0</v>
      </c>
      <c r="Z29" s="18">
        <f t="shared" si="16"/>
        <v>0</v>
      </c>
      <c r="AA29" s="18">
        <f t="shared" si="16"/>
        <v>0</v>
      </c>
      <c r="AB29" s="18">
        <f t="shared" si="16"/>
        <v>0</v>
      </c>
      <c r="AC29" s="18">
        <f t="shared" si="16"/>
        <v>0</v>
      </c>
      <c r="AD29" s="18">
        <f t="shared" si="16"/>
        <v>0</v>
      </c>
      <c r="AE29" s="18">
        <f t="shared" si="16"/>
        <v>0</v>
      </c>
      <c r="AF29" s="18">
        <f t="shared" si="16"/>
        <v>0</v>
      </c>
      <c r="AG29" s="18">
        <f t="shared" si="16"/>
        <v>0</v>
      </c>
      <c r="AH29" s="18">
        <f t="shared" si="16"/>
        <v>0</v>
      </c>
      <c r="AI29" s="18">
        <f t="shared" si="16"/>
        <v>0</v>
      </c>
      <c r="AJ29" s="18">
        <f t="shared" si="16"/>
        <v>0</v>
      </c>
      <c r="AK29" s="18">
        <f t="shared" si="16"/>
        <v>0</v>
      </c>
      <c r="AL29" s="42"/>
      <c r="AM29" s="43">
        <v>13</v>
      </c>
      <c r="AN29">
        <v>92.819886172491408</v>
      </c>
      <c r="AO29">
        <v>10.727545644906199</v>
      </c>
      <c r="AP29">
        <v>56.433610545549058</v>
      </c>
      <c r="AQ29">
        <v>79.181518576971996</v>
      </c>
      <c r="AR29">
        <v>9.9290582300017558</v>
      </c>
      <c r="AS29">
        <v>141.13502294123518</v>
      </c>
      <c r="AT29">
        <v>6.8484810064208856</v>
      </c>
      <c r="AU29">
        <v>14.987924748480786</v>
      </c>
      <c r="AV29"/>
      <c r="AW29"/>
      <c r="FY29" s="213">
        <v>24</v>
      </c>
      <c r="FZ29">
        <v>31.207754962662619</v>
      </c>
      <c r="GA29">
        <v>38.517099312134562</v>
      </c>
      <c r="GB29">
        <v>10.515732955935936</v>
      </c>
      <c r="GC29">
        <v>6.000159034517675</v>
      </c>
      <c r="GD29">
        <v>1.818196262928568</v>
      </c>
      <c r="GE29">
        <v>2.0329158640534599</v>
      </c>
      <c r="GF29">
        <v>3.9731599888033986</v>
      </c>
      <c r="GG29">
        <v>3.1019349267785099</v>
      </c>
      <c r="GH29">
        <v>0</v>
      </c>
      <c r="GI29">
        <v>9.0334791544148647</v>
      </c>
      <c r="GJ29"/>
      <c r="GK29"/>
      <c r="GL29"/>
      <c r="GM29"/>
      <c r="GN29" s="208"/>
      <c r="GO29" s="208"/>
      <c r="GP29" s="208"/>
      <c r="GQ29" s="208"/>
      <c r="GR29" s="208"/>
      <c r="GS29" s="208"/>
      <c r="GT29" s="208"/>
      <c r="GU29" s="213">
        <v>24</v>
      </c>
    </row>
    <row r="30" spans="1:203" s="7" customFormat="1">
      <c r="A30" s="51"/>
      <c r="B30" s="1"/>
      <c r="C30" s="48" t="s">
        <v>122</v>
      </c>
      <c r="D30" s="49">
        <f>SUM(G30:AK30)</f>
        <v>55.656376247147037</v>
      </c>
      <c r="E30" s="18">
        <v>24</v>
      </c>
      <c r="F30" s="50"/>
      <c r="G30" s="18">
        <f>AVERAGE(G70:G79)</f>
        <v>0</v>
      </c>
      <c r="H30" s="18">
        <f t="shared" ref="H30:AK30" si="17">AVERAGE(H70:H79)</f>
        <v>5.6740900383141755</v>
      </c>
      <c r="I30" s="18">
        <f t="shared" si="17"/>
        <v>31.039731341455479</v>
      </c>
      <c r="J30" s="18">
        <f t="shared" si="17"/>
        <v>11.527782140104655</v>
      </c>
      <c r="K30" s="18">
        <f t="shared" si="17"/>
        <v>4.3465909090909083</v>
      </c>
      <c r="L30" s="18">
        <f t="shared" si="17"/>
        <v>1.4015151515151516</v>
      </c>
      <c r="M30" s="18">
        <f t="shared" si="17"/>
        <v>1.25</v>
      </c>
      <c r="N30" s="18">
        <f t="shared" si="17"/>
        <v>0.20833333333333331</v>
      </c>
      <c r="O30" s="18">
        <f t="shared" si="17"/>
        <v>0.20833333333333331</v>
      </c>
      <c r="P30" s="18">
        <f t="shared" si="17"/>
        <v>0</v>
      </c>
      <c r="Q30" s="18">
        <f t="shared" si="17"/>
        <v>0</v>
      </c>
      <c r="R30" s="18">
        <f t="shared" si="17"/>
        <v>0</v>
      </c>
      <c r="S30" s="18">
        <f t="shared" si="17"/>
        <v>0</v>
      </c>
      <c r="T30" s="18">
        <f t="shared" si="17"/>
        <v>0</v>
      </c>
      <c r="U30" s="18">
        <f t="shared" si="17"/>
        <v>0</v>
      </c>
      <c r="V30" s="18">
        <f t="shared" si="17"/>
        <v>0</v>
      </c>
      <c r="W30" s="18">
        <f t="shared" si="17"/>
        <v>0</v>
      </c>
      <c r="X30" s="18">
        <f t="shared" si="17"/>
        <v>0</v>
      </c>
      <c r="Y30" s="18">
        <f t="shared" si="17"/>
        <v>0</v>
      </c>
      <c r="Z30" s="18">
        <f t="shared" si="17"/>
        <v>0</v>
      </c>
      <c r="AA30" s="18">
        <f t="shared" si="17"/>
        <v>0</v>
      </c>
      <c r="AB30" s="18">
        <f t="shared" si="17"/>
        <v>0</v>
      </c>
      <c r="AC30" s="18">
        <f t="shared" si="17"/>
        <v>0</v>
      </c>
      <c r="AD30" s="18">
        <f t="shared" si="17"/>
        <v>0</v>
      </c>
      <c r="AE30" s="18">
        <f t="shared" si="17"/>
        <v>0</v>
      </c>
      <c r="AF30" s="18">
        <f t="shared" si="17"/>
        <v>0</v>
      </c>
      <c r="AG30" s="18">
        <f t="shared" si="17"/>
        <v>0</v>
      </c>
      <c r="AH30" s="18">
        <f t="shared" si="17"/>
        <v>0</v>
      </c>
      <c r="AI30" s="18">
        <f t="shared" si="17"/>
        <v>0</v>
      </c>
      <c r="AJ30" s="18">
        <f t="shared" si="17"/>
        <v>0</v>
      </c>
      <c r="AK30" s="18">
        <f t="shared" si="17"/>
        <v>0</v>
      </c>
      <c r="AL30" s="42"/>
      <c r="AM30" s="43">
        <v>14</v>
      </c>
      <c r="AN30">
        <v>101.96355058269992</v>
      </c>
      <c r="AO30">
        <v>13.03256329448871</v>
      </c>
      <c r="AP30">
        <v>86.015073334913481</v>
      </c>
      <c r="AQ30">
        <v>105.89503667431447</v>
      </c>
      <c r="AR30">
        <v>12.040346983504545</v>
      </c>
      <c r="AS30">
        <v>165.17124456755832</v>
      </c>
      <c r="AT30" t="e">
        <v>#DIV/0!</v>
      </c>
      <c r="AU30" t="e">
        <v>#DIV/0!</v>
      </c>
      <c r="AV30"/>
      <c r="AW30"/>
      <c r="FY30" s="213">
        <v>25</v>
      </c>
      <c r="FZ30">
        <v>10.289755350586182</v>
      </c>
      <c r="GA30">
        <v>11.4546498576634</v>
      </c>
      <c r="GB30">
        <v>6.3087034778397895</v>
      </c>
      <c r="GC30">
        <v>5.1153187727322713</v>
      </c>
      <c r="GD30">
        <v>2.3462825562384695</v>
      </c>
      <c r="GE30">
        <v>1.9043336714224113</v>
      </c>
      <c r="GF30">
        <v>0.43366364108080679</v>
      </c>
      <c r="GG30">
        <v>1.4324448482562864</v>
      </c>
      <c r="GH30">
        <v>2.1611736260621592</v>
      </c>
      <c r="GI30">
        <v>4.8570561883718186</v>
      </c>
      <c r="GJ30"/>
      <c r="GK30"/>
      <c r="GL30"/>
      <c r="GM30"/>
      <c r="GN30" s="208"/>
      <c r="GO30" s="208"/>
      <c r="GP30" s="208"/>
      <c r="GQ30" s="208"/>
      <c r="GR30" s="208"/>
      <c r="GS30" s="208"/>
      <c r="GT30" s="208"/>
      <c r="GU30" s="213">
        <v>25</v>
      </c>
    </row>
    <row r="31" spans="1:203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77.921603803988432</v>
      </c>
      <c r="AO31">
        <v>10.639591475921611</v>
      </c>
      <c r="AP31">
        <v>58.713627216062015</v>
      </c>
      <c r="AQ31">
        <v>81.02482665171047</v>
      </c>
      <c r="AR31">
        <v>9.8536188354885823</v>
      </c>
      <c r="AS31">
        <v>120.73652769860219</v>
      </c>
      <c r="AT31" t="e">
        <v>#DIV/0!</v>
      </c>
      <c r="AU31" t="e">
        <v>#DIV/0!</v>
      </c>
      <c r="AV31"/>
      <c r="AW31"/>
      <c r="FY31" s="213">
        <v>26</v>
      </c>
      <c r="FZ31">
        <v>37.553046402304815</v>
      </c>
      <c r="GA31">
        <v>43.121185521188558</v>
      </c>
      <c r="GB31">
        <v>8.5244188162010062</v>
      </c>
      <c r="GC31">
        <v>6.4491995786876375</v>
      </c>
      <c r="GD31">
        <v>2.737733310518645</v>
      </c>
      <c r="GE31">
        <v>2.8241502412583452</v>
      </c>
      <c r="GF31">
        <v>2.0488363504574849</v>
      </c>
      <c r="GG31">
        <v>2.7488786276224295</v>
      </c>
      <c r="GH31">
        <v>3.3627822549657664</v>
      </c>
      <c r="GI31">
        <v>10.197507207575796</v>
      </c>
      <c r="GJ31"/>
      <c r="GK31"/>
      <c r="GL31"/>
      <c r="GM31"/>
      <c r="GN31" s="208"/>
      <c r="GO31" s="208"/>
      <c r="GP31" s="208"/>
      <c r="GQ31" s="208"/>
      <c r="GR31" s="208"/>
      <c r="GS31" s="208"/>
      <c r="GT31" s="208"/>
      <c r="GU31" s="213">
        <v>26</v>
      </c>
    </row>
    <row r="32" spans="1:203" s="7" customFormat="1">
      <c r="A32" s="51"/>
      <c r="B32" s="1"/>
      <c r="C32" s="52" t="s">
        <v>43</v>
      </c>
      <c r="D32" s="53">
        <f>AVERAGE(D21:D31)</f>
        <v>58.409513871861733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95.716087588881692</v>
      </c>
      <c r="AO32">
        <v>14.322379960519649</v>
      </c>
      <c r="AP32">
        <v>97.031793153435615</v>
      </c>
      <c r="AQ32">
        <v>117.48125894358496</v>
      </c>
      <c r="AR32">
        <v>13.21034880439146</v>
      </c>
      <c r="AS32">
        <v>198.06368865316247</v>
      </c>
      <c r="AT32">
        <v>8.9517246164986339</v>
      </c>
      <c r="AU32">
        <v>29.544384432917223</v>
      </c>
      <c r="AV32"/>
      <c r="AW32"/>
      <c r="FY32" s="213">
        <v>27</v>
      </c>
      <c r="FZ32">
        <v>19.982114519205162</v>
      </c>
      <c r="GA32">
        <v>25.013898653012461</v>
      </c>
      <c r="GB32">
        <v>7.0164778224012236</v>
      </c>
      <c r="GC32">
        <v>4.3906495821064935</v>
      </c>
      <c r="GD32">
        <v>2.3755178839876399</v>
      </c>
      <c r="GE32">
        <v>3.002160572456281</v>
      </c>
      <c r="GF32">
        <v>4.4347713292146995</v>
      </c>
      <c r="GG32">
        <v>5.94936573424848</v>
      </c>
      <c r="GH32">
        <v>3.1207386232207117</v>
      </c>
      <c r="GI32">
        <v>7.420485197129258</v>
      </c>
      <c r="GJ32"/>
      <c r="GK32"/>
      <c r="GL32"/>
      <c r="GM32"/>
      <c r="GN32" s="208"/>
      <c r="GO32" s="208"/>
      <c r="GP32" s="208"/>
      <c r="GQ32" s="208"/>
      <c r="GR32" s="208"/>
      <c r="GS32" s="208"/>
      <c r="GT32" s="208"/>
      <c r="GU32" s="213">
        <v>27</v>
      </c>
    </row>
    <row r="33" spans="1:203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66.086805555555557</v>
      </c>
      <c r="AO33">
        <v>8.0171175161742223</v>
      </c>
      <c r="AP33">
        <v>74.228587180540956</v>
      </c>
      <c r="AQ33">
        <v>49.310137553145864</v>
      </c>
      <c r="AR33">
        <v>7.4567402573114903</v>
      </c>
      <c r="AS33">
        <v>94.404913741753134</v>
      </c>
      <c r="AT33" t="e">
        <v>#DIV/0!</v>
      </c>
      <c r="AU33" t="e">
        <v>#DIV/0!</v>
      </c>
      <c r="AV33"/>
      <c r="AW33"/>
      <c r="FY33" s="213">
        <v>28</v>
      </c>
      <c r="FZ33">
        <v>19.902722601167806</v>
      </c>
      <c r="GA33">
        <v>22.667054875534404</v>
      </c>
      <c r="GB33">
        <v>6.9872991122155721</v>
      </c>
      <c r="GC33">
        <v>6.2281498740653385</v>
      </c>
      <c r="GD33">
        <v>3.0492051029204843</v>
      </c>
      <c r="GE33">
        <v>2.4649266911586194</v>
      </c>
      <c r="GF33">
        <v>2.4981177885542998</v>
      </c>
      <c r="GG33">
        <v>4.5283927986001045</v>
      </c>
      <c r="GH33">
        <v>4.3223472521243185</v>
      </c>
      <c r="GI33">
        <v>7.6309141793361013</v>
      </c>
      <c r="GJ33"/>
      <c r="GK33"/>
      <c r="GL33"/>
      <c r="GM33"/>
      <c r="GN33" s="208"/>
      <c r="GO33" s="208"/>
      <c r="GP33" s="208"/>
      <c r="GQ33" s="208"/>
      <c r="GR33" s="208"/>
      <c r="GS33" s="208"/>
      <c r="GT33" s="208"/>
      <c r="GU33" s="213">
        <v>28</v>
      </c>
    </row>
    <row r="34" spans="1:203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61.275285947712419</v>
      </c>
      <c r="AO34">
        <v>8.0524911953366427</v>
      </c>
      <c r="AP34">
        <v>40.592060274000708</v>
      </c>
      <c r="AQ34">
        <v>57.096862807201404</v>
      </c>
      <c r="AR34">
        <v>7.4799594137392909</v>
      </c>
      <c r="AS34">
        <v>95.138657073702348</v>
      </c>
      <c r="AT34">
        <v>4.6764899113144933</v>
      </c>
      <c r="AU34">
        <v>26.663795705435966</v>
      </c>
      <c r="AV34"/>
      <c r="AW34"/>
      <c r="FY34" s="213">
        <v>29</v>
      </c>
      <c r="FZ34">
        <v>46.041336149719079</v>
      </c>
      <c r="GA34">
        <v>52.954121380073865</v>
      </c>
      <c r="GB34">
        <v>6.547007548543017</v>
      </c>
      <c r="GC34">
        <v>4.9804508368786955</v>
      </c>
      <c r="GD34">
        <v>1.6117368953543791</v>
      </c>
      <c r="GE34">
        <v>1.0208798900876384</v>
      </c>
      <c r="GF34">
        <v>3.50482606312409</v>
      </c>
      <c r="GG34">
        <v>4.1980323196624347</v>
      </c>
      <c r="GH34">
        <v>2.7619779405139626</v>
      </c>
      <c r="GI34">
        <v>10.424761024454069</v>
      </c>
      <c r="GJ34"/>
      <c r="GK34"/>
      <c r="GL34"/>
      <c r="GM34"/>
      <c r="GN34" s="208"/>
      <c r="GO34" s="208"/>
      <c r="GP34" s="208"/>
      <c r="GQ34" s="208"/>
      <c r="GR34" s="208"/>
      <c r="GS34" s="208"/>
      <c r="GT34" s="208"/>
      <c r="GU34" s="213">
        <v>29</v>
      </c>
    </row>
    <row r="35" spans="1:203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95.295980796164628</v>
      </c>
      <c r="AO35">
        <v>15.044124356435026</v>
      </c>
      <c r="AP35">
        <v>82.563364025362802</v>
      </c>
      <c r="AQ35">
        <v>129.40448145473479</v>
      </c>
      <c r="AR35">
        <v>13.802143337849653</v>
      </c>
      <c r="AS35">
        <v>182.75310757865412</v>
      </c>
      <c r="AT35" t="e">
        <v>#DIV/0!</v>
      </c>
      <c r="AU35" t="e">
        <v>#DIV/0!</v>
      </c>
      <c r="AV35"/>
      <c r="AW35"/>
      <c r="FY35" s="213">
        <v>30</v>
      </c>
      <c r="FZ35">
        <v>48.45444336676556</v>
      </c>
      <c r="GA35">
        <v>59.663738721095939</v>
      </c>
      <c r="GB35">
        <v>9.1449815260124954</v>
      </c>
      <c r="GC35">
        <v>4.8747140667779663</v>
      </c>
      <c r="GD35">
        <v>1.958277533934895</v>
      </c>
      <c r="GE35">
        <v>3.0840196664243282</v>
      </c>
      <c r="GF35">
        <v>0.91939440612572332</v>
      </c>
      <c r="GG35">
        <v>1.5419893789415706</v>
      </c>
      <c r="GH35">
        <v>1.5603693116103559</v>
      </c>
      <c r="GI35">
        <v>11.032376020508531</v>
      </c>
      <c r="GJ35"/>
      <c r="GK35"/>
      <c r="GL35"/>
      <c r="GM35"/>
      <c r="GN35" s="208"/>
      <c r="GO35" s="208"/>
      <c r="GP35" s="208"/>
      <c r="GQ35" s="208"/>
      <c r="GR35" s="208"/>
      <c r="GS35" s="208"/>
      <c r="GT35" s="208"/>
      <c r="GU35" s="213">
        <v>30</v>
      </c>
    </row>
    <row r="36" spans="1:203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1.1192378560128725E-3</v>
      </c>
      <c r="H36" s="59">
        <f t="shared" ref="H36:AK36" si="18">(1-($A$43/100))*($A$39*(H35^$A$41))</f>
        <v>7.2275999999999998E-3</v>
      </c>
      <c r="I36" s="59">
        <f t="shared" si="18"/>
        <v>4.6673011888725101E-2</v>
      </c>
      <c r="J36" s="59">
        <f t="shared" si="18"/>
        <v>0.13897203136197886</v>
      </c>
      <c r="K36" s="59">
        <f t="shared" si="18"/>
        <v>0.30139604277562043</v>
      </c>
      <c r="L36" s="59">
        <f t="shared" si="18"/>
        <v>0.54944267880487196</v>
      </c>
      <c r="M36" s="59">
        <f t="shared" si="18"/>
        <v>0.89742698433199364</v>
      </c>
      <c r="N36" s="59">
        <f t="shared" si="18"/>
        <v>1.3587918549382612</v>
      </c>
      <c r="O36" s="59">
        <f t="shared" si="18"/>
        <v>1.9462976766397186</v>
      </c>
      <c r="P36" s="59">
        <f t="shared" si="18"/>
        <v>2.6721491921073159</v>
      </c>
      <c r="Q36" s="59">
        <f t="shared" si="18"/>
        <v>3.5480857656805531</v>
      </c>
      <c r="R36" s="59">
        <f t="shared" si="18"/>
        <v>4.5854485507812486</v>
      </c>
      <c r="S36" s="59">
        <f t="shared" si="18"/>
        <v>5.7952322083388497</v>
      </c>
      <c r="T36" s="59">
        <f t="shared" si="18"/>
        <v>7.1881258189983859</v>
      </c>
      <c r="U36" s="59">
        <f t="shared" si="18"/>
        <v>8.7745459626758926</v>
      </c>
      <c r="V36" s="59">
        <f t="shared" si="18"/>
        <v>10.564663953522661</v>
      </c>
      <c r="W36" s="59">
        <f t="shared" si="18"/>
        <v>12.568428607117669</v>
      </c>
      <c r="X36" s="59">
        <f t="shared" si="18"/>
        <v>14.795585521883805</v>
      </c>
      <c r="Y36" s="59">
        <f t="shared" si="18"/>
        <v>17.255693592848509</v>
      </c>
      <c r="Z36" s="59">
        <f t="shared" si="18"/>
        <v>19.958139294316886</v>
      </c>
      <c r="AA36" s="59">
        <f t="shared" si="18"/>
        <v>22.912149139939221</v>
      </c>
      <c r="AB36" s="59">
        <f t="shared" si="18"/>
        <v>26.126800636294448</v>
      </c>
      <c r="AC36" s="59">
        <f t="shared" si="18"/>
        <v>29.611031978215532</v>
      </c>
      <c r="AD36" s="59">
        <f t="shared" si="18"/>
        <v>33.373650683313194</v>
      </c>
      <c r="AE36" s="59">
        <f t="shared" si="18"/>
        <v>37.423341324605943</v>
      </c>
      <c r="AF36" s="59">
        <f t="shared" si="18"/>
        <v>41.768672490491134</v>
      </c>
      <c r="AG36" s="59">
        <f t="shared" si="18"/>
        <v>46.418103078167533</v>
      </c>
      <c r="AH36" s="59">
        <f t="shared" si="18"/>
        <v>51.37998800838789</v>
      </c>
      <c r="AI36" s="59">
        <f t="shared" si="18"/>
        <v>56.662583434907432</v>
      </c>
      <c r="AJ36" s="59">
        <f t="shared" si="18"/>
        <v>62.274051510321357</v>
      </c>
      <c r="AK36" s="59">
        <f t="shared" si="18"/>
        <v>68.222464760522016</v>
      </c>
      <c r="AL36" s="42"/>
      <c r="AM36" s="43">
        <v>20</v>
      </c>
      <c r="AN36">
        <v>93.057943852828458</v>
      </c>
      <c r="AO36">
        <v>14.010731576035175</v>
      </c>
      <c r="AP36">
        <v>81.772836776680748</v>
      </c>
      <c r="AQ36">
        <v>108.07783753749412</v>
      </c>
      <c r="AR36">
        <v>12.92703209122376</v>
      </c>
      <c r="AS36">
        <v>170.34149406293946</v>
      </c>
      <c r="AT36" t="e">
        <v>#DIV/0!</v>
      </c>
      <c r="AU36" t="e">
        <v>#DIV/0!</v>
      </c>
      <c r="AV36"/>
      <c r="AW36"/>
      <c r="FY36" s="213">
        <v>31</v>
      </c>
      <c r="FZ36">
        <v>25.132229355619849</v>
      </c>
      <c r="GA36">
        <v>28.545655868101345</v>
      </c>
      <c r="GB36">
        <v>4.7121180564227894</v>
      </c>
      <c r="GC36">
        <v>4.222551236081725</v>
      </c>
      <c r="GD36">
        <v>2.4859673810881753</v>
      </c>
      <c r="GE36">
        <v>2.4809135103893465</v>
      </c>
      <c r="GF36">
        <v>2.5974913693151747</v>
      </c>
      <c r="GG36">
        <v>4.3964227440510255</v>
      </c>
      <c r="GH36">
        <v>3.1207386232207117</v>
      </c>
      <c r="GI36">
        <v>7.2889224793025447</v>
      </c>
      <c r="GJ36"/>
      <c r="GK36"/>
      <c r="GL36"/>
      <c r="GM36"/>
      <c r="GN36" s="208"/>
      <c r="GO36" s="208"/>
      <c r="GP36" s="208"/>
      <c r="GQ36" s="208"/>
      <c r="GR36" s="208"/>
      <c r="GS36" s="208"/>
      <c r="GT36" s="208"/>
      <c r="GU36" s="213">
        <v>31</v>
      </c>
    </row>
    <row r="37" spans="1:203" s="7" customFormat="1">
      <c r="A37" s="9" t="s">
        <v>46</v>
      </c>
      <c r="B37" s="57"/>
      <c r="C37" s="48" t="s">
        <v>38</v>
      </c>
      <c r="D37" s="49">
        <f t="shared" ref="D37:D42" si="19">IF(SUM(G37:AK37)&lt;0.0001, 0, SUM(G37:AK37))</f>
        <v>11.044369392320332</v>
      </c>
      <c r="E37" s="107">
        <f t="shared" ref="E37:E46" si="20">+D37/D21</f>
        <v>0.1883428510790677</v>
      </c>
      <c r="F37" s="18"/>
      <c r="G37" s="49">
        <f t="shared" ref="G37:G43" si="21">G21*G$36</f>
        <v>0</v>
      </c>
      <c r="H37" s="49">
        <f t="shared" ref="H37:AK40" si="22">H21*H$36</f>
        <v>0</v>
      </c>
      <c r="I37" s="49">
        <f t="shared" si="22"/>
        <v>1.0695898557832839</v>
      </c>
      <c r="J37" s="49">
        <f t="shared" si="22"/>
        <v>2.35877773819045</v>
      </c>
      <c r="K37" s="49">
        <f t="shared" si="22"/>
        <v>3.9244276403075573</v>
      </c>
      <c r="L37" s="49">
        <f t="shared" si="22"/>
        <v>2.2893444950203001</v>
      </c>
      <c r="M37" s="49">
        <f t="shared" si="22"/>
        <v>1.4022296630187401</v>
      </c>
      <c r="N37" s="49">
        <f t="shared" si="22"/>
        <v>0</v>
      </c>
      <c r="O37" s="49">
        <f t="shared" si="22"/>
        <v>0</v>
      </c>
      <c r="P37" s="49">
        <f t="shared" si="22"/>
        <v>0</v>
      </c>
      <c r="Q37" s="49">
        <f t="shared" si="22"/>
        <v>0</v>
      </c>
      <c r="R37" s="49">
        <f t="shared" si="22"/>
        <v>0</v>
      </c>
      <c r="S37" s="49">
        <f t="shared" si="22"/>
        <v>0</v>
      </c>
      <c r="T37" s="49">
        <f t="shared" si="22"/>
        <v>0</v>
      </c>
      <c r="U37" s="49">
        <f t="shared" si="22"/>
        <v>0</v>
      </c>
      <c r="V37" s="49">
        <f t="shared" si="22"/>
        <v>0</v>
      </c>
      <c r="W37" s="49">
        <f t="shared" si="22"/>
        <v>0</v>
      </c>
      <c r="X37" s="49">
        <f t="shared" si="22"/>
        <v>0</v>
      </c>
      <c r="Y37" s="49">
        <f t="shared" si="22"/>
        <v>0</v>
      </c>
      <c r="Z37" s="49">
        <f t="shared" si="22"/>
        <v>0</v>
      </c>
      <c r="AA37" s="49">
        <f t="shared" si="22"/>
        <v>0</v>
      </c>
      <c r="AB37" s="49">
        <f t="shared" si="22"/>
        <v>0</v>
      </c>
      <c r="AC37" s="49">
        <f t="shared" si="22"/>
        <v>0</v>
      </c>
      <c r="AD37" s="49">
        <f t="shared" si="22"/>
        <v>0</v>
      </c>
      <c r="AE37" s="49">
        <f t="shared" si="22"/>
        <v>0</v>
      </c>
      <c r="AF37" s="49">
        <f t="shared" si="22"/>
        <v>0</v>
      </c>
      <c r="AG37" s="49">
        <f t="shared" si="22"/>
        <v>0</v>
      </c>
      <c r="AH37" s="49">
        <f t="shared" si="22"/>
        <v>0</v>
      </c>
      <c r="AI37" s="49">
        <f t="shared" si="22"/>
        <v>0</v>
      </c>
      <c r="AJ37" s="49">
        <f t="shared" si="22"/>
        <v>0</v>
      </c>
      <c r="AK37" s="49">
        <f t="shared" si="22"/>
        <v>0</v>
      </c>
      <c r="AL37" s="42"/>
      <c r="AM37" s="43">
        <v>21</v>
      </c>
      <c r="AN37">
        <v>79.676291191764065</v>
      </c>
      <c r="AO37">
        <v>12.716505122165334</v>
      </c>
      <c r="AP37">
        <v>75.583783393461786</v>
      </c>
      <c r="AQ37">
        <v>104.17515886163945</v>
      </c>
      <c r="AR37">
        <v>11.688236600411308</v>
      </c>
      <c r="AS37">
        <v>136.59629614768266</v>
      </c>
      <c r="AT37" t="e">
        <v>#DIV/0!</v>
      </c>
      <c r="AU37" t="e">
        <v>#DIV/0!</v>
      </c>
      <c r="AV37"/>
      <c r="AW37"/>
      <c r="FY37" s="213">
        <v>32</v>
      </c>
      <c r="FZ37">
        <v>29.127623590756006</v>
      </c>
      <c r="GA37">
        <v>36.636566075519632</v>
      </c>
      <c r="GB37">
        <v>4.512159825125539</v>
      </c>
      <c r="GC37">
        <v>2.9769093309035468</v>
      </c>
      <c r="GD37">
        <v>2.3980284240578404</v>
      </c>
      <c r="GE37">
        <v>3.4360777209593771</v>
      </c>
      <c r="GF37">
        <v>3.1404295933078044</v>
      </c>
      <c r="GG37">
        <v>3.1578399327030642</v>
      </c>
      <c r="GH37">
        <v>2.7619779405139626</v>
      </c>
      <c r="GI37">
        <v>7.8386264474561882</v>
      </c>
      <c r="GJ37"/>
      <c r="GK37"/>
      <c r="GL37"/>
      <c r="GM37"/>
      <c r="GN37" s="208"/>
      <c r="GO37" s="208"/>
      <c r="GP37" s="208"/>
      <c r="GQ37" s="208"/>
      <c r="GR37" s="208"/>
      <c r="GS37" s="208"/>
      <c r="GT37" s="208"/>
      <c r="GU37" s="213">
        <v>32</v>
      </c>
    </row>
    <row r="38" spans="1:203" s="7" customFormat="1">
      <c r="A38" s="9" t="s">
        <v>47</v>
      </c>
      <c r="B38" s="57"/>
      <c r="C38" s="48" t="s">
        <v>39</v>
      </c>
      <c r="D38" s="49">
        <f t="shared" si="19"/>
        <v>9.3719658602451936</v>
      </c>
      <c r="E38" s="107">
        <f t="shared" si="20"/>
        <v>0.2921690216603659</v>
      </c>
      <c r="F38" s="18"/>
      <c r="G38" s="49">
        <f t="shared" si="21"/>
        <v>0</v>
      </c>
      <c r="H38" s="49">
        <f t="shared" si="22"/>
        <v>0</v>
      </c>
      <c r="I38" s="49">
        <f t="shared" si="22"/>
        <v>4.8617720717421972E-2</v>
      </c>
      <c r="J38" s="49">
        <f t="shared" si="22"/>
        <v>1.707346341181174</v>
      </c>
      <c r="K38" s="49">
        <f t="shared" si="22"/>
        <v>3.9244276403075573</v>
      </c>
      <c r="L38" s="49">
        <f t="shared" si="22"/>
        <v>2.2893444950203001</v>
      </c>
      <c r="M38" s="49">
        <f t="shared" si="22"/>
        <v>1.4022296630187401</v>
      </c>
      <c r="N38" s="49">
        <f t="shared" si="22"/>
        <v>0</v>
      </c>
      <c r="O38" s="49">
        <f t="shared" si="22"/>
        <v>0</v>
      </c>
      <c r="P38" s="49">
        <f t="shared" si="22"/>
        <v>0</v>
      </c>
      <c r="Q38" s="49">
        <f t="shared" si="22"/>
        <v>0</v>
      </c>
      <c r="R38" s="49">
        <f t="shared" si="22"/>
        <v>0</v>
      </c>
      <c r="S38" s="49">
        <f t="shared" si="22"/>
        <v>0</v>
      </c>
      <c r="T38" s="49">
        <f t="shared" si="22"/>
        <v>0</v>
      </c>
      <c r="U38" s="49">
        <f t="shared" si="22"/>
        <v>0</v>
      </c>
      <c r="V38" s="49">
        <f t="shared" si="22"/>
        <v>0</v>
      </c>
      <c r="W38" s="49">
        <f t="shared" si="22"/>
        <v>0</v>
      </c>
      <c r="X38" s="49">
        <f t="shared" si="22"/>
        <v>0</v>
      </c>
      <c r="Y38" s="49">
        <f t="shared" si="22"/>
        <v>0</v>
      </c>
      <c r="Z38" s="49">
        <f t="shared" si="22"/>
        <v>0</v>
      </c>
      <c r="AA38" s="49">
        <f t="shared" si="22"/>
        <v>0</v>
      </c>
      <c r="AB38" s="49">
        <f t="shared" si="22"/>
        <v>0</v>
      </c>
      <c r="AC38" s="49">
        <f t="shared" si="22"/>
        <v>0</v>
      </c>
      <c r="AD38" s="49">
        <f t="shared" si="22"/>
        <v>0</v>
      </c>
      <c r="AE38" s="49">
        <f t="shared" si="22"/>
        <v>0</v>
      </c>
      <c r="AF38" s="49">
        <f t="shared" si="22"/>
        <v>0</v>
      </c>
      <c r="AG38" s="49">
        <f t="shared" si="22"/>
        <v>0</v>
      </c>
      <c r="AH38" s="49">
        <f t="shared" si="22"/>
        <v>0</v>
      </c>
      <c r="AI38" s="49">
        <f t="shared" si="22"/>
        <v>0</v>
      </c>
      <c r="AJ38" s="49">
        <f t="shared" si="22"/>
        <v>0</v>
      </c>
      <c r="AK38" s="49">
        <f t="shared" si="22"/>
        <v>0</v>
      </c>
      <c r="AL38" s="42"/>
      <c r="AM38" s="43">
        <v>22</v>
      </c>
      <c r="AN38">
        <v>70.205649999463404</v>
      </c>
      <c r="AO38">
        <v>8.1611998829589592</v>
      </c>
      <c r="AP38">
        <v>47.024535330932174</v>
      </c>
      <c r="AQ38">
        <v>52.198897821271586</v>
      </c>
      <c r="AR38">
        <v>7.7847061902412777</v>
      </c>
      <c r="AS38">
        <v>108.32818648219455</v>
      </c>
      <c r="AT38">
        <v>4.6250289238348072</v>
      </c>
      <c r="AU38">
        <v>19.142465040062639</v>
      </c>
      <c r="AV38"/>
      <c r="AW38"/>
      <c r="FY38" s="213">
        <v>33</v>
      </c>
      <c r="FZ38">
        <v>35.646065593923744</v>
      </c>
      <c r="GA38">
        <v>43.190952422855446</v>
      </c>
      <c r="GB38">
        <v>6.1464447641980291</v>
      </c>
      <c r="GC38">
        <v>4.1064330807543277</v>
      </c>
      <c r="GD38">
        <v>2.8253002806359602</v>
      </c>
      <c r="GE38">
        <v>3.8877586267359554</v>
      </c>
      <c r="GF38">
        <v>5.2452708202448584</v>
      </c>
      <c r="GG38">
        <v>3.9006127285035186</v>
      </c>
      <c r="GH38">
        <v>0</v>
      </c>
      <c r="GI38">
        <v>9.4345703368298661</v>
      </c>
      <c r="GJ38"/>
      <c r="GK38"/>
      <c r="GL38"/>
      <c r="GM38"/>
      <c r="GN38" s="208"/>
      <c r="GO38" s="208"/>
      <c r="GP38" s="208"/>
      <c r="GQ38" s="208"/>
      <c r="GR38" s="208"/>
      <c r="GS38" s="208"/>
      <c r="GT38" s="208"/>
      <c r="GU38" s="213">
        <v>33</v>
      </c>
    </row>
    <row r="39" spans="1:203" s="7" customFormat="1">
      <c r="A39" s="114">
        <v>7.6E-3</v>
      </c>
      <c r="B39" s="57"/>
      <c r="C39" s="48" t="s">
        <v>40</v>
      </c>
      <c r="D39" s="49">
        <f t="shared" si="19"/>
        <v>7.8917648952149122</v>
      </c>
      <c r="E39" s="107">
        <f t="shared" si="20"/>
        <v>6.864975336635705E-2</v>
      </c>
      <c r="F39" s="18"/>
      <c r="G39" s="49">
        <f t="shared" si="21"/>
        <v>0</v>
      </c>
      <c r="H39" s="49">
        <f t="shared" si="22"/>
        <v>0.1307894135318704</v>
      </c>
      <c r="I39" s="49">
        <f t="shared" si="22"/>
        <v>3.2627234746792526</v>
      </c>
      <c r="J39" s="49">
        <f t="shared" si="22"/>
        <v>3.4038394452040825</v>
      </c>
      <c r="K39" s="49">
        <f t="shared" si="22"/>
        <v>0.3139542112246046</v>
      </c>
      <c r="L39" s="49">
        <f t="shared" si="22"/>
        <v>0.78045835057510216</v>
      </c>
      <c r="M39" s="49">
        <f t="shared" si="22"/>
        <v>0</v>
      </c>
      <c r="N39" s="49">
        <f t="shared" si="22"/>
        <v>0</v>
      </c>
      <c r="O39" s="49">
        <f t="shared" si="22"/>
        <v>0</v>
      </c>
      <c r="P39" s="49">
        <f t="shared" si="22"/>
        <v>0</v>
      </c>
      <c r="Q39" s="49">
        <f t="shared" si="22"/>
        <v>0</v>
      </c>
      <c r="R39" s="49">
        <f t="shared" si="22"/>
        <v>0</v>
      </c>
      <c r="S39" s="49">
        <f t="shared" si="22"/>
        <v>0</v>
      </c>
      <c r="T39" s="49">
        <f t="shared" si="22"/>
        <v>0</v>
      </c>
      <c r="U39" s="49">
        <f t="shared" si="22"/>
        <v>0</v>
      </c>
      <c r="V39" s="49">
        <f t="shared" si="22"/>
        <v>0</v>
      </c>
      <c r="W39" s="49">
        <f t="shared" si="22"/>
        <v>0</v>
      </c>
      <c r="X39" s="49">
        <f t="shared" si="22"/>
        <v>0</v>
      </c>
      <c r="Y39" s="49">
        <f t="shared" si="22"/>
        <v>0</v>
      </c>
      <c r="Z39" s="49">
        <f t="shared" si="22"/>
        <v>0</v>
      </c>
      <c r="AA39" s="49">
        <f t="shared" si="22"/>
        <v>0</v>
      </c>
      <c r="AB39" s="49">
        <f t="shared" si="22"/>
        <v>0</v>
      </c>
      <c r="AC39" s="49">
        <f t="shared" si="22"/>
        <v>0</v>
      </c>
      <c r="AD39" s="49">
        <f t="shared" si="22"/>
        <v>0</v>
      </c>
      <c r="AE39" s="49">
        <f t="shared" si="22"/>
        <v>0</v>
      </c>
      <c r="AF39" s="49">
        <f t="shared" si="22"/>
        <v>0</v>
      </c>
      <c r="AG39" s="49">
        <f t="shared" si="22"/>
        <v>0</v>
      </c>
      <c r="AH39" s="49">
        <f t="shared" si="22"/>
        <v>0</v>
      </c>
      <c r="AI39" s="49">
        <f t="shared" si="22"/>
        <v>0</v>
      </c>
      <c r="AJ39" s="49">
        <f t="shared" si="22"/>
        <v>0</v>
      </c>
      <c r="AK39" s="49">
        <f t="shared" si="22"/>
        <v>0</v>
      </c>
      <c r="AL39" s="42"/>
      <c r="AM39" s="43">
        <v>23</v>
      </c>
      <c r="AN39">
        <v>77.244794311034155</v>
      </c>
      <c r="AO39">
        <v>9.8972903723990644</v>
      </c>
      <c r="AP39">
        <v>49.280407280289765</v>
      </c>
      <c r="AQ39">
        <v>69.798876946443571</v>
      </c>
      <c r="AR39">
        <v>9.1851318952522245</v>
      </c>
      <c r="AS39">
        <v>115.73902505794358</v>
      </c>
      <c r="AT39">
        <v>6.0477687665924842</v>
      </c>
      <c r="AU39">
        <v>-6.5504101534205113</v>
      </c>
      <c r="AV39"/>
      <c r="AW39"/>
      <c r="FY39" s="213">
        <v>34</v>
      </c>
      <c r="FZ39">
        <v>30.543940857354873</v>
      </c>
      <c r="GA39">
        <v>37.840191097818206</v>
      </c>
      <c r="GB39">
        <v>8.0319028033656181</v>
      </c>
      <c r="GC39">
        <v>4.6670960373976973</v>
      </c>
      <c r="GD39">
        <v>1.7850128626598722</v>
      </c>
      <c r="GE39">
        <v>2.1606495484700718</v>
      </c>
      <c r="GF39">
        <v>2.9062626304681496</v>
      </c>
      <c r="GG39">
        <v>3.2858201940538834</v>
      </c>
      <c r="GH39">
        <v>1.5603693116103559</v>
      </c>
      <c r="GI39">
        <v>8.3590947637432151</v>
      </c>
      <c r="GJ39"/>
      <c r="GK39"/>
      <c r="GL39"/>
      <c r="GM39"/>
      <c r="GN39" s="208"/>
      <c r="GO39" s="208"/>
      <c r="GP39" s="208"/>
      <c r="GQ39" s="208"/>
      <c r="GR39" s="208"/>
      <c r="GS39" s="208"/>
      <c r="GT39" s="208"/>
      <c r="GU39" s="213">
        <v>34</v>
      </c>
    </row>
    <row r="40" spans="1:203" s="7" customFormat="1">
      <c r="A40" s="9" t="s">
        <v>48</v>
      </c>
      <c r="B40" s="57"/>
      <c r="C40" s="48" t="s">
        <v>41</v>
      </c>
      <c r="D40" s="49">
        <f t="shared" si="19"/>
        <v>11.542553703864826</v>
      </c>
      <c r="E40" s="107">
        <f t="shared" si="20"/>
        <v>7.2367867316829135E-2</v>
      </c>
      <c r="F40" s="18"/>
      <c r="G40" s="49">
        <f t="shared" si="21"/>
        <v>0</v>
      </c>
      <c r="H40" s="49">
        <f t="shared" si="22"/>
        <v>0.1448202658045977</v>
      </c>
      <c r="I40" s="49">
        <f t="shared" si="22"/>
        <v>4.8289086206476313</v>
      </c>
      <c r="J40" s="49">
        <f t="shared" si="22"/>
        <v>4.2658345260951451</v>
      </c>
      <c r="K40" s="49">
        <f t="shared" si="22"/>
        <v>0.74207359016724717</v>
      </c>
      <c r="L40" s="49">
        <f t="shared" si="22"/>
        <v>1.5609167011502043</v>
      </c>
      <c r="M40" s="49">
        <f t="shared" si="22"/>
        <v>0</v>
      </c>
      <c r="N40" s="49">
        <f t="shared" si="22"/>
        <v>0</v>
      </c>
      <c r="O40" s="49">
        <f t="shared" si="22"/>
        <v>0</v>
      </c>
      <c r="P40" s="49">
        <f t="shared" si="22"/>
        <v>0</v>
      </c>
      <c r="Q40" s="49">
        <f t="shared" si="22"/>
        <v>0</v>
      </c>
      <c r="R40" s="49">
        <f t="shared" si="22"/>
        <v>0</v>
      </c>
      <c r="S40" s="49">
        <f t="shared" si="22"/>
        <v>0</v>
      </c>
      <c r="T40" s="49">
        <f t="shared" si="22"/>
        <v>0</v>
      </c>
      <c r="U40" s="49">
        <f t="shared" si="22"/>
        <v>0</v>
      </c>
      <c r="V40" s="49">
        <f t="shared" si="22"/>
        <v>0</v>
      </c>
      <c r="W40" s="49">
        <f t="shared" si="22"/>
        <v>0</v>
      </c>
      <c r="X40" s="49">
        <f t="shared" si="22"/>
        <v>0</v>
      </c>
      <c r="Y40" s="49">
        <f t="shared" si="22"/>
        <v>0</v>
      </c>
      <c r="Z40" s="49">
        <f t="shared" si="22"/>
        <v>0</v>
      </c>
      <c r="AA40" s="49">
        <f t="shared" si="22"/>
        <v>0</v>
      </c>
      <c r="AB40" s="49">
        <f t="shared" si="22"/>
        <v>0</v>
      </c>
      <c r="AC40" s="49">
        <f t="shared" si="22"/>
        <v>0</v>
      </c>
      <c r="AD40" s="49">
        <f t="shared" si="22"/>
        <v>0</v>
      </c>
      <c r="AE40" s="49">
        <f t="shared" si="22"/>
        <v>0</v>
      </c>
      <c r="AF40" s="49">
        <f t="shared" si="22"/>
        <v>0</v>
      </c>
      <c r="AG40" s="49">
        <f t="shared" si="22"/>
        <v>0</v>
      </c>
      <c r="AH40" s="49">
        <f t="shared" si="22"/>
        <v>0</v>
      </c>
      <c r="AI40" s="49">
        <f t="shared" si="22"/>
        <v>0</v>
      </c>
      <c r="AJ40" s="49">
        <f t="shared" si="22"/>
        <v>0</v>
      </c>
      <c r="AK40" s="49">
        <f t="shared" si="22"/>
        <v>0</v>
      </c>
      <c r="AL40" s="42"/>
      <c r="AM40" s="43">
        <v>24</v>
      </c>
      <c r="AN40">
        <v>84.88764762536313</v>
      </c>
      <c r="AO40">
        <v>13.612768946131862</v>
      </c>
      <c r="AP40">
        <v>64.918148221735763</v>
      </c>
      <c r="AQ40">
        <v>106.2004324622296</v>
      </c>
      <c r="AR40">
        <v>12.516281273303814</v>
      </c>
      <c r="AS40">
        <v>164.77256088161539</v>
      </c>
      <c r="AT40" t="e">
        <v>#DIV/0!</v>
      </c>
      <c r="AU40" t="e">
        <v>#DIV/0!</v>
      </c>
      <c r="AV40"/>
      <c r="AW40"/>
      <c r="FY40" s="213">
        <v>35</v>
      </c>
      <c r="FZ40">
        <v>18.748346127477138</v>
      </c>
      <c r="GA40">
        <v>24.138273346566052</v>
      </c>
      <c r="GB40">
        <v>4.9007268526818768</v>
      </c>
      <c r="GC40">
        <v>3.1228165370063738</v>
      </c>
      <c r="GD40">
        <v>1.5295930309043031</v>
      </c>
      <c r="GE40">
        <v>1.0777894997888802</v>
      </c>
      <c r="GF40">
        <v>3.5864231367030976</v>
      </c>
      <c r="GG40">
        <v>4.145640120013355</v>
      </c>
      <c r="GH40">
        <v>3.3627822549657664</v>
      </c>
      <c r="GI40">
        <v>6.0794565177211428</v>
      </c>
      <c r="GJ40"/>
      <c r="GK40"/>
      <c r="GL40"/>
      <c r="GM40"/>
      <c r="GN40" s="208"/>
      <c r="GO40" s="208"/>
      <c r="GP40" s="208"/>
      <c r="GQ40" s="208"/>
      <c r="GR40" s="208"/>
      <c r="GS40" s="208"/>
      <c r="GT40" s="208"/>
      <c r="GU40" s="213">
        <v>35</v>
      </c>
    </row>
    <row r="41" spans="1:203" s="7" customFormat="1">
      <c r="A41" s="114">
        <v>2.6909999999999998</v>
      </c>
      <c r="B41" s="57"/>
      <c r="C41" s="48" t="s">
        <v>42</v>
      </c>
      <c r="D41" s="49">
        <f t="shared" si="19"/>
        <v>8.7713613618923141</v>
      </c>
      <c r="E41" s="107">
        <f t="shared" si="20"/>
        <v>0.1054789379975728</v>
      </c>
      <c r="F41" s="18"/>
      <c r="G41" s="49">
        <f t="shared" si="21"/>
        <v>0</v>
      </c>
      <c r="H41" s="49">
        <f t="shared" ref="H41:AK43" si="23">H25*H$36</f>
        <v>7.426085227272726E-2</v>
      </c>
      <c r="I41" s="49">
        <f t="shared" si="23"/>
        <v>2.3440686774471309</v>
      </c>
      <c r="J41" s="49">
        <f t="shared" si="23"/>
        <v>2.1751980558145227</v>
      </c>
      <c r="K41" s="49">
        <f t="shared" si="23"/>
        <v>1.3699820126164564</v>
      </c>
      <c r="L41" s="49">
        <f t="shared" si="23"/>
        <v>0.78045835057510216</v>
      </c>
      <c r="M41" s="49">
        <f t="shared" si="23"/>
        <v>0</v>
      </c>
      <c r="N41" s="49">
        <f t="shared" si="23"/>
        <v>0</v>
      </c>
      <c r="O41" s="49">
        <f t="shared" si="23"/>
        <v>2.0273934131663731</v>
      </c>
      <c r="P41" s="49">
        <f t="shared" si="23"/>
        <v>0</v>
      </c>
      <c r="Q41" s="49">
        <f t="shared" si="23"/>
        <v>0</v>
      </c>
      <c r="R41" s="49">
        <f t="shared" si="23"/>
        <v>0</v>
      </c>
      <c r="S41" s="49">
        <f t="shared" si="23"/>
        <v>0</v>
      </c>
      <c r="T41" s="49">
        <f t="shared" si="23"/>
        <v>0</v>
      </c>
      <c r="U41" s="49">
        <f t="shared" si="23"/>
        <v>0</v>
      </c>
      <c r="V41" s="49">
        <f t="shared" si="23"/>
        <v>0</v>
      </c>
      <c r="W41" s="49">
        <f t="shared" si="23"/>
        <v>0</v>
      </c>
      <c r="X41" s="49">
        <f t="shared" si="23"/>
        <v>0</v>
      </c>
      <c r="Y41" s="49">
        <f t="shared" si="23"/>
        <v>0</v>
      </c>
      <c r="Z41" s="49">
        <f t="shared" si="23"/>
        <v>0</v>
      </c>
      <c r="AA41" s="49">
        <f t="shared" si="23"/>
        <v>0</v>
      </c>
      <c r="AB41" s="49">
        <f t="shared" si="23"/>
        <v>0</v>
      </c>
      <c r="AC41" s="49">
        <f t="shared" si="23"/>
        <v>0</v>
      </c>
      <c r="AD41" s="49">
        <f t="shared" si="23"/>
        <v>0</v>
      </c>
      <c r="AE41" s="49">
        <f t="shared" si="23"/>
        <v>0</v>
      </c>
      <c r="AF41" s="49">
        <f t="shared" si="23"/>
        <v>0</v>
      </c>
      <c r="AG41" s="49">
        <f t="shared" si="23"/>
        <v>0</v>
      </c>
      <c r="AH41" s="49">
        <f t="shared" si="23"/>
        <v>0</v>
      </c>
      <c r="AI41" s="49">
        <f t="shared" si="23"/>
        <v>0</v>
      </c>
      <c r="AJ41" s="49">
        <f t="shared" si="23"/>
        <v>0</v>
      </c>
      <c r="AK41" s="49">
        <f t="shared" si="23"/>
        <v>0</v>
      </c>
      <c r="AL41" s="42"/>
      <c r="AM41" s="43">
        <v>25</v>
      </c>
      <c r="AN41">
        <v>72.394506854097372</v>
      </c>
      <c r="AO41">
        <v>7.1174483101643542</v>
      </c>
      <c r="AP41">
        <v>36.838424274172077</v>
      </c>
      <c r="AQ41">
        <v>46.303381990253598</v>
      </c>
      <c r="AR41">
        <v>6.6492623103160033</v>
      </c>
      <c r="AS41">
        <v>113.18623685970147</v>
      </c>
      <c r="AT41">
        <v>4.4164993096751166</v>
      </c>
      <c r="AU41">
        <v>22.34882095340711</v>
      </c>
      <c r="AV41"/>
      <c r="AW41"/>
      <c r="FY41" s="213">
        <v>36</v>
      </c>
      <c r="FZ41">
        <v>37.755176479882678</v>
      </c>
      <c r="GA41">
        <v>46.582948388508918</v>
      </c>
      <c r="GB41">
        <v>12.769317956962459</v>
      </c>
      <c r="GC41">
        <v>7.3103458704593107</v>
      </c>
      <c r="GD41">
        <v>2.3295448953993438</v>
      </c>
      <c r="GE41">
        <v>2.0498847656738528</v>
      </c>
      <c r="GF41">
        <v>5.061391939019714</v>
      </c>
      <c r="GG41">
        <v>5.1721364276302335</v>
      </c>
      <c r="GH41">
        <v>2.1611736260621592</v>
      </c>
      <c r="GI41">
        <v>11.37629255088609</v>
      </c>
      <c r="GJ41"/>
      <c r="GK41"/>
      <c r="GL41"/>
      <c r="GM41"/>
      <c r="GN41" s="208"/>
      <c r="GO41" s="208"/>
      <c r="GP41" s="208"/>
      <c r="GQ41" s="208"/>
      <c r="GR41" s="208"/>
      <c r="GS41" s="208"/>
      <c r="GT41" s="208"/>
      <c r="GU41" s="213">
        <v>36</v>
      </c>
    </row>
    <row r="42" spans="1:203" s="7" customFormat="1">
      <c r="A42" s="9" t="s">
        <v>49</v>
      </c>
      <c r="B42" s="57"/>
      <c r="C42" s="48" t="s">
        <v>118</v>
      </c>
      <c r="D42" s="49">
        <f t="shared" si="19"/>
        <v>5.2051683925203376</v>
      </c>
      <c r="E42" s="107">
        <f t="shared" si="20"/>
        <v>0.13479279999127813</v>
      </c>
      <c r="F42" s="18"/>
      <c r="G42" s="49">
        <f t="shared" si="21"/>
        <v>0</v>
      </c>
      <c r="H42" s="49">
        <f t="shared" si="23"/>
        <v>6.0229999999999992E-2</v>
      </c>
      <c r="I42" s="49">
        <f t="shared" si="23"/>
        <v>0.77788353147875156</v>
      </c>
      <c r="J42" s="49">
        <f t="shared" si="23"/>
        <v>1.2408217085890969</v>
      </c>
      <c r="K42" s="49">
        <f t="shared" si="23"/>
        <v>1.098839739286116</v>
      </c>
      <c r="L42" s="49">
        <f t="shared" si="23"/>
        <v>0</v>
      </c>
      <c r="M42" s="49">
        <f t="shared" si="23"/>
        <v>0</v>
      </c>
      <c r="N42" s="49">
        <f t="shared" si="23"/>
        <v>0</v>
      </c>
      <c r="O42" s="49">
        <f t="shared" si="23"/>
        <v>2.0273934131663731</v>
      </c>
      <c r="P42" s="49">
        <f t="shared" si="23"/>
        <v>0</v>
      </c>
      <c r="Q42" s="49">
        <f t="shared" si="23"/>
        <v>0</v>
      </c>
      <c r="R42" s="49">
        <f t="shared" si="23"/>
        <v>0</v>
      </c>
      <c r="S42" s="49">
        <f t="shared" si="23"/>
        <v>0</v>
      </c>
      <c r="T42" s="49">
        <f t="shared" si="23"/>
        <v>0</v>
      </c>
      <c r="U42" s="49">
        <f t="shared" si="23"/>
        <v>0</v>
      </c>
      <c r="V42" s="49">
        <f t="shared" si="23"/>
        <v>0</v>
      </c>
      <c r="W42" s="49">
        <f t="shared" si="23"/>
        <v>0</v>
      </c>
      <c r="X42" s="49">
        <f t="shared" si="23"/>
        <v>0</v>
      </c>
      <c r="Y42" s="49">
        <f t="shared" si="23"/>
        <v>0</v>
      </c>
      <c r="Z42" s="49">
        <f t="shared" si="23"/>
        <v>0</v>
      </c>
      <c r="AA42" s="49">
        <f t="shared" si="23"/>
        <v>0</v>
      </c>
      <c r="AB42" s="49">
        <f t="shared" si="23"/>
        <v>0</v>
      </c>
      <c r="AC42" s="49">
        <f t="shared" si="23"/>
        <v>0</v>
      </c>
      <c r="AD42" s="49">
        <f t="shared" si="23"/>
        <v>0</v>
      </c>
      <c r="AE42" s="49">
        <f t="shared" si="23"/>
        <v>0</v>
      </c>
      <c r="AF42" s="49">
        <f t="shared" si="23"/>
        <v>0</v>
      </c>
      <c r="AG42" s="49">
        <f t="shared" si="23"/>
        <v>0</v>
      </c>
      <c r="AH42" s="49">
        <f t="shared" si="23"/>
        <v>0</v>
      </c>
      <c r="AI42" s="49">
        <f t="shared" si="23"/>
        <v>0</v>
      </c>
      <c r="AJ42" s="49">
        <f t="shared" si="23"/>
        <v>0</v>
      </c>
      <c r="AK42" s="49">
        <f t="shared" si="23"/>
        <v>0</v>
      </c>
      <c r="AL42" s="42"/>
      <c r="AM42" s="43">
        <v>26</v>
      </c>
      <c r="AN42">
        <v>103.46809192915302</v>
      </c>
      <c r="AO42">
        <v>15.131880865712805</v>
      </c>
      <c r="AP42">
        <v>99.9293266012468</v>
      </c>
      <c r="AQ42">
        <v>119.56773831078051</v>
      </c>
      <c r="AR42">
        <v>14.057352166279896</v>
      </c>
      <c r="AS42">
        <v>210.19054669248064</v>
      </c>
      <c r="AT42">
        <v>9.8665983150503802</v>
      </c>
      <c r="AU42">
        <v>23.494030078391063</v>
      </c>
      <c r="AV42"/>
      <c r="AW42"/>
      <c r="FY42" s="213">
        <v>37</v>
      </c>
      <c r="FZ42">
        <v>52.787726640794276</v>
      </c>
      <c r="GA42">
        <v>62.911643103181035</v>
      </c>
      <c r="GB42">
        <v>11.194652192260907</v>
      </c>
      <c r="GC42">
        <v>6.9175499308757296</v>
      </c>
      <c r="GD42">
        <v>2.5091303774857785</v>
      </c>
      <c r="GE42">
        <v>3.0343216720247863</v>
      </c>
      <c r="GF42">
        <v>5.2886395245261646</v>
      </c>
      <c r="GG42">
        <v>4.9859882540384168</v>
      </c>
      <c r="GH42">
        <v>2.1611736260621592</v>
      </c>
      <c r="GI42">
        <v>13.445767230030551</v>
      </c>
      <c r="GJ42"/>
      <c r="GK42"/>
      <c r="GL42"/>
      <c r="GM42"/>
      <c r="GN42" s="208"/>
      <c r="GO42" s="208"/>
      <c r="GP42" s="208"/>
      <c r="GQ42" s="208"/>
      <c r="GR42" s="208"/>
      <c r="GS42" s="208"/>
      <c r="GT42" s="208"/>
      <c r="GU42" s="213">
        <v>37</v>
      </c>
    </row>
    <row r="43" spans="1:203" s="7" customFormat="1">
      <c r="A43" s="95">
        <v>4.9000000000000004</v>
      </c>
      <c r="B43" s="1"/>
      <c r="C43" s="48" t="s">
        <v>119</v>
      </c>
      <c r="D43" s="49">
        <f>IF(SUM(G43:AK43)&lt;0.0001, 0, SUM(G43:AK43))</f>
        <v>0.54331258317127085</v>
      </c>
      <c r="E43" s="107">
        <f t="shared" si="20"/>
        <v>0.26079003992221006</v>
      </c>
      <c r="F43" s="18"/>
      <c r="G43" s="49">
        <f t="shared" si="21"/>
        <v>0</v>
      </c>
      <c r="H43" s="49">
        <f t="shared" si="23"/>
        <v>0</v>
      </c>
      <c r="I43" s="49">
        <f t="shared" si="23"/>
        <v>0</v>
      </c>
      <c r="J43" s="49">
        <f t="shared" si="23"/>
        <v>7.2381266334363981E-2</v>
      </c>
      <c r="K43" s="49">
        <f t="shared" si="23"/>
        <v>0.47093131683690687</v>
      </c>
      <c r="L43" s="49">
        <f t="shared" si="23"/>
        <v>0</v>
      </c>
      <c r="M43" s="49">
        <f t="shared" si="23"/>
        <v>0</v>
      </c>
      <c r="N43" s="49">
        <f t="shared" si="23"/>
        <v>0</v>
      </c>
      <c r="O43" s="49">
        <f t="shared" si="23"/>
        <v>0</v>
      </c>
      <c r="P43" s="49">
        <f t="shared" si="23"/>
        <v>0</v>
      </c>
      <c r="Q43" s="49">
        <f t="shared" si="23"/>
        <v>0</v>
      </c>
      <c r="R43" s="49">
        <f t="shared" si="23"/>
        <v>0</v>
      </c>
      <c r="S43" s="49">
        <f t="shared" si="23"/>
        <v>0</v>
      </c>
      <c r="T43" s="49">
        <f t="shared" si="23"/>
        <v>0</v>
      </c>
      <c r="U43" s="49">
        <f t="shared" si="23"/>
        <v>0</v>
      </c>
      <c r="V43" s="49">
        <f t="shared" si="23"/>
        <v>0</v>
      </c>
      <c r="W43" s="49">
        <f t="shared" si="23"/>
        <v>0</v>
      </c>
      <c r="X43" s="49">
        <f t="shared" si="23"/>
        <v>0</v>
      </c>
      <c r="Y43" s="49">
        <f t="shared" si="23"/>
        <v>0</v>
      </c>
      <c r="Z43" s="49">
        <f t="shared" si="23"/>
        <v>0</v>
      </c>
      <c r="AA43" s="49">
        <f t="shared" si="23"/>
        <v>0</v>
      </c>
      <c r="AB43" s="49">
        <f t="shared" si="23"/>
        <v>0</v>
      </c>
      <c r="AC43" s="49">
        <f t="shared" si="23"/>
        <v>0</v>
      </c>
      <c r="AD43" s="49">
        <f t="shared" si="23"/>
        <v>0</v>
      </c>
      <c r="AE43" s="49">
        <f t="shared" si="23"/>
        <v>0</v>
      </c>
      <c r="AF43" s="49">
        <f t="shared" si="23"/>
        <v>0</v>
      </c>
      <c r="AG43" s="49">
        <f t="shared" si="23"/>
        <v>0</v>
      </c>
      <c r="AH43" s="49">
        <f t="shared" si="23"/>
        <v>0</v>
      </c>
      <c r="AI43" s="49">
        <f t="shared" si="23"/>
        <v>0</v>
      </c>
      <c r="AJ43" s="49">
        <f t="shared" si="23"/>
        <v>0</v>
      </c>
      <c r="AK43" s="49">
        <f t="shared" si="23"/>
        <v>0</v>
      </c>
      <c r="AL43" s="42"/>
      <c r="AM43" s="43">
        <v>27</v>
      </c>
      <c r="AN43">
        <v>82.483474088500699</v>
      </c>
      <c r="AO43">
        <v>11.14281957693834</v>
      </c>
      <c r="AP43">
        <v>65.364292384552016</v>
      </c>
      <c r="AQ43">
        <v>82.706179916982407</v>
      </c>
      <c r="AR43">
        <v>10.242144102703955</v>
      </c>
      <c r="AS43">
        <v>158.88157388166329</v>
      </c>
      <c r="AT43" t="e">
        <v>#DIV/0!</v>
      </c>
      <c r="AU43" t="e">
        <v>#DIV/0!</v>
      </c>
      <c r="AV43"/>
      <c r="AW43"/>
      <c r="FY43" s="213">
        <v>38</v>
      </c>
      <c r="FZ43">
        <v>32.087198135144263</v>
      </c>
      <c r="GA43">
        <v>43.312406745301779</v>
      </c>
      <c r="GB43">
        <v>7.8287600887434703</v>
      </c>
      <c r="GC43">
        <v>4.4799872230848772</v>
      </c>
      <c r="GD43">
        <v>2.6056955395434906</v>
      </c>
      <c r="GE43">
        <v>2.6015203471221877</v>
      </c>
      <c r="GF43">
        <v>3.0810634241942316</v>
      </c>
      <c r="GG43">
        <v>4.7716933032281235</v>
      </c>
      <c r="GH43">
        <v>3.1207386232207117</v>
      </c>
      <c r="GI43">
        <v>9.3219394104233615</v>
      </c>
      <c r="GJ43"/>
      <c r="GK43"/>
      <c r="GL43"/>
      <c r="GM43"/>
      <c r="GN43" s="208"/>
      <c r="GO43" s="208"/>
      <c r="GP43" s="208"/>
      <c r="GQ43" s="208"/>
      <c r="GR43" s="208"/>
      <c r="GS43" s="208"/>
      <c r="GT43" s="208"/>
      <c r="GU43" s="213">
        <v>38</v>
      </c>
    </row>
    <row r="44" spans="1:203" s="7" customFormat="1">
      <c r="A44" s="4"/>
      <c r="B44" s="1"/>
      <c r="C44" s="48" t="s">
        <v>120</v>
      </c>
      <c r="D44" s="49">
        <f>IF(SUM(G44:AK44)&lt;0.0001, 0, SUM(G44:AK44))</f>
        <v>5.6311625251553519</v>
      </c>
      <c r="E44" s="107">
        <f t="shared" si="20"/>
        <v>0.28204779256430285</v>
      </c>
      <c r="F44" s="18"/>
      <c r="G44" s="49">
        <f>G28*G36</f>
        <v>0</v>
      </c>
      <c r="H44" s="49">
        <f t="shared" ref="H44:AK44" si="24">H28*H36</f>
        <v>0</v>
      </c>
      <c r="I44" s="49">
        <f t="shared" si="24"/>
        <v>0.56720674170325636</v>
      </c>
      <c r="J44" s="49">
        <f t="shared" si="24"/>
        <v>7.2381266334363981E-2</v>
      </c>
      <c r="K44" s="49">
        <f t="shared" si="24"/>
        <v>0.78488552806151146</v>
      </c>
      <c r="L44" s="49">
        <f t="shared" si="24"/>
        <v>0</v>
      </c>
      <c r="M44" s="49">
        <f t="shared" si="24"/>
        <v>4.2066889890562198</v>
      </c>
      <c r="N44" s="49">
        <f t="shared" si="24"/>
        <v>0</v>
      </c>
      <c r="O44" s="49">
        <f t="shared" si="24"/>
        <v>0</v>
      </c>
      <c r="P44" s="49">
        <f t="shared" si="24"/>
        <v>0</v>
      </c>
      <c r="Q44" s="49">
        <f t="shared" si="24"/>
        <v>0</v>
      </c>
      <c r="R44" s="49">
        <f t="shared" si="24"/>
        <v>0</v>
      </c>
      <c r="S44" s="49">
        <f t="shared" si="24"/>
        <v>0</v>
      </c>
      <c r="T44" s="49">
        <f t="shared" si="24"/>
        <v>0</v>
      </c>
      <c r="U44" s="49">
        <f t="shared" si="24"/>
        <v>0</v>
      </c>
      <c r="V44" s="49">
        <f t="shared" si="24"/>
        <v>0</v>
      </c>
      <c r="W44" s="49">
        <f t="shared" si="24"/>
        <v>0</v>
      </c>
      <c r="X44" s="49">
        <f t="shared" si="24"/>
        <v>0</v>
      </c>
      <c r="Y44" s="49">
        <f t="shared" si="24"/>
        <v>0</v>
      </c>
      <c r="Z44" s="49">
        <f t="shared" si="24"/>
        <v>0</v>
      </c>
      <c r="AA44" s="49">
        <f t="shared" si="24"/>
        <v>0</v>
      </c>
      <c r="AB44" s="49">
        <f t="shared" si="24"/>
        <v>0</v>
      </c>
      <c r="AC44" s="49">
        <f t="shared" si="24"/>
        <v>0</v>
      </c>
      <c r="AD44" s="49">
        <f t="shared" si="24"/>
        <v>0</v>
      </c>
      <c r="AE44" s="49">
        <f t="shared" si="24"/>
        <v>0</v>
      </c>
      <c r="AF44" s="49">
        <f t="shared" si="24"/>
        <v>0</v>
      </c>
      <c r="AG44" s="49">
        <f t="shared" si="24"/>
        <v>0</v>
      </c>
      <c r="AH44" s="49">
        <f t="shared" si="24"/>
        <v>0</v>
      </c>
      <c r="AI44" s="49">
        <f t="shared" si="24"/>
        <v>0</v>
      </c>
      <c r="AJ44" s="49">
        <f t="shared" si="24"/>
        <v>0</v>
      </c>
      <c r="AK44" s="49">
        <f t="shared" si="24"/>
        <v>0</v>
      </c>
      <c r="AL44" s="42"/>
      <c r="AM44" s="43">
        <v>28</v>
      </c>
      <c r="AN44">
        <v>89.587977939112577</v>
      </c>
      <c r="AO44">
        <v>11.383070522250785</v>
      </c>
      <c r="AP44">
        <v>103.88886028552068</v>
      </c>
      <c r="AQ44">
        <v>80.279130275677048</v>
      </c>
      <c r="AR44">
        <v>10.543117144182997</v>
      </c>
      <c r="AS44">
        <v>143.93212280693896</v>
      </c>
      <c r="AT44" t="e">
        <v>#DIV/0!</v>
      </c>
      <c r="AU44" t="e">
        <v>#DIV/0!</v>
      </c>
      <c r="AV44"/>
      <c r="AW44"/>
      <c r="FY44" s="213">
        <v>39</v>
      </c>
      <c r="FZ44">
        <v>66.078575688612005</v>
      </c>
      <c r="GA44">
        <v>76.180104056064934</v>
      </c>
      <c r="GB44">
        <v>6.3641472846831144</v>
      </c>
      <c r="GC44">
        <v>4.6581009360258365</v>
      </c>
      <c r="GD44">
        <v>1.9895524778927038</v>
      </c>
      <c r="GE44">
        <v>2.2395459931368551</v>
      </c>
      <c r="GF44">
        <v>4.6776367117371578</v>
      </c>
      <c r="GG44">
        <v>6.3293759447486195</v>
      </c>
      <c r="GH44">
        <v>3.1207386232207117</v>
      </c>
      <c r="GI44">
        <v>13.89102183290751</v>
      </c>
      <c r="GJ44"/>
      <c r="GK44"/>
      <c r="GL44"/>
      <c r="GM44"/>
      <c r="GN44" s="208"/>
      <c r="GO44" s="208"/>
      <c r="GP44" s="208"/>
      <c r="GQ44" s="208"/>
      <c r="GR44" s="208"/>
      <c r="GS44" s="208"/>
      <c r="GT44" s="208"/>
      <c r="GU44" s="213">
        <v>39</v>
      </c>
    </row>
    <row r="45" spans="1:203" s="7" customFormat="1">
      <c r="A45" s="4"/>
      <c r="B45" s="1"/>
      <c r="C45" s="48" t="s">
        <v>121</v>
      </c>
      <c r="D45" s="49">
        <f>IF(SUM(G45:AK45)&lt;0.0001, 0, SUM(G45:AK45))</f>
        <v>6.6602352298237379</v>
      </c>
      <c r="E45" s="107">
        <f t="shared" si="20"/>
        <v>0.34252638324807794</v>
      </c>
      <c r="F45" s="18"/>
      <c r="G45" s="49">
        <f>G29*G36</f>
        <v>0</v>
      </c>
      <c r="H45" s="49">
        <f t="shared" ref="H45:AK45" si="25">H29*H36</f>
        <v>0</v>
      </c>
      <c r="I45" s="49">
        <f t="shared" si="25"/>
        <v>0.56720674170325636</v>
      </c>
      <c r="J45" s="49">
        <f t="shared" si="25"/>
        <v>0</v>
      </c>
      <c r="K45" s="49">
        <f t="shared" si="25"/>
        <v>0.47093131683690692</v>
      </c>
      <c r="L45" s="49">
        <f t="shared" si="25"/>
        <v>0</v>
      </c>
      <c r="M45" s="49">
        <f t="shared" si="25"/>
        <v>4.2066889890562198</v>
      </c>
      <c r="N45" s="49">
        <f t="shared" si="25"/>
        <v>1.4154081822273552</v>
      </c>
      <c r="O45" s="49">
        <f t="shared" si="25"/>
        <v>0</v>
      </c>
      <c r="P45" s="49">
        <f t="shared" si="25"/>
        <v>0</v>
      </c>
      <c r="Q45" s="49">
        <f t="shared" si="25"/>
        <v>0</v>
      </c>
      <c r="R45" s="49">
        <f t="shared" si="25"/>
        <v>0</v>
      </c>
      <c r="S45" s="49">
        <f t="shared" si="25"/>
        <v>0</v>
      </c>
      <c r="T45" s="49">
        <f t="shared" si="25"/>
        <v>0</v>
      </c>
      <c r="U45" s="49">
        <f t="shared" si="25"/>
        <v>0</v>
      </c>
      <c r="V45" s="49">
        <f t="shared" si="25"/>
        <v>0</v>
      </c>
      <c r="W45" s="49">
        <f t="shared" si="25"/>
        <v>0</v>
      </c>
      <c r="X45" s="49">
        <f t="shared" si="25"/>
        <v>0</v>
      </c>
      <c r="Y45" s="49">
        <f t="shared" si="25"/>
        <v>0</v>
      </c>
      <c r="Z45" s="49">
        <f t="shared" si="25"/>
        <v>0</v>
      </c>
      <c r="AA45" s="49">
        <f t="shared" si="25"/>
        <v>0</v>
      </c>
      <c r="AB45" s="49">
        <f t="shared" si="25"/>
        <v>0</v>
      </c>
      <c r="AC45" s="49">
        <f t="shared" si="25"/>
        <v>0</v>
      </c>
      <c r="AD45" s="49">
        <f t="shared" si="25"/>
        <v>0</v>
      </c>
      <c r="AE45" s="49">
        <f t="shared" si="25"/>
        <v>0</v>
      </c>
      <c r="AF45" s="49">
        <f t="shared" si="25"/>
        <v>0</v>
      </c>
      <c r="AG45" s="49">
        <f t="shared" si="25"/>
        <v>0</v>
      </c>
      <c r="AH45" s="49">
        <f t="shared" si="25"/>
        <v>0</v>
      </c>
      <c r="AI45" s="49">
        <f t="shared" si="25"/>
        <v>0</v>
      </c>
      <c r="AJ45" s="49">
        <f t="shared" si="25"/>
        <v>0</v>
      </c>
      <c r="AK45" s="49">
        <f t="shared" si="25"/>
        <v>0</v>
      </c>
      <c r="AL45" s="42"/>
      <c r="AM45" s="43">
        <v>29</v>
      </c>
      <c r="AN45">
        <v>93.857383192740699</v>
      </c>
      <c r="AO45">
        <v>15.602599026235406</v>
      </c>
      <c r="AP45">
        <v>111.75886479128442</v>
      </c>
      <c r="AQ45">
        <v>134.04513004841124</v>
      </c>
      <c r="AR45">
        <v>14.418731134802957</v>
      </c>
      <c r="AS45">
        <v>153.52810126483115</v>
      </c>
      <c r="AT45">
        <v>9.8799011052072299</v>
      </c>
      <c r="AU45">
        <v>15.223530045724045</v>
      </c>
      <c r="AV45"/>
      <c r="AW45"/>
      <c r="FY45" s="213">
        <v>40</v>
      </c>
      <c r="FZ45">
        <v>47.097861509352221</v>
      </c>
      <c r="GA45">
        <v>58.014458023847283</v>
      </c>
      <c r="GB45">
        <v>6.8092537157656405</v>
      </c>
      <c r="GC45">
        <v>4.7776892295660556</v>
      </c>
      <c r="GD45">
        <v>2.3513525271982467</v>
      </c>
      <c r="GE45">
        <v>1.8843352336791697</v>
      </c>
      <c r="GF45">
        <v>1.0253076964035426</v>
      </c>
      <c r="GG45">
        <v>1.9132701449204101</v>
      </c>
      <c r="GH45">
        <v>2.1611736260621592</v>
      </c>
      <c r="GI45">
        <v>10.541536339942814</v>
      </c>
      <c r="GJ45"/>
      <c r="GK45"/>
      <c r="GL45"/>
      <c r="GM45"/>
      <c r="GN45" s="208"/>
      <c r="GO45" s="208"/>
      <c r="GP45" s="208"/>
      <c r="GQ45" s="208"/>
      <c r="GR45" s="208"/>
      <c r="GS45" s="208"/>
      <c r="GT45" s="208"/>
      <c r="GU45" s="213">
        <v>40</v>
      </c>
    </row>
    <row r="46" spans="1:203" s="7" customFormat="1">
      <c r="A46" s="4"/>
      <c r="B46" s="1"/>
      <c r="C46" s="48" t="s">
        <v>122</v>
      </c>
      <c r="D46" s="49">
        <f>IF(SUM(G46:AK46)&lt;0.0001, 0, SUM(G46:AK46))</f>
        <v>6.9822086924845124</v>
      </c>
      <c r="E46" s="107">
        <f t="shared" si="20"/>
        <v>0.1254520894691275</v>
      </c>
      <c r="F46" s="18"/>
      <c r="G46" s="49">
        <f>G30*G36</f>
        <v>0</v>
      </c>
      <c r="H46" s="49">
        <f t="shared" ref="H46:AK46" si="26">H30*H36</f>
        <v>4.1010053160919532E-2</v>
      </c>
      <c r="I46" s="49">
        <f t="shared" si="26"/>
        <v>1.4487177499225847</v>
      </c>
      <c r="J46" s="49">
        <f t="shared" si="26"/>
        <v>1.602039301108684</v>
      </c>
      <c r="K46" s="49">
        <f t="shared" si="26"/>
        <v>1.3100452995644862</v>
      </c>
      <c r="L46" s="49">
        <f t="shared" si="26"/>
        <v>0.77005223923410093</v>
      </c>
      <c r="M46" s="49">
        <f t="shared" si="26"/>
        <v>1.121783730414992</v>
      </c>
      <c r="N46" s="49">
        <f t="shared" si="26"/>
        <v>0.28308163644547107</v>
      </c>
      <c r="O46" s="49">
        <f t="shared" si="26"/>
        <v>0.40547868263327469</v>
      </c>
      <c r="P46" s="49">
        <f t="shared" si="26"/>
        <v>0</v>
      </c>
      <c r="Q46" s="49">
        <f t="shared" si="26"/>
        <v>0</v>
      </c>
      <c r="R46" s="49">
        <f t="shared" si="26"/>
        <v>0</v>
      </c>
      <c r="S46" s="49">
        <f t="shared" si="26"/>
        <v>0</v>
      </c>
      <c r="T46" s="49">
        <f t="shared" si="26"/>
        <v>0</v>
      </c>
      <c r="U46" s="49">
        <f t="shared" si="26"/>
        <v>0</v>
      </c>
      <c r="V46" s="49">
        <f t="shared" si="26"/>
        <v>0</v>
      </c>
      <c r="W46" s="49">
        <f t="shared" si="26"/>
        <v>0</v>
      </c>
      <c r="X46" s="49">
        <f t="shared" si="26"/>
        <v>0</v>
      </c>
      <c r="Y46" s="49">
        <f t="shared" si="26"/>
        <v>0</v>
      </c>
      <c r="Z46" s="49">
        <f t="shared" si="26"/>
        <v>0</v>
      </c>
      <c r="AA46" s="49">
        <f t="shared" si="26"/>
        <v>0</v>
      </c>
      <c r="AB46" s="49">
        <f t="shared" si="26"/>
        <v>0</v>
      </c>
      <c r="AC46" s="49">
        <f t="shared" si="26"/>
        <v>0</v>
      </c>
      <c r="AD46" s="49">
        <f t="shared" si="26"/>
        <v>0</v>
      </c>
      <c r="AE46" s="49">
        <f t="shared" si="26"/>
        <v>0</v>
      </c>
      <c r="AF46" s="49">
        <f t="shared" si="26"/>
        <v>0</v>
      </c>
      <c r="AG46" s="49">
        <f t="shared" si="26"/>
        <v>0</v>
      </c>
      <c r="AH46" s="49">
        <f t="shared" si="26"/>
        <v>0</v>
      </c>
      <c r="AI46" s="49">
        <f t="shared" si="26"/>
        <v>0</v>
      </c>
      <c r="AJ46" s="49">
        <f t="shared" si="26"/>
        <v>0</v>
      </c>
      <c r="AK46" s="49">
        <f t="shared" si="26"/>
        <v>0</v>
      </c>
      <c r="AL46" s="42"/>
      <c r="AM46" s="43">
        <v>30</v>
      </c>
      <c r="AN46">
        <v>79.202638856898488</v>
      </c>
      <c r="AO46">
        <v>16.78697403509296</v>
      </c>
      <c r="AP46">
        <v>92.781231685367459</v>
      </c>
      <c r="AQ46">
        <v>142.23430399819736</v>
      </c>
      <c r="AR46">
        <v>15.307095014499584</v>
      </c>
      <c r="AS46">
        <v>169.32677281835834</v>
      </c>
      <c r="AT46" t="e">
        <v>#DIV/0!</v>
      </c>
      <c r="AU46" t="e">
        <v>#DIV/0!</v>
      </c>
      <c r="AV46"/>
      <c r="AW46"/>
      <c r="FY46" s="213">
        <v>41</v>
      </c>
      <c r="FZ46">
        <v>15.066556474694584</v>
      </c>
      <c r="GA46">
        <v>22.381141112049519</v>
      </c>
      <c r="GB46">
        <v>6.5865870434382252</v>
      </c>
      <c r="GC46">
        <v>3.8324980121437702</v>
      </c>
      <c r="GD46">
        <v>2.6966681098165077</v>
      </c>
      <c r="GE46">
        <v>2.6599251788409535</v>
      </c>
      <c r="GF46">
        <v>6.1427045119028261</v>
      </c>
      <c r="GG46">
        <v>7.4614269898525247</v>
      </c>
      <c r="GH46">
        <v>3.1207386232207117</v>
      </c>
      <c r="GI46">
        <v>7.0816965704506964</v>
      </c>
      <c r="GJ46"/>
      <c r="GK46"/>
      <c r="GL46"/>
      <c r="GM46"/>
      <c r="GN46" s="208"/>
      <c r="GO46" s="208"/>
      <c r="GP46" s="208"/>
      <c r="GQ46" s="208"/>
      <c r="GR46" s="208"/>
      <c r="GS46" s="208"/>
      <c r="GT46" s="208"/>
      <c r="GU46" s="213">
        <v>41</v>
      </c>
    </row>
    <row r="47" spans="1:203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82.499764253992197</v>
      </c>
      <c r="AO47">
        <v>10.877209802658168</v>
      </c>
      <c r="AP47">
        <v>55.165479372118817</v>
      </c>
      <c r="AQ47">
        <v>84.983010623592691</v>
      </c>
      <c r="AR47">
        <v>9.9963600268825363</v>
      </c>
      <c r="AS47">
        <v>150.43722997622336</v>
      </c>
      <c r="AT47" t="e">
        <v>#DIV/0!</v>
      </c>
      <c r="AU47" t="e">
        <v>#DIV/0!</v>
      </c>
      <c r="AV47"/>
      <c r="AW47"/>
      <c r="FY47" s="213">
        <v>42</v>
      </c>
      <c r="FZ47">
        <v>5.0971985386058973</v>
      </c>
      <c r="GA47">
        <v>8.4160582955419247</v>
      </c>
      <c r="GB47">
        <v>5.2255373237405145</v>
      </c>
      <c r="GC47">
        <v>3.3344595247680306</v>
      </c>
      <c r="GD47">
        <v>1.9875223027833113</v>
      </c>
      <c r="GE47">
        <v>1.9293741246684646</v>
      </c>
      <c r="GF47">
        <v>1.2663940365764008</v>
      </c>
      <c r="GG47">
        <v>0.94515301338730384</v>
      </c>
      <c r="GH47">
        <v>0.60080431445180338</v>
      </c>
      <c r="GI47">
        <v>3.5531129185939485</v>
      </c>
      <c r="GJ47"/>
      <c r="GK47"/>
      <c r="GL47"/>
      <c r="GM47"/>
      <c r="GN47" s="208"/>
      <c r="GO47" s="208"/>
      <c r="GP47" s="208"/>
      <c r="GQ47" s="208"/>
      <c r="GR47" s="208"/>
      <c r="GS47" s="208"/>
      <c r="GT47" s="208"/>
      <c r="GU47" s="213">
        <v>42</v>
      </c>
    </row>
    <row r="48" spans="1:203" s="7" customFormat="1">
      <c r="A48" s="4"/>
      <c r="B48" s="1"/>
      <c r="C48" s="60" t="s">
        <v>50</v>
      </c>
      <c r="D48" s="53">
        <f>AVERAGE(D37:D47)</f>
        <v>7.3644102636692796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67.326632204237427</v>
      </c>
      <c r="AO48">
        <v>11.725616462522328</v>
      </c>
      <c r="AP48">
        <v>98.958589691735142</v>
      </c>
      <c r="AQ48">
        <v>95.986238881302967</v>
      </c>
      <c r="AR48">
        <v>10.832423580467392</v>
      </c>
      <c r="AS48">
        <v>127.31520623428796</v>
      </c>
      <c r="AT48">
        <v>7.5610330015522882</v>
      </c>
      <c r="AU48">
        <v>23.917273546058968</v>
      </c>
      <c r="AV48"/>
      <c r="AW48"/>
      <c r="FY48" s="213">
        <v>43</v>
      </c>
      <c r="FZ48">
        <v>42.117975590314053</v>
      </c>
      <c r="GA48">
        <v>54.66680986783873</v>
      </c>
      <c r="GB48">
        <v>9.9749474101645799</v>
      </c>
      <c r="GC48">
        <v>5.2610934121872299</v>
      </c>
      <c r="GD48">
        <v>1.9420877219249011</v>
      </c>
      <c r="GE48">
        <v>2.0789327207838646</v>
      </c>
      <c r="GF48">
        <v>4.8025290916649883</v>
      </c>
      <c r="GG48">
        <v>5.0578522456219064</v>
      </c>
      <c r="GH48">
        <v>2.7619779405139626</v>
      </c>
      <c r="GI48">
        <v>11.208930677341549</v>
      </c>
      <c r="GJ48"/>
      <c r="GK48"/>
      <c r="GL48"/>
      <c r="GM48"/>
      <c r="GN48" s="208"/>
      <c r="GO48" s="208"/>
      <c r="GP48" s="208"/>
      <c r="GQ48" s="208"/>
      <c r="GR48" s="208"/>
      <c r="GS48" s="208"/>
      <c r="GT48" s="208"/>
      <c r="GU48" s="213">
        <v>43</v>
      </c>
    </row>
    <row r="49" spans="1:203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96.737260900160237</v>
      </c>
      <c r="AO49">
        <v>14.21781764319177</v>
      </c>
      <c r="AP49">
        <v>105.30797209795956</v>
      </c>
      <c r="AQ49">
        <v>114.38340865468169</v>
      </c>
      <c r="AR49">
        <v>13.057386809638428</v>
      </c>
      <c r="AS49">
        <v>147.29337974157229</v>
      </c>
      <c r="AT49" t="e">
        <v>#DIV/0!</v>
      </c>
      <c r="AU49" t="e">
        <v>#DIV/0!</v>
      </c>
      <c r="AV49"/>
      <c r="AW49"/>
      <c r="FY49" s="213">
        <v>44</v>
      </c>
      <c r="FZ49">
        <v>17.837823024410909</v>
      </c>
      <c r="GA49">
        <v>24.924540104147297</v>
      </c>
      <c r="GB49">
        <v>9.1565086657988921</v>
      </c>
      <c r="GC49">
        <v>5.0484920335346279</v>
      </c>
      <c r="GD49">
        <v>2.482983361175414</v>
      </c>
      <c r="GE49">
        <v>2.5922513158327334</v>
      </c>
      <c r="GF49">
        <v>1.7746619759705291</v>
      </c>
      <c r="GG49">
        <v>2.5637460352354067</v>
      </c>
      <c r="GH49">
        <v>2.7619779405139626</v>
      </c>
      <c r="GI49">
        <v>7.1636845145509094</v>
      </c>
      <c r="GJ49"/>
      <c r="GK49"/>
      <c r="GL49"/>
      <c r="GM49"/>
      <c r="GN49" s="208"/>
      <c r="GO49" s="208"/>
      <c r="GP49" s="208"/>
      <c r="GQ49" s="208"/>
      <c r="GR49" s="208"/>
      <c r="GS49" s="208"/>
      <c r="GT49" s="208"/>
      <c r="GU49" s="213">
        <v>44</v>
      </c>
    </row>
    <row r="50" spans="1:203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92.593335231602197</v>
      </c>
      <c r="AO50">
        <v>12.596959372375942</v>
      </c>
      <c r="AP50">
        <v>64.897821921480428</v>
      </c>
      <c r="AQ50">
        <v>101.14034010694195</v>
      </c>
      <c r="AR50">
        <v>11.559867874760833</v>
      </c>
      <c r="AS50">
        <v>142.64423137358537</v>
      </c>
      <c r="AT50" t="e">
        <v>#DIV/0!</v>
      </c>
      <c r="AU50" t="e">
        <v>#DIV/0!</v>
      </c>
      <c r="AV50"/>
      <c r="AW50"/>
      <c r="FY50" s="213">
        <v>45</v>
      </c>
      <c r="FZ50">
        <v>22.03481913933641</v>
      </c>
      <c r="GA50">
        <v>22.411108951713512</v>
      </c>
      <c r="GB50">
        <v>4.8012067003694687</v>
      </c>
      <c r="GC50">
        <v>3.9357792996732885</v>
      </c>
      <c r="GD50">
        <v>1.8388812338103788</v>
      </c>
      <c r="GE50">
        <v>1.7103564865028562</v>
      </c>
      <c r="GF50">
        <v>2.6073923714661227</v>
      </c>
      <c r="GG50">
        <v>4.5613336863788563</v>
      </c>
      <c r="GH50">
        <v>3.1207386232207117</v>
      </c>
      <c r="GI50">
        <v>6.4908168046241546</v>
      </c>
      <c r="GJ50"/>
      <c r="GK50"/>
      <c r="GL50"/>
      <c r="GM50"/>
      <c r="GN50" s="208"/>
      <c r="GO50" s="208"/>
      <c r="GP50" s="208"/>
      <c r="GQ50" s="208"/>
      <c r="GR50" s="208"/>
      <c r="GS50" s="208"/>
      <c r="GT50" s="208"/>
      <c r="GU50" s="213">
        <v>45</v>
      </c>
    </row>
    <row r="51" spans="1:203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63.750440218822575</v>
      </c>
      <c r="AO51">
        <v>8.870749322155401</v>
      </c>
      <c r="AP51">
        <v>46.362933946243061</v>
      </c>
      <c r="AQ51">
        <v>70.69184742382798</v>
      </c>
      <c r="AR51">
        <v>8.3784754815172739</v>
      </c>
      <c r="AS51">
        <v>110.47968607524409</v>
      </c>
      <c r="AT51">
        <v>5.849894652626765</v>
      </c>
      <c r="AU51">
        <v>15.115172030081165</v>
      </c>
      <c r="AV51"/>
      <c r="AW51"/>
      <c r="FY51" s="213">
        <v>46</v>
      </c>
      <c r="FZ51">
        <v>16.024805542077917</v>
      </c>
      <c r="GA51">
        <v>24.006064445374527</v>
      </c>
      <c r="GB51">
        <v>8.2120615330083861</v>
      </c>
      <c r="GC51">
        <v>4.2282407121565191</v>
      </c>
      <c r="GD51">
        <v>2.1337582334151421</v>
      </c>
      <c r="GE51">
        <v>2.2265939988070587</v>
      </c>
      <c r="GF51">
        <v>6.5330728466348083</v>
      </c>
      <c r="GG51">
        <v>10.164379956030734</v>
      </c>
      <c r="GH51">
        <v>7.4430858753450302</v>
      </c>
      <c r="GI51">
        <v>8.1069290223961197</v>
      </c>
      <c r="GJ51"/>
      <c r="GK51"/>
      <c r="GL51"/>
      <c r="GM51"/>
      <c r="GN51" s="208"/>
      <c r="GO51" s="208"/>
      <c r="GP51" s="208"/>
      <c r="GQ51" s="208"/>
      <c r="GR51" s="208"/>
      <c r="GS51" s="208"/>
      <c r="GT51" s="208"/>
      <c r="GU51" s="213">
        <v>46</v>
      </c>
    </row>
    <row r="52" spans="1:203" s="7" customFormat="1">
      <c r="A52" s="4"/>
      <c r="B52" s="36"/>
      <c r="C52" s="48" t="s">
        <v>38</v>
      </c>
      <c r="D52" s="49">
        <f>SUM(G52:AK52)</f>
        <v>16.792759228625293</v>
      </c>
      <c r="E52" s="19">
        <f>F374</f>
        <v>5.631412925550229E-2</v>
      </c>
      <c r="F52" s="8"/>
      <c r="G52" s="49">
        <f>$E$52*$E$21*G37</f>
        <v>0</v>
      </c>
      <c r="H52" s="49">
        <f t="shared" ref="H52:AK52" si="27">$E$52*$E$21*H37</f>
        <v>0</v>
      </c>
      <c r="I52" s="49">
        <f t="shared" si="27"/>
        <v>1.6262915775017555</v>
      </c>
      <c r="J52" s="49">
        <f t="shared" si="27"/>
        <v>3.5864778897033753</v>
      </c>
      <c r="K52" s="49">
        <f t="shared" si="27"/>
        <v>5.9670195855339321</v>
      </c>
      <c r="L52" s="49">
        <f t="shared" si="27"/>
        <v>3.4809059286795367</v>
      </c>
      <c r="M52" s="49">
        <f t="shared" si="27"/>
        <v>2.1320642472066922</v>
      </c>
      <c r="N52" s="49">
        <f t="shared" si="27"/>
        <v>0</v>
      </c>
      <c r="O52" s="49">
        <f t="shared" si="27"/>
        <v>0</v>
      </c>
      <c r="P52" s="49">
        <f t="shared" si="27"/>
        <v>0</v>
      </c>
      <c r="Q52" s="49">
        <f t="shared" si="27"/>
        <v>0</v>
      </c>
      <c r="R52" s="49">
        <f t="shared" si="27"/>
        <v>0</v>
      </c>
      <c r="S52" s="49">
        <f t="shared" si="27"/>
        <v>0</v>
      </c>
      <c r="T52" s="49">
        <f t="shared" si="27"/>
        <v>0</v>
      </c>
      <c r="U52" s="49">
        <f t="shared" si="27"/>
        <v>0</v>
      </c>
      <c r="V52" s="49">
        <f t="shared" si="27"/>
        <v>0</v>
      </c>
      <c r="W52" s="49">
        <f t="shared" si="27"/>
        <v>0</v>
      </c>
      <c r="X52" s="49">
        <f t="shared" si="27"/>
        <v>0</v>
      </c>
      <c r="Y52" s="49">
        <f t="shared" si="27"/>
        <v>0</v>
      </c>
      <c r="Z52" s="49">
        <f t="shared" si="27"/>
        <v>0</v>
      </c>
      <c r="AA52" s="49">
        <f t="shared" si="27"/>
        <v>0</v>
      </c>
      <c r="AB52" s="49">
        <f t="shared" si="27"/>
        <v>0</v>
      </c>
      <c r="AC52" s="49">
        <f t="shared" si="27"/>
        <v>0</v>
      </c>
      <c r="AD52" s="49">
        <f t="shared" si="27"/>
        <v>0</v>
      </c>
      <c r="AE52" s="49">
        <f t="shared" si="27"/>
        <v>0</v>
      </c>
      <c r="AF52" s="49">
        <f t="shared" si="27"/>
        <v>0</v>
      </c>
      <c r="AG52" s="49">
        <f t="shared" si="27"/>
        <v>0</v>
      </c>
      <c r="AH52" s="49">
        <f t="shared" si="27"/>
        <v>0</v>
      </c>
      <c r="AI52" s="49">
        <f t="shared" si="27"/>
        <v>0</v>
      </c>
      <c r="AJ52" s="49">
        <f t="shared" si="27"/>
        <v>0</v>
      </c>
      <c r="AK52" s="49">
        <f t="shared" si="27"/>
        <v>0</v>
      </c>
      <c r="AL52" s="42"/>
      <c r="AM52" s="43">
        <v>36</v>
      </c>
      <c r="AN52">
        <v>123.85097585416425</v>
      </c>
      <c r="AO52">
        <v>16.863628938395898</v>
      </c>
      <c r="AP52">
        <v>109.47653834491422</v>
      </c>
      <c r="AQ52">
        <v>132.56821290048475</v>
      </c>
      <c r="AR52">
        <v>15.703500808129444</v>
      </c>
      <c r="AS52">
        <v>223.75253939293242</v>
      </c>
      <c r="AT52">
        <v>10.991213364056525</v>
      </c>
      <c r="AU52">
        <v>-27.199954156583438</v>
      </c>
      <c r="AV52"/>
      <c r="AW52"/>
      <c r="FY52" s="213">
        <v>47</v>
      </c>
      <c r="FZ52">
        <v>35.156158740037952</v>
      </c>
      <c r="GA52">
        <v>45.725366925628308</v>
      </c>
      <c r="GB52">
        <v>12.486371935620024</v>
      </c>
      <c r="GC52">
        <v>6.5631580203811479</v>
      </c>
      <c r="GD52">
        <v>1.9712191498387599</v>
      </c>
      <c r="GE52">
        <v>2.0182156680945713</v>
      </c>
      <c r="GF52">
        <v>1.7000576776572076</v>
      </c>
      <c r="GG52">
        <v>1.325163223887444</v>
      </c>
      <c r="GH52">
        <v>0</v>
      </c>
      <c r="GI52">
        <v>9.8435165828382374</v>
      </c>
      <c r="GJ52"/>
      <c r="GK52"/>
      <c r="GL52"/>
      <c r="GM52"/>
      <c r="GN52" s="208"/>
      <c r="GO52" s="208"/>
      <c r="GP52" s="208"/>
      <c r="GQ52" s="208"/>
      <c r="GR52" s="208"/>
      <c r="GS52" s="208"/>
      <c r="GT52" s="208"/>
      <c r="GU52" s="213">
        <v>47</v>
      </c>
    </row>
    <row r="53" spans="1:203" s="7" customFormat="1">
      <c r="A53" s="4"/>
      <c r="B53" s="36"/>
      <c r="C53" s="48" t="s">
        <v>39</v>
      </c>
      <c r="D53" s="49">
        <f t="shared" ref="D53:D61" si="28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9">$E$53*$E$22*H38</f>
        <v>0</v>
      </c>
      <c r="I53" s="49">
        <f t="shared" si="29"/>
        <v>0</v>
      </c>
      <c r="J53" s="49">
        <f t="shared" si="29"/>
        <v>0</v>
      </c>
      <c r="K53" s="49">
        <f t="shared" si="29"/>
        <v>0</v>
      </c>
      <c r="L53" s="49">
        <f t="shared" si="29"/>
        <v>0</v>
      </c>
      <c r="M53" s="49">
        <f t="shared" si="29"/>
        <v>0</v>
      </c>
      <c r="N53" s="49">
        <f t="shared" si="29"/>
        <v>0</v>
      </c>
      <c r="O53" s="49">
        <f t="shared" si="29"/>
        <v>0</v>
      </c>
      <c r="P53" s="49">
        <f t="shared" si="29"/>
        <v>0</v>
      </c>
      <c r="Q53" s="49">
        <f t="shared" si="29"/>
        <v>0</v>
      </c>
      <c r="R53" s="49">
        <f t="shared" si="29"/>
        <v>0</v>
      </c>
      <c r="S53" s="49">
        <f t="shared" si="29"/>
        <v>0</v>
      </c>
      <c r="T53" s="49">
        <f t="shared" si="29"/>
        <v>0</v>
      </c>
      <c r="U53" s="49">
        <f t="shared" si="29"/>
        <v>0</v>
      </c>
      <c r="V53" s="49">
        <f t="shared" si="29"/>
        <v>0</v>
      </c>
      <c r="W53" s="49">
        <f t="shared" si="29"/>
        <v>0</v>
      </c>
      <c r="X53" s="49">
        <f t="shared" si="29"/>
        <v>0</v>
      </c>
      <c r="Y53" s="49">
        <f t="shared" si="29"/>
        <v>0</v>
      </c>
      <c r="Z53" s="49">
        <f t="shared" si="29"/>
        <v>0</v>
      </c>
      <c r="AA53" s="49">
        <f t="shared" si="29"/>
        <v>0</v>
      </c>
      <c r="AB53" s="49">
        <f t="shared" si="29"/>
        <v>0</v>
      </c>
      <c r="AC53" s="49">
        <f t="shared" si="29"/>
        <v>0</v>
      </c>
      <c r="AD53" s="49">
        <f t="shared" si="29"/>
        <v>0</v>
      </c>
      <c r="AE53" s="49">
        <f t="shared" si="29"/>
        <v>0</v>
      </c>
      <c r="AF53" s="49">
        <f t="shared" si="29"/>
        <v>0</v>
      </c>
      <c r="AG53" s="49">
        <f t="shared" si="29"/>
        <v>0</v>
      </c>
      <c r="AH53" s="49">
        <f t="shared" si="29"/>
        <v>0</v>
      </c>
      <c r="AI53" s="49">
        <f t="shared" si="29"/>
        <v>0</v>
      </c>
      <c r="AJ53" s="49">
        <f t="shared" si="29"/>
        <v>0</v>
      </c>
      <c r="AK53" s="49">
        <f t="shared" si="29"/>
        <v>0</v>
      </c>
      <c r="AL53" s="42"/>
      <c r="AM53" s="43">
        <v>37</v>
      </c>
      <c r="AN53">
        <v>109.88936703955088</v>
      </c>
      <c r="AO53">
        <v>20.282170238414473</v>
      </c>
      <c r="AP53">
        <v>112.29270931581148</v>
      </c>
      <c r="AQ53">
        <v>165.23659255127978</v>
      </c>
      <c r="AR53">
        <v>18.687908020677817</v>
      </c>
      <c r="AS53">
        <v>211.5715033134187</v>
      </c>
      <c r="AT53">
        <v>11.866784340829113</v>
      </c>
      <c r="AU53">
        <v>23.305924613466178</v>
      </c>
      <c r="AV53"/>
      <c r="AW53"/>
      <c r="FY53" s="213">
        <v>48</v>
      </c>
      <c r="FZ53">
        <v>18.338328475932016</v>
      </c>
      <c r="GA53">
        <v>19.243912415365568</v>
      </c>
      <c r="GB53">
        <v>3.5465029044765584</v>
      </c>
      <c r="GC53">
        <v>3.212700211007864</v>
      </c>
      <c r="GD53">
        <v>1.9542128796117781</v>
      </c>
      <c r="GE53">
        <v>2.2171492801030612</v>
      </c>
      <c r="GF53">
        <v>5.0744713580536027</v>
      </c>
      <c r="GG53">
        <v>5.2063198801119261</v>
      </c>
      <c r="GH53">
        <v>2.1611736260621592</v>
      </c>
      <c r="GI53">
        <v>5.9988000457291246</v>
      </c>
      <c r="GJ53"/>
      <c r="GK53"/>
      <c r="GL53"/>
      <c r="GM53"/>
      <c r="GN53" s="208"/>
      <c r="GO53" s="208"/>
      <c r="GP53" s="208"/>
      <c r="GQ53" s="208"/>
      <c r="GR53" s="208"/>
      <c r="GS53" s="208"/>
      <c r="GT53" s="208"/>
      <c r="GU53" s="213">
        <v>48</v>
      </c>
    </row>
    <row r="54" spans="1:203" s="7" customFormat="1">
      <c r="A54" s="4"/>
      <c r="B54" s="36"/>
      <c r="C54" s="48" t="s">
        <v>40</v>
      </c>
      <c r="D54" s="49">
        <f t="shared" si="28"/>
        <v>0</v>
      </c>
      <c r="E54" s="19">
        <f t="shared" ref="E54:E61" si="30">F376</f>
        <v>0</v>
      </c>
      <c r="F54" s="8"/>
      <c r="G54" s="49">
        <f>$E$54*$E$23*G39</f>
        <v>0</v>
      </c>
      <c r="H54" s="49">
        <f t="shared" ref="H54:AK54" si="31">$E$54*$E$23*H39</f>
        <v>0</v>
      </c>
      <c r="I54" s="49">
        <f t="shared" si="31"/>
        <v>0</v>
      </c>
      <c r="J54" s="49">
        <f t="shared" si="31"/>
        <v>0</v>
      </c>
      <c r="K54" s="49">
        <f t="shared" si="31"/>
        <v>0</v>
      </c>
      <c r="L54" s="49">
        <f t="shared" si="31"/>
        <v>0</v>
      </c>
      <c r="M54" s="49">
        <f t="shared" si="31"/>
        <v>0</v>
      </c>
      <c r="N54" s="49">
        <f t="shared" si="31"/>
        <v>0</v>
      </c>
      <c r="O54" s="49">
        <f t="shared" si="31"/>
        <v>0</v>
      </c>
      <c r="P54" s="49">
        <f t="shared" si="31"/>
        <v>0</v>
      </c>
      <c r="Q54" s="49">
        <f t="shared" si="31"/>
        <v>0</v>
      </c>
      <c r="R54" s="49">
        <f t="shared" si="31"/>
        <v>0</v>
      </c>
      <c r="S54" s="49">
        <f t="shared" si="31"/>
        <v>0</v>
      </c>
      <c r="T54" s="49">
        <f t="shared" si="31"/>
        <v>0</v>
      </c>
      <c r="U54" s="49">
        <f t="shared" si="31"/>
        <v>0</v>
      </c>
      <c r="V54" s="49">
        <f t="shared" si="31"/>
        <v>0</v>
      </c>
      <c r="W54" s="49">
        <f t="shared" si="31"/>
        <v>0</v>
      </c>
      <c r="X54" s="49">
        <f t="shared" si="31"/>
        <v>0</v>
      </c>
      <c r="Y54" s="49">
        <f t="shared" si="31"/>
        <v>0</v>
      </c>
      <c r="Z54" s="49">
        <f t="shared" si="31"/>
        <v>0</v>
      </c>
      <c r="AA54" s="49">
        <f t="shared" si="31"/>
        <v>0</v>
      </c>
      <c r="AB54" s="49">
        <f t="shared" si="31"/>
        <v>0</v>
      </c>
      <c r="AC54" s="49">
        <f t="shared" si="31"/>
        <v>0</v>
      </c>
      <c r="AD54" s="49">
        <f t="shared" si="31"/>
        <v>0</v>
      </c>
      <c r="AE54" s="49">
        <f t="shared" si="31"/>
        <v>0</v>
      </c>
      <c r="AF54" s="49">
        <f t="shared" si="31"/>
        <v>0</v>
      </c>
      <c r="AG54" s="49">
        <f t="shared" si="31"/>
        <v>0</v>
      </c>
      <c r="AH54" s="49">
        <f t="shared" si="31"/>
        <v>0</v>
      </c>
      <c r="AI54" s="49">
        <f t="shared" si="31"/>
        <v>0</v>
      </c>
      <c r="AJ54" s="49">
        <f t="shared" si="31"/>
        <v>0</v>
      </c>
      <c r="AK54" s="49">
        <f t="shared" si="31"/>
        <v>0</v>
      </c>
      <c r="AL54" s="42"/>
      <c r="AM54" s="43">
        <v>38</v>
      </c>
      <c r="AN54">
        <v>92.12813457648015</v>
      </c>
      <c r="AO54">
        <v>14.183197934377471</v>
      </c>
      <c r="AP54">
        <v>75.37175450508218</v>
      </c>
      <c r="AQ54">
        <v>113.2110028400065</v>
      </c>
      <c r="AR54">
        <v>12.953384358543309</v>
      </c>
      <c r="AS54">
        <v>176.9595655552333</v>
      </c>
      <c r="AT54" t="e">
        <v>#DIV/0!</v>
      </c>
      <c r="AU54" t="e">
        <v>#DIV/0!</v>
      </c>
      <c r="AV54"/>
      <c r="AW54"/>
      <c r="FY54" s="213">
        <v>49</v>
      </c>
      <c r="FZ54">
        <v>16.417543665189164</v>
      </c>
      <c r="GA54">
        <v>17.389820267253782</v>
      </c>
      <c r="GB54">
        <v>10.101393684823108</v>
      </c>
      <c r="GC54">
        <v>6.9217015760107987</v>
      </c>
      <c r="GD54">
        <v>2.3903566498057525</v>
      </c>
      <c r="GE54">
        <v>2.658590457705388</v>
      </c>
      <c r="GF54">
        <v>3.7456061334131707</v>
      </c>
      <c r="GG54">
        <v>2.9023176573423495</v>
      </c>
      <c r="GH54">
        <v>0</v>
      </c>
      <c r="GI54">
        <v>7.010753550120973</v>
      </c>
      <c r="GJ54"/>
      <c r="GK54"/>
      <c r="GL54"/>
      <c r="GM54"/>
      <c r="GN54" s="208"/>
      <c r="GO54" s="208"/>
      <c r="GP54" s="208"/>
      <c r="GQ54" s="208"/>
      <c r="GR54" s="208"/>
      <c r="GS54" s="208"/>
      <c r="GT54" s="208"/>
      <c r="GU54" s="213">
        <v>49</v>
      </c>
    </row>
    <row r="55" spans="1:203" s="7" customFormat="1">
      <c r="A55" s="4"/>
      <c r="B55" s="36"/>
      <c r="C55" s="48" t="s">
        <v>41</v>
      </c>
      <c r="D55" s="49">
        <f t="shared" si="28"/>
        <v>2.1924145059928817</v>
      </c>
      <c r="E55" s="19">
        <f t="shared" si="30"/>
        <v>6.7836390525050578E-3</v>
      </c>
      <c r="F55" s="8"/>
      <c r="G55" s="49">
        <f>$E$55*$E$24*G40</f>
        <v>0</v>
      </c>
      <c r="H55" s="49">
        <f t="shared" ref="H55:AK55" si="32">$E$55*$E$24*H40</f>
        <v>2.7507435499774489E-2</v>
      </c>
      <c r="I55" s="49">
        <f t="shared" si="32"/>
        <v>0.91721204680010093</v>
      </c>
      <c r="J55" s="49">
        <f t="shared" si="32"/>
        <v>0.81026068711681609</v>
      </c>
      <c r="K55" s="49">
        <f t="shared" si="32"/>
        <v>0.1409508628105528</v>
      </c>
      <c r="L55" s="49">
        <f t="shared" si="32"/>
        <v>0.296483473765637</v>
      </c>
      <c r="M55" s="49">
        <f t="shared" si="32"/>
        <v>0</v>
      </c>
      <c r="N55" s="49">
        <f t="shared" si="32"/>
        <v>0</v>
      </c>
      <c r="O55" s="49">
        <f t="shared" si="32"/>
        <v>0</v>
      </c>
      <c r="P55" s="49">
        <f t="shared" si="32"/>
        <v>0</v>
      </c>
      <c r="Q55" s="49">
        <f t="shared" si="32"/>
        <v>0</v>
      </c>
      <c r="R55" s="49">
        <f t="shared" si="32"/>
        <v>0</v>
      </c>
      <c r="S55" s="49">
        <f t="shared" si="32"/>
        <v>0</v>
      </c>
      <c r="T55" s="49">
        <f t="shared" si="32"/>
        <v>0</v>
      </c>
      <c r="U55" s="49">
        <f t="shared" si="32"/>
        <v>0</v>
      </c>
      <c r="V55" s="49">
        <f t="shared" si="32"/>
        <v>0</v>
      </c>
      <c r="W55" s="49">
        <f t="shared" si="32"/>
        <v>0</v>
      </c>
      <c r="X55" s="49">
        <f t="shared" si="32"/>
        <v>0</v>
      </c>
      <c r="Y55" s="49">
        <f t="shared" si="32"/>
        <v>0</v>
      </c>
      <c r="Z55" s="49">
        <f t="shared" si="32"/>
        <v>0</v>
      </c>
      <c r="AA55" s="49">
        <f t="shared" si="32"/>
        <v>0</v>
      </c>
      <c r="AB55" s="49">
        <f t="shared" si="32"/>
        <v>0</v>
      </c>
      <c r="AC55" s="49">
        <f t="shared" si="32"/>
        <v>0</v>
      </c>
      <c r="AD55" s="49">
        <f t="shared" si="32"/>
        <v>0</v>
      </c>
      <c r="AE55" s="49">
        <f t="shared" si="32"/>
        <v>0</v>
      </c>
      <c r="AF55" s="49">
        <f t="shared" si="32"/>
        <v>0</v>
      </c>
      <c r="AG55" s="49">
        <f t="shared" si="32"/>
        <v>0</v>
      </c>
      <c r="AH55" s="49">
        <f t="shared" si="32"/>
        <v>0</v>
      </c>
      <c r="AI55" s="49">
        <f t="shared" si="32"/>
        <v>0</v>
      </c>
      <c r="AJ55" s="49">
        <f t="shared" si="32"/>
        <v>0</v>
      </c>
      <c r="AK55" s="49">
        <f t="shared" si="32"/>
        <v>0</v>
      </c>
      <c r="AL55" s="42"/>
      <c r="AM55" s="43">
        <v>39</v>
      </c>
      <c r="AN55">
        <v>106.51771470561405</v>
      </c>
      <c r="AO55">
        <v>21.056118393011481</v>
      </c>
      <c r="AP55">
        <v>133.80731994226198</v>
      </c>
      <c r="AQ55">
        <v>185.52879954902951</v>
      </c>
      <c r="AR55">
        <v>19.260962772821326</v>
      </c>
      <c r="AS55">
        <v>230.45703941321418</v>
      </c>
      <c r="AT55" t="e">
        <v>#DIV/0!</v>
      </c>
      <c r="AU55" t="e">
        <v>#DIV/0!</v>
      </c>
      <c r="AV55"/>
      <c r="AW55"/>
      <c r="FY55" s="213">
        <v>50</v>
      </c>
      <c r="FZ55">
        <v>36.555002469463972</v>
      </c>
      <c r="GA55">
        <v>45.166033824636649</v>
      </c>
      <c r="GB55">
        <v>7.4095644603937529</v>
      </c>
      <c r="GC55">
        <v>4.8410837405175631</v>
      </c>
      <c r="GD55">
        <v>2.1331150954706635</v>
      </c>
      <c r="GE55">
        <v>2.0360642503894053</v>
      </c>
      <c r="GF55">
        <v>4.0881513665802824</v>
      </c>
      <c r="GG55">
        <v>3.4779553440803919</v>
      </c>
      <c r="GH55">
        <v>0.60080431445180338</v>
      </c>
      <c r="GI55">
        <v>9.3334213201446694</v>
      </c>
      <c r="GJ55"/>
      <c r="GK55"/>
      <c r="GL55"/>
      <c r="GM55"/>
      <c r="GN55" s="208"/>
      <c r="GO55" s="208"/>
      <c r="GP55" s="208"/>
      <c r="GQ55" s="208"/>
      <c r="GR55" s="208"/>
      <c r="GS55" s="208"/>
      <c r="GT55" s="208"/>
      <c r="GU55" s="213">
        <v>50</v>
      </c>
    </row>
    <row r="56" spans="1:203" s="7" customFormat="1">
      <c r="A56" s="4"/>
      <c r="B56" s="36"/>
      <c r="C56" s="48" t="s">
        <v>42</v>
      </c>
      <c r="D56" s="49">
        <f t="shared" si="28"/>
        <v>4.1436758645953962</v>
      </c>
      <c r="E56" s="19">
        <f t="shared" si="30"/>
        <v>1.9683735956303187E-2</v>
      </c>
      <c r="F56" s="8"/>
      <c r="G56" s="49">
        <f>$E$56*$E$25*G41</f>
        <v>0</v>
      </c>
      <c r="H56" s="49">
        <f t="shared" ref="H56:AK56" si="33">$E$56*$E$25*H41</f>
        <v>3.5081544192633624E-2</v>
      </c>
      <c r="I56" s="49">
        <f t="shared" si="33"/>
        <v>1.1073606938474436</v>
      </c>
      <c r="J56" s="49">
        <f t="shared" si="33"/>
        <v>1.0275845803996106</v>
      </c>
      <c r="K56" s="49">
        <f t="shared" si="33"/>
        <v>0.64719274082945155</v>
      </c>
      <c r="L56" s="49">
        <f t="shared" si="33"/>
        <v>0.3686960663426932</v>
      </c>
      <c r="M56" s="49">
        <f t="shared" si="33"/>
        <v>0</v>
      </c>
      <c r="N56" s="49">
        <f t="shared" si="33"/>
        <v>0</v>
      </c>
      <c r="O56" s="49">
        <f t="shared" si="33"/>
        <v>0.95776023898356444</v>
      </c>
      <c r="P56" s="49">
        <f t="shared" si="33"/>
        <v>0</v>
      </c>
      <c r="Q56" s="49">
        <f t="shared" si="33"/>
        <v>0</v>
      </c>
      <c r="R56" s="49">
        <f t="shared" si="33"/>
        <v>0</v>
      </c>
      <c r="S56" s="49">
        <f t="shared" si="33"/>
        <v>0</v>
      </c>
      <c r="T56" s="49">
        <f t="shared" si="33"/>
        <v>0</v>
      </c>
      <c r="U56" s="49">
        <f t="shared" si="33"/>
        <v>0</v>
      </c>
      <c r="V56" s="49">
        <f t="shared" si="33"/>
        <v>0</v>
      </c>
      <c r="W56" s="49">
        <f t="shared" si="33"/>
        <v>0</v>
      </c>
      <c r="X56" s="49">
        <f t="shared" si="33"/>
        <v>0</v>
      </c>
      <c r="Y56" s="49">
        <f t="shared" si="33"/>
        <v>0</v>
      </c>
      <c r="Z56" s="49">
        <f t="shared" si="33"/>
        <v>0</v>
      </c>
      <c r="AA56" s="49">
        <f t="shared" si="33"/>
        <v>0</v>
      </c>
      <c r="AB56" s="49">
        <f t="shared" si="33"/>
        <v>0</v>
      </c>
      <c r="AC56" s="49">
        <f t="shared" si="33"/>
        <v>0</v>
      </c>
      <c r="AD56" s="49">
        <f t="shared" si="33"/>
        <v>0</v>
      </c>
      <c r="AE56" s="49">
        <f t="shared" si="33"/>
        <v>0</v>
      </c>
      <c r="AF56" s="49">
        <f t="shared" si="33"/>
        <v>0</v>
      </c>
      <c r="AG56" s="49">
        <f t="shared" si="33"/>
        <v>0</v>
      </c>
      <c r="AH56" s="49">
        <f t="shared" si="33"/>
        <v>0</v>
      </c>
      <c r="AI56" s="49">
        <f t="shared" si="33"/>
        <v>0</v>
      </c>
      <c r="AJ56" s="49">
        <f t="shared" si="33"/>
        <v>0</v>
      </c>
      <c r="AK56" s="49">
        <f t="shared" si="33"/>
        <v>0</v>
      </c>
      <c r="AL56" s="42"/>
      <c r="AM56" s="43">
        <v>40</v>
      </c>
      <c r="AN56">
        <v>100.70536113391718</v>
      </c>
      <c r="AO56">
        <v>15.922915290914208</v>
      </c>
      <c r="AP56">
        <v>96.529816698399813</v>
      </c>
      <c r="AQ56">
        <v>136.57623804673753</v>
      </c>
      <c r="AR56">
        <v>14.594763386386953</v>
      </c>
      <c r="AS56">
        <v>187.133549957599</v>
      </c>
      <c r="AT56">
        <v>9.8928116651765663</v>
      </c>
      <c r="AU56">
        <v>8.4674050487965076</v>
      </c>
      <c r="AV56"/>
      <c r="AW56"/>
      <c r="FY56" s="213">
        <v>51</v>
      </c>
      <c r="FZ56">
        <v>24.975858022918612</v>
      </c>
      <c r="GA56">
        <v>28.258681353180556</v>
      </c>
      <c r="GB56">
        <v>3.8758461308228966</v>
      </c>
      <c r="GC56">
        <v>4.1118542060886485</v>
      </c>
      <c r="GD56">
        <v>2.248957437752237</v>
      </c>
      <c r="GE56">
        <v>1.6606584921033143</v>
      </c>
      <c r="GF56">
        <v>3.8139769920933255</v>
      </c>
      <c r="GG56">
        <v>2.9128125411932282</v>
      </c>
      <c r="GH56">
        <v>0.60080431445180338</v>
      </c>
      <c r="GI56">
        <v>6.7874631812525577</v>
      </c>
      <c r="GJ56"/>
      <c r="GK56"/>
      <c r="GL56"/>
      <c r="GM56"/>
      <c r="GN56" s="208"/>
      <c r="GO56" s="208"/>
      <c r="GP56" s="208"/>
      <c r="GQ56" s="208"/>
      <c r="GR56" s="208"/>
      <c r="GS56" s="208"/>
      <c r="GT56" s="208"/>
      <c r="GU56" s="213">
        <v>51</v>
      </c>
    </row>
    <row r="57" spans="1:203" s="7" customFormat="1">
      <c r="A57" s="4"/>
      <c r="B57" s="36"/>
      <c r="C57" s="48" t="s">
        <v>118</v>
      </c>
      <c r="D57" s="49">
        <f t="shared" si="28"/>
        <v>4.2772385960210855</v>
      </c>
      <c r="E57" s="19">
        <f t="shared" si="30"/>
        <v>1.7119357280573854E-2</v>
      </c>
      <c r="F57" s="8"/>
      <c r="G57" s="49">
        <f>$E$57*$E$26*G42</f>
        <v>0</v>
      </c>
      <c r="H57" s="49">
        <f t="shared" ref="H57:AK57" si="34">$E$57*$E$26*H42</f>
        <v>4.9492746672430227E-2</v>
      </c>
      <c r="I57" s="49">
        <f t="shared" si="34"/>
        <v>0.63920957270684475</v>
      </c>
      <c r="J57" s="49">
        <f t="shared" si="34"/>
        <v>1.0196193672397844</v>
      </c>
      <c r="K57" s="49">
        <f t="shared" si="34"/>
        <v>0.90294864436471889</v>
      </c>
      <c r="L57" s="49">
        <f t="shared" si="34"/>
        <v>0</v>
      </c>
      <c r="M57" s="49">
        <f t="shared" si="34"/>
        <v>0</v>
      </c>
      <c r="N57" s="49">
        <f t="shared" si="34"/>
        <v>0</v>
      </c>
      <c r="O57" s="49">
        <f t="shared" si="34"/>
        <v>1.6659682650373067</v>
      </c>
      <c r="P57" s="49">
        <f t="shared" si="34"/>
        <v>0</v>
      </c>
      <c r="Q57" s="49">
        <f t="shared" si="34"/>
        <v>0</v>
      </c>
      <c r="R57" s="49">
        <f t="shared" si="34"/>
        <v>0</v>
      </c>
      <c r="S57" s="49">
        <f t="shared" si="34"/>
        <v>0</v>
      </c>
      <c r="T57" s="49">
        <f t="shared" si="34"/>
        <v>0</v>
      </c>
      <c r="U57" s="49">
        <f t="shared" si="34"/>
        <v>0</v>
      </c>
      <c r="V57" s="49">
        <f t="shared" si="34"/>
        <v>0</v>
      </c>
      <c r="W57" s="49">
        <f t="shared" si="34"/>
        <v>0</v>
      </c>
      <c r="X57" s="49">
        <f t="shared" si="34"/>
        <v>0</v>
      </c>
      <c r="Y57" s="49">
        <f t="shared" si="34"/>
        <v>0</v>
      </c>
      <c r="Z57" s="49">
        <f t="shared" si="34"/>
        <v>0</v>
      </c>
      <c r="AA57" s="49">
        <f t="shared" si="34"/>
        <v>0</v>
      </c>
      <c r="AB57" s="49">
        <f t="shared" si="34"/>
        <v>0</v>
      </c>
      <c r="AC57" s="49">
        <f t="shared" si="34"/>
        <v>0</v>
      </c>
      <c r="AD57" s="49">
        <f t="shared" si="34"/>
        <v>0</v>
      </c>
      <c r="AE57" s="49">
        <f t="shared" si="34"/>
        <v>0</v>
      </c>
      <c r="AF57" s="49">
        <f t="shared" si="34"/>
        <v>0</v>
      </c>
      <c r="AG57" s="49">
        <f t="shared" si="34"/>
        <v>0</v>
      </c>
      <c r="AH57" s="49">
        <f t="shared" si="34"/>
        <v>0</v>
      </c>
      <c r="AI57" s="49">
        <f t="shared" si="34"/>
        <v>0</v>
      </c>
      <c r="AJ57" s="49">
        <f t="shared" si="34"/>
        <v>0</v>
      </c>
      <c r="AK57" s="49">
        <f t="shared" si="34"/>
        <v>0</v>
      </c>
      <c r="AL57" s="42"/>
      <c r="AM57" s="43">
        <v>41</v>
      </c>
      <c r="AN57">
        <v>78.321671574612751</v>
      </c>
      <c r="AO57">
        <v>10.565607190786132</v>
      </c>
      <c r="AP57">
        <v>34.143844783033501</v>
      </c>
      <c r="AQ57">
        <v>77.029942626410332</v>
      </c>
      <c r="AR57">
        <v>9.7526647640433897</v>
      </c>
      <c r="AS57">
        <v>129.73670685095919</v>
      </c>
      <c r="AT57" t="e">
        <v>#DIV/0!</v>
      </c>
      <c r="AU57" t="e">
        <v>#DIV/0!</v>
      </c>
      <c r="AV57"/>
      <c r="AW57"/>
      <c r="FY57" s="213">
        <v>52</v>
      </c>
      <c r="FZ57">
        <v>29.746601237148695</v>
      </c>
      <c r="GA57">
        <v>37.645212666692409</v>
      </c>
      <c r="GB57">
        <v>12.566657004194074</v>
      </c>
      <c r="GC57">
        <v>7.5044460190025895</v>
      </c>
      <c r="GD57">
        <v>1.4615900648667197</v>
      </c>
      <c r="GE57">
        <v>0.98719070773727013</v>
      </c>
      <c r="GF57">
        <v>4.3375564586196838</v>
      </c>
      <c r="GG57">
        <v>4.4927094427347427</v>
      </c>
      <c r="GH57">
        <v>2.7619779405139626</v>
      </c>
      <c r="GI57">
        <v>9.606774426419074</v>
      </c>
      <c r="GJ57"/>
      <c r="GK57"/>
      <c r="GL57"/>
      <c r="GM57"/>
      <c r="GN57" s="208"/>
      <c r="GO57" s="208"/>
      <c r="GP57" s="208"/>
      <c r="GQ57" s="208"/>
      <c r="GR57" s="208"/>
      <c r="GS57" s="208"/>
      <c r="GT57" s="208"/>
      <c r="GU57" s="213">
        <v>52</v>
      </c>
    </row>
    <row r="58" spans="1:203" s="7" customFormat="1">
      <c r="A58" s="4"/>
      <c r="B58" s="1"/>
      <c r="C58" s="48" t="s">
        <v>119</v>
      </c>
      <c r="D58" s="49">
        <f t="shared" si="28"/>
        <v>0</v>
      </c>
      <c r="E58" s="19">
        <f t="shared" si="30"/>
        <v>0</v>
      </c>
      <c r="F58" s="8"/>
      <c r="G58" s="49">
        <f>$E$58*$E$27*G43</f>
        <v>0</v>
      </c>
      <c r="H58" s="49">
        <f t="shared" ref="H58:AK58" si="35">$E$58*$E$27*H43</f>
        <v>0</v>
      </c>
      <c r="I58" s="49">
        <f t="shared" si="35"/>
        <v>0</v>
      </c>
      <c r="J58" s="49">
        <f t="shared" si="35"/>
        <v>0</v>
      </c>
      <c r="K58" s="49">
        <f t="shared" si="35"/>
        <v>0</v>
      </c>
      <c r="L58" s="49">
        <f t="shared" si="35"/>
        <v>0</v>
      </c>
      <c r="M58" s="49">
        <f t="shared" si="35"/>
        <v>0</v>
      </c>
      <c r="N58" s="49">
        <f t="shared" si="35"/>
        <v>0</v>
      </c>
      <c r="O58" s="49">
        <f t="shared" si="35"/>
        <v>0</v>
      </c>
      <c r="P58" s="49">
        <f t="shared" si="35"/>
        <v>0</v>
      </c>
      <c r="Q58" s="49">
        <f t="shared" si="35"/>
        <v>0</v>
      </c>
      <c r="R58" s="49">
        <f t="shared" si="35"/>
        <v>0</v>
      </c>
      <c r="S58" s="49">
        <f t="shared" si="35"/>
        <v>0</v>
      </c>
      <c r="T58" s="49">
        <f t="shared" si="35"/>
        <v>0</v>
      </c>
      <c r="U58" s="49">
        <f t="shared" si="35"/>
        <v>0</v>
      </c>
      <c r="V58" s="49">
        <f t="shared" si="35"/>
        <v>0</v>
      </c>
      <c r="W58" s="49">
        <f t="shared" si="35"/>
        <v>0</v>
      </c>
      <c r="X58" s="49">
        <f t="shared" si="35"/>
        <v>0</v>
      </c>
      <c r="Y58" s="49">
        <f t="shared" si="35"/>
        <v>0</v>
      </c>
      <c r="Z58" s="49">
        <f t="shared" si="35"/>
        <v>0</v>
      </c>
      <c r="AA58" s="49">
        <f t="shared" si="35"/>
        <v>0</v>
      </c>
      <c r="AB58" s="49">
        <f t="shared" si="35"/>
        <v>0</v>
      </c>
      <c r="AC58" s="49">
        <f t="shared" si="35"/>
        <v>0</v>
      </c>
      <c r="AD58" s="49">
        <f t="shared" si="35"/>
        <v>0</v>
      </c>
      <c r="AE58" s="49">
        <f t="shared" si="35"/>
        <v>0</v>
      </c>
      <c r="AF58" s="49">
        <f t="shared" si="35"/>
        <v>0</v>
      </c>
      <c r="AG58" s="49">
        <f t="shared" si="35"/>
        <v>0</v>
      </c>
      <c r="AH58" s="49">
        <f t="shared" si="35"/>
        <v>0</v>
      </c>
      <c r="AI58" s="49">
        <f t="shared" si="35"/>
        <v>0</v>
      </c>
      <c r="AJ58" s="49">
        <f t="shared" si="35"/>
        <v>0</v>
      </c>
      <c r="AK58" s="49">
        <f t="shared" si="35"/>
        <v>0</v>
      </c>
      <c r="AL58" s="42"/>
      <c r="AM58" s="43">
        <v>42</v>
      </c>
      <c r="AN58">
        <v>56.639282796451916</v>
      </c>
      <c r="AO58">
        <v>5.2284867777920621</v>
      </c>
      <c r="AP58">
        <v>25.836922660025291</v>
      </c>
      <c r="AQ58">
        <v>32.355614393117598</v>
      </c>
      <c r="AR58">
        <v>4.9057040931286968</v>
      </c>
      <c r="AS58">
        <v>79.020209479691331</v>
      </c>
      <c r="AT58" t="e">
        <v>#DIV/0!</v>
      </c>
      <c r="AU58" t="e">
        <v>#DIV/0!</v>
      </c>
      <c r="AV58"/>
      <c r="AW58"/>
      <c r="FY58" s="213">
        <v>53</v>
      </c>
      <c r="FZ58">
        <v>33.801402876905655</v>
      </c>
      <c r="GA58">
        <v>42.715553845078915</v>
      </c>
      <c r="GB58">
        <v>8.61787675579329</v>
      </c>
      <c r="GC58">
        <v>6.0112753993163608</v>
      </c>
      <c r="GD58">
        <v>2.5752250211897287</v>
      </c>
      <c r="GE58">
        <v>1.8777554406641546</v>
      </c>
      <c r="GF58">
        <v>2.8451908169374591</v>
      </c>
      <c r="GG58">
        <v>2.2605712115486538</v>
      </c>
      <c r="GH58">
        <v>0.60080431445180338</v>
      </c>
      <c r="GI58">
        <v>9.2857628478727179</v>
      </c>
      <c r="GJ58"/>
      <c r="GK58"/>
      <c r="GL58"/>
      <c r="GM58"/>
      <c r="GN58" s="208"/>
      <c r="GO58" s="208"/>
      <c r="GP58" s="208"/>
      <c r="GQ58" s="208"/>
      <c r="GR58" s="208"/>
      <c r="GS58" s="208"/>
      <c r="GT58" s="208"/>
      <c r="GU58" s="213">
        <v>53</v>
      </c>
    </row>
    <row r="59" spans="1:203" s="7" customFormat="1">
      <c r="A59" s="4"/>
      <c r="B59" s="1"/>
      <c r="C59" s="48" t="s">
        <v>120</v>
      </c>
      <c r="D59" s="49">
        <f t="shared" si="28"/>
        <v>0.80005824977681339</v>
      </c>
      <c r="E59" s="19">
        <f t="shared" si="30"/>
        <v>3.6429980497278266E-3</v>
      </c>
      <c r="F59" s="8"/>
      <c r="G59" s="49">
        <f>$E$59*$E$28*G44</f>
        <v>0</v>
      </c>
      <c r="H59" s="49">
        <f t="shared" ref="H59:AK59" si="36">$E$59*$E$28*H44</f>
        <v>0</v>
      </c>
      <c r="I59" s="49">
        <f t="shared" si="36"/>
        <v>8.0586989098880082E-2</v>
      </c>
      <c r="J59" s="49">
        <f t="shared" si="36"/>
        <v>1.0283707671623817E-2</v>
      </c>
      <c r="K59" s="49">
        <f t="shared" si="36"/>
        <v>0.11151412147151958</v>
      </c>
      <c r="L59" s="49">
        <f t="shared" si="36"/>
        <v>0</v>
      </c>
      <c r="M59" s="49">
        <f t="shared" si="36"/>
        <v>0.59767343153478991</v>
      </c>
      <c r="N59" s="49">
        <f t="shared" si="36"/>
        <v>0</v>
      </c>
      <c r="O59" s="49">
        <f t="shared" si="36"/>
        <v>0</v>
      </c>
      <c r="P59" s="49">
        <f t="shared" si="36"/>
        <v>0</v>
      </c>
      <c r="Q59" s="49">
        <f t="shared" si="36"/>
        <v>0</v>
      </c>
      <c r="R59" s="49">
        <f t="shared" si="36"/>
        <v>0</v>
      </c>
      <c r="S59" s="49">
        <f t="shared" si="36"/>
        <v>0</v>
      </c>
      <c r="T59" s="49">
        <f t="shared" si="36"/>
        <v>0</v>
      </c>
      <c r="U59" s="49">
        <f t="shared" si="36"/>
        <v>0</v>
      </c>
      <c r="V59" s="49">
        <f t="shared" si="36"/>
        <v>0</v>
      </c>
      <c r="W59" s="49">
        <f t="shared" si="36"/>
        <v>0</v>
      </c>
      <c r="X59" s="49">
        <f t="shared" si="36"/>
        <v>0</v>
      </c>
      <c r="Y59" s="49">
        <f t="shared" si="36"/>
        <v>0</v>
      </c>
      <c r="Z59" s="49">
        <f t="shared" si="36"/>
        <v>0</v>
      </c>
      <c r="AA59" s="49">
        <f t="shared" si="36"/>
        <v>0</v>
      </c>
      <c r="AB59" s="49">
        <f t="shared" si="36"/>
        <v>0</v>
      </c>
      <c r="AC59" s="49">
        <f t="shared" si="36"/>
        <v>0</v>
      </c>
      <c r="AD59" s="49">
        <f t="shared" si="36"/>
        <v>0</v>
      </c>
      <c r="AE59" s="49">
        <f t="shared" si="36"/>
        <v>0</v>
      </c>
      <c r="AF59" s="49">
        <f t="shared" si="36"/>
        <v>0</v>
      </c>
      <c r="AG59" s="49">
        <f t="shared" si="36"/>
        <v>0</v>
      </c>
      <c r="AH59" s="49">
        <f t="shared" si="36"/>
        <v>0</v>
      </c>
      <c r="AI59" s="49">
        <f t="shared" si="36"/>
        <v>0</v>
      </c>
      <c r="AJ59" s="49">
        <f t="shared" si="36"/>
        <v>0</v>
      </c>
      <c r="AK59" s="49">
        <f t="shared" si="36"/>
        <v>0</v>
      </c>
      <c r="AL59" s="42"/>
      <c r="AM59" s="43">
        <v>43</v>
      </c>
      <c r="AN59">
        <v>91.786924975191965</v>
      </c>
      <c r="AO59">
        <v>16.940394047088056</v>
      </c>
      <c r="AP59">
        <v>130.68219528848104</v>
      </c>
      <c r="AQ59">
        <v>139.87313667835579</v>
      </c>
      <c r="AR59">
        <v>15.586290705769752</v>
      </c>
      <c r="AS59">
        <v>169.70919153532401</v>
      </c>
      <c r="AT59">
        <v>10.39846703916046</v>
      </c>
      <c r="AU59">
        <v>-6.6553480087226564</v>
      </c>
      <c r="AV59"/>
      <c r="AW59"/>
      <c r="FY59" s="213">
        <v>54</v>
      </c>
      <c r="FZ59">
        <v>29.108863617665754</v>
      </c>
      <c r="GA59">
        <v>38.867139250760431</v>
      </c>
      <c r="GB59">
        <v>9.6897512178792731</v>
      </c>
      <c r="GC59">
        <v>5.203467095709903</v>
      </c>
      <c r="GD59">
        <v>2.2308958441216644</v>
      </c>
      <c r="GE59">
        <v>2.1654257259048468</v>
      </c>
      <c r="GF59">
        <v>3.829288519225555</v>
      </c>
      <c r="GG59">
        <v>5.5780849682696401</v>
      </c>
      <c r="GH59">
        <v>3.7215429376725151</v>
      </c>
      <c r="GI59">
        <v>9.327593724853628</v>
      </c>
      <c r="GJ59"/>
      <c r="GK59"/>
      <c r="GL59"/>
      <c r="GM59"/>
      <c r="GN59" s="208"/>
      <c r="GO59" s="208"/>
      <c r="GP59" s="208"/>
      <c r="GQ59" s="208"/>
      <c r="GR59" s="208"/>
      <c r="GS59" s="208"/>
      <c r="GT59" s="208"/>
      <c r="GU59" s="213">
        <v>54</v>
      </c>
    </row>
    <row r="60" spans="1:203" s="7" customFormat="1">
      <c r="A60" s="4"/>
      <c r="B60" s="1"/>
      <c r="C60" s="48" t="s">
        <v>121</v>
      </c>
      <c r="D60" s="49">
        <f t="shared" si="28"/>
        <v>10.402323798181325</v>
      </c>
      <c r="E60" s="19">
        <f t="shared" si="30"/>
        <v>4.1101455678957975E-2</v>
      </c>
      <c r="F60" s="8"/>
      <c r="G60" s="49">
        <f>$E$60*$E$29*G45</f>
        <v>0</v>
      </c>
      <c r="H60" s="49">
        <f t="shared" ref="H60:AK60" si="37">$E$60*$E$29*H45</f>
        <v>0</v>
      </c>
      <c r="I60" s="49">
        <f t="shared" si="37"/>
        <v>0.88589486468705714</v>
      </c>
      <c r="J60" s="49">
        <f t="shared" si="37"/>
        <v>0</v>
      </c>
      <c r="K60" s="49">
        <f t="shared" si="37"/>
        <v>0.73552658057860698</v>
      </c>
      <c r="L60" s="49">
        <f t="shared" si="37"/>
        <v>0</v>
      </c>
      <c r="M60" s="49">
        <f t="shared" si="37"/>
        <v>6.5702395594764811</v>
      </c>
      <c r="N60" s="49">
        <f t="shared" si="37"/>
        <v>2.2106627934391803</v>
      </c>
      <c r="O60" s="49">
        <f t="shared" si="37"/>
        <v>0</v>
      </c>
      <c r="P60" s="49">
        <f t="shared" si="37"/>
        <v>0</v>
      </c>
      <c r="Q60" s="49">
        <f t="shared" si="37"/>
        <v>0</v>
      </c>
      <c r="R60" s="49">
        <f t="shared" si="37"/>
        <v>0</v>
      </c>
      <c r="S60" s="49">
        <f t="shared" si="37"/>
        <v>0</v>
      </c>
      <c r="T60" s="49">
        <f t="shared" si="37"/>
        <v>0</v>
      </c>
      <c r="U60" s="49">
        <f t="shared" si="37"/>
        <v>0</v>
      </c>
      <c r="V60" s="49">
        <f t="shared" si="37"/>
        <v>0</v>
      </c>
      <c r="W60" s="49">
        <f t="shared" si="37"/>
        <v>0</v>
      </c>
      <c r="X60" s="49">
        <f t="shared" si="37"/>
        <v>0</v>
      </c>
      <c r="Y60" s="49">
        <f t="shared" si="37"/>
        <v>0</v>
      </c>
      <c r="Z60" s="49">
        <f t="shared" si="37"/>
        <v>0</v>
      </c>
      <c r="AA60" s="49">
        <f t="shared" si="37"/>
        <v>0</v>
      </c>
      <c r="AB60" s="49">
        <f t="shared" si="37"/>
        <v>0</v>
      </c>
      <c r="AC60" s="49">
        <f t="shared" si="37"/>
        <v>0</v>
      </c>
      <c r="AD60" s="49">
        <f t="shared" si="37"/>
        <v>0</v>
      </c>
      <c r="AE60" s="49">
        <f t="shared" si="37"/>
        <v>0</v>
      </c>
      <c r="AF60" s="49">
        <f t="shared" si="37"/>
        <v>0</v>
      </c>
      <c r="AG60" s="49">
        <f t="shared" si="37"/>
        <v>0</v>
      </c>
      <c r="AH60" s="49">
        <f t="shared" si="37"/>
        <v>0</v>
      </c>
      <c r="AI60" s="49">
        <f t="shared" si="37"/>
        <v>0</v>
      </c>
      <c r="AJ60" s="49">
        <f t="shared" si="37"/>
        <v>0</v>
      </c>
      <c r="AK60" s="49">
        <f t="shared" si="37"/>
        <v>0</v>
      </c>
      <c r="AL60" s="42"/>
      <c r="AM60" s="43">
        <v>44</v>
      </c>
      <c r="AN60">
        <v>84.875892521759653</v>
      </c>
      <c r="AO60">
        <v>10.567212314228136</v>
      </c>
      <c r="AP60">
        <v>48.976016194744332</v>
      </c>
      <c r="AQ60">
        <v>76.30666897117068</v>
      </c>
      <c r="AR60">
        <v>9.9137359878315099</v>
      </c>
      <c r="AS60">
        <v>126.57437151232159</v>
      </c>
      <c r="AT60">
        <v>6.3613890171175775</v>
      </c>
      <c r="AU60">
        <v>13.060776075927121</v>
      </c>
      <c r="AV60"/>
      <c r="AW60"/>
      <c r="FY60" s="213">
        <v>55</v>
      </c>
      <c r="FZ60">
        <v>37.313819920726765</v>
      </c>
      <c r="GA60">
        <v>44.760979000854107</v>
      </c>
      <c r="GB60">
        <v>10.524212722962572</v>
      </c>
      <c r="GC60">
        <v>7.5987477561941388</v>
      </c>
      <c r="GD60">
        <v>3.0688647071835788</v>
      </c>
      <c r="GE60">
        <v>2.8811837312699784</v>
      </c>
      <c r="GF60">
        <v>4.9550989809256354</v>
      </c>
      <c r="GG60">
        <v>4.4927094427347427</v>
      </c>
      <c r="GH60">
        <v>2.1611736260621592</v>
      </c>
      <c r="GI60">
        <v>11.183051944267469</v>
      </c>
      <c r="GJ60"/>
      <c r="GK60"/>
      <c r="GL60"/>
      <c r="GM60"/>
      <c r="GN60" s="208"/>
      <c r="GO60" s="208"/>
      <c r="GP60" s="208"/>
      <c r="GQ60" s="208"/>
      <c r="GR60" s="208"/>
      <c r="GS60" s="208"/>
      <c r="GT60" s="208"/>
      <c r="GU60" s="213">
        <v>55</v>
      </c>
    </row>
    <row r="61" spans="1:203" s="7" customFormat="1">
      <c r="A61" s="4"/>
      <c r="B61" s="1"/>
      <c r="C61" s="48" t="s">
        <v>122</v>
      </c>
      <c r="D61" s="49">
        <f t="shared" si="28"/>
        <v>0</v>
      </c>
      <c r="E61" s="19">
        <f t="shared" si="30"/>
        <v>0</v>
      </c>
      <c r="F61" s="8"/>
      <c r="G61" s="49">
        <f>$E$61*$E$30*G46</f>
        <v>0</v>
      </c>
      <c r="H61" s="49">
        <f t="shared" ref="H61:AK61" si="38">$E$61*$E$30*H46</f>
        <v>0</v>
      </c>
      <c r="I61" s="49">
        <f t="shared" si="38"/>
        <v>0</v>
      </c>
      <c r="J61" s="49">
        <f t="shared" si="38"/>
        <v>0</v>
      </c>
      <c r="K61" s="49">
        <f t="shared" si="38"/>
        <v>0</v>
      </c>
      <c r="L61" s="49">
        <f t="shared" si="38"/>
        <v>0</v>
      </c>
      <c r="M61" s="49">
        <f t="shared" si="38"/>
        <v>0</v>
      </c>
      <c r="N61" s="49">
        <f t="shared" si="38"/>
        <v>0</v>
      </c>
      <c r="O61" s="49">
        <f t="shared" si="38"/>
        <v>0</v>
      </c>
      <c r="P61" s="49">
        <f t="shared" si="38"/>
        <v>0</v>
      </c>
      <c r="Q61" s="49">
        <f t="shared" si="38"/>
        <v>0</v>
      </c>
      <c r="R61" s="49">
        <f t="shared" si="38"/>
        <v>0</v>
      </c>
      <c r="S61" s="49">
        <f t="shared" si="38"/>
        <v>0</v>
      </c>
      <c r="T61" s="49">
        <f t="shared" si="38"/>
        <v>0</v>
      </c>
      <c r="U61" s="49">
        <f t="shared" si="38"/>
        <v>0</v>
      </c>
      <c r="V61" s="49">
        <f t="shared" si="38"/>
        <v>0</v>
      </c>
      <c r="W61" s="49">
        <f t="shared" si="38"/>
        <v>0</v>
      </c>
      <c r="X61" s="49">
        <f t="shared" si="38"/>
        <v>0</v>
      </c>
      <c r="Y61" s="49">
        <f t="shared" si="38"/>
        <v>0</v>
      </c>
      <c r="Z61" s="49">
        <f t="shared" si="38"/>
        <v>0</v>
      </c>
      <c r="AA61" s="49">
        <f t="shared" si="38"/>
        <v>0</v>
      </c>
      <c r="AB61" s="49">
        <f t="shared" si="38"/>
        <v>0</v>
      </c>
      <c r="AC61" s="49">
        <f t="shared" si="38"/>
        <v>0</v>
      </c>
      <c r="AD61" s="49">
        <f t="shared" si="38"/>
        <v>0</v>
      </c>
      <c r="AE61" s="49">
        <f t="shared" si="38"/>
        <v>0</v>
      </c>
      <c r="AF61" s="49">
        <f t="shared" si="38"/>
        <v>0</v>
      </c>
      <c r="AG61" s="49">
        <f t="shared" si="38"/>
        <v>0</v>
      </c>
      <c r="AH61" s="49">
        <f t="shared" si="38"/>
        <v>0</v>
      </c>
      <c r="AI61" s="49">
        <f t="shared" si="38"/>
        <v>0</v>
      </c>
      <c r="AJ61" s="49">
        <f t="shared" si="38"/>
        <v>0</v>
      </c>
      <c r="AK61" s="49">
        <f t="shared" si="38"/>
        <v>0</v>
      </c>
      <c r="AL61" s="42"/>
      <c r="AM61" s="43">
        <v>45</v>
      </c>
      <c r="AN61">
        <v>72.182308201058191</v>
      </c>
      <c r="AO61">
        <v>9.5489094378695718</v>
      </c>
      <c r="AP61">
        <v>48.020764716619667</v>
      </c>
      <c r="AQ61">
        <v>73.512433297095768</v>
      </c>
      <c r="AR61">
        <v>8.9539615816203675</v>
      </c>
      <c r="AS61">
        <v>133.48397013239361</v>
      </c>
      <c r="AT61" t="e">
        <v>#DIV/0!</v>
      </c>
      <c r="AU61" t="e">
        <v>#DIV/0!</v>
      </c>
      <c r="AV61"/>
      <c r="AW61"/>
      <c r="FY61" s="213">
        <v>56</v>
      </c>
      <c r="FZ61">
        <v>41.572816854609009</v>
      </c>
      <c r="GA61">
        <v>54.65612694588355</v>
      </c>
      <c r="GB61">
        <v>7.3014869783330649</v>
      </c>
      <c r="GC61">
        <v>3.4623743855040026</v>
      </c>
      <c r="GD61">
        <v>1.7927133350017952</v>
      </c>
      <c r="GE61">
        <v>2.3341447690268682</v>
      </c>
      <c r="GF61">
        <v>5.1793649416143417</v>
      </c>
      <c r="GG61">
        <v>5.1721364276302335</v>
      </c>
      <c r="GH61">
        <v>1.5603693116103559</v>
      </c>
      <c r="GI61">
        <v>10.237115711825023</v>
      </c>
      <c r="GJ61"/>
      <c r="GK61"/>
      <c r="GL61"/>
      <c r="GM61"/>
      <c r="GN61" s="208"/>
      <c r="GO61" s="208"/>
      <c r="GP61" s="208"/>
      <c r="GQ61" s="208"/>
      <c r="GR61" s="208"/>
      <c r="GS61" s="208"/>
      <c r="GT61" s="208"/>
      <c r="GU61" s="213">
        <v>56</v>
      </c>
    </row>
    <row r="62" spans="1:203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91.762693650257049</v>
      </c>
      <c r="AO62">
        <v>12.11836518774688</v>
      </c>
      <c r="AP62">
        <v>58.365673784657901</v>
      </c>
      <c r="AQ62">
        <v>89.078992165246248</v>
      </c>
      <c r="AR62">
        <v>11.257875516274851</v>
      </c>
      <c r="AS62">
        <v>163.49787574776474</v>
      </c>
      <c r="AT62">
        <v>7.0360427975640363</v>
      </c>
      <c r="AU62">
        <v>32.719755903740108</v>
      </c>
      <c r="AV62"/>
      <c r="AW62"/>
      <c r="FY62" s="213">
        <v>57</v>
      </c>
      <c r="FZ62">
        <v>29.387732152905297</v>
      </c>
      <c r="GA62">
        <v>33.738658961854334</v>
      </c>
      <c r="GB62">
        <v>6.2035744137662734</v>
      </c>
      <c r="GC62">
        <v>5.2025753408142856</v>
      </c>
      <c r="GD62">
        <v>2.5304835193341284</v>
      </c>
      <c r="GE62">
        <v>2.2969368381802626</v>
      </c>
      <c r="GF62">
        <v>7.0847094903102432</v>
      </c>
      <c r="GG62">
        <v>6.9489081305212972</v>
      </c>
      <c r="GH62">
        <v>2.7619779405139626</v>
      </c>
      <c r="GI62">
        <v>9.1268199639886873</v>
      </c>
      <c r="GJ62"/>
      <c r="GK62"/>
      <c r="GL62"/>
      <c r="GM62"/>
      <c r="GN62" s="208"/>
      <c r="GO62" s="208"/>
      <c r="GP62" s="208"/>
      <c r="GQ62" s="208"/>
      <c r="GR62" s="208"/>
      <c r="GS62" s="208"/>
      <c r="GT62" s="208"/>
      <c r="GU62" s="213">
        <v>57</v>
      </c>
    </row>
    <row r="63" spans="1:203" s="7" customFormat="1">
      <c r="A63" s="4"/>
      <c r="B63" s="1"/>
      <c r="C63" s="52" t="s">
        <v>53</v>
      </c>
      <c r="D63" s="53">
        <f>SUM(D52:D62)</f>
        <v>38.608470243192798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74.644236156000858</v>
      </c>
      <c r="AO63">
        <v>14.921928782795012</v>
      </c>
      <c r="AP63">
        <v>112.94225465813544</v>
      </c>
      <c r="AQ63">
        <v>116.78922792398366</v>
      </c>
      <c r="AR63">
        <v>13.691056452722369</v>
      </c>
      <c r="AS63">
        <v>152.79180432659086</v>
      </c>
      <c r="AT63" t="e">
        <v>#DIV/0!</v>
      </c>
      <c r="AU63" t="e">
        <v>#DIV/0!</v>
      </c>
      <c r="AV63"/>
      <c r="AW63"/>
      <c r="FY63" s="213">
        <v>58</v>
      </c>
      <c r="FZ63">
        <v>20.476988189767628</v>
      </c>
      <c r="GA63">
        <v>29.285798681128888</v>
      </c>
      <c r="GB63">
        <v>7.4387134701690911</v>
      </c>
      <c r="GC63">
        <v>4.0075857038660487</v>
      </c>
      <c r="GD63">
        <v>2.4596037323292927</v>
      </c>
      <c r="GE63">
        <v>2.7807841768596102</v>
      </c>
      <c r="GF63">
        <v>1.2663940365764006</v>
      </c>
      <c r="GG63">
        <v>0.56514280288716345</v>
      </c>
      <c r="GH63">
        <v>0</v>
      </c>
      <c r="GI63">
        <v>6.639720470212839</v>
      </c>
      <c r="GJ63"/>
      <c r="GK63"/>
      <c r="GL63"/>
      <c r="GM63"/>
      <c r="GN63" s="208"/>
      <c r="GO63" s="208"/>
      <c r="GP63" s="208"/>
      <c r="GQ63" s="208"/>
      <c r="GR63" s="208"/>
      <c r="GS63" s="208"/>
      <c r="GT63" s="208"/>
      <c r="GU63" s="213">
        <v>58</v>
      </c>
    </row>
    <row r="64" spans="1:203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70.951910745140964</v>
      </c>
      <c r="AO64">
        <v>8.7438637876064167</v>
      </c>
      <c r="AP64">
        <v>45.120771689991059</v>
      </c>
      <c r="AQ64">
        <v>66.953571076453656</v>
      </c>
      <c r="AR64">
        <v>8.2159202467085883</v>
      </c>
      <c r="AS64">
        <v>118.82153983871427</v>
      </c>
      <c r="AT64">
        <v>5.8205923894599643</v>
      </c>
      <c r="AU64">
        <v>25.200386415637858</v>
      </c>
      <c r="AV64"/>
      <c r="AW64"/>
      <c r="FY64" s="213">
        <v>59</v>
      </c>
      <c r="FZ64">
        <v>21.410449471012225</v>
      </c>
      <c r="GA64">
        <v>24.823806408312016</v>
      </c>
      <c r="GB64">
        <v>4.0222933949923121</v>
      </c>
      <c r="GC64">
        <v>3.6642285386714954</v>
      </c>
      <c r="GD64">
        <v>2.0430313575301535</v>
      </c>
      <c r="GE64">
        <v>1.9046205897256576</v>
      </c>
      <c r="GF64">
        <v>4.2876480448214336</v>
      </c>
      <c r="GG64">
        <v>3.4450144563016396</v>
      </c>
      <c r="GH64">
        <v>0</v>
      </c>
      <c r="GI64">
        <v>6.1879544854232948</v>
      </c>
      <c r="GJ64"/>
      <c r="GK64"/>
      <c r="GL64"/>
      <c r="GM64"/>
      <c r="GN64" s="208"/>
      <c r="GO64" s="208"/>
      <c r="GP64" s="208"/>
      <c r="GQ64" s="208"/>
      <c r="GR64" s="208"/>
      <c r="GS64" s="208"/>
      <c r="GT64" s="208"/>
      <c r="GU64" s="213">
        <v>59</v>
      </c>
    </row>
    <row r="65" spans="1:203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78.041485923502904</v>
      </c>
      <c r="AO65">
        <v>10.378673475691723</v>
      </c>
      <c r="AP65">
        <v>62.33617452187746</v>
      </c>
      <c r="AQ65">
        <v>69.538083641664485</v>
      </c>
      <c r="AR65">
        <v>9.6270220991082684</v>
      </c>
      <c r="AS65">
        <v>125.50863136918137</v>
      </c>
      <c r="AT65" t="e">
        <v>#DIV/0!</v>
      </c>
      <c r="AU65" t="e">
        <v>#DIV/0!</v>
      </c>
      <c r="AV65"/>
      <c r="AW65"/>
      <c r="FY65" s="213">
        <v>60</v>
      </c>
      <c r="FZ65">
        <v>29.717081151261041</v>
      </c>
      <c r="GA65">
        <v>37.57115019243308</v>
      </c>
      <c r="GB65">
        <v>7.5239187627038486</v>
      </c>
      <c r="GC65">
        <v>4.3953825407741389</v>
      </c>
      <c r="GD65">
        <v>2.1911017242562085</v>
      </c>
      <c r="GE65">
        <v>2.7425739017138824</v>
      </c>
      <c r="GF65">
        <v>3.7859198149442501</v>
      </c>
      <c r="GG65">
        <v>6.7652911611733151</v>
      </c>
      <c r="GH65">
        <v>5.2819122492828701</v>
      </c>
      <c r="GI65">
        <v>9.1336237389309378</v>
      </c>
      <c r="GJ65"/>
      <c r="GK65"/>
      <c r="GL65"/>
      <c r="GM65"/>
      <c r="GN65" s="208"/>
      <c r="GO65" s="208"/>
      <c r="GP65" s="208"/>
      <c r="GQ65" s="208"/>
      <c r="GR65" s="208"/>
      <c r="GS65" s="208"/>
      <c r="GT65" s="208"/>
      <c r="GU65" s="213">
        <v>60</v>
      </c>
    </row>
    <row r="66" spans="1:203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90.199816563451236</v>
      </c>
      <c r="AO66">
        <v>14.074796431835797</v>
      </c>
      <c r="AP66">
        <v>122.7211688751114</v>
      </c>
      <c r="AQ66">
        <v>115.64119618612914</v>
      </c>
      <c r="AR66">
        <v>12.914754480814166</v>
      </c>
      <c r="AS66">
        <v>150.00248606664454</v>
      </c>
      <c r="AT66" t="e">
        <v>#DIV/0!</v>
      </c>
      <c r="AU66" t="e">
        <v>#DIV/0!</v>
      </c>
      <c r="AV66"/>
      <c r="AW66"/>
      <c r="FY66" s="213">
        <v>61</v>
      </c>
      <c r="FZ66">
        <v>29.822334451917222</v>
      </c>
      <c r="GA66">
        <v>37.49900316285995</v>
      </c>
      <c r="GB66">
        <v>9.515685797716559</v>
      </c>
      <c r="GC66">
        <v>5.8146589328769753</v>
      </c>
      <c r="GD66">
        <v>2.009292076863801</v>
      </c>
      <c r="GE66">
        <v>1.8580583443642205</v>
      </c>
      <c r="GF66">
        <v>4.509375627528021</v>
      </c>
      <c r="GG66">
        <v>4.8639902087135818</v>
      </c>
      <c r="GH66">
        <v>1.5603693116103559</v>
      </c>
      <c r="GI66">
        <v>9.0149680660340064</v>
      </c>
      <c r="GJ66"/>
      <c r="GK66"/>
      <c r="GL66"/>
      <c r="GM66"/>
      <c r="GN66" s="208"/>
      <c r="GO66" s="208"/>
      <c r="GP66" s="208"/>
      <c r="GQ66" s="208"/>
      <c r="GR66" s="208"/>
      <c r="GS66" s="208"/>
      <c r="GT66" s="208"/>
      <c r="GU66" s="213">
        <v>61</v>
      </c>
    </row>
    <row r="67" spans="1:203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71.872490825463686</v>
      </c>
      <c r="AO67">
        <v>10.095772523572716</v>
      </c>
      <c r="AP67">
        <v>68.558742312954948</v>
      </c>
      <c r="AQ67">
        <v>79.246912671857189</v>
      </c>
      <c r="AR67">
        <v>9.3547190287894981</v>
      </c>
      <c r="AS67">
        <v>120.71990725956407</v>
      </c>
      <c r="AT67" t="e">
        <v>#DIV/0!</v>
      </c>
      <c r="AU67" t="e">
        <v>#DIV/0!</v>
      </c>
      <c r="AV67"/>
      <c r="AW67"/>
      <c r="FY67" s="213">
        <v>62</v>
      </c>
      <c r="FZ67">
        <v>34.648324501735836</v>
      </c>
      <c r="GA67">
        <v>41.634590738146834</v>
      </c>
      <c r="GB67">
        <v>5.9387690878913739</v>
      </c>
      <c r="GC67">
        <v>3.7260526809335732</v>
      </c>
      <c r="GD67">
        <v>2.3466208091965455</v>
      </c>
      <c r="GE67">
        <v>2.865916355799746</v>
      </c>
      <c r="GF67">
        <v>4.9187230519100158</v>
      </c>
      <c r="GG67">
        <v>3.928813964959228</v>
      </c>
      <c r="GH67">
        <v>0.60080431445180338</v>
      </c>
      <c r="GI67">
        <v>8.9993049246481718</v>
      </c>
      <c r="GJ67"/>
      <c r="GK67"/>
      <c r="GL67"/>
      <c r="GM67"/>
      <c r="GN67" s="208"/>
      <c r="GO67" s="208"/>
      <c r="GP67" s="208"/>
      <c r="GQ67" s="208"/>
      <c r="GR67" s="208"/>
      <c r="GS67" s="208"/>
      <c r="GT67" s="208"/>
      <c r="GU67" s="213">
        <v>62</v>
      </c>
    </row>
    <row r="68" spans="1:203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87.907757186281529</v>
      </c>
      <c r="AO68">
        <v>14.406035021742062</v>
      </c>
      <c r="AP68">
        <v>68.053117454114116</v>
      </c>
      <c r="AQ68">
        <v>111.11071596792921</v>
      </c>
      <c r="AR68">
        <v>13.275896562536206</v>
      </c>
      <c r="AS68">
        <v>169.05064671589625</v>
      </c>
      <c r="AT68">
        <v>8.8121428920641041</v>
      </c>
      <c r="AU68">
        <v>8.7597751084133044</v>
      </c>
      <c r="AV68"/>
      <c r="AW68"/>
      <c r="FY68" s="213">
        <v>63</v>
      </c>
      <c r="FZ68">
        <v>27.270817455177571</v>
      </c>
      <c r="GA68">
        <v>30.580002313148469</v>
      </c>
      <c r="GB68">
        <v>10.984211524328808</v>
      </c>
      <c r="GC68">
        <v>7.4412618955977399</v>
      </c>
      <c r="GD68">
        <v>2.8418377441415879</v>
      </c>
      <c r="GE68">
        <v>3.3813793136292762</v>
      </c>
      <c r="GF68">
        <v>5.0300829470552149</v>
      </c>
      <c r="GG68">
        <v>5.3088461335023531</v>
      </c>
      <c r="GH68">
        <v>1.5603693116103559</v>
      </c>
      <c r="GI68">
        <v>9.591685180805646</v>
      </c>
      <c r="GJ68"/>
      <c r="GK68"/>
      <c r="GL68"/>
      <c r="GM68"/>
      <c r="GN68" s="208"/>
      <c r="GO68" s="208"/>
      <c r="GP68" s="208"/>
      <c r="GQ68" s="208"/>
      <c r="GR68" s="208"/>
      <c r="GS68" s="208"/>
      <c r="GT68" s="208"/>
      <c r="GU68" s="213">
        <v>63</v>
      </c>
    </row>
    <row r="69" spans="1:203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85.230730850032316</v>
      </c>
      <c r="AO69">
        <v>14.027362516676337</v>
      </c>
      <c r="AP69">
        <v>79.160513755150703</v>
      </c>
      <c r="AQ69">
        <v>110.59141852975874</v>
      </c>
      <c r="AR69">
        <v>12.858373361382636</v>
      </c>
      <c r="AS69">
        <v>167.02501585938188</v>
      </c>
      <c r="AT69" t="e">
        <v>#DIV/0!</v>
      </c>
      <c r="AU69" t="e">
        <v>#DIV/0!</v>
      </c>
      <c r="AV69"/>
      <c r="AW69"/>
      <c r="FY69" s="213">
        <v>64</v>
      </c>
      <c r="FZ69">
        <v>26.833725260930663</v>
      </c>
      <c r="GA69">
        <v>30.545921373168003</v>
      </c>
      <c r="GB69">
        <v>11.395665764966374</v>
      </c>
      <c r="GC69">
        <v>7.5494563059841413</v>
      </c>
      <c r="GD69">
        <v>2.4440892843649635</v>
      </c>
      <c r="GE69">
        <v>2.8489950415807499</v>
      </c>
      <c r="GF69">
        <v>4.3634549256029</v>
      </c>
      <c r="GG69">
        <v>3.4490042494998976</v>
      </c>
      <c r="GH69">
        <v>1.8024129433554106</v>
      </c>
      <c r="GI69">
        <v>9.4199141169072114</v>
      </c>
      <c r="GJ69"/>
      <c r="GK69"/>
      <c r="GL69"/>
      <c r="GM69"/>
      <c r="GN69" s="208"/>
      <c r="GO69" s="208"/>
      <c r="GP69" s="208"/>
      <c r="GQ69" s="208"/>
      <c r="GR69" s="208"/>
      <c r="GS69" s="208"/>
      <c r="GT69" s="208"/>
      <c r="GU69" s="213">
        <v>64</v>
      </c>
    </row>
    <row r="70" spans="1:203" s="7" customFormat="1">
      <c r="A70" s="4"/>
      <c r="B70" s="66"/>
      <c r="C70" s="71">
        <f t="shared" ref="C70:C79" si="39">C4</f>
        <v>39646</v>
      </c>
      <c r="D70" s="72">
        <f t="shared" ref="D70:D75" si="40">SUM(G70:AK70)</f>
        <v>54.166666666666679</v>
      </c>
      <c r="E70" s="64"/>
      <c r="F70" s="64"/>
      <c r="G70" s="18">
        <f>AVERAGE(E228:E237)</f>
        <v>0</v>
      </c>
      <c r="H70" s="18">
        <f t="shared" ref="H70:AK70" si="41">AVERAGE(F228:F237)</f>
        <v>0</v>
      </c>
      <c r="I70" s="18">
        <f t="shared" si="41"/>
        <v>43.750000000000014</v>
      </c>
      <c r="J70" s="18">
        <f t="shared" si="41"/>
        <v>10.416666666666666</v>
      </c>
      <c r="K70" s="18">
        <f t="shared" si="41"/>
        <v>0</v>
      </c>
      <c r="L70" s="18">
        <f t="shared" si="41"/>
        <v>0</v>
      </c>
      <c r="M70" s="18">
        <f t="shared" si="41"/>
        <v>0</v>
      </c>
      <c r="N70" s="18">
        <f t="shared" si="41"/>
        <v>0</v>
      </c>
      <c r="O70" s="18">
        <f t="shared" si="41"/>
        <v>0</v>
      </c>
      <c r="P70" s="18">
        <f t="shared" si="41"/>
        <v>0</v>
      </c>
      <c r="Q70" s="18">
        <f t="shared" si="41"/>
        <v>0</v>
      </c>
      <c r="R70" s="18">
        <f t="shared" si="41"/>
        <v>0</v>
      </c>
      <c r="S70" s="18">
        <f t="shared" si="41"/>
        <v>0</v>
      </c>
      <c r="T70" s="18">
        <f t="shared" si="41"/>
        <v>0</v>
      </c>
      <c r="U70" s="18">
        <f t="shared" si="41"/>
        <v>0</v>
      </c>
      <c r="V70" s="18">
        <f t="shared" si="41"/>
        <v>0</v>
      </c>
      <c r="W70" s="18">
        <f t="shared" si="41"/>
        <v>0</v>
      </c>
      <c r="X70" s="18">
        <f t="shared" si="41"/>
        <v>0</v>
      </c>
      <c r="Y70" s="18">
        <f t="shared" si="41"/>
        <v>0</v>
      </c>
      <c r="Z70" s="18">
        <f t="shared" si="41"/>
        <v>0</v>
      </c>
      <c r="AA70" s="18">
        <f t="shared" si="41"/>
        <v>0</v>
      </c>
      <c r="AB70" s="18">
        <f t="shared" si="41"/>
        <v>0</v>
      </c>
      <c r="AC70" s="18">
        <f t="shared" si="41"/>
        <v>0</v>
      </c>
      <c r="AD70" s="18">
        <f t="shared" si="41"/>
        <v>0</v>
      </c>
      <c r="AE70" s="18">
        <f t="shared" si="41"/>
        <v>0</v>
      </c>
      <c r="AF70" s="18">
        <f t="shared" si="41"/>
        <v>0</v>
      </c>
      <c r="AG70" s="18">
        <f t="shared" si="41"/>
        <v>0</v>
      </c>
      <c r="AH70" s="18">
        <f t="shared" si="41"/>
        <v>0</v>
      </c>
      <c r="AI70" s="18">
        <f t="shared" si="41"/>
        <v>0</v>
      </c>
      <c r="AJ70" s="18">
        <f t="shared" si="41"/>
        <v>0</v>
      </c>
      <c r="AK70" s="18">
        <f t="shared" si="41"/>
        <v>0</v>
      </c>
      <c r="AL70" s="2"/>
      <c r="AM70" s="43">
        <v>54</v>
      </c>
      <c r="AN70">
        <v>84.659655710574825</v>
      </c>
      <c r="AO70">
        <v>14.038099293067997</v>
      </c>
      <c r="AP70">
        <v>72.6664257190142</v>
      </c>
      <c r="AQ70">
        <v>109.7220529020632</v>
      </c>
      <c r="AR70">
        <v>12.947492041188379</v>
      </c>
      <c r="AS70">
        <v>159.05785600291651</v>
      </c>
      <c r="AT70">
        <v>8.3512533952768528</v>
      </c>
      <c r="AU70">
        <v>19.520154430159781</v>
      </c>
      <c r="AV70"/>
      <c r="AW70"/>
      <c r="FY70" s="213">
        <v>65</v>
      </c>
      <c r="FZ70">
        <v>49.946613990765726</v>
      </c>
      <c r="GA70">
        <v>64.264754526353514</v>
      </c>
      <c r="GB70">
        <v>6.7756198829103331</v>
      </c>
      <c r="GC70">
        <v>4.2315560598284376</v>
      </c>
      <c r="GD70">
        <v>2.5273855949284316</v>
      </c>
      <c r="GE70">
        <v>2.1014703249458107</v>
      </c>
      <c r="GF70">
        <v>5.4291497014700028</v>
      </c>
      <c r="GG70">
        <v>4.1710784083183743</v>
      </c>
      <c r="GH70">
        <v>0.60080431445180338</v>
      </c>
      <c r="GI70">
        <v>11.709133576400676</v>
      </c>
      <c r="GJ70"/>
      <c r="GK70"/>
      <c r="GL70"/>
      <c r="GM70"/>
      <c r="GN70" s="208"/>
      <c r="GO70" s="208"/>
      <c r="GP70" s="208"/>
      <c r="GQ70" s="208"/>
      <c r="GR70" s="208"/>
      <c r="GS70" s="208"/>
      <c r="GT70" s="208"/>
      <c r="GU70" s="213">
        <v>65</v>
      </c>
    </row>
    <row r="71" spans="1:203" s="7" customFormat="1">
      <c r="A71" s="4"/>
      <c r="B71" s="66"/>
      <c r="C71" s="71">
        <f t="shared" si="39"/>
        <v>39673</v>
      </c>
      <c r="D71" s="72">
        <f t="shared" si="40"/>
        <v>63.112745098039213</v>
      </c>
      <c r="E71" s="64"/>
      <c r="F71" s="64"/>
      <c r="G71" s="18">
        <f>AVERAGE(E238:E247)</f>
        <v>0</v>
      </c>
      <c r="H71" s="18">
        <f t="shared" ref="H71:AK71" si="42">AVERAGE(F238:F247)</f>
        <v>0</v>
      </c>
      <c r="I71" s="18">
        <f t="shared" si="42"/>
        <v>2.083333333333333</v>
      </c>
      <c r="J71" s="18">
        <f t="shared" si="42"/>
        <v>23.52941176470588</v>
      </c>
      <c r="K71" s="18">
        <f t="shared" si="42"/>
        <v>26.041666666666664</v>
      </c>
      <c r="L71" s="18">
        <f t="shared" si="42"/>
        <v>8.3333333333333339</v>
      </c>
      <c r="M71" s="18">
        <f t="shared" si="42"/>
        <v>3.125</v>
      </c>
      <c r="N71" s="18">
        <f t="shared" si="42"/>
        <v>0</v>
      </c>
      <c r="O71" s="18">
        <f t="shared" si="42"/>
        <v>0</v>
      </c>
      <c r="P71" s="18">
        <f t="shared" si="42"/>
        <v>0</v>
      </c>
      <c r="Q71" s="18">
        <f t="shared" si="42"/>
        <v>0</v>
      </c>
      <c r="R71" s="18">
        <f t="shared" si="42"/>
        <v>0</v>
      </c>
      <c r="S71" s="18">
        <f t="shared" si="42"/>
        <v>0</v>
      </c>
      <c r="T71" s="18">
        <f t="shared" si="42"/>
        <v>0</v>
      </c>
      <c r="U71" s="18">
        <f t="shared" si="42"/>
        <v>0</v>
      </c>
      <c r="V71" s="18">
        <f t="shared" si="42"/>
        <v>0</v>
      </c>
      <c r="W71" s="18">
        <f t="shared" si="42"/>
        <v>0</v>
      </c>
      <c r="X71" s="18">
        <f t="shared" si="42"/>
        <v>0</v>
      </c>
      <c r="Y71" s="18">
        <f t="shared" si="42"/>
        <v>0</v>
      </c>
      <c r="Z71" s="18">
        <f t="shared" si="42"/>
        <v>0</v>
      </c>
      <c r="AA71" s="18">
        <f t="shared" si="42"/>
        <v>0</v>
      </c>
      <c r="AB71" s="18">
        <f t="shared" si="42"/>
        <v>0</v>
      </c>
      <c r="AC71" s="18">
        <f t="shared" si="42"/>
        <v>0</v>
      </c>
      <c r="AD71" s="18">
        <f t="shared" si="42"/>
        <v>0</v>
      </c>
      <c r="AE71" s="18">
        <f t="shared" si="42"/>
        <v>0</v>
      </c>
      <c r="AF71" s="18">
        <f t="shared" si="42"/>
        <v>0</v>
      </c>
      <c r="AG71" s="18">
        <f t="shared" si="42"/>
        <v>0</v>
      </c>
      <c r="AH71" s="18">
        <f t="shared" si="42"/>
        <v>0</v>
      </c>
      <c r="AI71" s="18">
        <f t="shared" si="42"/>
        <v>0</v>
      </c>
      <c r="AJ71" s="18">
        <f t="shared" si="42"/>
        <v>0</v>
      </c>
      <c r="AK71" s="18">
        <f t="shared" si="42"/>
        <v>0</v>
      </c>
      <c r="AL71" s="2"/>
      <c r="AM71" s="43">
        <v>55</v>
      </c>
      <c r="AN71">
        <v>102.79587525623276</v>
      </c>
      <c r="AO71">
        <v>16.777780378519097</v>
      </c>
      <c r="AP71">
        <v>122.8014304429927</v>
      </c>
      <c r="AQ71">
        <v>128.93984183318116</v>
      </c>
      <c r="AR71">
        <v>15.473370403985365</v>
      </c>
      <c r="AS71">
        <v>185.88049331293558</v>
      </c>
      <c r="AT71">
        <v>10.281440702271979</v>
      </c>
      <c r="AU71">
        <v>-8.7852240791068077</v>
      </c>
      <c r="AV71"/>
      <c r="AW71"/>
      <c r="FY71" s="213">
        <v>66</v>
      </c>
      <c r="FZ71">
        <v>27.314876457964679</v>
      </c>
      <c r="GA71">
        <v>31.559362619134948</v>
      </c>
      <c r="GB71">
        <v>11.122960452444699</v>
      </c>
      <c r="GC71">
        <v>7.7182258623253084</v>
      </c>
      <c r="GD71">
        <v>2.1749297542762687</v>
      </c>
      <c r="GE71">
        <v>2.1040582482205132</v>
      </c>
      <c r="GF71">
        <v>2.907465212936295</v>
      </c>
      <c r="GG71">
        <v>3.3227508750308941</v>
      </c>
      <c r="GH71">
        <v>1.5603693116103559</v>
      </c>
      <c r="GI71">
        <v>8.8251770730795549</v>
      </c>
      <c r="GJ71"/>
      <c r="GK71"/>
      <c r="GL71"/>
      <c r="GM71"/>
      <c r="GN71" s="208"/>
      <c r="GO71" s="208"/>
      <c r="GP71" s="208"/>
      <c r="GQ71" s="208"/>
      <c r="GR71" s="208"/>
      <c r="GS71" s="208"/>
      <c r="GT71" s="208"/>
      <c r="GU71" s="213">
        <v>66</v>
      </c>
    </row>
    <row r="72" spans="1:203" s="7" customFormat="1">
      <c r="A72" s="4"/>
      <c r="B72" s="66"/>
      <c r="C72" s="71">
        <f t="shared" si="39"/>
        <v>39714</v>
      </c>
      <c r="D72" s="72">
        <f t="shared" si="40"/>
        <v>1.0416666666666665</v>
      </c>
      <c r="E72" s="64"/>
      <c r="F72" s="64"/>
      <c r="G72" s="18">
        <f>AVERAGE(E248:E257)</f>
        <v>0</v>
      </c>
      <c r="H72" s="18">
        <f t="shared" ref="H72:AK72" si="43">AVERAGE(F248:F257)</f>
        <v>0</v>
      </c>
      <c r="I72" s="18">
        <f t="shared" si="43"/>
        <v>0</v>
      </c>
      <c r="J72" s="18">
        <f t="shared" si="43"/>
        <v>1.0416666666666665</v>
      </c>
      <c r="K72" s="18">
        <f t="shared" si="43"/>
        <v>0</v>
      </c>
      <c r="L72" s="18">
        <f t="shared" si="43"/>
        <v>0</v>
      </c>
      <c r="M72" s="18">
        <f t="shared" si="43"/>
        <v>0</v>
      </c>
      <c r="N72" s="18">
        <f t="shared" si="43"/>
        <v>0</v>
      </c>
      <c r="O72" s="18">
        <f t="shared" si="43"/>
        <v>0</v>
      </c>
      <c r="P72" s="18">
        <f t="shared" si="43"/>
        <v>0</v>
      </c>
      <c r="Q72" s="18">
        <f t="shared" si="43"/>
        <v>0</v>
      </c>
      <c r="R72" s="18">
        <f t="shared" si="43"/>
        <v>0</v>
      </c>
      <c r="S72" s="18">
        <f t="shared" si="43"/>
        <v>0</v>
      </c>
      <c r="T72" s="18">
        <f t="shared" si="43"/>
        <v>0</v>
      </c>
      <c r="U72" s="18">
        <f t="shared" si="43"/>
        <v>0</v>
      </c>
      <c r="V72" s="18">
        <f t="shared" si="43"/>
        <v>0</v>
      </c>
      <c r="W72" s="18">
        <f t="shared" si="43"/>
        <v>0</v>
      </c>
      <c r="X72" s="18">
        <f t="shared" si="43"/>
        <v>0</v>
      </c>
      <c r="Y72" s="18">
        <f t="shared" si="43"/>
        <v>0</v>
      </c>
      <c r="Z72" s="18">
        <f t="shared" si="43"/>
        <v>0</v>
      </c>
      <c r="AA72" s="18">
        <f t="shared" si="43"/>
        <v>0</v>
      </c>
      <c r="AB72" s="18">
        <f t="shared" si="43"/>
        <v>0</v>
      </c>
      <c r="AC72" s="18">
        <f t="shared" si="43"/>
        <v>0</v>
      </c>
      <c r="AD72" s="18">
        <f t="shared" si="43"/>
        <v>0</v>
      </c>
      <c r="AE72" s="18">
        <f t="shared" si="43"/>
        <v>0</v>
      </c>
      <c r="AF72" s="18">
        <f t="shared" si="43"/>
        <v>0</v>
      </c>
      <c r="AG72" s="18">
        <f t="shared" si="43"/>
        <v>0</v>
      </c>
      <c r="AH72" s="18">
        <f t="shared" si="43"/>
        <v>0</v>
      </c>
      <c r="AI72" s="18">
        <f t="shared" si="43"/>
        <v>0</v>
      </c>
      <c r="AJ72" s="18">
        <f t="shared" si="43"/>
        <v>0</v>
      </c>
      <c r="AK72" s="18">
        <f t="shared" si="43"/>
        <v>0</v>
      </c>
      <c r="AL72" s="2"/>
      <c r="AM72" s="43">
        <v>56</v>
      </c>
      <c r="AN72">
        <v>84.920828570891956</v>
      </c>
      <c r="AO72">
        <v>15.602124986158264</v>
      </c>
      <c r="AP72">
        <v>101.75779202530164</v>
      </c>
      <c r="AQ72">
        <v>133.26864966103824</v>
      </c>
      <c r="AR72">
        <v>14.214688536964054</v>
      </c>
      <c r="AS72">
        <v>176.38813188823366</v>
      </c>
      <c r="AT72" t="e">
        <v>#DIV/0!</v>
      </c>
      <c r="AU72" t="e">
        <v>#DIV/0!</v>
      </c>
      <c r="AV72"/>
      <c r="AW72"/>
      <c r="FY72" s="213">
        <v>67</v>
      </c>
      <c r="FZ72">
        <v>52.770067455940662</v>
      </c>
      <c r="GA72">
        <v>60.083439454238224</v>
      </c>
      <c r="GB72">
        <v>9.2482097977811026</v>
      </c>
      <c r="GC72">
        <v>6.1755657857855883</v>
      </c>
      <c r="GD72">
        <v>1.3853257547972893</v>
      </c>
      <c r="GE72">
        <v>0.96935034969137235</v>
      </c>
      <c r="GF72">
        <v>2.4049140684072263</v>
      </c>
      <c r="GG72">
        <v>5.5913428002712084</v>
      </c>
      <c r="GH72">
        <v>5.8827165637346734</v>
      </c>
      <c r="GI72">
        <v>12.232697355900724</v>
      </c>
      <c r="GJ72"/>
      <c r="GK72"/>
      <c r="GL72"/>
      <c r="GM72"/>
      <c r="GN72" s="208"/>
      <c r="GO72" s="208"/>
      <c r="GP72" s="208"/>
      <c r="GQ72" s="208"/>
      <c r="GR72" s="208"/>
      <c r="GS72" s="208"/>
      <c r="GT72" s="208"/>
      <c r="GU72" s="213">
        <v>67</v>
      </c>
    </row>
    <row r="73" spans="1:203" s="7" customFormat="1">
      <c r="A73" s="4"/>
      <c r="B73" s="66"/>
      <c r="C73" s="71">
        <f t="shared" si="39"/>
        <v>39747</v>
      </c>
      <c r="D73" s="72">
        <f t="shared" si="40"/>
        <v>228.87219341960724</v>
      </c>
      <c r="E73" s="64"/>
      <c r="F73" s="64"/>
      <c r="G73" s="18">
        <f>AVERAGE(E258:E267)</f>
        <v>0</v>
      </c>
      <c r="H73" s="18">
        <f t="shared" ref="H73:AK73" si="44">AVERAGE(F258:F267)</f>
        <v>36.191657958899334</v>
      </c>
      <c r="I73" s="18">
        <f t="shared" si="44"/>
        <v>139.81199595423735</v>
      </c>
      <c r="J73" s="18">
        <f t="shared" si="44"/>
        <v>47.944297082228118</v>
      </c>
      <c r="K73" s="18">
        <f t="shared" si="44"/>
        <v>2.083333333333333</v>
      </c>
      <c r="L73" s="18">
        <f t="shared" si="44"/>
        <v>2.8409090909090908</v>
      </c>
      <c r="M73" s="18">
        <f t="shared" si="44"/>
        <v>0</v>
      </c>
      <c r="N73" s="18">
        <f t="shared" si="44"/>
        <v>0</v>
      </c>
      <c r="O73" s="18">
        <f t="shared" si="44"/>
        <v>0</v>
      </c>
      <c r="P73" s="18">
        <f t="shared" si="44"/>
        <v>0</v>
      </c>
      <c r="Q73" s="18">
        <f t="shared" si="44"/>
        <v>0</v>
      </c>
      <c r="R73" s="18">
        <f t="shared" si="44"/>
        <v>0</v>
      </c>
      <c r="S73" s="18">
        <f t="shared" si="44"/>
        <v>0</v>
      </c>
      <c r="T73" s="18">
        <f t="shared" si="44"/>
        <v>0</v>
      </c>
      <c r="U73" s="18">
        <f t="shared" si="44"/>
        <v>0</v>
      </c>
      <c r="V73" s="18">
        <f t="shared" si="44"/>
        <v>0</v>
      </c>
      <c r="W73" s="18">
        <f t="shared" si="44"/>
        <v>0</v>
      </c>
      <c r="X73" s="18">
        <f t="shared" si="44"/>
        <v>0</v>
      </c>
      <c r="Y73" s="18">
        <f t="shared" si="44"/>
        <v>0</v>
      </c>
      <c r="Z73" s="18">
        <f t="shared" si="44"/>
        <v>0</v>
      </c>
      <c r="AA73" s="18">
        <f t="shared" si="44"/>
        <v>0</v>
      </c>
      <c r="AB73" s="18">
        <f t="shared" si="44"/>
        <v>0</v>
      </c>
      <c r="AC73" s="18">
        <f t="shared" si="44"/>
        <v>0</v>
      </c>
      <c r="AD73" s="18">
        <f t="shared" si="44"/>
        <v>0</v>
      </c>
      <c r="AE73" s="18">
        <f t="shared" si="44"/>
        <v>0</v>
      </c>
      <c r="AF73" s="18">
        <f t="shared" si="44"/>
        <v>0</v>
      </c>
      <c r="AG73" s="18">
        <f t="shared" si="44"/>
        <v>0</v>
      </c>
      <c r="AH73" s="18">
        <f t="shared" si="44"/>
        <v>0</v>
      </c>
      <c r="AI73" s="18">
        <f t="shared" si="44"/>
        <v>0</v>
      </c>
      <c r="AJ73" s="18">
        <f t="shared" si="44"/>
        <v>0</v>
      </c>
      <c r="AK73" s="18">
        <f t="shared" si="44"/>
        <v>0</v>
      </c>
      <c r="AL73" s="2"/>
      <c r="AM73" s="43">
        <v>57</v>
      </c>
      <c r="AN73">
        <v>96.713640498934609</v>
      </c>
      <c r="AO73">
        <v>13.585584058113799</v>
      </c>
      <c r="AP73">
        <v>77.398862129111464</v>
      </c>
      <c r="AQ73">
        <v>105.28237675218878</v>
      </c>
      <c r="AR73">
        <v>12.602562038683544</v>
      </c>
      <c r="AS73">
        <v>194.95486686586997</v>
      </c>
      <c r="AT73">
        <v>8.7485058199859882</v>
      </c>
      <c r="AU73">
        <v>17.368409686585998</v>
      </c>
      <c r="AV73"/>
      <c r="AW73"/>
      <c r="FY73" s="213">
        <v>68</v>
      </c>
      <c r="FZ73">
        <v>35.888874994396929</v>
      </c>
      <c r="GA73">
        <v>39.853195959352696</v>
      </c>
      <c r="GB73">
        <v>2.7244026324086366</v>
      </c>
      <c r="GC73">
        <v>3.245841461184872</v>
      </c>
      <c r="GD73">
        <v>2.7080776046579742</v>
      </c>
      <c r="GE73">
        <v>3.1038849321132482</v>
      </c>
      <c r="GF73">
        <v>5.7102434532901629</v>
      </c>
      <c r="GG73">
        <v>5.6859026120731091</v>
      </c>
      <c r="GH73">
        <v>1.5603693116103559</v>
      </c>
      <c r="GI73">
        <v>8.8566726428702633</v>
      </c>
      <c r="GJ73"/>
      <c r="GK73"/>
      <c r="GL73"/>
      <c r="GM73"/>
      <c r="GN73" s="208"/>
      <c r="GO73" s="208"/>
      <c r="GP73" s="208"/>
      <c r="GQ73" s="208"/>
      <c r="GR73" s="208"/>
      <c r="GS73" s="208"/>
      <c r="GT73" s="208"/>
      <c r="GU73" s="213">
        <v>68</v>
      </c>
    </row>
    <row r="74" spans="1:203" s="7" customFormat="1">
      <c r="A74" s="4"/>
      <c r="B74" s="66"/>
      <c r="C74" s="71">
        <f t="shared" si="39"/>
        <v>39775</v>
      </c>
      <c r="D74" s="72">
        <f t="shared" si="40"/>
        <v>90.124458874458853</v>
      </c>
      <c r="E74" s="64"/>
      <c r="F74" s="64"/>
      <c r="G74" s="18">
        <f>AVERAGE(E268:E277)</f>
        <v>0</v>
      </c>
      <c r="H74" s="18">
        <f t="shared" ref="H74:AK74" si="45">AVERAGE(F268:F277)</f>
        <v>3.8825757575757569</v>
      </c>
      <c r="I74" s="18">
        <f t="shared" si="45"/>
        <v>67.113095238095227</v>
      </c>
      <c r="J74" s="18">
        <f t="shared" si="45"/>
        <v>13.446969696969694</v>
      </c>
      <c r="K74" s="18">
        <f t="shared" si="45"/>
        <v>2.8409090909090908</v>
      </c>
      <c r="L74" s="18">
        <f t="shared" si="45"/>
        <v>2.8409090909090908</v>
      </c>
      <c r="M74" s="18">
        <f t="shared" si="45"/>
        <v>0</v>
      </c>
      <c r="N74" s="18">
        <f t="shared" si="45"/>
        <v>0</v>
      </c>
      <c r="O74" s="18">
        <f t="shared" si="45"/>
        <v>0</v>
      </c>
      <c r="P74" s="18">
        <f t="shared" si="45"/>
        <v>0</v>
      </c>
      <c r="Q74" s="18">
        <f t="shared" si="45"/>
        <v>0</v>
      </c>
      <c r="R74" s="18">
        <f t="shared" si="45"/>
        <v>0</v>
      </c>
      <c r="S74" s="18">
        <f t="shared" si="45"/>
        <v>0</v>
      </c>
      <c r="T74" s="18">
        <f t="shared" si="45"/>
        <v>0</v>
      </c>
      <c r="U74" s="18">
        <f t="shared" si="45"/>
        <v>0</v>
      </c>
      <c r="V74" s="18">
        <f t="shared" si="45"/>
        <v>0</v>
      </c>
      <c r="W74" s="18">
        <f t="shared" si="45"/>
        <v>0</v>
      </c>
      <c r="X74" s="18">
        <f t="shared" si="45"/>
        <v>0</v>
      </c>
      <c r="Y74" s="18">
        <f t="shared" si="45"/>
        <v>0</v>
      </c>
      <c r="Z74" s="18">
        <f t="shared" si="45"/>
        <v>0</v>
      </c>
      <c r="AA74" s="18">
        <f t="shared" si="45"/>
        <v>0</v>
      </c>
      <c r="AB74" s="18">
        <f t="shared" si="45"/>
        <v>0</v>
      </c>
      <c r="AC74" s="18">
        <f t="shared" si="45"/>
        <v>0</v>
      </c>
      <c r="AD74" s="18">
        <f t="shared" si="45"/>
        <v>0</v>
      </c>
      <c r="AE74" s="18">
        <f t="shared" si="45"/>
        <v>0</v>
      </c>
      <c r="AF74" s="18">
        <f t="shared" si="45"/>
        <v>0</v>
      </c>
      <c r="AG74" s="18">
        <f t="shared" si="45"/>
        <v>0</v>
      </c>
      <c r="AH74" s="18">
        <f t="shared" si="45"/>
        <v>0</v>
      </c>
      <c r="AI74" s="18">
        <f t="shared" si="45"/>
        <v>0</v>
      </c>
      <c r="AJ74" s="18">
        <f t="shared" si="45"/>
        <v>0</v>
      </c>
      <c r="AK74" s="18">
        <f t="shared" si="45"/>
        <v>0</v>
      </c>
      <c r="AL74" s="2"/>
      <c r="AM74" s="43">
        <v>58</v>
      </c>
      <c r="AN74">
        <v>72.590168695683388</v>
      </c>
      <c r="AO74">
        <v>10.033344188769204</v>
      </c>
      <c r="AP74">
        <v>46.125620180494479</v>
      </c>
      <c r="AQ74">
        <v>74.920731263796966</v>
      </c>
      <c r="AR74">
        <v>9.2358391579904016</v>
      </c>
      <c r="AS74">
        <v>113.53846304425973</v>
      </c>
      <c r="AT74" t="e">
        <v>#DIV/0!</v>
      </c>
      <c r="AU74" t="e">
        <v>#DIV/0!</v>
      </c>
      <c r="AV74"/>
      <c r="AW74"/>
      <c r="FY74" s="213">
        <v>69</v>
      </c>
      <c r="FZ74">
        <v>16.984067760582356</v>
      </c>
      <c r="GA74">
        <v>19.551092707146292</v>
      </c>
      <c r="GB74">
        <v>7.4873311521003556</v>
      </c>
      <c r="GC74">
        <v>5.3835203318357818</v>
      </c>
      <c r="GD74">
        <v>2.2273746643286718</v>
      </c>
      <c r="GE74">
        <v>2.7970403860168451</v>
      </c>
      <c r="GF74">
        <v>3.8048989045942623</v>
      </c>
      <c r="GG74">
        <v>6.394010395194476</v>
      </c>
      <c r="GH74">
        <v>5.8827165637346734</v>
      </c>
      <c r="GI74">
        <v>7.3325010242588817</v>
      </c>
      <c r="GJ74"/>
      <c r="GK74"/>
      <c r="GL74"/>
      <c r="GM74"/>
      <c r="GN74" s="208"/>
      <c r="GO74" s="208"/>
      <c r="GP74" s="208"/>
      <c r="GQ74" s="208"/>
      <c r="GR74" s="208"/>
      <c r="GS74" s="208"/>
      <c r="GT74" s="208"/>
      <c r="GU74" s="213">
        <v>69</v>
      </c>
    </row>
    <row r="75" spans="1:203" s="7" customFormat="1">
      <c r="A75" s="4"/>
      <c r="B75" s="66"/>
      <c r="C75" s="71">
        <f t="shared" si="39"/>
        <v>39799</v>
      </c>
      <c r="D75" s="72">
        <f t="shared" si="40"/>
        <v>76.190476190476176</v>
      </c>
      <c r="E75" s="64"/>
      <c r="F75" s="64"/>
      <c r="G75" s="18">
        <f>AVERAGE(E278:E287)</f>
        <v>0</v>
      </c>
      <c r="H75" s="18">
        <f t="shared" ref="H75:AK75" si="46">AVERAGE(F278:F287)</f>
        <v>16.666666666666664</v>
      </c>
      <c r="I75" s="18">
        <f t="shared" si="46"/>
        <v>33.333333333333329</v>
      </c>
      <c r="J75" s="18">
        <f t="shared" si="46"/>
        <v>17.857142857142858</v>
      </c>
      <c r="K75" s="18">
        <f t="shared" si="46"/>
        <v>6.25</v>
      </c>
      <c r="L75" s="18">
        <f t="shared" si="46"/>
        <v>0</v>
      </c>
      <c r="M75" s="18">
        <f t="shared" si="46"/>
        <v>0</v>
      </c>
      <c r="N75" s="18">
        <f t="shared" si="46"/>
        <v>0</v>
      </c>
      <c r="O75" s="18">
        <f t="shared" si="46"/>
        <v>2.083333333333333</v>
      </c>
      <c r="P75" s="18">
        <f t="shared" si="46"/>
        <v>0</v>
      </c>
      <c r="Q75" s="18">
        <f t="shared" si="46"/>
        <v>0</v>
      </c>
      <c r="R75" s="18">
        <f t="shared" si="46"/>
        <v>0</v>
      </c>
      <c r="S75" s="18">
        <f t="shared" si="46"/>
        <v>0</v>
      </c>
      <c r="T75" s="18">
        <f t="shared" si="46"/>
        <v>0</v>
      </c>
      <c r="U75" s="18">
        <f t="shared" si="46"/>
        <v>0</v>
      </c>
      <c r="V75" s="18">
        <f t="shared" si="46"/>
        <v>0</v>
      </c>
      <c r="W75" s="18">
        <f t="shared" si="46"/>
        <v>0</v>
      </c>
      <c r="X75" s="18">
        <f t="shared" si="46"/>
        <v>0</v>
      </c>
      <c r="Y75" s="18">
        <f t="shared" si="46"/>
        <v>0</v>
      </c>
      <c r="Z75" s="18">
        <f t="shared" si="46"/>
        <v>0</v>
      </c>
      <c r="AA75" s="18">
        <f t="shared" si="46"/>
        <v>0</v>
      </c>
      <c r="AB75" s="18">
        <f t="shared" si="46"/>
        <v>0</v>
      </c>
      <c r="AC75" s="18">
        <f t="shared" si="46"/>
        <v>0</v>
      </c>
      <c r="AD75" s="18">
        <f t="shared" si="46"/>
        <v>0</v>
      </c>
      <c r="AE75" s="18">
        <f t="shared" si="46"/>
        <v>0</v>
      </c>
      <c r="AF75" s="18">
        <f t="shared" si="46"/>
        <v>0</v>
      </c>
      <c r="AG75" s="18">
        <f t="shared" si="46"/>
        <v>0</v>
      </c>
      <c r="AH75" s="18">
        <f t="shared" si="46"/>
        <v>0</v>
      </c>
      <c r="AI75" s="18">
        <f t="shared" si="46"/>
        <v>0</v>
      </c>
      <c r="AJ75" s="18">
        <f t="shared" si="46"/>
        <v>0</v>
      </c>
      <c r="AK75" s="18">
        <f t="shared" si="46"/>
        <v>0</v>
      </c>
      <c r="AL75" s="2"/>
      <c r="AM75" s="43">
        <v>59</v>
      </c>
      <c r="AN75">
        <v>56.772937254035128</v>
      </c>
      <c r="AO75">
        <v>9.3295747378632594</v>
      </c>
      <c r="AP75">
        <v>58.236525019100576</v>
      </c>
      <c r="AQ75">
        <v>71.78904674679022</v>
      </c>
      <c r="AR75">
        <v>8.5496409237547297</v>
      </c>
      <c r="AS75">
        <v>97.934745052672071</v>
      </c>
      <c r="AT75" t="e">
        <v>#DIV/0!</v>
      </c>
      <c r="AU75" t="e">
        <v>#DIV/0!</v>
      </c>
      <c r="AV75"/>
      <c r="AW75"/>
      <c r="FY75" s="213">
        <v>70</v>
      </c>
      <c r="FZ75">
        <v>54.225173622892115</v>
      </c>
      <c r="GA75">
        <v>65.668389998440915</v>
      </c>
      <c r="GB75">
        <v>12.394474550220092</v>
      </c>
      <c r="GC75">
        <v>7.4843739885154488</v>
      </c>
      <c r="GD75">
        <v>2.6518752296311559</v>
      </c>
      <c r="GE75">
        <v>2.9696200184514945</v>
      </c>
      <c r="GF75">
        <v>2.2986211103131469</v>
      </c>
      <c r="GG75">
        <v>3.1288888381225695</v>
      </c>
      <c r="GH75">
        <v>2.1611736260621592</v>
      </c>
      <c r="GI75">
        <v>13.451963485616449</v>
      </c>
      <c r="GJ75"/>
      <c r="GK75"/>
      <c r="GL75"/>
      <c r="GM75"/>
      <c r="GN75" s="208"/>
      <c r="GO75" s="208"/>
      <c r="GP75" s="208"/>
      <c r="GQ75" s="208"/>
      <c r="GR75" s="208"/>
      <c r="GS75" s="208"/>
      <c r="GT75" s="208"/>
      <c r="GU75" s="213">
        <v>70</v>
      </c>
    </row>
    <row r="76" spans="1:203" s="7" customFormat="1">
      <c r="A76" s="4"/>
      <c r="B76" s="66"/>
      <c r="C76" s="71">
        <f t="shared" si="39"/>
        <v>39847</v>
      </c>
      <c r="D76" s="72">
        <f>SUM(G76:AK76)</f>
        <v>1.0416666666666665</v>
      </c>
      <c r="E76" s="64"/>
      <c r="F76" s="64"/>
      <c r="G76" s="18">
        <f>AVERAGE(E288:E297)</f>
        <v>0</v>
      </c>
      <c r="H76" s="18">
        <f t="shared" ref="H76:AK76" si="47">AVERAGE(F288:F297)</f>
        <v>0</v>
      </c>
      <c r="I76" s="18">
        <f t="shared" si="47"/>
        <v>0</v>
      </c>
      <c r="J76" s="18">
        <f t="shared" si="47"/>
        <v>0</v>
      </c>
      <c r="K76" s="18">
        <f t="shared" si="47"/>
        <v>1.0416666666666665</v>
      </c>
      <c r="L76" s="18">
        <f t="shared" si="47"/>
        <v>0</v>
      </c>
      <c r="M76" s="18">
        <f t="shared" si="47"/>
        <v>0</v>
      </c>
      <c r="N76" s="18">
        <f t="shared" si="47"/>
        <v>0</v>
      </c>
      <c r="O76" s="18">
        <f t="shared" si="47"/>
        <v>0</v>
      </c>
      <c r="P76" s="18">
        <f t="shared" si="47"/>
        <v>0</v>
      </c>
      <c r="Q76" s="18">
        <f t="shared" si="47"/>
        <v>0</v>
      </c>
      <c r="R76" s="18">
        <f t="shared" si="47"/>
        <v>0</v>
      </c>
      <c r="S76" s="18">
        <f t="shared" si="47"/>
        <v>0</v>
      </c>
      <c r="T76" s="18">
        <f t="shared" si="47"/>
        <v>0</v>
      </c>
      <c r="U76" s="18">
        <f t="shared" si="47"/>
        <v>0</v>
      </c>
      <c r="V76" s="18">
        <f t="shared" si="47"/>
        <v>0</v>
      </c>
      <c r="W76" s="18">
        <f t="shared" si="47"/>
        <v>0</v>
      </c>
      <c r="X76" s="18">
        <f t="shared" si="47"/>
        <v>0</v>
      </c>
      <c r="Y76" s="18">
        <f t="shared" si="47"/>
        <v>0</v>
      </c>
      <c r="Z76" s="18">
        <f t="shared" si="47"/>
        <v>0</v>
      </c>
      <c r="AA76" s="18">
        <f t="shared" si="47"/>
        <v>0</v>
      </c>
      <c r="AB76" s="18">
        <f t="shared" si="47"/>
        <v>0</v>
      </c>
      <c r="AC76" s="18">
        <f t="shared" si="47"/>
        <v>0</v>
      </c>
      <c r="AD76" s="18">
        <f t="shared" si="47"/>
        <v>0</v>
      </c>
      <c r="AE76" s="18">
        <f t="shared" si="47"/>
        <v>0</v>
      </c>
      <c r="AF76" s="18">
        <f t="shared" si="47"/>
        <v>0</v>
      </c>
      <c r="AG76" s="18">
        <f t="shared" si="47"/>
        <v>0</v>
      </c>
      <c r="AH76" s="18">
        <f t="shared" si="47"/>
        <v>0</v>
      </c>
      <c r="AI76" s="18">
        <f t="shared" si="47"/>
        <v>0</v>
      </c>
      <c r="AJ76" s="18">
        <f t="shared" si="47"/>
        <v>0</v>
      </c>
      <c r="AK76" s="18">
        <f t="shared" si="47"/>
        <v>0</v>
      </c>
      <c r="AL76" s="2"/>
      <c r="AM76" s="43">
        <v>60</v>
      </c>
      <c r="AN76">
        <v>96.166549953314657</v>
      </c>
      <c r="AO76">
        <v>13.820156228699171</v>
      </c>
      <c r="AP76">
        <v>82.35081933820392</v>
      </c>
      <c r="AQ76">
        <v>109.10795523747356</v>
      </c>
      <c r="AR76">
        <v>12.674522949603482</v>
      </c>
      <c r="AS76">
        <v>171.64713287510753</v>
      </c>
      <c r="AT76">
        <v>8.0939277064716126</v>
      </c>
      <c r="AU76">
        <v>24.33011353536093</v>
      </c>
      <c r="AV76"/>
      <c r="AW76"/>
      <c r="FY76" s="213">
        <v>71</v>
      </c>
      <c r="FZ76">
        <v>4.9520314574522679</v>
      </c>
      <c r="GA76">
        <v>5.0092605324040429</v>
      </c>
      <c r="GB76">
        <v>6.3801212828367575</v>
      </c>
      <c r="GC76">
        <v>4.5257282378717525</v>
      </c>
      <c r="GD76">
        <v>1.6814614966845749</v>
      </c>
      <c r="GE76">
        <v>1.9840963457664951</v>
      </c>
      <c r="GF76">
        <v>5.7882090442374894</v>
      </c>
      <c r="GG76">
        <v>6.959364461924415</v>
      </c>
      <c r="GH76">
        <v>3.7215429376725151</v>
      </c>
      <c r="GI76">
        <v>4.9318384393530454</v>
      </c>
      <c r="GJ76"/>
      <c r="GK76"/>
      <c r="GL76"/>
      <c r="GM76"/>
      <c r="GN76" s="208"/>
      <c r="GO76" s="208"/>
      <c r="GP76" s="208"/>
      <c r="GQ76" s="208"/>
      <c r="GR76" s="208"/>
      <c r="GS76" s="208"/>
      <c r="GT76" s="208"/>
      <c r="GU76" s="213">
        <v>71</v>
      </c>
    </row>
    <row r="77" spans="1:203" s="7" customFormat="1">
      <c r="A77" s="4"/>
      <c r="B77" s="66"/>
      <c r="C77" s="71">
        <f t="shared" si="39"/>
        <v>39910</v>
      </c>
      <c r="D77" s="72">
        <f>SUM(G77:AK77)</f>
        <v>3.1249999999999996</v>
      </c>
      <c r="E77" s="64"/>
      <c r="F77" s="64"/>
      <c r="G77" s="18">
        <f>AVERAGE(E298:E307)</f>
        <v>0</v>
      </c>
      <c r="H77" s="18">
        <f t="shared" ref="H77:AK77" si="48">AVERAGE(F298:F307)</f>
        <v>0</v>
      </c>
      <c r="I77" s="18">
        <f t="shared" si="48"/>
        <v>0</v>
      </c>
      <c r="J77" s="18">
        <f t="shared" si="48"/>
        <v>1.0416666666666665</v>
      </c>
      <c r="K77" s="18">
        <f t="shared" si="48"/>
        <v>2.083333333333333</v>
      </c>
      <c r="L77" s="18">
        <f t="shared" si="48"/>
        <v>0</v>
      </c>
      <c r="M77" s="18">
        <f t="shared" si="48"/>
        <v>0</v>
      </c>
      <c r="N77" s="18">
        <f t="shared" si="48"/>
        <v>0</v>
      </c>
      <c r="O77" s="18">
        <f t="shared" si="48"/>
        <v>0</v>
      </c>
      <c r="P77" s="18">
        <f t="shared" si="48"/>
        <v>0</v>
      </c>
      <c r="Q77" s="18">
        <f t="shared" si="48"/>
        <v>0</v>
      </c>
      <c r="R77" s="18">
        <f t="shared" si="48"/>
        <v>0</v>
      </c>
      <c r="S77" s="18">
        <f t="shared" si="48"/>
        <v>0</v>
      </c>
      <c r="T77" s="18">
        <f t="shared" si="48"/>
        <v>0</v>
      </c>
      <c r="U77" s="18">
        <f t="shared" si="48"/>
        <v>0</v>
      </c>
      <c r="V77" s="18">
        <f t="shared" si="48"/>
        <v>0</v>
      </c>
      <c r="W77" s="18">
        <f t="shared" si="48"/>
        <v>0</v>
      </c>
      <c r="X77" s="18">
        <f t="shared" si="48"/>
        <v>0</v>
      </c>
      <c r="Y77" s="18">
        <f t="shared" si="48"/>
        <v>0</v>
      </c>
      <c r="Z77" s="18">
        <f t="shared" si="48"/>
        <v>0</v>
      </c>
      <c r="AA77" s="18">
        <f t="shared" si="48"/>
        <v>0</v>
      </c>
      <c r="AB77" s="18">
        <f t="shared" si="48"/>
        <v>0</v>
      </c>
      <c r="AC77" s="18">
        <f t="shared" si="48"/>
        <v>0</v>
      </c>
      <c r="AD77" s="18">
        <f t="shared" si="48"/>
        <v>0</v>
      </c>
      <c r="AE77" s="18">
        <f t="shared" si="48"/>
        <v>0</v>
      </c>
      <c r="AF77" s="18">
        <f t="shared" si="48"/>
        <v>0</v>
      </c>
      <c r="AG77" s="18">
        <f t="shared" si="48"/>
        <v>0</v>
      </c>
      <c r="AH77" s="18">
        <f t="shared" si="48"/>
        <v>0</v>
      </c>
      <c r="AI77" s="18">
        <f t="shared" si="48"/>
        <v>0</v>
      </c>
      <c r="AJ77" s="18">
        <f t="shared" si="48"/>
        <v>0</v>
      </c>
      <c r="AK77" s="18">
        <f t="shared" si="48"/>
        <v>0</v>
      </c>
      <c r="AL77" s="2"/>
      <c r="AM77" s="43">
        <v>61</v>
      </c>
      <c r="AN77">
        <v>97.649554644654785</v>
      </c>
      <c r="AO77">
        <v>13.58683435749025</v>
      </c>
      <c r="AP77">
        <v>60.694543906516245</v>
      </c>
      <c r="AQ77">
        <v>106.4677359804847</v>
      </c>
      <c r="AR77">
        <v>12.441975905559914</v>
      </c>
      <c r="AS77">
        <v>156.35124423780465</v>
      </c>
      <c r="AT77" t="e">
        <v>#DIV/0!</v>
      </c>
      <c r="AU77" t="e">
        <v>#DIV/0!</v>
      </c>
      <c r="AV77"/>
      <c r="AW77"/>
      <c r="FY77" s="213">
        <v>72</v>
      </c>
      <c r="FZ77">
        <v>47.409715889526389</v>
      </c>
      <c r="GA77">
        <v>60.53417499062882</v>
      </c>
      <c r="GB77">
        <v>5.6865575309824017</v>
      </c>
      <c r="GC77">
        <v>3.7855390953254213</v>
      </c>
      <c r="GD77">
        <v>2.9808992386879849</v>
      </c>
      <c r="GE77">
        <v>2.6142763361087296</v>
      </c>
      <c r="GF77">
        <v>3.6956977196149206</v>
      </c>
      <c r="GG77">
        <v>4.1785810077921068</v>
      </c>
      <c r="GH77">
        <v>1.5603693116103559</v>
      </c>
      <c r="GI77">
        <v>11.177860647548274</v>
      </c>
      <c r="GJ77"/>
      <c r="GK77"/>
      <c r="GL77"/>
      <c r="GM77"/>
      <c r="GN77" s="208"/>
      <c r="GO77" s="208"/>
      <c r="GP77" s="208"/>
      <c r="GQ77" s="208"/>
      <c r="GR77" s="208"/>
      <c r="GS77" s="208"/>
      <c r="GT77" s="208"/>
      <c r="GU77" s="213">
        <v>72</v>
      </c>
    </row>
    <row r="78" spans="1:203" s="7" customFormat="1">
      <c r="A78" s="4"/>
      <c r="B78" s="66"/>
      <c r="C78" s="71">
        <f t="shared" si="39"/>
        <v>39949</v>
      </c>
      <c r="D78" s="72">
        <f>SUM(G78:AK78)</f>
        <v>36.805555555555557</v>
      </c>
      <c r="E78" s="64"/>
      <c r="F78" s="64"/>
      <c r="G78" s="18">
        <f>AVERAGE(E308:E317)</f>
        <v>0</v>
      </c>
      <c r="H78" s="18">
        <f t="shared" ref="H78:AK78" si="49">AVERAGE(F308:F317)</f>
        <v>0</v>
      </c>
      <c r="I78" s="18">
        <f t="shared" si="49"/>
        <v>24.305555555555554</v>
      </c>
      <c r="J78" s="18">
        <f t="shared" si="49"/>
        <v>0</v>
      </c>
      <c r="K78" s="18">
        <f t="shared" si="49"/>
        <v>3.125</v>
      </c>
      <c r="L78" s="18">
        <f t="shared" si="49"/>
        <v>0</v>
      </c>
      <c r="M78" s="18">
        <f t="shared" si="49"/>
        <v>9.375</v>
      </c>
      <c r="N78" s="18">
        <f t="shared" si="49"/>
        <v>0</v>
      </c>
      <c r="O78" s="18">
        <f t="shared" si="49"/>
        <v>0</v>
      </c>
      <c r="P78" s="18">
        <f t="shared" si="49"/>
        <v>0</v>
      </c>
      <c r="Q78" s="18">
        <f t="shared" si="49"/>
        <v>0</v>
      </c>
      <c r="R78" s="18">
        <f t="shared" si="49"/>
        <v>0</v>
      </c>
      <c r="S78" s="18">
        <f t="shared" si="49"/>
        <v>0</v>
      </c>
      <c r="T78" s="18">
        <f t="shared" si="49"/>
        <v>0</v>
      </c>
      <c r="U78" s="18">
        <f t="shared" si="49"/>
        <v>0</v>
      </c>
      <c r="V78" s="18">
        <f t="shared" si="49"/>
        <v>0</v>
      </c>
      <c r="W78" s="18">
        <f t="shared" si="49"/>
        <v>0</v>
      </c>
      <c r="X78" s="18">
        <f t="shared" si="49"/>
        <v>0</v>
      </c>
      <c r="Y78" s="18">
        <f t="shared" si="49"/>
        <v>0</v>
      </c>
      <c r="Z78" s="18">
        <f t="shared" si="49"/>
        <v>0</v>
      </c>
      <c r="AA78" s="18">
        <f t="shared" si="49"/>
        <v>0</v>
      </c>
      <c r="AB78" s="18">
        <f t="shared" si="49"/>
        <v>0</v>
      </c>
      <c r="AC78" s="18">
        <f t="shared" si="49"/>
        <v>0</v>
      </c>
      <c r="AD78" s="18">
        <f t="shared" si="49"/>
        <v>0</v>
      </c>
      <c r="AE78" s="18">
        <f t="shared" si="49"/>
        <v>0</v>
      </c>
      <c r="AF78" s="18">
        <f t="shared" si="49"/>
        <v>0</v>
      </c>
      <c r="AG78" s="18">
        <f t="shared" si="49"/>
        <v>0</v>
      </c>
      <c r="AH78" s="18">
        <f t="shared" si="49"/>
        <v>0</v>
      </c>
      <c r="AI78" s="18">
        <f t="shared" si="49"/>
        <v>0</v>
      </c>
      <c r="AJ78" s="18">
        <f t="shared" si="49"/>
        <v>0</v>
      </c>
      <c r="AK78" s="18">
        <f t="shared" si="49"/>
        <v>0</v>
      </c>
      <c r="AL78" s="2"/>
      <c r="AM78" s="43">
        <v>62</v>
      </c>
      <c r="AN78">
        <v>70.643710659551189</v>
      </c>
      <c r="AO78">
        <v>13.46581170139126</v>
      </c>
      <c r="AP78">
        <v>89.351806074257212</v>
      </c>
      <c r="AQ78">
        <v>109.60792042967314</v>
      </c>
      <c r="AR78">
        <v>12.495539086223426</v>
      </c>
      <c r="AS78">
        <v>148.07229397640123</v>
      </c>
      <c r="AT78" t="e">
        <v>#DIV/0!</v>
      </c>
      <c r="AU78" t="e">
        <v>#DIV/0!</v>
      </c>
      <c r="AV78"/>
      <c r="AW78"/>
      <c r="FY78" s="213">
        <v>73</v>
      </c>
      <c r="FZ78">
        <v>24.124778415795525</v>
      </c>
      <c r="GA78">
        <v>33.439489352137606</v>
      </c>
      <c r="GB78">
        <v>9.5683495267639049</v>
      </c>
      <c r="GC78">
        <v>4.9769760158191652</v>
      </c>
      <c r="GD78">
        <v>2.3113967442796577</v>
      </c>
      <c r="GE78">
        <v>2.7431775444148414</v>
      </c>
      <c r="GF78">
        <v>3.1626604977732393</v>
      </c>
      <c r="GG78">
        <v>2.3371748544551858</v>
      </c>
      <c r="GH78">
        <v>0.60080431445180338</v>
      </c>
      <c r="GI78">
        <v>7.9857748151076713</v>
      </c>
      <c r="GJ78"/>
      <c r="GK78"/>
      <c r="GL78"/>
      <c r="GM78"/>
      <c r="GN78" s="208"/>
      <c r="GO78" s="208"/>
      <c r="GP78" s="208"/>
      <c r="GQ78" s="208"/>
      <c r="GR78" s="208"/>
      <c r="GS78" s="208"/>
      <c r="GT78" s="208"/>
      <c r="GU78" s="213">
        <v>73</v>
      </c>
    </row>
    <row r="79" spans="1:203" s="7" customFormat="1">
      <c r="A79" s="4"/>
      <c r="B79" s="66"/>
      <c r="C79" s="71">
        <f t="shared" si="39"/>
        <v>39987</v>
      </c>
      <c r="D79" s="72">
        <f>SUM(G79:AK79)</f>
        <v>2.083333333333333</v>
      </c>
      <c r="E79" s="64"/>
      <c r="F79" s="64"/>
      <c r="G79" s="18">
        <f>AVERAGE(E318:E327)</f>
        <v>0</v>
      </c>
      <c r="H79" s="18">
        <f t="shared" ref="H79:AK79" si="50">AVERAGE(F318:F327)</f>
        <v>0</v>
      </c>
      <c r="I79" s="18">
        <f t="shared" si="50"/>
        <v>0</v>
      </c>
      <c r="J79" s="18">
        <f t="shared" si="50"/>
        <v>0</v>
      </c>
      <c r="K79" s="18">
        <f t="shared" si="50"/>
        <v>0</v>
      </c>
      <c r="L79" s="18">
        <f t="shared" si="50"/>
        <v>0</v>
      </c>
      <c r="M79" s="18">
        <f t="shared" si="50"/>
        <v>0</v>
      </c>
      <c r="N79" s="18">
        <f t="shared" si="50"/>
        <v>2.083333333333333</v>
      </c>
      <c r="O79" s="18">
        <f t="shared" si="50"/>
        <v>0</v>
      </c>
      <c r="P79" s="18">
        <f t="shared" si="50"/>
        <v>0</v>
      </c>
      <c r="Q79" s="18">
        <f t="shared" si="50"/>
        <v>0</v>
      </c>
      <c r="R79" s="18">
        <f t="shared" si="50"/>
        <v>0</v>
      </c>
      <c r="S79" s="18">
        <f t="shared" si="50"/>
        <v>0</v>
      </c>
      <c r="T79" s="18">
        <f t="shared" si="50"/>
        <v>0</v>
      </c>
      <c r="U79" s="18">
        <f t="shared" si="50"/>
        <v>0</v>
      </c>
      <c r="V79" s="18">
        <f t="shared" si="50"/>
        <v>0</v>
      </c>
      <c r="W79" s="18">
        <f t="shared" si="50"/>
        <v>0</v>
      </c>
      <c r="X79" s="18">
        <f t="shared" si="50"/>
        <v>0</v>
      </c>
      <c r="Y79" s="18">
        <f t="shared" si="50"/>
        <v>0</v>
      </c>
      <c r="Z79" s="18">
        <f t="shared" si="50"/>
        <v>0</v>
      </c>
      <c r="AA79" s="18">
        <f t="shared" si="50"/>
        <v>0</v>
      </c>
      <c r="AB79" s="18">
        <f t="shared" si="50"/>
        <v>0</v>
      </c>
      <c r="AC79" s="18">
        <f t="shared" si="50"/>
        <v>0</v>
      </c>
      <c r="AD79" s="18">
        <f t="shared" si="50"/>
        <v>0</v>
      </c>
      <c r="AE79" s="18">
        <f t="shared" si="50"/>
        <v>0</v>
      </c>
      <c r="AF79" s="18">
        <f t="shared" si="50"/>
        <v>0</v>
      </c>
      <c r="AG79" s="18">
        <f t="shared" si="50"/>
        <v>0</v>
      </c>
      <c r="AH79" s="18">
        <f t="shared" si="50"/>
        <v>0</v>
      </c>
      <c r="AI79" s="18">
        <f t="shared" si="50"/>
        <v>0</v>
      </c>
      <c r="AJ79" s="18">
        <f t="shared" si="50"/>
        <v>0</v>
      </c>
      <c r="AK79" s="18">
        <f t="shared" si="50"/>
        <v>0</v>
      </c>
      <c r="AL79" s="2"/>
      <c r="AM79" s="43">
        <v>63</v>
      </c>
      <c r="AN79">
        <v>111.96795315790625</v>
      </c>
      <c r="AO79">
        <v>14.297556197195899</v>
      </c>
      <c r="AP79">
        <v>79.441383644556666</v>
      </c>
      <c r="AQ79">
        <v>103.99049381899702</v>
      </c>
      <c r="AR79">
        <v>13.178494124905054</v>
      </c>
      <c r="AS79">
        <v>191.38336328065995</v>
      </c>
      <c r="AT79" t="e">
        <v>#DIV/0!</v>
      </c>
      <c r="AU79" t="e">
        <v>#DIV/0!</v>
      </c>
      <c r="AV79"/>
      <c r="AW79"/>
      <c r="FY79" s="213">
        <v>74</v>
      </c>
      <c r="FZ79">
        <v>19.974693372048588</v>
      </c>
      <c r="GA79">
        <v>25.33817964859929</v>
      </c>
      <c r="GB79">
        <v>3.6564885321837677</v>
      </c>
      <c r="GC79">
        <v>2.7030073776619274</v>
      </c>
      <c r="GD79">
        <v>2.1103731338431029</v>
      </c>
      <c r="GE79">
        <v>1.8697958910218453</v>
      </c>
      <c r="GF79">
        <v>3.2966309652001335</v>
      </c>
      <c r="GG79">
        <v>2.8828458654079405</v>
      </c>
      <c r="GH79">
        <v>0.60080431445180338</v>
      </c>
      <c r="GI79">
        <v>5.7803058053500687</v>
      </c>
      <c r="GJ79"/>
      <c r="GK79"/>
      <c r="GL79"/>
      <c r="GM79"/>
      <c r="GN79" s="208"/>
      <c r="GO79" s="208"/>
      <c r="GP79" s="208"/>
      <c r="GQ79" s="208"/>
      <c r="GR79" s="208"/>
      <c r="GS79" s="208"/>
      <c r="GT79" s="208"/>
      <c r="GU79" s="213">
        <v>74</v>
      </c>
    </row>
    <row r="80" spans="1:203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85.441204464765576</v>
      </c>
      <c r="AO80">
        <v>14.002959474905495</v>
      </c>
      <c r="AP80">
        <v>110.89857918444719</v>
      </c>
      <c r="AQ80">
        <v>100.65263926636028</v>
      </c>
      <c r="AR80">
        <v>13.057281305169061</v>
      </c>
      <c r="AS80">
        <v>156.74900378051743</v>
      </c>
      <c r="AT80" t="e">
        <v>#DIV/0!</v>
      </c>
      <c r="AU80" t="e">
        <v>#DIV/0!</v>
      </c>
      <c r="AV80"/>
      <c r="AW80"/>
      <c r="FY80" s="213">
        <v>75</v>
      </c>
      <c r="FZ80">
        <v>50.200275333381512</v>
      </c>
      <c r="GA80">
        <v>56.986550525006692</v>
      </c>
      <c r="GB80">
        <v>8.2285223863565111</v>
      </c>
      <c r="GC80">
        <v>5.0646179427841886</v>
      </c>
      <c r="GD80">
        <v>1.3031003019437597</v>
      </c>
      <c r="GE80">
        <v>1.4390622416274268</v>
      </c>
      <c r="GF80">
        <v>1.391286416504232</v>
      </c>
      <c r="GG80">
        <v>1.1642420747578721</v>
      </c>
      <c r="GH80">
        <v>0.60080431445180338</v>
      </c>
      <c r="GI80">
        <v>10.541826767882608</v>
      </c>
      <c r="GJ80"/>
      <c r="GK80"/>
      <c r="GL80"/>
      <c r="GM80"/>
      <c r="GN80" s="208"/>
      <c r="GO80" s="208"/>
      <c r="GP80" s="208"/>
      <c r="GQ80" s="208"/>
      <c r="GR80" s="208"/>
      <c r="GS80" s="208"/>
      <c r="GT80" s="208"/>
      <c r="GU80" s="213">
        <v>75</v>
      </c>
    </row>
    <row r="81" spans="1:203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84.728174603174608</v>
      </c>
      <c r="AO81">
        <v>17.805465594896059</v>
      </c>
      <c r="AP81">
        <v>128.19057392128389</v>
      </c>
      <c r="AQ81">
        <v>151.75756638037313</v>
      </c>
      <c r="AR81">
        <v>16.31069169457054</v>
      </c>
      <c r="AS81">
        <v>162.27232630006725</v>
      </c>
      <c r="AT81" t="e">
        <v>#DIV/0!</v>
      </c>
      <c r="AU81" t="e">
        <v>#DIV/0!</v>
      </c>
      <c r="AV81"/>
      <c r="AW81"/>
      <c r="FY81" s="213">
        <v>76</v>
      </c>
      <c r="FZ81">
        <v>48.286860124002047</v>
      </c>
      <c r="GA81">
        <v>54.494648624596792</v>
      </c>
      <c r="GB81">
        <v>7.726646688591746</v>
      </c>
      <c r="GC81">
        <v>5.9453170146736047</v>
      </c>
      <c r="GD81">
        <v>2.4485357456135319</v>
      </c>
      <c r="GE81">
        <v>2.4181193871975779</v>
      </c>
      <c r="GF81">
        <v>3.1960548019711141</v>
      </c>
      <c r="GG81">
        <v>3.7666454907180071</v>
      </c>
      <c r="GH81">
        <v>1.5603693116103559</v>
      </c>
      <c r="GI81">
        <v>11.310611198384816</v>
      </c>
      <c r="GJ81"/>
      <c r="GK81"/>
      <c r="GL81"/>
      <c r="GM81"/>
      <c r="GN81" s="208"/>
      <c r="GO81" s="208"/>
      <c r="GP81" s="208"/>
      <c r="GQ81" s="208"/>
      <c r="GR81" s="208"/>
      <c r="GS81" s="208"/>
      <c r="GT81" s="208"/>
      <c r="GU81" s="213">
        <v>76</v>
      </c>
    </row>
    <row r="82" spans="1:203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97.773257942286847</v>
      </c>
      <c r="AO82">
        <v>13.284858315890997</v>
      </c>
      <c r="AP82">
        <v>71.582969948303713</v>
      </c>
      <c r="AQ82">
        <v>98.610175867023528</v>
      </c>
      <c r="AR82">
        <v>12.138723578227573</v>
      </c>
      <c r="AS82">
        <v>165.3191421209022</v>
      </c>
      <c r="AT82" t="e">
        <v>#DIV/0!</v>
      </c>
      <c r="AU82" t="e">
        <v>#DIV/0!</v>
      </c>
      <c r="AV82"/>
      <c r="AW82"/>
      <c r="FY82" s="213">
        <v>77</v>
      </c>
      <c r="FZ82">
        <v>48.781715176311941</v>
      </c>
      <c r="GA82">
        <v>56.19532428419717</v>
      </c>
      <c r="GB82">
        <v>7.8580161552539618</v>
      </c>
      <c r="GC82">
        <v>5.9691242793882697</v>
      </c>
      <c r="GD82">
        <v>2.7890475477439733</v>
      </c>
      <c r="GE82">
        <v>3.0771803960360766</v>
      </c>
      <c r="GF82">
        <v>4.162755664893603</v>
      </c>
      <c r="GG82">
        <v>4.6069936247430698</v>
      </c>
      <c r="GH82">
        <v>1.5603693116103559</v>
      </c>
      <c r="GI82">
        <v>11.805816990341022</v>
      </c>
      <c r="GJ82"/>
      <c r="GK82"/>
      <c r="GL82"/>
      <c r="GM82"/>
      <c r="GN82" s="208"/>
      <c r="GO82" s="208"/>
      <c r="GP82" s="208"/>
      <c r="GQ82" s="208"/>
      <c r="GR82" s="208"/>
      <c r="GS82" s="208"/>
      <c r="GT82" s="208"/>
      <c r="GU82" s="213">
        <v>77</v>
      </c>
    </row>
    <row r="83" spans="1:203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110.59034823146764</v>
      </c>
      <c r="AO83">
        <v>18.24788963745592</v>
      </c>
      <c r="AP83">
        <v>158.98642407434434</v>
      </c>
      <c r="AQ83">
        <v>156.74362938654806</v>
      </c>
      <c r="AR83">
        <v>16.896269066173446</v>
      </c>
      <c r="AS83">
        <v>204.16529832872357</v>
      </c>
      <c r="AT83" t="e">
        <v>#DIV/0!</v>
      </c>
      <c r="AU83" t="e">
        <v>#DIV/0!</v>
      </c>
      <c r="AV83"/>
      <c r="AW83"/>
      <c r="FY83" s="213">
        <v>78</v>
      </c>
      <c r="FZ83">
        <v>41.485361685471659</v>
      </c>
      <c r="GA83">
        <v>49.708545110586748</v>
      </c>
      <c r="GB83">
        <v>12.041206229509111</v>
      </c>
      <c r="GC83">
        <v>7.2786528199706337</v>
      </c>
      <c r="GD83">
        <v>1.8576069274721714</v>
      </c>
      <c r="GE83">
        <v>1.6027149423414528</v>
      </c>
      <c r="GF83">
        <v>1.7000576776572076</v>
      </c>
      <c r="GG83">
        <v>2.2166767125140181</v>
      </c>
      <c r="GH83">
        <v>2.7619779405139626</v>
      </c>
      <c r="GI83">
        <v>10.966374941707681</v>
      </c>
      <c r="GJ83"/>
      <c r="GK83"/>
      <c r="GL83"/>
      <c r="GM83"/>
      <c r="GN83" s="208"/>
      <c r="GO83" s="208"/>
      <c r="GP83" s="208"/>
      <c r="GQ83" s="208"/>
      <c r="GR83" s="208"/>
      <c r="GS83" s="208"/>
      <c r="GT83" s="208"/>
      <c r="GU83" s="213">
        <v>78</v>
      </c>
    </row>
    <row r="84" spans="1:203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87.905339199856172</v>
      </c>
      <c r="AO84">
        <v>13.206126602237498</v>
      </c>
      <c r="AP84">
        <v>76.551636421624309</v>
      </c>
      <c r="AQ84">
        <v>109.33746560395824</v>
      </c>
      <c r="AR84">
        <v>12.190705195008093</v>
      </c>
      <c r="AS84">
        <v>176.6497222861174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3">
        <v>79</v>
      </c>
      <c r="FZ84">
        <v>43.156972744998988</v>
      </c>
      <c r="GA84">
        <v>57.182332653517527</v>
      </c>
      <c r="GB84">
        <v>10.069868178819291</v>
      </c>
      <c r="GC84">
        <v>4.8851768570487328</v>
      </c>
      <c r="GD84">
        <v>2.1646569103952835</v>
      </c>
      <c r="GE84">
        <v>2.6443439190917877</v>
      </c>
      <c r="GF84">
        <v>3.4892082661080819</v>
      </c>
      <c r="GG84">
        <v>2.7985283591849015</v>
      </c>
      <c r="GH84">
        <v>0</v>
      </c>
      <c r="GI84">
        <v>10.798653491129407</v>
      </c>
      <c r="GJ84"/>
      <c r="GK84"/>
      <c r="GL84"/>
      <c r="GM84"/>
      <c r="GN84" s="208"/>
      <c r="GO84" s="208"/>
      <c r="GP84" s="208"/>
      <c r="GQ84" s="208"/>
      <c r="GR84" s="208"/>
      <c r="GS84" s="208"/>
      <c r="GT84" s="208"/>
      <c r="GU84" s="213">
        <v>79</v>
      </c>
    </row>
    <row r="85" spans="1:203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86.748642023122244</v>
      </c>
      <c r="AO85">
        <v>10.927199993816451</v>
      </c>
      <c r="AP85">
        <v>55.179602542647046</v>
      </c>
      <c r="AQ85">
        <v>77.844553889792593</v>
      </c>
      <c r="AR85">
        <v>10.108899471629524</v>
      </c>
      <c r="AS85">
        <v>148.69683645007044</v>
      </c>
      <c r="AT85">
        <v>6.7902365285400137</v>
      </c>
      <c r="AU85">
        <v>25.396949783960313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3">
        <v>80</v>
      </c>
      <c r="FZ85">
        <v>46.808481537829607</v>
      </c>
      <c r="GA85">
        <v>60.319020376544465</v>
      </c>
      <c r="GB85">
        <v>8.2727220799746064</v>
      </c>
      <c r="GC85">
        <v>4.8842458755265099</v>
      </c>
      <c r="GD85">
        <v>2.3094994557234245</v>
      </c>
      <c r="GE85">
        <v>1.8999160275221882</v>
      </c>
      <c r="GF85">
        <v>3.2406260887205645</v>
      </c>
      <c r="GG85">
        <v>3.5078834674179165</v>
      </c>
      <c r="GH85">
        <v>2.1611736260621592</v>
      </c>
      <c r="GI85">
        <v>11.301281691758584</v>
      </c>
      <c r="GJ85"/>
      <c r="GK85"/>
      <c r="GL85"/>
      <c r="GM85"/>
      <c r="GN85" s="208"/>
      <c r="GO85" s="208"/>
      <c r="GP85" s="208"/>
      <c r="GQ85" s="208"/>
      <c r="GR85" s="208"/>
      <c r="GS85" s="208"/>
      <c r="GT85" s="208"/>
      <c r="GU85" s="213">
        <v>80</v>
      </c>
    </row>
    <row r="86" spans="1:203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115.67419742285362</v>
      </c>
      <c r="AO86">
        <v>20.293413671768061</v>
      </c>
      <c r="AP86">
        <v>121.09913255597056</v>
      </c>
      <c r="AQ86">
        <v>166.43455446826556</v>
      </c>
      <c r="AR86">
        <v>18.62530189078527</v>
      </c>
      <c r="AS86">
        <v>214.5347976388841</v>
      </c>
      <c r="AT86">
        <v>12.530631637660813</v>
      </c>
      <c r="AU86">
        <v>14.187855873475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3" t="s">
        <v>123</v>
      </c>
      <c r="CX86" s="223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3">
        <v>81</v>
      </c>
      <c r="FZ86">
        <v>9.7571749496551856</v>
      </c>
      <c r="GA86">
        <v>14.037389783588448</v>
      </c>
      <c r="GB86">
        <v>15.796377133322274</v>
      </c>
      <c r="GC86">
        <v>9.6266509330235621</v>
      </c>
      <c r="GD86">
        <v>2.6995582953874897</v>
      </c>
      <c r="GE86">
        <v>3.0129307606863729</v>
      </c>
      <c r="GF86">
        <v>5.449601563585837</v>
      </c>
      <c r="GG86">
        <v>6.6569939555996802</v>
      </c>
      <c r="GH86">
        <v>3.7215429376725151</v>
      </c>
      <c r="GI86">
        <v>8.5697381258338208</v>
      </c>
      <c r="GJ86"/>
      <c r="GK86"/>
      <c r="GL86"/>
      <c r="GM86"/>
      <c r="GN86" s="208"/>
      <c r="GO86" s="208"/>
      <c r="GP86" s="208"/>
      <c r="GQ86" s="208"/>
      <c r="GR86" s="208"/>
      <c r="GS86" s="208"/>
      <c r="GT86" s="208"/>
      <c r="GU86" s="213">
        <v>81</v>
      </c>
    </row>
    <row r="87" spans="1:203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60.390249422418535</v>
      </c>
      <c r="AO87">
        <v>7.2496901141548253</v>
      </c>
      <c r="AP87">
        <v>30.9852532199873</v>
      </c>
      <c r="AQ87">
        <v>45.93365423620336</v>
      </c>
      <c r="AR87">
        <v>6.7474823162979263</v>
      </c>
      <c r="AS87">
        <v>112.16460133593063</v>
      </c>
      <c r="AT87">
        <v>4.6475825589924211</v>
      </c>
      <c r="AU87">
        <v>25.039962057240533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3">
        <v>82</v>
      </c>
      <c r="FZ87">
        <v>30.839314782992595</v>
      </c>
      <c r="GA87">
        <v>33.798359920653304</v>
      </c>
      <c r="GB87">
        <v>7.7213136529689015</v>
      </c>
      <c r="GC87">
        <v>5.5677737260204934</v>
      </c>
      <c r="GD87">
        <v>2.1522915377490168</v>
      </c>
      <c r="GE87">
        <v>2.407963958783581</v>
      </c>
      <c r="GF87">
        <v>5.8347561654017355</v>
      </c>
      <c r="GG87">
        <v>6.0796089019157415</v>
      </c>
      <c r="GH87">
        <v>2.1611736260621592</v>
      </c>
      <c r="GI87">
        <v>9.1516595317505409</v>
      </c>
      <c r="GJ87"/>
      <c r="GK87"/>
      <c r="GL87"/>
      <c r="GM87"/>
      <c r="GN87" s="208"/>
      <c r="GO87" s="208"/>
      <c r="GP87" s="208"/>
      <c r="GQ87" s="208"/>
      <c r="GR87" s="208"/>
      <c r="GS87" s="208"/>
      <c r="GT87" s="208"/>
      <c r="GU87" s="213">
        <v>82</v>
      </c>
    </row>
    <row r="88" spans="1:203" s="7" customFormat="1">
      <c r="A88" s="128"/>
      <c r="B88" s="76">
        <f ca="1">IF(C88="", "", RAND())</f>
        <v>3.3355579030175164E-2</v>
      </c>
      <c r="C88">
        <v>6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84.850144108999331</v>
      </c>
      <c r="AO88">
        <v>16.998417228168531</v>
      </c>
      <c r="AP88">
        <v>109.92669434089736</v>
      </c>
      <c r="AQ88">
        <v>143.62367176782539</v>
      </c>
      <c r="AR88">
        <v>15.558983301812399</v>
      </c>
      <c r="AS88">
        <v>182.76557833172615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0.78782263401351327</v>
      </c>
      <c r="AZ88">
        <v>1</v>
      </c>
      <c r="BA88" s="129">
        <f>IF(AZ88="", "",$C$4)</f>
        <v>39646</v>
      </c>
      <c r="BB88" s="207">
        <v>0</v>
      </c>
      <c r="BC88" s="207">
        <v>0</v>
      </c>
      <c r="BD88" s="207">
        <v>0</v>
      </c>
      <c r="BE88" s="207">
        <v>0</v>
      </c>
      <c r="BF88" s="207">
        <v>0</v>
      </c>
      <c r="BG88" s="207">
        <v>0</v>
      </c>
      <c r="BH88" s="207">
        <v>0</v>
      </c>
      <c r="BI88" s="207">
        <v>0</v>
      </c>
      <c r="BJ88" s="207">
        <v>0</v>
      </c>
      <c r="BK88" s="207">
        <v>0</v>
      </c>
      <c r="BL88" s="207">
        <v>0</v>
      </c>
      <c r="BM88" s="207">
        <v>0</v>
      </c>
      <c r="BN88" s="207">
        <v>0</v>
      </c>
      <c r="BO88" s="207">
        <v>0</v>
      </c>
      <c r="BP88" s="207">
        <v>0</v>
      </c>
      <c r="BQ88" s="207">
        <v>0</v>
      </c>
      <c r="BR88" s="207">
        <v>0</v>
      </c>
      <c r="BS88" s="207">
        <v>0</v>
      </c>
      <c r="BT88" s="207">
        <v>0</v>
      </c>
      <c r="BU88" s="207">
        <v>0</v>
      </c>
      <c r="BV88" s="207">
        <v>0</v>
      </c>
      <c r="BW88" s="207">
        <v>0</v>
      </c>
      <c r="BX88" s="207">
        <v>0</v>
      </c>
      <c r="BY88" s="207">
        <v>0</v>
      </c>
      <c r="BZ88" s="207">
        <v>0</v>
      </c>
      <c r="CA88" s="207">
        <v>0</v>
      </c>
      <c r="CB88" s="207">
        <v>0</v>
      </c>
      <c r="CC88" s="207">
        <v>0</v>
      </c>
      <c r="CD88" s="207">
        <v>0</v>
      </c>
      <c r="CE88" s="207">
        <v>0</v>
      </c>
      <c r="CF88" s="207"/>
      <c r="CG88" s="147"/>
      <c r="CH88" s="176"/>
      <c r="CJ88" s="128"/>
      <c r="CK88" s="76">
        <f ca="1">IF(AZ88="", "", RAND())</f>
        <v>1.8171722321679518E-2</v>
      </c>
      <c r="CL88" s="179">
        <f>IF(AZ88="", "", AZ88)</f>
        <v>1</v>
      </c>
      <c r="CM88" s="180">
        <f>IF(AZ88="", "", BA88)</f>
        <v>39646</v>
      </c>
      <c r="CN88" s="208">
        <v>0</v>
      </c>
      <c r="CO88" s="208">
        <v>0</v>
      </c>
      <c r="CP88" s="208">
        <v>1</v>
      </c>
      <c r="CQ88" s="208">
        <v>0</v>
      </c>
      <c r="CR88" s="208">
        <v>0</v>
      </c>
      <c r="CS88" s="208">
        <v>0</v>
      </c>
      <c r="CT88" s="208">
        <v>0</v>
      </c>
      <c r="CU88" s="20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0.99848943345200958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20.833333333333332</v>
      </c>
      <c r="DI88" s="161">
        <f t="shared" si="53"/>
        <v>0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20.833333333333332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0.9723544143484395</v>
      </c>
      <c r="ES88" s="139">
        <f t="shared" ref="ES88:ES119" si="59">IF(DI88="", "", DI88*J$36)</f>
        <v>0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0.9723544143484395</v>
      </c>
      <c r="FV88" s="149"/>
      <c r="FY88" s="213">
        <v>83</v>
      </c>
      <c r="FZ88">
        <v>19.765113828296187</v>
      </c>
      <c r="GA88">
        <v>26.138465554829779</v>
      </c>
      <c r="GB88">
        <v>7.1455542728587478</v>
      </c>
      <c r="GC88">
        <v>4.1331845006363714</v>
      </c>
      <c r="GD88">
        <v>1.53408820748436</v>
      </c>
      <c r="GE88">
        <v>1.3926813134151448</v>
      </c>
      <c r="GF88">
        <v>3.4892082661080819</v>
      </c>
      <c r="GG88">
        <v>6.4453870136387641</v>
      </c>
      <c r="GH88">
        <v>5.8827165637346734</v>
      </c>
      <c r="GI88">
        <v>7.168936659286004</v>
      </c>
      <c r="GJ88"/>
      <c r="GK88"/>
      <c r="GL88"/>
      <c r="GM88"/>
      <c r="GN88" s="208"/>
      <c r="GO88" s="208"/>
      <c r="GP88" s="208"/>
      <c r="GQ88" s="208"/>
      <c r="GR88" s="208"/>
      <c r="GS88" s="208"/>
      <c r="GT88" s="208"/>
      <c r="GU88" s="213">
        <v>83</v>
      </c>
    </row>
    <row r="89" spans="1:203" s="7" customFormat="1">
      <c r="A89" s="115"/>
      <c r="B89" s="76">
        <f ca="1">IF(C89="", "", RAND())</f>
        <v>0.30148865132483227</v>
      </c>
      <c r="C89">
        <v>4</v>
      </c>
      <c r="D89">
        <v>39646</v>
      </c>
      <c r="E89">
        <v>0</v>
      </c>
      <c r="F89">
        <v>0</v>
      </c>
      <c r="G89">
        <v>41.666666666666664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95.091507695032021</v>
      </c>
      <c r="AO89">
        <v>11.925814398520725</v>
      </c>
      <c r="AP89">
        <v>58.766007205958445</v>
      </c>
      <c r="AQ89">
        <v>91.250582080998626</v>
      </c>
      <c r="AR89">
        <v>11.020603356956663</v>
      </c>
      <c r="AS89">
        <v>141.88117525026564</v>
      </c>
      <c r="AT89" t="e">
        <v>#DIV/0!</v>
      </c>
      <c r="AU89" t="e">
        <v>#DIV/0!</v>
      </c>
      <c r="AV89"/>
      <c r="AW89"/>
      <c r="AX89" s="150"/>
      <c r="AY89" s="76">
        <f t="shared" ref="AY89:AY151" ca="1" si="88">IF(AZ89="", "", RAND())</f>
        <v>0.85080565074128089</v>
      </c>
      <c r="AZ89">
        <v>2</v>
      </c>
      <c r="BA89" s="129">
        <f t="shared" ref="BA89:BA97" si="89">IF(AZ89="", "",$C$4)</f>
        <v>39646</v>
      </c>
      <c r="BB89" s="207">
        <v>0</v>
      </c>
      <c r="BC89" s="207">
        <v>0</v>
      </c>
      <c r="BD89" s="207">
        <v>0</v>
      </c>
      <c r="BE89" s="207">
        <v>0</v>
      </c>
      <c r="BF89" s="207">
        <v>0</v>
      </c>
      <c r="BG89" s="207">
        <v>0</v>
      </c>
      <c r="BH89" s="207">
        <v>0</v>
      </c>
      <c r="BI89" s="207">
        <v>0</v>
      </c>
      <c r="BJ89" s="207">
        <v>0</v>
      </c>
      <c r="BK89" s="207">
        <v>0</v>
      </c>
      <c r="BL89" s="207">
        <v>0</v>
      </c>
      <c r="BM89" s="207">
        <v>0</v>
      </c>
      <c r="BN89" s="207">
        <v>0</v>
      </c>
      <c r="BO89" s="207">
        <v>0</v>
      </c>
      <c r="BP89" s="207">
        <v>0</v>
      </c>
      <c r="BQ89" s="207">
        <v>0</v>
      </c>
      <c r="BR89" s="207">
        <v>0</v>
      </c>
      <c r="BS89" s="207">
        <v>0</v>
      </c>
      <c r="BT89" s="207">
        <v>0</v>
      </c>
      <c r="BU89" s="207">
        <v>0</v>
      </c>
      <c r="BV89" s="207">
        <v>0</v>
      </c>
      <c r="BW89" s="207">
        <v>0</v>
      </c>
      <c r="BX89" s="207">
        <v>0</v>
      </c>
      <c r="BY89" s="207">
        <v>0</v>
      </c>
      <c r="BZ89" s="207">
        <v>0</v>
      </c>
      <c r="CA89" s="207">
        <v>0</v>
      </c>
      <c r="CB89" s="207">
        <v>0</v>
      </c>
      <c r="CC89" s="207">
        <v>0</v>
      </c>
      <c r="CD89" s="207">
        <v>0</v>
      </c>
      <c r="CE89" s="207">
        <v>0</v>
      </c>
      <c r="CF89" s="207"/>
      <c r="CG89" s="147"/>
      <c r="CH89" s="176"/>
      <c r="CJ89" s="150"/>
      <c r="CK89" s="76">
        <f t="shared" ref="CK89:CK152" ca="1" si="90">IF(AZ89="", "", RAND())</f>
        <v>8.1538305914553355E-2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 s="208">
        <v>0</v>
      </c>
      <c r="CO89" s="208">
        <v>0</v>
      </c>
      <c r="CP89" s="208">
        <v>0</v>
      </c>
      <c r="CQ89" s="208">
        <v>0</v>
      </c>
      <c r="CR89" s="208">
        <v>0</v>
      </c>
      <c r="CS89" s="208">
        <v>0</v>
      </c>
      <c r="CT89" s="208">
        <v>0</v>
      </c>
      <c r="CU89" s="208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0.63607008738335491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0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</v>
      </c>
      <c r="FV89" s="149"/>
      <c r="FY89" s="213">
        <v>84</v>
      </c>
      <c r="FZ89">
        <v>23.260318771462032</v>
      </c>
      <c r="GA89">
        <v>27.455020335823825</v>
      </c>
      <c r="GB89">
        <v>6.0398369330678952</v>
      </c>
      <c r="GC89">
        <v>4.448985827263666</v>
      </c>
      <c r="GD89">
        <v>1.7577658321397924</v>
      </c>
      <c r="GE89">
        <v>1.5824828270817553</v>
      </c>
      <c r="GF89">
        <v>1.2161059549618911</v>
      </c>
      <c r="GG89">
        <v>0.86083550716426394</v>
      </c>
      <c r="GH89">
        <v>1.2016086289036068</v>
      </c>
      <c r="GI89">
        <v>6.3578026442176423</v>
      </c>
      <c r="GJ89"/>
      <c r="GK89"/>
      <c r="GL89"/>
      <c r="GM89"/>
      <c r="GN89" s="208"/>
      <c r="GO89" s="208"/>
      <c r="GP89" s="208"/>
      <c r="GQ89" s="208"/>
      <c r="GR89" s="208"/>
      <c r="GS89" s="208"/>
      <c r="GT89" s="208"/>
      <c r="GU89" s="213">
        <v>84</v>
      </c>
    </row>
    <row r="90" spans="1:203" s="7" customFormat="1">
      <c r="A90" s="115"/>
      <c r="B90" s="76">
        <f ca="1">IF(C90="", "", RAND())</f>
        <v>0.56881810777236819</v>
      </c>
      <c r="C90">
        <v>10</v>
      </c>
      <c r="D90">
        <v>39646</v>
      </c>
      <c r="E90">
        <v>0</v>
      </c>
      <c r="F90">
        <v>0</v>
      </c>
      <c r="G90">
        <v>208.33333333333334</v>
      </c>
      <c r="H90">
        <v>41.666666666666664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64.247664386267331</v>
      </c>
      <c r="AO90">
        <v>8.5746637664545471</v>
      </c>
      <c r="AP90">
        <v>94.042304613786627</v>
      </c>
      <c r="AQ90">
        <v>68.213124905768467</v>
      </c>
      <c r="AR90">
        <v>7.9674730931623072</v>
      </c>
      <c r="AS90">
        <v>116.64558026940726</v>
      </c>
      <c r="AT90" t="e">
        <v>#DIV/0!</v>
      </c>
      <c r="AU90" t="e">
        <v>#DIV/0!</v>
      </c>
      <c r="AV90"/>
      <c r="AW90"/>
      <c r="AX90" s="150"/>
      <c r="AY90" s="76">
        <f t="shared" ca="1" si="88"/>
        <v>0.33402744862364098</v>
      </c>
      <c r="AZ90">
        <v>3</v>
      </c>
      <c r="BA90" s="129">
        <f t="shared" si="89"/>
        <v>39646</v>
      </c>
      <c r="BB90" s="207">
        <v>0</v>
      </c>
      <c r="BC90" s="207">
        <v>0</v>
      </c>
      <c r="BD90" s="207">
        <v>0</v>
      </c>
      <c r="BE90" s="207">
        <v>0</v>
      </c>
      <c r="BF90" s="207">
        <v>0</v>
      </c>
      <c r="BG90" s="207">
        <v>0</v>
      </c>
      <c r="BH90" s="207">
        <v>0</v>
      </c>
      <c r="BI90" s="207">
        <v>0</v>
      </c>
      <c r="BJ90" s="207">
        <v>0</v>
      </c>
      <c r="BK90" s="207">
        <v>0</v>
      </c>
      <c r="BL90" s="207">
        <v>0</v>
      </c>
      <c r="BM90" s="207">
        <v>0</v>
      </c>
      <c r="BN90" s="207">
        <v>0</v>
      </c>
      <c r="BO90" s="207">
        <v>0</v>
      </c>
      <c r="BP90" s="207">
        <v>0</v>
      </c>
      <c r="BQ90" s="207">
        <v>0</v>
      </c>
      <c r="BR90" s="207">
        <v>0</v>
      </c>
      <c r="BS90" s="207">
        <v>0</v>
      </c>
      <c r="BT90" s="207">
        <v>0</v>
      </c>
      <c r="BU90" s="207">
        <v>0</v>
      </c>
      <c r="BV90" s="207">
        <v>0</v>
      </c>
      <c r="BW90" s="207">
        <v>0</v>
      </c>
      <c r="BX90" s="207">
        <v>0</v>
      </c>
      <c r="BY90" s="207">
        <v>0</v>
      </c>
      <c r="BZ90" s="207">
        <v>0</v>
      </c>
      <c r="CA90" s="207">
        <v>0</v>
      </c>
      <c r="CB90" s="207">
        <v>0</v>
      </c>
      <c r="CC90" s="207">
        <v>0</v>
      </c>
      <c r="CD90" s="207">
        <v>0</v>
      </c>
      <c r="CE90" s="207">
        <v>0</v>
      </c>
      <c r="CF90" s="207"/>
      <c r="CG90" s="147"/>
      <c r="CH90" s="176"/>
      <c r="CJ90" s="150"/>
      <c r="CK90" s="76">
        <f t="shared" ca="1" si="90"/>
        <v>0.35676244376326771</v>
      </c>
      <c r="CL90" s="179">
        <f t="shared" si="91"/>
        <v>3</v>
      </c>
      <c r="CM90" s="180">
        <f t="shared" si="92"/>
        <v>39646</v>
      </c>
      <c r="CN90" s="208">
        <v>0</v>
      </c>
      <c r="CO90" s="208">
        <v>0</v>
      </c>
      <c r="CP90" s="208">
        <v>3</v>
      </c>
      <c r="CQ90" s="208">
        <v>0</v>
      </c>
      <c r="CR90" s="208">
        <v>0</v>
      </c>
      <c r="CS90" s="208">
        <v>0</v>
      </c>
      <c r="CT90" s="208">
        <v>0</v>
      </c>
      <c r="CU90" s="208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0.42711366628749659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31.25</v>
      </c>
      <c r="DI90" s="161">
        <f t="shared" si="98"/>
        <v>0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31.25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1.4585316215226594</v>
      </c>
      <c r="ES90" s="139">
        <f t="shared" si="59"/>
        <v>0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1.4585316215226594</v>
      </c>
      <c r="FV90" s="149"/>
      <c r="FY90" s="213">
        <v>85</v>
      </c>
      <c r="FZ90">
        <v>21.265970544848841</v>
      </c>
      <c r="GA90">
        <v>27.690783998613526</v>
      </c>
      <c r="GB90">
        <v>6.6352955028390408</v>
      </c>
      <c r="GC90">
        <v>3.7375686794836329</v>
      </c>
      <c r="GD90">
        <v>2.0823158408877855</v>
      </c>
      <c r="GE90">
        <v>1.4220041963989898</v>
      </c>
      <c r="GF90">
        <v>1.8493396722163322</v>
      </c>
      <c r="GG90">
        <v>2.6722749847158975</v>
      </c>
      <c r="GH90">
        <v>1.5603693116103559</v>
      </c>
      <c r="GI90">
        <v>6.6669918579429792</v>
      </c>
      <c r="GJ90"/>
      <c r="GK90"/>
      <c r="GL90"/>
      <c r="GM90"/>
      <c r="GN90" s="208"/>
      <c r="GO90" s="208"/>
      <c r="GP90" s="208"/>
      <c r="GQ90" s="208"/>
      <c r="GR90" s="208"/>
      <c r="GS90" s="208"/>
      <c r="GT90" s="208"/>
      <c r="GU90" s="213">
        <v>85</v>
      </c>
    </row>
    <row r="91" spans="1:203" s="7" customFormat="1">
      <c r="A91" s="77"/>
      <c r="B91" s="76">
        <f ca="1">IF(C91="", "", RAND())</f>
        <v>0.64788823831327758</v>
      </c>
      <c r="C91">
        <v>2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99.213556356450624</v>
      </c>
      <c r="AO91">
        <v>15.725540503058857</v>
      </c>
      <c r="AP91">
        <v>120.42740172741668</v>
      </c>
      <c r="AQ91">
        <v>136.92028830469658</v>
      </c>
      <c r="AR91">
        <v>14.580677398242921</v>
      </c>
      <c r="AS91">
        <v>177.63063987407827</v>
      </c>
      <c r="AT91" t="e">
        <v>#DIV/0!</v>
      </c>
      <c r="AU91" t="e">
        <v>#DIV/0!</v>
      </c>
      <c r="AV91"/>
      <c r="AW91"/>
      <c r="AX91" s="151"/>
      <c r="AY91" s="76">
        <f t="shared" ca="1" si="88"/>
        <v>0.95422693437955619</v>
      </c>
      <c r="AZ91">
        <v>4</v>
      </c>
      <c r="BA91" s="129">
        <f t="shared" si="89"/>
        <v>39646</v>
      </c>
      <c r="BB91" s="207">
        <v>0</v>
      </c>
      <c r="BC91" s="207">
        <v>0</v>
      </c>
      <c r="BD91" s="207">
        <v>0</v>
      </c>
      <c r="BE91" s="207">
        <v>0</v>
      </c>
      <c r="BF91" s="207">
        <v>0</v>
      </c>
      <c r="BG91" s="207">
        <v>0</v>
      </c>
      <c r="BH91" s="207">
        <v>0</v>
      </c>
      <c r="BI91" s="207">
        <v>0</v>
      </c>
      <c r="BJ91" s="207">
        <v>0</v>
      </c>
      <c r="BK91" s="207">
        <v>0</v>
      </c>
      <c r="BL91" s="207">
        <v>0</v>
      </c>
      <c r="BM91" s="207">
        <v>0</v>
      </c>
      <c r="BN91" s="207">
        <v>0</v>
      </c>
      <c r="BO91" s="207">
        <v>0</v>
      </c>
      <c r="BP91" s="207">
        <v>0</v>
      </c>
      <c r="BQ91" s="207">
        <v>0</v>
      </c>
      <c r="BR91" s="207">
        <v>0</v>
      </c>
      <c r="BS91" s="207">
        <v>0</v>
      </c>
      <c r="BT91" s="207">
        <v>0</v>
      </c>
      <c r="BU91" s="207">
        <v>0</v>
      </c>
      <c r="BV91" s="207">
        <v>0</v>
      </c>
      <c r="BW91" s="207">
        <v>0</v>
      </c>
      <c r="BX91" s="207">
        <v>0</v>
      </c>
      <c r="BY91" s="207">
        <v>0</v>
      </c>
      <c r="BZ91" s="207">
        <v>0</v>
      </c>
      <c r="CA91" s="207">
        <v>0</v>
      </c>
      <c r="CB91" s="207">
        <v>0</v>
      </c>
      <c r="CC91" s="207">
        <v>0</v>
      </c>
      <c r="CD91" s="207">
        <v>0</v>
      </c>
      <c r="CE91" s="207">
        <v>0</v>
      </c>
      <c r="CF91" s="207"/>
      <c r="CG91" s="147"/>
      <c r="CH91" s="176"/>
      <c r="CJ91" s="151"/>
      <c r="CK91" s="76">
        <f t="shared" ca="1" si="90"/>
        <v>0.46800328555992388</v>
      </c>
      <c r="CL91" s="179">
        <f t="shared" si="91"/>
        <v>4</v>
      </c>
      <c r="CM91" s="180">
        <f t="shared" si="92"/>
        <v>39646</v>
      </c>
      <c r="CN91" s="208">
        <v>0</v>
      </c>
      <c r="CO91" s="208">
        <v>0</v>
      </c>
      <c r="CP91" s="208">
        <v>4</v>
      </c>
      <c r="CQ91" s="208">
        <v>0</v>
      </c>
      <c r="CR91" s="208">
        <v>0</v>
      </c>
      <c r="CS91" s="208">
        <v>0</v>
      </c>
      <c r="CT91" s="208">
        <v>0</v>
      </c>
      <c r="CU91" s="208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0.48704246737648127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41.666666666666664</v>
      </c>
      <c r="DI91" s="161">
        <f t="shared" si="98"/>
        <v>0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41.666666666666664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1.944708828696879</v>
      </c>
      <c r="ES91" s="139">
        <f t="shared" si="59"/>
        <v>0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1.944708828696879</v>
      </c>
      <c r="FV91" s="149"/>
      <c r="FY91" s="213">
        <v>86</v>
      </c>
      <c r="FZ91">
        <v>11.419269168753708</v>
      </c>
      <c r="GA91">
        <v>15.173136222283802</v>
      </c>
      <c r="GB91">
        <v>9.7070554032211689</v>
      </c>
      <c r="GC91">
        <v>6.2313996245752215</v>
      </c>
      <c r="GD91">
        <v>2.056683928346362</v>
      </c>
      <c r="GE91">
        <v>1.542983171480691</v>
      </c>
      <c r="GF91">
        <v>4.8796717679604296</v>
      </c>
      <c r="GG91">
        <v>4.0148969105118466</v>
      </c>
      <c r="GH91">
        <v>0.60080431445180338</v>
      </c>
      <c r="GI91">
        <v>6.3283884660971763</v>
      </c>
      <c r="GJ91"/>
      <c r="GK91"/>
      <c r="GL91"/>
      <c r="GM91"/>
      <c r="GN91" s="208"/>
      <c r="GO91" s="208"/>
      <c r="GP91" s="208"/>
      <c r="GQ91" s="208"/>
      <c r="GR91" s="208"/>
      <c r="GS91" s="208"/>
      <c r="GT91" s="208"/>
      <c r="GU91" s="213">
        <v>86</v>
      </c>
    </row>
    <row r="92" spans="1:203" s="7" customFormat="1">
      <c r="A92" s="77"/>
      <c r="B92" s="76">
        <f ca="1">IF(C92="", "", RAND())</f>
        <v>0.31986770060553482</v>
      </c>
      <c r="C92">
        <v>9</v>
      </c>
      <c r="D92">
        <v>39646</v>
      </c>
      <c r="E92">
        <v>0</v>
      </c>
      <c r="F92">
        <v>0</v>
      </c>
      <c r="G92">
        <v>10.416666666666666</v>
      </c>
      <c r="H92">
        <v>20.833333333333332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89.976282288630173</v>
      </c>
      <c r="AO92">
        <v>16.973990229610678</v>
      </c>
      <c r="AP92">
        <v>99.387911726057354</v>
      </c>
      <c r="AQ92">
        <v>141.15380838735956</v>
      </c>
      <c r="AR92">
        <v>15.6138258689511</v>
      </c>
      <c r="AS92">
        <v>195.1766550715929</v>
      </c>
      <c r="AT92" t="e">
        <v>#DIV/0!</v>
      </c>
      <c r="AU92" t="e">
        <v>#DIV/0!</v>
      </c>
      <c r="AV92"/>
      <c r="AW92"/>
      <c r="AX92" s="151"/>
      <c r="AY92" s="76">
        <f t="shared" ca="1" si="88"/>
        <v>0.5680929230956091</v>
      </c>
      <c r="AZ92">
        <v>5</v>
      </c>
      <c r="BA92" s="129">
        <f t="shared" si="89"/>
        <v>39646</v>
      </c>
      <c r="BB92" s="207">
        <v>0</v>
      </c>
      <c r="BC92" s="207">
        <v>0</v>
      </c>
      <c r="BD92" s="207">
        <v>0</v>
      </c>
      <c r="BE92" s="207">
        <v>0</v>
      </c>
      <c r="BF92" s="207">
        <v>0</v>
      </c>
      <c r="BG92" s="207">
        <v>0</v>
      </c>
      <c r="BH92" s="207">
        <v>0</v>
      </c>
      <c r="BI92" s="207">
        <v>0</v>
      </c>
      <c r="BJ92" s="207">
        <v>0</v>
      </c>
      <c r="BK92" s="207">
        <v>0</v>
      </c>
      <c r="BL92" s="207">
        <v>0</v>
      </c>
      <c r="BM92" s="207">
        <v>0</v>
      </c>
      <c r="BN92" s="207">
        <v>0</v>
      </c>
      <c r="BO92" s="207">
        <v>0</v>
      </c>
      <c r="BP92" s="207">
        <v>0</v>
      </c>
      <c r="BQ92" s="207">
        <v>0</v>
      </c>
      <c r="BR92" s="207">
        <v>0</v>
      </c>
      <c r="BS92" s="207">
        <v>0</v>
      </c>
      <c r="BT92" s="207">
        <v>0</v>
      </c>
      <c r="BU92" s="207">
        <v>0</v>
      </c>
      <c r="BV92" s="207">
        <v>0</v>
      </c>
      <c r="BW92" s="207">
        <v>0</v>
      </c>
      <c r="BX92" s="207">
        <v>0</v>
      </c>
      <c r="BY92" s="207">
        <v>0</v>
      </c>
      <c r="BZ92" s="207">
        <v>0</v>
      </c>
      <c r="CA92" s="207">
        <v>0</v>
      </c>
      <c r="CB92" s="207">
        <v>0</v>
      </c>
      <c r="CC92" s="207">
        <v>0</v>
      </c>
      <c r="CD92" s="207">
        <v>0</v>
      </c>
      <c r="CE92" s="207">
        <v>0</v>
      </c>
      <c r="CF92" s="207"/>
      <c r="CG92" s="147"/>
      <c r="CH92" s="176"/>
      <c r="CJ92" s="151"/>
      <c r="CK92" s="76">
        <f t="shared" ca="1" si="90"/>
        <v>5.4370621531341534E-2</v>
      </c>
      <c r="CL92" s="179">
        <f t="shared" si="91"/>
        <v>5</v>
      </c>
      <c r="CM92" s="180">
        <f t="shared" si="92"/>
        <v>39646</v>
      </c>
      <c r="CN92" s="208">
        <v>0</v>
      </c>
      <c r="CO92" s="208">
        <v>0</v>
      </c>
      <c r="CP92" s="208">
        <v>0</v>
      </c>
      <c r="CQ92" s="208">
        <v>0</v>
      </c>
      <c r="CR92" s="208">
        <v>0</v>
      </c>
      <c r="CS92" s="208">
        <v>0</v>
      </c>
      <c r="CT92" s="208">
        <v>0</v>
      </c>
      <c r="CU92" s="208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0.37691671197526766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3">
        <v>87</v>
      </c>
      <c r="FZ92">
        <v>47.008518849661996</v>
      </c>
      <c r="GA92">
        <v>59.753281380181754</v>
      </c>
      <c r="GB92">
        <v>11.327105876780228</v>
      </c>
      <c r="GC92">
        <v>5.7745019650282678</v>
      </c>
      <c r="GD92">
        <v>1.5845551922824743</v>
      </c>
      <c r="GE92">
        <v>1.8282407582907703</v>
      </c>
      <c r="GF92">
        <v>5.3788616198554937</v>
      </c>
      <c r="GG92">
        <v>6.410719238978194</v>
      </c>
      <c r="GH92">
        <v>3.1207386232207117</v>
      </c>
      <c r="GI92">
        <v>12.231695688648649</v>
      </c>
      <c r="GJ92"/>
      <c r="GK92"/>
      <c r="GL92"/>
      <c r="GM92"/>
      <c r="GN92" s="208"/>
      <c r="GO92" s="208"/>
      <c r="GP92" s="208"/>
      <c r="GQ92" s="208"/>
      <c r="GR92" s="208"/>
      <c r="GS92" s="208"/>
      <c r="GT92" s="208"/>
      <c r="GU92" s="213">
        <v>87</v>
      </c>
    </row>
    <row r="93" spans="1:203" s="7" customFormat="1">
      <c r="A93" s="77"/>
      <c r="B93" s="76">
        <f ca="1">IF(C93="", "", RAND())</f>
        <v>0.52333633951043801</v>
      </c>
      <c r="C93">
        <v>1</v>
      </c>
      <c r="D93">
        <v>39646</v>
      </c>
      <c r="E93">
        <v>0</v>
      </c>
      <c r="F93">
        <v>0</v>
      </c>
      <c r="G93">
        <v>20.833333333333332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95.85825148435444</v>
      </c>
      <c r="AO93">
        <v>17.826403537188533</v>
      </c>
      <c r="AP93">
        <v>127.0549940329263</v>
      </c>
      <c r="AQ93">
        <v>146.80634343051941</v>
      </c>
      <c r="AR93">
        <v>16.311698128194212</v>
      </c>
      <c r="AS93">
        <v>190.30539708122737</v>
      </c>
      <c r="AT93" t="e">
        <v>#DIV/0!</v>
      </c>
      <c r="AU93" t="e">
        <v>#DIV/0!</v>
      </c>
      <c r="AV93"/>
      <c r="AW93"/>
      <c r="AX93" s="151"/>
      <c r="AY93" s="76">
        <f t="shared" ca="1" si="88"/>
        <v>0.19554952563158512</v>
      </c>
      <c r="AZ93">
        <v>6</v>
      </c>
      <c r="BA93" s="129">
        <f t="shared" si="89"/>
        <v>39646</v>
      </c>
      <c r="BB93" s="207">
        <v>0</v>
      </c>
      <c r="BC93" s="207">
        <v>0</v>
      </c>
      <c r="BD93" s="207">
        <v>0</v>
      </c>
      <c r="BE93" s="207">
        <v>0</v>
      </c>
      <c r="BF93" s="207">
        <v>0</v>
      </c>
      <c r="BG93" s="207">
        <v>0</v>
      </c>
      <c r="BH93" s="207">
        <v>0</v>
      </c>
      <c r="BI93" s="207">
        <v>0</v>
      </c>
      <c r="BJ93" s="207">
        <v>0</v>
      </c>
      <c r="BK93" s="207">
        <v>0</v>
      </c>
      <c r="BL93" s="207">
        <v>0</v>
      </c>
      <c r="BM93" s="207">
        <v>0</v>
      </c>
      <c r="BN93" s="207">
        <v>0</v>
      </c>
      <c r="BO93" s="207">
        <v>0</v>
      </c>
      <c r="BP93" s="207">
        <v>0</v>
      </c>
      <c r="BQ93" s="207">
        <v>0</v>
      </c>
      <c r="BR93" s="207">
        <v>0</v>
      </c>
      <c r="BS93" s="207">
        <v>0</v>
      </c>
      <c r="BT93" s="207">
        <v>0</v>
      </c>
      <c r="BU93" s="207">
        <v>0</v>
      </c>
      <c r="BV93" s="207">
        <v>0</v>
      </c>
      <c r="BW93" s="207">
        <v>0</v>
      </c>
      <c r="BX93" s="207">
        <v>0</v>
      </c>
      <c r="BY93" s="207">
        <v>0</v>
      </c>
      <c r="BZ93" s="207">
        <v>0</v>
      </c>
      <c r="CA93" s="207">
        <v>0</v>
      </c>
      <c r="CB93" s="207">
        <v>0</v>
      </c>
      <c r="CC93" s="207">
        <v>0</v>
      </c>
      <c r="CD93" s="207">
        <v>0</v>
      </c>
      <c r="CE93" s="207">
        <v>0</v>
      </c>
      <c r="CF93" s="207"/>
      <c r="CG93" s="147"/>
      <c r="CH93" s="176"/>
      <c r="CJ93" s="151"/>
      <c r="CK93" s="76">
        <f t="shared" ca="1" si="90"/>
        <v>0.24531542812386409</v>
      </c>
      <c r="CL93" s="179">
        <f t="shared" si="91"/>
        <v>6</v>
      </c>
      <c r="CM93" s="180">
        <f t="shared" si="92"/>
        <v>39646</v>
      </c>
      <c r="CN93" s="208">
        <v>0</v>
      </c>
      <c r="CO93" s="208">
        <v>0</v>
      </c>
      <c r="CP93" s="208">
        <v>0</v>
      </c>
      <c r="CQ93" s="208">
        <v>0</v>
      </c>
      <c r="CR93" s="208">
        <v>0</v>
      </c>
      <c r="CS93" s="208">
        <v>0</v>
      </c>
      <c r="CT93" s="208">
        <v>0</v>
      </c>
      <c r="CU93" s="208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8.4126253150413888E-2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0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0</v>
      </c>
      <c r="FV93" s="149"/>
      <c r="FY93" s="213">
        <v>88</v>
      </c>
      <c r="FZ93">
        <v>11.004206771909651</v>
      </c>
      <c r="GA93">
        <v>14.988914009916112</v>
      </c>
      <c r="GB93">
        <v>7.5356244681444977</v>
      </c>
      <c r="GC93">
        <v>4.29739603660326</v>
      </c>
      <c r="GD93">
        <v>2.2774825050180874</v>
      </c>
      <c r="GE93">
        <v>3.3657880042599704</v>
      </c>
      <c r="GF93">
        <v>5.428770033653743</v>
      </c>
      <c r="GG93">
        <v>5.2440004192137222</v>
      </c>
      <c r="GH93">
        <v>2.1611736260621592</v>
      </c>
      <c r="GI93">
        <v>6.2221229356081551</v>
      </c>
      <c r="GJ93"/>
      <c r="GK93"/>
      <c r="GL93"/>
      <c r="GM93"/>
      <c r="GN93" s="208"/>
      <c r="GO93" s="208"/>
      <c r="GP93" s="208"/>
      <c r="GQ93" s="208"/>
      <c r="GR93" s="208"/>
      <c r="GS93" s="208"/>
      <c r="GT93" s="208"/>
      <c r="GU93" s="213">
        <v>88</v>
      </c>
    </row>
    <row r="94" spans="1:203" s="7" customFormat="1">
      <c r="A94" s="77"/>
      <c r="B94" s="76">
        <f ca="1">IF(C94="", "", RAND())</f>
        <v>0.55070336786795382</v>
      </c>
      <c r="C94">
        <v>3</v>
      </c>
      <c r="D94">
        <v>39646</v>
      </c>
      <c r="E94">
        <v>0</v>
      </c>
      <c r="F94">
        <v>0</v>
      </c>
      <c r="G94">
        <v>31.25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104.97573649117768</v>
      </c>
      <c r="AO94">
        <v>16.314869479098054</v>
      </c>
      <c r="AP94">
        <v>77.573075806972284</v>
      </c>
      <c r="AQ94">
        <v>131.61917498774463</v>
      </c>
      <c r="AR94">
        <v>15.1476193024361</v>
      </c>
      <c r="AS94">
        <v>184.2455342425452</v>
      </c>
      <c r="AT94">
        <v>10.08983053568347</v>
      </c>
      <c r="AU94">
        <v>17.001151121323669</v>
      </c>
      <c r="AV94"/>
      <c r="AW94"/>
      <c r="AX94" s="151"/>
      <c r="AY94" s="76">
        <f t="shared" ca="1" si="88"/>
        <v>0.82844475789035865</v>
      </c>
      <c r="AZ94">
        <v>7</v>
      </c>
      <c r="BA94" s="129">
        <f t="shared" si="89"/>
        <v>39646</v>
      </c>
      <c r="BB94" s="207">
        <v>0</v>
      </c>
      <c r="BC94" s="207">
        <v>0</v>
      </c>
      <c r="BD94" s="207">
        <v>0</v>
      </c>
      <c r="BE94" s="207">
        <v>0</v>
      </c>
      <c r="BF94" s="207">
        <v>0</v>
      </c>
      <c r="BG94" s="207">
        <v>0</v>
      </c>
      <c r="BH94" s="207">
        <v>0</v>
      </c>
      <c r="BI94" s="207">
        <v>0</v>
      </c>
      <c r="BJ94" s="207">
        <v>0</v>
      </c>
      <c r="BK94" s="207">
        <v>0</v>
      </c>
      <c r="BL94" s="207">
        <v>0</v>
      </c>
      <c r="BM94" s="207">
        <v>0</v>
      </c>
      <c r="BN94" s="207">
        <v>0</v>
      </c>
      <c r="BO94" s="207">
        <v>0</v>
      </c>
      <c r="BP94" s="207">
        <v>0</v>
      </c>
      <c r="BQ94" s="207">
        <v>0</v>
      </c>
      <c r="BR94" s="207">
        <v>0</v>
      </c>
      <c r="BS94" s="207">
        <v>0</v>
      </c>
      <c r="BT94" s="207">
        <v>0</v>
      </c>
      <c r="BU94" s="207">
        <v>0</v>
      </c>
      <c r="BV94" s="207">
        <v>0</v>
      </c>
      <c r="BW94" s="207">
        <v>0</v>
      </c>
      <c r="BX94" s="207">
        <v>0</v>
      </c>
      <c r="BY94" s="207">
        <v>0</v>
      </c>
      <c r="BZ94" s="207">
        <v>0</v>
      </c>
      <c r="CA94" s="207">
        <v>0</v>
      </c>
      <c r="CB94" s="207">
        <v>0</v>
      </c>
      <c r="CC94" s="207">
        <v>0</v>
      </c>
      <c r="CD94" s="207">
        <v>0</v>
      </c>
      <c r="CE94" s="207">
        <v>0</v>
      </c>
      <c r="CF94" s="207"/>
      <c r="CG94" s="147"/>
      <c r="CH94" s="176"/>
      <c r="CJ94" s="151"/>
      <c r="CK94" s="76">
        <f t="shared" ca="1" si="90"/>
        <v>0.24554220096677337</v>
      </c>
      <c r="CL94" s="179">
        <f t="shared" si="91"/>
        <v>7</v>
      </c>
      <c r="CM94" s="180">
        <f t="shared" si="92"/>
        <v>39646</v>
      </c>
      <c r="CN94" s="208">
        <v>0</v>
      </c>
      <c r="CO94" s="208">
        <v>0</v>
      </c>
      <c r="CP94" s="208">
        <v>2</v>
      </c>
      <c r="CQ94" s="208">
        <v>0</v>
      </c>
      <c r="CR94" s="208">
        <v>0</v>
      </c>
      <c r="CS94" s="208">
        <v>0</v>
      </c>
      <c r="CT94" s="208">
        <v>0</v>
      </c>
      <c r="CU94" s="208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0.52872926848771229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41.666666666666664</v>
      </c>
      <c r="DI94" s="161">
        <f t="shared" si="98"/>
        <v>0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41.666666666666664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1.944708828696879</v>
      </c>
      <c r="ES94" s="139">
        <f t="shared" si="59"/>
        <v>0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1.944708828696879</v>
      </c>
      <c r="FV94" s="149"/>
      <c r="FY94" s="213">
        <v>89</v>
      </c>
      <c r="FZ94">
        <v>33.236424194456092</v>
      </c>
      <c r="GA94">
        <v>39.896769192272295</v>
      </c>
      <c r="GB94">
        <v>4.4269649157961108</v>
      </c>
      <c r="GC94">
        <v>2.8471375379545143</v>
      </c>
      <c r="GD94">
        <v>2.060454507495471</v>
      </c>
      <c r="GE94">
        <v>2.3451044585205905</v>
      </c>
      <c r="GF94">
        <v>1.391286416504232</v>
      </c>
      <c r="GG94">
        <v>2.1071321818287339</v>
      </c>
      <c r="GH94">
        <v>1.5603693116103559</v>
      </c>
      <c r="GI94">
        <v>7.772405236963114</v>
      </c>
      <c r="GJ94"/>
      <c r="GK94"/>
      <c r="GL94"/>
      <c r="GM94"/>
      <c r="GN94" s="208"/>
      <c r="GO94" s="208"/>
      <c r="GP94" s="208"/>
      <c r="GQ94" s="208"/>
      <c r="GR94" s="208"/>
      <c r="GS94" s="208"/>
      <c r="GT94" s="208"/>
      <c r="GU94" s="213">
        <v>89</v>
      </c>
    </row>
    <row r="95" spans="1:203" s="7" customFormat="1">
      <c r="A95" s="77"/>
      <c r="B95" s="76">
        <f ca="1">IF(C95="", "", RAND())</f>
        <v>0.15608000647695697</v>
      </c>
      <c r="C95">
        <v>5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96.103914386267334</v>
      </c>
      <c r="AO95">
        <v>16.437441300390308</v>
      </c>
      <c r="AP95">
        <v>86.221278768490279</v>
      </c>
      <c r="AQ95">
        <v>137.18974138029398</v>
      </c>
      <c r="AR95">
        <v>14.980597545501604</v>
      </c>
      <c r="AS95">
        <v>181.55395016017331</v>
      </c>
      <c r="AT95" t="e">
        <v>#DIV/0!</v>
      </c>
      <c r="AU95" t="e">
        <v>#DIV/0!</v>
      </c>
      <c r="AV95"/>
      <c r="AW95"/>
      <c r="AX95" s="151"/>
      <c r="AY95" s="76">
        <f t="shared" ca="1" si="88"/>
        <v>0.82990319156491976</v>
      </c>
      <c r="AZ95">
        <v>8</v>
      </c>
      <c r="BA95" s="129">
        <f t="shared" si="89"/>
        <v>39646</v>
      </c>
      <c r="BB95" s="207">
        <v>0</v>
      </c>
      <c r="BC95" s="207">
        <v>0</v>
      </c>
      <c r="BD95" s="207">
        <v>0</v>
      </c>
      <c r="BE95" s="207">
        <v>0</v>
      </c>
      <c r="BF95" s="207">
        <v>0</v>
      </c>
      <c r="BG95" s="207">
        <v>0</v>
      </c>
      <c r="BH95" s="207">
        <v>0</v>
      </c>
      <c r="BI95" s="207">
        <v>0</v>
      </c>
      <c r="BJ95" s="207">
        <v>0</v>
      </c>
      <c r="BK95" s="207">
        <v>0</v>
      </c>
      <c r="BL95" s="207">
        <v>0</v>
      </c>
      <c r="BM95" s="207">
        <v>0</v>
      </c>
      <c r="BN95" s="207">
        <v>0</v>
      </c>
      <c r="BO95" s="207">
        <v>0</v>
      </c>
      <c r="BP95" s="207">
        <v>0</v>
      </c>
      <c r="BQ95" s="207">
        <v>0</v>
      </c>
      <c r="BR95" s="207">
        <v>0</v>
      </c>
      <c r="BS95" s="207">
        <v>0</v>
      </c>
      <c r="BT95" s="207">
        <v>0</v>
      </c>
      <c r="BU95" s="207">
        <v>0</v>
      </c>
      <c r="BV95" s="207">
        <v>0</v>
      </c>
      <c r="BW95" s="207">
        <v>0</v>
      </c>
      <c r="BX95" s="207">
        <v>0</v>
      </c>
      <c r="BY95" s="207">
        <v>0</v>
      </c>
      <c r="BZ95" s="207">
        <v>0</v>
      </c>
      <c r="CA95" s="207">
        <v>0</v>
      </c>
      <c r="CB95" s="207">
        <v>0</v>
      </c>
      <c r="CC95" s="207">
        <v>0</v>
      </c>
      <c r="CD95" s="207">
        <v>0</v>
      </c>
      <c r="CE95" s="207">
        <v>0</v>
      </c>
      <c r="CF95" s="207"/>
      <c r="CG95" s="147"/>
      <c r="CH95" s="176"/>
      <c r="CJ95" s="151"/>
      <c r="CK95" s="76">
        <f t="shared" ca="1" si="90"/>
        <v>8.593016670734599E-2</v>
      </c>
      <c r="CL95" s="179">
        <f t="shared" si="91"/>
        <v>8</v>
      </c>
      <c r="CM95" s="180">
        <f t="shared" si="92"/>
        <v>39646</v>
      </c>
      <c r="CN95" s="208">
        <v>0</v>
      </c>
      <c r="CO95" s="208">
        <v>0</v>
      </c>
      <c r="CP95" s="208">
        <v>0</v>
      </c>
      <c r="CQ95" s="208">
        <v>0</v>
      </c>
      <c r="CR95" s="208">
        <v>0</v>
      </c>
      <c r="CS95" s="208">
        <v>0</v>
      </c>
      <c r="CT95" s="208">
        <v>0</v>
      </c>
      <c r="CU95" s="208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7.9127120298484899E-2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0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0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0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0</v>
      </c>
      <c r="FV95" s="149"/>
      <c r="FY95" s="213">
        <v>90</v>
      </c>
      <c r="FZ95">
        <v>44.173973689047706</v>
      </c>
      <c r="GA95">
        <v>54.257700884715668</v>
      </c>
      <c r="GB95">
        <v>6.6615546015900104</v>
      </c>
      <c r="GC95">
        <v>4.1946271747940358</v>
      </c>
      <c r="GD95">
        <v>1.6658424205217255</v>
      </c>
      <c r="GE95">
        <v>1.634002760113249</v>
      </c>
      <c r="GF95">
        <v>2.7154643719098015</v>
      </c>
      <c r="GG95">
        <v>5.4488573818071719</v>
      </c>
      <c r="GH95">
        <v>4.6811079348310667</v>
      </c>
      <c r="GI95">
        <v>10.378771000752504</v>
      </c>
      <c r="GJ95"/>
      <c r="GK95"/>
      <c r="GL95"/>
      <c r="GM95"/>
      <c r="GN95" s="208"/>
      <c r="GO95" s="208"/>
      <c r="GP95" s="208"/>
      <c r="GQ95" s="208"/>
      <c r="GR95" s="208"/>
      <c r="GS95" s="208"/>
      <c r="GT95" s="208"/>
      <c r="GU95" s="213">
        <v>90</v>
      </c>
    </row>
    <row r="96" spans="1:203" s="7" customFormat="1">
      <c r="A96" s="77"/>
      <c r="B96" s="76">
        <f ca="1">IF(C96="", "", RAND())</f>
        <v>0.32638344781965856</v>
      </c>
      <c r="C96">
        <v>8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94.742211927506048</v>
      </c>
      <c r="AO96">
        <v>17.125203252849143</v>
      </c>
      <c r="AP96">
        <v>94.115658599999691</v>
      </c>
      <c r="AQ96">
        <v>144.70485022708004</v>
      </c>
      <c r="AR96">
        <v>15.707542362122792</v>
      </c>
      <c r="AS96">
        <v>185.74172387104315</v>
      </c>
      <c r="AT96">
        <v>10.38760103892991</v>
      </c>
      <c r="AU96">
        <v>11.266615316791411</v>
      </c>
      <c r="AV96"/>
      <c r="AW96"/>
      <c r="AX96" s="151"/>
      <c r="AY96" s="76">
        <f t="shared" ca="1" si="88"/>
        <v>0.46568339716891138</v>
      </c>
      <c r="AZ96">
        <v>9</v>
      </c>
      <c r="BA96" s="129">
        <f t="shared" si="89"/>
        <v>39646</v>
      </c>
      <c r="BB96" s="207">
        <v>0</v>
      </c>
      <c r="BC96" s="207">
        <v>0</v>
      </c>
      <c r="BD96" s="207">
        <v>0</v>
      </c>
      <c r="BE96" s="207">
        <v>0</v>
      </c>
      <c r="BF96" s="207">
        <v>0</v>
      </c>
      <c r="BG96" s="207">
        <v>0</v>
      </c>
      <c r="BH96" s="207">
        <v>0</v>
      </c>
      <c r="BI96" s="207">
        <v>0</v>
      </c>
      <c r="BJ96" s="207">
        <v>0</v>
      </c>
      <c r="BK96" s="207">
        <v>0</v>
      </c>
      <c r="BL96" s="207">
        <v>0</v>
      </c>
      <c r="BM96" s="207">
        <v>0</v>
      </c>
      <c r="BN96" s="207">
        <v>0</v>
      </c>
      <c r="BO96" s="207">
        <v>0</v>
      </c>
      <c r="BP96" s="207">
        <v>0</v>
      </c>
      <c r="BQ96" s="207">
        <v>0</v>
      </c>
      <c r="BR96" s="207">
        <v>0</v>
      </c>
      <c r="BS96" s="207">
        <v>0</v>
      </c>
      <c r="BT96" s="207">
        <v>0</v>
      </c>
      <c r="BU96" s="207">
        <v>0</v>
      </c>
      <c r="BV96" s="207">
        <v>0</v>
      </c>
      <c r="BW96" s="207">
        <v>0</v>
      </c>
      <c r="BX96" s="207">
        <v>0</v>
      </c>
      <c r="BY96" s="207">
        <v>0</v>
      </c>
      <c r="BZ96" s="207">
        <v>0</v>
      </c>
      <c r="CA96" s="207">
        <v>0</v>
      </c>
      <c r="CB96" s="207">
        <v>0</v>
      </c>
      <c r="CC96" s="207">
        <v>0</v>
      </c>
      <c r="CD96" s="207">
        <v>0</v>
      </c>
      <c r="CE96" s="207">
        <v>0</v>
      </c>
      <c r="CF96" s="207"/>
      <c r="CG96" s="147"/>
      <c r="CH96" s="176"/>
      <c r="CJ96" s="151"/>
      <c r="CK96" s="76">
        <f t="shared" ca="1" si="90"/>
        <v>7.9212868088278654E-2</v>
      </c>
      <c r="CL96" s="179">
        <f t="shared" si="91"/>
        <v>9</v>
      </c>
      <c r="CM96" s="180">
        <f t="shared" si="92"/>
        <v>39646</v>
      </c>
      <c r="CN96" s="208">
        <v>0</v>
      </c>
      <c r="CO96" s="208">
        <v>0</v>
      </c>
      <c r="CP96" s="208">
        <v>1</v>
      </c>
      <c r="CQ96" s="208">
        <v>2</v>
      </c>
      <c r="CR96" s="208">
        <v>0</v>
      </c>
      <c r="CS96" s="208">
        <v>0</v>
      </c>
      <c r="CT96" s="208">
        <v>0</v>
      </c>
      <c r="CU96" s="208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0.13132028616352454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10.416666666666666</v>
      </c>
      <c r="DI96" s="161">
        <f t="shared" si="98"/>
        <v>20.833333333333332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31.25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0.48617720717421975</v>
      </c>
      <c r="ES96" s="139">
        <f t="shared" si="59"/>
        <v>2.8952506533745592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3.3814278605487789</v>
      </c>
      <c r="FV96" s="149"/>
      <c r="FY96" s="213">
        <v>91</v>
      </c>
      <c r="FZ96">
        <v>33.365940260702487</v>
      </c>
      <c r="GA96">
        <v>37.053114564779278</v>
      </c>
      <c r="GB96">
        <v>9.1997443431465449</v>
      </c>
      <c r="GC96">
        <v>6.4024282733647215</v>
      </c>
      <c r="GD96">
        <v>2.0241223024649453</v>
      </c>
      <c r="GE96">
        <v>1.9670245363902694</v>
      </c>
      <c r="GF96">
        <v>4.2789496251386305</v>
      </c>
      <c r="GG96">
        <v>5.8019136809632528</v>
      </c>
      <c r="GH96">
        <v>3.1207386232207117</v>
      </c>
      <c r="GI96">
        <v>9.7009590053159371</v>
      </c>
      <c r="GJ96"/>
      <c r="GK96"/>
      <c r="GL96"/>
      <c r="GM96"/>
      <c r="GN96" s="208"/>
      <c r="GO96" s="208"/>
      <c r="GP96" s="208"/>
      <c r="GQ96" s="208"/>
      <c r="GR96" s="208"/>
      <c r="GS96" s="208"/>
      <c r="GT96" s="208"/>
      <c r="GU96" s="213">
        <v>91</v>
      </c>
    </row>
    <row r="97" spans="1:203" s="7" customFormat="1">
      <c r="A97" s="77"/>
      <c r="B97" s="76">
        <f ca="1">IF(C97="", "", RAND())</f>
        <v>8.8012535397741232E-2</v>
      </c>
      <c r="C97">
        <v>7</v>
      </c>
      <c r="D97">
        <v>39646</v>
      </c>
      <c r="E97">
        <v>0</v>
      </c>
      <c r="F97">
        <v>0</v>
      </c>
      <c r="G97">
        <v>41.666666666666664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100.29790293917449</v>
      </c>
      <c r="AO97">
        <v>12.896637933927304</v>
      </c>
      <c r="AP97">
        <v>53.411548582408393</v>
      </c>
      <c r="AQ97">
        <v>79.327958438355182</v>
      </c>
      <c r="AR97">
        <v>11.828331174258501</v>
      </c>
      <c r="AS97">
        <v>147.09559356779636</v>
      </c>
      <c r="AT97">
        <v>7.2825973312384527</v>
      </c>
      <c r="AU97">
        <v>-77.819229147153365</v>
      </c>
      <c r="AV97"/>
      <c r="AW97"/>
      <c r="AX97" s="151"/>
      <c r="AY97" s="76">
        <f t="shared" ca="1" si="88"/>
        <v>0.70542580001441468</v>
      </c>
      <c r="AZ97">
        <v>10</v>
      </c>
      <c r="BA97" s="129">
        <f t="shared" si="89"/>
        <v>39646</v>
      </c>
      <c r="BB97" s="207">
        <v>0</v>
      </c>
      <c r="BC97" s="207">
        <v>0</v>
      </c>
      <c r="BD97" s="207">
        <v>0</v>
      </c>
      <c r="BE97" s="207">
        <v>0</v>
      </c>
      <c r="BF97" s="207">
        <v>0</v>
      </c>
      <c r="BG97" s="207">
        <v>0</v>
      </c>
      <c r="BH97" s="207">
        <v>0</v>
      </c>
      <c r="BI97" s="207">
        <v>0</v>
      </c>
      <c r="BJ97" s="207">
        <v>0</v>
      </c>
      <c r="BK97" s="207">
        <v>0</v>
      </c>
      <c r="BL97" s="207">
        <v>0</v>
      </c>
      <c r="BM97" s="207">
        <v>0</v>
      </c>
      <c r="BN97" s="207">
        <v>0</v>
      </c>
      <c r="BO97" s="207">
        <v>0</v>
      </c>
      <c r="BP97" s="207">
        <v>0</v>
      </c>
      <c r="BQ97" s="207">
        <v>0</v>
      </c>
      <c r="BR97" s="207">
        <v>0</v>
      </c>
      <c r="BS97" s="207">
        <v>0</v>
      </c>
      <c r="BT97" s="207">
        <v>0</v>
      </c>
      <c r="BU97" s="207">
        <v>0</v>
      </c>
      <c r="BV97" s="207">
        <v>0</v>
      </c>
      <c r="BW97" s="207">
        <v>0</v>
      </c>
      <c r="BX97" s="207">
        <v>0</v>
      </c>
      <c r="BY97" s="207">
        <v>0</v>
      </c>
      <c r="BZ97" s="207">
        <v>0</v>
      </c>
      <c r="CA97" s="207">
        <v>0</v>
      </c>
      <c r="CB97" s="207">
        <v>0</v>
      </c>
      <c r="CC97" s="207">
        <v>0</v>
      </c>
      <c r="CD97" s="207">
        <v>0</v>
      </c>
      <c r="CE97" s="207">
        <v>0</v>
      </c>
      <c r="CF97" s="207"/>
      <c r="CG97" s="147"/>
      <c r="CH97" s="176"/>
      <c r="CJ97" s="151"/>
      <c r="CK97" s="76">
        <f t="shared" ca="1" si="90"/>
        <v>0.17008815516399789</v>
      </c>
      <c r="CL97" s="179">
        <f t="shared" si="91"/>
        <v>10</v>
      </c>
      <c r="CM97" s="180">
        <f t="shared" si="92"/>
        <v>39646</v>
      </c>
      <c r="CN97" s="208">
        <v>0</v>
      </c>
      <c r="CO97" s="208">
        <v>0</v>
      </c>
      <c r="CP97" s="208">
        <v>10</v>
      </c>
      <c r="CQ97" s="208">
        <v>2</v>
      </c>
      <c r="CR97" s="208">
        <v>0</v>
      </c>
      <c r="CS97" s="208">
        <v>0</v>
      </c>
      <c r="CT97" s="208">
        <v>0</v>
      </c>
      <c r="CU97" s="208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0.76611459486110012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208.33333333333334</v>
      </c>
      <c r="DI97" s="161">
        <f t="shared" si="98"/>
        <v>41.666666666666664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250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9.7235441434843963</v>
      </c>
      <c r="ES97" s="139">
        <f t="shared" si="59"/>
        <v>5.7905013067491184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15.514045450233514</v>
      </c>
      <c r="FV97" s="149"/>
      <c r="FY97" s="213">
        <v>92</v>
      </c>
      <c r="FZ97">
        <v>43.52995587619467</v>
      </c>
      <c r="GA97">
        <v>49.653440114119483</v>
      </c>
      <c r="GB97">
        <v>3.6466593158132388</v>
      </c>
      <c r="GC97">
        <v>3.427951844574932</v>
      </c>
      <c r="GD97">
        <v>2.2472854268808633</v>
      </c>
      <c r="GE97">
        <v>2.1307184402305661</v>
      </c>
      <c r="GF97">
        <v>1.8150490554340906</v>
      </c>
      <c r="GG97">
        <v>1.5916391105040424</v>
      </c>
      <c r="GH97">
        <v>0</v>
      </c>
      <c r="GI97">
        <v>8.9714780728977583</v>
      </c>
      <c r="GJ97"/>
      <c r="GK97"/>
      <c r="GL97"/>
      <c r="GM97"/>
      <c r="GN97" s="208"/>
      <c r="GO97" s="208"/>
      <c r="GP97" s="208"/>
      <c r="GQ97" s="208"/>
      <c r="GR97" s="208"/>
      <c r="GS97" s="208"/>
      <c r="GT97" s="208"/>
      <c r="GU97" s="213">
        <v>92</v>
      </c>
    </row>
    <row r="98" spans="1:203" s="7" customFormat="1">
      <c r="A98" s="128"/>
      <c r="B98" s="76">
        <f ca="1">IF(C98="", "", RAND())</f>
        <v>0.59805535329939485</v>
      </c>
      <c r="C98">
        <v>2</v>
      </c>
      <c r="D98">
        <v>39673</v>
      </c>
      <c r="E98">
        <v>0</v>
      </c>
      <c r="F98">
        <v>0</v>
      </c>
      <c r="G98">
        <v>0</v>
      </c>
      <c r="H98">
        <v>62.5</v>
      </c>
      <c r="I98">
        <v>187.5</v>
      </c>
      <c r="J98">
        <v>125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96.419997050175795</v>
      </c>
      <c r="AO98">
        <v>13.604886956690422</v>
      </c>
      <c r="AP98">
        <v>73.946555836654909</v>
      </c>
      <c r="AQ98">
        <v>105.71421580429809</v>
      </c>
      <c r="AR98">
        <v>12.630711573945515</v>
      </c>
      <c r="AS98">
        <v>168.12203674075747</v>
      </c>
      <c r="AT98">
        <v>8.6415404531782958</v>
      </c>
      <c r="AU98">
        <v>17.372613551398164</v>
      </c>
      <c r="AV98"/>
      <c r="AW98"/>
      <c r="AX98" s="128"/>
      <c r="AY98" s="76">
        <f t="shared" ca="1" si="88"/>
        <v>7.584491531610027E-2</v>
      </c>
      <c r="AZ98">
        <v>1</v>
      </c>
      <c r="BA98" s="129">
        <f>IF(AZ98="", "",$C$5)</f>
        <v>39673</v>
      </c>
      <c r="BB98" s="207">
        <v>0</v>
      </c>
      <c r="BC98" s="207">
        <v>0</v>
      </c>
      <c r="BD98" s="207">
        <v>0</v>
      </c>
      <c r="BE98" s="207">
        <v>0</v>
      </c>
      <c r="BF98" s="207">
        <v>13</v>
      </c>
      <c r="BG98" s="207">
        <v>6</v>
      </c>
      <c r="BH98" s="207">
        <v>3</v>
      </c>
      <c r="BI98" s="207">
        <v>0</v>
      </c>
      <c r="BJ98" s="207">
        <v>0</v>
      </c>
      <c r="BK98" s="207">
        <v>0</v>
      </c>
      <c r="BL98" s="207">
        <v>0</v>
      </c>
      <c r="BM98" s="207">
        <v>0</v>
      </c>
      <c r="BN98" s="207">
        <v>0</v>
      </c>
      <c r="BO98" s="207">
        <v>0</v>
      </c>
      <c r="BP98" s="207">
        <v>0</v>
      </c>
      <c r="BQ98" s="207">
        <v>0</v>
      </c>
      <c r="BR98" s="207">
        <v>0</v>
      </c>
      <c r="BS98" s="207">
        <v>0</v>
      </c>
      <c r="BT98" s="207">
        <v>0</v>
      </c>
      <c r="BU98" s="207">
        <v>0</v>
      </c>
      <c r="BV98" s="207">
        <v>0</v>
      </c>
      <c r="BW98" s="207">
        <v>0</v>
      </c>
      <c r="BX98" s="207">
        <v>0</v>
      </c>
      <c r="BY98" s="207">
        <v>0</v>
      </c>
      <c r="BZ98" s="207">
        <v>0</v>
      </c>
      <c r="CA98" s="207">
        <v>0</v>
      </c>
      <c r="CB98" s="207">
        <v>0</v>
      </c>
      <c r="CC98" s="207">
        <v>0</v>
      </c>
      <c r="CD98" s="207">
        <v>0</v>
      </c>
      <c r="CE98" s="207">
        <v>0</v>
      </c>
      <c r="CF98" s="207"/>
      <c r="CG98" s="147"/>
      <c r="CH98" s="176"/>
      <c r="CJ98" s="128"/>
      <c r="CK98" s="76">
        <f t="shared" ca="1" si="90"/>
        <v>0.19094302061371349</v>
      </c>
      <c r="CL98" s="179">
        <f t="shared" si="91"/>
        <v>1</v>
      </c>
      <c r="CM98" s="180">
        <f t="shared" si="92"/>
        <v>39673</v>
      </c>
      <c r="CN98" s="208">
        <v>0</v>
      </c>
      <c r="CO98" s="208">
        <v>0</v>
      </c>
      <c r="CP98" s="208">
        <v>0</v>
      </c>
      <c r="CQ98" s="208">
        <v>0</v>
      </c>
      <c r="CR98" s="208">
        <v>0</v>
      </c>
      <c r="CS98" s="208">
        <v>0</v>
      </c>
      <c r="CT98" s="208">
        <v>0</v>
      </c>
      <c r="CU98" s="20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0.16799358360960781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0</v>
      </c>
      <c r="DJ98" s="161">
        <f t="shared" si="99"/>
        <v>135.41666666666666</v>
      </c>
      <c r="DK98" s="161">
        <f t="shared" si="100"/>
        <v>62.5</v>
      </c>
      <c r="DL98" s="161">
        <f t="shared" si="101"/>
        <v>31.25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229.16666666666666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0</v>
      </c>
      <c r="ET98" s="139">
        <f t="shared" si="60"/>
        <v>40.814047459198598</v>
      </c>
      <c r="EU98" s="139">
        <f t="shared" si="61"/>
        <v>34.3401674253045</v>
      </c>
      <c r="EV98" s="139">
        <f t="shared" si="62"/>
        <v>28.0445932603748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103.19880814487789</v>
      </c>
      <c r="FV98" s="149"/>
      <c r="FY98" s="213">
        <v>93</v>
      </c>
      <c r="FZ98">
        <v>17.696220243899837</v>
      </c>
      <c r="GA98">
        <v>18.446151992307225</v>
      </c>
      <c r="GB98">
        <v>5.572900767674521</v>
      </c>
      <c r="GC98">
        <v>4.6612152924804411</v>
      </c>
      <c r="GD98">
        <v>2.1473823056332426</v>
      </c>
      <c r="GE98">
        <v>2.0214477073223431</v>
      </c>
      <c r="GF98">
        <v>3.7389930259637447</v>
      </c>
      <c r="GG98">
        <v>4.1214286767559027</v>
      </c>
      <c r="GH98">
        <v>1.5603693116103559</v>
      </c>
      <c r="GI98">
        <v>6.2211204814555847</v>
      </c>
      <c r="GJ98"/>
      <c r="GK98"/>
      <c r="GL98"/>
      <c r="GM98"/>
      <c r="GN98" s="208"/>
      <c r="GO98" s="208"/>
      <c r="GP98" s="208"/>
      <c r="GQ98" s="208"/>
      <c r="GR98" s="208"/>
      <c r="GS98" s="208"/>
      <c r="GT98" s="208"/>
      <c r="GU98" s="213">
        <v>93</v>
      </c>
    </row>
    <row r="99" spans="1:203" s="7" customFormat="1">
      <c r="A99" s="1"/>
      <c r="B99" s="76">
        <f ca="1">IF(C99="", "", RAND())</f>
        <v>0.1890960469466556</v>
      </c>
      <c r="C99">
        <v>1</v>
      </c>
      <c r="D99">
        <v>39673</v>
      </c>
      <c r="E99">
        <v>0</v>
      </c>
      <c r="F99">
        <v>0</v>
      </c>
      <c r="G99">
        <v>0</v>
      </c>
      <c r="H99">
        <v>0</v>
      </c>
      <c r="I99">
        <v>135.41666666666666</v>
      </c>
      <c r="J99">
        <v>62.5</v>
      </c>
      <c r="K99">
        <v>31.25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76.783095642103007</v>
      </c>
      <c r="AO99">
        <v>10.705172651368457</v>
      </c>
      <c r="AP99">
        <v>49.699252146108805</v>
      </c>
      <c r="AQ99">
        <v>83.095336180288101</v>
      </c>
      <c r="AR99">
        <v>9.9112779295632016</v>
      </c>
      <c r="AS99">
        <v>131.49444696849685</v>
      </c>
      <c r="AT99">
        <v>6.5189070949283865</v>
      </c>
      <c r="AU99">
        <v>21.886579587700009</v>
      </c>
      <c r="AV99"/>
      <c r="AW99"/>
      <c r="AX99" s="146"/>
      <c r="AY99" s="76">
        <f t="shared" ca="1" si="88"/>
        <v>0.3147536728582665</v>
      </c>
      <c r="AZ99">
        <v>2</v>
      </c>
      <c r="BA99" s="129">
        <f t="shared" ref="BA99:BA107" si="127">IF(AZ99="", "",$C$5)</f>
        <v>39673</v>
      </c>
      <c r="BB99" s="207">
        <v>0</v>
      </c>
      <c r="BC99" s="207">
        <v>0</v>
      </c>
      <c r="BD99" s="207">
        <v>0</v>
      </c>
      <c r="BE99" s="207">
        <v>0</v>
      </c>
      <c r="BF99" s="207">
        <v>0</v>
      </c>
      <c r="BG99" s="207">
        <v>0</v>
      </c>
      <c r="BH99" s="207">
        <v>0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>
        <v>0</v>
      </c>
      <c r="BP99" s="207">
        <v>0</v>
      </c>
      <c r="BQ99" s="207">
        <v>0</v>
      </c>
      <c r="BR99" s="207">
        <v>0</v>
      </c>
      <c r="BS99" s="207">
        <v>0</v>
      </c>
      <c r="BT99" s="207">
        <v>0</v>
      </c>
      <c r="BU99" s="207">
        <v>0</v>
      </c>
      <c r="BV99" s="207">
        <v>0</v>
      </c>
      <c r="BW99" s="207">
        <v>0</v>
      </c>
      <c r="BX99" s="207">
        <v>0</v>
      </c>
      <c r="BY99" s="207">
        <v>0</v>
      </c>
      <c r="BZ99" s="207">
        <v>0</v>
      </c>
      <c r="CA99" s="207">
        <v>0</v>
      </c>
      <c r="CB99" s="207">
        <v>0</v>
      </c>
      <c r="CC99" s="207">
        <v>0</v>
      </c>
      <c r="CD99" s="207">
        <v>0</v>
      </c>
      <c r="CE99" s="207">
        <v>0</v>
      </c>
      <c r="CF99" s="207"/>
      <c r="CG99" s="147"/>
      <c r="CH99" s="176"/>
      <c r="CJ99" s="146"/>
      <c r="CK99" s="76">
        <f t="shared" ca="1" si="90"/>
        <v>0.48641796777059998</v>
      </c>
      <c r="CL99" s="179">
        <f t="shared" si="91"/>
        <v>2</v>
      </c>
      <c r="CM99" s="180">
        <f t="shared" si="92"/>
        <v>39673</v>
      </c>
      <c r="CN99" s="208">
        <v>0</v>
      </c>
      <c r="CO99" s="208">
        <v>0</v>
      </c>
      <c r="CP99" s="208">
        <v>0</v>
      </c>
      <c r="CQ99" s="208">
        <v>1</v>
      </c>
      <c r="CR99" s="208">
        <v>3</v>
      </c>
      <c r="CS99" s="208">
        <v>2</v>
      </c>
      <c r="CT99" s="208">
        <v>0</v>
      </c>
      <c r="CU99" s="208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6.6357119814524523E-2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62.5</v>
      </c>
      <c r="DJ99" s="161">
        <f t="shared" si="99"/>
        <v>187.5</v>
      </c>
      <c r="DK99" s="161">
        <f t="shared" si="100"/>
        <v>125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375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8.6857519601236781</v>
      </c>
      <c r="ET99" s="139">
        <f t="shared" si="60"/>
        <v>56.511758020428829</v>
      </c>
      <c r="EU99" s="139">
        <f t="shared" si="61"/>
        <v>68.680334850609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133.8778448311615</v>
      </c>
      <c r="FV99" s="149"/>
      <c r="FY99" s="213">
        <v>94</v>
      </c>
      <c r="FZ99">
        <v>44.116155584649043</v>
      </c>
      <c r="GA99">
        <v>55.757865741401368</v>
      </c>
      <c r="GB99">
        <v>9.4920325192682249</v>
      </c>
      <c r="GC99">
        <v>4.7894822560967798</v>
      </c>
      <c r="GD99">
        <v>2.3506329298588731</v>
      </c>
      <c r="GE99">
        <v>3.0085520286350684</v>
      </c>
      <c r="GF99">
        <v>1.5838637174121803</v>
      </c>
      <c r="GG99">
        <v>1.0217566562938358</v>
      </c>
      <c r="GH99">
        <v>0</v>
      </c>
      <c r="GI99">
        <v>10.606636636463668</v>
      </c>
      <c r="GJ99"/>
      <c r="GK99"/>
      <c r="GL99"/>
      <c r="GM99"/>
      <c r="GN99" s="208"/>
      <c r="GO99" s="208"/>
      <c r="GP99" s="208"/>
      <c r="GQ99" s="208"/>
      <c r="GR99" s="208"/>
      <c r="GS99" s="208"/>
      <c r="GT99" s="208"/>
      <c r="GU99" s="213">
        <v>94</v>
      </c>
    </row>
    <row r="100" spans="1:203" s="7" customFormat="1">
      <c r="A100" s="1"/>
      <c r="B100" s="76">
        <f ca="1">IF(C100="", "", RAND())</f>
        <v>0.56444812519128207</v>
      </c>
      <c r="C100">
        <v>6</v>
      </c>
      <c r="D100">
        <v>39673</v>
      </c>
      <c r="E100">
        <v>0</v>
      </c>
      <c r="F100">
        <v>0</v>
      </c>
      <c r="G100">
        <v>0</v>
      </c>
      <c r="H100">
        <v>41.666666666666664</v>
      </c>
      <c r="I100">
        <v>20.833333333333332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74.677680080652934</v>
      </c>
      <c r="AO100">
        <v>9.4397926963762977</v>
      </c>
      <c r="AP100">
        <v>82.538713330214307</v>
      </c>
      <c r="AQ100">
        <v>74.180763262086359</v>
      </c>
      <c r="AR100">
        <v>8.7655506049961911</v>
      </c>
      <c r="AS100">
        <v>116.44836984223119</v>
      </c>
      <c r="AT100" t="e">
        <v>#DIV/0!</v>
      </c>
      <c r="AU100" t="e">
        <v>#DIV/0!</v>
      </c>
      <c r="AV100"/>
      <c r="AW100"/>
      <c r="AX100" s="146"/>
      <c r="AY100" s="76">
        <f t="shared" ca="1" si="88"/>
        <v>0.80486473908020617</v>
      </c>
      <c r="AZ100">
        <v>3</v>
      </c>
      <c r="BA100" s="129">
        <f t="shared" si="127"/>
        <v>39673</v>
      </c>
      <c r="BB100" s="207">
        <v>0</v>
      </c>
      <c r="BC100" s="207">
        <v>0</v>
      </c>
      <c r="BD100" s="207">
        <v>0</v>
      </c>
      <c r="BE100" s="207">
        <v>0</v>
      </c>
      <c r="BF100" s="207">
        <v>0</v>
      </c>
      <c r="BG100" s="207">
        <v>0</v>
      </c>
      <c r="BH100" s="207">
        <v>0</v>
      </c>
      <c r="BI100" s="207">
        <v>0</v>
      </c>
      <c r="BJ100" s="207">
        <v>0</v>
      </c>
      <c r="BK100" s="207">
        <v>0</v>
      </c>
      <c r="BL100" s="207">
        <v>0</v>
      </c>
      <c r="BM100" s="207">
        <v>0</v>
      </c>
      <c r="BN100" s="207">
        <v>0</v>
      </c>
      <c r="BO100" s="207">
        <v>0</v>
      </c>
      <c r="BP100" s="207">
        <v>0</v>
      </c>
      <c r="BQ100" s="207">
        <v>0</v>
      </c>
      <c r="BR100" s="207">
        <v>0</v>
      </c>
      <c r="BS100" s="207">
        <v>0</v>
      </c>
      <c r="BT100" s="207">
        <v>0</v>
      </c>
      <c r="BU100" s="207">
        <v>0</v>
      </c>
      <c r="BV100" s="207">
        <v>0</v>
      </c>
      <c r="BW100" s="207">
        <v>0</v>
      </c>
      <c r="BX100" s="207">
        <v>0</v>
      </c>
      <c r="BY100" s="207">
        <v>0</v>
      </c>
      <c r="BZ100" s="207">
        <v>0</v>
      </c>
      <c r="CA100" s="207">
        <v>0</v>
      </c>
      <c r="CB100" s="207">
        <v>0</v>
      </c>
      <c r="CC100" s="207">
        <v>0</v>
      </c>
      <c r="CD100" s="207">
        <v>0</v>
      </c>
      <c r="CE100" s="207">
        <v>0</v>
      </c>
      <c r="CF100" s="207"/>
      <c r="CG100" s="147"/>
      <c r="CH100" s="176"/>
      <c r="CJ100" s="146"/>
      <c r="CK100" s="76">
        <f t="shared" ca="1" si="90"/>
        <v>0.30845968038277771</v>
      </c>
      <c r="CL100" s="179">
        <f t="shared" si="91"/>
        <v>3</v>
      </c>
      <c r="CM100" s="180">
        <f t="shared" si="92"/>
        <v>39673</v>
      </c>
      <c r="CN100" s="208">
        <v>0</v>
      </c>
      <c r="CO100" s="208">
        <v>0</v>
      </c>
      <c r="CP100" s="208">
        <v>0</v>
      </c>
      <c r="CQ100" s="208">
        <v>3</v>
      </c>
      <c r="CR100" s="208">
        <v>0</v>
      </c>
      <c r="CS100" s="208">
        <v>0</v>
      </c>
      <c r="CT100" s="208">
        <v>0</v>
      </c>
      <c r="CU100" s="208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0.97025387189459344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214.46078431372547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214.46078431372547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29.80405084356164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29.80405084356164</v>
      </c>
      <c r="FV100" s="149"/>
      <c r="FY100" s="213">
        <v>95</v>
      </c>
      <c r="FZ100">
        <v>45.768054516821785</v>
      </c>
      <c r="GA100">
        <v>55.221510317149871</v>
      </c>
      <c r="GB100">
        <v>9.8305284932283481</v>
      </c>
      <c r="GC100">
        <v>6.1764346683555722</v>
      </c>
      <c r="GD100">
        <v>1.8771041864926181</v>
      </c>
      <c r="GE100">
        <v>1.8047228971103628</v>
      </c>
      <c r="GF100">
        <v>4.9118036745768112</v>
      </c>
      <c r="GG100">
        <v>4.8203274535858025</v>
      </c>
      <c r="GH100">
        <v>1.5603693116103559</v>
      </c>
      <c r="GI100">
        <v>11.455225783018905</v>
      </c>
      <c r="GJ100"/>
      <c r="GK100"/>
      <c r="GL100"/>
      <c r="GM100"/>
      <c r="GN100" s="208"/>
      <c r="GO100" s="208"/>
      <c r="GP100" s="208"/>
      <c r="GQ100" s="208"/>
      <c r="GR100" s="208"/>
      <c r="GS100" s="208"/>
      <c r="GT100" s="208"/>
      <c r="GU100" s="213">
        <v>95</v>
      </c>
    </row>
    <row r="101" spans="1:203" s="7" customFormat="1">
      <c r="A101" s="1"/>
      <c r="B101" s="76">
        <f ca="1">IF(C101="", "", RAND())</f>
        <v>2.7671758153298143E-2</v>
      </c>
      <c r="C101">
        <v>5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71.527037845052547</v>
      </c>
      <c r="AO101">
        <v>9.80055149481508</v>
      </c>
      <c r="AP101">
        <v>43.292630925666579</v>
      </c>
      <c r="AQ101">
        <v>75.582914589557376</v>
      </c>
      <c r="AR101">
        <v>9.2225052230669036</v>
      </c>
      <c r="AS101">
        <v>125.39012237318296</v>
      </c>
      <c r="AT101" t="e">
        <v>#DIV/0!</v>
      </c>
      <c r="AU101" t="e">
        <v>#DIV/0!</v>
      </c>
      <c r="AV101"/>
      <c r="AW101"/>
      <c r="AX101" s="146"/>
      <c r="AY101" s="76">
        <f t="shared" ca="1" si="88"/>
        <v>0.15786537238924669</v>
      </c>
      <c r="AZ101">
        <v>4</v>
      </c>
      <c r="BA101" s="129">
        <f t="shared" si="127"/>
        <v>39673</v>
      </c>
      <c r="BB101" s="207">
        <v>0</v>
      </c>
      <c r="BC101" s="207">
        <v>0</v>
      </c>
      <c r="BD101" s="207">
        <v>0</v>
      </c>
      <c r="BE101" s="207">
        <v>0</v>
      </c>
      <c r="BF101" s="207">
        <v>0</v>
      </c>
      <c r="BG101" s="207">
        <v>0</v>
      </c>
      <c r="BH101" s="207">
        <v>0</v>
      </c>
      <c r="BI101" s="207">
        <v>0</v>
      </c>
      <c r="BJ101" s="207">
        <v>0</v>
      </c>
      <c r="BK101" s="207">
        <v>0</v>
      </c>
      <c r="BL101" s="207">
        <v>0</v>
      </c>
      <c r="BM101" s="207">
        <v>0</v>
      </c>
      <c r="BN101" s="207">
        <v>0</v>
      </c>
      <c r="BO101" s="207">
        <v>0</v>
      </c>
      <c r="BP101" s="207">
        <v>0</v>
      </c>
      <c r="BQ101" s="207">
        <v>0</v>
      </c>
      <c r="BR101" s="207">
        <v>0</v>
      </c>
      <c r="BS101" s="207">
        <v>0</v>
      </c>
      <c r="BT101" s="207">
        <v>0</v>
      </c>
      <c r="BU101" s="207">
        <v>0</v>
      </c>
      <c r="BV101" s="207">
        <v>0</v>
      </c>
      <c r="BW101" s="207">
        <v>0</v>
      </c>
      <c r="BX101" s="207">
        <v>0</v>
      </c>
      <c r="BY101" s="207">
        <v>0</v>
      </c>
      <c r="BZ101" s="207">
        <v>0</v>
      </c>
      <c r="CA101" s="207">
        <v>0</v>
      </c>
      <c r="CB101" s="207">
        <v>0</v>
      </c>
      <c r="CC101" s="207">
        <v>0</v>
      </c>
      <c r="CD101" s="207">
        <v>0</v>
      </c>
      <c r="CE101" s="207">
        <v>0</v>
      </c>
      <c r="CF101" s="207"/>
      <c r="CG101" s="147"/>
      <c r="CH101" s="176"/>
      <c r="CJ101" s="146"/>
      <c r="CK101" s="76">
        <f t="shared" ca="1" si="90"/>
        <v>0.89610059527128416</v>
      </c>
      <c r="CL101" s="179">
        <f t="shared" si="91"/>
        <v>4</v>
      </c>
      <c r="CM101" s="180">
        <f t="shared" si="92"/>
        <v>39673</v>
      </c>
      <c r="CN101" s="208">
        <v>0</v>
      </c>
      <c r="CO101" s="208">
        <v>0</v>
      </c>
      <c r="CP101" s="208">
        <v>0</v>
      </c>
      <c r="CQ101" s="208">
        <v>0</v>
      </c>
      <c r="CR101" s="208">
        <v>0</v>
      </c>
      <c r="CS101" s="208">
        <v>0</v>
      </c>
      <c r="CT101" s="208">
        <v>0</v>
      </c>
      <c r="CU101" s="208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0.36140889738086335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3">
        <v>96</v>
      </c>
      <c r="FZ101">
        <v>18.304988171613445</v>
      </c>
      <c r="GA101">
        <v>23.499208354598753</v>
      </c>
      <c r="GB101">
        <v>9.1299060755055628</v>
      </c>
      <c r="GC101">
        <v>5.9500913877794472</v>
      </c>
      <c r="GD101">
        <v>2.2716146553032952</v>
      </c>
      <c r="GE101">
        <v>2.0363646364400911</v>
      </c>
      <c r="GF101">
        <v>3.6162593562017729</v>
      </c>
      <c r="GG101">
        <v>4.126168328078947</v>
      </c>
      <c r="GH101">
        <v>1.5603693116103559</v>
      </c>
      <c r="GI101">
        <v>7.1916889360564697</v>
      </c>
      <c r="GJ101"/>
      <c r="GK101"/>
      <c r="GL101"/>
      <c r="GM101"/>
      <c r="GN101" s="208"/>
      <c r="GO101" s="208"/>
      <c r="GP101" s="208"/>
      <c r="GQ101" s="208"/>
      <c r="GR101" s="208"/>
      <c r="GS101" s="208"/>
      <c r="GT101" s="208"/>
      <c r="GU101" s="213">
        <v>96</v>
      </c>
    </row>
    <row r="102" spans="1:203" s="7" customFormat="1">
      <c r="A102" s="1"/>
      <c r="B102" s="76">
        <f ca="1">IF(C102="", "", RAND())</f>
        <v>0.23688081481682666</v>
      </c>
      <c r="C102">
        <v>3</v>
      </c>
      <c r="D102">
        <v>39673</v>
      </c>
      <c r="E102">
        <v>0</v>
      </c>
      <c r="F102">
        <v>0</v>
      </c>
      <c r="G102">
        <v>0</v>
      </c>
      <c r="H102">
        <v>214.46078431372547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76.961476002867983</v>
      </c>
      <c r="AO102">
        <v>9.3944045289331051</v>
      </c>
      <c r="AP102">
        <v>35.83520552382771</v>
      </c>
      <c r="AQ102">
        <v>61.954288977682204</v>
      </c>
      <c r="AR102">
        <v>8.7303711393127834</v>
      </c>
      <c r="AS102">
        <v>126.03450550837876</v>
      </c>
      <c r="AT102" t="e">
        <v>#DIV/0!</v>
      </c>
      <c r="AU102" t="e">
        <v>#DIV/0!</v>
      </c>
      <c r="AV102"/>
      <c r="AW102"/>
      <c r="AX102" s="146"/>
      <c r="AY102" s="76">
        <f t="shared" ca="1" si="88"/>
        <v>0.88038863008604373</v>
      </c>
      <c r="AZ102">
        <v>5</v>
      </c>
      <c r="BA102" s="129">
        <f t="shared" si="127"/>
        <v>39673</v>
      </c>
      <c r="BB102" s="207">
        <v>0</v>
      </c>
      <c r="BC102" s="207">
        <v>0</v>
      </c>
      <c r="BD102" s="207">
        <v>0</v>
      </c>
      <c r="BE102" s="207">
        <v>0</v>
      </c>
      <c r="BF102" s="207">
        <v>0</v>
      </c>
      <c r="BG102" s="207">
        <v>0</v>
      </c>
      <c r="BH102" s="207">
        <v>0</v>
      </c>
      <c r="BI102" s="207">
        <v>0</v>
      </c>
      <c r="BJ102" s="207">
        <v>0</v>
      </c>
      <c r="BK102" s="207">
        <v>0</v>
      </c>
      <c r="BL102" s="207">
        <v>0</v>
      </c>
      <c r="BM102" s="207">
        <v>0</v>
      </c>
      <c r="BN102" s="207">
        <v>0</v>
      </c>
      <c r="BO102" s="207">
        <v>0</v>
      </c>
      <c r="BP102" s="207">
        <v>0</v>
      </c>
      <c r="BQ102" s="207">
        <v>0</v>
      </c>
      <c r="BR102" s="207">
        <v>0</v>
      </c>
      <c r="BS102" s="207">
        <v>0</v>
      </c>
      <c r="BT102" s="207">
        <v>0</v>
      </c>
      <c r="BU102" s="207">
        <v>0</v>
      </c>
      <c r="BV102" s="207">
        <v>0</v>
      </c>
      <c r="BW102" s="207">
        <v>0</v>
      </c>
      <c r="BX102" s="207">
        <v>0</v>
      </c>
      <c r="BY102" s="207">
        <v>0</v>
      </c>
      <c r="BZ102" s="207">
        <v>0</v>
      </c>
      <c r="CA102" s="207">
        <v>0</v>
      </c>
      <c r="CB102" s="207">
        <v>0</v>
      </c>
      <c r="CC102" s="207">
        <v>0</v>
      </c>
      <c r="CD102" s="207">
        <v>0</v>
      </c>
      <c r="CE102" s="207">
        <v>0</v>
      </c>
      <c r="CF102" s="207"/>
      <c r="CG102" s="147"/>
      <c r="CH102" s="176"/>
      <c r="CJ102" s="146"/>
      <c r="CK102" s="76">
        <f t="shared" ca="1" si="90"/>
        <v>2.9635883482565406E-2</v>
      </c>
      <c r="CL102" s="179">
        <f t="shared" si="91"/>
        <v>5</v>
      </c>
      <c r="CM102" s="180">
        <f t="shared" si="92"/>
        <v>39673</v>
      </c>
      <c r="CN102" s="208">
        <v>0</v>
      </c>
      <c r="CO102" s="208">
        <v>0</v>
      </c>
      <c r="CP102" s="208">
        <v>0</v>
      </c>
      <c r="CQ102" s="208">
        <v>0</v>
      </c>
      <c r="CR102" s="208">
        <v>0</v>
      </c>
      <c r="CS102" s="208">
        <v>0</v>
      </c>
      <c r="CT102" s="208">
        <v>0</v>
      </c>
      <c r="CU102" s="208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0.4127307850785682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3">
        <v>97</v>
      </c>
      <c r="FZ102">
        <v>21.143721905035154</v>
      </c>
      <c r="GA102">
        <v>24.625661236678312</v>
      </c>
      <c r="GB102">
        <v>7.6879348811866679</v>
      </c>
      <c r="GC102">
        <v>5.092308847913313</v>
      </c>
      <c r="GD102">
        <v>2.7258245427856016</v>
      </c>
      <c r="GE102">
        <v>3.4570103451666938</v>
      </c>
      <c r="GF102">
        <v>5.9691063006448895</v>
      </c>
      <c r="GG102">
        <v>4.5800397133990094</v>
      </c>
      <c r="GH102">
        <v>0.60080431445180338</v>
      </c>
      <c r="GI102">
        <v>7.863101231263534</v>
      </c>
      <c r="GJ102"/>
      <c r="GK102"/>
      <c r="GL102"/>
      <c r="GM102"/>
      <c r="GN102" s="208"/>
      <c r="GO102" s="208"/>
      <c r="GP102" s="208"/>
      <c r="GQ102" s="208"/>
      <c r="GR102" s="208"/>
      <c r="GS102" s="208"/>
      <c r="GT102" s="208"/>
      <c r="GU102" s="213">
        <v>97</v>
      </c>
    </row>
    <row r="103" spans="1:203" s="7" customFormat="1">
      <c r="A103" s="1"/>
      <c r="B103" s="76">
        <f ca="1">IF(C103="", "", RAND())</f>
        <v>0.16215582532635908</v>
      </c>
      <c r="C103">
        <v>4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85.655394264617115</v>
      </c>
      <c r="AO103">
        <v>18.576352186850137</v>
      </c>
      <c r="AP103">
        <v>139.73360348349132</v>
      </c>
      <c r="AQ103">
        <v>154.41821919292855</v>
      </c>
      <c r="AR103">
        <v>17.008839754525447</v>
      </c>
      <c r="AS103">
        <v>177.93498370278257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0.48518864982157339</v>
      </c>
      <c r="AZ103">
        <v>6</v>
      </c>
      <c r="BA103" s="129">
        <f t="shared" si="127"/>
        <v>39673</v>
      </c>
      <c r="BB103" s="207">
        <v>0</v>
      </c>
      <c r="BC103" s="207">
        <v>0</v>
      </c>
      <c r="BD103" s="207">
        <v>0</v>
      </c>
      <c r="BE103" s="207">
        <v>0</v>
      </c>
      <c r="BF103" s="207">
        <v>0</v>
      </c>
      <c r="BG103" s="207">
        <v>0</v>
      </c>
      <c r="BH103" s="207">
        <v>0</v>
      </c>
      <c r="BI103" s="207">
        <v>0</v>
      </c>
      <c r="BJ103" s="207">
        <v>0</v>
      </c>
      <c r="BK103" s="207">
        <v>0</v>
      </c>
      <c r="BL103" s="207">
        <v>0</v>
      </c>
      <c r="BM103" s="207">
        <v>0</v>
      </c>
      <c r="BN103" s="207">
        <v>0</v>
      </c>
      <c r="BO103" s="207">
        <v>0</v>
      </c>
      <c r="BP103" s="207">
        <v>0</v>
      </c>
      <c r="BQ103" s="207">
        <v>0</v>
      </c>
      <c r="BR103" s="207">
        <v>0</v>
      </c>
      <c r="BS103" s="207">
        <v>0</v>
      </c>
      <c r="BT103" s="207">
        <v>0</v>
      </c>
      <c r="BU103" s="207">
        <v>0</v>
      </c>
      <c r="BV103" s="207">
        <v>0</v>
      </c>
      <c r="BW103" s="207">
        <v>0</v>
      </c>
      <c r="BX103" s="207">
        <v>0</v>
      </c>
      <c r="BY103" s="207">
        <v>0</v>
      </c>
      <c r="BZ103" s="207">
        <v>0</v>
      </c>
      <c r="CA103" s="207">
        <v>0</v>
      </c>
      <c r="CB103" s="207">
        <v>0</v>
      </c>
      <c r="CC103" s="207">
        <v>0</v>
      </c>
      <c r="CD103" s="207">
        <v>0</v>
      </c>
      <c r="CE103" s="207">
        <v>0</v>
      </c>
      <c r="CF103" s="207"/>
      <c r="CG103" s="147"/>
      <c r="CH103" s="176"/>
      <c r="CJ103" s="146"/>
      <c r="CK103" s="76">
        <f t="shared" ca="1" si="90"/>
        <v>0.16003809596820417</v>
      </c>
      <c r="CL103" s="179">
        <f t="shared" si="91"/>
        <v>6</v>
      </c>
      <c r="CM103" s="180">
        <f t="shared" si="92"/>
        <v>39673</v>
      </c>
      <c r="CN103" s="208">
        <v>0</v>
      </c>
      <c r="CO103" s="208">
        <v>0</v>
      </c>
      <c r="CP103" s="208">
        <v>0</v>
      </c>
      <c r="CQ103" s="208">
        <v>4</v>
      </c>
      <c r="CR103" s="208">
        <v>2</v>
      </c>
      <c r="CS103" s="208">
        <v>0</v>
      </c>
      <c r="CT103" s="208">
        <v>0</v>
      </c>
      <c r="CU103" s="208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0.76641764762586551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0</v>
      </c>
      <c r="DI103" s="161">
        <f t="shared" si="98"/>
        <v>41.666666666666664</v>
      </c>
      <c r="DJ103" s="161">
        <f t="shared" si="99"/>
        <v>20.833333333333332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62.5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</v>
      </c>
      <c r="ES103" s="139">
        <f t="shared" si="59"/>
        <v>5.7905013067491184</v>
      </c>
      <c r="ET103" s="139">
        <f t="shared" si="60"/>
        <v>6.2790842244920917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12.069585531241209</v>
      </c>
      <c r="FV103" s="149"/>
      <c r="FY103" s="213">
        <v>98</v>
      </c>
      <c r="FZ103">
        <v>37.165842071720824</v>
      </c>
      <c r="GA103">
        <v>42.17178116631797</v>
      </c>
      <c r="GB103">
        <v>5.6357051334124471</v>
      </c>
      <c r="GC103">
        <v>5.0837739693697923</v>
      </c>
      <c r="GD103">
        <v>2.5499802955642767</v>
      </c>
      <c r="GE103">
        <v>2.2574805196008669</v>
      </c>
      <c r="GF103">
        <v>4.3532476535681734</v>
      </c>
      <c r="GG103">
        <v>3.5488037544590876</v>
      </c>
      <c r="GH103">
        <v>3.0040215722590169</v>
      </c>
      <c r="GI103">
        <v>9.654354454731509</v>
      </c>
      <c r="GJ103"/>
      <c r="GK103"/>
      <c r="GL103"/>
      <c r="GM103"/>
      <c r="GN103" s="208"/>
      <c r="GO103" s="208"/>
      <c r="GP103" s="208"/>
      <c r="GQ103" s="208"/>
      <c r="GR103" s="208"/>
      <c r="GS103" s="208"/>
      <c r="GT103" s="208"/>
      <c r="GU103" s="213">
        <v>98</v>
      </c>
    </row>
    <row r="104" spans="1:203" s="7" customFormat="1">
      <c r="A104" s="1"/>
      <c r="B104" s="76">
        <f ca="1">IF(C104="", "", RAND())</f>
        <v>0.78099413668155826</v>
      </c>
      <c r="C104">
        <v>10</v>
      </c>
      <c r="D104">
        <v>39673</v>
      </c>
      <c r="E104">
        <v>0</v>
      </c>
      <c r="F104">
        <v>0</v>
      </c>
      <c r="G104">
        <v>0</v>
      </c>
      <c r="H104">
        <v>335.11904761904759</v>
      </c>
      <c r="I104">
        <v>131.25</v>
      </c>
      <c r="J104">
        <v>150</v>
      </c>
      <c r="K104">
        <v>93.75</v>
      </c>
      <c r="L104">
        <v>18.75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60.033519700615294</v>
      </c>
      <c r="AO104">
        <v>9.283640947816016</v>
      </c>
      <c r="AP104">
        <v>31.865530590019247</v>
      </c>
      <c r="AQ104">
        <v>62.525478810389345</v>
      </c>
      <c r="AR104">
        <v>8.6185283445447869</v>
      </c>
      <c r="AS104">
        <v>112.93426921664663</v>
      </c>
      <c r="AT104">
        <v>5.3392284377292034</v>
      </c>
      <c r="AU104">
        <v>16.227426125774322</v>
      </c>
      <c r="AV104"/>
      <c r="AW104"/>
      <c r="AX104" s="146"/>
      <c r="AY104" s="76">
        <f ca="1">IF(AZ104="", "", RAND())</f>
        <v>0.53184409964810975</v>
      </c>
      <c r="AZ104">
        <v>7</v>
      </c>
      <c r="BA104" s="129">
        <f t="shared" si="127"/>
        <v>39673</v>
      </c>
      <c r="BB104" s="207">
        <v>0</v>
      </c>
      <c r="BC104" s="207">
        <v>0</v>
      </c>
      <c r="BD104" s="207">
        <v>0</v>
      </c>
      <c r="BE104" s="207">
        <v>0</v>
      </c>
      <c r="BF104" s="207">
        <v>0</v>
      </c>
      <c r="BG104" s="207">
        <v>0</v>
      </c>
      <c r="BH104" s="207">
        <v>0</v>
      </c>
      <c r="BI104" s="207">
        <v>0</v>
      </c>
      <c r="BJ104" s="207">
        <v>0</v>
      </c>
      <c r="BK104" s="207">
        <v>0</v>
      </c>
      <c r="BL104" s="207">
        <v>0</v>
      </c>
      <c r="BM104" s="207">
        <v>0</v>
      </c>
      <c r="BN104" s="207">
        <v>0</v>
      </c>
      <c r="BO104" s="207">
        <v>0</v>
      </c>
      <c r="BP104" s="207">
        <v>0</v>
      </c>
      <c r="BQ104" s="207">
        <v>0</v>
      </c>
      <c r="BR104" s="207">
        <v>0</v>
      </c>
      <c r="BS104" s="207">
        <v>0</v>
      </c>
      <c r="BT104" s="207">
        <v>0</v>
      </c>
      <c r="BU104" s="207">
        <v>0</v>
      </c>
      <c r="BV104" s="207">
        <v>0</v>
      </c>
      <c r="BW104" s="207">
        <v>0</v>
      </c>
      <c r="BX104" s="207">
        <v>0</v>
      </c>
      <c r="BY104" s="207">
        <v>0</v>
      </c>
      <c r="BZ104" s="207">
        <v>0</v>
      </c>
      <c r="CA104" s="207">
        <v>0</v>
      </c>
      <c r="CB104" s="207">
        <v>0</v>
      </c>
      <c r="CC104" s="207">
        <v>0</v>
      </c>
      <c r="CD104" s="207">
        <v>0</v>
      </c>
      <c r="CE104" s="207">
        <v>0</v>
      </c>
      <c r="CF104" s="207"/>
      <c r="CG104" s="147"/>
      <c r="CH104" s="176"/>
      <c r="CJ104" s="146"/>
      <c r="CK104" s="76">
        <f t="shared" ca="1" si="90"/>
        <v>5.2891741804106829E-2</v>
      </c>
      <c r="CL104" s="179">
        <f t="shared" si="91"/>
        <v>7</v>
      </c>
      <c r="CM104" s="180">
        <f t="shared" si="92"/>
        <v>39673</v>
      </c>
      <c r="CN104" s="208">
        <v>0</v>
      </c>
      <c r="CO104" s="208">
        <v>0</v>
      </c>
      <c r="CP104" s="208">
        <v>0</v>
      </c>
      <c r="CQ104" s="208">
        <v>0</v>
      </c>
      <c r="CR104" s="208">
        <v>0</v>
      </c>
      <c r="CS104" s="208">
        <v>0</v>
      </c>
      <c r="CT104" s="208">
        <v>0</v>
      </c>
      <c r="CU104" s="208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0.21968336967311552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3">
        <v>99</v>
      </c>
      <c r="FZ104">
        <v>31.841807602109483</v>
      </c>
      <c r="GA104">
        <v>39.373584654465112</v>
      </c>
      <c r="GB104">
        <v>6.5390924757257105</v>
      </c>
      <c r="GC104">
        <v>4.6168393659611446</v>
      </c>
      <c r="GD104">
        <v>2.5247246189878036</v>
      </c>
      <c r="GE104">
        <v>2.3609407399894344</v>
      </c>
      <c r="GF104">
        <v>3.355617466497447</v>
      </c>
      <c r="GG104">
        <v>5.9373965417878036</v>
      </c>
      <c r="GH104">
        <v>5.2819122492828701</v>
      </c>
      <c r="GI104">
        <v>9.2561627437414131</v>
      </c>
      <c r="GJ104"/>
      <c r="GK104"/>
      <c r="GL104"/>
      <c r="GM104"/>
      <c r="GN104" s="208"/>
      <c r="GO104" s="208"/>
      <c r="GP104" s="208"/>
      <c r="GQ104" s="208"/>
      <c r="GR104" s="208"/>
      <c r="GS104" s="208"/>
      <c r="GT104" s="208"/>
      <c r="GU104" s="213">
        <v>99</v>
      </c>
    </row>
    <row r="105" spans="1:203" s="7" customFormat="1">
      <c r="A105" s="1"/>
      <c r="B105" s="76">
        <f ca="1">IF(C105="", "", RAND())</f>
        <v>0.9726292223521753</v>
      </c>
      <c r="C105">
        <v>7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79.571403283535631</v>
      </c>
      <c r="AO105">
        <v>11.646616385307684</v>
      </c>
      <c r="AP105">
        <v>76.501976607540001</v>
      </c>
      <c r="AQ105">
        <v>97.644047953401483</v>
      </c>
      <c r="AR105">
        <v>10.786128864405416</v>
      </c>
      <c r="AS105">
        <v>139.5322321711518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0.67532894879423733</v>
      </c>
      <c r="AZ105">
        <v>8</v>
      </c>
      <c r="BA105" s="129">
        <f t="shared" si="127"/>
        <v>39673</v>
      </c>
      <c r="BB105" s="207">
        <v>0</v>
      </c>
      <c r="BC105" s="207">
        <v>0</v>
      </c>
      <c r="BD105" s="207">
        <v>0</v>
      </c>
      <c r="BE105" s="207">
        <v>0</v>
      </c>
      <c r="BF105" s="207">
        <v>0</v>
      </c>
      <c r="BG105" s="207">
        <v>0</v>
      </c>
      <c r="BH105" s="207">
        <v>0</v>
      </c>
      <c r="BI105" s="207">
        <v>0</v>
      </c>
      <c r="BJ105" s="207">
        <v>0</v>
      </c>
      <c r="BK105" s="207">
        <v>0</v>
      </c>
      <c r="BL105" s="207">
        <v>0</v>
      </c>
      <c r="BM105" s="207">
        <v>0</v>
      </c>
      <c r="BN105" s="207">
        <v>0</v>
      </c>
      <c r="BO105" s="207">
        <v>0</v>
      </c>
      <c r="BP105" s="207">
        <v>0</v>
      </c>
      <c r="BQ105" s="207">
        <v>0</v>
      </c>
      <c r="BR105" s="207">
        <v>0</v>
      </c>
      <c r="BS105" s="207">
        <v>0</v>
      </c>
      <c r="BT105" s="207">
        <v>0</v>
      </c>
      <c r="BU105" s="207">
        <v>0</v>
      </c>
      <c r="BV105" s="207">
        <v>0</v>
      </c>
      <c r="BW105" s="207">
        <v>0</v>
      </c>
      <c r="BX105" s="207">
        <v>0</v>
      </c>
      <c r="BY105" s="207">
        <v>0</v>
      </c>
      <c r="BZ105" s="207">
        <v>0</v>
      </c>
      <c r="CA105" s="207">
        <v>0</v>
      </c>
      <c r="CB105" s="207">
        <v>0</v>
      </c>
      <c r="CC105" s="207">
        <v>0</v>
      </c>
      <c r="CD105" s="207">
        <v>0</v>
      </c>
      <c r="CE105" s="207">
        <v>0</v>
      </c>
      <c r="CF105" s="207"/>
      <c r="CG105" s="147"/>
      <c r="CH105" s="176"/>
      <c r="CJ105" s="146"/>
      <c r="CK105" s="76">
        <f t="shared" ca="1" si="90"/>
        <v>0.49571022456330871</v>
      </c>
      <c r="CL105" s="179">
        <f t="shared" si="91"/>
        <v>8</v>
      </c>
      <c r="CM105" s="180">
        <f t="shared" si="92"/>
        <v>39673</v>
      </c>
      <c r="CN105" s="208">
        <v>0</v>
      </c>
      <c r="CO105" s="208">
        <v>0</v>
      </c>
      <c r="CP105" s="208">
        <v>0</v>
      </c>
      <c r="CQ105" s="208">
        <v>1</v>
      </c>
      <c r="CR105" s="208">
        <v>1</v>
      </c>
      <c r="CS105" s="208">
        <v>0</v>
      </c>
      <c r="CT105" s="208">
        <v>0</v>
      </c>
      <c r="CU105" s="208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0.18760906637919916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0</v>
      </c>
      <c r="DI105" s="161">
        <f t="shared" si="98"/>
        <v>20.833333333333332</v>
      </c>
      <c r="DJ105" s="161">
        <f t="shared" si="99"/>
        <v>20.833333333333332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41.666666666666664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0</v>
      </c>
      <c r="ES105" s="139">
        <f t="shared" si="59"/>
        <v>2.8952506533745592</v>
      </c>
      <c r="ET105" s="139">
        <f t="shared" si="60"/>
        <v>6.2790842244920917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9.1743348778666505</v>
      </c>
      <c r="FV105" s="149"/>
      <c r="FY105" s="213">
        <v>100</v>
      </c>
      <c r="FZ105">
        <v>28.412056949442594</v>
      </c>
      <c r="GA105">
        <v>38.449799220871341</v>
      </c>
      <c r="GB105">
        <v>10.843414282260101</v>
      </c>
      <c r="GC105">
        <v>5.7458096137428312</v>
      </c>
      <c r="GD105">
        <v>2.4966934302890396</v>
      </c>
      <c r="GE105">
        <v>2.8616726211739683</v>
      </c>
      <c r="GF105">
        <v>2.1897261952175837</v>
      </c>
      <c r="GG105">
        <v>2.7536182789454724</v>
      </c>
      <c r="GH105">
        <v>2.7619779405139626</v>
      </c>
      <c r="GI105">
        <v>9.3133181032635868</v>
      </c>
      <c r="GJ105"/>
      <c r="GK105"/>
      <c r="GL105"/>
      <c r="GM105"/>
      <c r="GN105" s="208"/>
      <c r="GO105" s="208"/>
      <c r="GP105" s="208"/>
      <c r="GQ105" s="208"/>
      <c r="GR105" s="208"/>
      <c r="GS105" s="208"/>
      <c r="GT105" s="208"/>
      <c r="GU105" s="213">
        <v>100</v>
      </c>
    </row>
    <row r="106" spans="1:203" s="7" customFormat="1">
      <c r="A106" s="1"/>
      <c r="B106" s="76">
        <f ca="1">IF(C106="", "", RAND())</f>
        <v>0.84408829803005414</v>
      </c>
      <c r="C106">
        <v>8</v>
      </c>
      <c r="D106">
        <v>39673</v>
      </c>
      <c r="E106">
        <v>0</v>
      </c>
      <c r="F106">
        <v>0</v>
      </c>
      <c r="G106">
        <v>0</v>
      </c>
      <c r="H106">
        <v>20.833333333333332</v>
      </c>
      <c r="I106">
        <v>20.833333333333332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95.221399493705547</v>
      </c>
      <c r="AO106">
        <v>15.733656314248055</v>
      </c>
      <c r="AP106">
        <v>118.98112691806494</v>
      </c>
      <c r="AQ106">
        <v>135.81190222008294</v>
      </c>
      <c r="AR106">
        <v>14.356163139283867</v>
      </c>
      <c r="AS106">
        <v>177.96970042790704</v>
      </c>
      <c r="AT106" t="e">
        <v>#DIV/0!</v>
      </c>
      <c r="AU106" t="e">
        <v>#DIV/0!</v>
      </c>
      <c r="AV106"/>
      <c r="AW106"/>
      <c r="AX106" s="146"/>
      <c r="AY106" s="76">
        <f t="shared" ca="1" si="88"/>
        <v>0.56452736931093672</v>
      </c>
      <c r="AZ106">
        <v>9</v>
      </c>
      <c r="BA106" s="129">
        <f t="shared" si="127"/>
        <v>39673</v>
      </c>
      <c r="BB106" s="207">
        <v>0</v>
      </c>
      <c r="BC106" s="207">
        <v>0</v>
      </c>
      <c r="BD106" s="207">
        <v>0</v>
      </c>
      <c r="BE106" s="207">
        <v>0</v>
      </c>
      <c r="BF106" s="207">
        <v>0</v>
      </c>
      <c r="BG106" s="207">
        <v>0</v>
      </c>
      <c r="BH106" s="207">
        <v>0</v>
      </c>
      <c r="BI106" s="207">
        <v>0</v>
      </c>
      <c r="BJ106" s="207">
        <v>0</v>
      </c>
      <c r="BK106" s="207">
        <v>0</v>
      </c>
      <c r="BL106" s="207">
        <v>0</v>
      </c>
      <c r="BM106" s="207">
        <v>0</v>
      </c>
      <c r="BN106" s="207">
        <v>0</v>
      </c>
      <c r="BO106" s="207">
        <v>0</v>
      </c>
      <c r="BP106" s="207">
        <v>0</v>
      </c>
      <c r="BQ106" s="207">
        <v>0</v>
      </c>
      <c r="BR106" s="207">
        <v>0</v>
      </c>
      <c r="BS106" s="207">
        <v>0</v>
      </c>
      <c r="BT106" s="207">
        <v>0</v>
      </c>
      <c r="BU106" s="207">
        <v>0</v>
      </c>
      <c r="BV106" s="207">
        <v>0</v>
      </c>
      <c r="BW106" s="207">
        <v>0</v>
      </c>
      <c r="BX106" s="207">
        <v>0</v>
      </c>
      <c r="BY106" s="207">
        <v>0</v>
      </c>
      <c r="BZ106" s="207">
        <v>0</v>
      </c>
      <c r="CA106" s="207">
        <v>0</v>
      </c>
      <c r="CB106" s="207">
        <v>0</v>
      </c>
      <c r="CC106" s="207">
        <v>0</v>
      </c>
      <c r="CD106" s="207">
        <v>0</v>
      </c>
      <c r="CE106" s="207">
        <v>0</v>
      </c>
      <c r="CF106" s="207"/>
      <c r="CG106" s="147"/>
      <c r="CH106" s="176"/>
      <c r="CJ106" s="146"/>
      <c r="CK106" s="76">
        <f t="shared" ca="1" si="90"/>
        <v>0.75963624278824593</v>
      </c>
      <c r="CL106" s="179">
        <f t="shared" si="91"/>
        <v>9</v>
      </c>
      <c r="CM106" s="180">
        <f t="shared" si="92"/>
        <v>39673</v>
      </c>
      <c r="CN106" s="208">
        <v>0</v>
      </c>
      <c r="CO106" s="208">
        <v>0</v>
      </c>
      <c r="CP106" s="208">
        <v>1</v>
      </c>
      <c r="CQ106" s="208">
        <v>0</v>
      </c>
      <c r="CR106" s="208">
        <v>5</v>
      </c>
      <c r="CS106" s="208">
        <v>1</v>
      </c>
      <c r="CT106" s="208">
        <v>0</v>
      </c>
      <c r="CU106" s="208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0.94719057362806702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10.416666666666666</v>
      </c>
      <c r="DI106" s="161">
        <f t="shared" si="98"/>
        <v>0</v>
      </c>
      <c r="DJ106" s="161">
        <f t="shared" si="99"/>
        <v>52.083333333333336</v>
      </c>
      <c r="DK106" s="161">
        <f t="shared" si="100"/>
        <v>10.416666666666666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72.916666666666671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0.48617720717421975</v>
      </c>
      <c r="ES106" s="139">
        <f t="shared" si="59"/>
        <v>0</v>
      </c>
      <c r="ET106" s="139">
        <f t="shared" si="60"/>
        <v>15.697710561230231</v>
      </c>
      <c r="EU106" s="139">
        <f t="shared" si="61"/>
        <v>5.7233612375507494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21.907249005955201</v>
      </c>
      <c r="FV106" s="149"/>
      <c r="FY106" s="213">
        <v>101</v>
      </c>
      <c r="FZ106">
        <v>11.603750299004094</v>
      </c>
      <c r="GA106">
        <v>12.342520513731927</v>
      </c>
      <c r="GB106">
        <v>2.3736325154486626</v>
      </c>
      <c r="GC106">
        <v>3.5391638188229049</v>
      </c>
      <c r="GD106">
        <v>2.7901431597658228</v>
      </c>
      <c r="GE106">
        <v>2.4216451432570421</v>
      </c>
      <c r="GF106">
        <v>2.9561710442664006</v>
      </c>
      <c r="GG106">
        <v>2.1191013742894103</v>
      </c>
      <c r="GH106">
        <v>0</v>
      </c>
      <c r="GI106">
        <v>4.5207543053643171</v>
      </c>
      <c r="GJ106"/>
      <c r="GK106"/>
      <c r="GL106"/>
      <c r="GM106"/>
      <c r="GN106" s="208"/>
      <c r="GO106" s="208"/>
      <c r="GP106" s="208"/>
      <c r="GQ106" s="208"/>
      <c r="GR106" s="208"/>
      <c r="GS106" s="208"/>
      <c r="GT106" s="208"/>
      <c r="GU106" s="213">
        <v>101</v>
      </c>
    </row>
    <row r="107" spans="1:203" s="7" customFormat="1">
      <c r="A107" s="1"/>
      <c r="B107" s="76">
        <f ca="1">IF(C107="", "", RAND())</f>
        <v>0.14661698891355623</v>
      </c>
      <c r="C107">
        <v>9</v>
      </c>
      <c r="D107">
        <v>39673</v>
      </c>
      <c r="E107">
        <v>0</v>
      </c>
      <c r="F107">
        <v>0</v>
      </c>
      <c r="G107">
        <v>10.416666666666666</v>
      </c>
      <c r="H107">
        <v>0</v>
      </c>
      <c r="I107">
        <v>52.083333333333336</v>
      </c>
      <c r="J107">
        <v>10.416666666666666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97.220402092460915</v>
      </c>
      <c r="AO107">
        <v>14.508548416910708</v>
      </c>
      <c r="AP107">
        <v>79.214795866440781</v>
      </c>
      <c r="AQ107">
        <v>112.91493521548679</v>
      </c>
      <c r="AR107">
        <v>13.385576212240691</v>
      </c>
      <c r="AS107">
        <v>191.39669207046271</v>
      </c>
      <c r="AT107" t="e">
        <v>#DIV/0!</v>
      </c>
      <c r="AU107" t="e">
        <v>#DIV/0!</v>
      </c>
      <c r="AV107"/>
      <c r="AW107"/>
      <c r="AX107" s="146"/>
      <c r="AY107" s="76">
        <f t="shared" ca="1" si="88"/>
        <v>0.97814799207113978</v>
      </c>
      <c r="AZ107">
        <v>10</v>
      </c>
      <c r="BA107" s="129">
        <f t="shared" si="127"/>
        <v>39673</v>
      </c>
      <c r="BB107" s="207">
        <v>0</v>
      </c>
      <c r="BC107" s="207">
        <v>0</v>
      </c>
      <c r="BD107" s="207">
        <v>0</v>
      </c>
      <c r="BE107" s="207">
        <v>2</v>
      </c>
      <c r="BF107" s="207">
        <v>7</v>
      </c>
      <c r="BG107" s="207">
        <v>8</v>
      </c>
      <c r="BH107" s="207">
        <v>5</v>
      </c>
      <c r="BI107" s="207">
        <v>1</v>
      </c>
      <c r="BJ107" s="207">
        <v>0</v>
      </c>
      <c r="BK107" s="207">
        <v>0</v>
      </c>
      <c r="BL107" s="207">
        <v>0</v>
      </c>
      <c r="BM107" s="207">
        <v>0</v>
      </c>
      <c r="BN107" s="207">
        <v>0</v>
      </c>
      <c r="BO107" s="207">
        <v>0</v>
      </c>
      <c r="BP107" s="207">
        <v>0</v>
      </c>
      <c r="BQ107" s="207">
        <v>0</v>
      </c>
      <c r="BR107" s="207">
        <v>0</v>
      </c>
      <c r="BS107" s="207">
        <v>0</v>
      </c>
      <c r="BT107" s="207">
        <v>0</v>
      </c>
      <c r="BU107" s="207">
        <v>0</v>
      </c>
      <c r="BV107" s="207">
        <v>0</v>
      </c>
      <c r="BW107" s="207">
        <v>0</v>
      </c>
      <c r="BX107" s="207">
        <v>0</v>
      </c>
      <c r="BY107" s="207">
        <v>0</v>
      </c>
      <c r="BZ107" s="207">
        <v>0</v>
      </c>
      <c r="CA107" s="207">
        <v>0</v>
      </c>
      <c r="CB107" s="207">
        <v>0</v>
      </c>
      <c r="CC107" s="207">
        <v>0</v>
      </c>
      <c r="CD107" s="207">
        <v>0</v>
      </c>
      <c r="CE107" s="207">
        <v>0</v>
      </c>
      <c r="CF107" s="207"/>
      <c r="CG107" s="147"/>
      <c r="CH107" s="176"/>
      <c r="CJ107" s="146"/>
      <c r="CK107" s="76">
        <f t="shared" ca="1" si="90"/>
        <v>0.76918103678511773</v>
      </c>
      <c r="CL107" s="179">
        <f t="shared" si="91"/>
        <v>10</v>
      </c>
      <c r="CM107" s="180">
        <f t="shared" si="92"/>
        <v>39673</v>
      </c>
      <c r="CN107" s="208">
        <v>0</v>
      </c>
      <c r="CO107" s="208">
        <v>0</v>
      </c>
      <c r="CP107" s="208">
        <v>0</v>
      </c>
      <c r="CQ107" s="208">
        <v>2</v>
      </c>
      <c r="CR107" s="208">
        <v>0</v>
      </c>
      <c r="CS107" s="208">
        <v>0</v>
      </c>
      <c r="CT107" s="208">
        <v>0</v>
      </c>
      <c r="CU107" s="208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0.78760184238032083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335.11904761904759</v>
      </c>
      <c r="DJ107" s="161">
        <f t="shared" si="99"/>
        <v>131.25</v>
      </c>
      <c r="DK107" s="161">
        <f t="shared" si="100"/>
        <v>150</v>
      </c>
      <c r="DL107" s="161">
        <f t="shared" si="101"/>
        <v>93.75</v>
      </c>
      <c r="DM107" s="161">
        <f t="shared" si="102"/>
        <v>18.75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728.86904761904759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46.572174795710765</v>
      </c>
      <c r="ET107" s="139">
        <f t="shared" si="60"/>
        <v>39.558230614300179</v>
      </c>
      <c r="EU107" s="139">
        <f t="shared" si="61"/>
        <v>82.416401820730798</v>
      </c>
      <c r="EV107" s="139">
        <f t="shared" si="62"/>
        <v>84.133779781124403</v>
      </c>
      <c r="EW107" s="139">
        <f t="shared" si="63"/>
        <v>25.477347280092395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278.15793429195855</v>
      </c>
      <c r="FV107" s="149"/>
      <c r="FY107" s="213">
        <v>102</v>
      </c>
      <c r="FZ107">
        <v>49.103239775333428</v>
      </c>
      <c r="GA107">
        <v>59.469669960429904</v>
      </c>
      <c r="GB107">
        <v>8.225747035909869</v>
      </c>
      <c r="GC107">
        <v>5.7662170916144815</v>
      </c>
      <c r="GD107">
        <v>2.6601795722095667</v>
      </c>
      <c r="GE107">
        <v>2.6291447014566032</v>
      </c>
      <c r="GF107">
        <v>1.642850218709494</v>
      </c>
      <c r="GG107">
        <v>2.074191294049982</v>
      </c>
      <c r="GH107">
        <v>3.3627822549657664</v>
      </c>
      <c r="GI107">
        <v>11.683701480414964</v>
      </c>
      <c r="GJ107"/>
      <c r="GK107"/>
      <c r="GL107"/>
      <c r="GM107"/>
      <c r="GN107" s="208"/>
      <c r="GO107" s="208"/>
      <c r="GP107" s="208"/>
      <c r="GQ107" s="208"/>
      <c r="GR107" s="208"/>
      <c r="GS107" s="208"/>
      <c r="GT107" s="208"/>
      <c r="GU107" s="213">
        <v>102</v>
      </c>
    </row>
    <row r="108" spans="1:203" s="7" customFormat="1">
      <c r="A108" s="128"/>
      <c r="B108" s="76">
        <f ca="1">IF(C108="", "", RAND())</f>
        <v>0.25734118143515072</v>
      </c>
      <c r="C108">
        <v>4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83.847143603241477</v>
      </c>
      <c r="AO108">
        <v>13.446243584266545</v>
      </c>
      <c r="AP108">
        <v>110.24839314281715</v>
      </c>
      <c r="AQ108">
        <v>117.01417725664965</v>
      </c>
      <c r="AR108">
        <v>12.378153959076457</v>
      </c>
      <c r="AS108">
        <v>157.99924335523866</v>
      </c>
      <c r="AT108" t="e">
        <v>#DIV/0!</v>
      </c>
      <c r="AU108" t="e">
        <v>#DIV/0!</v>
      </c>
      <c r="AV108"/>
      <c r="AW108"/>
      <c r="AX108" s="128"/>
      <c r="AY108" s="76">
        <f t="shared" ca="1" si="88"/>
        <v>0.10280006740429415</v>
      </c>
      <c r="AZ108">
        <v>1</v>
      </c>
      <c r="BA108" s="129">
        <f>IF(AZ108="", "",$C$6)</f>
        <v>39714</v>
      </c>
      <c r="BB108" s="207">
        <v>0</v>
      </c>
      <c r="BC108" s="207">
        <v>0</v>
      </c>
      <c r="BD108" s="207">
        <v>0</v>
      </c>
      <c r="BE108" s="207">
        <v>0</v>
      </c>
      <c r="BF108" s="207">
        <v>0</v>
      </c>
      <c r="BG108" s="207">
        <v>0</v>
      </c>
      <c r="BH108" s="207">
        <v>0</v>
      </c>
      <c r="BI108" s="207">
        <v>0</v>
      </c>
      <c r="BJ108" s="207">
        <v>0</v>
      </c>
      <c r="BK108" s="207">
        <v>0</v>
      </c>
      <c r="BL108" s="207">
        <v>0</v>
      </c>
      <c r="BM108" s="207">
        <v>0</v>
      </c>
      <c r="BN108" s="207">
        <v>0</v>
      </c>
      <c r="BO108" s="207">
        <v>0</v>
      </c>
      <c r="BP108" s="207">
        <v>0</v>
      </c>
      <c r="BQ108" s="207">
        <v>0</v>
      </c>
      <c r="BR108" s="207">
        <v>0</v>
      </c>
      <c r="BS108" s="207">
        <v>0</v>
      </c>
      <c r="BT108" s="207">
        <v>0</v>
      </c>
      <c r="BU108" s="207">
        <v>0</v>
      </c>
      <c r="BV108" s="207">
        <v>0</v>
      </c>
      <c r="BW108" s="207">
        <v>0</v>
      </c>
      <c r="BX108" s="207">
        <v>0</v>
      </c>
      <c r="BY108" s="207">
        <v>0</v>
      </c>
      <c r="BZ108" s="207">
        <v>0</v>
      </c>
      <c r="CA108" s="207">
        <v>0</v>
      </c>
      <c r="CB108" s="207">
        <v>0</v>
      </c>
      <c r="CC108" s="207">
        <v>0</v>
      </c>
      <c r="CD108" s="207">
        <v>0</v>
      </c>
      <c r="CE108" s="207">
        <v>0</v>
      </c>
      <c r="CF108" s="207"/>
      <c r="CG108" s="147"/>
      <c r="CH108" s="176"/>
      <c r="CJ108" s="128"/>
      <c r="CK108" s="76">
        <f t="shared" ca="1" si="90"/>
        <v>7.1995667801400209E-2</v>
      </c>
      <c r="CL108" s="179">
        <f t="shared" si="91"/>
        <v>1</v>
      </c>
      <c r="CM108" s="180">
        <f t="shared" si="92"/>
        <v>39714</v>
      </c>
      <c r="CN108" s="208">
        <v>0</v>
      </c>
      <c r="CO108" s="208">
        <v>0</v>
      </c>
      <c r="CP108" s="208">
        <v>0</v>
      </c>
      <c r="CQ108" s="208">
        <v>0</v>
      </c>
      <c r="CR108" s="208">
        <v>0</v>
      </c>
      <c r="CS108" s="208">
        <v>0</v>
      </c>
      <c r="CT108" s="208">
        <v>0</v>
      </c>
      <c r="CU108" s="2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0.98138172673019497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0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0</v>
      </c>
      <c r="FV108" s="149"/>
      <c r="FY108" s="213">
        <v>103</v>
      </c>
      <c r="FZ108">
        <v>37.376748330730194</v>
      </c>
      <c r="GA108">
        <v>41.179252581964327</v>
      </c>
      <c r="GB108">
        <v>7.8194556858853312</v>
      </c>
      <c r="GC108">
        <v>5.6096268716677544</v>
      </c>
      <c r="GD108">
        <v>1.6548716711757778</v>
      </c>
      <c r="GE108">
        <v>1.3360081856449644</v>
      </c>
      <c r="GF108">
        <v>2.7220040814267459</v>
      </c>
      <c r="GG108">
        <v>2.1957050171959422</v>
      </c>
      <c r="GH108">
        <v>0</v>
      </c>
      <c r="GI108">
        <v>8.903475549987693</v>
      </c>
      <c r="GJ108"/>
      <c r="GK108"/>
      <c r="GL108"/>
      <c r="GM108"/>
      <c r="GN108" s="208"/>
      <c r="GO108" s="208"/>
      <c r="GP108" s="208"/>
      <c r="GQ108" s="208"/>
      <c r="GR108" s="208"/>
      <c r="GS108" s="208"/>
      <c r="GT108" s="208"/>
      <c r="GU108" s="213">
        <v>103</v>
      </c>
    </row>
    <row r="109" spans="1:203" s="7" customFormat="1">
      <c r="A109" s="1"/>
      <c r="B109" s="76">
        <f ca="1">IF(C109="", "", RAND())</f>
        <v>0.92494774359482013</v>
      </c>
      <c r="C109">
        <v>9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77.731170945021091</v>
      </c>
      <c r="AO109">
        <v>9.1747800304458167</v>
      </c>
      <c r="AP109">
        <v>50.218995130886285</v>
      </c>
      <c r="AQ109">
        <v>66.1872298051032</v>
      </c>
      <c r="AR109">
        <v>8.5456345946288259</v>
      </c>
      <c r="AS109">
        <v>136.78650312307667</v>
      </c>
      <c r="AT109" t="e">
        <v>#DIV/0!</v>
      </c>
      <c r="AU109" t="e">
        <v>#DIV/0!</v>
      </c>
      <c r="AV109"/>
      <c r="AW109"/>
      <c r="AX109" s="146"/>
      <c r="AY109" s="76">
        <f t="shared" ca="1" si="88"/>
        <v>0.53086587846074718</v>
      </c>
      <c r="AZ109">
        <v>2</v>
      </c>
      <c r="BA109" s="129">
        <f t="shared" ref="BA109:BA117" si="129">IF(AZ109="", "",$C$6)</f>
        <v>39714</v>
      </c>
      <c r="BB109" s="207">
        <v>0</v>
      </c>
      <c r="BC109" s="207">
        <v>0</v>
      </c>
      <c r="BD109" s="207">
        <v>0</v>
      </c>
      <c r="BE109" s="207">
        <v>0</v>
      </c>
      <c r="BF109" s="207">
        <v>0</v>
      </c>
      <c r="BG109" s="207">
        <v>0</v>
      </c>
      <c r="BH109" s="207">
        <v>0</v>
      </c>
      <c r="BI109" s="207">
        <v>0</v>
      </c>
      <c r="BJ109" s="207">
        <v>0</v>
      </c>
      <c r="BK109" s="207">
        <v>0</v>
      </c>
      <c r="BL109" s="207">
        <v>0</v>
      </c>
      <c r="BM109" s="207">
        <v>0</v>
      </c>
      <c r="BN109" s="207">
        <v>0</v>
      </c>
      <c r="BO109" s="207">
        <v>0</v>
      </c>
      <c r="BP109" s="207">
        <v>0</v>
      </c>
      <c r="BQ109" s="207">
        <v>0</v>
      </c>
      <c r="BR109" s="207">
        <v>0</v>
      </c>
      <c r="BS109" s="207">
        <v>0</v>
      </c>
      <c r="BT109" s="207">
        <v>0</v>
      </c>
      <c r="BU109" s="207">
        <v>0</v>
      </c>
      <c r="BV109" s="207">
        <v>0</v>
      </c>
      <c r="BW109" s="207">
        <v>0</v>
      </c>
      <c r="BX109" s="207">
        <v>0</v>
      </c>
      <c r="BY109" s="207">
        <v>0</v>
      </c>
      <c r="BZ109" s="207">
        <v>0</v>
      </c>
      <c r="CA109" s="207">
        <v>0</v>
      </c>
      <c r="CB109" s="207">
        <v>0</v>
      </c>
      <c r="CC109" s="207">
        <v>0</v>
      </c>
      <c r="CD109" s="207">
        <v>0</v>
      </c>
      <c r="CE109" s="207">
        <v>0</v>
      </c>
      <c r="CF109" s="207"/>
      <c r="CG109" s="147"/>
      <c r="CH109" s="176"/>
      <c r="CJ109" s="146"/>
      <c r="CK109" s="76">
        <f t="shared" ca="1" si="90"/>
        <v>0.32083791548980578</v>
      </c>
      <c r="CL109" s="179">
        <f t="shared" si="91"/>
        <v>2</v>
      </c>
      <c r="CM109" s="180">
        <f t="shared" si="92"/>
        <v>39714</v>
      </c>
      <c r="CN109" s="208">
        <v>0</v>
      </c>
      <c r="CO109" s="208">
        <v>0</v>
      </c>
      <c r="CP109" s="208">
        <v>0</v>
      </c>
      <c r="CQ109" s="208">
        <v>0</v>
      </c>
      <c r="CR109" s="208">
        <v>0</v>
      </c>
      <c r="CS109" s="208">
        <v>0</v>
      </c>
      <c r="CT109" s="208">
        <v>0</v>
      </c>
      <c r="CU109" s="208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0.95475459730457146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0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0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0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0</v>
      </c>
      <c r="FV109" s="149"/>
      <c r="FY109" s="213">
        <v>104</v>
      </c>
      <c r="FZ109">
        <v>15.229095444657659</v>
      </c>
      <c r="GA109">
        <v>19.251326693040212</v>
      </c>
      <c r="GB109">
        <v>9.5136415124891869</v>
      </c>
      <c r="GC109">
        <v>6.5620731303432409</v>
      </c>
      <c r="GD109">
        <v>2.1490213359271975</v>
      </c>
      <c r="GE109">
        <v>1.712629348947377</v>
      </c>
      <c r="GF109">
        <v>5.002405437722401</v>
      </c>
      <c r="GG109">
        <v>5.2816809583155173</v>
      </c>
      <c r="GH109">
        <v>2.1611736260621592</v>
      </c>
      <c r="GI109">
        <v>7.1272913781557179</v>
      </c>
      <c r="GJ109"/>
      <c r="GK109"/>
      <c r="GL109"/>
      <c r="GM109"/>
      <c r="GN109" s="208"/>
      <c r="GO109" s="208"/>
      <c r="GP109" s="208"/>
      <c r="GQ109" s="208"/>
      <c r="GR109" s="208"/>
      <c r="GS109" s="208"/>
      <c r="GT109" s="208"/>
      <c r="GU109" s="213">
        <v>104</v>
      </c>
    </row>
    <row r="110" spans="1:203" s="7" customFormat="1">
      <c r="A110" s="1"/>
      <c r="B110" s="76">
        <f ca="1">IF(C110="", "", RAND())</f>
        <v>0.77216381434503534</v>
      </c>
      <c r="C110">
        <v>8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92.429341899226529</v>
      </c>
      <c r="AO110">
        <v>16.001278100092414</v>
      </c>
      <c r="AP110">
        <v>93.137739023459972</v>
      </c>
      <c r="AQ110">
        <v>132.72697807007904</v>
      </c>
      <c r="AR110">
        <v>14.745011389617316</v>
      </c>
      <c r="AS110">
        <v>182.2937165516845</v>
      </c>
      <c r="AT110" t="e">
        <v>#DIV/0!</v>
      </c>
      <c r="AU110" t="e">
        <v>#DIV/0!</v>
      </c>
      <c r="AV110"/>
      <c r="AW110"/>
      <c r="AX110" s="146"/>
      <c r="AY110" s="76">
        <f t="shared" ca="1" si="88"/>
        <v>0.66912158956683765</v>
      </c>
      <c r="AZ110">
        <v>3</v>
      </c>
      <c r="BA110" s="129">
        <f t="shared" si="129"/>
        <v>39714</v>
      </c>
      <c r="BB110" s="207">
        <v>0</v>
      </c>
      <c r="BC110" s="207">
        <v>0</v>
      </c>
      <c r="BD110" s="207">
        <v>0</v>
      </c>
      <c r="BE110" s="207">
        <v>1</v>
      </c>
      <c r="BF110" s="207">
        <v>0</v>
      </c>
      <c r="BG110" s="207">
        <v>0</v>
      </c>
      <c r="BH110" s="207">
        <v>0</v>
      </c>
      <c r="BI110" s="207">
        <v>0</v>
      </c>
      <c r="BJ110" s="207">
        <v>0</v>
      </c>
      <c r="BK110" s="207">
        <v>0</v>
      </c>
      <c r="BL110" s="207">
        <v>0</v>
      </c>
      <c r="BM110" s="207">
        <v>0</v>
      </c>
      <c r="BN110" s="207">
        <v>0</v>
      </c>
      <c r="BO110" s="207">
        <v>0</v>
      </c>
      <c r="BP110" s="207">
        <v>0</v>
      </c>
      <c r="BQ110" s="207">
        <v>0</v>
      </c>
      <c r="BR110" s="207">
        <v>0</v>
      </c>
      <c r="BS110" s="207">
        <v>0</v>
      </c>
      <c r="BT110" s="207">
        <v>0</v>
      </c>
      <c r="BU110" s="207">
        <v>0</v>
      </c>
      <c r="BV110" s="207">
        <v>0</v>
      </c>
      <c r="BW110" s="207">
        <v>0</v>
      </c>
      <c r="BX110" s="207">
        <v>0</v>
      </c>
      <c r="BY110" s="207">
        <v>0</v>
      </c>
      <c r="BZ110" s="207">
        <v>0</v>
      </c>
      <c r="CA110" s="207">
        <v>0</v>
      </c>
      <c r="CB110" s="207">
        <v>0</v>
      </c>
      <c r="CC110" s="207">
        <v>0</v>
      </c>
      <c r="CD110" s="207">
        <v>0</v>
      </c>
      <c r="CE110" s="207">
        <v>0</v>
      </c>
      <c r="CF110" s="207"/>
      <c r="CG110" s="147"/>
      <c r="CH110" s="176"/>
      <c r="CJ110" s="146"/>
      <c r="CK110" s="76">
        <f t="shared" ca="1" si="90"/>
        <v>0.46227219436764155</v>
      </c>
      <c r="CL110" s="179">
        <f t="shared" si="91"/>
        <v>3</v>
      </c>
      <c r="CM110" s="180">
        <f t="shared" si="92"/>
        <v>39714</v>
      </c>
      <c r="CN110" s="208">
        <v>0</v>
      </c>
      <c r="CO110" s="208">
        <v>0</v>
      </c>
      <c r="CP110" s="208">
        <v>0</v>
      </c>
      <c r="CQ110" s="208">
        <v>0</v>
      </c>
      <c r="CR110" s="208">
        <v>0</v>
      </c>
      <c r="CS110" s="208">
        <v>0</v>
      </c>
      <c r="CT110" s="208">
        <v>0</v>
      </c>
      <c r="CU110" s="208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0.57049752072455462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10.416666666666666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10.416666666666666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1.4476253266872796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1.4476253266872796</v>
      </c>
      <c r="FV110" s="149"/>
      <c r="FY110" s="213">
        <v>105</v>
      </c>
      <c r="FZ110">
        <v>27.304309352374883</v>
      </c>
      <c r="GA110">
        <v>35.447272006715785</v>
      </c>
      <c r="GB110">
        <v>12.695353105045957</v>
      </c>
      <c r="GC110">
        <v>6.1428039503532057</v>
      </c>
      <c r="GD110">
        <v>1.5416954832073786</v>
      </c>
      <c r="GE110">
        <v>2.2376919884155377</v>
      </c>
      <c r="GF110">
        <v>3.3326272263994934</v>
      </c>
      <c r="GG110">
        <v>3.4672287163226567</v>
      </c>
      <c r="GH110">
        <v>2.1611736260621592</v>
      </c>
      <c r="GI110">
        <v>9.1149845904757516</v>
      </c>
      <c r="GJ110"/>
      <c r="GK110"/>
      <c r="GL110"/>
      <c r="GM110"/>
      <c r="GN110" s="208"/>
      <c r="GO110" s="208"/>
      <c r="GP110" s="208"/>
      <c r="GQ110" s="208"/>
      <c r="GR110" s="208"/>
      <c r="GS110" s="208"/>
      <c r="GT110" s="208"/>
      <c r="GU110" s="213">
        <v>105</v>
      </c>
    </row>
    <row r="111" spans="1:203" s="7" customFormat="1">
      <c r="A111" s="1"/>
      <c r="B111" s="76">
        <f ca="1">IF(C111="", "", RAND())</f>
        <v>6.1146383665613868E-2</v>
      </c>
      <c r="C111">
        <v>3</v>
      </c>
      <c r="D111">
        <v>39714</v>
      </c>
      <c r="E111">
        <v>0</v>
      </c>
      <c r="F111">
        <v>0</v>
      </c>
      <c r="G111">
        <v>0</v>
      </c>
      <c r="H111">
        <v>10.416666666666666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94.192799859407359</v>
      </c>
      <c r="AO111">
        <v>17.302281618707152</v>
      </c>
      <c r="AP111">
        <v>138.33973458616566</v>
      </c>
      <c r="AQ111">
        <v>143.4260813019504</v>
      </c>
      <c r="AR111">
        <v>15.846273138828744</v>
      </c>
      <c r="AS111">
        <v>186.32975124518862</v>
      </c>
      <c r="AT111" t="e">
        <v>#DIV/0!</v>
      </c>
      <c r="AU111" t="e">
        <v>#DIV/0!</v>
      </c>
      <c r="AV111"/>
      <c r="AW111"/>
      <c r="AX111" s="146"/>
      <c r="AY111" s="76">
        <f t="shared" ca="1" si="88"/>
        <v>0.9735657247465177</v>
      </c>
      <c r="AZ111">
        <v>4</v>
      </c>
      <c r="BA111" s="129">
        <f t="shared" si="129"/>
        <v>39714</v>
      </c>
      <c r="BB111" s="207">
        <v>0</v>
      </c>
      <c r="BC111" s="207">
        <v>0</v>
      </c>
      <c r="BD111" s="207">
        <v>0</v>
      </c>
      <c r="BE111" s="207">
        <v>0</v>
      </c>
      <c r="BF111" s="207">
        <v>0</v>
      </c>
      <c r="BG111" s="207">
        <v>0</v>
      </c>
      <c r="BH111" s="207">
        <v>0</v>
      </c>
      <c r="BI111" s="207">
        <v>0</v>
      </c>
      <c r="BJ111" s="207">
        <v>0</v>
      </c>
      <c r="BK111" s="207">
        <v>0</v>
      </c>
      <c r="BL111" s="207">
        <v>0</v>
      </c>
      <c r="BM111" s="207">
        <v>0</v>
      </c>
      <c r="BN111" s="207">
        <v>0</v>
      </c>
      <c r="BO111" s="207">
        <v>0</v>
      </c>
      <c r="BP111" s="207">
        <v>0</v>
      </c>
      <c r="BQ111" s="207">
        <v>0</v>
      </c>
      <c r="BR111" s="207">
        <v>0</v>
      </c>
      <c r="BS111" s="207">
        <v>0</v>
      </c>
      <c r="BT111" s="207">
        <v>0</v>
      </c>
      <c r="BU111" s="207">
        <v>0</v>
      </c>
      <c r="BV111" s="207">
        <v>0</v>
      </c>
      <c r="BW111" s="207">
        <v>0</v>
      </c>
      <c r="BX111" s="207">
        <v>0</v>
      </c>
      <c r="BY111" s="207">
        <v>0</v>
      </c>
      <c r="BZ111" s="207">
        <v>0</v>
      </c>
      <c r="CA111" s="207">
        <v>0</v>
      </c>
      <c r="CB111" s="207">
        <v>0</v>
      </c>
      <c r="CC111" s="207">
        <v>0</v>
      </c>
      <c r="CD111" s="207">
        <v>0</v>
      </c>
      <c r="CE111" s="207">
        <v>0</v>
      </c>
      <c r="CF111" s="207"/>
      <c r="CG111" s="147"/>
      <c r="CH111" s="176"/>
      <c r="CJ111" s="146"/>
      <c r="CK111" s="76">
        <f t="shared" ca="1" si="90"/>
        <v>0.57296578449338598</v>
      </c>
      <c r="CL111" s="179">
        <f t="shared" si="91"/>
        <v>4</v>
      </c>
      <c r="CM111" s="180">
        <f t="shared" si="92"/>
        <v>39714</v>
      </c>
      <c r="CN111" s="208">
        <v>0</v>
      </c>
      <c r="CO111" s="208">
        <v>0</v>
      </c>
      <c r="CP111" s="208">
        <v>0</v>
      </c>
      <c r="CQ111" s="208">
        <v>0</v>
      </c>
      <c r="CR111" s="208">
        <v>0</v>
      </c>
      <c r="CS111" s="208">
        <v>0</v>
      </c>
      <c r="CT111" s="208">
        <v>0</v>
      </c>
      <c r="CU111" s="208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0.95759727517175919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0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0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0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0</v>
      </c>
      <c r="FV111" s="149"/>
      <c r="FY111" s="213">
        <v>106</v>
      </c>
      <c r="FZ111">
        <v>25.610512602276977</v>
      </c>
      <c r="GA111">
        <v>28.669960194379357</v>
      </c>
      <c r="GB111">
        <v>5.1414553518213113</v>
      </c>
      <c r="GC111">
        <v>3.9065128542005803</v>
      </c>
      <c r="GD111">
        <v>1.8543966160530374</v>
      </c>
      <c r="GE111">
        <v>2.4271317218776232</v>
      </c>
      <c r="GF111">
        <v>1.9516214798624698</v>
      </c>
      <c r="GG111">
        <v>2.3446569738648377</v>
      </c>
      <c r="GH111">
        <v>2.1611736260621592</v>
      </c>
      <c r="GI111">
        <v>6.8575677015005017</v>
      </c>
      <c r="GJ111"/>
      <c r="GK111"/>
      <c r="GL111"/>
      <c r="GM111"/>
      <c r="GN111" s="208"/>
      <c r="GO111" s="208"/>
      <c r="GP111" s="208"/>
      <c r="GQ111" s="208"/>
      <c r="GR111" s="208"/>
      <c r="GS111" s="208"/>
      <c r="GT111" s="208"/>
      <c r="GU111" s="213">
        <v>106</v>
      </c>
    </row>
    <row r="112" spans="1:203" s="7" customFormat="1">
      <c r="A112" s="1"/>
      <c r="B112" s="76">
        <f ca="1">IF(C112="", "", RAND())</f>
        <v>0.38213760365571958</v>
      </c>
      <c r="C112">
        <v>5</v>
      </c>
      <c r="D112">
        <v>39714</v>
      </c>
      <c r="E112">
        <v>0</v>
      </c>
      <c r="F112">
        <v>0</v>
      </c>
      <c r="G112">
        <v>0</v>
      </c>
      <c r="H112">
        <v>20.833333333333332</v>
      </c>
      <c r="I112">
        <v>10.416666666666666</v>
      </c>
      <c r="J112">
        <v>0</v>
      </c>
      <c r="K112">
        <v>10.416666666666666</v>
      </c>
      <c r="L112">
        <v>0</v>
      </c>
      <c r="M112">
        <v>20.833333333333332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98.949137680787004</v>
      </c>
      <c r="AO112">
        <v>10.726441197402492</v>
      </c>
      <c r="AP112">
        <v>41.483633484841363</v>
      </c>
      <c r="AQ112">
        <v>77.686659213188122</v>
      </c>
      <c r="AR112">
        <v>9.8526679692795494</v>
      </c>
      <c r="AS112">
        <v>149.99792380993668</v>
      </c>
      <c r="AT112" t="e">
        <v>#DIV/0!</v>
      </c>
      <c r="AU112" t="e">
        <v>#DIV/0!</v>
      </c>
      <c r="AV112"/>
      <c r="AW112"/>
      <c r="AX112" s="146"/>
      <c r="AY112" s="76">
        <f t="shared" ca="1" si="88"/>
        <v>0.25046628787105174</v>
      </c>
      <c r="AZ112">
        <v>5</v>
      </c>
      <c r="BA112" s="129">
        <f t="shared" si="129"/>
        <v>39714</v>
      </c>
      <c r="BB112" s="207">
        <v>0</v>
      </c>
      <c r="BC112" s="207">
        <v>0</v>
      </c>
      <c r="BD112" s="207">
        <v>0</v>
      </c>
      <c r="BE112" s="207">
        <v>2</v>
      </c>
      <c r="BF112" s="207">
        <v>1</v>
      </c>
      <c r="BG112" s="207">
        <v>0</v>
      </c>
      <c r="BH112" s="207">
        <v>1</v>
      </c>
      <c r="BI112" s="207">
        <v>0</v>
      </c>
      <c r="BJ112" s="207">
        <v>2</v>
      </c>
      <c r="BK112" s="207">
        <v>0</v>
      </c>
      <c r="BL112" s="207">
        <v>0</v>
      </c>
      <c r="BM112" s="207">
        <v>0</v>
      </c>
      <c r="BN112" s="207">
        <v>0</v>
      </c>
      <c r="BO112" s="207">
        <v>0</v>
      </c>
      <c r="BP112" s="207">
        <v>0</v>
      </c>
      <c r="BQ112" s="207">
        <v>0</v>
      </c>
      <c r="BR112" s="207">
        <v>0</v>
      </c>
      <c r="BS112" s="207">
        <v>0</v>
      </c>
      <c r="BT112" s="207">
        <v>0</v>
      </c>
      <c r="BU112" s="207">
        <v>0</v>
      </c>
      <c r="BV112" s="207">
        <v>0</v>
      </c>
      <c r="BW112" s="207">
        <v>0</v>
      </c>
      <c r="BX112" s="207">
        <v>0</v>
      </c>
      <c r="BY112" s="207">
        <v>0</v>
      </c>
      <c r="BZ112" s="207">
        <v>0</v>
      </c>
      <c r="CA112" s="207">
        <v>0</v>
      </c>
      <c r="CB112" s="207">
        <v>0</v>
      </c>
      <c r="CC112" s="207">
        <v>0</v>
      </c>
      <c r="CD112" s="207">
        <v>0</v>
      </c>
      <c r="CE112" s="207">
        <v>0</v>
      </c>
      <c r="CF112" s="207"/>
      <c r="CG112" s="147"/>
      <c r="CH112" s="176"/>
      <c r="CJ112" s="146"/>
      <c r="CK112" s="76">
        <f t="shared" ca="1" si="90"/>
        <v>0.25293075404140364</v>
      </c>
      <c r="CL112" s="179">
        <f t="shared" si="91"/>
        <v>5</v>
      </c>
      <c r="CM112" s="180">
        <f t="shared" si="92"/>
        <v>39714</v>
      </c>
      <c r="CN112" s="208">
        <v>0</v>
      </c>
      <c r="CO112" s="208">
        <v>0</v>
      </c>
      <c r="CP112" s="208">
        <v>0</v>
      </c>
      <c r="CQ112" s="208">
        <v>0</v>
      </c>
      <c r="CR112" s="208">
        <v>0</v>
      </c>
      <c r="CS112" s="208">
        <v>0</v>
      </c>
      <c r="CT112" s="208">
        <v>0</v>
      </c>
      <c r="CU112" s="208">
        <v>0</v>
      </c>
      <c r="CW112">
        <v>1</v>
      </c>
      <c r="CX112">
        <f>300/32</f>
        <v>9.375</v>
      </c>
      <c r="CY112" s="158"/>
      <c r="CZ112" s="177">
        <f t="shared" si="93"/>
        <v>9.6000000000000002E-2</v>
      </c>
      <c r="DB112" s="146"/>
      <c r="DC112" s="76">
        <f t="shared" ca="1" si="51"/>
        <v>0.40625158015225793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20.833333333333332</v>
      </c>
      <c r="DJ112" s="161">
        <f t="shared" si="99"/>
        <v>10.416666666666666</v>
      </c>
      <c r="DK112" s="161">
        <f t="shared" si="100"/>
        <v>0</v>
      </c>
      <c r="DL112" s="161">
        <f t="shared" si="101"/>
        <v>10.416666666666666</v>
      </c>
      <c r="DM112" s="161">
        <f t="shared" si="102"/>
        <v>0</v>
      </c>
      <c r="DN112" s="161">
        <f t="shared" si="103"/>
        <v>20.833333333333332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62.5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2.8952506533745592</v>
      </c>
      <c r="ET112" s="139">
        <f t="shared" si="60"/>
        <v>3.1395421122460458</v>
      </c>
      <c r="EU112" s="139">
        <f t="shared" si="61"/>
        <v>0</v>
      </c>
      <c r="EV112" s="139">
        <f t="shared" si="62"/>
        <v>9.3481977534582672</v>
      </c>
      <c r="EW112" s="139">
        <f t="shared" si="63"/>
        <v>0</v>
      </c>
      <c r="EX112" s="139">
        <f t="shared" si="64"/>
        <v>40.547868263327473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55.930858782406347</v>
      </c>
      <c r="FV112" s="149"/>
      <c r="FY112" s="213">
        <v>107</v>
      </c>
      <c r="FZ112">
        <v>24.598560125255858</v>
      </c>
      <c r="GA112">
        <v>31.934288738585884</v>
      </c>
      <c r="GB112">
        <v>12.508377489255919</v>
      </c>
      <c r="GC112">
        <v>6.9993049376809315</v>
      </c>
      <c r="GD112">
        <v>2.3514603982756768</v>
      </c>
      <c r="GE112">
        <v>1.9721440014720608</v>
      </c>
      <c r="GF112">
        <v>4.0447826622989753</v>
      </c>
      <c r="GG112">
        <v>4.7165381554283545</v>
      </c>
      <c r="GH112">
        <v>2.1611736260621592</v>
      </c>
      <c r="GI112">
        <v>9.3158613096762455</v>
      </c>
      <c r="GJ112"/>
      <c r="GK112"/>
      <c r="GL112"/>
      <c r="GM112"/>
      <c r="GN112" s="208"/>
      <c r="GO112" s="208"/>
      <c r="GP112" s="208"/>
      <c r="GQ112" s="208"/>
      <c r="GR112" s="208"/>
      <c r="GS112" s="208"/>
      <c r="GT112" s="208"/>
      <c r="GU112" s="213">
        <v>107</v>
      </c>
    </row>
    <row r="113" spans="1:203" s="7" customFormat="1">
      <c r="A113" s="1"/>
      <c r="B113" s="76">
        <f ca="1">IF(C113="", "", RAND())</f>
        <v>0.18326826183475609</v>
      </c>
      <c r="C113">
        <v>7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89.26888303619414</v>
      </c>
      <c r="AO113">
        <v>11.582097485403228</v>
      </c>
      <c r="AP113">
        <v>81.655888013286329</v>
      </c>
      <c r="AQ113">
        <v>83.745513318524971</v>
      </c>
      <c r="AR113">
        <v>10.846960316364816</v>
      </c>
      <c r="AS113">
        <v>137.28729794906738</v>
      </c>
      <c r="AT113" t="e">
        <v>#DIV/0!</v>
      </c>
      <c r="AU113" t="e">
        <v>#DIV/0!</v>
      </c>
      <c r="AV113"/>
      <c r="AW113"/>
      <c r="AX113" s="146"/>
      <c r="AY113" s="76">
        <f t="shared" ca="1" si="88"/>
        <v>0.5076965306579666</v>
      </c>
      <c r="AZ113">
        <v>6</v>
      </c>
      <c r="BA113" s="129">
        <f t="shared" si="129"/>
        <v>39714</v>
      </c>
      <c r="BB113" s="207">
        <v>0</v>
      </c>
      <c r="BC113" s="207">
        <v>0</v>
      </c>
      <c r="BD113" s="207">
        <v>0</v>
      </c>
      <c r="BE113" s="207">
        <v>0</v>
      </c>
      <c r="BF113" s="207">
        <v>0</v>
      </c>
      <c r="BG113" s="207">
        <v>0</v>
      </c>
      <c r="BH113" s="207">
        <v>0</v>
      </c>
      <c r="BI113" s="207">
        <v>0</v>
      </c>
      <c r="BJ113" s="207">
        <v>0</v>
      </c>
      <c r="BK113" s="207">
        <v>0</v>
      </c>
      <c r="BL113" s="207">
        <v>0</v>
      </c>
      <c r="BM113" s="207">
        <v>0</v>
      </c>
      <c r="BN113" s="207">
        <v>0</v>
      </c>
      <c r="BO113" s="207">
        <v>0</v>
      </c>
      <c r="BP113" s="207">
        <v>0</v>
      </c>
      <c r="BQ113" s="207">
        <v>0</v>
      </c>
      <c r="BR113" s="207">
        <v>0</v>
      </c>
      <c r="BS113" s="207">
        <v>0</v>
      </c>
      <c r="BT113" s="207">
        <v>0</v>
      </c>
      <c r="BU113" s="207">
        <v>0</v>
      </c>
      <c r="BV113" s="207">
        <v>0</v>
      </c>
      <c r="BW113" s="207">
        <v>0</v>
      </c>
      <c r="BX113" s="207">
        <v>0</v>
      </c>
      <c r="BY113" s="207">
        <v>0</v>
      </c>
      <c r="BZ113" s="207">
        <v>0</v>
      </c>
      <c r="CA113" s="207">
        <v>0</v>
      </c>
      <c r="CB113" s="207">
        <v>0</v>
      </c>
      <c r="CC113" s="207">
        <v>0</v>
      </c>
      <c r="CD113" s="207">
        <v>0</v>
      </c>
      <c r="CE113" s="207">
        <v>0</v>
      </c>
      <c r="CF113" s="207"/>
      <c r="CG113" s="147"/>
      <c r="CH113" s="176"/>
      <c r="CJ113" s="146"/>
      <c r="CK113" s="76">
        <f t="shared" ca="1" si="90"/>
        <v>0.90002028651995958</v>
      </c>
      <c r="CL113" s="179">
        <f t="shared" si="91"/>
        <v>6</v>
      </c>
      <c r="CM113" s="180">
        <f t="shared" si="92"/>
        <v>39714</v>
      </c>
      <c r="CN113" s="208">
        <v>0</v>
      </c>
      <c r="CO113" s="208">
        <v>0</v>
      </c>
      <c r="CP113" s="208">
        <v>0</v>
      </c>
      <c r="CQ113" s="208">
        <v>0</v>
      </c>
      <c r="CR113" s="208">
        <v>0</v>
      </c>
      <c r="CS113" s="208">
        <v>0</v>
      </c>
      <c r="CT113" s="208">
        <v>0</v>
      </c>
      <c r="CU113" s="208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0.55041658914062297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0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0</v>
      </c>
      <c r="FV113" s="149"/>
      <c r="FY113" s="213">
        <v>108</v>
      </c>
      <c r="FZ113">
        <v>30.327920753517894</v>
      </c>
      <c r="GA113">
        <v>37.389266742871513</v>
      </c>
      <c r="GB113">
        <v>10.044071992560051</v>
      </c>
      <c r="GC113">
        <v>6.1540369846305509</v>
      </c>
      <c r="GD113">
        <v>2.5848570432392988</v>
      </c>
      <c r="GE113">
        <v>3.1999371780530872</v>
      </c>
      <c r="GF113">
        <v>3.3803133510125187</v>
      </c>
      <c r="GG113">
        <v>2.5328023306930874</v>
      </c>
      <c r="GH113">
        <v>0.60080431445180338</v>
      </c>
      <c r="GI113">
        <v>9.29928952938225</v>
      </c>
      <c r="GJ113"/>
      <c r="GK113"/>
      <c r="GL113"/>
      <c r="GM113"/>
      <c r="GN113" s="208"/>
      <c r="GO113" s="208"/>
      <c r="GP113" s="208"/>
      <c r="GQ113" s="208"/>
      <c r="GR113" s="208"/>
      <c r="GS113" s="208"/>
      <c r="GT113" s="208"/>
      <c r="GU113" s="213">
        <v>108</v>
      </c>
    </row>
    <row r="114" spans="1:203" s="7" customFormat="1">
      <c r="A114" s="1"/>
      <c r="B114" s="76">
        <f ca="1">IF(C114="", "", RAND())</f>
        <v>9.4468719247309707E-2</v>
      </c>
      <c r="C114">
        <v>6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98.860291362345123</v>
      </c>
      <c r="AO114">
        <v>14.184872746040933</v>
      </c>
      <c r="AP114">
        <v>128.45706226515941</v>
      </c>
      <c r="AQ114">
        <v>115.42499059100395</v>
      </c>
      <c r="AR114">
        <v>13.342590039862735</v>
      </c>
      <c r="AS114">
        <v>164.75086769659188</v>
      </c>
      <c r="AT114" t="e">
        <v>#DIV/0!</v>
      </c>
      <c r="AU114" t="e">
        <v>#DIV/0!</v>
      </c>
      <c r="AV114"/>
      <c r="AW114"/>
      <c r="AX114" s="146"/>
      <c r="AY114" s="76">
        <f t="shared" ca="1" si="88"/>
        <v>0.42847234904083731</v>
      </c>
      <c r="AZ114">
        <v>7</v>
      </c>
      <c r="BA114" s="129">
        <f t="shared" si="129"/>
        <v>39714</v>
      </c>
      <c r="BB114" s="207">
        <v>0</v>
      </c>
      <c r="BC114" s="207">
        <v>0</v>
      </c>
      <c r="BD114" s="207">
        <v>0</v>
      </c>
      <c r="BE114" s="207">
        <v>0</v>
      </c>
      <c r="BF114" s="207">
        <v>0</v>
      </c>
      <c r="BG114" s="207">
        <v>0</v>
      </c>
      <c r="BH114" s="207">
        <v>0</v>
      </c>
      <c r="BI114" s="207">
        <v>0</v>
      </c>
      <c r="BJ114" s="207">
        <v>0</v>
      </c>
      <c r="BK114" s="207">
        <v>0</v>
      </c>
      <c r="BL114" s="207">
        <v>0</v>
      </c>
      <c r="BM114" s="207">
        <v>0</v>
      </c>
      <c r="BN114" s="207">
        <v>0</v>
      </c>
      <c r="BO114" s="207">
        <v>0</v>
      </c>
      <c r="BP114" s="207">
        <v>0</v>
      </c>
      <c r="BQ114" s="207">
        <v>0</v>
      </c>
      <c r="BR114" s="207">
        <v>0</v>
      </c>
      <c r="BS114" s="207">
        <v>0</v>
      </c>
      <c r="BT114" s="207">
        <v>0</v>
      </c>
      <c r="BU114" s="207">
        <v>0</v>
      </c>
      <c r="BV114" s="207">
        <v>0</v>
      </c>
      <c r="BW114" s="207">
        <v>0</v>
      </c>
      <c r="BX114" s="207">
        <v>0</v>
      </c>
      <c r="BY114" s="207">
        <v>0</v>
      </c>
      <c r="BZ114" s="207">
        <v>0</v>
      </c>
      <c r="CA114" s="207">
        <v>0</v>
      </c>
      <c r="CB114" s="207">
        <v>0</v>
      </c>
      <c r="CC114" s="207">
        <v>0</v>
      </c>
      <c r="CD114" s="207">
        <v>0</v>
      </c>
      <c r="CE114" s="207">
        <v>0</v>
      </c>
      <c r="CF114" s="207"/>
      <c r="CG114" s="147"/>
      <c r="CH114" s="176"/>
      <c r="CJ114" s="146"/>
      <c r="CK114" s="76">
        <f t="shared" ca="1" si="90"/>
        <v>0.44405499490863165</v>
      </c>
      <c r="CL114" s="179">
        <f t="shared" si="91"/>
        <v>7</v>
      </c>
      <c r="CM114" s="180">
        <f t="shared" si="92"/>
        <v>39714</v>
      </c>
      <c r="CN114" s="208">
        <v>0</v>
      </c>
      <c r="CO114" s="208">
        <v>0</v>
      </c>
      <c r="CP114" s="208">
        <v>0</v>
      </c>
      <c r="CQ114" s="208">
        <v>0</v>
      </c>
      <c r="CR114" s="208">
        <v>0</v>
      </c>
      <c r="CS114" s="208">
        <v>0</v>
      </c>
      <c r="CT114" s="208">
        <v>0</v>
      </c>
      <c r="CU114" s="208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0.89043772665999099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3">
        <v>109</v>
      </c>
      <c r="FZ114">
        <v>25.008877454619867</v>
      </c>
      <c r="GA114">
        <v>29.47283104084384</v>
      </c>
      <c r="GB114">
        <v>10.991822075339899</v>
      </c>
      <c r="GC114">
        <v>7.0764673093086774</v>
      </c>
      <c r="GD114">
        <v>2.8194362704988114</v>
      </c>
      <c r="GE114">
        <v>2.7625232862007763</v>
      </c>
      <c r="GF114">
        <v>2.7813702505403191</v>
      </c>
      <c r="GG114">
        <v>2.2333855562977378</v>
      </c>
      <c r="GH114">
        <v>0</v>
      </c>
      <c r="GI114">
        <v>8.6190952724186065</v>
      </c>
      <c r="GJ114"/>
      <c r="GK114"/>
      <c r="GL114"/>
      <c r="GM114"/>
      <c r="GN114" s="208"/>
      <c r="GO114" s="208"/>
      <c r="GP114" s="208"/>
      <c r="GQ114" s="208"/>
      <c r="GR114" s="208"/>
      <c r="GS114" s="208"/>
      <c r="GT114" s="208"/>
      <c r="GU114" s="213">
        <v>109</v>
      </c>
    </row>
    <row r="115" spans="1:203" s="7" customFormat="1">
      <c r="A115" s="1"/>
      <c r="B115" s="76">
        <f ca="1">IF(C115="", "", RAND())</f>
        <v>0.16581080845851526</v>
      </c>
      <c r="C115">
        <v>10</v>
      </c>
      <c r="D115">
        <v>39714</v>
      </c>
      <c r="E115">
        <v>0</v>
      </c>
      <c r="F115">
        <v>89.285714285714278</v>
      </c>
      <c r="G115">
        <v>89.285714285714278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94.408976827910649</v>
      </c>
      <c r="AO115">
        <v>13.852719907996283</v>
      </c>
      <c r="AP115">
        <v>72.856573801300598</v>
      </c>
      <c r="AQ115">
        <v>111.08807845854822</v>
      </c>
      <c r="AR115">
        <v>12.787705764936938</v>
      </c>
      <c r="AS115">
        <v>151.63216148136763</v>
      </c>
      <c r="AT115">
        <v>8.2996122424690082</v>
      </c>
      <c r="AU115">
        <v>32.478323765049289</v>
      </c>
      <c r="AV115"/>
      <c r="AW115"/>
      <c r="AX115" s="146"/>
      <c r="AY115" s="76">
        <f t="shared" ca="1" si="88"/>
        <v>0.50357845342665319</v>
      </c>
      <c r="AZ115">
        <v>8</v>
      </c>
      <c r="BA115" s="129">
        <f t="shared" si="129"/>
        <v>39714</v>
      </c>
      <c r="BB115" s="207">
        <v>0</v>
      </c>
      <c r="BC115" s="207">
        <v>0</v>
      </c>
      <c r="BD115" s="207">
        <v>0</v>
      </c>
      <c r="BE115" s="207">
        <v>0</v>
      </c>
      <c r="BF115" s="207">
        <v>0</v>
      </c>
      <c r="BG115" s="207">
        <v>0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M115" s="207">
        <v>0</v>
      </c>
      <c r="BN115" s="207">
        <v>0</v>
      </c>
      <c r="BO115" s="207">
        <v>0</v>
      </c>
      <c r="BP115" s="207">
        <v>0</v>
      </c>
      <c r="BQ115" s="207">
        <v>0</v>
      </c>
      <c r="BR115" s="207">
        <v>0</v>
      </c>
      <c r="BS115" s="207">
        <v>0</v>
      </c>
      <c r="BT115" s="207">
        <v>0</v>
      </c>
      <c r="BU115" s="207">
        <v>0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A115" s="207">
        <v>0</v>
      </c>
      <c r="CB115" s="207">
        <v>0</v>
      </c>
      <c r="CC115" s="207">
        <v>0</v>
      </c>
      <c r="CD115" s="207">
        <v>0</v>
      </c>
      <c r="CE115" s="207">
        <v>0</v>
      </c>
      <c r="CF115" s="207"/>
      <c r="CG115" s="147"/>
      <c r="CH115" s="176"/>
      <c r="CJ115" s="146"/>
      <c r="CK115" s="76">
        <f t="shared" ca="1" si="90"/>
        <v>0.90395424372217592</v>
      </c>
      <c r="CL115" s="179">
        <f t="shared" si="91"/>
        <v>8</v>
      </c>
      <c r="CM115" s="180">
        <f t="shared" si="92"/>
        <v>39714</v>
      </c>
      <c r="CN115" s="208">
        <v>0</v>
      </c>
      <c r="CO115" s="208">
        <v>0</v>
      </c>
      <c r="CP115" s="208">
        <v>0</v>
      </c>
      <c r="CQ115" s="208">
        <v>0</v>
      </c>
      <c r="CR115" s="208">
        <v>0</v>
      </c>
      <c r="CS115" s="208">
        <v>0</v>
      </c>
      <c r="CT115" s="208">
        <v>0</v>
      </c>
      <c r="CU115" s="208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0.52638109747188122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0</v>
      </c>
      <c r="DJ115" s="161">
        <f t="shared" si="99"/>
        <v>0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0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0</v>
      </c>
      <c r="ET115" s="139">
        <f t="shared" si="60"/>
        <v>0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0</v>
      </c>
      <c r="FV115" s="149"/>
      <c r="FY115" s="213">
        <v>110</v>
      </c>
      <c r="FZ115">
        <v>23.502239414208425</v>
      </c>
      <c r="GA115">
        <v>35.747813987203401</v>
      </c>
      <c r="GB115">
        <v>9.8009596226199083</v>
      </c>
      <c r="GC115">
        <v>4.7925842661847851</v>
      </c>
      <c r="GD115">
        <v>2.2028547459046615</v>
      </c>
      <c r="GE115">
        <v>1.8295805042364059</v>
      </c>
      <c r="GF115">
        <v>1.3253805378737145</v>
      </c>
      <c r="GG115">
        <v>0.83560848270201948</v>
      </c>
      <c r="GH115">
        <v>0</v>
      </c>
      <c r="GI115">
        <v>7.4956400990571153</v>
      </c>
      <c r="GJ115"/>
      <c r="GK115"/>
      <c r="GL115"/>
      <c r="GM115"/>
      <c r="GN115" s="208"/>
      <c r="GO115" s="208"/>
      <c r="GP115" s="208"/>
      <c r="GQ115" s="208"/>
      <c r="GR115" s="208"/>
      <c r="GS115" s="208"/>
      <c r="GT115" s="208"/>
      <c r="GU115" s="213">
        <v>110</v>
      </c>
    </row>
    <row r="116" spans="1:203" s="7" customFormat="1">
      <c r="A116" s="1"/>
      <c r="B116" s="76">
        <f ca="1">IF(C116="", "", RAND())</f>
        <v>0.25702083654467511</v>
      </c>
      <c r="C116">
        <v>1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78.348744895467775</v>
      </c>
      <c r="AO116">
        <v>14.020784228490836</v>
      </c>
      <c r="AP116">
        <v>74.86085557847538</v>
      </c>
      <c r="AQ116">
        <v>105.82808663572047</v>
      </c>
      <c r="AR116">
        <v>12.993977060685365</v>
      </c>
      <c r="AS116">
        <v>139.82831551608564</v>
      </c>
      <c r="AT116">
        <v>8.0555432723951856</v>
      </c>
      <c r="AU116">
        <v>22.969718589005886</v>
      </c>
      <c r="AV116"/>
      <c r="AW116"/>
      <c r="AX116" s="146"/>
      <c r="AY116" s="76">
        <f t="shared" ca="1" si="88"/>
        <v>0.92310373213524777</v>
      </c>
      <c r="AZ116">
        <v>9</v>
      </c>
      <c r="BA116" s="129">
        <f t="shared" si="129"/>
        <v>39714</v>
      </c>
      <c r="BB116" s="207">
        <v>0</v>
      </c>
      <c r="BC116" s="207">
        <v>0</v>
      </c>
      <c r="BD116" s="207">
        <v>0</v>
      </c>
      <c r="BE116" s="207">
        <v>0</v>
      </c>
      <c r="BF116" s="207">
        <v>0</v>
      </c>
      <c r="BG116" s="207">
        <v>0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M116" s="207">
        <v>0</v>
      </c>
      <c r="BN116" s="207">
        <v>0</v>
      </c>
      <c r="BO116" s="207">
        <v>0</v>
      </c>
      <c r="BP116" s="207">
        <v>0</v>
      </c>
      <c r="BQ116" s="207">
        <v>0</v>
      </c>
      <c r="BR116" s="207">
        <v>0</v>
      </c>
      <c r="BS116" s="207">
        <v>0</v>
      </c>
      <c r="BT116" s="207">
        <v>0</v>
      </c>
      <c r="BU116" s="207">
        <v>0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A116" s="207">
        <v>0</v>
      </c>
      <c r="CB116" s="207">
        <v>0</v>
      </c>
      <c r="CC116" s="207">
        <v>0</v>
      </c>
      <c r="CD116" s="207">
        <v>0</v>
      </c>
      <c r="CE116" s="207">
        <v>0</v>
      </c>
      <c r="CF116" s="207"/>
      <c r="CG116" s="147"/>
      <c r="CH116" s="176"/>
      <c r="CJ116" s="146"/>
      <c r="CK116" s="76">
        <f t="shared" ca="1" si="90"/>
        <v>0.7859790362553567</v>
      </c>
      <c r="CL116" s="179">
        <f t="shared" si="91"/>
        <v>9</v>
      </c>
      <c r="CM116" s="180">
        <f t="shared" si="92"/>
        <v>39714</v>
      </c>
      <c r="CN116" s="208">
        <v>0</v>
      </c>
      <c r="CO116" s="208">
        <v>0</v>
      </c>
      <c r="CP116" s="208">
        <v>0</v>
      </c>
      <c r="CQ116" s="208">
        <v>0</v>
      </c>
      <c r="CR116" s="208">
        <v>0</v>
      </c>
      <c r="CS116" s="208">
        <v>0</v>
      </c>
      <c r="CT116" s="208">
        <v>0</v>
      </c>
      <c r="CU116" s="208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0.54692310969744828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0</v>
      </c>
      <c r="DJ116" s="161">
        <f t="shared" si="99"/>
        <v>0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0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0</v>
      </c>
      <c r="ET116" s="139">
        <f t="shared" si="60"/>
        <v>0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0</v>
      </c>
      <c r="FV116" s="149"/>
      <c r="FY116" s="213">
        <v>111</v>
      </c>
      <c r="FZ116">
        <v>51.208262235570842</v>
      </c>
      <c r="GA116">
        <v>60.916145654709418</v>
      </c>
      <c r="GB116">
        <v>10.927603517311265</v>
      </c>
      <c r="GC116">
        <v>6.8934735265940832</v>
      </c>
      <c r="GD116">
        <v>2.5798740373116238</v>
      </c>
      <c r="GE116">
        <v>2.5839898555906045</v>
      </c>
      <c r="GF116">
        <v>1.8649574692323403</v>
      </c>
      <c r="GG116">
        <v>2.5879574784928576</v>
      </c>
      <c r="GH116">
        <v>3.3627822549657664</v>
      </c>
      <c r="GI116">
        <v>12.807781956498934</v>
      </c>
      <c r="GJ116"/>
      <c r="GK116"/>
      <c r="GL116"/>
      <c r="GM116"/>
      <c r="GN116" s="208"/>
      <c r="GO116" s="208"/>
      <c r="GP116" s="208"/>
      <c r="GQ116" s="208"/>
      <c r="GR116" s="208"/>
      <c r="GS116" s="208"/>
      <c r="GT116" s="208"/>
      <c r="GU116" s="213">
        <v>111</v>
      </c>
    </row>
    <row r="117" spans="1:203" s="7" customFormat="1">
      <c r="A117" s="1"/>
      <c r="B117" s="76">
        <f ca="1">IF(C117="", "", RAND())</f>
        <v>0.55162158804700656</v>
      </c>
      <c r="C117">
        <v>2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50.538725490196079</v>
      </c>
      <c r="AO117">
        <v>6.7251398639233555</v>
      </c>
      <c r="AP117">
        <v>26.584348829350194</v>
      </c>
      <c r="AQ117">
        <v>44.666882173950583</v>
      </c>
      <c r="AR117">
        <v>6.228281532722943</v>
      </c>
      <c r="AS117">
        <v>87.970683283536786</v>
      </c>
      <c r="AT117" t="e">
        <v>#DIV/0!</v>
      </c>
      <c r="AU117" t="e">
        <v>#DIV/0!</v>
      </c>
      <c r="AV117"/>
      <c r="AW117"/>
      <c r="AX117" s="146"/>
      <c r="AY117" s="76">
        <f t="shared" ca="1" si="88"/>
        <v>0.85340824597749809</v>
      </c>
      <c r="AZ117">
        <v>10</v>
      </c>
      <c r="BA117" s="129">
        <f t="shared" si="129"/>
        <v>39714</v>
      </c>
      <c r="BB117" s="207">
        <v>0</v>
      </c>
      <c r="BC117" s="207">
        <v>0</v>
      </c>
      <c r="BD117" s="207">
        <v>0</v>
      </c>
      <c r="BE117" s="207">
        <v>0</v>
      </c>
      <c r="BF117" s="207">
        <v>0</v>
      </c>
      <c r="BG117" s="207">
        <v>0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M117" s="207">
        <v>0</v>
      </c>
      <c r="BN117" s="207">
        <v>0</v>
      </c>
      <c r="BO117" s="207">
        <v>0</v>
      </c>
      <c r="BP117" s="207">
        <v>0</v>
      </c>
      <c r="BQ117" s="207">
        <v>0</v>
      </c>
      <c r="BR117" s="207">
        <v>0</v>
      </c>
      <c r="BS117" s="207">
        <v>0</v>
      </c>
      <c r="BT117" s="207">
        <v>0</v>
      </c>
      <c r="BU117" s="207">
        <v>0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A117" s="207">
        <v>0</v>
      </c>
      <c r="CB117" s="207">
        <v>0</v>
      </c>
      <c r="CC117" s="207">
        <v>0</v>
      </c>
      <c r="CD117" s="207">
        <v>0</v>
      </c>
      <c r="CE117" s="207">
        <v>0</v>
      </c>
      <c r="CF117" s="207"/>
      <c r="CG117" s="147"/>
      <c r="CH117" s="176"/>
      <c r="CJ117" s="146"/>
      <c r="CK117" s="76">
        <f t="shared" ca="1" si="90"/>
        <v>0.45143487236047974</v>
      </c>
      <c r="CL117" s="179">
        <f t="shared" si="91"/>
        <v>10</v>
      </c>
      <c r="CM117" s="180">
        <f t="shared" si="92"/>
        <v>39714</v>
      </c>
      <c r="CN117" s="208">
        <v>0</v>
      </c>
      <c r="CO117" s="208">
        <v>1</v>
      </c>
      <c r="CP117" s="208">
        <v>1</v>
      </c>
      <c r="CQ117" s="208">
        <v>0</v>
      </c>
      <c r="CR117" s="208">
        <v>0</v>
      </c>
      <c r="CS117" s="208">
        <v>0</v>
      </c>
      <c r="CT117" s="208">
        <v>0</v>
      </c>
      <c r="CU117" s="208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0.51657279061394323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89.285714285714278</v>
      </c>
      <c r="DH117" s="161">
        <f t="shared" si="97"/>
        <v>89.285714285714278</v>
      </c>
      <c r="DI117" s="161">
        <f t="shared" si="98"/>
        <v>0</v>
      </c>
      <c r="DJ117" s="161">
        <f t="shared" si="99"/>
        <v>0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178.57142857142856</v>
      </c>
      <c r="EL117" s="149"/>
      <c r="EN117" s="146"/>
      <c r="EO117" s="146"/>
      <c r="EP117" s="139">
        <f t="shared" si="56"/>
        <v>0</v>
      </c>
      <c r="EQ117" s="139">
        <f t="shared" si="57"/>
        <v>0.64532142857142849</v>
      </c>
      <c r="ER117" s="139">
        <f t="shared" si="58"/>
        <v>4.1672332043504552</v>
      </c>
      <c r="ES117" s="139">
        <f t="shared" si="59"/>
        <v>0</v>
      </c>
      <c r="ET117" s="139">
        <f t="shared" si="60"/>
        <v>0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4.8125546329218833</v>
      </c>
      <c r="FV117" s="149"/>
      <c r="FY117" s="213">
        <v>112</v>
      </c>
      <c r="FZ117">
        <v>25.952243463911653</v>
      </c>
      <c r="GA117">
        <v>29.313907409005495</v>
      </c>
      <c r="GB117">
        <v>4.7080384028096756</v>
      </c>
      <c r="GC117">
        <v>4.7544133119933578</v>
      </c>
      <c r="GD117">
        <v>2.7891312809593707</v>
      </c>
      <c r="GE117">
        <v>2.5633585728265964</v>
      </c>
      <c r="GF117">
        <v>1.790353170919019</v>
      </c>
      <c r="GG117">
        <v>3.5637884733424716</v>
      </c>
      <c r="GH117">
        <v>3.1207386232207117</v>
      </c>
      <c r="GI117">
        <v>7.4503340220235605</v>
      </c>
      <c r="GJ117"/>
      <c r="GK117"/>
      <c r="GL117"/>
      <c r="GM117"/>
      <c r="GN117" s="208"/>
      <c r="GO117" s="208"/>
      <c r="GP117" s="208"/>
      <c r="GQ117" s="208"/>
      <c r="GR117" s="208"/>
      <c r="GS117" s="208"/>
      <c r="GT117" s="208"/>
      <c r="GU117" s="213">
        <v>112</v>
      </c>
    </row>
    <row r="118" spans="1:203" s="7" customFormat="1">
      <c r="A118" s="128"/>
      <c r="B118" s="76">
        <f ca="1">IF(C118="", "", RAND())</f>
        <v>0.27601463111383318</v>
      </c>
      <c r="C118">
        <v>5</v>
      </c>
      <c r="D118">
        <v>39747</v>
      </c>
      <c r="E118">
        <v>0</v>
      </c>
      <c r="F118">
        <v>110.47979797979797</v>
      </c>
      <c r="G118">
        <v>552.39898989898995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117.95784280187169</v>
      </c>
      <c r="AO118">
        <v>17.468576125779546</v>
      </c>
      <c r="AP118">
        <v>148.26158708698995</v>
      </c>
      <c r="AQ118">
        <v>146.61772338509405</v>
      </c>
      <c r="AR118">
        <v>16.170571102541157</v>
      </c>
      <c r="AS118">
        <v>190.650380651392</v>
      </c>
      <c r="AT118">
        <v>11.281191740445825</v>
      </c>
      <c r="AU118">
        <v>-7.7283890157481432</v>
      </c>
      <c r="AV118"/>
      <c r="AW118"/>
      <c r="AX118" s="128"/>
      <c r="AY118" s="76">
        <f t="shared" ca="1" si="88"/>
        <v>0.29288510500515574</v>
      </c>
      <c r="AZ118">
        <v>1</v>
      </c>
      <c r="BA118" s="129">
        <f>IF(AZ118="", "",$C$7)</f>
        <v>39747</v>
      </c>
      <c r="BB118" s="207">
        <v>0</v>
      </c>
      <c r="BC118" s="207">
        <v>0</v>
      </c>
      <c r="BD118" s="207">
        <v>0</v>
      </c>
      <c r="BE118" s="207">
        <v>0</v>
      </c>
      <c r="BF118" s="207">
        <v>0</v>
      </c>
      <c r="BG118" s="207">
        <v>0</v>
      </c>
      <c r="BH118" s="207">
        <v>0</v>
      </c>
      <c r="BI118" s="207">
        <v>0</v>
      </c>
      <c r="BJ118" s="207">
        <v>0</v>
      </c>
      <c r="BK118" s="207">
        <v>0</v>
      </c>
      <c r="BL118" s="207">
        <v>0</v>
      </c>
      <c r="BM118" s="207">
        <v>0</v>
      </c>
      <c r="BN118" s="207">
        <v>0</v>
      </c>
      <c r="BO118" s="207">
        <v>0</v>
      </c>
      <c r="BP118" s="207">
        <v>0</v>
      </c>
      <c r="BQ118" s="207">
        <v>0</v>
      </c>
      <c r="BR118" s="207">
        <v>0</v>
      </c>
      <c r="BS118" s="207">
        <v>0</v>
      </c>
      <c r="BT118" s="207">
        <v>0</v>
      </c>
      <c r="BU118" s="207">
        <v>0</v>
      </c>
      <c r="BV118" s="207">
        <v>0</v>
      </c>
      <c r="BW118" s="207">
        <v>0</v>
      </c>
      <c r="BX118" s="207">
        <v>0</v>
      </c>
      <c r="BY118" s="207">
        <v>0</v>
      </c>
      <c r="BZ118" s="207">
        <v>0</v>
      </c>
      <c r="CA118" s="207">
        <v>0</v>
      </c>
      <c r="CB118" s="207">
        <v>0</v>
      </c>
      <c r="CC118" s="207">
        <v>0</v>
      </c>
      <c r="CD118" s="207">
        <v>0</v>
      </c>
      <c r="CE118" s="207">
        <v>0</v>
      </c>
      <c r="CF118" s="207"/>
      <c r="CG118" s="147"/>
      <c r="CH118" s="176"/>
      <c r="CJ118" s="128"/>
      <c r="CK118" s="76">
        <f t="shared" ca="1" si="90"/>
        <v>0.11299544421627994</v>
      </c>
      <c r="CL118" s="179">
        <f t="shared" si="91"/>
        <v>1</v>
      </c>
      <c r="CM118" s="180">
        <f t="shared" si="92"/>
        <v>39747</v>
      </c>
      <c r="CN118" s="208">
        <v>0</v>
      </c>
      <c r="CO118" s="208">
        <v>0</v>
      </c>
      <c r="CP118" s="208">
        <v>2</v>
      </c>
      <c r="CQ118" s="208">
        <v>0</v>
      </c>
      <c r="CR118" s="208">
        <v>0</v>
      </c>
      <c r="CS118" s="208">
        <v>0</v>
      </c>
      <c r="CT118" s="208">
        <v>0</v>
      </c>
      <c r="CU118" s="20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0.14826983406725369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0</v>
      </c>
      <c r="DH118" s="161">
        <f t="shared" si="97"/>
        <v>173.61111111111111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173.61111111111111</v>
      </c>
      <c r="EL118" s="149"/>
      <c r="EN118" s="146"/>
      <c r="EO118" s="146"/>
      <c r="EP118" s="139">
        <f t="shared" si="56"/>
        <v>0</v>
      </c>
      <c r="EQ118" s="139">
        <f t="shared" si="57"/>
        <v>0</v>
      </c>
      <c r="ER118" s="139">
        <f t="shared" si="58"/>
        <v>8.1029534529036642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8.1029534529036642</v>
      </c>
      <c r="FV118" s="149"/>
      <c r="FY118" s="213">
        <v>113</v>
      </c>
      <c r="FZ118">
        <v>29.641659108344442</v>
      </c>
      <c r="GA118">
        <v>32.991036515930048</v>
      </c>
      <c r="GB118">
        <v>3.1864824405651224</v>
      </c>
      <c r="GC118">
        <v>2.6413192086894433</v>
      </c>
      <c r="GD118">
        <v>1.5132504204186843</v>
      </c>
      <c r="GE118">
        <v>1.5894661891230517</v>
      </c>
      <c r="GF118">
        <v>2.6044107466483783</v>
      </c>
      <c r="GG118">
        <v>3.34398810629488</v>
      </c>
      <c r="GH118">
        <v>1.5603693116103559</v>
      </c>
      <c r="GI118">
        <v>6.8044030954823702</v>
      </c>
      <c r="GJ118"/>
      <c r="GK118"/>
      <c r="GL118"/>
      <c r="GM118"/>
      <c r="GN118" s="208"/>
      <c r="GO118" s="208"/>
      <c r="GP118" s="208"/>
      <c r="GQ118" s="208"/>
      <c r="GR118" s="208"/>
      <c r="GS118" s="208"/>
      <c r="GT118" s="208"/>
      <c r="GU118" s="213">
        <v>113</v>
      </c>
    </row>
    <row r="119" spans="1:203" s="7" customFormat="1">
      <c r="A119" s="1"/>
      <c r="B119" s="76">
        <f ca="1">IF(C119="", "", RAND())</f>
        <v>0.90874285056713977</v>
      </c>
      <c r="C119">
        <v>2</v>
      </c>
      <c r="D119">
        <v>39747</v>
      </c>
      <c r="E119">
        <v>0</v>
      </c>
      <c r="F119">
        <v>273.4375</v>
      </c>
      <c r="G119">
        <v>273.4375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99.770633899006114</v>
      </c>
      <c r="AO119">
        <v>13.172188720722712</v>
      </c>
      <c r="AP119">
        <v>76.608122985267514</v>
      </c>
      <c r="AQ119">
        <v>108.79714797567874</v>
      </c>
      <c r="AR119">
        <v>12.221531378274364</v>
      </c>
      <c r="AS119">
        <v>170.91464253340365</v>
      </c>
      <c r="AT119" t="e">
        <v>#DIV/0!</v>
      </c>
      <c r="AU119" t="e">
        <v>#DIV/0!</v>
      </c>
      <c r="AV119"/>
      <c r="AW119"/>
      <c r="AX119" s="146"/>
      <c r="AY119" s="76">
        <f t="shared" ca="1" si="88"/>
        <v>0.61544912159381604</v>
      </c>
      <c r="AZ119">
        <v>2</v>
      </c>
      <c r="BA119" s="129">
        <f t="shared" ref="BA119:BA127" si="131">IF(AZ119="", "",$C$7)</f>
        <v>39747</v>
      </c>
      <c r="BB119" s="207">
        <v>0</v>
      </c>
      <c r="BC119" s="207">
        <v>0</v>
      </c>
      <c r="BD119" s="207">
        <v>0</v>
      </c>
      <c r="BE119" s="207">
        <v>0</v>
      </c>
      <c r="BF119" s="207">
        <v>0</v>
      </c>
      <c r="BG119" s="207">
        <v>0</v>
      </c>
      <c r="BH119" s="207">
        <v>0</v>
      </c>
      <c r="BI119" s="207">
        <v>0</v>
      </c>
      <c r="BJ119" s="207">
        <v>0</v>
      </c>
      <c r="BK119" s="207">
        <v>0</v>
      </c>
      <c r="BL119" s="207">
        <v>0</v>
      </c>
      <c r="BM119" s="207">
        <v>0</v>
      </c>
      <c r="BN119" s="207">
        <v>0</v>
      </c>
      <c r="BO119" s="207">
        <v>0</v>
      </c>
      <c r="BP119" s="207">
        <v>0</v>
      </c>
      <c r="BQ119" s="207">
        <v>0</v>
      </c>
      <c r="BR119" s="207">
        <v>0</v>
      </c>
      <c r="BS119" s="207">
        <v>0</v>
      </c>
      <c r="BT119" s="207">
        <v>0</v>
      </c>
      <c r="BU119" s="207">
        <v>0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A119" s="207">
        <v>0</v>
      </c>
      <c r="CB119" s="207">
        <v>0</v>
      </c>
      <c r="CC119" s="207">
        <v>0</v>
      </c>
      <c r="CD119" s="207">
        <v>0</v>
      </c>
      <c r="CE119" s="207">
        <v>0</v>
      </c>
      <c r="CF119" s="207"/>
      <c r="CG119" s="147"/>
      <c r="CH119" s="176"/>
      <c r="CJ119" s="146"/>
      <c r="CK119" s="76">
        <f t="shared" ca="1" si="90"/>
        <v>0.48602583893261753</v>
      </c>
      <c r="CL119" s="179">
        <f t="shared" si="91"/>
        <v>2</v>
      </c>
      <c r="CM119" s="180">
        <f t="shared" si="92"/>
        <v>39747</v>
      </c>
      <c r="CN119" s="208">
        <v>0</v>
      </c>
      <c r="CO119" s="208">
        <v>3</v>
      </c>
      <c r="CP119" s="208">
        <v>3</v>
      </c>
      <c r="CQ119" s="208">
        <v>0</v>
      </c>
      <c r="CR119" s="208">
        <v>0</v>
      </c>
      <c r="CS119" s="208">
        <v>0</v>
      </c>
      <c r="CT119" s="208">
        <v>0</v>
      </c>
      <c r="CU119" s="208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0.71029755475112832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273.4375</v>
      </c>
      <c r="DH119" s="161">
        <f t="shared" si="97"/>
        <v>273.4375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546.875</v>
      </c>
      <c r="EL119" s="149"/>
      <c r="EN119" s="146"/>
      <c r="EO119" s="146"/>
      <c r="EP119" s="139">
        <f t="shared" si="56"/>
        <v>0</v>
      </c>
      <c r="EQ119" s="139">
        <f t="shared" si="57"/>
        <v>1.9762968749999998</v>
      </c>
      <c r="ER119" s="139">
        <f t="shared" si="58"/>
        <v>12.76215168832327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14.738448563323269</v>
      </c>
      <c r="FV119" s="149"/>
      <c r="FY119" s="213">
        <v>114</v>
      </c>
      <c r="FZ119">
        <v>46.019699431230016</v>
      </c>
      <c r="GA119">
        <v>53.023985709463972</v>
      </c>
      <c r="GB119">
        <v>5.0531862567602293</v>
      </c>
      <c r="GC119">
        <v>4.8963026487889758</v>
      </c>
      <c r="GD119">
        <v>2.5014817575464967</v>
      </c>
      <c r="GE119">
        <v>1.7647242434837827</v>
      </c>
      <c r="GF119">
        <v>1.7000576776572076</v>
      </c>
      <c r="GG119">
        <v>3.6491215607703049</v>
      </c>
      <c r="GH119">
        <v>5.5239558810279252</v>
      </c>
      <c r="GI119">
        <v>10.679351819535702</v>
      </c>
      <c r="GJ119"/>
      <c r="GK119"/>
      <c r="GL119"/>
      <c r="GM119"/>
      <c r="GN119" s="208"/>
      <c r="GO119" s="208"/>
      <c r="GP119" s="208"/>
      <c r="GQ119" s="208"/>
      <c r="GR119" s="208"/>
      <c r="GS119" s="208"/>
      <c r="GT119" s="208"/>
      <c r="GU119" s="213">
        <v>114</v>
      </c>
    </row>
    <row r="120" spans="1:203" s="7" customFormat="1">
      <c r="A120" s="1"/>
      <c r="B120" s="76">
        <f ca="1">IF(C120="", "", RAND())</f>
        <v>0.67356123167069426</v>
      </c>
      <c r="C120">
        <v>7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98.386034973966005</v>
      </c>
      <c r="AO120">
        <v>10.649806515179652</v>
      </c>
      <c r="AP120">
        <v>54.504753977929006</v>
      </c>
      <c r="AQ120">
        <v>73.990338865660675</v>
      </c>
      <c r="AR120">
        <v>9.7812382162878233</v>
      </c>
      <c r="AS120">
        <v>135.70167989445258</v>
      </c>
      <c r="AT120">
        <v>6.5908340115825821</v>
      </c>
      <c r="AU120">
        <v>5.06944015405388</v>
      </c>
      <c r="AV120"/>
      <c r="AW120"/>
      <c r="AX120" s="146"/>
      <c r="AY120" s="76">
        <f t="shared" ca="1" si="88"/>
        <v>0.65414084689857432</v>
      </c>
      <c r="AZ120">
        <v>3</v>
      </c>
      <c r="BA120" s="129">
        <f t="shared" si="131"/>
        <v>39747</v>
      </c>
      <c r="BB120" s="207">
        <v>0</v>
      </c>
      <c r="BC120" s="207">
        <v>0</v>
      </c>
      <c r="BD120" s="207">
        <v>0</v>
      </c>
      <c r="BE120" s="207">
        <v>1</v>
      </c>
      <c r="BF120" s="207">
        <v>0</v>
      </c>
      <c r="BG120" s="207">
        <v>0</v>
      </c>
      <c r="BH120" s="207">
        <v>0</v>
      </c>
      <c r="BI120" s="207">
        <v>0</v>
      </c>
      <c r="BJ120" s="207">
        <v>0</v>
      </c>
      <c r="BK120" s="207">
        <v>0</v>
      </c>
      <c r="BL120" s="207">
        <v>0</v>
      </c>
      <c r="BM120" s="207">
        <v>0</v>
      </c>
      <c r="BN120" s="207">
        <v>0</v>
      </c>
      <c r="BO120" s="207">
        <v>0</v>
      </c>
      <c r="BP120" s="207">
        <v>0</v>
      </c>
      <c r="BQ120" s="207">
        <v>0</v>
      </c>
      <c r="BR120" s="207">
        <v>0</v>
      </c>
      <c r="BS120" s="207">
        <v>0</v>
      </c>
      <c r="BT120" s="207">
        <v>0</v>
      </c>
      <c r="BU120" s="207">
        <v>0</v>
      </c>
      <c r="BV120" s="207">
        <v>0</v>
      </c>
      <c r="BW120" s="207">
        <v>0</v>
      </c>
      <c r="BX120" s="207">
        <v>0</v>
      </c>
      <c r="BY120" s="207">
        <v>0</v>
      </c>
      <c r="BZ120" s="207">
        <v>0</v>
      </c>
      <c r="CA120" s="207">
        <v>0</v>
      </c>
      <c r="CB120" s="207">
        <v>0</v>
      </c>
      <c r="CC120" s="207">
        <v>0</v>
      </c>
      <c r="CD120" s="207">
        <v>0</v>
      </c>
      <c r="CE120" s="207">
        <v>0</v>
      </c>
      <c r="CF120" s="207"/>
      <c r="CG120" s="147"/>
      <c r="CH120" s="176"/>
      <c r="CJ120" s="146"/>
      <c r="CK120" s="76">
        <f t="shared" ca="1" si="90"/>
        <v>0.1208577251142815</v>
      </c>
      <c r="CL120" s="179">
        <f t="shared" si="91"/>
        <v>3</v>
      </c>
      <c r="CM120" s="180">
        <f t="shared" si="92"/>
        <v>39747</v>
      </c>
      <c r="CN120" s="208">
        <v>0</v>
      </c>
      <c r="CO120" s="208">
        <v>0</v>
      </c>
      <c r="CP120" s="208">
        <v>0</v>
      </c>
      <c r="CQ120" s="208">
        <v>0</v>
      </c>
      <c r="CR120" s="208">
        <v>0</v>
      </c>
      <c r="CS120" s="208">
        <v>0</v>
      </c>
      <c r="CT120" s="208">
        <v>0</v>
      </c>
      <c r="CU120" s="208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0.81693807611137892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10.416666666666666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2">IF(DF120="", "", SUM(DF120:EJ120))</f>
        <v>10.416666666666666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1.4476253266872796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1.4476253266872796</v>
      </c>
      <c r="FV120" s="149"/>
      <c r="FY120" s="213">
        <v>115</v>
      </c>
      <c r="FZ120">
        <v>22.408891099965079</v>
      </c>
      <c r="GA120">
        <v>24.081788662915301</v>
      </c>
      <c r="GB120">
        <v>7.5192602396716675</v>
      </c>
      <c r="GC120">
        <v>5.3990414146994929</v>
      </c>
      <c r="GD120">
        <v>2.1209500236427257</v>
      </c>
      <c r="GE120">
        <v>2.7036270574173313</v>
      </c>
      <c r="GF120">
        <v>3.3243084745329492</v>
      </c>
      <c r="GG120">
        <v>2.3177030625207773</v>
      </c>
      <c r="GH120">
        <v>0</v>
      </c>
      <c r="GI120">
        <v>6.9970597559994863</v>
      </c>
      <c r="GJ120"/>
      <c r="GK120"/>
      <c r="GL120"/>
      <c r="GM120"/>
      <c r="GN120" s="208"/>
      <c r="GO120" s="208"/>
      <c r="GP120" s="208"/>
      <c r="GQ120" s="208"/>
      <c r="GR120" s="208"/>
      <c r="GS120" s="208"/>
      <c r="GT120" s="208"/>
      <c r="GU120" s="213">
        <v>115</v>
      </c>
    </row>
    <row r="121" spans="1:203" s="7" customFormat="1">
      <c r="A121" s="1"/>
      <c r="B121" s="76">
        <f ca="1">IF(C121="", "", RAND())</f>
        <v>0.51251475849699535</v>
      </c>
      <c r="C121">
        <v>1</v>
      </c>
      <c r="D121">
        <v>39747</v>
      </c>
      <c r="E121">
        <v>0</v>
      </c>
      <c r="F121">
        <v>0</v>
      </c>
      <c r="G121">
        <v>173.61111111111111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94.248123396868337</v>
      </c>
      <c r="AO121">
        <v>13.577811490753209</v>
      </c>
      <c r="AP121">
        <v>66.23328466902214</v>
      </c>
      <c r="AQ121">
        <v>103.44514004537281</v>
      </c>
      <c r="AR121">
        <v>12.634826167153799</v>
      </c>
      <c r="AS121">
        <v>155.03807969602732</v>
      </c>
      <c r="AT121">
        <v>7.8979577557372638</v>
      </c>
      <c r="AU121">
        <v>15.62767588904974</v>
      </c>
      <c r="AV121"/>
      <c r="AW121"/>
      <c r="AX121" s="146"/>
      <c r="AY121" s="76">
        <f t="shared" ca="1" si="88"/>
        <v>0.68845494695438503</v>
      </c>
      <c r="AZ121">
        <v>4</v>
      </c>
      <c r="BA121" s="129">
        <f t="shared" si="131"/>
        <v>39747</v>
      </c>
      <c r="BB121" s="207">
        <v>0</v>
      </c>
      <c r="BC121" s="207">
        <v>0</v>
      </c>
      <c r="BD121" s="207">
        <v>0</v>
      </c>
      <c r="BE121" s="207">
        <v>0</v>
      </c>
      <c r="BF121" s="207">
        <v>0</v>
      </c>
      <c r="BG121" s="207">
        <v>1</v>
      </c>
      <c r="BH121" s="207">
        <v>0</v>
      </c>
      <c r="BI121" s="207">
        <v>0</v>
      </c>
      <c r="BJ121" s="207">
        <v>0</v>
      </c>
      <c r="BK121" s="207">
        <v>0</v>
      </c>
      <c r="BL121" s="207">
        <v>0</v>
      </c>
      <c r="BM121" s="207">
        <v>0</v>
      </c>
      <c r="BN121" s="207">
        <v>0</v>
      </c>
      <c r="BO121" s="207">
        <v>0</v>
      </c>
      <c r="BP121" s="207">
        <v>0</v>
      </c>
      <c r="BQ121" s="207">
        <v>0</v>
      </c>
      <c r="BR121" s="207">
        <v>0</v>
      </c>
      <c r="BS121" s="207">
        <v>0</v>
      </c>
      <c r="BT121" s="207">
        <v>0</v>
      </c>
      <c r="BU121" s="207">
        <v>0</v>
      </c>
      <c r="BV121" s="207">
        <v>0</v>
      </c>
      <c r="BW121" s="207">
        <v>0</v>
      </c>
      <c r="BX121" s="207">
        <v>0</v>
      </c>
      <c r="BY121" s="207">
        <v>0</v>
      </c>
      <c r="BZ121" s="207">
        <v>0</v>
      </c>
      <c r="CA121" s="207">
        <v>0</v>
      </c>
      <c r="CB121" s="207">
        <v>0</v>
      </c>
      <c r="CC121" s="207">
        <v>0</v>
      </c>
      <c r="CD121" s="207">
        <v>0</v>
      </c>
      <c r="CE121" s="207">
        <v>0</v>
      </c>
      <c r="CF121" s="207"/>
      <c r="CG121" s="147"/>
      <c r="CH121" s="176"/>
      <c r="CJ121" s="146"/>
      <c r="CK121" s="76">
        <f t="shared" ca="1" si="90"/>
        <v>0.68180682694178074</v>
      </c>
      <c r="CL121" s="179">
        <f t="shared" si="91"/>
        <v>4</v>
      </c>
      <c r="CM121" s="180">
        <f t="shared" si="92"/>
        <v>39747</v>
      </c>
      <c r="CN121" s="208">
        <v>0</v>
      </c>
      <c r="CO121" s="208">
        <v>4</v>
      </c>
      <c r="CP121" s="208">
        <v>4</v>
      </c>
      <c r="CQ121" s="208">
        <v>3</v>
      </c>
      <c r="CR121" s="208">
        <v>0</v>
      </c>
      <c r="CS121" s="208">
        <v>0</v>
      </c>
      <c r="CT121" s="208">
        <v>0</v>
      </c>
      <c r="CU121" s="208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0.60622662353882872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251.43678160919538</v>
      </c>
      <c r="DH121" s="161">
        <f t="shared" si="97"/>
        <v>251.43678160919538</v>
      </c>
      <c r="DI121" s="161">
        <f t="shared" si="98"/>
        <v>188.57758620689654</v>
      </c>
      <c r="DJ121" s="161">
        <f t="shared" si="99"/>
        <v>0</v>
      </c>
      <c r="DK121" s="161">
        <f t="shared" si="100"/>
        <v>28.409090909090907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2"/>
        <v>719.8602403343782</v>
      </c>
      <c r="EL121" s="149"/>
      <c r="EN121" s="146"/>
      <c r="EO121" s="146"/>
      <c r="EP121" s="139">
        <f t="shared" si="133"/>
        <v>0</v>
      </c>
      <c r="EQ121" s="139">
        <f t="shared" si="134"/>
        <v>1.8172844827586205</v>
      </c>
      <c r="ER121" s="139">
        <f t="shared" si="135"/>
        <v>11.735311897308753</v>
      </c>
      <c r="ES121" s="139">
        <f t="shared" si="136"/>
        <v>26.207010224511098</v>
      </c>
      <c r="ET121" s="139">
        <f t="shared" si="137"/>
        <v>0</v>
      </c>
      <c r="EU121" s="139">
        <f t="shared" si="138"/>
        <v>15.609167011502043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55.368773616080517</v>
      </c>
      <c r="FV121" s="149"/>
      <c r="FY121" s="213">
        <v>116</v>
      </c>
      <c r="FZ121">
        <v>41.76430342607344</v>
      </c>
      <c r="GA121">
        <v>48.2756962115267</v>
      </c>
      <c r="GB121">
        <v>7.5613430217856923</v>
      </c>
      <c r="GC121">
        <v>4.8073807684878505</v>
      </c>
      <c r="GD121">
        <v>1.9386232987309633</v>
      </c>
      <c r="GE121">
        <v>2.9258238140750499</v>
      </c>
      <c r="GF121">
        <v>5.7779283742702798</v>
      </c>
      <c r="GG121">
        <v>4.3814380251676415</v>
      </c>
      <c r="GH121">
        <v>0</v>
      </c>
      <c r="GI121">
        <v>10.274874147100517</v>
      </c>
      <c r="GJ121"/>
      <c r="GK121"/>
      <c r="GL121"/>
      <c r="GM121"/>
      <c r="GN121" s="208"/>
      <c r="GO121" s="208"/>
      <c r="GP121" s="208"/>
      <c r="GQ121" s="208"/>
      <c r="GR121" s="208"/>
      <c r="GS121" s="208"/>
      <c r="GT121" s="208"/>
      <c r="GU121" s="213">
        <v>116</v>
      </c>
    </row>
    <row r="122" spans="1:203" s="7" customFormat="1">
      <c r="A122" s="1"/>
      <c r="B122" s="76">
        <f ca="1">IF(C122="", "", RAND())</f>
        <v>0.94142530032562544</v>
      </c>
      <c r="C122">
        <v>8</v>
      </c>
      <c r="D122">
        <v>39747</v>
      </c>
      <c r="E122">
        <v>0</v>
      </c>
      <c r="F122">
        <v>0</v>
      </c>
      <c r="G122">
        <v>210.33653846153848</v>
      </c>
      <c r="H122">
        <v>140.22435897435898</v>
      </c>
      <c r="I122">
        <v>10.416666666666666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64.940541579879806</v>
      </c>
      <c r="AO122">
        <v>10.205177601469234</v>
      </c>
      <c r="AP122">
        <v>61.506967524107878</v>
      </c>
      <c r="AQ122">
        <v>80.924989121898875</v>
      </c>
      <c r="AR122">
        <v>9.4585979833060989</v>
      </c>
      <c r="AS122">
        <v>129.88566878117945</v>
      </c>
      <c r="AT122">
        <v>6.7029729332225152</v>
      </c>
      <c r="AU122">
        <v>19.829468465123529</v>
      </c>
      <c r="AV122"/>
      <c r="AW122"/>
      <c r="AX122" s="146"/>
      <c r="AY122" s="76">
        <f t="shared" ca="1" si="88"/>
        <v>0.95913149494149441</v>
      </c>
      <c r="AZ122">
        <v>5</v>
      </c>
      <c r="BA122" s="129">
        <f t="shared" si="131"/>
        <v>39747</v>
      </c>
      <c r="BB122" s="207">
        <v>0</v>
      </c>
      <c r="BC122" s="207">
        <v>0</v>
      </c>
      <c r="BD122" s="207">
        <v>0</v>
      </c>
      <c r="BE122" s="207">
        <v>0</v>
      </c>
      <c r="BF122" s="207">
        <v>0</v>
      </c>
      <c r="BG122" s="207">
        <v>0</v>
      </c>
      <c r="BH122" s="207">
        <v>0</v>
      </c>
      <c r="BI122" s="207">
        <v>0</v>
      </c>
      <c r="BJ122" s="207">
        <v>0</v>
      </c>
      <c r="BK122" s="207">
        <v>0</v>
      </c>
      <c r="BL122" s="207">
        <v>0</v>
      </c>
      <c r="BM122" s="207">
        <v>0</v>
      </c>
      <c r="BN122" s="207">
        <v>0</v>
      </c>
      <c r="BO122" s="207">
        <v>0</v>
      </c>
      <c r="BP122" s="207">
        <v>0</v>
      </c>
      <c r="BQ122" s="207">
        <v>0</v>
      </c>
      <c r="BR122" s="207">
        <v>0</v>
      </c>
      <c r="BS122" s="207">
        <v>0</v>
      </c>
      <c r="BT122" s="207">
        <v>0</v>
      </c>
      <c r="BU122" s="207">
        <v>0</v>
      </c>
      <c r="BV122" s="207">
        <v>0</v>
      </c>
      <c r="BW122" s="207">
        <v>0</v>
      </c>
      <c r="BX122" s="207">
        <v>0</v>
      </c>
      <c r="BY122" s="207">
        <v>0</v>
      </c>
      <c r="BZ122" s="207">
        <v>0</v>
      </c>
      <c r="CA122" s="207">
        <v>0</v>
      </c>
      <c r="CB122" s="207">
        <v>0</v>
      </c>
      <c r="CC122" s="207">
        <v>0</v>
      </c>
      <c r="CD122" s="207">
        <v>0</v>
      </c>
      <c r="CE122" s="207">
        <v>0</v>
      </c>
      <c r="CF122" s="207"/>
      <c r="CG122" s="147"/>
      <c r="CH122" s="176"/>
      <c r="CJ122" s="146"/>
      <c r="CK122" s="76">
        <f t="shared" ca="1" si="90"/>
        <v>0.69217712973786583</v>
      </c>
      <c r="CL122" s="179">
        <f t="shared" si="91"/>
        <v>5</v>
      </c>
      <c r="CM122" s="180">
        <f t="shared" si="92"/>
        <v>39747</v>
      </c>
      <c r="CN122" s="208">
        <v>0</v>
      </c>
      <c r="CO122" s="208">
        <v>1</v>
      </c>
      <c r="CP122" s="208">
        <v>5</v>
      </c>
      <c r="CQ122" s="208">
        <v>0</v>
      </c>
      <c r="CR122" s="208">
        <v>0</v>
      </c>
      <c r="CS122" s="208">
        <v>0</v>
      </c>
      <c r="CT122" s="208">
        <v>0</v>
      </c>
      <c r="CU122" s="208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0.77238691821749317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110.47979797979797</v>
      </c>
      <c r="DH122" s="161">
        <f t="shared" si="97"/>
        <v>552.39898989898995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2"/>
        <v>662.87878787878788</v>
      </c>
      <c r="EL122" s="149"/>
      <c r="EN122" s="146"/>
      <c r="EO122" s="146"/>
      <c r="EP122" s="139">
        <f t="shared" si="133"/>
        <v>0</v>
      </c>
      <c r="EQ122" s="139">
        <f t="shared" si="134"/>
        <v>0.79850378787878773</v>
      </c>
      <c r="ER122" s="139">
        <f t="shared" si="135"/>
        <v>25.782124622875294</v>
      </c>
      <c r="ES122" s="139">
        <f t="shared" si="136"/>
        <v>0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26.58062841075408</v>
      </c>
      <c r="FV122" s="149"/>
      <c r="FY122" s="213">
        <v>117</v>
      </c>
      <c r="FZ122">
        <v>26.952766468173134</v>
      </c>
      <c r="GA122">
        <v>30.187183290309591</v>
      </c>
      <c r="GB122">
        <v>8.4120265861737646</v>
      </c>
      <c r="GC122">
        <v>6.0823634347204036</v>
      </c>
      <c r="GD122">
        <v>2.4151847658205097</v>
      </c>
      <c r="GE122">
        <v>2.5475628711959226</v>
      </c>
      <c r="GF122">
        <v>3.0380743877291856</v>
      </c>
      <c r="GG122">
        <v>2.2333855562977378</v>
      </c>
      <c r="GH122">
        <v>0.60080431445180338</v>
      </c>
      <c r="GI122">
        <v>8.1853566504310571</v>
      </c>
      <c r="GJ122"/>
      <c r="GK122"/>
      <c r="GL122"/>
      <c r="GM122"/>
      <c r="GN122" s="208"/>
      <c r="GO122" s="208"/>
      <c r="GP122" s="208"/>
      <c r="GQ122" s="208"/>
      <c r="GR122" s="208"/>
      <c r="GS122" s="208"/>
      <c r="GT122" s="208"/>
      <c r="GU122" s="213">
        <v>117</v>
      </c>
    </row>
    <row r="123" spans="1:203" s="7" customFormat="1">
      <c r="A123" s="1"/>
      <c r="B123" s="76">
        <f ca="1">IF(C123="", "", RAND())</f>
        <v>0.81619856367001775</v>
      </c>
      <c r="C123">
        <v>4</v>
      </c>
      <c r="D123">
        <v>39747</v>
      </c>
      <c r="E123">
        <v>0</v>
      </c>
      <c r="F123">
        <v>251.43678160919538</v>
      </c>
      <c r="G123">
        <v>251.43678160919538</v>
      </c>
      <c r="H123">
        <v>188.57758620689654</v>
      </c>
      <c r="I123">
        <v>0</v>
      </c>
      <c r="J123">
        <v>28.409090909090907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98.022264145121639</v>
      </c>
      <c r="AO123">
        <v>13.875942963886001</v>
      </c>
      <c r="AP123">
        <v>125.57284423108662</v>
      </c>
      <c r="AQ123">
        <v>100.60249144399207</v>
      </c>
      <c r="AR123">
        <v>12.930163639451409</v>
      </c>
      <c r="AS123">
        <v>159.87929911187831</v>
      </c>
      <c r="AT123" t="e">
        <v>#DIV/0!</v>
      </c>
      <c r="AU123" t="e">
        <v>#DIV/0!</v>
      </c>
      <c r="AV123"/>
      <c r="AW123"/>
      <c r="AX123" s="146"/>
      <c r="AY123" s="76">
        <f t="shared" ca="1" si="88"/>
        <v>0.84344625831122144</v>
      </c>
      <c r="AZ123">
        <v>6</v>
      </c>
      <c r="BA123" s="129">
        <f t="shared" si="131"/>
        <v>39747</v>
      </c>
      <c r="BB123" s="207">
        <v>0</v>
      </c>
      <c r="BC123" s="207">
        <v>0</v>
      </c>
      <c r="BD123" s="207">
        <v>0</v>
      </c>
      <c r="BE123" s="207">
        <v>0</v>
      </c>
      <c r="BF123" s="207">
        <v>0</v>
      </c>
      <c r="BG123" s="207">
        <v>0</v>
      </c>
      <c r="BH123" s="207">
        <v>0</v>
      </c>
      <c r="BI123" s="207">
        <v>2</v>
      </c>
      <c r="BJ123" s="207">
        <v>0</v>
      </c>
      <c r="BK123" s="207">
        <v>0</v>
      </c>
      <c r="BL123" s="207">
        <v>0</v>
      </c>
      <c r="BM123" s="207">
        <v>0</v>
      </c>
      <c r="BN123" s="207">
        <v>0</v>
      </c>
      <c r="BO123" s="207">
        <v>0</v>
      </c>
      <c r="BP123" s="207">
        <v>0</v>
      </c>
      <c r="BQ123" s="207">
        <v>0</v>
      </c>
      <c r="BR123" s="207">
        <v>0</v>
      </c>
      <c r="BS123" s="207">
        <v>0</v>
      </c>
      <c r="BT123" s="207">
        <v>0</v>
      </c>
      <c r="BU123" s="207">
        <v>0</v>
      </c>
      <c r="BV123" s="207">
        <v>0</v>
      </c>
      <c r="BW123" s="207">
        <v>0</v>
      </c>
      <c r="BX123" s="207">
        <v>0</v>
      </c>
      <c r="BY123" s="207">
        <v>0</v>
      </c>
      <c r="BZ123" s="207">
        <v>0</v>
      </c>
      <c r="CA123" s="207">
        <v>0</v>
      </c>
      <c r="CB123" s="207">
        <v>0</v>
      </c>
      <c r="CC123" s="207">
        <v>0</v>
      </c>
      <c r="CD123" s="207">
        <v>0</v>
      </c>
      <c r="CE123" s="207">
        <v>0</v>
      </c>
      <c r="CF123" s="207"/>
      <c r="CG123" s="147"/>
      <c r="CH123" s="176"/>
      <c r="CJ123" s="146"/>
      <c r="CK123" s="76">
        <f t="shared" ca="1" si="90"/>
        <v>0.49908476227067466</v>
      </c>
      <c r="CL123" s="179">
        <f t="shared" si="91"/>
        <v>6</v>
      </c>
      <c r="CM123" s="180">
        <f t="shared" si="92"/>
        <v>39747</v>
      </c>
      <c r="CN123" s="208">
        <v>0</v>
      </c>
      <c r="CO123" s="208">
        <v>1</v>
      </c>
      <c r="CP123" s="208">
        <v>3</v>
      </c>
      <c r="CQ123" s="208">
        <v>0</v>
      </c>
      <c r="CR123" s="208">
        <v>2</v>
      </c>
      <c r="CS123" s="208">
        <v>0</v>
      </c>
      <c r="CT123" s="208">
        <v>0</v>
      </c>
      <c r="CU123" s="208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0.42568867921534537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65.104166666666671</v>
      </c>
      <c r="DH123" s="161">
        <f t="shared" si="97"/>
        <v>195.3125</v>
      </c>
      <c r="DI123" s="161">
        <f t="shared" si="98"/>
        <v>0</v>
      </c>
      <c r="DJ123" s="161">
        <f t="shared" si="99"/>
        <v>130.20833333333334</v>
      </c>
      <c r="DK123" s="161">
        <f t="shared" si="100"/>
        <v>0</v>
      </c>
      <c r="DL123" s="161">
        <f t="shared" si="101"/>
        <v>0</v>
      </c>
      <c r="DM123" s="161">
        <f t="shared" si="102"/>
        <v>20.833333333333332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2"/>
        <v>411.45833333333331</v>
      </c>
      <c r="EL123" s="149"/>
      <c r="EN123" s="146"/>
      <c r="EO123" s="146"/>
      <c r="EP123" s="139">
        <f t="shared" si="133"/>
        <v>0</v>
      </c>
      <c r="EQ123" s="139">
        <f t="shared" si="134"/>
        <v>0.47054687500000003</v>
      </c>
      <c r="ER123" s="139">
        <f t="shared" si="135"/>
        <v>9.115822634516622</v>
      </c>
      <c r="ES123" s="139">
        <f t="shared" si="136"/>
        <v>0</v>
      </c>
      <c r="ET123" s="139">
        <f t="shared" si="137"/>
        <v>39.244276403075581</v>
      </c>
      <c r="EU123" s="139">
        <f t="shared" si="138"/>
        <v>0</v>
      </c>
      <c r="EV123" s="139">
        <f t="shared" si="139"/>
        <v>0</v>
      </c>
      <c r="EW123" s="139">
        <f t="shared" si="140"/>
        <v>28.308163644547104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77.138809557139311</v>
      </c>
      <c r="FV123" s="149"/>
      <c r="FY123" s="213">
        <v>118</v>
      </c>
      <c r="FZ123">
        <v>30.799241423521966</v>
      </c>
      <c r="GA123">
        <v>41.9858239138659</v>
      </c>
      <c r="GB123">
        <v>11.480180871840526</v>
      </c>
      <c r="GC123">
        <v>6.0292716147621181</v>
      </c>
      <c r="GD123">
        <v>1.8573380785558595</v>
      </c>
      <c r="GE123">
        <v>1.8714815244160425</v>
      </c>
      <c r="GF123">
        <v>5.061391939019714</v>
      </c>
      <c r="GG123">
        <v>6.4436601267569475</v>
      </c>
      <c r="GH123">
        <v>3.1207386232207117</v>
      </c>
      <c r="GI123">
        <v>9.9481581225729254</v>
      </c>
      <c r="GJ123"/>
      <c r="GK123"/>
      <c r="GL123"/>
      <c r="GM123"/>
      <c r="GN123" s="208"/>
      <c r="GO123" s="208"/>
      <c r="GP123" s="208"/>
      <c r="GQ123" s="208"/>
      <c r="GR123" s="208"/>
      <c r="GS123" s="208"/>
      <c r="GT123" s="208"/>
      <c r="GU123" s="213">
        <v>118</v>
      </c>
    </row>
    <row r="124" spans="1:203" s="7" customFormat="1">
      <c r="A124" s="1"/>
      <c r="B124" s="76">
        <f ca="1">IF(C124="", "", RAND())</f>
        <v>0.40416537576453337</v>
      </c>
      <c r="C124">
        <v>10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90.545010728650439</v>
      </c>
      <c r="AO124">
        <v>13.993164188814109</v>
      </c>
      <c r="AP124">
        <v>79.422003050971625</v>
      </c>
      <c r="AQ124">
        <v>105.51330022041206</v>
      </c>
      <c r="AR124">
        <v>12.902222153619622</v>
      </c>
      <c r="AS124">
        <v>163.11326254055101</v>
      </c>
      <c r="AT124" t="e">
        <v>#DIV/0!</v>
      </c>
      <c r="AU124" t="e">
        <v>#DIV/0!</v>
      </c>
      <c r="AV124"/>
      <c r="AW124"/>
      <c r="AX124" s="146"/>
      <c r="AY124" s="76">
        <f t="shared" ca="1" si="88"/>
        <v>0.62056510319338942</v>
      </c>
      <c r="AZ124">
        <v>7</v>
      </c>
      <c r="BA124" s="129">
        <f t="shared" si="131"/>
        <v>39747</v>
      </c>
      <c r="BB124" s="207">
        <v>0</v>
      </c>
      <c r="BC124" s="207">
        <v>0</v>
      </c>
      <c r="BD124" s="207">
        <v>0</v>
      </c>
      <c r="BE124" s="207">
        <v>0</v>
      </c>
      <c r="BF124" s="207">
        <v>0</v>
      </c>
      <c r="BG124" s="207">
        <v>0</v>
      </c>
      <c r="BH124" s="207">
        <v>0</v>
      </c>
      <c r="BI124" s="207">
        <v>0</v>
      </c>
      <c r="BJ124" s="207">
        <v>0</v>
      </c>
      <c r="BK124" s="207">
        <v>0</v>
      </c>
      <c r="BL124" s="207">
        <v>0</v>
      </c>
      <c r="BM124" s="207">
        <v>0</v>
      </c>
      <c r="BN124" s="207">
        <v>0</v>
      </c>
      <c r="BO124" s="207">
        <v>0</v>
      </c>
      <c r="BP124" s="207">
        <v>0</v>
      </c>
      <c r="BQ124" s="207">
        <v>0</v>
      </c>
      <c r="BR124" s="207">
        <v>0</v>
      </c>
      <c r="BS124" s="207">
        <v>0</v>
      </c>
      <c r="BT124" s="207">
        <v>0</v>
      </c>
      <c r="BU124" s="207">
        <v>0</v>
      </c>
      <c r="BV124" s="207">
        <v>0</v>
      </c>
      <c r="BW124" s="207">
        <v>0</v>
      </c>
      <c r="BX124" s="207">
        <v>0</v>
      </c>
      <c r="BY124" s="207">
        <v>0</v>
      </c>
      <c r="BZ124" s="207">
        <v>0</v>
      </c>
      <c r="CA124" s="207">
        <v>0</v>
      </c>
      <c r="CB124" s="207">
        <v>0</v>
      </c>
      <c r="CC124" s="207">
        <v>0</v>
      </c>
      <c r="CD124" s="207">
        <v>0</v>
      </c>
      <c r="CE124" s="207">
        <v>0</v>
      </c>
      <c r="CF124" s="207"/>
      <c r="CG124" s="147"/>
      <c r="CH124" s="176"/>
      <c r="CJ124" s="146"/>
      <c r="CK124" s="76">
        <f t="shared" ca="1" si="90"/>
        <v>0.23559179621159743</v>
      </c>
      <c r="CL124" s="179">
        <f t="shared" si="91"/>
        <v>7</v>
      </c>
      <c r="CM124" s="180">
        <f t="shared" si="92"/>
        <v>39747</v>
      </c>
      <c r="CN124" s="208">
        <v>0</v>
      </c>
      <c r="CO124" s="208">
        <v>0</v>
      </c>
      <c r="CP124" s="208">
        <v>0</v>
      </c>
      <c r="CQ124" s="208">
        <v>0</v>
      </c>
      <c r="CR124" s="208">
        <v>0</v>
      </c>
      <c r="CS124" s="208">
        <v>0</v>
      </c>
      <c r="CT124" s="208">
        <v>0</v>
      </c>
      <c r="CU124" s="208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0.93175505835876482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2"/>
        <v>0</v>
      </c>
      <c r="EL124" s="149"/>
      <c r="EN124" s="146"/>
      <c r="EO124" s="146"/>
      <c r="EP124" s="139">
        <f t="shared" si="133"/>
        <v>0</v>
      </c>
      <c r="EQ124" s="139">
        <f t="shared" si="134"/>
        <v>0</v>
      </c>
      <c r="ER124" s="139">
        <f t="shared" si="135"/>
        <v>0</v>
      </c>
      <c r="ES124" s="139">
        <f t="shared" si="136"/>
        <v>0</v>
      </c>
      <c r="ET124" s="139">
        <f t="shared" si="137"/>
        <v>0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0</v>
      </c>
      <c r="FV124" s="149"/>
      <c r="FY124" s="213">
        <v>119</v>
      </c>
      <c r="FZ124">
        <v>35.987842905924502</v>
      </c>
      <c r="GA124">
        <v>45.410370192138494</v>
      </c>
      <c r="GB124">
        <v>7.0542023131176919</v>
      </c>
      <c r="GC124">
        <v>4.421384634966901</v>
      </c>
      <c r="GD124">
        <v>2.020945532944558</v>
      </c>
      <c r="GE124">
        <v>1.8078708411909412</v>
      </c>
      <c r="GF124">
        <v>2.4235134902409783</v>
      </c>
      <c r="GG124">
        <v>4.2908680065639997</v>
      </c>
      <c r="GH124">
        <v>3.1207386232207117</v>
      </c>
      <c r="GI124">
        <v>9.1953104936962013</v>
      </c>
      <c r="GJ124"/>
      <c r="GK124"/>
      <c r="GL124"/>
      <c r="GM124"/>
      <c r="GN124" s="208"/>
      <c r="GO124" s="208"/>
      <c r="GP124" s="208"/>
      <c r="GQ124" s="208"/>
      <c r="GR124" s="208"/>
      <c r="GS124" s="208"/>
      <c r="GT124" s="208"/>
      <c r="GU124" s="213">
        <v>119</v>
      </c>
    </row>
    <row r="125" spans="1:203" s="7" customFormat="1">
      <c r="A125" s="1"/>
      <c r="B125" s="76">
        <f ca="1">IF(C125="", "", RAND())</f>
        <v>0.35915896330563601</v>
      </c>
      <c r="C125">
        <v>9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92.874709787761262</v>
      </c>
      <c r="AO125">
        <v>12.832907579592478</v>
      </c>
      <c r="AP125">
        <v>57.283029888846471</v>
      </c>
      <c r="AQ125">
        <v>91.765808516068532</v>
      </c>
      <c r="AR125">
        <v>11.924143459228109</v>
      </c>
      <c r="AS125">
        <v>159.39441133264489</v>
      </c>
      <c r="AT125" t="e">
        <v>#DIV/0!</v>
      </c>
      <c r="AU125" t="e">
        <v>#DIV/0!</v>
      </c>
      <c r="AV125"/>
      <c r="AW125"/>
      <c r="AX125" s="146"/>
      <c r="AY125" s="76">
        <f t="shared" ca="1" si="88"/>
        <v>0.81913001940440644</v>
      </c>
      <c r="AZ125">
        <v>8</v>
      </c>
      <c r="BA125" s="129">
        <f t="shared" si="131"/>
        <v>39747</v>
      </c>
      <c r="BB125" s="207">
        <v>0</v>
      </c>
      <c r="BC125" s="207">
        <v>0</v>
      </c>
      <c r="BD125" s="207">
        <v>0</v>
      </c>
      <c r="BE125" s="207">
        <v>0</v>
      </c>
      <c r="BF125" s="207">
        <v>1</v>
      </c>
      <c r="BG125" s="207">
        <v>0</v>
      </c>
      <c r="BH125" s="207">
        <v>0</v>
      </c>
      <c r="BI125" s="207">
        <v>0</v>
      </c>
      <c r="BJ125" s="207">
        <v>0</v>
      </c>
      <c r="BK125" s="207">
        <v>0</v>
      </c>
      <c r="BL125" s="207">
        <v>0</v>
      </c>
      <c r="BM125" s="207">
        <v>0</v>
      </c>
      <c r="BN125" s="207">
        <v>0</v>
      </c>
      <c r="BO125" s="207">
        <v>0</v>
      </c>
      <c r="BP125" s="207">
        <v>0</v>
      </c>
      <c r="BQ125" s="207">
        <v>0</v>
      </c>
      <c r="BR125" s="207">
        <v>0</v>
      </c>
      <c r="BS125" s="207">
        <v>0</v>
      </c>
      <c r="BT125" s="207">
        <v>0</v>
      </c>
      <c r="BU125" s="207">
        <v>0</v>
      </c>
      <c r="BV125" s="207">
        <v>0</v>
      </c>
      <c r="BW125" s="207">
        <v>0</v>
      </c>
      <c r="BX125" s="207">
        <v>0</v>
      </c>
      <c r="BY125" s="207">
        <v>0</v>
      </c>
      <c r="BZ125" s="207">
        <v>0</v>
      </c>
      <c r="CA125" s="207">
        <v>0</v>
      </c>
      <c r="CB125" s="207">
        <v>0</v>
      </c>
      <c r="CC125" s="207">
        <v>0</v>
      </c>
      <c r="CD125" s="207">
        <v>0</v>
      </c>
      <c r="CE125" s="207">
        <v>0</v>
      </c>
      <c r="CF125" s="207"/>
      <c r="CG125" s="147"/>
      <c r="CH125" s="176"/>
      <c r="CJ125" s="146"/>
      <c r="CK125" s="76">
        <f t="shared" ca="1" si="90"/>
        <v>0.1351635027538427</v>
      </c>
      <c r="CL125" s="179">
        <f t="shared" si="91"/>
        <v>8</v>
      </c>
      <c r="CM125" s="180">
        <f t="shared" si="92"/>
        <v>39747</v>
      </c>
      <c r="CN125" s="208">
        <v>0</v>
      </c>
      <c r="CO125" s="208">
        <v>0</v>
      </c>
      <c r="CP125" s="208">
        <v>3</v>
      </c>
      <c r="CQ125" s="208">
        <v>2</v>
      </c>
      <c r="CR125" s="208">
        <v>0</v>
      </c>
      <c r="CS125" s="208">
        <v>0</v>
      </c>
      <c r="CT125" s="208">
        <v>0</v>
      </c>
      <c r="CU125" s="208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0.65553569037828208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210.33653846153848</v>
      </c>
      <c r="DI125" s="161">
        <f t="shared" si="98"/>
        <v>140.22435897435898</v>
      </c>
      <c r="DJ125" s="161">
        <f t="shared" si="99"/>
        <v>10.416666666666666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2"/>
        <v>360.97756410256414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9.8170397602486705</v>
      </c>
      <c r="ES125" s="139">
        <f t="shared" si="136"/>
        <v>19.487264013097999</v>
      </c>
      <c r="ET125" s="139">
        <f t="shared" si="137"/>
        <v>3.1395421122460458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32.443845885592715</v>
      </c>
      <c r="FV125" s="149"/>
      <c r="FY125" s="213">
        <v>120</v>
      </c>
      <c r="FZ125">
        <v>9.7799990944306643</v>
      </c>
      <c r="GA125">
        <v>17.16282728101157</v>
      </c>
      <c r="GB125">
        <v>12.043492423845672</v>
      </c>
      <c r="GC125">
        <v>6.1037518264184589</v>
      </c>
      <c r="GD125">
        <v>1.8713042590510534</v>
      </c>
      <c r="GE125">
        <v>2.0811462144323567</v>
      </c>
      <c r="GF125">
        <v>4.8116071791640529</v>
      </c>
      <c r="GG125">
        <v>7.496094764513094</v>
      </c>
      <c r="GH125">
        <v>5.2819122492828701</v>
      </c>
      <c r="GI125">
        <v>7.3517725685390278</v>
      </c>
      <c r="GJ125"/>
      <c r="GK125"/>
      <c r="GL125"/>
      <c r="GM125"/>
      <c r="GN125" s="208"/>
      <c r="GO125" s="208"/>
      <c r="GP125" s="208"/>
      <c r="GQ125" s="208"/>
      <c r="GR125" s="208"/>
      <c r="GS125" s="208"/>
      <c r="GT125" s="208"/>
      <c r="GU125" s="213">
        <v>120</v>
      </c>
    </row>
    <row r="126" spans="1:203" s="7" customFormat="1">
      <c r="A126" s="1"/>
      <c r="B126" s="76">
        <f ca="1">IF(C126="", "", RAND())</f>
        <v>0.55568694921221429</v>
      </c>
      <c r="C126">
        <v>6</v>
      </c>
      <c r="D126">
        <v>39747</v>
      </c>
      <c r="E126">
        <v>0</v>
      </c>
      <c r="F126">
        <v>65.104166666666671</v>
      </c>
      <c r="G126">
        <v>195.3125</v>
      </c>
      <c r="H126">
        <v>0</v>
      </c>
      <c r="I126">
        <v>130.20833333333334</v>
      </c>
      <c r="J126">
        <v>0</v>
      </c>
      <c r="K126">
        <v>0</v>
      </c>
      <c r="L126">
        <v>20.833333333333332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75.881129122736624</v>
      </c>
      <c r="AO126">
        <v>11.378524191597139</v>
      </c>
      <c r="AP126">
        <v>58.648721830289389</v>
      </c>
      <c r="AQ126">
        <v>87.532661659990424</v>
      </c>
      <c r="AR126">
        <v>10.434520357428314</v>
      </c>
      <c r="AS126">
        <v>149.36060989733645</v>
      </c>
      <c r="AT126" t="e">
        <v>#DIV/0!</v>
      </c>
      <c r="AU126" t="e">
        <v>#DIV/0!</v>
      </c>
      <c r="AV126"/>
      <c r="AW126"/>
      <c r="AX126" s="146"/>
      <c r="AY126" s="76">
        <f t="shared" ca="1" si="88"/>
        <v>0.10058212049737136</v>
      </c>
      <c r="AZ126">
        <v>9</v>
      </c>
      <c r="BA126" s="129">
        <f t="shared" si="131"/>
        <v>39747</v>
      </c>
      <c r="BB126" s="207">
        <v>0</v>
      </c>
      <c r="BC126" s="207">
        <v>0</v>
      </c>
      <c r="BD126" s="207">
        <v>0</v>
      </c>
      <c r="BE126" s="207">
        <v>0</v>
      </c>
      <c r="BF126" s="207">
        <v>0</v>
      </c>
      <c r="BG126" s="207">
        <v>0</v>
      </c>
      <c r="BH126" s="207">
        <v>0</v>
      </c>
      <c r="BI126" s="207">
        <v>0</v>
      </c>
      <c r="BJ126" s="207">
        <v>0</v>
      </c>
      <c r="BK126" s="207">
        <v>0</v>
      </c>
      <c r="BL126" s="207">
        <v>0</v>
      </c>
      <c r="BM126" s="207">
        <v>0</v>
      </c>
      <c r="BN126" s="207">
        <v>0</v>
      </c>
      <c r="BO126" s="207">
        <v>0</v>
      </c>
      <c r="BP126" s="207">
        <v>0</v>
      </c>
      <c r="BQ126" s="207">
        <v>0</v>
      </c>
      <c r="BR126" s="207">
        <v>0</v>
      </c>
      <c r="BS126" s="207">
        <v>0</v>
      </c>
      <c r="BT126" s="207">
        <v>0</v>
      </c>
      <c r="BU126" s="207">
        <v>0</v>
      </c>
      <c r="BV126" s="207">
        <v>0</v>
      </c>
      <c r="BW126" s="207">
        <v>0</v>
      </c>
      <c r="BX126" s="207">
        <v>0</v>
      </c>
      <c r="BY126" s="207">
        <v>0</v>
      </c>
      <c r="BZ126" s="207">
        <v>0</v>
      </c>
      <c r="CA126" s="207">
        <v>0</v>
      </c>
      <c r="CB126" s="207">
        <v>0</v>
      </c>
      <c r="CC126" s="207">
        <v>0</v>
      </c>
      <c r="CD126" s="207">
        <v>0</v>
      </c>
      <c r="CE126" s="207">
        <v>0</v>
      </c>
      <c r="CF126" s="207"/>
      <c r="CG126" s="147"/>
      <c r="CH126" s="176"/>
      <c r="CJ126" s="146"/>
      <c r="CK126" s="76">
        <f t="shared" ca="1" si="90"/>
        <v>0.31173267702432583</v>
      </c>
      <c r="CL126" s="179">
        <f t="shared" si="91"/>
        <v>9</v>
      </c>
      <c r="CM126" s="180">
        <f t="shared" si="92"/>
        <v>39747</v>
      </c>
      <c r="CN126" s="208">
        <v>0</v>
      </c>
      <c r="CO126" s="208">
        <v>0</v>
      </c>
      <c r="CP126" s="208">
        <v>0</v>
      </c>
      <c r="CQ126" s="208">
        <v>0</v>
      </c>
      <c r="CR126" s="208">
        <v>0</v>
      </c>
      <c r="CS126" s="208">
        <v>0</v>
      </c>
      <c r="CT126" s="208">
        <v>0</v>
      </c>
      <c r="CU126" s="208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0.67518808071130576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0</v>
      </c>
      <c r="DI126" s="161">
        <f t="shared" si="98"/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2"/>
        <v>0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0</v>
      </c>
      <c r="FV126" s="149"/>
      <c r="FY126" s="213">
        <v>121</v>
      </c>
      <c r="FZ126">
        <v>52.767756559131016</v>
      </c>
      <c r="GA126">
        <v>68.41648865785163</v>
      </c>
      <c r="GB126">
        <v>14.756297382011205</v>
      </c>
      <c r="GC126">
        <v>6.7361619980309309</v>
      </c>
      <c r="GD126">
        <v>1.8965220253312918</v>
      </c>
      <c r="GE126">
        <v>2.4472539333451957</v>
      </c>
      <c r="GF126">
        <v>2.1238203165870657</v>
      </c>
      <c r="GG126">
        <v>2.6440737482601882</v>
      </c>
      <c r="GH126">
        <v>2.1611736260621592</v>
      </c>
      <c r="GI126">
        <v>13.478590646698674</v>
      </c>
      <c r="GJ126"/>
      <c r="GK126"/>
      <c r="GL126"/>
      <c r="GM126"/>
      <c r="GN126" s="208"/>
      <c r="GO126" s="208"/>
      <c r="GP126" s="208"/>
      <c r="GQ126" s="208"/>
      <c r="GR126" s="208"/>
      <c r="GS126" s="208"/>
      <c r="GT126" s="208"/>
      <c r="GU126" s="213">
        <v>121</v>
      </c>
    </row>
    <row r="127" spans="1:203" s="7" customFormat="1">
      <c r="A127" s="1"/>
      <c r="B127" s="76">
        <f ca="1">IF(C127="", "", RAND())</f>
        <v>0.93562273560417397</v>
      </c>
      <c r="C127">
        <v>3</v>
      </c>
      <c r="D127">
        <v>39747</v>
      </c>
      <c r="E127">
        <v>0</v>
      </c>
      <c r="F127">
        <v>0</v>
      </c>
      <c r="G127">
        <v>0</v>
      </c>
      <c r="H127">
        <v>10.416666666666666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86.167742911340795</v>
      </c>
      <c r="AO127">
        <v>19.24365317801416</v>
      </c>
      <c r="AP127">
        <v>116.30338098254985</v>
      </c>
      <c r="AQ127">
        <v>155.7328279862777</v>
      </c>
      <c r="AR127">
        <v>17.876696569766413</v>
      </c>
      <c r="AS127">
        <v>208.48611073000853</v>
      </c>
      <c r="AT127">
        <v>11.331766103318758</v>
      </c>
      <c r="AU127">
        <v>33.123783837627364</v>
      </c>
      <c r="AV127"/>
      <c r="AW127"/>
      <c r="AX127" s="146"/>
      <c r="AY127" s="76">
        <f t="shared" ca="1" si="88"/>
        <v>0.98398630128323195</v>
      </c>
      <c r="AZ127">
        <v>10</v>
      </c>
      <c r="BA127" s="129">
        <f t="shared" si="131"/>
        <v>39747</v>
      </c>
      <c r="BB127" s="207">
        <v>0</v>
      </c>
      <c r="BC127" s="207">
        <v>0</v>
      </c>
      <c r="BD127" s="207">
        <v>0</v>
      </c>
      <c r="BE127" s="207">
        <v>0</v>
      </c>
      <c r="BF127" s="207">
        <v>0</v>
      </c>
      <c r="BG127" s="207">
        <v>0</v>
      </c>
      <c r="BH127" s="207">
        <v>0</v>
      </c>
      <c r="BI127" s="207">
        <v>0</v>
      </c>
      <c r="BJ127" s="207">
        <v>0</v>
      </c>
      <c r="BK127" s="207">
        <v>0</v>
      </c>
      <c r="BL127" s="207">
        <v>0</v>
      </c>
      <c r="BM127" s="207">
        <v>0</v>
      </c>
      <c r="BN127" s="207">
        <v>0</v>
      </c>
      <c r="BO127" s="207">
        <v>0</v>
      </c>
      <c r="BP127" s="207">
        <v>0</v>
      </c>
      <c r="BQ127" s="207">
        <v>0</v>
      </c>
      <c r="BR127" s="207">
        <v>0</v>
      </c>
      <c r="BS127" s="207">
        <v>0</v>
      </c>
      <c r="BT127" s="207">
        <v>0</v>
      </c>
      <c r="BU127" s="207">
        <v>0</v>
      </c>
      <c r="BV127" s="207">
        <v>0</v>
      </c>
      <c r="BW127" s="207">
        <v>0</v>
      </c>
      <c r="BX127" s="207">
        <v>0</v>
      </c>
      <c r="BY127" s="207">
        <v>0</v>
      </c>
      <c r="BZ127" s="207">
        <v>0</v>
      </c>
      <c r="CA127" s="207">
        <v>0</v>
      </c>
      <c r="CB127" s="207">
        <v>0</v>
      </c>
      <c r="CC127" s="207">
        <v>0</v>
      </c>
      <c r="CD127" s="207">
        <v>0</v>
      </c>
      <c r="CE127" s="207">
        <v>0</v>
      </c>
      <c r="CF127" s="207"/>
      <c r="CG127" s="147"/>
      <c r="CH127" s="176"/>
      <c r="CJ127" s="146"/>
      <c r="CK127" s="76">
        <f t="shared" ca="1" si="90"/>
        <v>0.55097334341176474</v>
      </c>
      <c r="CL127" s="179">
        <f t="shared" si="91"/>
        <v>10</v>
      </c>
      <c r="CM127" s="180">
        <f t="shared" si="92"/>
        <v>39747</v>
      </c>
      <c r="CN127" s="208">
        <v>0</v>
      </c>
      <c r="CO127" s="208">
        <v>0</v>
      </c>
      <c r="CP127" s="208">
        <v>0</v>
      </c>
      <c r="CQ127" s="208">
        <v>0</v>
      </c>
      <c r="CR127" s="208">
        <v>0</v>
      </c>
      <c r="CS127" s="208">
        <v>0</v>
      </c>
      <c r="CT127" s="208">
        <v>0</v>
      </c>
      <c r="CU127" s="208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0.26059680175125788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 t="shared" si="98"/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2"/>
        <v>0</v>
      </c>
      <c r="EL127" s="149"/>
      <c r="EN127" s="146"/>
      <c r="EO127" s="146"/>
      <c r="EP127" s="139">
        <f t="shared" si="133"/>
        <v>0</v>
      </c>
      <c r="EQ127" s="139">
        <f t="shared" si="134"/>
        <v>0</v>
      </c>
      <c r="ER127" s="139">
        <f t="shared" si="135"/>
        <v>0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0</v>
      </c>
      <c r="FV127" s="149"/>
      <c r="FY127" s="213">
        <v>122</v>
      </c>
      <c r="FZ127">
        <v>39.33668556934591</v>
      </c>
      <c r="GA127">
        <v>49.170553593107726</v>
      </c>
      <c r="GB127">
        <v>8.9577781692106306</v>
      </c>
      <c r="GC127">
        <v>5.0692114960187125</v>
      </c>
      <c r="GD127">
        <v>2.1543101518559156</v>
      </c>
      <c r="GE127">
        <v>2.7381418896068292</v>
      </c>
      <c r="GF127">
        <v>3.5238051527741021</v>
      </c>
      <c r="GG127">
        <v>3.7753749352393084</v>
      </c>
      <c r="GH127">
        <v>2.1611736260621592</v>
      </c>
      <c r="GI127">
        <v>10.275112041732813</v>
      </c>
      <c r="GJ127"/>
      <c r="GK127"/>
      <c r="GL127"/>
      <c r="GM127"/>
      <c r="GN127" s="208"/>
      <c r="GO127" s="208"/>
      <c r="GP127" s="208"/>
      <c r="GQ127" s="208"/>
      <c r="GR127" s="208"/>
      <c r="GS127" s="208"/>
      <c r="GT127" s="208"/>
      <c r="GU127" s="213">
        <v>122</v>
      </c>
    </row>
    <row r="128" spans="1:203" s="7" customFormat="1">
      <c r="A128" s="128"/>
      <c r="B128" s="76">
        <f ca="1">IF(C128="", "", RAND())</f>
        <v>0.18432734411815432</v>
      </c>
      <c r="C128">
        <v>1</v>
      </c>
      <c r="D128">
        <v>39775</v>
      </c>
      <c r="E128">
        <v>0</v>
      </c>
      <c r="F128">
        <v>0</v>
      </c>
      <c r="G128">
        <v>87.5</v>
      </c>
      <c r="H128">
        <v>21.875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74.342315186832167</v>
      </c>
      <c r="AO128">
        <v>11.179873162270606</v>
      </c>
      <c r="AP128">
        <v>147.64781895367705</v>
      </c>
      <c r="AQ128">
        <v>86.006306731011918</v>
      </c>
      <c r="AR128">
        <v>10.253928512586011</v>
      </c>
      <c r="AS128">
        <v>139.48194706520684</v>
      </c>
      <c r="AT128" t="e">
        <v>#DIV/0!</v>
      </c>
      <c r="AU128" t="e">
        <v>#DIV/0!</v>
      </c>
      <c r="AV128"/>
      <c r="AW128"/>
      <c r="AX128" s="128"/>
      <c r="AY128" s="76">
        <f t="shared" ca="1" si="88"/>
        <v>0.71508709839700924</v>
      </c>
      <c r="AZ128">
        <v>1</v>
      </c>
      <c r="BA128" s="129">
        <f>IF(AZ128="", "",$C$8)</f>
        <v>39775</v>
      </c>
      <c r="BB128" s="207">
        <v>0</v>
      </c>
      <c r="BC128" s="207">
        <v>0</v>
      </c>
      <c r="BD128" s="207">
        <v>0</v>
      </c>
      <c r="BE128" s="207">
        <v>0</v>
      </c>
      <c r="BF128" s="207">
        <v>0</v>
      </c>
      <c r="BG128" s="207">
        <v>0</v>
      </c>
      <c r="BH128" s="207">
        <v>0</v>
      </c>
      <c r="BI128" s="207">
        <v>0</v>
      </c>
      <c r="BJ128" s="207">
        <v>0</v>
      </c>
      <c r="BK128" s="207">
        <v>0</v>
      </c>
      <c r="BL128" s="207">
        <v>0</v>
      </c>
      <c r="BM128" s="207">
        <v>0</v>
      </c>
      <c r="BN128" s="207">
        <v>0</v>
      </c>
      <c r="BO128" s="207">
        <v>0</v>
      </c>
      <c r="BP128" s="207">
        <v>0</v>
      </c>
      <c r="BQ128" s="207">
        <v>0</v>
      </c>
      <c r="BR128" s="207">
        <v>0</v>
      </c>
      <c r="BS128" s="207">
        <v>0</v>
      </c>
      <c r="BT128" s="207">
        <v>0</v>
      </c>
      <c r="BU128" s="207">
        <v>0</v>
      </c>
      <c r="BV128" s="207">
        <v>0</v>
      </c>
      <c r="BW128" s="207">
        <v>0</v>
      </c>
      <c r="BX128" s="207">
        <v>0</v>
      </c>
      <c r="BY128" s="207">
        <v>0</v>
      </c>
      <c r="BZ128" s="207">
        <v>0</v>
      </c>
      <c r="CA128" s="207">
        <v>0</v>
      </c>
      <c r="CB128" s="207">
        <v>0</v>
      </c>
      <c r="CC128" s="207">
        <v>0</v>
      </c>
      <c r="CD128" s="207">
        <v>0</v>
      </c>
      <c r="CE128" s="207">
        <v>0</v>
      </c>
      <c r="CF128" s="207"/>
      <c r="CG128" s="147"/>
      <c r="CH128" s="176"/>
      <c r="CJ128" s="128"/>
      <c r="CK128" s="76">
        <f t="shared" ca="1" si="90"/>
        <v>2.648446098683821E-2</v>
      </c>
      <c r="CL128" s="179">
        <f t="shared" si="91"/>
        <v>1</v>
      </c>
      <c r="CM128" s="180">
        <f t="shared" si="92"/>
        <v>39775</v>
      </c>
      <c r="CN128" s="208">
        <v>0</v>
      </c>
      <c r="CO128" s="208">
        <v>0</v>
      </c>
      <c r="CP128" s="208">
        <v>4</v>
      </c>
      <c r="CQ128" s="208">
        <v>1</v>
      </c>
      <c r="CR128" s="208">
        <v>0</v>
      </c>
      <c r="CS128" s="208">
        <v>0</v>
      </c>
      <c r="CT128" s="208">
        <v>0</v>
      </c>
      <c r="CU128" s="20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0.88498938701520036</v>
      </c>
      <c r="DD128">
        <f t="shared" si="94"/>
        <v>1</v>
      </c>
      <c r="DE128" s="129">
        <f t="shared" ref="DE128:DE137" si="165">IF((DD128)="", "", $C$8)</f>
        <v>39775</v>
      </c>
      <c r="DF128" s="161">
        <f t="shared" si="95"/>
        <v>0</v>
      </c>
      <c r="DG128" s="161">
        <f t="shared" si="96"/>
        <v>0</v>
      </c>
      <c r="DH128" s="161">
        <f t="shared" si="97"/>
        <v>87.5</v>
      </c>
      <c r="DI128" s="161">
        <f t="shared" si="98"/>
        <v>21.875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2"/>
        <v>109.375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4.0838885402634464</v>
      </c>
      <c r="ES128" s="139">
        <f t="shared" si="136"/>
        <v>3.0400131860432875</v>
      </c>
      <c r="ET128" s="139">
        <f t="shared" si="137"/>
        <v>0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7.1239017263067339</v>
      </c>
      <c r="FV128" s="149"/>
      <c r="FY128" s="213">
        <v>123</v>
      </c>
      <c r="FZ128">
        <v>76.086004995444952</v>
      </c>
      <c r="GA128">
        <v>89.4867020594628</v>
      </c>
      <c r="GB128">
        <v>3.0936379513513224</v>
      </c>
      <c r="GC128">
        <v>2.0290995664910954</v>
      </c>
      <c r="GD128">
        <v>1.956639046145199</v>
      </c>
      <c r="GE128">
        <v>2.1975707700482117</v>
      </c>
      <c r="GF128">
        <v>5.5420557670135082</v>
      </c>
      <c r="GG128">
        <v>5.8458081799978876</v>
      </c>
      <c r="GH128">
        <v>1.5603693116103559</v>
      </c>
      <c r="GI128">
        <v>14.426862663018705</v>
      </c>
      <c r="GJ128"/>
      <c r="GK128"/>
      <c r="GL128"/>
      <c r="GM128"/>
      <c r="GN128" s="208"/>
      <c r="GO128" s="208"/>
      <c r="GP128" s="208"/>
      <c r="GQ128" s="208"/>
      <c r="GR128" s="208"/>
      <c r="GS128" s="208"/>
      <c r="GT128" s="208"/>
      <c r="GU128" s="213">
        <v>123</v>
      </c>
    </row>
    <row r="129" spans="1:203" s="7" customFormat="1">
      <c r="A129" s="1"/>
      <c r="B129" s="76">
        <f ca="1">IF(C129="", "", RAND())</f>
        <v>0.98143408307537872</v>
      </c>
      <c r="C129">
        <v>7</v>
      </c>
      <c r="D129">
        <v>39775</v>
      </c>
      <c r="E129">
        <v>0</v>
      </c>
      <c r="F129">
        <v>14.204545454545453</v>
      </c>
      <c r="G129">
        <v>0</v>
      </c>
      <c r="H129">
        <v>56.818181818181813</v>
      </c>
      <c r="I129">
        <v>14.204545454545453</v>
      </c>
      <c r="J129">
        <v>14.204545454545453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62.578060371658239</v>
      </c>
      <c r="AO129">
        <v>10.138472706586075</v>
      </c>
      <c r="AP129">
        <v>68.283525246958405</v>
      </c>
      <c r="AQ129">
        <v>85.876385143106788</v>
      </c>
      <c r="AR129">
        <v>9.3931884887839523</v>
      </c>
      <c r="AS129">
        <v>115.58726919289964</v>
      </c>
      <c r="AT129" t="e">
        <v>#DIV/0!</v>
      </c>
      <c r="AU129" t="e">
        <v>#DIV/0!</v>
      </c>
      <c r="AV129"/>
      <c r="AW129"/>
      <c r="AX129" s="146"/>
      <c r="AY129" s="76">
        <f t="shared" ca="1" si="88"/>
        <v>0.96635449019228759</v>
      </c>
      <c r="AZ129">
        <v>2</v>
      </c>
      <c r="BA129" s="129">
        <f t="shared" ref="BA129:BA137" si="166">IF(AZ129="", "",$C$8)</f>
        <v>39775</v>
      </c>
      <c r="BB129" s="207">
        <v>0</v>
      </c>
      <c r="BC129" s="207">
        <v>0</v>
      </c>
      <c r="BD129" s="207">
        <v>0</v>
      </c>
      <c r="BE129" s="207">
        <v>0</v>
      </c>
      <c r="BF129" s="207">
        <v>0</v>
      </c>
      <c r="BG129" s="207">
        <v>0</v>
      </c>
      <c r="BH129" s="207">
        <v>0</v>
      </c>
      <c r="BI129" s="207">
        <v>0</v>
      </c>
      <c r="BJ129" s="207">
        <v>0</v>
      </c>
      <c r="BK129" s="207">
        <v>0</v>
      </c>
      <c r="BL129" s="207">
        <v>0</v>
      </c>
      <c r="BM129" s="207">
        <v>0</v>
      </c>
      <c r="BN129" s="207">
        <v>0</v>
      </c>
      <c r="BO129" s="207">
        <v>0</v>
      </c>
      <c r="BP129" s="207">
        <v>0</v>
      </c>
      <c r="BQ129" s="207">
        <v>0</v>
      </c>
      <c r="BR129" s="207">
        <v>0</v>
      </c>
      <c r="BS129" s="207">
        <v>0</v>
      </c>
      <c r="BT129" s="207">
        <v>0</v>
      </c>
      <c r="BU129" s="207">
        <v>0</v>
      </c>
      <c r="BV129" s="207">
        <v>0</v>
      </c>
      <c r="BW129" s="207">
        <v>0</v>
      </c>
      <c r="BX129" s="207">
        <v>0</v>
      </c>
      <c r="BY129" s="207">
        <v>0</v>
      </c>
      <c r="BZ129" s="207">
        <v>0</v>
      </c>
      <c r="CA129" s="207">
        <v>0</v>
      </c>
      <c r="CB129" s="207">
        <v>0</v>
      </c>
      <c r="CC129" s="207">
        <v>0</v>
      </c>
      <c r="CD129" s="207">
        <v>0</v>
      </c>
      <c r="CE129" s="207">
        <v>0</v>
      </c>
      <c r="CF129" s="207"/>
      <c r="CG129" s="147"/>
      <c r="CH129" s="176"/>
      <c r="CJ129" s="146"/>
      <c r="CK129" s="76">
        <f t="shared" ca="1" si="90"/>
        <v>0.42546660335139119</v>
      </c>
      <c r="CL129" s="179">
        <f t="shared" si="91"/>
        <v>2</v>
      </c>
      <c r="CM129" s="180">
        <f t="shared" si="92"/>
        <v>39775</v>
      </c>
      <c r="CN129" s="208">
        <v>0</v>
      </c>
      <c r="CO129" s="208">
        <v>2</v>
      </c>
      <c r="CP129" s="208">
        <v>9</v>
      </c>
      <c r="CQ129" s="208">
        <v>0</v>
      </c>
      <c r="CR129" s="208">
        <v>0</v>
      </c>
      <c r="CS129" s="208">
        <v>0</v>
      </c>
      <c r="CT129" s="208">
        <v>0</v>
      </c>
      <c r="CU129" s="208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0.44857324638175022</v>
      </c>
      <c r="DD129">
        <f t="shared" si="94"/>
        <v>2</v>
      </c>
      <c r="DE129" s="129">
        <f t="shared" si="165"/>
        <v>39775</v>
      </c>
      <c r="DF129" s="161">
        <f t="shared" si="95"/>
        <v>0</v>
      </c>
      <c r="DG129" s="161">
        <f t="shared" si="96"/>
        <v>37.878787878787875</v>
      </c>
      <c r="DH129" s="161">
        <f t="shared" si="97"/>
        <v>170.45454545454544</v>
      </c>
      <c r="DI129" s="161">
        <f t="shared" si="98"/>
        <v>0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2"/>
        <v>208.33333333333331</v>
      </c>
      <c r="EL129" s="149"/>
      <c r="EN129" s="146"/>
      <c r="EO129" s="146"/>
      <c r="EP129" s="139">
        <f t="shared" si="133"/>
        <v>0</v>
      </c>
      <c r="EQ129" s="139">
        <f t="shared" si="134"/>
        <v>0.27377272727272722</v>
      </c>
      <c r="ER129" s="139">
        <f t="shared" si="135"/>
        <v>7.9556270264872326</v>
      </c>
      <c r="ES129" s="139">
        <f t="shared" si="136"/>
        <v>0</v>
      </c>
      <c r="ET129" s="139">
        <f t="shared" si="137"/>
        <v>0</v>
      </c>
      <c r="EU129" s="139">
        <f t="shared" si="138"/>
        <v>0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8.2293997537599601</v>
      </c>
      <c r="FV129" s="149"/>
      <c r="FY129" s="213">
        <v>124</v>
      </c>
      <c r="FZ129">
        <v>12.948325306963927</v>
      </c>
      <c r="GA129">
        <v>15.104182801693428</v>
      </c>
      <c r="GB129">
        <v>5.2478352355428104</v>
      </c>
      <c r="GC129">
        <v>4.6799739681221046</v>
      </c>
      <c r="GD129">
        <v>2.6171515439534776</v>
      </c>
      <c r="GE129">
        <v>2.3934046932218029</v>
      </c>
      <c r="GF129">
        <v>0.74243490223378261</v>
      </c>
      <c r="GG129">
        <v>1.6515339096268549</v>
      </c>
      <c r="GH129">
        <v>2.1611736260621592</v>
      </c>
      <c r="GI129">
        <v>5.2631866874025723</v>
      </c>
      <c r="GJ129"/>
      <c r="GK129"/>
      <c r="GL129"/>
      <c r="GM129"/>
      <c r="GN129" s="208"/>
      <c r="GO129" s="208"/>
      <c r="GP129" s="208"/>
      <c r="GQ129" s="208"/>
      <c r="GR129" s="208"/>
      <c r="GS129" s="208"/>
      <c r="GT129" s="208"/>
      <c r="GU129" s="213">
        <v>124</v>
      </c>
    </row>
    <row r="130" spans="1:203" s="7" customFormat="1">
      <c r="A130" s="1"/>
      <c r="B130" s="76">
        <f ca="1">IF(C130="", "", RAND())</f>
        <v>0.5544842011755895</v>
      </c>
      <c r="C130">
        <v>10</v>
      </c>
      <c r="D130">
        <v>39775</v>
      </c>
      <c r="E130">
        <v>0</v>
      </c>
      <c r="F130">
        <v>10.416666666666666</v>
      </c>
      <c r="G130">
        <v>93.75</v>
      </c>
      <c r="H130">
        <v>41.666666666666664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88.827906861609947</v>
      </c>
      <c r="AO130">
        <v>15.822802096181528</v>
      </c>
      <c r="AP130">
        <v>103.78383544440231</v>
      </c>
      <c r="AQ130">
        <v>134.81186698626462</v>
      </c>
      <c r="AR130">
        <v>14.749699963217843</v>
      </c>
      <c r="AS130">
        <v>166.53258468411696</v>
      </c>
      <c r="AT130">
        <v>10.08849146551198</v>
      </c>
      <c r="AU130">
        <v>24.225854082714285</v>
      </c>
      <c r="AV130"/>
      <c r="AW130"/>
      <c r="AX130" s="146"/>
      <c r="AY130" s="76">
        <f t="shared" ca="1" si="88"/>
        <v>0.58159544031791288</v>
      </c>
      <c r="AZ130">
        <v>3</v>
      </c>
      <c r="BA130" s="129">
        <f t="shared" si="166"/>
        <v>39775</v>
      </c>
      <c r="BB130" s="207">
        <v>0</v>
      </c>
      <c r="BC130" s="207">
        <v>0</v>
      </c>
      <c r="BD130" s="207">
        <v>0</v>
      </c>
      <c r="BE130" s="207">
        <v>0</v>
      </c>
      <c r="BF130" s="207">
        <v>0</v>
      </c>
      <c r="BG130" s="207">
        <v>0</v>
      </c>
      <c r="BH130" s="207">
        <v>0</v>
      </c>
      <c r="BI130" s="207">
        <v>0</v>
      </c>
      <c r="BJ130" s="207">
        <v>0</v>
      </c>
      <c r="BK130" s="207">
        <v>0</v>
      </c>
      <c r="BL130" s="207">
        <v>0</v>
      </c>
      <c r="BM130" s="207">
        <v>0</v>
      </c>
      <c r="BN130" s="207">
        <v>0</v>
      </c>
      <c r="BO130" s="207">
        <v>0</v>
      </c>
      <c r="BP130" s="207">
        <v>0</v>
      </c>
      <c r="BQ130" s="207">
        <v>0</v>
      </c>
      <c r="BR130" s="207">
        <v>0</v>
      </c>
      <c r="BS130" s="207">
        <v>0</v>
      </c>
      <c r="BT130" s="207">
        <v>0</v>
      </c>
      <c r="BU130" s="207">
        <v>0</v>
      </c>
      <c r="BV130" s="207">
        <v>0</v>
      </c>
      <c r="BW130" s="207">
        <v>0</v>
      </c>
      <c r="BX130" s="207">
        <v>0</v>
      </c>
      <c r="BY130" s="207">
        <v>0</v>
      </c>
      <c r="BZ130" s="207">
        <v>0</v>
      </c>
      <c r="CA130" s="207">
        <v>0</v>
      </c>
      <c r="CB130" s="207">
        <v>0</v>
      </c>
      <c r="CC130" s="207">
        <v>0</v>
      </c>
      <c r="CD130" s="207">
        <v>0</v>
      </c>
      <c r="CE130" s="207">
        <v>0</v>
      </c>
      <c r="CF130" s="207"/>
      <c r="CG130" s="147"/>
      <c r="CH130" s="176"/>
      <c r="CJ130" s="146"/>
      <c r="CK130" s="76">
        <f t="shared" ca="1" si="90"/>
        <v>0.70566656308799725</v>
      </c>
      <c r="CL130" s="179">
        <f t="shared" si="91"/>
        <v>3</v>
      </c>
      <c r="CM130" s="180">
        <f t="shared" si="92"/>
        <v>39775</v>
      </c>
      <c r="CN130" s="208">
        <v>0</v>
      </c>
      <c r="CO130" s="208">
        <v>0</v>
      </c>
      <c r="CP130" s="208">
        <v>4</v>
      </c>
      <c r="CQ130" s="208">
        <v>0</v>
      </c>
      <c r="CR130" s="208">
        <v>0</v>
      </c>
      <c r="CS130" s="208">
        <v>0</v>
      </c>
      <c r="CT130" s="208">
        <v>0</v>
      </c>
      <c r="CU130" s="208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0.96760305369984967</v>
      </c>
      <c r="DD130">
        <f t="shared" si="94"/>
        <v>3</v>
      </c>
      <c r="DE130" s="129">
        <f t="shared" si="165"/>
        <v>39775</v>
      </c>
      <c r="DF130" s="161">
        <f t="shared" si="95"/>
        <v>0</v>
      </c>
      <c r="DG130" s="161">
        <f t="shared" si="96"/>
        <v>0</v>
      </c>
      <c r="DH130" s="161">
        <f t="shared" si="97"/>
        <v>208.33333333333334</v>
      </c>
      <c r="DI130" s="161">
        <f t="shared" si="98"/>
        <v>0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2"/>
        <v>208.33333333333334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9.7235441434843963</v>
      </c>
      <c r="ES130" s="139">
        <f t="shared" si="136"/>
        <v>0</v>
      </c>
      <c r="ET130" s="139">
        <f t="shared" si="137"/>
        <v>0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9.7235441434843963</v>
      </c>
      <c r="FV130" s="149"/>
      <c r="FY130" s="213">
        <v>125</v>
      </c>
      <c r="FZ130">
        <v>24.685427786235014</v>
      </c>
      <c r="GA130">
        <v>28.145173102145073</v>
      </c>
      <c r="GB130">
        <v>4.1224356311192549</v>
      </c>
      <c r="GC130">
        <v>3.8570225398940221</v>
      </c>
      <c r="GD130">
        <v>2.3685751605279197</v>
      </c>
      <c r="GE130">
        <v>2.2298283293121823</v>
      </c>
      <c r="GF130">
        <v>2.4045344005909666</v>
      </c>
      <c r="GG130">
        <v>1.9581802251598386</v>
      </c>
      <c r="GH130">
        <v>0</v>
      </c>
      <c r="GI130">
        <v>6.5458510574402951</v>
      </c>
      <c r="GJ130"/>
      <c r="GK130"/>
      <c r="GL130"/>
      <c r="GM130"/>
      <c r="GN130" s="208"/>
      <c r="GO130" s="208"/>
      <c r="GP130" s="208"/>
      <c r="GQ130" s="208"/>
      <c r="GR130" s="208"/>
      <c r="GS130" s="208"/>
      <c r="GT130" s="208"/>
      <c r="GU130" s="213">
        <v>125</v>
      </c>
    </row>
    <row r="131" spans="1:203" s="7" customFormat="1">
      <c r="A131" s="1"/>
      <c r="B131" s="76">
        <f ca="1">IF(C131="", "", RAND())</f>
        <v>0.21056834158039806</v>
      </c>
      <c r="C131">
        <v>9</v>
      </c>
      <c r="D131">
        <v>39775</v>
      </c>
      <c r="E131">
        <v>0</v>
      </c>
      <c r="F131">
        <v>0</v>
      </c>
      <c r="G131">
        <v>20.833333333333332</v>
      </c>
      <c r="H131">
        <v>10.416666666666666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88.159795330599067</v>
      </c>
      <c r="AO131">
        <v>10.365631647999608</v>
      </c>
      <c r="AP131">
        <v>47.922308272144583</v>
      </c>
      <c r="AQ131">
        <v>76.872629791364815</v>
      </c>
      <c r="AR131">
        <v>9.6083379066569616</v>
      </c>
      <c r="AS131">
        <v>141.28107416217438</v>
      </c>
      <c r="AT131" t="e">
        <v>#DIV/0!</v>
      </c>
      <c r="AU131" t="e">
        <v>#DIV/0!</v>
      </c>
      <c r="AV131"/>
      <c r="AW131"/>
      <c r="AX131" s="146"/>
      <c r="AY131" s="76">
        <f t="shared" ca="1" si="88"/>
        <v>0.98509421960778587</v>
      </c>
      <c r="AZ131">
        <v>4</v>
      </c>
      <c r="BA131" s="129">
        <f t="shared" si="166"/>
        <v>39775</v>
      </c>
      <c r="BB131" s="207">
        <v>0</v>
      </c>
      <c r="BC131" s="207">
        <v>0</v>
      </c>
      <c r="BD131" s="207">
        <v>0</v>
      </c>
      <c r="BE131" s="207">
        <v>0</v>
      </c>
      <c r="BF131" s="207">
        <v>0</v>
      </c>
      <c r="BG131" s="207">
        <v>0</v>
      </c>
      <c r="BH131" s="207">
        <v>0</v>
      </c>
      <c r="BI131" s="207">
        <v>0</v>
      </c>
      <c r="BJ131" s="207">
        <v>0</v>
      </c>
      <c r="BK131" s="207">
        <v>0</v>
      </c>
      <c r="BL131" s="207">
        <v>0</v>
      </c>
      <c r="BM131" s="207">
        <v>0</v>
      </c>
      <c r="BN131" s="207">
        <v>0</v>
      </c>
      <c r="BO131" s="207">
        <v>0</v>
      </c>
      <c r="BP131" s="207">
        <v>0</v>
      </c>
      <c r="BQ131" s="207">
        <v>0</v>
      </c>
      <c r="BR131" s="207">
        <v>0</v>
      </c>
      <c r="BS131" s="207">
        <v>0</v>
      </c>
      <c r="BT131" s="207">
        <v>0</v>
      </c>
      <c r="BU131" s="207">
        <v>0</v>
      </c>
      <c r="BV131" s="207">
        <v>0</v>
      </c>
      <c r="BW131" s="207">
        <v>0</v>
      </c>
      <c r="BX131" s="207">
        <v>0</v>
      </c>
      <c r="BY131" s="207">
        <v>0</v>
      </c>
      <c r="BZ131" s="207">
        <v>0</v>
      </c>
      <c r="CA131" s="207">
        <v>0</v>
      </c>
      <c r="CB131" s="207">
        <v>0</v>
      </c>
      <c r="CC131" s="207">
        <v>0</v>
      </c>
      <c r="CD131" s="207">
        <v>0</v>
      </c>
      <c r="CE131" s="207">
        <v>0</v>
      </c>
      <c r="CF131" s="207"/>
      <c r="CG131" s="147"/>
      <c r="CH131" s="176"/>
      <c r="CJ131" s="146"/>
      <c r="CK131" s="76">
        <f t="shared" ca="1" si="90"/>
        <v>0.84264195944980003</v>
      </c>
      <c r="CL131" s="179">
        <f t="shared" si="91"/>
        <v>4</v>
      </c>
      <c r="CM131" s="180">
        <f t="shared" si="92"/>
        <v>39775</v>
      </c>
      <c r="CN131" s="208">
        <v>0</v>
      </c>
      <c r="CO131" s="208">
        <v>0</v>
      </c>
      <c r="CP131" s="208">
        <v>3</v>
      </c>
      <c r="CQ131" s="208">
        <v>0</v>
      </c>
      <c r="CR131" s="208">
        <v>0</v>
      </c>
      <c r="CS131" s="208">
        <v>0</v>
      </c>
      <c r="CT131" s="208">
        <v>0</v>
      </c>
      <c r="CU131" s="208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8.0160014198207286E-2</v>
      </c>
      <c r="DD131">
        <f t="shared" si="94"/>
        <v>4</v>
      </c>
      <c r="DE131" s="129">
        <f t="shared" si="165"/>
        <v>39775</v>
      </c>
      <c r="DF131" s="161">
        <f t="shared" si="95"/>
        <v>0</v>
      </c>
      <c r="DG131" s="161">
        <f t="shared" si="96"/>
        <v>0</v>
      </c>
      <c r="DH131" s="161">
        <f t="shared" si="97"/>
        <v>31.25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2"/>
        <v>31.25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1.4585316215226594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1.4585316215226594</v>
      </c>
      <c r="FV131" s="149"/>
      <c r="FY131" s="213">
        <v>126</v>
      </c>
      <c r="FZ131">
        <v>36.517788950689187</v>
      </c>
      <c r="GA131">
        <v>47.316905670867456</v>
      </c>
      <c r="GB131">
        <v>9.1598473141052512</v>
      </c>
      <c r="GC131">
        <v>4.5015358698053021</v>
      </c>
      <c r="GD131">
        <v>2.0211763263837046</v>
      </c>
      <c r="GE131">
        <v>2.6810644629362086</v>
      </c>
      <c r="GF131">
        <v>2.6477794509296837</v>
      </c>
      <c r="GG131">
        <v>3.1578399327030642</v>
      </c>
      <c r="GH131">
        <v>2.1611736260621592</v>
      </c>
      <c r="GI131">
        <v>9.7481694620701997</v>
      </c>
      <c r="GJ131"/>
      <c r="GK131"/>
      <c r="GL131"/>
      <c r="GM131"/>
      <c r="GN131" s="208"/>
      <c r="GO131" s="208"/>
      <c r="GP131" s="208"/>
      <c r="GQ131" s="208"/>
      <c r="GR131" s="208"/>
      <c r="GS131" s="208"/>
      <c r="GT131" s="208"/>
      <c r="GU131" s="213">
        <v>126</v>
      </c>
    </row>
    <row r="132" spans="1:203" s="7" customFormat="1">
      <c r="A132" s="1"/>
      <c r="B132" s="76">
        <f ca="1">IF(C132="", "", RAND())</f>
        <v>0.62465421156654322</v>
      </c>
      <c r="C132">
        <v>8</v>
      </c>
      <c r="D132">
        <v>39775</v>
      </c>
      <c r="E132">
        <v>0</v>
      </c>
      <c r="F132">
        <v>0</v>
      </c>
      <c r="G132">
        <v>364.58333333333331</v>
      </c>
      <c r="H132">
        <v>34.722222222222221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85.767304263659497</v>
      </c>
      <c r="AO132">
        <v>15.445572354045215</v>
      </c>
      <c r="AP132">
        <v>100.4351314380708</v>
      </c>
      <c r="AQ132">
        <v>127.70741108721812</v>
      </c>
      <c r="AR132">
        <v>14.182466189588679</v>
      </c>
      <c r="AS132">
        <v>175.26360896741357</v>
      </c>
      <c r="AT132" t="e">
        <v>#DIV/0!</v>
      </c>
      <c r="AU132" t="e">
        <v>#DIV/0!</v>
      </c>
      <c r="AV132"/>
      <c r="AW132"/>
      <c r="AX132" s="146"/>
      <c r="AY132" s="76">
        <f t="shared" ca="1" si="88"/>
        <v>0.95208242492893258</v>
      </c>
      <c r="AZ132">
        <v>5</v>
      </c>
      <c r="BA132" s="129">
        <f t="shared" si="166"/>
        <v>39775</v>
      </c>
      <c r="BB132" s="207">
        <v>0</v>
      </c>
      <c r="BC132" s="207">
        <v>0</v>
      </c>
      <c r="BD132" s="207">
        <v>0</v>
      </c>
      <c r="BE132" s="207">
        <v>0</v>
      </c>
      <c r="BF132" s="207">
        <v>0</v>
      </c>
      <c r="BG132" s="207">
        <v>0</v>
      </c>
      <c r="BH132" s="207">
        <v>0</v>
      </c>
      <c r="BI132" s="207">
        <v>0</v>
      </c>
      <c r="BJ132" s="207">
        <v>0</v>
      </c>
      <c r="BK132" s="207">
        <v>0</v>
      </c>
      <c r="BL132" s="207">
        <v>0</v>
      </c>
      <c r="BM132" s="207">
        <v>0</v>
      </c>
      <c r="BN132" s="207">
        <v>0</v>
      </c>
      <c r="BO132" s="207">
        <v>0</v>
      </c>
      <c r="BP132" s="207">
        <v>0</v>
      </c>
      <c r="BQ132" s="207">
        <v>0</v>
      </c>
      <c r="BR132" s="207">
        <v>0</v>
      </c>
      <c r="BS132" s="207">
        <v>0</v>
      </c>
      <c r="BT132" s="207">
        <v>0</v>
      </c>
      <c r="BU132" s="207">
        <v>0</v>
      </c>
      <c r="BV132" s="207">
        <v>0</v>
      </c>
      <c r="BW132" s="207">
        <v>0</v>
      </c>
      <c r="BX132" s="207">
        <v>0</v>
      </c>
      <c r="BY132" s="207">
        <v>0</v>
      </c>
      <c r="BZ132" s="207">
        <v>0</v>
      </c>
      <c r="CA132" s="207">
        <v>0</v>
      </c>
      <c r="CB132" s="207">
        <v>0</v>
      </c>
      <c r="CC132" s="207">
        <v>0</v>
      </c>
      <c r="CD132" s="207">
        <v>0</v>
      </c>
      <c r="CE132" s="207">
        <v>0</v>
      </c>
      <c r="CF132" s="207"/>
      <c r="CG132" s="147"/>
      <c r="CH132" s="176"/>
      <c r="CJ132" s="146"/>
      <c r="CK132" s="76">
        <f t="shared" ca="1" si="90"/>
        <v>0.97670042277794167</v>
      </c>
      <c r="CL132" s="179">
        <f t="shared" si="91"/>
        <v>5</v>
      </c>
      <c r="CM132" s="180">
        <f t="shared" si="92"/>
        <v>39775</v>
      </c>
      <c r="CN132" s="208">
        <v>0</v>
      </c>
      <c r="CO132" s="208">
        <v>0</v>
      </c>
      <c r="CP132" s="208">
        <v>6</v>
      </c>
      <c r="CQ132" s="208">
        <v>0</v>
      </c>
      <c r="CR132" s="208">
        <v>0</v>
      </c>
      <c r="CS132" s="208">
        <v>0</v>
      </c>
      <c r="CT132" s="208">
        <v>0</v>
      </c>
      <c r="CU132" s="208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0.83442831442178922</v>
      </c>
      <c r="DD132">
        <f t="shared" si="94"/>
        <v>5</v>
      </c>
      <c r="DE132" s="129">
        <f t="shared" si="165"/>
        <v>39775</v>
      </c>
      <c r="DF132" s="161">
        <f t="shared" si="95"/>
        <v>0</v>
      </c>
      <c r="DG132" s="161">
        <f t="shared" si="96"/>
        <v>0</v>
      </c>
      <c r="DH132" s="161">
        <f t="shared" si="97"/>
        <v>178.57142857142856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2"/>
        <v>178.57142857142856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8.3344664087009104</v>
      </c>
      <c r="ES132" s="139">
        <f t="shared" si="136"/>
        <v>0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8.3344664087009104</v>
      </c>
      <c r="FV132" s="149"/>
      <c r="FY132" s="213">
        <v>127</v>
      </c>
      <c r="FZ132">
        <v>10.468306023590406</v>
      </c>
      <c r="GA132">
        <v>14.990220400296664</v>
      </c>
      <c r="GB132">
        <v>8.48468941930882</v>
      </c>
      <c r="GC132">
        <v>5.2089220311641613</v>
      </c>
      <c r="GD132">
        <v>2.2561834719539617</v>
      </c>
      <c r="GE132">
        <v>2.3116851320028777</v>
      </c>
      <c r="GF132">
        <v>0.78244231388108421</v>
      </c>
      <c r="GG132">
        <v>1.8037256142351259</v>
      </c>
      <c r="GH132">
        <v>2.1611736260621592</v>
      </c>
      <c r="GI132">
        <v>5.5261288688704715</v>
      </c>
      <c r="GJ132"/>
      <c r="GK132"/>
      <c r="GL132"/>
      <c r="GM132"/>
      <c r="GN132" s="208"/>
      <c r="GO132" s="208"/>
      <c r="GP132" s="208"/>
      <c r="GQ132" s="208"/>
      <c r="GR132" s="208"/>
      <c r="GS132" s="208"/>
      <c r="GT132" s="208"/>
      <c r="GU132" s="213">
        <v>127</v>
      </c>
    </row>
    <row r="133" spans="1:203" s="7" customFormat="1">
      <c r="A133" s="1"/>
      <c r="B133" s="76">
        <f ca="1">IF(C133="", "", RAND())</f>
        <v>0.39028099288855844</v>
      </c>
      <c r="C133">
        <v>6</v>
      </c>
      <c r="D133">
        <v>39775</v>
      </c>
      <c r="E133">
        <v>0</v>
      </c>
      <c r="F133">
        <v>10.416666666666666</v>
      </c>
      <c r="G133">
        <v>10.416666666666666</v>
      </c>
      <c r="H133">
        <v>20.833333333333332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83.229289440135034</v>
      </c>
      <c r="AO133">
        <v>12.164436825677724</v>
      </c>
      <c r="AP133">
        <v>82.205636995523435</v>
      </c>
      <c r="AQ133">
        <v>90.654708325303119</v>
      </c>
      <c r="AR133">
        <v>11.303631431807958</v>
      </c>
      <c r="AS133">
        <v>154.72764412343582</v>
      </c>
      <c r="AT133" t="e">
        <v>#DIV/0!</v>
      </c>
      <c r="AU133" t="e">
        <v>#DIV/0!</v>
      </c>
      <c r="AV133"/>
      <c r="AW133"/>
      <c r="AX133" s="146"/>
      <c r="AY133" s="76">
        <f t="shared" ca="1" si="88"/>
        <v>0.67847124378307577</v>
      </c>
      <c r="AZ133">
        <v>6</v>
      </c>
      <c r="BA133" s="129">
        <f t="shared" si="166"/>
        <v>39775</v>
      </c>
      <c r="BB133" s="207">
        <v>0</v>
      </c>
      <c r="BC133" s="207">
        <v>0</v>
      </c>
      <c r="BD133" s="207">
        <v>0</v>
      </c>
      <c r="BE133" s="207">
        <v>1</v>
      </c>
      <c r="BF133" s="207">
        <v>0</v>
      </c>
      <c r="BG133" s="207">
        <v>0</v>
      </c>
      <c r="BH133" s="207">
        <v>0</v>
      </c>
      <c r="BI133" s="207">
        <v>0</v>
      </c>
      <c r="BJ133" s="207">
        <v>0</v>
      </c>
      <c r="BK133" s="207">
        <v>0</v>
      </c>
      <c r="BL133" s="207">
        <v>0</v>
      </c>
      <c r="BM133" s="207">
        <v>0</v>
      </c>
      <c r="BN133" s="207">
        <v>0</v>
      </c>
      <c r="BO133" s="207">
        <v>0</v>
      </c>
      <c r="BP133" s="207">
        <v>0</v>
      </c>
      <c r="BQ133" s="207">
        <v>0</v>
      </c>
      <c r="BR133" s="207">
        <v>0</v>
      </c>
      <c r="BS133" s="207">
        <v>0</v>
      </c>
      <c r="BT133" s="207">
        <v>0</v>
      </c>
      <c r="BU133" s="207">
        <v>0</v>
      </c>
      <c r="BV133" s="207">
        <v>0</v>
      </c>
      <c r="BW133" s="207">
        <v>0</v>
      </c>
      <c r="BX133" s="207">
        <v>0</v>
      </c>
      <c r="BY133" s="207">
        <v>0</v>
      </c>
      <c r="BZ133" s="207">
        <v>0</v>
      </c>
      <c r="CA133" s="207">
        <v>0</v>
      </c>
      <c r="CB133" s="207">
        <v>0</v>
      </c>
      <c r="CC133" s="207">
        <v>0</v>
      </c>
      <c r="CD133" s="207">
        <v>0</v>
      </c>
      <c r="CE133" s="207">
        <v>0</v>
      </c>
      <c r="CF133" s="207"/>
      <c r="CG133" s="147"/>
      <c r="CH133" s="176"/>
      <c r="CJ133" s="146"/>
      <c r="CK133" s="76">
        <f t="shared" ca="1" si="90"/>
        <v>0.53888073649595913</v>
      </c>
      <c r="CL133" s="179">
        <f t="shared" si="91"/>
        <v>6</v>
      </c>
      <c r="CM133" s="180">
        <f t="shared" si="92"/>
        <v>39775</v>
      </c>
      <c r="CN133" s="208">
        <v>0</v>
      </c>
      <c r="CO133" s="208">
        <v>1</v>
      </c>
      <c r="CP133" s="208">
        <v>1</v>
      </c>
      <c r="CQ133" s="208">
        <v>1</v>
      </c>
      <c r="CR133" s="208">
        <v>0</v>
      </c>
      <c r="CS133" s="208">
        <v>0</v>
      </c>
      <c r="CT133" s="208">
        <v>0</v>
      </c>
      <c r="CU133" s="208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0.75437626971161098</v>
      </c>
      <c r="DD133">
        <f t="shared" si="94"/>
        <v>6</v>
      </c>
      <c r="DE133" s="129">
        <f t="shared" si="165"/>
        <v>39775</v>
      </c>
      <c r="DF133" s="161">
        <f t="shared" si="95"/>
        <v>0</v>
      </c>
      <c r="DG133" s="161">
        <f t="shared" si="96"/>
        <v>10.416666666666666</v>
      </c>
      <c r="DH133" s="161">
        <f t="shared" si="97"/>
        <v>10.416666666666666</v>
      </c>
      <c r="DI133" s="161">
        <f t="shared" si="98"/>
        <v>20.833333333333332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2"/>
        <v>41.666666666666664</v>
      </c>
      <c r="EL133" s="149"/>
      <c r="EN133" s="146"/>
      <c r="EO133" s="146"/>
      <c r="EP133" s="139">
        <f t="shared" si="133"/>
        <v>0</v>
      </c>
      <c r="EQ133" s="139">
        <f t="shared" si="134"/>
        <v>7.5287499999999993E-2</v>
      </c>
      <c r="ER133" s="139">
        <f t="shared" si="135"/>
        <v>0.48617720717421975</v>
      </c>
      <c r="ES133" s="139">
        <f t="shared" si="136"/>
        <v>2.8952506533745592</v>
      </c>
      <c r="ET133" s="139">
        <f t="shared" si="137"/>
        <v>0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3.4567153605487788</v>
      </c>
      <c r="FV133" s="149"/>
      <c r="FY133" s="213">
        <v>128</v>
      </c>
      <c r="FZ133">
        <v>32.008531536941014</v>
      </c>
      <c r="GA133">
        <v>38.268410048431214</v>
      </c>
      <c r="GB133">
        <v>10.238692928728078</v>
      </c>
      <c r="GC133">
        <v>5.9820497000859341</v>
      </c>
      <c r="GD133">
        <v>1.8165394615093335</v>
      </c>
      <c r="GE133">
        <v>2.1238806427939116</v>
      </c>
      <c r="GF133">
        <v>3.4805098464252771</v>
      </c>
      <c r="GG133">
        <v>3.8839038847197989</v>
      </c>
      <c r="GH133">
        <v>1.5603693116103559</v>
      </c>
      <c r="GI133">
        <v>9.2430754163572164</v>
      </c>
      <c r="GJ133"/>
      <c r="GK133"/>
      <c r="GL133"/>
      <c r="GM133"/>
      <c r="GN133" s="208"/>
      <c r="GO133" s="208"/>
      <c r="GP133" s="208"/>
      <c r="GQ133" s="208"/>
      <c r="GR133" s="208"/>
      <c r="GS133" s="208"/>
      <c r="GT133" s="208"/>
      <c r="GU133" s="213">
        <v>128</v>
      </c>
    </row>
    <row r="134" spans="1:203" s="7" customFormat="1">
      <c r="A134" s="1"/>
      <c r="B134" s="76">
        <f ca="1">IF(C134="", "", RAND())</f>
        <v>0.1508543929121533</v>
      </c>
      <c r="C134">
        <v>2</v>
      </c>
      <c r="D134">
        <v>39775</v>
      </c>
      <c r="E134">
        <v>0</v>
      </c>
      <c r="F134">
        <v>37.878787878787875</v>
      </c>
      <c r="G134">
        <v>170.45454545454544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81.119292007622349</v>
      </c>
      <c r="AO134">
        <v>15.120222687034772</v>
      </c>
      <c r="AP134">
        <v>67.653663018109455</v>
      </c>
      <c r="AQ134">
        <v>118.59728623853272</v>
      </c>
      <c r="AR134">
        <v>13.780916182418503</v>
      </c>
      <c r="AS134">
        <v>148.00579848961854</v>
      </c>
      <c r="AT134" t="e">
        <v>#DIV/0!</v>
      </c>
      <c r="AU134" t="e">
        <v>#DIV/0!</v>
      </c>
      <c r="AV134"/>
      <c r="AW134"/>
      <c r="AX134" s="146"/>
      <c r="AY134" s="76">
        <f t="shared" ca="1" si="88"/>
        <v>0.41788460948215023</v>
      </c>
      <c r="AZ134">
        <v>7</v>
      </c>
      <c r="BA134" s="129">
        <f t="shared" si="166"/>
        <v>39775</v>
      </c>
      <c r="BB134" s="207">
        <v>0</v>
      </c>
      <c r="BC134" s="207">
        <v>1</v>
      </c>
      <c r="BD134" s="207">
        <v>0</v>
      </c>
      <c r="BE134" s="207">
        <v>4</v>
      </c>
      <c r="BF134" s="207">
        <v>1</v>
      </c>
      <c r="BG134" s="207">
        <v>1</v>
      </c>
      <c r="BH134" s="207">
        <v>0</v>
      </c>
      <c r="BI134" s="207">
        <v>0</v>
      </c>
      <c r="BJ134" s="207">
        <v>0</v>
      </c>
      <c r="BK134" s="207">
        <v>0</v>
      </c>
      <c r="BL134" s="207">
        <v>0</v>
      </c>
      <c r="BM134" s="207">
        <v>0</v>
      </c>
      <c r="BN134" s="207">
        <v>0</v>
      </c>
      <c r="BO134" s="207">
        <v>0</v>
      </c>
      <c r="BP134" s="207">
        <v>0</v>
      </c>
      <c r="BQ134" s="207">
        <v>0</v>
      </c>
      <c r="BR134" s="207">
        <v>0</v>
      </c>
      <c r="BS134" s="207">
        <v>0</v>
      </c>
      <c r="BT134" s="207">
        <v>0</v>
      </c>
      <c r="BU134" s="207">
        <v>0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A134" s="207">
        <v>0</v>
      </c>
      <c r="CB134" s="207">
        <v>0</v>
      </c>
      <c r="CC134" s="207">
        <v>0</v>
      </c>
      <c r="CD134" s="207">
        <v>0</v>
      </c>
      <c r="CE134" s="207">
        <v>0</v>
      </c>
      <c r="CF134" s="207"/>
      <c r="CG134" s="147"/>
      <c r="CH134" s="176"/>
      <c r="CJ134" s="146"/>
      <c r="CK134" s="76">
        <f t="shared" ca="1" si="90"/>
        <v>0.33553324591592659</v>
      </c>
      <c r="CL134" s="179">
        <f t="shared" si="91"/>
        <v>7</v>
      </c>
      <c r="CM134" s="180">
        <f t="shared" si="92"/>
        <v>39775</v>
      </c>
      <c r="CN134" s="208">
        <v>0</v>
      </c>
      <c r="CO134" s="208">
        <v>0</v>
      </c>
      <c r="CP134" s="208">
        <v>0</v>
      </c>
      <c r="CQ134" s="208">
        <v>0</v>
      </c>
      <c r="CR134" s="208">
        <v>0</v>
      </c>
      <c r="CS134" s="208">
        <v>0</v>
      </c>
      <c r="CT134" s="208">
        <v>0</v>
      </c>
      <c r="CU134" s="208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0.85615055877700574</v>
      </c>
      <c r="DD134">
        <f t="shared" si="94"/>
        <v>7</v>
      </c>
      <c r="DE134" s="129">
        <f t="shared" si="165"/>
        <v>39775</v>
      </c>
      <c r="DF134" s="161">
        <f t="shared" si="95"/>
        <v>0</v>
      </c>
      <c r="DG134" s="161">
        <f t="shared" si="96"/>
        <v>14.204545454545453</v>
      </c>
      <c r="DH134" s="161">
        <f t="shared" si="97"/>
        <v>0</v>
      </c>
      <c r="DI134" s="161">
        <f t="shared" si="98"/>
        <v>56.818181818181813</v>
      </c>
      <c r="DJ134" s="161">
        <f t="shared" si="99"/>
        <v>14.204545454545453</v>
      </c>
      <c r="DK134" s="161">
        <f t="shared" si="100"/>
        <v>14.204545454545453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2"/>
        <v>99.431818181818173</v>
      </c>
      <c r="EL134" s="149"/>
      <c r="EN134" s="146"/>
      <c r="EO134" s="146"/>
      <c r="EP134" s="139">
        <f t="shared" si="133"/>
        <v>0</v>
      </c>
      <c r="EQ134" s="139">
        <f t="shared" si="134"/>
        <v>0.10266477272727272</v>
      </c>
      <c r="ER134" s="139">
        <f t="shared" si="135"/>
        <v>0</v>
      </c>
      <c r="ES134" s="139">
        <f t="shared" si="136"/>
        <v>7.8961381455669803</v>
      </c>
      <c r="ET134" s="139">
        <f t="shared" si="137"/>
        <v>4.2811937894264265</v>
      </c>
      <c r="EU134" s="139">
        <f t="shared" si="138"/>
        <v>7.8045835057510216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20.084580213471703</v>
      </c>
      <c r="FV134" s="149"/>
      <c r="FY134" s="213">
        <v>129</v>
      </c>
      <c r="FZ134">
        <v>36.174705097030284</v>
      </c>
      <c r="GA134">
        <v>43.514633255930917</v>
      </c>
      <c r="GB134">
        <v>8.3255002190987195</v>
      </c>
      <c r="GC134">
        <v>5.6073968077032399</v>
      </c>
      <c r="GD134">
        <v>2.6395455437937487</v>
      </c>
      <c r="GE134">
        <v>2.8029931255493823</v>
      </c>
      <c r="GF134">
        <v>6.0004152926093868</v>
      </c>
      <c r="GG134">
        <v>7.1986751733541778</v>
      </c>
      <c r="GH134">
        <v>3.7215429376725151</v>
      </c>
      <c r="GI134">
        <v>10.679293538178749</v>
      </c>
      <c r="GJ134"/>
      <c r="GK134"/>
      <c r="GL134"/>
      <c r="GM134"/>
      <c r="GN134" s="208"/>
      <c r="GO134" s="208"/>
      <c r="GP134" s="208"/>
      <c r="GQ134" s="208"/>
      <c r="GR134" s="208"/>
      <c r="GS134" s="208"/>
      <c r="GT134" s="208"/>
      <c r="GU134" s="213">
        <v>129</v>
      </c>
    </row>
    <row r="135" spans="1:203" s="7" customFormat="1">
      <c r="A135" s="1"/>
      <c r="B135" s="76">
        <f ca="1">IF(C135="", "", RAND())</f>
        <v>0.2451538403436031</v>
      </c>
      <c r="C135">
        <v>3</v>
      </c>
      <c r="D135">
        <v>39775</v>
      </c>
      <c r="E135">
        <v>0</v>
      </c>
      <c r="F135">
        <v>0</v>
      </c>
      <c r="G135">
        <v>208.33333333333334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89.373667086566414</v>
      </c>
      <c r="AO135">
        <v>13.881616878594505</v>
      </c>
      <c r="AP135">
        <v>62.846013679622793</v>
      </c>
      <c r="AQ135">
        <v>115.73304703400497</v>
      </c>
      <c r="AR135">
        <v>12.670281028657127</v>
      </c>
      <c r="AS135">
        <v>157.1899757206902</v>
      </c>
      <c r="AT135" t="e">
        <v>#DIV/0!</v>
      </c>
      <c r="AU135" t="e">
        <v>#DIV/0!</v>
      </c>
      <c r="AV135"/>
      <c r="AW135"/>
      <c r="AX135" s="146"/>
      <c r="AY135" s="76">
        <f t="shared" ca="1" si="88"/>
        <v>0.51010564762049437</v>
      </c>
      <c r="AZ135">
        <v>8</v>
      </c>
      <c r="BA135" s="129">
        <f t="shared" si="166"/>
        <v>39775</v>
      </c>
      <c r="BB135" s="207">
        <v>0</v>
      </c>
      <c r="BC135" s="207">
        <v>0</v>
      </c>
      <c r="BD135" s="207">
        <v>0</v>
      </c>
      <c r="BE135" s="207">
        <v>1</v>
      </c>
      <c r="BF135" s="207">
        <v>0</v>
      </c>
      <c r="BG135" s="207">
        <v>0</v>
      </c>
      <c r="BH135" s="207">
        <v>0</v>
      </c>
      <c r="BI135" s="207">
        <v>0</v>
      </c>
      <c r="BJ135" s="207">
        <v>0</v>
      </c>
      <c r="BK135" s="207">
        <v>0</v>
      </c>
      <c r="BL135" s="207">
        <v>0</v>
      </c>
      <c r="BM135" s="207">
        <v>0</v>
      </c>
      <c r="BN135" s="207">
        <v>0</v>
      </c>
      <c r="BO135" s="207">
        <v>0</v>
      </c>
      <c r="BP135" s="207">
        <v>0</v>
      </c>
      <c r="BQ135" s="207">
        <v>0</v>
      </c>
      <c r="BR135" s="207">
        <v>0</v>
      </c>
      <c r="BS135" s="207">
        <v>0</v>
      </c>
      <c r="BT135" s="207">
        <v>0</v>
      </c>
      <c r="BU135" s="207">
        <v>0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A135" s="207">
        <v>0</v>
      </c>
      <c r="CB135" s="207">
        <v>0</v>
      </c>
      <c r="CC135" s="207">
        <v>0</v>
      </c>
      <c r="CD135" s="207">
        <v>0</v>
      </c>
      <c r="CE135" s="207">
        <v>0</v>
      </c>
      <c r="CF135" s="207"/>
      <c r="CG135" s="147"/>
      <c r="CH135" s="176"/>
      <c r="CJ135" s="146"/>
      <c r="CK135" s="76">
        <f t="shared" ca="1" si="90"/>
        <v>0.63490813720789685</v>
      </c>
      <c r="CL135" s="179">
        <f t="shared" si="91"/>
        <v>8</v>
      </c>
      <c r="CM135" s="180">
        <f t="shared" si="92"/>
        <v>39775</v>
      </c>
      <c r="CN135" s="208">
        <v>0</v>
      </c>
      <c r="CO135" s="208">
        <v>0</v>
      </c>
      <c r="CP135" s="208">
        <v>7</v>
      </c>
      <c r="CQ135" s="208">
        <v>0</v>
      </c>
      <c r="CR135" s="208">
        <v>0</v>
      </c>
      <c r="CS135" s="208">
        <v>0</v>
      </c>
      <c r="CT135" s="208">
        <v>0</v>
      </c>
      <c r="CU135" s="208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0.42781986175277353</v>
      </c>
      <c r="DD135">
        <f t="shared" si="94"/>
        <v>8</v>
      </c>
      <c r="DE135" s="129">
        <f t="shared" si="165"/>
        <v>39775</v>
      </c>
      <c r="DF135" s="161">
        <f t="shared" si="95"/>
        <v>0</v>
      </c>
      <c r="DG135" s="161">
        <f t="shared" si="96"/>
        <v>0</v>
      </c>
      <c r="DH135" s="161">
        <f t="shared" si="97"/>
        <v>364.58333333333331</v>
      </c>
      <c r="DI135" s="161">
        <f t="shared" si="98"/>
        <v>34.722222222222221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2"/>
        <v>399.30555555555554</v>
      </c>
      <c r="EL135" s="149"/>
      <c r="EN135" s="146"/>
      <c r="EO135" s="146"/>
      <c r="EP135" s="139">
        <f t="shared" si="133"/>
        <v>0</v>
      </c>
      <c r="EQ135" s="139">
        <f t="shared" si="134"/>
        <v>0</v>
      </c>
      <c r="ER135" s="139">
        <f t="shared" si="135"/>
        <v>17.016202251097692</v>
      </c>
      <c r="ES135" s="139">
        <f t="shared" si="136"/>
        <v>4.8254177556242661</v>
      </c>
      <c r="ET135" s="139">
        <f t="shared" si="137"/>
        <v>0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21.841620006721957</v>
      </c>
      <c r="FV135" s="149"/>
      <c r="FY135" s="213">
        <v>130</v>
      </c>
      <c r="FZ135">
        <v>13.415382211805476</v>
      </c>
      <c r="GA135">
        <v>19.928535417975098</v>
      </c>
      <c r="GB135">
        <v>6.6956098421289916</v>
      </c>
      <c r="GC135">
        <v>3.3206234193638759</v>
      </c>
      <c r="GD135">
        <v>1.9664920792229561</v>
      </c>
      <c r="GE135">
        <v>2.1645211447469901</v>
      </c>
      <c r="GF135">
        <v>3.6141006460359124</v>
      </c>
      <c r="GG135">
        <v>3.9605075276263308</v>
      </c>
      <c r="GH135">
        <v>3.3627822549657664</v>
      </c>
      <c r="GI135">
        <v>6.0762928419858193</v>
      </c>
      <c r="GJ135"/>
      <c r="GK135"/>
      <c r="GL135"/>
      <c r="GM135"/>
      <c r="GN135" s="208"/>
      <c r="GO135" s="208"/>
      <c r="GP135" s="208"/>
      <c r="GQ135" s="208"/>
      <c r="GR135" s="208"/>
      <c r="GS135" s="208"/>
      <c r="GT135" s="208"/>
      <c r="GU135" s="213">
        <v>130</v>
      </c>
    </row>
    <row r="136" spans="1:203" s="7" customFormat="1">
      <c r="A136" s="1"/>
      <c r="B136" s="76">
        <f ca="1">IF(C136="", "", RAND())</f>
        <v>0.93009232597743763</v>
      </c>
      <c r="C136">
        <v>4</v>
      </c>
      <c r="D136">
        <v>39775</v>
      </c>
      <c r="E136">
        <v>0</v>
      </c>
      <c r="F136">
        <v>0</v>
      </c>
      <c r="G136">
        <v>31.25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77.254484811165838</v>
      </c>
      <c r="AO136">
        <v>11.126450381918591</v>
      </c>
      <c r="AP136">
        <v>51.629902916535478</v>
      </c>
      <c r="AQ136">
        <v>73.983907860688831</v>
      </c>
      <c r="AR136">
        <v>10.236649786376596</v>
      </c>
      <c r="AS136">
        <v>131.98734585359429</v>
      </c>
      <c r="AT136">
        <v>6.1659455825621547</v>
      </c>
      <c r="AU136">
        <v>-29.827976769449506</v>
      </c>
      <c r="AV136"/>
      <c r="AW136"/>
      <c r="AX136" s="146"/>
      <c r="AY136" s="76">
        <f t="shared" ca="1" si="88"/>
        <v>0.52649325592790674</v>
      </c>
      <c r="AZ136">
        <v>9</v>
      </c>
      <c r="BA136" s="129">
        <f t="shared" si="166"/>
        <v>39775</v>
      </c>
      <c r="BB136" s="207">
        <v>0</v>
      </c>
      <c r="BC136" s="207">
        <v>0</v>
      </c>
      <c r="BD136" s="207">
        <v>0</v>
      </c>
      <c r="BE136" s="207">
        <v>0</v>
      </c>
      <c r="BF136" s="207">
        <v>0</v>
      </c>
      <c r="BG136" s="207">
        <v>0</v>
      </c>
      <c r="BH136" s="207">
        <v>0</v>
      </c>
      <c r="BI136" s="207">
        <v>0</v>
      </c>
      <c r="BJ136" s="207">
        <v>0</v>
      </c>
      <c r="BK136" s="207">
        <v>0</v>
      </c>
      <c r="BL136" s="207">
        <v>0</v>
      </c>
      <c r="BM136" s="207">
        <v>0</v>
      </c>
      <c r="BN136" s="207">
        <v>0</v>
      </c>
      <c r="BO136" s="207">
        <v>0</v>
      </c>
      <c r="BP136" s="207">
        <v>0</v>
      </c>
      <c r="BQ136" s="207">
        <v>0</v>
      </c>
      <c r="BR136" s="207">
        <v>0</v>
      </c>
      <c r="BS136" s="207">
        <v>0</v>
      </c>
      <c r="BT136" s="207">
        <v>0</v>
      </c>
      <c r="BU136" s="207">
        <v>0</v>
      </c>
      <c r="BV136" s="207">
        <v>0</v>
      </c>
      <c r="BW136" s="207">
        <v>0</v>
      </c>
      <c r="BX136" s="207">
        <v>0</v>
      </c>
      <c r="BY136" s="207">
        <v>0</v>
      </c>
      <c r="BZ136" s="207">
        <v>0</v>
      </c>
      <c r="CA136" s="207">
        <v>0</v>
      </c>
      <c r="CB136" s="207">
        <v>0</v>
      </c>
      <c r="CC136" s="207">
        <v>0</v>
      </c>
      <c r="CD136" s="207">
        <v>0</v>
      </c>
      <c r="CE136" s="207">
        <v>0</v>
      </c>
      <c r="CF136" s="207"/>
      <c r="CG136" s="147"/>
      <c r="CH136" s="176"/>
      <c r="CJ136" s="146"/>
      <c r="CK136" s="76">
        <f t="shared" ca="1" si="90"/>
        <v>0.62609267774159938</v>
      </c>
      <c r="CL136" s="179">
        <f t="shared" si="91"/>
        <v>9</v>
      </c>
      <c r="CM136" s="180">
        <f t="shared" si="92"/>
        <v>39775</v>
      </c>
      <c r="CN136" s="208">
        <v>0</v>
      </c>
      <c r="CO136" s="208">
        <v>0</v>
      </c>
      <c r="CP136" s="208">
        <v>2</v>
      </c>
      <c r="CQ136" s="208">
        <v>1</v>
      </c>
      <c r="CR136" s="208">
        <v>0</v>
      </c>
      <c r="CS136" s="208">
        <v>0</v>
      </c>
      <c r="CT136" s="208">
        <v>0</v>
      </c>
      <c r="CU136" s="208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0.86353789235816936</v>
      </c>
      <c r="DD136">
        <f t="shared" si="94"/>
        <v>9</v>
      </c>
      <c r="DE136" s="129">
        <f t="shared" si="165"/>
        <v>39775</v>
      </c>
      <c r="DF136" s="161">
        <f t="shared" si="95"/>
        <v>0</v>
      </c>
      <c r="DG136" s="161">
        <f t="shared" si="96"/>
        <v>0</v>
      </c>
      <c r="DH136" s="161">
        <f t="shared" si="97"/>
        <v>20.833333333333332</v>
      </c>
      <c r="DI136" s="161">
        <f t="shared" si="98"/>
        <v>10.416666666666666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2"/>
        <v>31.25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0.9723544143484395</v>
      </c>
      <c r="ES136" s="139">
        <f t="shared" si="136"/>
        <v>1.4476253266872796</v>
      </c>
      <c r="ET136" s="139">
        <f t="shared" si="137"/>
        <v>0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2.4199797410357191</v>
      </c>
      <c r="FV136" s="149"/>
      <c r="FY136" s="213">
        <v>131</v>
      </c>
      <c r="FZ136">
        <v>37.934178950151789</v>
      </c>
      <c r="GA136">
        <v>44.77396577707777</v>
      </c>
      <c r="GB136">
        <v>4.9404688927802862</v>
      </c>
      <c r="GC136">
        <v>4.0692889693441954</v>
      </c>
      <c r="GD136">
        <v>2.1315166072939644</v>
      </c>
      <c r="GE136">
        <v>2.088515434414119</v>
      </c>
      <c r="GF136">
        <v>5.8252348310670454</v>
      </c>
      <c r="GG136">
        <v>4.8417759486925647</v>
      </c>
      <c r="GH136">
        <v>1.2016086289036068</v>
      </c>
      <c r="GI136">
        <v>9.3327746486672201</v>
      </c>
      <c r="GJ136"/>
      <c r="GK136"/>
      <c r="GL136"/>
      <c r="GM136"/>
      <c r="GN136" s="208"/>
      <c r="GO136" s="208"/>
      <c r="GP136" s="208"/>
      <c r="GQ136" s="208"/>
      <c r="GR136" s="208"/>
      <c r="GS136" s="208"/>
      <c r="GT136" s="208"/>
      <c r="GU136" s="213">
        <v>131</v>
      </c>
    </row>
    <row r="137" spans="1:203" s="7" customFormat="1">
      <c r="A137" s="1"/>
      <c r="B137" s="76">
        <f ca="1">IF(C137="", "", RAND())</f>
        <v>0.45479180956007781</v>
      </c>
      <c r="C137">
        <v>5</v>
      </c>
      <c r="D137">
        <v>39775</v>
      </c>
      <c r="E137">
        <v>0</v>
      </c>
      <c r="F137">
        <v>0</v>
      </c>
      <c r="G137">
        <v>178.57142857142856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90.647830266795808</v>
      </c>
      <c r="AO137">
        <v>20.460767892732616</v>
      </c>
      <c r="AP137">
        <v>165.33646895398732</v>
      </c>
      <c r="AQ137">
        <v>167.42813889330932</v>
      </c>
      <c r="AR137">
        <v>18.867849547638507</v>
      </c>
      <c r="AS137">
        <v>201.82805201750008</v>
      </c>
      <c r="AT137">
        <v>12.000263930819585</v>
      </c>
      <c r="AU137">
        <v>13.240407856771505</v>
      </c>
      <c r="AV137"/>
      <c r="AW137"/>
      <c r="AX137" s="146"/>
      <c r="AY137" s="76">
        <f t="shared" ca="1" si="88"/>
        <v>0.78212842746475042</v>
      </c>
      <c r="AZ137">
        <v>10</v>
      </c>
      <c r="BA137" s="129">
        <f t="shared" si="166"/>
        <v>39775</v>
      </c>
      <c r="BB137" s="207">
        <v>0</v>
      </c>
      <c r="BC137" s="207">
        <v>0</v>
      </c>
      <c r="BD137" s="207">
        <v>0</v>
      </c>
      <c r="BE137" s="207">
        <v>0</v>
      </c>
      <c r="BF137" s="207">
        <v>0</v>
      </c>
      <c r="BG137" s="207">
        <v>0</v>
      </c>
      <c r="BH137" s="207">
        <v>0</v>
      </c>
      <c r="BI137" s="207">
        <v>0</v>
      </c>
      <c r="BJ137" s="207">
        <v>0</v>
      </c>
      <c r="BK137" s="207">
        <v>0</v>
      </c>
      <c r="BL137" s="207">
        <v>0</v>
      </c>
      <c r="BM137" s="207">
        <v>0</v>
      </c>
      <c r="BN137" s="207">
        <v>0</v>
      </c>
      <c r="BO137" s="207">
        <v>0</v>
      </c>
      <c r="BP137" s="207">
        <v>0</v>
      </c>
      <c r="BQ137" s="207">
        <v>0</v>
      </c>
      <c r="BR137" s="207">
        <v>0</v>
      </c>
      <c r="BS137" s="207">
        <v>0</v>
      </c>
      <c r="BT137" s="207">
        <v>0</v>
      </c>
      <c r="BU137" s="207">
        <v>0</v>
      </c>
      <c r="BV137" s="207">
        <v>0</v>
      </c>
      <c r="BW137" s="207">
        <v>0</v>
      </c>
      <c r="BX137" s="207">
        <v>0</v>
      </c>
      <c r="BY137" s="207">
        <v>0</v>
      </c>
      <c r="BZ137" s="207">
        <v>0</v>
      </c>
      <c r="CA137" s="207">
        <v>0</v>
      </c>
      <c r="CB137" s="207">
        <v>0</v>
      </c>
      <c r="CC137" s="207">
        <v>0</v>
      </c>
      <c r="CD137" s="207">
        <v>0</v>
      </c>
      <c r="CE137" s="207">
        <v>0</v>
      </c>
      <c r="CF137" s="207"/>
      <c r="CG137" s="147"/>
      <c r="CH137" s="176"/>
      <c r="CJ137" s="146"/>
      <c r="CK137" s="76">
        <f t="shared" ca="1" si="90"/>
        <v>2.247902735198215E-2</v>
      </c>
      <c r="CL137" s="179">
        <f t="shared" si="91"/>
        <v>10</v>
      </c>
      <c r="CM137" s="180">
        <f t="shared" si="92"/>
        <v>39775</v>
      </c>
      <c r="CN137" s="208">
        <v>0</v>
      </c>
      <c r="CO137" s="208">
        <v>1</v>
      </c>
      <c r="CP137" s="208">
        <v>9</v>
      </c>
      <c r="CQ137" s="208">
        <v>4</v>
      </c>
      <c r="CR137" s="208">
        <v>0</v>
      </c>
      <c r="CS137" s="208">
        <v>0</v>
      </c>
      <c r="CT137" s="208">
        <v>0</v>
      </c>
      <c r="CU137" s="208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0.75465506316804243</v>
      </c>
      <c r="DD137">
        <f t="shared" si="94"/>
        <v>10</v>
      </c>
      <c r="DE137" s="129">
        <f t="shared" si="165"/>
        <v>39775</v>
      </c>
      <c r="DF137" s="161">
        <f t="shared" si="95"/>
        <v>0</v>
      </c>
      <c r="DG137" s="161">
        <f t="shared" si="96"/>
        <v>10.416666666666666</v>
      </c>
      <c r="DH137" s="161">
        <f t="shared" si="97"/>
        <v>93.75</v>
      </c>
      <c r="DI137" s="161">
        <f t="shared" si="98"/>
        <v>41.666666666666664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2"/>
        <v>145.83333333333334</v>
      </c>
      <c r="EL137" s="149"/>
      <c r="EN137" s="146"/>
      <c r="EO137" s="146"/>
      <c r="EP137" s="139">
        <f t="shared" si="133"/>
        <v>0</v>
      </c>
      <c r="EQ137" s="139">
        <f t="shared" si="134"/>
        <v>7.5287499999999993E-2</v>
      </c>
      <c r="ER137" s="139">
        <f t="shared" si="135"/>
        <v>4.3755948645679785</v>
      </c>
      <c r="ES137" s="139">
        <f t="shared" si="136"/>
        <v>5.7905013067491184</v>
      </c>
      <c r="ET137" s="139">
        <f t="shared" si="137"/>
        <v>0</v>
      </c>
      <c r="EU137" s="139">
        <f t="shared" si="138"/>
        <v>0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10.241383671317097</v>
      </c>
      <c r="FV137" s="149"/>
      <c r="FY137" s="213">
        <v>132</v>
      </c>
      <c r="FZ137">
        <v>41.680825676781815</v>
      </c>
      <c r="GA137">
        <v>50.452065374610207</v>
      </c>
      <c r="GB137">
        <v>3.8822190070375084</v>
      </c>
      <c r="GC137">
        <v>3.2181818804759676</v>
      </c>
      <c r="GD137">
        <v>2.1960551000605233</v>
      </c>
      <c r="GE137">
        <v>1.7991288518300266</v>
      </c>
      <c r="GF137">
        <v>4.920881762075874</v>
      </c>
      <c r="GG137">
        <v>3.9335536162822704</v>
      </c>
      <c r="GH137">
        <v>1.2016086289036068</v>
      </c>
      <c r="GI137">
        <v>9.4935711006304047</v>
      </c>
      <c r="GJ137"/>
      <c r="GK137"/>
      <c r="GL137"/>
      <c r="GM137"/>
      <c r="GN137" s="208"/>
      <c r="GO137" s="208"/>
      <c r="GP137" s="208"/>
      <c r="GQ137" s="208"/>
      <c r="GR137" s="208"/>
      <c r="GS137" s="208"/>
      <c r="GT137" s="208"/>
      <c r="GU137" s="213">
        <v>132</v>
      </c>
    </row>
    <row r="138" spans="1:203" s="7" customFormat="1">
      <c r="A138" s="128"/>
      <c r="B138" s="76">
        <f ca="1">IF(C138="", "", RAND())</f>
        <v>0.30358429056542757</v>
      </c>
      <c r="C138">
        <v>7</v>
      </c>
      <c r="D138">
        <v>39799</v>
      </c>
      <c r="E138">
        <v>0</v>
      </c>
      <c r="F138">
        <v>0</v>
      </c>
      <c r="G138">
        <v>0</v>
      </c>
      <c r="H138">
        <v>52.083333333333336</v>
      </c>
      <c r="I138">
        <v>20.833333333333332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102.87623246100679</v>
      </c>
      <c r="AO138">
        <v>15.453653975396344</v>
      </c>
      <c r="AP138">
        <v>75.203542228408423</v>
      </c>
      <c r="AQ138">
        <v>127.16214662495409</v>
      </c>
      <c r="AR138">
        <v>14.207742029324324</v>
      </c>
      <c r="AS138">
        <v>189.44752214106515</v>
      </c>
      <c r="AT138">
        <v>9.3635015907506016</v>
      </c>
      <c r="AU138">
        <v>10.310554267813158</v>
      </c>
      <c r="AV138"/>
      <c r="AW138"/>
      <c r="AX138" s="128"/>
      <c r="AY138" s="76">
        <f t="shared" ca="1" si="88"/>
        <v>0.29761557618777745</v>
      </c>
      <c r="AZ138">
        <v>1</v>
      </c>
      <c r="BA138" s="129">
        <f>IF(AZ138="", "",$C$9)</f>
        <v>39799</v>
      </c>
      <c r="BB138" s="207">
        <v>0</v>
      </c>
      <c r="BC138" s="207">
        <v>0</v>
      </c>
      <c r="BD138" s="207">
        <v>0</v>
      </c>
      <c r="BE138" s="207">
        <v>0</v>
      </c>
      <c r="BF138" s="207">
        <v>0</v>
      </c>
      <c r="BG138" s="207">
        <v>0</v>
      </c>
      <c r="BH138" s="207">
        <v>0</v>
      </c>
      <c r="BI138" s="207">
        <v>0</v>
      </c>
      <c r="BJ138" s="207">
        <v>0</v>
      </c>
      <c r="BK138" s="207">
        <v>0</v>
      </c>
      <c r="BL138" s="207">
        <v>0</v>
      </c>
      <c r="BM138" s="207">
        <v>0</v>
      </c>
      <c r="BN138" s="207">
        <v>0</v>
      </c>
      <c r="BO138" s="207">
        <v>0</v>
      </c>
      <c r="BP138" s="207">
        <v>0</v>
      </c>
      <c r="BQ138" s="207">
        <v>0</v>
      </c>
      <c r="BR138" s="207">
        <v>0</v>
      </c>
      <c r="BS138" s="207">
        <v>0</v>
      </c>
      <c r="BT138" s="207">
        <v>0</v>
      </c>
      <c r="BU138" s="207">
        <v>0</v>
      </c>
      <c r="BV138" s="207">
        <v>0</v>
      </c>
      <c r="BW138" s="207">
        <v>0</v>
      </c>
      <c r="BX138" s="207">
        <v>0</v>
      </c>
      <c r="BY138" s="207">
        <v>0</v>
      </c>
      <c r="BZ138" s="207">
        <v>0</v>
      </c>
      <c r="CA138" s="207">
        <v>0</v>
      </c>
      <c r="CB138" s="207">
        <v>0</v>
      </c>
      <c r="CC138" s="207">
        <v>0</v>
      </c>
      <c r="CD138" s="207">
        <v>0</v>
      </c>
      <c r="CE138" s="207">
        <v>0</v>
      </c>
      <c r="CF138" s="207"/>
      <c r="CG138" s="147"/>
      <c r="CH138" s="176"/>
      <c r="CJ138" s="128"/>
      <c r="CK138" s="76">
        <f t="shared" ca="1" si="90"/>
        <v>0.78363220179735049</v>
      </c>
      <c r="CL138" s="179">
        <f t="shared" si="91"/>
        <v>1</v>
      </c>
      <c r="CM138" s="180">
        <f t="shared" si="92"/>
        <v>39799</v>
      </c>
      <c r="CN138" s="208">
        <v>0</v>
      </c>
      <c r="CO138" s="208">
        <v>0</v>
      </c>
      <c r="CP138" s="208">
        <v>0</v>
      </c>
      <c r="CQ138" s="208">
        <v>0</v>
      </c>
      <c r="CR138" s="208">
        <v>0</v>
      </c>
      <c r="CS138" s="208">
        <v>0</v>
      </c>
      <c r="CT138" s="208">
        <v>0</v>
      </c>
      <c r="CU138" s="20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0.45306887335908197</v>
      </c>
      <c r="DD138">
        <f t="shared" si="94"/>
        <v>1</v>
      </c>
      <c r="DE138" s="129">
        <f t="shared" ref="DE138:DE147" si="167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2"/>
        <v>0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0</v>
      </c>
      <c r="FV138" s="149"/>
      <c r="FY138" s="213">
        <v>133</v>
      </c>
      <c r="FZ138">
        <v>40.074468242031152</v>
      </c>
      <c r="GA138">
        <v>48.160527314751455</v>
      </c>
      <c r="GB138">
        <v>10.495841646453671</v>
      </c>
      <c r="GC138">
        <v>7.041793106597801</v>
      </c>
      <c r="GD138">
        <v>2.7311912049741522</v>
      </c>
      <c r="GE138">
        <v>2.4557333357297688</v>
      </c>
      <c r="GF138">
        <v>2.6976878647279339</v>
      </c>
      <c r="GG138">
        <v>3.1531002813800209</v>
      </c>
      <c r="GH138">
        <v>2.1611736260621592</v>
      </c>
      <c r="GI138">
        <v>11.049186016306441</v>
      </c>
      <c r="GJ138"/>
      <c r="GK138"/>
      <c r="GL138"/>
      <c r="GM138"/>
      <c r="GN138" s="208"/>
      <c r="GO138" s="208"/>
      <c r="GP138" s="208"/>
      <c r="GQ138" s="208"/>
      <c r="GR138" s="208"/>
      <c r="GS138" s="208"/>
      <c r="GT138" s="208"/>
      <c r="GU138" s="213">
        <v>133</v>
      </c>
    </row>
    <row r="139" spans="1:203" s="7" customFormat="1">
      <c r="A139" s="1"/>
      <c r="B139" s="76">
        <f ca="1">IF(C139="", "", RAND())</f>
        <v>0.18604708312839335</v>
      </c>
      <c r="C139">
        <v>10</v>
      </c>
      <c r="D139">
        <v>39799</v>
      </c>
      <c r="E139">
        <v>0</v>
      </c>
      <c r="F139">
        <v>0</v>
      </c>
      <c r="G139">
        <v>41.666666666666664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100.35088956522779</v>
      </c>
      <c r="AO139">
        <v>21.744881769547124</v>
      </c>
      <c r="AP139">
        <v>151.93826777240045</v>
      </c>
      <c r="AQ139">
        <v>202.224750310584</v>
      </c>
      <c r="AR139">
        <v>20.012678798991217</v>
      </c>
      <c r="AS139">
        <v>227.1661777009935</v>
      </c>
      <c r="AT139" t="e">
        <v>#DIV/0!</v>
      </c>
      <c r="AU139" t="e">
        <v>#DIV/0!</v>
      </c>
      <c r="AV139"/>
      <c r="AW139"/>
      <c r="AX139" s="146"/>
      <c r="AY139" s="76">
        <f t="shared" ca="1" si="88"/>
        <v>0.56044153022353704</v>
      </c>
      <c r="AZ139">
        <v>2</v>
      </c>
      <c r="BA139" s="129">
        <f t="shared" ref="BA139:BA147" si="168">IF(AZ139="", "",$C$9)</f>
        <v>39799</v>
      </c>
      <c r="BB139" s="207">
        <v>0</v>
      </c>
      <c r="BC139" s="207">
        <v>0</v>
      </c>
      <c r="BD139" s="207">
        <v>0</v>
      </c>
      <c r="BE139" s="207">
        <v>0</v>
      </c>
      <c r="BF139" s="207">
        <v>0</v>
      </c>
      <c r="BG139" s="207">
        <v>0</v>
      </c>
      <c r="BH139" s="207">
        <v>0</v>
      </c>
      <c r="BI139" s="207">
        <v>0</v>
      </c>
      <c r="BJ139" s="207">
        <v>0</v>
      </c>
      <c r="BK139" s="207">
        <v>0</v>
      </c>
      <c r="BL139" s="207">
        <v>0</v>
      </c>
      <c r="BM139" s="207">
        <v>0</v>
      </c>
      <c r="BN139" s="207">
        <v>0</v>
      </c>
      <c r="BO139" s="207">
        <v>0</v>
      </c>
      <c r="BP139" s="207">
        <v>0</v>
      </c>
      <c r="BQ139" s="207">
        <v>0</v>
      </c>
      <c r="BR139" s="207">
        <v>0</v>
      </c>
      <c r="BS139" s="207">
        <v>0</v>
      </c>
      <c r="BT139" s="207">
        <v>0</v>
      </c>
      <c r="BU139" s="207">
        <v>0</v>
      </c>
      <c r="BV139" s="207">
        <v>0</v>
      </c>
      <c r="BW139" s="207">
        <v>0</v>
      </c>
      <c r="BX139" s="207">
        <v>0</v>
      </c>
      <c r="BY139" s="207">
        <v>0</v>
      </c>
      <c r="BZ139" s="207">
        <v>0</v>
      </c>
      <c r="CA139" s="207">
        <v>0</v>
      </c>
      <c r="CB139" s="207">
        <v>0</v>
      </c>
      <c r="CC139" s="207">
        <v>0</v>
      </c>
      <c r="CD139" s="207">
        <v>0</v>
      </c>
      <c r="CE139" s="207">
        <v>0</v>
      </c>
      <c r="CF139" s="207"/>
      <c r="CG139" s="147"/>
      <c r="CH139" s="176"/>
      <c r="CJ139" s="146"/>
      <c r="CK139" s="76">
        <f t="shared" ca="1" si="90"/>
        <v>0.12213728093646914</v>
      </c>
      <c r="CL139" s="179">
        <f t="shared" si="91"/>
        <v>2</v>
      </c>
      <c r="CM139" s="180">
        <f t="shared" si="92"/>
        <v>39799</v>
      </c>
      <c r="CN139" s="208">
        <v>0</v>
      </c>
      <c r="CO139" s="208">
        <v>0</v>
      </c>
      <c r="CP139" s="208">
        <v>0</v>
      </c>
      <c r="CQ139" s="208">
        <v>0</v>
      </c>
      <c r="CR139" s="208">
        <v>0</v>
      </c>
      <c r="CS139" s="208">
        <v>0</v>
      </c>
      <c r="CT139" s="208">
        <v>0</v>
      </c>
      <c r="CU139" s="208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0.80455763022957583</v>
      </c>
      <c r="DD139">
        <f t="shared" si="94"/>
        <v>2</v>
      </c>
      <c r="DE139" s="129">
        <f t="shared" si="167"/>
        <v>39799</v>
      </c>
      <c r="DF139" s="161">
        <f t="shared" si="95"/>
        <v>0</v>
      </c>
      <c r="DG139" s="161">
        <f t="shared" si="96"/>
        <v>0</v>
      </c>
      <c r="DH139" s="161">
        <f t="shared" si="97"/>
        <v>0</v>
      </c>
      <c r="DI139" s="161">
        <f t="shared" si="98"/>
        <v>0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2"/>
        <v>0</v>
      </c>
      <c r="EL139" s="149"/>
      <c r="EN139" s="146"/>
      <c r="EO139" s="146"/>
      <c r="EP139" s="139">
        <f t="shared" si="133"/>
        <v>0</v>
      </c>
      <c r="EQ139" s="139">
        <f t="shared" si="134"/>
        <v>0</v>
      </c>
      <c r="ER139" s="139">
        <f t="shared" si="135"/>
        <v>0</v>
      </c>
      <c r="ES139" s="139">
        <f t="shared" si="136"/>
        <v>0</v>
      </c>
      <c r="ET139" s="139">
        <f t="shared" si="137"/>
        <v>0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0</v>
      </c>
      <c r="FV139" s="149"/>
      <c r="FY139" s="213">
        <v>134</v>
      </c>
      <c r="FZ139">
        <v>31.578866612538846</v>
      </c>
      <c r="GA139">
        <v>38.935968599647808</v>
      </c>
      <c r="GB139">
        <v>7.5965829214456129</v>
      </c>
      <c r="GC139">
        <v>4.6734330726136948</v>
      </c>
      <c r="GD139">
        <v>1.6304641749122559</v>
      </c>
      <c r="GE139">
        <v>1.5235478438313446</v>
      </c>
      <c r="GF139">
        <v>4.1292879627632448</v>
      </c>
      <c r="GG139">
        <v>3.255142212591573</v>
      </c>
      <c r="GH139">
        <v>0.60080431445180338</v>
      </c>
      <c r="GI139">
        <v>8.3855620303121619</v>
      </c>
      <c r="GJ139"/>
      <c r="GK139"/>
      <c r="GL139"/>
      <c r="GM139"/>
      <c r="GN139" s="208"/>
      <c r="GO139" s="208"/>
      <c r="GP139" s="208"/>
      <c r="GQ139" s="208"/>
      <c r="GR139" s="208"/>
      <c r="GS139" s="208"/>
      <c r="GT139" s="208"/>
      <c r="GU139" s="213">
        <v>134</v>
      </c>
    </row>
    <row r="140" spans="1:203" s="7" customFormat="1">
      <c r="A140" s="1"/>
      <c r="B140" s="76">
        <f ca="1">IF(C140="", "", RAND())</f>
        <v>0.70488319705215141</v>
      </c>
      <c r="C140">
        <v>1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76.656191269242754</v>
      </c>
      <c r="AO140">
        <v>7.8423763551831112</v>
      </c>
      <c r="AP140">
        <v>32.978459987695693</v>
      </c>
      <c r="AQ140">
        <v>52.80920267482292</v>
      </c>
      <c r="AR140">
        <v>7.246609002962435</v>
      </c>
      <c r="AS140">
        <v>109.17606732328547</v>
      </c>
      <c r="AT140">
        <v>4.6572529112867036</v>
      </c>
      <c r="AU140">
        <v>19.511223862424753</v>
      </c>
      <c r="AV140"/>
      <c r="AW140"/>
      <c r="AX140" s="146"/>
      <c r="AY140" s="76">
        <f t="shared" ca="1" si="88"/>
        <v>0.78844421145132815</v>
      </c>
      <c r="AZ140">
        <v>3</v>
      </c>
      <c r="BA140" s="129">
        <f t="shared" si="168"/>
        <v>39799</v>
      </c>
      <c r="BB140" s="207">
        <v>0</v>
      </c>
      <c r="BC140" s="207">
        <v>0</v>
      </c>
      <c r="BD140" s="207">
        <v>0</v>
      </c>
      <c r="BE140" s="207">
        <v>0</v>
      </c>
      <c r="BF140" s="207">
        <v>0</v>
      </c>
      <c r="BG140" s="207">
        <v>0</v>
      </c>
      <c r="BH140" s="207">
        <v>0</v>
      </c>
      <c r="BI140" s="207">
        <v>0</v>
      </c>
      <c r="BJ140" s="207">
        <v>0</v>
      </c>
      <c r="BK140" s="207">
        <v>0</v>
      </c>
      <c r="BL140" s="207">
        <v>0</v>
      </c>
      <c r="BM140" s="207">
        <v>0</v>
      </c>
      <c r="BN140" s="207">
        <v>0</v>
      </c>
      <c r="BO140" s="207">
        <v>0</v>
      </c>
      <c r="BP140" s="207">
        <v>0</v>
      </c>
      <c r="BQ140" s="207">
        <v>0</v>
      </c>
      <c r="BR140" s="207">
        <v>0</v>
      </c>
      <c r="BS140" s="207">
        <v>0</v>
      </c>
      <c r="BT140" s="207">
        <v>0</v>
      </c>
      <c r="BU140" s="207">
        <v>0</v>
      </c>
      <c r="BV140" s="207">
        <v>0</v>
      </c>
      <c r="BW140" s="207">
        <v>0</v>
      </c>
      <c r="BX140" s="207">
        <v>0</v>
      </c>
      <c r="BY140" s="207">
        <v>0</v>
      </c>
      <c r="BZ140" s="207">
        <v>0</v>
      </c>
      <c r="CA140" s="207">
        <v>0</v>
      </c>
      <c r="CB140" s="207">
        <v>0</v>
      </c>
      <c r="CC140" s="207">
        <v>0</v>
      </c>
      <c r="CD140" s="207">
        <v>0</v>
      </c>
      <c r="CE140" s="207">
        <v>0</v>
      </c>
      <c r="CF140" s="207"/>
      <c r="CG140" s="147"/>
      <c r="CH140" s="176"/>
      <c r="CJ140" s="146"/>
      <c r="CK140" s="76">
        <f t="shared" ca="1" si="90"/>
        <v>0.68264274278533699</v>
      </c>
      <c r="CL140" s="179">
        <f t="shared" si="91"/>
        <v>3</v>
      </c>
      <c r="CM140" s="180">
        <f t="shared" si="92"/>
        <v>39799</v>
      </c>
      <c r="CN140" s="208">
        <v>0</v>
      </c>
      <c r="CO140" s="208">
        <v>1</v>
      </c>
      <c r="CP140" s="208">
        <v>2</v>
      </c>
      <c r="CQ140" s="208">
        <v>0</v>
      </c>
      <c r="CR140" s="208">
        <v>0</v>
      </c>
      <c r="CS140" s="208">
        <v>0</v>
      </c>
      <c r="CT140" s="208">
        <v>0</v>
      </c>
      <c r="CU140" s="208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0.53950965156903852</v>
      </c>
      <c r="DD140">
        <f t="shared" si="94"/>
        <v>3</v>
      </c>
      <c r="DE140" s="129">
        <f t="shared" si="167"/>
        <v>39799</v>
      </c>
      <c r="DF140" s="161">
        <f t="shared" si="95"/>
        <v>0</v>
      </c>
      <c r="DG140" s="161">
        <f t="shared" si="96"/>
        <v>83.333333333333329</v>
      </c>
      <c r="DH140" s="161">
        <f t="shared" si="97"/>
        <v>166.66666666666666</v>
      </c>
      <c r="DI140" s="161">
        <f t="shared" si="98"/>
        <v>0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2"/>
        <v>250</v>
      </c>
      <c r="EL140" s="149"/>
      <c r="EN140" s="146"/>
      <c r="EO140" s="146"/>
      <c r="EP140" s="139">
        <f t="shared" si="133"/>
        <v>0</v>
      </c>
      <c r="EQ140" s="139">
        <f t="shared" si="134"/>
        <v>0.60229999999999995</v>
      </c>
      <c r="ER140" s="139">
        <f t="shared" si="135"/>
        <v>7.778835314787516</v>
      </c>
      <c r="ES140" s="139">
        <f t="shared" si="136"/>
        <v>0</v>
      </c>
      <c r="ET140" s="139">
        <f t="shared" si="137"/>
        <v>0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8.3811353147875156</v>
      </c>
      <c r="FV140" s="149"/>
      <c r="FY140" s="213">
        <v>135</v>
      </c>
      <c r="FZ140">
        <v>31.322083121037831</v>
      </c>
      <c r="GA140">
        <v>38.364938063292335</v>
      </c>
      <c r="GB140">
        <v>6.4592603024294402</v>
      </c>
      <c r="GC140">
        <v>4.1308114371218698</v>
      </c>
      <c r="GD140">
        <v>2.3602344357018352</v>
      </c>
      <c r="GE140">
        <v>2.7495740254036982</v>
      </c>
      <c r="GF140">
        <v>1.7087560973400113</v>
      </c>
      <c r="GG140">
        <v>2.3446569738648377</v>
      </c>
      <c r="GH140">
        <v>2.7619779405139626</v>
      </c>
      <c r="GI140">
        <v>8.3881160601281586</v>
      </c>
      <c r="GJ140"/>
      <c r="GK140"/>
      <c r="GL140"/>
      <c r="GM140"/>
      <c r="GN140" s="208"/>
      <c r="GO140" s="208"/>
      <c r="GP140" s="208"/>
      <c r="GQ140" s="208"/>
      <c r="GR140" s="208"/>
      <c r="GS140" s="208"/>
      <c r="GT140" s="208"/>
      <c r="GU140" s="213">
        <v>135</v>
      </c>
    </row>
    <row r="141" spans="1:203" s="7" customFormat="1">
      <c r="A141" s="1"/>
      <c r="B141" s="76">
        <f ca="1">IF(C141="", "", RAND())</f>
        <v>0.49028387755211478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56.581455819507291</v>
      </c>
      <c r="AO141">
        <v>9.840914755975783</v>
      </c>
      <c r="AP141">
        <v>61.769778015528068</v>
      </c>
      <c r="AQ141">
        <v>76.317028232424548</v>
      </c>
      <c r="AR141">
        <v>9.0477430797537686</v>
      </c>
      <c r="AS141">
        <v>109.52319173856169</v>
      </c>
      <c r="AT141" t="e">
        <v>#DIV/0!</v>
      </c>
      <c r="AU141" t="e">
        <v>#DIV/0!</v>
      </c>
      <c r="AV141"/>
      <c r="AW141"/>
      <c r="AX141" s="146"/>
      <c r="AY141" s="76">
        <f t="shared" ca="1" si="88"/>
        <v>0.82470782782557461</v>
      </c>
      <c r="AZ141">
        <v>4</v>
      </c>
      <c r="BA141" s="129">
        <f t="shared" si="168"/>
        <v>39799</v>
      </c>
      <c r="BB141" s="207">
        <v>0</v>
      </c>
      <c r="BC141" s="207">
        <v>0</v>
      </c>
      <c r="BD141" s="207">
        <v>0</v>
      </c>
      <c r="BE141" s="207">
        <v>0</v>
      </c>
      <c r="BF141" s="207">
        <v>0</v>
      </c>
      <c r="BG141" s="207">
        <v>0</v>
      </c>
      <c r="BH141" s="207">
        <v>0</v>
      </c>
      <c r="BI141" s="207">
        <v>0</v>
      </c>
      <c r="BJ141" s="207">
        <v>0</v>
      </c>
      <c r="BK141" s="207">
        <v>0</v>
      </c>
      <c r="BL141" s="207">
        <v>0</v>
      </c>
      <c r="BM141" s="207">
        <v>0</v>
      </c>
      <c r="BN141" s="207">
        <v>0</v>
      </c>
      <c r="BO141" s="207">
        <v>0</v>
      </c>
      <c r="BP141" s="207">
        <v>0</v>
      </c>
      <c r="BQ141" s="207">
        <v>0</v>
      </c>
      <c r="BR141" s="207">
        <v>0</v>
      </c>
      <c r="BS141" s="207">
        <v>0</v>
      </c>
      <c r="BT141" s="207">
        <v>0</v>
      </c>
      <c r="BU141" s="207">
        <v>0</v>
      </c>
      <c r="BV141" s="207">
        <v>0</v>
      </c>
      <c r="BW141" s="207">
        <v>0</v>
      </c>
      <c r="BX141" s="207">
        <v>0</v>
      </c>
      <c r="BY141" s="207">
        <v>0</v>
      </c>
      <c r="BZ141" s="207">
        <v>0</v>
      </c>
      <c r="CA141" s="207">
        <v>0</v>
      </c>
      <c r="CB141" s="207">
        <v>0</v>
      </c>
      <c r="CC141" s="207">
        <v>0</v>
      </c>
      <c r="CD141" s="207">
        <v>0</v>
      </c>
      <c r="CE141" s="207">
        <v>0</v>
      </c>
      <c r="CF141" s="207"/>
      <c r="CG141" s="147"/>
      <c r="CH141" s="176"/>
      <c r="CJ141" s="146"/>
      <c r="CK141" s="76">
        <f t="shared" ca="1" si="90"/>
        <v>0.96395231219487887</v>
      </c>
      <c r="CL141" s="179">
        <f t="shared" si="91"/>
        <v>4</v>
      </c>
      <c r="CM141" s="180">
        <f t="shared" si="92"/>
        <v>39799</v>
      </c>
      <c r="CN141" s="208">
        <v>0</v>
      </c>
      <c r="CO141" s="208">
        <v>0</v>
      </c>
      <c r="CP141" s="208">
        <v>1</v>
      </c>
      <c r="CQ141" s="208">
        <v>0</v>
      </c>
      <c r="CR141" s="208">
        <v>0</v>
      </c>
      <c r="CS141" s="208">
        <v>0</v>
      </c>
      <c r="CT141" s="208">
        <v>0</v>
      </c>
      <c r="CU141" s="208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0.38485098308238341</v>
      </c>
      <c r="DD141">
        <f t="shared" si="94"/>
        <v>4</v>
      </c>
      <c r="DE141" s="129">
        <f t="shared" si="167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292.44652406417111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2"/>
        <v>292.44652406417111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13.64936009446339</v>
      </c>
      <c r="ES141" s="139">
        <f t="shared" si="136"/>
        <v>0</v>
      </c>
      <c r="ET141" s="139">
        <f t="shared" si="137"/>
        <v>0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13.64936009446339</v>
      </c>
      <c r="FV141" s="149"/>
      <c r="FY141" s="213">
        <v>136</v>
      </c>
      <c r="FZ141">
        <v>11.035516223995238</v>
      </c>
      <c r="GA141">
        <v>15.145016575991555</v>
      </c>
      <c r="GB141">
        <v>3.5633187026204598</v>
      </c>
      <c r="GC141">
        <v>2.1845593767082776</v>
      </c>
      <c r="GD141">
        <v>1.9896515075855958</v>
      </c>
      <c r="GE141">
        <v>2.3061760001954887</v>
      </c>
      <c r="GF141">
        <v>1.5682459203961725</v>
      </c>
      <c r="GG141">
        <v>2.3775978616435904</v>
      </c>
      <c r="GH141">
        <v>1.5603693116103559</v>
      </c>
      <c r="GI141">
        <v>4.2689793873610622</v>
      </c>
      <c r="GJ141"/>
      <c r="GK141"/>
      <c r="GL141"/>
      <c r="GM141"/>
      <c r="GN141" s="208"/>
      <c r="GO141" s="208"/>
      <c r="GP141" s="208"/>
      <c r="GQ141" s="208"/>
      <c r="GR141" s="208"/>
      <c r="GS141" s="208"/>
      <c r="GT141" s="208"/>
      <c r="GU141" s="213">
        <v>136</v>
      </c>
    </row>
    <row r="142" spans="1:203" s="7" customFormat="1">
      <c r="A142" s="1"/>
      <c r="B142" s="76">
        <f ca="1">IF(C142="", "", RAND())</f>
        <v>0.8910191362413924</v>
      </c>
      <c r="C142">
        <v>8</v>
      </c>
      <c r="D142">
        <v>39799</v>
      </c>
      <c r="E142">
        <v>0</v>
      </c>
      <c r="F142">
        <v>0</v>
      </c>
      <c r="G142">
        <v>0</v>
      </c>
      <c r="H142">
        <v>74.404761904761912</v>
      </c>
      <c r="I142">
        <v>20.833333333333332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85.866012635897263</v>
      </c>
      <c r="AO142">
        <v>14.721626909217004</v>
      </c>
      <c r="AP142">
        <v>118.18804607261788</v>
      </c>
      <c r="AQ142">
        <v>119.91328106655223</v>
      </c>
      <c r="AR142">
        <v>13.571090679538266</v>
      </c>
      <c r="AS142">
        <v>173.39654938151645</v>
      </c>
      <c r="AT142">
        <v>9.0539851939766773</v>
      </c>
      <c r="AU142">
        <v>-11.839469008981574</v>
      </c>
      <c r="AV142"/>
      <c r="AW142"/>
      <c r="AX142" s="146"/>
      <c r="AY142" s="76">
        <f t="shared" ca="1" si="88"/>
        <v>0.76229253779074435</v>
      </c>
      <c r="AZ142">
        <v>5</v>
      </c>
      <c r="BA142" s="129">
        <f t="shared" si="168"/>
        <v>39799</v>
      </c>
      <c r="BB142" s="207">
        <v>0</v>
      </c>
      <c r="BC142" s="207">
        <v>0</v>
      </c>
      <c r="BD142" s="207">
        <v>0</v>
      </c>
      <c r="BE142" s="207">
        <v>1</v>
      </c>
      <c r="BF142" s="207">
        <v>0</v>
      </c>
      <c r="BG142" s="207">
        <v>0</v>
      </c>
      <c r="BH142" s="207">
        <v>1</v>
      </c>
      <c r="BI142" s="207">
        <v>0</v>
      </c>
      <c r="BJ142" s="207">
        <v>0</v>
      </c>
      <c r="BK142" s="207">
        <v>0</v>
      </c>
      <c r="BL142" s="207">
        <v>0</v>
      </c>
      <c r="BM142" s="207">
        <v>0</v>
      </c>
      <c r="BN142" s="207">
        <v>0</v>
      </c>
      <c r="BO142" s="207">
        <v>0</v>
      </c>
      <c r="BP142" s="207">
        <v>0</v>
      </c>
      <c r="BQ142" s="207">
        <v>0</v>
      </c>
      <c r="BR142" s="207">
        <v>0</v>
      </c>
      <c r="BS142" s="207">
        <v>0</v>
      </c>
      <c r="BT142" s="207">
        <v>0</v>
      </c>
      <c r="BU142" s="207">
        <v>0</v>
      </c>
      <c r="BV142" s="207">
        <v>0</v>
      </c>
      <c r="BW142" s="207">
        <v>0</v>
      </c>
      <c r="BX142" s="207">
        <v>0</v>
      </c>
      <c r="BY142" s="207">
        <v>0</v>
      </c>
      <c r="BZ142" s="207">
        <v>0</v>
      </c>
      <c r="CA142" s="207">
        <v>0</v>
      </c>
      <c r="CB142" s="207">
        <v>0</v>
      </c>
      <c r="CC142" s="207">
        <v>0</v>
      </c>
      <c r="CD142" s="207">
        <v>0</v>
      </c>
      <c r="CE142" s="207">
        <v>0</v>
      </c>
      <c r="CF142" s="207"/>
      <c r="CG142" s="147"/>
      <c r="CH142" s="176"/>
      <c r="CJ142" s="146"/>
      <c r="CK142" s="76">
        <f t="shared" ca="1" si="90"/>
        <v>0.32518038986318665</v>
      </c>
      <c r="CL142" s="179">
        <f t="shared" si="91"/>
        <v>5</v>
      </c>
      <c r="CM142" s="180">
        <f t="shared" si="92"/>
        <v>39799</v>
      </c>
      <c r="CN142" s="208">
        <v>0</v>
      </c>
      <c r="CO142" s="208">
        <v>0</v>
      </c>
      <c r="CP142" s="208">
        <v>0</v>
      </c>
      <c r="CQ142" s="208">
        <v>0</v>
      </c>
      <c r="CR142" s="208">
        <v>0</v>
      </c>
      <c r="CS142" s="208">
        <v>0</v>
      </c>
      <c r="CT142" s="208">
        <v>0</v>
      </c>
      <c r="CU142" s="208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0.60230524880098835</v>
      </c>
      <c r="DD142">
        <f t="shared" si="94"/>
        <v>5</v>
      </c>
      <c r="DE142" s="129">
        <f t="shared" si="167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10.416666666666666</v>
      </c>
      <c r="DJ142" s="161">
        <f t="shared" si="99"/>
        <v>0</v>
      </c>
      <c r="DK142" s="161">
        <f t="shared" si="100"/>
        <v>0</v>
      </c>
      <c r="DL142" s="161">
        <f t="shared" si="101"/>
        <v>10.416666666666666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2"/>
        <v>20.833333333333332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</v>
      </c>
      <c r="ES142" s="139">
        <f t="shared" si="136"/>
        <v>1.4476253266872796</v>
      </c>
      <c r="ET142" s="139">
        <f t="shared" si="137"/>
        <v>0</v>
      </c>
      <c r="EU142" s="139">
        <f t="shared" si="138"/>
        <v>0</v>
      </c>
      <c r="EV142" s="139">
        <f t="shared" si="139"/>
        <v>9.3481977534582672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10.795823080145547</v>
      </c>
      <c r="FV142" s="149"/>
      <c r="FY142" s="213">
        <v>137</v>
      </c>
      <c r="FZ142">
        <v>24.157217997853255</v>
      </c>
      <c r="GA142">
        <v>30.506121341032632</v>
      </c>
      <c r="GB142">
        <v>6.2349797181834257</v>
      </c>
      <c r="GC142">
        <v>3.8295494378168708</v>
      </c>
      <c r="GD142">
        <v>1.5368487964303548</v>
      </c>
      <c r="GE142">
        <v>1.558154553161605</v>
      </c>
      <c r="GF142">
        <v>2.8989635853186866</v>
      </c>
      <c r="GG142">
        <v>1.9252393373810861</v>
      </c>
      <c r="GH142">
        <v>1.2016086289036068</v>
      </c>
      <c r="GI142">
        <v>6.7510857216112639</v>
      </c>
      <c r="GJ142"/>
      <c r="GK142"/>
      <c r="GL142"/>
      <c r="GM142"/>
      <c r="GN142" s="208"/>
      <c r="GO142" s="208"/>
      <c r="GP142" s="208"/>
      <c r="GQ142" s="208"/>
      <c r="GR142" s="208"/>
      <c r="GS142" s="208"/>
      <c r="GT142" s="208"/>
      <c r="GU142" s="213">
        <v>137</v>
      </c>
    </row>
    <row r="143" spans="1:203" s="7" customFormat="1">
      <c r="A143" s="1"/>
      <c r="B143" s="76">
        <f ca="1">IF(C143="", "", RAND())</f>
        <v>0.57701442797318414</v>
      </c>
      <c r="C143">
        <v>3</v>
      </c>
      <c r="D143">
        <v>39799</v>
      </c>
      <c r="E143">
        <v>0</v>
      </c>
      <c r="F143">
        <v>83.333333333333329</v>
      </c>
      <c r="G143">
        <v>166.66666666666666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79.402741042998386</v>
      </c>
      <c r="AO143">
        <v>8.2771026168022566</v>
      </c>
      <c r="AP143">
        <v>31.727598370659969</v>
      </c>
      <c r="AQ143">
        <v>53.993476901365739</v>
      </c>
      <c r="AR143">
        <v>7.6571848219823329</v>
      </c>
      <c r="AS143">
        <v>99.271497865887426</v>
      </c>
      <c r="AT143">
        <v>4.5552088701318958</v>
      </c>
      <c r="AU143">
        <v>11.071805160814284</v>
      </c>
      <c r="AV143"/>
      <c r="AW143"/>
      <c r="AX143" s="146"/>
      <c r="AY143" s="76">
        <f t="shared" ca="1" si="88"/>
        <v>0.13408526864603965</v>
      </c>
      <c r="AZ143">
        <v>6</v>
      </c>
      <c r="BA143" s="129">
        <f t="shared" si="168"/>
        <v>39799</v>
      </c>
      <c r="BB143" s="207">
        <v>0</v>
      </c>
      <c r="BC143" s="207">
        <v>0</v>
      </c>
      <c r="BD143" s="207">
        <v>0</v>
      </c>
      <c r="BE143" s="207">
        <v>0</v>
      </c>
      <c r="BF143" s="207">
        <v>0</v>
      </c>
      <c r="BG143" s="207">
        <v>0</v>
      </c>
      <c r="BH143" s="207">
        <v>0</v>
      </c>
      <c r="BI143" s="207">
        <v>0</v>
      </c>
      <c r="BJ143" s="207">
        <v>0</v>
      </c>
      <c r="BK143" s="207">
        <v>0</v>
      </c>
      <c r="BL143" s="207">
        <v>0</v>
      </c>
      <c r="BM143" s="207">
        <v>0</v>
      </c>
      <c r="BN143" s="207">
        <v>0</v>
      </c>
      <c r="BO143" s="207">
        <v>0</v>
      </c>
      <c r="BP143" s="207">
        <v>0</v>
      </c>
      <c r="BQ143" s="207">
        <v>0</v>
      </c>
      <c r="BR143" s="207">
        <v>0</v>
      </c>
      <c r="BS143" s="207">
        <v>0</v>
      </c>
      <c r="BT143" s="207">
        <v>0</v>
      </c>
      <c r="BU143" s="207">
        <v>0</v>
      </c>
      <c r="BV143" s="207">
        <v>0</v>
      </c>
      <c r="BW143" s="207">
        <v>0</v>
      </c>
      <c r="BX143" s="207">
        <v>0</v>
      </c>
      <c r="BY143" s="207">
        <v>0</v>
      </c>
      <c r="BZ143" s="207">
        <v>0</v>
      </c>
      <c r="CA143" s="207">
        <v>0</v>
      </c>
      <c r="CB143" s="207">
        <v>0</v>
      </c>
      <c r="CC143" s="207">
        <v>0</v>
      </c>
      <c r="CD143" s="207">
        <v>0</v>
      </c>
      <c r="CE143" s="207">
        <v>0</v>
      </c>
      <c r="CF143" s="207"/>
      <c r="CG143" s="147"/>
      <c r="CH143" s="176"/>
      <c r="CJ143" s="146"/>
      <c r="CK143" s="76">
        <f t="shared" ca="1" si="90"/>
        <v>0.48349382743302494</v>
      </c>
      <c r="CL143" s="179">
        <f t="shared" si="91"/>
        <v>6</v>
      </c>
      <c r="CM143" s="180">
        <f t="shared" si="92"/>
        <v>39799</v>
      </c>
      <c r="CN143" s="208">
        <v>0</v>
      </c>
      <c r="CO143" s="208">
        <v>0</v>
      </c>
      <c r="CP143" s="208">
        <v>0</v>
      </c>
      <c r="CQ143" s="208">
        <v>0</v>
      </c>
      <c r="CR143" s="208">
        <v>0</v>
      </c>
      <c r="CS143" s="208">
        <v>0</v>
      </c>
      <c r="CT143" s="208">
        <v>0</v>
      </c>
      <c r="CU143" s="208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0.34609200463430057</v>
      </c>
      <c r="DD143">
        <f t="shared" si="94"/>
        <v>6</v>
      </c>
      <c r="DE143" s="129">
        <f t="shared" si="167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3">
        <v>138</v>
      </c>
      <c r="FZ143">
        <v>23.088022479831245</v>
      </c>
      <c r="GA143">
        <v>26.217028028452415</v>
      </c>
      <c r="GB143">
        <v>3.4372156432110885</v>
      </c>
      <c r="GC143">
        <v>3.0272494206087508</v>
      </c>
      <c r="GD143">
        <v>2.0115470993750066</v>
      </c>
      <c r="GE143">
        <v>2.2517222597764261</v>
      </c>
      <c r="GF143">
        <v>5.061391939019714</v>
      </c>
      <c r="GG143">
        <v>6.4950367452012356</v>
      </c>
      <c r="GH143">
        <v>3.7215429376725151</v>
      </c>
      <c r="GI143">
        <v>6.9709725159255855</v>
      </c>
      <c r="GJ143"/>
      <c r="GK143"/>
      <c r="GL143"/>
      <c r="GM143"/>
      <c r="GN143" s="208"/>
      <c r="GO143" s="208"/>
      <c r="GP143" s="208"/>
      <c r="GQ143" s="208"/>
      <c r="GR143" s="208"/>
      <c r="GS143" s="208"/>
      <c r="GT143" s="208"/>
      <c r="GU143" s="213">
        <v>138</v>
      </c>
    </row>
    <row r="144" spans="1:203" s="7" customFormat="1">
      <c r="A144" s="1"/>
      <c r="B144" s="76">
        <f ca="1">IF(C144="", "", RAND())</f>
        <v>0.57938666612213363</v>
      </c>
      <c r="C144">
        <v>5</v>
      </c>
      <c r="D144">
        <v>39799</v>
      </c>
      <c r="E144">
        <v>0</v>
      </c>
      <c r="F144">
        <v>0</v>
      </c>
      <c r="G144">
        <v>0</v>
      </c>
      <c r="H144">
        <v>10.416666666666666</v>
      </c>
      <c r="I144">
        <v>0</v>
      </c>
      <c r="J144">
        <v>0</v>
      </c>
      <c r="K144">
        <v>10.416666666666666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94.324047166022311</v>
      </c>
      <c r="AO144">
        <v>13.817862657145088</v>
      </c>
      <c r="AP144">
        <v>93.458721620859791</v>
      </c>
      <c r="AQ144">
        <v>108.60596277760213</v>
      </c>
      <c r="AR144">
        <v>12.749038777683968</v>
      </c>
      <c r="AS144">
        <v>163.65802866135868</v>
      </c>
      <c r="AT144" t="e">
        <v>#DIV/0!</v>
      </c>
      <c r="AU144" t="e">
        <v>#DIV/0!</v>
      </c>
      <c r="AV144"/>
      <c r="AW144"/>
      <c r="AX144" s="146"/>
      <c r="AY144" s="76">
        <f t="shared" ca="1" si="88"/>
        <v>0.68929725672844544</v>
      </c>
      <c r="AZ144">
        <v>7</v>
      </c>
      <c r="BA144" s="129">
        <f t="shared" si="168"/>
        <v>39799</v>
      </c>
      <c r="BB144" s="207">
        <v>0</v>
      </c>
      <c r="BC144" s="207">
        <v>0</v>
      </c>
      <c r="BD144" s="207">
        <v>0</v>
      </c>
      <c r="BE144" s="207">
        <v>5</v>
      </c>
      <c r="BF144" s="207">
        <v>2</v>
      </c>
      <c r="BG144" s="207">
        <v>0</v>
      </c>
      <c r="BH144" s="207">
        <v>0</v>
      </c>
      <c r="BI144" s="207">
        <v>0</v>
      </c>
      <c r="BJ144" s="207">
        <v>0</v>
      </c>
      <c r="BK144" s="207">
        <v>0</v>
      </c>
      <c r="BL144" s="207">
        <v>0</v>
      </c>
      <c r="BM144" s="207">
        <v>0</v>
      </c>
      <c r="BN144" s="207">
        <v>0</v>
      </c>
      <c r="BO144" s="207">
        <v>0</v>
      </c>
      <c r="BP144" s="207">
        <v>0</v>
      </c>
      <c r="BQ144" s="207">
        <v>0</v>
      </c>
      <c r="BR144" s="207">
        <v>0</v>
      </c>
      <c r="BS144" s="207">
        <v>0</v>
      </c>
      <c r="BT144" s="207">
        <v>0</v>
      </c>
      <c r="BU144" s="207">
        <v>0</v>
      </c>
      <c r="BV144" s="207">
        <v>0</v>
      </c>
      <c r="BW144" s="207">
        <v>0</v>
      </c>
      <c r="BX144" s="207">
        <v>0</v>
      </c>
      <c r="BY144" s="207">
        <v>0</v>
      </c>
      <c r="BZ144" s="207">
        <v>0</v>
      </c>
      <c r="CA144" s="207">
        <v>0</v>
      </c>
      <c r="CB144" s="207">
        <v>0</v>
      </c>
      <c r="CC144" s="207">
        <v>0</v>
      </c>
      <c r="CD144" s="207">
        <v>0</v>
      </c>
      <c r="CE144" s="207">
        <v>0</v>
      </c>
      <c r="CF144" s="207"/>
      <c r="CG144" s="147"/>
      <c r="CH144" s="176"/>
      <c r="CJ144" s="146"/>
      <c r="CK144" s="76">
        <f t="shared" ca="1" si="90"/>
        <v>0.37006714169387406</v>
      </c>
      <c r="CL144" s="179">
        <f t="shared" si="91"/>
        <v>7</v>
      </c>
      <c r="CM144" s="180">
        <f t="shared" si="92"/>
        <v>39799</v>
      </c>
      <c r="CN144" s="208">
        <v>0</v>
      </c>
      <c r="CO144" s="208">
        <v>0</v>
      </c>
      <c r="CP144" s="208">
        <v>0</v>
      </c>
      <c r="CQ144" s="208">
        <v>0</v>
      </c>
      <c r="CR144" s="208">
        <v>0</v>
      </c>
      <c r="CS144" s="208">
        <v>0</v>
      </c>
      <c r="CT144" s="208">
        <v>0</v>
      </c>
      <c r="CU144" s="208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0.52516622759418463</v>
      </c>
      <c r="DD144">
        <f t="shared" si="94"/>
        <v>7</v>
      </c>
      <c r="DE144" s="129">
        <f t="shared" si="167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52.083333333333336</v>
      </c>
      <c r="DJ144" s="161">
        <f t="shared" si="99"/>
        <v>20.833333333333332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2"/>
        <v>72.916666666666671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7.2381266334363996</v>
      </c>
      <c r="ET144" s="139">
        <f t="shared" si="137"/>
        <v>6.2790842244920917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13.517210857928491</v>
      </c>
      <c r="FV144" s="149"/>
      <c r="FY144" s="213">
        <v>139</v>
      </c>
      <c r="FZ144">
        <v>18.848248706740979</v>
      </c>
      <c r="GA144">
        <v>29.742666094935558</v>
      </c>
      <c r="GB144">
        <v>13.310493939449806</v>
      </c>
      <c r="GC144">
        <v>6.7060285863959095</v>
      </c>
      <c r="GD144">
        <v>2.3228672488663067</v>
      </c>
      <c r="GE144">
        <v>2.0295685761723639</v>
      </c>
      <c r="GF144">
        <v>2.040137930774681</v>
      </c>
      <c r="GG144">
        <v>1.5102958162744673</v>
      </c>
      <c r="GH144">
        <v>0.60080431445180338</v>
      </c>
      <c r="GI144">
        <v>7.9897922974549216</v>
      </c>
      <c r="GJ144"/>
      <c r="GK144"/>
      <c r="GL144"/>
      <c r="GM144"/>
      <c r="GN144" s="208"/>
      <c r="GO144" s="208"/>
      <c r="GP144" s="208"/>
      <c r="GQ144" s="208"/>
      <c r="GR144" s="208"/>
      <c r="GS144" s="208"/>
      <c r="GT144" s="208"/>
      <c r="GU144" s="213">
        <v>139</v>
      </c>
    </row>
    <row r="145" spans="1:203" s="7" customFormat="1">
      <c r="A145" s="1"/>
      <c r="B145" s="76">
        <f ca="1">IF(C145="", "", RAND())</f>
        <v>8.5922485458342912E-2</v>
      </c>
      <c r="C145">
        <v>4</v>
      </c>
      <c r="D145">
        <v>39799</v>
      </c>
      <c r="E145">
        <v>0</v>
      </c>
      <c r="F145">
        <v>0</v>
      </c>
      <c r="G145">
        <v>292.44652406417111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94.037583745183895</v>
      </c>
      <c r="AO145">
        <v>16.005615908212878</v>
      </c>
      <c r="AP145">
        <v>119.94399661713462</v>
      </c>
      <c r="AQ145">
        <v>126.66470099092111</v>
      </c>
      <c r="AR145">
        <v>14.766883762779623</v>
      </c>
      <c r="AS145">
        <v>170.85728837106362</v>
      </c>
      <c r="AT145">
        <v>9.951219710548914</v>
      </c>
      <c r="AU145">
        <v>-14.668262190359171</v>
      </c>
      <c r="AV145"/>
      <c r="AW145"/>
      <c r="AX145" s="146"/>
      <c r="AY145" s="76">
        <f t="shared" ca="1" si="88"/>
        <v>0.45070146295420077</v>
      </c>
      <c r="AZ145">
        <v>8</v>
      </c>
      <c r="BA145" s="129">
        <f t="shared" si="168"/>
        <v>39799</v>
      </c>
      <c r="BB145" s="207">
        <v>0</v>
      </c>
      <c r="BC145" s="207">
        <v>0</v>
      </c>
      <c r="BD145" s="207">
        <v>0</v>
      </c>
      <c r="BE145" s="207">
        <v>0</v>
      </c>
      <c r="BF145" s="207">
        <v>2</v>
      </c>
      <c r="BG145" s="207">
        <v>0</v>
      </c>
      <c r="BH145" s="207">
        <v>0</v>
      </c>
      <c r="BI145" s="207">
        <v>0</v>
      </c>
      <c r="BJ145" s="207">
        <v>0</v>
      </c>
      <c r="BK145" s="207">
        <v>0</v>
      </c>
      <c r="BL145" s="207">
        <v>0</v>
      </c>
      <c r="BM145" s="207">
        <v>0</v>
      </c>
      <c r="BN145" s="207">
        <v>0</v>
      </c>
      <c r="BO145" s="207">
        <v>0</v>
      </c>
      <c r="BP145" s="207">
        <v>0</v>
      </c>
      <c r="BQ145" s="207">
        <v>0</v>
      </c>
      <c r="BR145" s="207">
        <v>0</v>
      </c>
      <c r="BS145" s="207">
        <v>0</v>
      </c>
      <c r="BT145" s="207">
        <v>0</v>
      </c>
      <c r="BU145" s="207">
        <v>0</v>
      </c>
      <c r="BV145" s="207">
        <v>0</v>
      </c>
      <c r="BW145" s="207">
        <v>0</v>
      </c>
      <c r="BX145" s="207">
        <v>0</v>
      </c>
      <c r="BY145" s="207">
        <v>0</v>
      </c>
      <c r="BZ145" s="207">
        <v>0</v>
      </c>
      <c r="CA145" s="207">
        <v>0</v>
      </c>
      <c r="CB145" s="207">
        <v>0</v>
      </c>
      <c r="CC145" s="207">
        <v>0</v>
      </c>
      <c r="CD145" s="207">
        <v>0</v>
      </c>
      <c r="CE145" s="207">
        <v>0</v>
      </c>
      <c r="CF145" s="207"/>
      <c r="CG145" s="147"/>
      <c r="CH145" s="176"/>
      <c r="CJ145" s="146"/>
      <c r="CK145" s="76">
        <f t="shared" ca="1" si="90"/>
        <v>0.14401768176545549</v>
      </c>
      <c r="CL145" s="179">
        <f t="shared" si="91"/>
        <v>8</v>
      </c>
      <c r="CM145" s="180">
        <f t="shared" si="92"/>
        <v>39799</v>
      </c>
      <c r="CN145" s="208">
        <v>0</v>
      </c>
      <c r="CO145" s="208">
        <v>0</v>
      </c>
      <c r="CP145" s="208">
        <v>0</v>
      </c>
      <c r="CQ145" s="208">
        <v>1</v>
      </c>
      <c r="CR145" s="208">
        <v>0</v>
      </c>
      <c r="CS145" s="208">
        <v>0</v>
      </c>
      <c r="CT145" s="208">
        <v>0</v>
      </c>
      <c r="CU145" s="208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0.84184008925069342</v>
      </c>
      <c r="DD145">
        <f t="shared" si="94"/>
        <v>8</v>
      </c>
      <c r="DE145" s="129">
        <f t="shared" si="167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74.404761904761912</v>
      </c>
      <c r="DJ145" s="161">
        <f t="shared" si="99"/>
        <v>20.833333333333332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2"/>
        <v>95.238095238095241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10.340180904909142</v>
      </c>
      <c r="ET145" s="139">
        <f t="shared" si="137"/>
        <v>6.2790842244920917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16.619265129401235</v>
      </c>
      <c r="FV145" s="149"/>
      <c r="FY145" s="213">
        <v>140</v>
      </c>
      <c r="FZ145">
        <v>28.187420558390105</v>
      </c>
      <c r="GA145">
        <v>38.272710696379669</v>
      </c>
      <c r="GB145">
        <v>8.3299052130613411</v>
      </c>
      <c r="GC145">
        <v>4.6106960426420711</v>
      </c>
      <c r="GD145">
        <v>2.4862566805407456</v>
      </c>
      <c r="GE145">
        <v>2.5928171122282397</v>
      </c>
      <c r="GF145">
        <v>2.7479759463424438</v>
      </c>
      <c r="GG145">
        <v>2.1849831498469148</v>
      </c>
      <c r="GH145">
        <v>1.2016086289036068</v>
      </c>
      <c r="GI145">
        <v>8.4013227794215428</v>
      </c>
      <c r="GJ145"/>
      <c r="GK145"/>
      <c r="GL145"/>
      <c r="GM145"/>
      <c r="GN145" s="208"/>
      <c r="GO145" s="208"/>
      <c r="GP145" s="208"/>
      <c r="GQ145" s="208"/>
      <c r="GR145" s="208"/>
      <c r="GS145" s="208"/>
      <c r="GT145" s="208"/>
      <c r="GU145" s="213">
        <v>140</v>
      </c>
    </row>
    <row r="146" spans="1:203" s="7" customFormat="1">
      <c r="A146" s="1"/>
      <c r="B146" s="76">
        <f ca="1">IF(C146="", "", RAND())</f>
        <v>0.11976886604653658</v>
      </c>
      <c r="C146">
        <v>2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73.013030671670379</v>
      </c>
      <c r="AO146">
        <v>8.8777140069815879</v>
      </c>
      <c r="AP146">
        <v>40.695185944126699</v>
      </c>
      <c r="AQ146">
        <v>64.504847385857232</v>
      </c>
      <c r="AR146">
        <v>8.4488940086685869</v>
      </c>
      <c r="AS146">
        <v>109.3033711630585</v>
      </c>
      <c r="AT146">
        <v>5.3904224656093218</v>
      </c>
      <c r="AU146">
        <v>16.326195662163446</v>
      </c>
      <c r="AV146"/>
      <c r="AW146"/>
      <c r="AX146" s="146"/>
      <c r="AY146" s="76">
        <f t="shared" ca="1" si="88"/>
        <v>0.30677528580638658</v>
      </c>
      <c r="AZ146">
        <v>9</v>
      </c>
      <c r="BA146" s="129">
        <f t="shared" si="168"/>
        <v>39799</v>
      </c>
      <c r="BB146" s="207">
        <v>0</v>
      </c>
      <c r="BC146" s="207">
        <v>0</v>
      </c>
      <c r="BD146" s="207">
        <v>0</v>
      </c>
      <c r="BE146" s="207">
        <v>0</v>
      </c>
      <c r="BF146" s="207">
        <v>0</v>
      </c>
      <c r="BG146" s="207">
        <v>0</v>
      </c>
      <c r="BH146" s="207">
        <v>0</v>
      </c>
      <c r="BI146" s="207">
        <v>0</v>
      </c>
      <c r="BJ146" s="207">
        <v>1</v>
      </c>
      <c r="BK146" s="207">
        <v>0</v>
      </c>
      <c r="BL146" s="207">
        <v>0</v>
      </c>
      <c r="BM146" s="207">
        <v>0</v>
      </c>
      <c r="BN146" s="207">
        <v>0</v>
      </c>
      <c r="BO146" s="207">
        <v>0</v>
      </c>
      <c r="BP146" s="207">
        <v>0</v>
      </c>
      <c r="BQ146" s="207">
        <v>0</v>
      </c>
      <c r="BR146" s="207">
        <v>0</v>
      </c>
      <c r="BS146" s="207">
        <v>0</v>
      </c>
      <c r="BT146" s="207">
        <v>0</v>
      </c>
      <c r="BU146" s="207">
        <v>0</v>
      </c>
      <c r="BV146" s="207">
        <v>0</v>
      </c>
      <c r="BW146" s="207">
        <v>0</v>
      </c>
      <c r="BX146" s="207">
        <v>0</v>
      </c>
      <c r="BY146" s="207">
        <v>0</v>
      </c>
      <c r="BZ146" s="207">
        <v>0</v>
      </c>
      <c r="CA146" s="207">
        <v>0</v>
      </c>
      <c r="CB146" s="207">
        <v>0</v>
      </c>
      <c r="CC146" s="207">
        <v>0</v>
      </c>
      <c r="CD146" s="207">
        <v>0</v>
      </c>
      <c r="CE146" s="207">
        <v>0</v>
      </c>
      <c r="CF146" s="207"/>
      <c r="CG146" s="147"/>
      <c r="CH146" s="176"/>
      <c r="CJ146" s="146"/>
      <c r="CK146" s="76">
        <f t="shared" ca="1" si="90"/>
        <v>0.27899653362087573</v>
      </c>
      <c r="CL146" s="179">
        <f t="shared" si="91"/>
        <v>9</v>
      </c>
      <c r="CM146" s="180">
        <f t="shared" si="92"/>
        <v>39799</v>
      </c>
      <c r="CN146" s="208">
        <v>0</v>
      </c>
      <c r="CO146" s="208">
        <v>0</v>
      </c>
      <c r="CP146" s="208">
        <v>0</v>
      </c>
      <c r="CQ146" s="208">
        <v>0</v>
      </c>
      <c r="CR146" s="208">
        <v>0</v>
      </c>
      <c r="CS146" s="208">
        <v>0</v>
      </c>
      <c r="CT146" s="208">
        <v>0</v>
      </c>
      <c r="CU146" s="208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0.20798999707472943</v>
      </c>
      <c r="DD146">
        <f t="shared" si="94"/>
        <v>9</v>
      </c>
      <c r="DE146" s="129">
        <f t="shared" si="167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10.416666666666666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2"/>
        <v>10.416666666666666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0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20.273934131663736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20.273934131663736</v>
      </c>
      <c r="FV146" s="149"/>
      <c r="FY146" s="213">
        <v>141</v>
      </c>
      <c r="FZ146">
        <v>10.323849179967112</v>
      </c>
      <c r="GA146">
        <v>14.452104435303323</v>
      </c>
      <c r="GB146">
        <v>8.6704428855029576</v>
      </c>
      <c r="GC146">
        <v>4.9728641436008143</v>
      </c>
      <c r="GD146">
        <v>2.1326304988201539</v>
      </c>
      <c r="GE146">
        <v>2.7749352131099601</v>
      </c>
      <c r="GF146">
        <v>4.3345748338019394</v>
      </c>
      <c r="GG146">
        <v>3.7067506915951944</v>
      </c>
      <c r="GH146">
        <v>0.60080431445180338</v>
      </c>
      <c r="GI146">
        <v>5.9203160585107968</v>
      </c>
      <c r="GJ146"/>
      <c r="GK146"/>
      <c r="GL146"/>
      <c r="GM146"/>
      <c r="GN146" s="208"/>
      <c r="GO146" s="208"/>
      <c r="GP146" s="208"/>
      <c r="GQ146" s="208"/>
      <c r="GR146" s="208"/>
      <c r="GS146" s="208"/>
      <c r="GT146" s="208"/>
      <c r="GU146" s="213">
        <v>141</v>
      </c>
    </row>
    <row r="147" spans="1:203" s="7" customFormat="1">
      <c r="A147" s="1"/>
      <c r="B147" s="76">
        <f ca="1">IF(C147="", "", RAND())</f>
        <v>0.27394250789300312</v>
      </c>
      <c r="C147">
        <v>9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10.416666666666666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100.7786225409704</v>
      </c>
      <c r="AO147">
        <v>13.96530073507148</v>
      </c>
      <c r="AP147">
        <v>107.28870246921397</v>
      </c>
      <c r="AQ147">
        <v>117.13932868839257</v>
      </c>
      <c r="AR147">
        <v>12.872820836533338</v>
      </c>
      <c r="AS147">
        <v>152.26294662308416</v>
      </c>
      <c r="AT147" t="e">
        <v>#DIV/0!</v>
      </c>
      <c r="AU147" t="e">
        <v>#DIV/0!</v>
      </c>
      <c r="AV147"/>
      <c r="AW147"/>
      <c r="AX147" s="146"/>
      <c r="AY147" s="76">
        <f t="shared" ca="1" si="88"/>
        <v>1.2852728045534612E-2</v>
      </c>
      <c r="AZ147">
        <v>10</v>
      </c>
      <c r="BA147" s="129">
        <f t="shared" si="168"/>
        <v>39799</v>
      </c>
      <c r="BB147" s="207">
        <v>0</v>
      </c>
      <c r="BC147" s="207">
        <v>0</v>
      </c>
      <c r="BD147" s="207">
        <v>0</v>
      </c>
      <c r="BE147" s="207">
        <v>0</v>
      </c>
      <c r="BF147" s="207">
        <v>0</v>
      </c>
      <c r="BG147" s="207">
        <v>0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M147" s="207">
        <v>0</v>
      </c>
      <c r="BN147" s="207">
        <v>0</v>
      </c>
      <c r="BO147" s="207">
        <v>0</v>
      </c>
      <c r="BP147" s="207">
        <v>0</v>
      </c>
      <c r="BQ147" s="207">
        <v>0</v>
      </c>
      <c r="BR147" s="207">
        <v>0</v>
      </c>
      <c r="BS147" s="207">
        <v>0</v>
      </c>
      <c r="BT147" s="207">
        <v>0</v>
      </c>
      <c r="BU147" s="207">
        <v>0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A147" s="207">
        <v>0</v>
      </c>
      <c r="CB147" s="207">
        <v>0</v>
      </c>
      <c r="CC147" s="207">
        <v>0</v>
      </c>
      <c r="CD147" s="207">
        <v>0</v>
      </c>
      <c r="CE147" s="207">
        <v>0</v>
      </c>
      <c r="CF147" s="207"/>
      <c r="CG147" s="147"/>
      <c r="CH147" s="176"/>
      <c r="CJ147" s="146"/>
      <c r="CK147" s="76">
        <f t="shared" ca="1" si="90"/>
        <v>0.39409858323263069</v>
      </c>
      <c r="CL147" s="179">
        <f t="shared" si="91"/>
        <v>10</v>
      </c>
      <c r="CM147" s="180">
        <f t="shared" si="92"/>
        <v>39799</v>
      </c>
      <c r="CN147" s="208">
        <v>0</v>
      </c>
      <c r="CO147" s="208">
        <v>0</v>
      </c>
      <c r="CP147" s="208">
        <v>4</v>
      </c>
      <c r="CQ147" s="208">
        <v>0</v>
      </c>
      <c r="CR147" s="208">
        <v>0</v>
      </c>
      <c r="CS147" s="208">
        <v>0</v>
      </c>
      <c r="CT147" s="208">
        <v>0</v>
      </c>
      <c r="CU147" s="208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0.63897209770977215</v>
      </c>
      <c r="DD147">
        <f t="shared" si="94"/>
        <v>10</v>
      </c>
      <c r="DE147" s="129">
        <f t="shared" si="167"/>
        <v>39799</v>
      </c>
      <c r="DF147" s="161">
        <f t="shared" si="95"/>
        <v>0</v>
      </c>
      <c r="DG147" s="161">
        <f t="shared" si="96"/>
        <v>0</v>
      </c>
      <c r="DH147" s="161">
        <f t="shared" si="97"/>
        <v>41.666666666666664</v>
      </c>
      <c r="DI147" s="161">
        <f t="shared" si="98"/>
        <v>0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2"/>
        <v>41.666666666666664</v>
      </c>
      <c r="EL147" s="149"/>
      <c r="EN147" s="146"/>
      <c r="EO147" s="146"/>
      <c r="EP147" s="139">
        <f t="shared" si="133"/>
        <v>0</v>
      </c>
      <c r="EQ147" s="139">
        <f t="shared" si="134"/>
        <v>0</v>
      </c>
      <c r="ER147" s="139">
        <f t="shared" si="135"/>
        <v>1.944708828696879</v>
      </c>
      <c r="ES147" s="139">
        <f t="shared" si="136"/>
        <v>0</v>
      </c>
      <c r="ET147" s="139">
        <f t="shared" si="137"/>
        <v>0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1.944708828696879</v>
      </c>
      <c r="FV147" s="149"/>
      <c r="FY147" s="213">
        <v>142</v>
      </c>
      <c r="FZ147">
        <v>23.143071116916758</v>
      </c>
      <c r="GA147">
        <v>25.948440035088609</v>
      </c>
      <c r="GB147">
        <v>4.6263883596911528</v>
      </c>
      <c r="GC147">
        <v>3.9361528723276322</v>
      </c>
      <c r="GD147">
        <v>2.3691070943155133</v>
      </c>
      <c r="GE147">
        <v>2.6850888882523618</v>
      </c>
      <c r="GF147">
        <v>2.4725989893873432</v>
      </c>
      <c r="GG147">
        <v>3.2858201940538834</v>
      </c>
      <c r="GH147">
        <v>1.5603693116103559</v>
      </c>
      <c r="GI147">
        <v>6.7117957359340785</v>
      </c>
      <c r="GJ147"/>
      <c r="GK147"/>
      <c r="GL147"/>
      <c r="GM147"/>
      <c r="GN147" s="208"/>
      <c r="GO147" s="208"/>
      <c r="GP147" s="208"/>
      <c r="GQ147" s="208"/>
      <c r="GR147" s="208"/>
      <c r="GS147" s="208"/>
      <c r="GT147" s="208"/>
      <c r="GU147" s="213">
        <v>142</v>
      </c>
    </row>
    <row r="148" spans="1:203" s="7" customFormat="1">
      <c r="A148" s="128"/>
      <c r="B148" s="76">
        <f ca="1">IF(C148="", "", RAND())</f>
        <v>0.73076064136686436</v>
      </c>
      <c r="C148">
        <v>6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75.741156270200378</v>
      </c>
      <c r="AO148">
        <v>14.188468774841045</v>
      </c>
      <c r="AP148">
        <v>138.24572977822754</v>
      </c>
      <c r="AQ148">
        <v>122.7780909986882</v>
      </c>
      <c r="AR148">
        <v>13.146318409232506</v>
      </c>
      <c r="AS148">
        <v>151.04451944914976</v>
      </c>
      <c r="AT148" t="e">
        <v>#DIV/0!</v>
      </c>
      <c r="AU148" t="e">
        <v>#DIV/0!</v>
      </c>
      <c r="AV148"/>
      <c r="AW148"/>
      <c r="AX148" s="128"/>
      <c r="AY148" s="76">
        <f t="shared" ca="1" si="88"/>
        <v>0.37827436465742359</v>
      </c>
      <c r="AZ148">
        <v>1</v>
      </c>
      <c r="BA148" s="129">
        <f>IF(AZ148="", "",$C$10)</f>
        <v>39847</v>
      </c>
      <c r="BB148" s="207">
        <v>0</v>
      </c>
      <c r="BC148" s="207">
        <v>0</v>
      </c>
      <c r="BD148" s="207">
        <v>0</v>
      </c>
      <c r="BE148" s="207">
        <v>1</v>
      </c>
      <c r="BF148" s="207">
        <v>1</v>
      </c>
      <c r="BG148" s="207">
        <v>0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M148" s="207">
        <v>0</v>
      </c>
      <c r="BN148" s="207">
        <v>0</v>
      </c>
      <c r="BO148" s="207">
        <v>0</v>
      </c>
      <c r="BP148" s="207">
        <v>0</v>
      </c>
      <c r="BQ148" s="207">
        <v>0</v>
      </c>
      <c r="BR148" s="207">
        <v>0</v>
      </c>
      <c r="BS148" s="207">
        <v>0</v>
      </c>
      <c r="BT148" s="207">
        <v>0</v>
      </c>
      <c r="BU148" s="207">
        <v>0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A148" s="207">
        <v>0</v>
      </c>
      <c r="CB148" s="207">
        <v>0</v>
      </c>
      <c r="CC148" s="207">
        <v>0</v>
      </c>
      <c r="CD148" s="207">
        <v>0</v>
      </c>
      <c r="CE148" s="207">
        <v>0</v>
      </c>
      <c r="CF148" s="207"/>
      <c r="CG148" s="147"/>
      <c r="CH148" s="176"/>
      <c r="CJ148" s="128"/>
      <c r="CK148" s="76">
        <f t="shared" ca="1" si="90"/>
        <v>0.8857200916031609</v>
      </c>
      <c r="CL148" s="179">
        <f t="shared" si="91"/>
        <v>1</v>
      </c>
      <c r="CM148" s="180">
        <f t="shared" si="92"/>
        <v>39847</v>
      </c>
      <c r="CN148" s="208">
        <v>0</v>
      </c>
      <c r="CO148" s="208">
        <v>0</v>
      </c>
      <c r="CP148" s="208">
        <v>0</v>
      </c>
      <c r="CQ148" s="208">
        <v>0</v>
      </c>
      <c r="CR148" s="208">
        <v>0</v>
      </c>
      <c r="CS148" s="208">
        <v>0</v>
      </c>
      <c r="CT148" s="208">
        <v>0</v>
      </c>
      <c r="CU148" s="20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0.32783955791819808</v>
      </c>
      <c r="DD148">
        <f t="shared" si="94"/>
        <v>1</v>
      </c>
      <c r="DE148" s="129">
        <f t="shared" ref="DE148:DE157" si="169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0</v>
      </c>
      <c r="DI148" s="161">
        <f t="shared" si="98"/>
        <v>10.416666666666666</v>
      </c>
      <c r="DJ148" s="161">
        <f t="shared" si="99"/>
        <v>10.416666666666666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2"/>
        <v>20.833333333333332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1.4476253266872796</v>
      </c>
      <c r="ET148" s="139">
        <f t="shared" si="137"/>
        <v>3.1395421122460458</v>
      </c>
      <c r="EU148" s="139">
        <f t="shared" si="138"/>
        <v>0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4.5871674389333252</v>
      </c>
      <c r="FV148" s="149"/>
      <c r="FY148" s="213">
        <v>143</v>
      </c>
      <c r="FZ148">
        <v>36.020688548417212</v>
      </c>
      <c r="GA148">
        <v>44.106731357844041</v>
      </c>
      <c r="GB148">
        <v>5.8357352058178433</v>
      </c>
      <c r="GC148">
        <v>3.115118477201603</v>
      </c>
      <c r="GD148">
        <v>2.2414342888382914</v>
      </c>
      <c r="GE148">
        <v>2.4594738421949343</v>
      </c>
      <c r="GF148">
        <v>3.0901415116932949</v>
      </c>
      <c r="GG148">
        <v>2.3429300869830216</v>
      </c>
      <c r="GH148">
        <v>0.60080431445180338</v>
      </c>
      <c r="GI148">
        <v>8.7947102227729808</v>
      </c>
      <c r="GJ148"/>
      <c r="GK148"/>
      <c r="GL148"/>
      <c r="GM148"/>
      <c r="GN148" s="208"/>
      <c r="GO148" s="208"/>
      <c r="GP148" s="208"/>
      <c r="GQ148" s="208"/>
      <c r="GR148" s="208"/>
      <c r="GS148" s="208"/>
      <c r="GT148" s="208"/>
      <c r="GU148" s="213">
        <v>143</v>
      </c>
    </row>
    <row r="149" spans="1:203" s="7" customFormat="1">
      <c r="A149" s="77"/>
      <c r="B149" s="76">
        <f ca="1">IF(C149="", "", RAND())</f>
        <v>0.98086040891909776</v>
      </c>
      <c r="C149">
        <v>9</v>
      </c>
      <c r="D149">
        <v>39847</v>
      </c>
      <c r="E149">
        <v>0</v>
      </c>
      <c r="F149">
        <v>0</v>
      </c>
      <c r="G149">
        <v>0</v>
      </c>
      <c r="H149">
        <v>10.416666666666666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103.05576979318103</v>
      </c>
      <c r="AO149">
        <v>16.599065975147532</v>
      </c>
      <c r="AP149">
        <v>101.22176990480614</v>
      </c>
      <c r="AQ149">
        <v>130.02070263901459</v>
      </c>
      <c r="AR149">
        <v>15.328482787591767</v>
      </c>
      <c r="AS149">
        <v>164.17606695761168</v>
      </c>
      <c r="AT149">
        <v>9.9200034035896021</v>
      </c>
      <c r="AU149">
        <v>53.673566464237318</v>
      </c>
      <c r="AV149"/>
      <c r="AW149"/>
      <c r="AX149" s="151"/>
      <c r="AY149" s="76">
        <f t="shared" ca="1" si="88"/>
        <v>0.34093130929704696</v>
      </c>
      <c r="AZ149">
        <v>2</v>
      </c>
      <c r="BA149" s="129">
        <f t="shared" ref="BA149:BA157" si="170">IF(AZ149="", "",$C$10)</f>
        <v>39847</v>
      </c>
      <c r="BB149" s="207">
        <v>0</v>
      </c>
      <c r="BC149" s="207">
        <v>0</v>
      </c>
      <c r="BD149" s="207">
        <v>0</v>
      </c>
      <c r="BE149" s="207">
        <v>0</v>
      </c>
      <c r="BF149" s="207">
        <v>0</v>
      </c>
      <c r="BG149" s="207">
        <v>0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M149" s="207">
        <v>0</v>
      </c>
      <c r="BN149" s="207">
        <v>0</v>
      </c>
      <c r="BO149" s="207">
        <v>0</v>
      </c>
      <c r="BP149" s="207">
        <v>0</v>
      </c>
      <c r="BQ149" s="207">
        <v>0</v>
      </c>
      <c r="BR149" s="207">
        <v>0</v>
      </c>
      <c r="BS149" s="207">
        <v>0</v>
      </c>
      <c r="BT149" s="207">
        <v>0</v>
      </c>
      <c r="BU149" s="207">
        <v>0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A149" s="207">
        <v>0</v>
      </c>
      <c r="CB149" s="207">
        <v>0</v>
      </c>
      <c r="CC149" s="207">
        <v>0</v>
      </c>
      <c r="CD149" s="207">
        <v>0</v>
      </c>
      <c r="CE149" s="207">
        <v>0</v>
      </c>
      <c r="CF149" s="207"/>
      <c r="CG149" s="147"/>
      <c r="CH149" s="176"/>
      <c r="CJ149" s="151"/>
      <c r="CK149" s="76">
        <f t="shared" ca="1" si="90"/>
        <v>0.34980049109194322</v>
      </c>
      <c r="CL149" s="179">
        <f t="shared" si="91"/>
        <v>2</v>
      </c>
      <c r="CM149" s="180">
        <f t="shared" si="92"/>
        <v>39847</v>
      </c>
      <c r="CN149" s="208">
        <v>0</v>
      </c>
      <c r="CO149" s="208">
        <v>0</v>
      </c>
      <c r="CP149" s="208">
        <v>0</v>
      </c>
      <c r="CQ149" s="208">
        <v>0</v>
      </c>
      <c r="CR149" s="208">
        <v>0</v>
      </c>
      <c r="CS149" s="208">
        <v>0</v>
      </c>
      <c r="CT149" s="208">
        <v>0</v>
      </c>
      <c r="CU149" s="208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0.8499822201852727</v>
      </c>
      <c r="DD149">
        <f t="shared" si="94"/>
        <v>2</v>
      </c>
      <c r="DE149" s="129">
        <f t="shared" si="169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2"/>
        <v>0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0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0</v>
      </c>
      <c r="FV149" s="149"/>
      <c r="FY149" s="213">
        <v>144</v>
      </c>
      <c r="FZ149">
        <v>42.397616858421536</v>
      </c>
      <c r="GA149">
        <v>51.468415565384795</v>
      </c>
      <c r="GB149">
        <v>7.2349073793801324</v>
      </c>
      <c r="GC149">
        <v>4.6257157035475851</v>
      </c>
      <c r="GD149">
        <v>1.8515920820268856</v>
      </c>
      <c r="GE149">
        <v>1.7205659503786181</v>
      </c>
      <c r="GF149">
        <v>3.5464157250557959</v>
      </c>
      <c r="GG149">
        <v>2.8314692469636533</v>
      </c>
      <c r="GH149">
        <v>1.2016086289036068</v>
      </c>
      <c r="GI149">
        <v>10.040642604545431</v>
      </c>
      <c r="GJ149"/>
      <c r="GK149"/>
      <c r="GL149"/>
      <c r="GM149"/>
      <c r="GN149" s="208"/>
      <c r="GO149" s="208"/>
      <c r="GP149" s="208"/>
      <c r="GQ149" s="208"/>
      <c r="GR149" s="208"/>
      <c r="GS149" s="208"/>
      <c r="GT149" s="208"/>
      <c r="GU149" s="213">
        <v>144</v>
      </c>
    </row>
    <row r="150" spans="1:203" s="7" customFormat="1">
      <c r="A150" s="77"/>
      <c r="B150" s="76">
        <f ca="1">IF(C150="", "", RAND())</f>
        <v>0.96477391566337389</v>
      </c>
      <c r="C150">
        <v>2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81.447705336555487</v>
      </c>
      <c r="AO150">
        <v>12.561982764110141</v>
      </c>
      <c r="AP150">
        <v>95.763805923267796</v>
      </c>
      <c r="AQ150">
        <v>102.30965974510835</v>
      </c>
      <c r="AR150">
        <v>11.592308545576481</v>
      </c>
      <c r="AS150">
        <v>146.89874588552078</v>
      </c>
      <c r="AT150" t="e">
        <v>#DIV/0!</v>
      </c>
      <c r="AU150" t="e">
        <v>#DIV/0!</v>
      </c>
      <c r="AV150"/>
      <c r="AW150"/>
      <c r="AX150" s="151"/>
      <c r="AY150" s="76">
        <f t="shared" ca="1" si="88"/>
        <v>0.82214676058210046</v>
      </c>
      <c r="AZ150">
        <v>3</v>
      </c>
      <c r="BA150" s="129">
        <f t="shared" si="170"/>
        <v>39847</v>
      </c>
      <c r="BB150" s="207">
        <v>0</v>
      </c>
      <c r="BC150" s="207">
        <v>0</v>
      </c>
      <c r="BD150" s="207">
        <v>0</v>
      </c>
      <c r="BE150" s="207">
        <v>0</v>
      </c>
      <c r="BF150" s="207">
        <v>0</v>
      </c>
      <c r="BG150" s="207">
        <v>0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M150" s="207">
        <v>0</v>
      </c>
      <c r="BN150" s="207">
        <v>0</v>
      </c>
      <c r="BO150" s="207">
        <v>0</v>
      </c>
      <c r="BP150" s="207">
        <v>0</v>
      </c>
      <c r="BQ150" s="207">
        <v>0</v>
      </c>
      <c r="BR150" s="207">
        <v>0</v>
      </c>
      <c r="BS150" s="207">
        <v>0</v>
      </c>
      <c r="BT150" s="207">
        <v>0</v>
      </c>
      <c r="BU150" s="207">
        <v>0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A150" s="207">
        <v>0</v>
      </c>
      <c r="CB150" s="207">
        <v>0</v>
      </c>
      <c r="CC150" s="207">
        <v>0</v>
      </c>
      <c r="CD150" s="207">
        <v>0</v>
      </c>
      <c r="CE150" s="207">
        <v>0</v>
      </c>
      <c r="CF150" s="207"/>
      <c r="CG150" s="147"/>
      <c r="CH150" s="176"/>
      <c r="CJ150" s="151"/>
      <c r="CK150" s="76">
        <f t="shared" ca="1" si="90"/>
        <v>0.28010496288982534</v>
      </c>
      <c r="CL150" s="179">
        <f t="shared" si="91"/>
        <v>3</v>
      </c>
      <c r="CM150" s="180">
        <f t="shared" si="92"/>
        <v>39847</v>
      </c>
      <c r="CN150" s="208">
        <v>0</v>
      </c>
      <c r="CO150" s="208">
        <v>0</v>
      </c>
      <c r="CP150" s="208">
        <v>0</v>
      </c>
      <c r="CQ150" s="208">
        <v>0</v>
      </c>
      <c r="CR150" s="208">
        <v>0</v>
      </c>
      <c r="CS150" s="208">
        <v>0</v>
      </c>
      <c r="CT150" s="208">
        <v>0</v>
      </c>
      <c r="CU150" s="208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0.88175025888969061</v>
      </c>
      <c r="DD150">
        <f t="shared" si="94"/>
        <v>3</v>
      </c>
      <c r="DE150" s="129">
        <f t="shared" si="169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2"/>
        <v>0</v>
      </c>
      <c r="EL150" s="149"/>
      <c r="EN150" s="151"/>
      <c r="EO150" s="151"/>
      <c r="EP150" s="139">
        <f t="shared" si="133"/>
        <v>0</v>
      </c>
      <c r="EQ150" s="139">
        <f t="shared" si="134"/>
        <v>0</v>
      </c>
      <c r="ER150" s="139">
        <f t="shared" si="135"/>
        <v>0</v>
      </c>
      <c r="ES150" s="139">
        <f t="shared" si="136"/>
        <v>0</v>
      </c>
      <c r="ET150" s="139">
        <f t="shared" si="137"/>
        <v>0</v>
      </c>
      <c r="EU150" s="139">
        <f t="shared" si="138"/>
        <v>0</v>
      </c>
      <c r="EV150" s="139">
        <f t="shared" si="139"/>
        <v>0</v>
      </c>
      <c r="EW150" s="139">
        <f t="shared" si="140"/>
        <v>0</v>
      </c>
      <c r="EX150" s="139">
        <f t="shared" si="141"/>
        <v>0</v>
      </c>
      <c r="EY150" s="139">
        <f t="shared" si="142"/>
        <v>0</v>
      </c>
      <c r="EZ150" s="139">
        <f t="shared" si="143"/>
        <v>0</v>
      </c>
      <c r="FA150" s="139">
        <f t="shared" si="144"/>
        <v>0</v>
      </c>
      <c r="FB150" s="139">
        <f t="shared" si="145"/>
        <v>0</v>
      </c>
      <c r="FC150" s="139">
        <f t="shared" si="146"/>
        <v>0</v>
      </c>
      <c r="FD150" s="139">
        <f t="shared" si="147"/>
        <v>0</v>
      </c>
      <c r="FE150" s="139">
        <f t="shared" si="148"/>
        <v>0</v>
      </c>
      <c r="FF150" s="139">
        <f t="shared" si="149"/>
        <v>0</v>
      </c>
      <c r="FG150" s="139">
        <f t="shared" si="150"/>
        <v>0</v>
      </c>
      <c r="FH150" s="139">
        <f t="shared" si="151"/>
        <v>0</v>
      </c>
      <c r="FI150" s="139">
        <f t="shared" si="152"/>
        <v>0</v>
      </c>
      <c r="FJ150" s="139">
        <f t="shared" si="153"/>
        <v>0</v>
      </c>
      <c r="FK150" s="139">
        <f t="shared" si="154"/>
        <v>0</v>
      </c>
      <c r="FL150" s="139">
        <f t="shared" si="155"/>
        <v>0</v>
      </c>
      <c r="FM150" s="139">
        <f t="shared" si="156"/>
        <v>0</v>
      </c>
      <c r="FN150" s="139">
        <f t="shared" si="157"/>
        <v>0</v>
      </c>
      <c r="FO150" s="139">
        <f t="shared" si="158"/>
        <v>0</v>
      </c>
      <c r="FP150" s="139">
        <f t="shared" si="159"/>
        <v>0</v>
      </c>
      <c r="FQ150" s="139">
        <f t="shared" si="160"/>
        <v>0</v>
      </c>
      <c r="FR150" s="139">
        <f t="shared" si="161"/>
        <v>0</v>
      </c>
      <c r="FS150" s="139">
        <f t="shared" si="162"/>
        <v>0</v>
      </c>
      <c r="FT150" s="139">
        <f t="shared" si="163"/>
        <v>0</v>
      </c>
      <c r="FU150" s="148">
        <f t="shared" si="164"/>
        <v>0</v>
      </c>
      <c r="FV150" s="149"/>
      <c r="FY150" s="213">
        <v>145</v>
      </c>
      <c r="FZ150">
        <v>24.366148664423601</v>
      </c>
      <c r="GA150">
        <v>29.417237933622879</v>
      </c>
      <c r="GB150">
        <v>4.3730731198507238</v>
      </c>
      <c r="GC150">
        <v>3.4114929584180809</v>
      </c>
      <c r="GD150">
        <v>2.5207038662577448</v>
      </c>
      <c r="GE150">
        <v>2.5099893959158437</v>
      </c>
      <c r="GF150">
        <v>1.7746619759705291</v>
      </c>
      <c r="GG150">
        <v>1.2922223361086917</v>
      </c>
      <c r="GH150">
        <v>0</v>
      </c>
      <c r="GI150">
        <v>6.5642166429196545</v>
      </c>
      <c r="GJ150"/>
      <c r="GK150"/>
      <c r="GL150"/>
      <c r="GM150"/>
      <c r="GN150" s="208"/>
      <c r="GO150" s="208"/>
      <c r="GP150" s="208"/>
      <c r="GQ150" s="208"/>
      <c r="GR150" s="208"/>
      <c r="GS150" s="208"/>
      <c r="GT150" s="208"/>
      <c r="GU150" s="213">
        <v>145</v>
      </c>
    </row>
    <row r="151" spans="1:203" s="7" customFormat="1">
      <c r="A151" s="77"/>
      <c r="B151" s="76">
        <f ca="1">IF(C151="", "", RAND())</f>
        <v>4.4968706064907771E-2</v>
      </c>
      <c r="C151">
        <v>10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82.312333247475237</v>
      </c>
      <c r="AO151">
        <v>12.488202287732239</v>
      </c>
      <c r="AP151">
        <v>68.053709409449809</v>
      </c>
      <c r="AQ151">
        <v>100.59040845683398</v>
      </c>
      <c r="AR151">
        <v>11.613781833012569</v>
      </c>
      <c r="AS151">
        <v>141.9319321716232</v>
      </c>
      <c r="AT151">
        <v>7.6345310211519148</v>
      </c>
      <c r="AU151">
        <v>21.064005970221558</v>
      </c>
      <c r="AV151"/>
      <c r="AW151"/>
      <c r="AX151" s="151"/>
      <c r="AY151" s="76">
        <f t="shared" ca="1" si="88"/>
        <v>0.69939559558660847</v>
      </c>
      <c r="AZ151">
        <v>4</v>
      </c>
      <c r="BA151" s="129">
        <f t="shared" si="170"/>
        <v>39847</v>
      </c>
      <c r="BB151" s="207">
        <v>0</v>
      </c>
      <c r="BC151" s="207">
        <v>0</v>
      </c>
      <c r="BD151" s="207">
        <v>0</v>
      </c>
      <c r="BE151" s="207">
        <v>0</v>
      </c>
      <c r="BF151" s="207">
        <v>0</v>
      </c>
      <c r="BG151" s="207">
        <v>0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M151" s="207">
        <v>0</v>
      </c>
      <c r="BN151" s="207">
        <v>0</v>
      </c>
      <c r="BO151" s="207">
        <v>0</v>
      </c>
      <c r="BP151" s="207">
        <v>0</v>
      </c>
      <c r="BQ151" s="207">
        <v>0</v>
      </c>
      <c r="BR151" s="207">
        <v>0</v>
      </c>
      <c r="BS151" s="207">
        <v>0</v>
      </c>
      <c r="BT151" s="207">
        <v>0</v>
      </c>
      <c r="BU151" s="207">
        <v>0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A151" s="207">
        <v>0</v>
      </c>
      <c r="CB151" s="207">
        <v>0</v>
      </c>
      <c r="CC151" s="207">
        <v>0</v>
      </c>
      <c r="CD151" s="207">
        <v>0</v>
      </c>
      <c r="CE151" s="207">
        <v>0</v>
      </c>
      <c r="CF151" s="207"/>
      <c r="CG151" s="147"/>
      <c r="CH151" s="176"/>
      <c r="CJ151" s="151"/>
      <c r="CK151" s="76">
        <f t="shared" ca="1" si="90"/>
        <v>0.8942777622477136</v>
      </c>
      <c r="CL151" s="179">
        <f t="shared" si="91"/>
        <v>4</v>
      </c>
      <c r="CM151" s="180">
        <f t="shared" si="92"/>
        <v>39847</v>
      </c>
      <c r="CN151" s="208">
        <v>0</v>
      </c>
      <c r="CO151" s="208">
        <v>0</v>
      </c>
      <c r="CP151" s="208">
        <v>0</v>
      </c>
      <c r="CQ151" s="208">
        <v>0</v>
      </c>
      <c r="CR151" s="208">
        <v>0</v>
      </c>
      <c r="CS151" s="208">
        <v>0</v>
      </c>
      <c r="CT151" s="208">
        <v>0</v>
      </c>
      <c r="CU151" s="208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0.94920297558729616</v>
      </c>
      <c r="DD151">
        <f t="shared" si="94"/>
        <v>4</v>
      </c>
      <c r="DE151" s="129">
        <f t="shared" si="169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2"/>
        <v>0</v>
      </c>
      <c r="EL151" s="149"/>
      <c r="EN151" s="151"/>
      <c r="EO151" s="151"/>
      <c r="EP151" s="139">
        <f t="shared" si="133"/>
        <v>0</v>
      </c>
      <c r="EQ151" s="139">
        <f t="shared" si="134"/>
        <v>0</v>
      </c>
      <c r="ER151" s="139">
        <f t="shared" si="135"/>
        <v>0</v>
      </c>
      <c r="ES151" s="139">
        <f t="shared" si="136"/>
        <v>0</v>
      </c>
      <c r="ET151" s="139">
        <f t="shared" si="137"/>
        <v>0</v>
      </c>
      <c r="EU151" s="139">
        <f t="shared" si="138"/>
        <v>0</v>
      </c>
      <c r="EV151" s="139">
        <f t="shared" si="139"/>
        <v>0</v>
      </c>
      <c r="EW151" s="139">
        <f t="shared" si="140"/>
        <v>0</v>
      </c>
      <c r="EX151" s="139">
        <f t="shared" si="141"/>
        <v>0</v>
      </c>
      <c r="EY151" s="139">
        <f t="shared" si="142"/>
        <v>0</v>
      </c>
      <c r="EZ151" s="139">
        <f t="shared" si="143"/>
        <v>0</v>
      </c>
      <c r="FA151" s="139">
        <f t="shared" si="144"/>
        <v>0</v>
      </c>
      <c r="FB151" s="139">
        <f t="shared" si="145"/>
        <v>0</v>
      </c>
      <c r="FC151" s="139">
        <f t="shared" si="146"/>
        <v>0</v>
      </c>
      <c r="FD151" s="139">
        <f t="shared" si="147"/>
        <v>0</v>
      </c>
      <c r="FE151" s="139">
        <f t="shared" si="148"/>
        <v>0</v>
      </c>
      <c r="FF151" s="139">
        <f t="shared" si="149"/>
        <v>0</v>
      </c>
      <c r="FG151" s="139">
        <f t="shared" si="150"/>
        <v>0</v>
      </c>
      <c r="FH151" s="139">
        <f t="shared" si="151"/>
        <v>0</v>
      </c>
      <c r="FI151" s="139">
        <f t="shared" si="152"/>
        <v>0</v>
      </c>
      <c r="FJ151" s="139">
        <f t="shared" si="153"/>
        <v>0</v>
      </c>
      <c r="FK151" s="139">
        <f t="shared" si="154"/>
        <v>0</v>
      </c>
      <c r="FL151" s="139">
        <f t="shared" si="155"/>
        <v>0</v>
      </c>
      <c r="FM151" s="139">
        <f t="shared" si="156"/>
        <v>0</v>
      </c>
      <c r="FN151" s="139">
        <f t="shared" si="157"/>
        <v>0</v>
      </c>
      <c r="FO151" s="139">
        <f t="shared" si="158"/>
        <v>0</v>
      </c>
      <c r="FP151" s="139">
        <f t="shared" si="159"/>
        <v>0</v>
      </c>
      <c r="FQ151" s="139">
        <f t="shared" si="160"/>
        <v>0</v>
      </c>
      <c r="FR151" s="139">
        <f t="shared" si="161"/>
        <v>0</v>
      </c>
      <c r="FS151" s="139">
        <f t="shared" si="162"/>
        <v>0</v>
      </c>
      <c r="FT151" s="139">
        <f t="shared" si="163"/>
        <v>0</v>
      </c>
      <c r="FU151" s="148">
        <f t="shared" si="164"/>
        <v>0</v>
      </c>
      <c r="FV151" s="149"/>
      <c r="FY151" s="213">
        <v>146</v>
      </c>
      <c r="FZ151">
        <v>23.194741214830184</v>
      </c>
      <c r="GA151">
        <v>29.541005518217879</v>
      </c>
      <c r="GB151">
        <v>6.2449460973806641</v>
      </c>
      <c r="GC151">
        <v>4.1442257484878109</v>
      </c>
      <c r="GD151">
        <v>2.5200600150952601</v>
      </c>
      <c r="GE151">
        <v>2.8086100272534975</v>
      </c>
      <c r="GF151">
        <v>4.3379361264359435</v>
      </c>
      <c r="GG151">
        <v>7.0734373800899659</v>
      </c>
      <c r="GH151">
        <v>5.2819122492828701</v>
      </c>
      <c r="GI151">
        <v>8.0704778844279712</v>
      </c>
      <c r="GJ151"/>
      <c r="GK151"/>
      <c r="GL151"/>
      <c r="GM151"/>
      <c r="GN151" s="208"/>
      <c r="GO151" s="208"/>
      <c r="GP151" s="208"/>
      <c r="GQ151" s="208"/>
      <c r="GR151" s="208"/>
      <c r="GS151" s="208"/>
      <c r="GT151" s="208"/>
      <c r="GU151" s="213">
        <v>146</v>
      </c>
    </row>
    <row r="152" spans="1:203" s="7" customFormat="1">
      <c r="A152" s="77"/>
      <c r="B152" s="76">
        <f ca="1">IF(C152="", "", RAND())</f>
        <v>0.40757041607208522</v>
      </c>
      <c r="C152">
        <v>4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65.7740380874572</v>
      </c>
      <c r="AO152">
        <v>6.3727733730709613</v>
      </c>
      <c r="AP152">
        <v>31.818812509561297</v>
      </c>
      <c r="AQ152">
        <v>45.999430868107808</v>
      </c>
      <c r="AR152">
        <v>5.9080475073556338</v>
      </c>
      <c r="AS152">
        <v>90.783803786183171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1">IF(AZ152="", "", RAND())</f>
        <v>0.58679683095735413</v>
      </c>
      <c r="AZ152">
        <v>5</v>
      </c>
      <c r="BA152" s="129">
        <f t="shared" si="170"/>
        <v>39847</v>
      </c>
      <c r="BB152" s="207">
        <v>0</v>
      </c>
      <c r="BC152" s="207">
        <v>0</v>
      </c>
      <c r="BD152" s="207">
        <v>0</v>
      </c>
      <c r="BE152" s="207">
        <v>0</v>
      </c>
      <c r="BF152" s="207">
        <v>0</v>
      </c>
      <c r="BG152" s="207">
        <v>0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M152" s="207">
        <v>0</v>
      </c>
      <c r="BN152" s="207">
        <v>0</v>
      </c>
      <c r="BO152" s="207">
        <v>0</v>
      </c>
      <c r="BP152" s="207">
        <v>0</v>
      </c>
      <c r="BQ152" s="207">
        <v>0</v>
      </c>
      <c r="BR152" s="207">
        <v>0</v>
      </c>
      <c r="BS152" s="207">
        <v>0</v>
      </c>
      <c r="BT152" s="207">
        <v>0</v>
      </c>
      <c r="BU152" s="207">
        <v>0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A152" s="207">
        <v>0</v>
      </c>
      <c r="CB152" s="207">
        <v>0</v>
      </c>
      <c r="CC152" s="207">
        <v>0</v>
      </c>
      <c r="CD152" s="207">
        <v>0</v>
      </c>
      <c r="CE152" s="207">
        <v>0</v>
      </c>
      <c r="CF152" s="207"/>
      <c r="CG152" s="147"/>
      <c r="CH152" s="176"/>
      <c r="CJ152" s="151"/>
      <c r="CK152" s="76">
        <f t="shared" ca="1" si="90"/>
        <v>0.60895581122744336</v>
      </c>
      <c r="CL152" s="179">
        <f t="shared" si="91"/>
        <v>5</v>
      </c>
      <c r="CM152" s="180">
        <f t="shared" si="92"/>
        <v>39847</v>
      </c>
      <c r="CN152" s="208">
        <v>0</v>
      </c>
      <c r="CO152" s="208">
        <v>0</v>
      </c>
      <c r="CP152" s="208">
        <v>0</v>
      </c>
      <c r="CQ152" s="208">
        <v>0</v>
      </c>
      <c r="CR152" s="208">
        <v>0</v>
      </c>
      <c r="CS152" s="208">
        <v>0</v>
      </c>
      <c r="CT152" s="208">
        <v>0</v>
      </c>
      <c r="CU152" s="208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2">IF(DD152="", "", RAND())</f>
        <v>0.57137036328990898</v>
      </c>
      <c r="DD152">
        <f t="shared" si="94"/>
        <v>5</v>
      </c>
      <c r="DE152" s="129">
        <f t="shared" si="169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3">IF(DF152="", "", SUM(DF152:EJ152))</f>
        <v>0</v>
      </c>
      <c r="EL152" s="149"/>
      <c r="EN152" s="151"/>
      <c r="EO152" s="151"/>
      <c r="EP152" s="139">
        <f t="shared" ref="EP152:EP183" si="174">IF(DF152="", "", DF152*G$36)</f>
        <v>0</v>
      </c>
      <c r="EQ152" s="139">
        <f t="shared" ref="EQ152:EQ183" si="175">IF(DG152="", "", DG152*H$36)</f>
        <v>0</v>
      </c>
      <c r="ER152" s="139">
        <f t="shared" ref="ER152:ER183" si="176">IF(DH152="", "", DH152*I$36)</f>
        <v>0</v>
      </c>
      <c r="ES152" s="139">
        <f t="shared" ref="ES152:ES183" si="177">IF(DI152="", "", DI152*J$36)</f>
        <v>0</v>
      </c>
      <c r="ET152" s="139">
        <f t="shared" ref="ET152:ET183" si="178">IF(DJ152="", "", DJ152*K$36)</f>
        <v>0</v>
      </c>
      <c r="EU152" s="139">
        <f t="shared" ref="EU152:EU183" si="179">IF(DK152="", "", DK152*L$36)</f>
        <v>0</v>
      </c>
      <c r="EV152" s="139">
        <f t="shared" ref="EV152:EV183" si="180">IF(DL152="", "", DL152*M$36)</f>
        <v>0</v>
      </c>
      <c r="EW152" s="139">
        <f t="shared" ref="EW152:EW183" si="181">IF(DM152="", "", DM152*N$36)</f>
        <v>0</v>
      </c>
      <c r="EX152" s="139">
        <f t="shared" ref="EX152:EX183" si="182">IF(DN152="", "", DN152*O$36)</f>
        <v>0</v>
      </c>
      <c r="EY152" s="139">
        <f t="shared" ref="EY152:EY183" si="183">IF(DO152="", "", DO152*P$36)</f>
        <v>0</v>
      </c>
      <c r="EZ152" s="139">
        <f t="shared" ref="EZ152:EZ183" si="184">IF(DP152="", "", DP152*Q$36)</f>
        <v>0</v>
      </c>
      <c r="FA152" s="139">
        <f t="shared" ref="FA152:FA183" si="185">IF(DQ152="", "", DQ152*R$36)</f>
        <v>0</v>
      </c>
      <c r="FB152" s="139">
        <f t="shared" ref="FB152:FB183" si="186">IF(DR152="", "", DR152*S$36)</f>
        <v>0</v>
      </c>
      <c r="FC152" s="139">
        <f t="shared" ref="FC152:FC183" si="187">IF(DS152="", "", DS152*T$36)</f>
        <v>0</v>
      </c>
      <c r="FD152" s="139">
        <f t="shared" ref="FD152:FD183" si="188">IF(DT152="", "", DT152*U$36)</f>
        <v>0</v>
      </c>
      <c r="FE152" s="139">
        <f t="shared" ref="FE152:FE183" si="189">IF(DU152="", "", DU152*V$36)</f>
        <v>0</v>
      </c>
      <c r="FF152" s="139">
        <f t="shared" ref="FF152:FF183" si="190">IF(DV152="", "", DV152*W$36)</f>
        <v>0</v>
      </c>
      <c r="FG152" s="139">
        <f t="shared" ref="FG152:FG183" si="191">IF(DW152="", "", DW152*X$36)</f>
        <v>0</v>
      </c>
      <c r="FH152" s="139">
        <f t="shared" ref="FH152:FH183" si="192">IF(DX152="", "", DX152*Y$36)</f>
        <v>0</v>
      </c>
      <c r="FI152" s="139">
        <f t="shared" ref="FI152:FI183" si="193">IF(DY152="", "", DY152*Z$36)</f>
        <v>0</v>
      </c>
      <c r="FJ152" s="139">
        <f t="shared" ref="FJ152:FJ183" si="194">IF(DZ152="", "", DZ152*AA$36)</f>
        <v>0</v>
      </c>
      <c r="FK152" s="139">
        <f t="shared" ref="FK152:FK183" si="195">IF(EA152="", "", EA152*AB$36)</f>
        <v>0</v>
      </c>
      <c r="FL152" s="139">
        <f t="shared" ref="FL152:FL183" si="196">IF(EB152="", "", EB152*AC$36)</f>
        <v>0</v>
      </c>
      <c r="FM152" s="139">
        <f t="shared" ref="FM152:FM183" si="197">IF(EC152="", "", EC152*AD$36)</f>
        <v>0</v>
      </c>
      <c r="FN152" s="139">
        <f t="shared" ref="FN152:FN183" si="198">IF(ED152="", "", ED152*AE$36)</f>
        <v>0</v>
      </c>
      <c r="FO152" s="139">
        <f t="shared" ref="FO152:FO183" si="199">IF(EE152="", "", EE152*AF$36)</f>
        <v>0</v>
      </c>
      <c r="FP152" s="139">
        <f t="shared" ref="FP152:FP183" si="200">IF(EF152="", "", EF152*AG$36)</f>
        <v>0</v>
      </c>
      <c r="FQ152" s="139">
        <f t="shared" ref="FQ152:FQ183" si="201">IF(EG152="", "", EG152*AH$36)</f>
        <v>0</v>
      </c>
      <c r="FR152" s="139">
        <f t="shared" ref="FR152:FR183" si="202">IF(EH152="", "", EH152*AI$36)</f>
        <v>0</v>
      </c>
      <c r="FS152" s="139">
        <f t="shared" ref="FS152:FS183" si="203">IF(EI152="", "", EI152*AJ$36)</f>
        <v>0</v>
      </c>
      <c r="FT152" s="139">
        <f t="shared" ref="FT152:FT183" si="204">IF(EJ152="", "", EJ152*AK$36)</f>
        <v>0</v>
      </c>
      <c r="FU152" s="148">
        <f t="shared" ref="FU152:FU183" si="205">IF(EP152="","",SUM(EP152:FT152))</f>
        <v>0</v>
      </c>
      <c r="FV152" s="149"/>
      <c r="FY152" s="213">
        <v>147</v>
      </c>
      <c r="FZ152">
        <v>22.076348010866468</v>
      </c>
      <c r="GA152">
        <v>30.253069779777576</v>
      </c>
      <c r="GB152">
        <v>7.1738843611860164</v>
      </c>
      <c r="GC152">
        <v>4.2750947792107272</v>
      </c>
      <c r="GD152">
        <v>2.5561402493173873</v>
      </c>
      <c r="GE152">
        <v>2.1124285414879358</v>
      </c>
      <c r="GF152">
        <v>7.2911255458845989</v>
      </c>
      <c r="GG152">
        <v>8.4579566216841169</v>
      </c>
      <c r="GH152">
        <v>3.7215429376725151</v>
      </c>
      <c r="GI152">
        <v>8.5691077587390154</v>
      </c>
      <c r="GJ152"/>
      <c r="GK152"/>
      <c r="GL152"/>
      <c r="GM152"/>
      <c r="GN152" s="208"/>
      <c r="GO152" s="208"/>
      <c r="GP152" s="208"/>
      <c r="GQ152" s="208"/>
      <c r="GR152" s="208"/>
      <c r="GS152" s="208"/>
      <c r="GT152" s="208"/>
      <c r="GU152" s="213">
        <v>147</v>
      </c>
    </row>
    <row r="153" spans="1:203" s="7" customFormat="1">
      <c r="A153" s="77"/>
      <c r="B153" s="76">
        <f ca="1">IF(C153="", "", RAND())</f>
        <v>0.11798468226126246</v>
      </c>
      <c r="C153">
        <v>3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66.374861515118866</v>
      </c>
      <c r="AO153">
        <v>10.037150454328247</v>
      </c>
      <c r="AP153">
        <v>70.386921247816346</v>
      </c>
      <c r="AQ153">
        <v>80.599769117692759</v>
      </c>
      <c r="AR153">
        <v>9.3481829510879404</v>
      </c>
      <c r="AS153">
        <v>119.80829621743275</v>
      </c>
      <c r="AT153" t="e">
        <v>#DIV/0!</v>
      </c>
      <c r="AU153" t="e">
        <v>#DIV/0!</v>
      </c>
      <c r="AV153"/>
      <c r="AW153"/>
      <c r="AX153" s="151"/>
      <c r="AY153" s="76">
        <f t="shared" ca="1" si="171"/>
        <v>0.70889619596956477</v>
      </c>
      <c r="AZ153">
        <v>6</v>
      </c>
      <c r="BA153" s="129">
        <f t="shared" si="170"/>
        <v>39847</v>
      </c>
      <c r="BB153" s="207">
        <v>0</v>
      </c>
      <c r="BC153" s="207">
        <v>0</v>
      </c>
      <c r="BD153" s="207">
        <v>0</v>
      </c>
      <c r="BE153" s="207">
        <v>0</v>
      </c>
      <c r="BF153" s="207">
        <v>0</v>
      </c>
      <c r="BG153" s="207">
        <v>0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M153" s="207">
        <v>0</v>
      </c>
      <c r="BN153" s="207">
        <v>0</v>
      </c>
      <c r="BO153" s="207">
        <v>0</v>
      </c>
      <c r="BP153" s="207">
        <v>0</v>
      </c>
      <c r="BQ153" s="207">
        <v>0</v>
      </c>
      <c r="BR153" s="207">
        <v>0</v>
      </c>
      <c r="BS153" s="207">
        <v>0</v>
      </c>
      <c r="BT153" s="207">
        <v>0</v>
      </c>
      <c r="BU153" s="207">
        <v>0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A153" s="207">
        <v>0</v>
      </c>
      <c r="CB153" s="207">
        <v>0</v>
      </c>
      <c r="CC153" s="207">
        <v>0</v>
      </c>
      <c r="CD153" s="207">
        <v>0</v>
      </c>
      <c r="CE153" s="207">
        <v>0</v>
      </c>
      <c r="CF153" s="207"/>
      <c r="CG153" s="147"/>
      <c r="CH153" s="176"/>
      <c r="CJ153" s="151"/>
      <c r="CK153" s="76">
        <f t="shared" ref="CK153:CK207" ca="1" si="206">IF(AZ153="", "", RAND())</f>
        <v>0.67285784059648135</v>
      </c>
      <c r="CL153" s="179">
        <f t="shared" ref="CL153:CL207" si="207">IF(AZ153="", "", AZ153)</f>
        <v>6</v>
      </c>
      <c r="CM153" s="180">
        <f t="shared" ref="CM153:CM207" si="208">IF(AZ153="", "", BA153)</f>
        <v>39847</v>
      </c>
      <c r="CN153" s="208">
        <v>0</v>
      </c>
      <c r="CO153" s="208">
        <v>0</v>
      </c>
      <c r="CP153" s="208">
        <v>0</v>
      </c>
      <c r="CQ153" s="208">
        <v>0</v>
      </c>
      <c r="CR153" s="208">
        <v>0</v>
      </c>
      <c r="CS153" s="208">
        <v>0</v>
      </c>
      <c r="CT153" s="208">
        <v>0</v>
      </c>
      <c r="CU153" s="208">
        <v>0</v>
      </c>
      <c r="CV153" s="160"/>
      <c r="CW153">
        <v>1</v>
      </c>
      <c r="CX153">
        <v>1</v>
      </c>
      <c r="CY153" s="160"/>
      <c r="CZ153" s="177">
        <f t="shared" ref="CZ153:CZ207" si="209">IF(AZ153="", "", $G$15)</f>
        <v>9.6000000000000002E-2</v>
      </c>
      <c r="DB153" s="151"/>
      <c r="DC153" s="76">
        <f t="shared" ca="1" si="172"/>
        <v>0.72381921267982685</v>
      </c>
      <c r="DD153">
        <f t="shared" ref="DD153:DD207" si="210">IF(AZ153="", "", AZ153)</f>
        <v>6</v>
      </c>
      <c r="DE153" s="129">
        <f t="shared" si="169"/>
        <v>39847</v>
      </c>
      <c r="DF153" s="161">
        <f t="shared" ref="DF153:DF187" si="211">IF($AZ153="", "", ((BB153*$CW153)+(CN153*$CX153))/$CZ153)</f>
        <v>0</v>
      </c>
      <c r="DG153" s="161">
        <f t="shared" ref="DG153:DG187" si="212">IF($AZ153="", "", ((BC153*$CW153)+(CO153*$CX153))/$CZ153)</f>
        <v>0</v>
      </c>
      <c r="DH153" s="161">
        <f t="shared" ref="DH153:DH187" si="213">IF($AZ153="", "", ((BD153*$CW153)+(CP153*$CX153))/$CZ153)</f>
        <v>0</v>
      </c>
      <c r="DI153" s="161">
        <f t="shared" ref="DI153:DI187" si="214">IF($AZ153="", "", ((BE153*$CW153)+(CQ153*$CX153))/$CZ153)</f>
        <v>0</v>
      </c>
      <c r="DJ153" s="161">
        <f t="shared" ref="DJ153:DJ187" si="215">IF($AZ153="", "", ((BF153*$CW153)+(CR153*$CX153))/$CZ153)</f>
        <v>0</v>
      </c>
      <c r="DK153" s="161">
        <f t="shared" ref="DK153:DK187" si="216">IF($AZ153="", "", ((BG153*$CW153)+(CS153*$CX153))/$CZ153)</f>
        <v>0</v>
      </c>
      <c r="DL153" s="161">
        <f t="shared" ref="DL153:DL187" si="217">IF($AZ153="", "", ((BH153*$CW153)+(CT153*$CX153))/$CZ153)</f>
        <v>0</v>
      </c>
      <c r="DM153" s="161">
        <f t="shared" ref="DM153:DM187" si="218">IF($AZ153="", "", ((BI153*$CW153)+(CU153*$CX153))/$CZ153)</f>
        <v>0</v>
      </c>
      <c r="DN153" s="161">
        <f t="shared" ref="DN153:DN187" si="219">IF($AZ153="", "", (BJ153*$CW153)/$CZ153)</f>
        <v>0</v>
      </c>
      <c r="DO153" s="161">
        <f t="shared" ref="DO153:DO187" si="220">IF($AZ153="", "", (BK153*$CW153)/$CZ153)</f>
        <v>0</v>
      </c>
      <c r="DP153" s="161">
        <f t="shared" ref="DP153:DP187" si="221">IF($AZ153="", "", (BL153*$CW153)/$CZ153)</f>
        <v>0</v>
      </c>
      <c r="DQ153" s="161">
        <f t="shared" ref="DQ153:DQ187" si="222">IF($AZ153="", "", (BM153*$CW153)/$CZ153)</f>
        <v>0</v>
      </c>
      <c r="DR153" s="161">
        <f t="shared" ref="DR153:DR187" si="223">IF($AZ153="", "", (BN153*$CW153)/$CZ153)</f>
        <v>0</v>
      </c>
      <c r="DS153" s="161">
        <f t="shared" ref="DS153:DS187" si="224">IF($AZ153="", "", (BO153*$CW153)/$CZ153)</f>
        <v>0</v>
      </c>
      <c r="DT153" s="161">
        <f t="shared" ref="DT153:DT187" si="225">IF($AZ153="", "", (BP153*$CW153)/$CZ153)</f>
        <v>0</v>
      </c>
      <c r="DU153" s="161">
        <f t="shared" ref="DU153:DU187" si="226">IF($AZ153="", "", (BQ153*$CW153)/$CZ153)</f>
        <v>0</v>
      </c>
      <c r="DV153" s="161">
        <f t="shared" ref="DV153:DV187" si="227">IF($AZ153="", "", (BR153*$CW153)/$CZ153)</f>
        <v>0</v>
      </c>
      <c r="DW153" s="161">
        <f t="shared" ref="DW153:DW187" si="228">IF($AZ153="", "", (BS153*$CW153)/$CZ153)</f>
        <v>0</v>
      </c>
      <c r="DX153" s="161">
        <f t="shared" ref="DX153:DX187" si="229">IF($AZ153="", "", (BT153*$CW153)/$CZ153)</f>
        <v>0</v>
      </c>
      <c r="DY153" s="161">
        <f t="shared" ref="DY153:DY187" si="230">IF($AZ153="", "", (BU153*$CW153)/$CZ153)</f>
        <v>0</v>
      </c>
      <c r="DZ153" s="161">
        <f t="shared" ref="DZ153:DZ187" si="231">IF($AZ153="", "", (BV153*$CW153)/$CZ153)</f>
        <v>0</v>
      </c>
      <c r="EA153" s="161">
        <f t="shared" ref="EA153:EA187" si="232">IF($AZ153="", "", (BW153*$CW153)/$CZ153)</f>
        <v>0</v>
      </c>
      <c r="EB153" s="161">
        <f t="shared" ref="EB153:EB187" si="233">IF($AZ153="", "", (BX153*$CW153)/$CZ153)</f>
        <v>0</v>
      </c>
      <c r="EC153" s="161">
        <f t="shared" ref="EC153:EC187" si="234">IF($AZ153="", "", (BY153*$CW153)/$CZ153)</f>
        <v>0</v>
      </c>
      <c r="ED153" s="161">
        <f t="shared" ref="ED153:ED187" si="235">IF($AZ153="", "", (BZ153*$CW153)/$CZ153)</f>
        <v>0</v>
      </c>
      <c r="EE153" s="161">
        <f t="shared" ref="EE153:EE187" si="236">IF($AZ153="", "", (CA153*$CW153)/$CZ153)</f>
        <v>0</v>
      </c>
      <c r="EF153" s="161">
        <f t="shared" ref="EF153:EF187" si="237">IF($AZ153="", "", (CB153*$CW153)/$CZ153)</f>
        <v>0</v>
      </c>
      <c r="EG153" s="161">
        <f t="shared" ref="EG153:EG187" si="238">IF($AZ153="", "", (CC153*$CW153)/$CZ153)</f>
        <v>0</v>
      </c>
      <c r="EH153" s="161">
        <f t="shared" ref="EH153:EH187" si="239">IF($AZ153="", "", (CD153*$CW153)/$CZ153)</f>
        <v>0</v>
      </c>
      <c r="EI153" s="161">
        <f t="shared" ref="EI153:EI187" si="240">IF($AZ153="", "", (CE153*$CW153)/$CZ153)</f>
        <v>0</v>
      </c>
      <c r="EJ153" s="161">
        <f t="shared" ref="EJ153:EJ187" si="241">IF($AZ153="", "", (CF153*$CW153)/$CZ153)</f>
        <v>0</v>
      </c>
      <c r="EK153" s="147">
        <f t="shared" si="173"/>
        <v>0</v>
      </c>
      <c r="EL153" s="149"/>
      <c r="EN153" s="151"/>
      <c r="EO153" s="151"/>
      <c r="EP153" s="139">
        <f t="shared" si="174"/>
        <v>0</v>
      </c>
      <c r="EQ153" s="139">
        <f t="shared" si="175"/>
        <v>0</v>
      </c>
      <c r="ER153" s="139">
        <f t="shared" si="176"/>
        <v>0</v>
      </c>
      <c r="ES153" s="139">
        <f t="shared" si="177"/>
        <v>0</v>
      </c>
      <c r="ET153" s="139">
        <f t="shared" si="178"/>
        <v>0</v>
      </c>
      <c r="EU153" s="139">
        <f t="shared" si="179"/>
        <v>0</v>
      </c>
      <c r="EV153" s="139">
        <f t="shared" si="180"/>
        <v>0</v>
      </c>
      <c r="EW153" s="139">
        <f t="shared" si="181"/>
        <v>0</v>
      </c>
      <c r="EX153" s="139">
        <f t="shared" si="182"/>
        <v>0</v>
      </c>
      <c r="EY153" s="139">
        <f t="shared" si="183"/>
        <v>0</v>
      </c>
      <c r="EZ153" s="139">
        <f t="shared" si="184"/>
        <v>0</v>
      </c>
      <c r="FA153" s="139">
        <f t="shared" si="185"/>
        <v>0</v>
      </c>
      <c r="FB153" s="139">
        <f t="shared" si="186"/>
        <v>0</v>
      </c>
      <c r="FC153" s="139">
        <f t="shared" si="187"/>
        <v>0</v>
      </c>
      <c r="FD153" s="139">
        <f t="shared" si="188"/>
        <v>0</v>
      </c>
      <c r="FE153" s="139">
        <f t="shared" si="189"/>
        <v>0</v>
      </c>
      <c r="FF153" s="139">
        <f t="shared" si="190"/>
        <v>0</v>
      </c>
      <c r="FG153" s="139">
        <f t="shared" si="191"/>
        <v>0</v>
      </c>
      <c r="FH153" s="139">
        <f t="shared" si="192"/>
        <v>0</v>
      </c>
      <c r="FI153" s="139">
        <f t="shared" si="193"/>
        <v>0</v>
      </c>
      <c r="FJ153" s="139">
        <f t="shared" si="194"/>
        <v>0</v>
      </c>
      <c r="FK153" s="139">
        <f t="shared" si="195"/>
        <v>0</v>
      </c>
      <c r="FL153" s="139">
        <f t="shared" si="196"/>
        <v>0</v>
      </c>
      <c r="FM153" s="139">
        <f t="shared" si="197"/>
        <v>0</v>
      </c>
      <c r="FN153" s="139">
        <f t="shared" si="198"/>
        <v>0</v>
      </c>
      <c r="FO153" s="139">
        <f t="shared" si="199"/>
        <v>0</v>
      </c>
      <c r="FP153" s="139">
        <f t="shared" si="200"/>
        <v>0</v>
      </c>
      <c r="FQ153" s="139">
        <f t="shared" si="201"/>
        <v>0</v>
      </c>
      <c r="FR153" s="139">
        <f t="shared" si="202"/>
        <v>0</v>
      </c>
      <c r="FS153" s="139">
        <f t="shared" si="203"/>
        <v>0</v>
      </c>
      <c r="FT153" s="139">
        <f t="shared" si="204"/>
        <v>0</v>
      </c>
      <c r="FU153" s="148">
        <f t="shared" si="205"/>
        <v>0</v>
      </c>
      <c r="FV153" s="149"/>
      <c r="FY153" s="213">
        <v>148</v>
      </c>
      <c r="FZ153">
        <v>10.46188766756352</v>
      </c>
      <c r="GA153">
        <v>14.751287882692917</v>
      </c>
      <c r="GB153">
        <v>7.9806313689239889</v>
      </c>
      <c r="GC153">
        <v>6.0624225154838705</v>
      </c>
      <c r="GD153">
        <v>2.7106891931231605</v>
      </c>
      <c r="GE153">
        <v>1.5110998959879138</v>
      </c>
      <c r="GF153">
        <v>2.6230101684821308</v>
      </c>
      <c r="GG153">
        <v>2.0435133125876717</v>
      </c>
      <c r="GH153">
        <v>0</v>
      </c>
      <c r="GI153">
        <v>5.6286198469651021</v>
      </c>
      <c r="GJ153"/>
      <c r="GK153"/>
      <c r="GL153"/>
      <c r="GM153"/>
      <c r="GN153" s="208"/>
      <c r="GO153" s="208"/>
      <c r="GP153" s="208"/>
      <c r="GQ153" s="208"/>
      <c r="GR153" s="208"/>
      <c r="GS153" s="208"/>
      <c r="GT153" s="208"/>
      <c r="GU153" s="213">
        <v>148</v>
      </c>
    </row>
    <row r="154" spans="1:203" s="7" customFormat="1">
      <c r="A154" s="77"/>
      <c r="B154" s="76">
        <f ca="1">IF(C154="", "", RAND())</f>
        <v>0.52063521603061869</v>
      </c>
      <c r="C154">
        <v>7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78.512826049223108</v>
      </c>
      <c r="AO154">
        <v>10.328580026146581</v>
      </c>
      <c r="AP154">
        <v>59.164021187746386</v>
      </c>
      <c r="AQ154">
        <v>82.281729069073975</v>
      </c>
      <c r="AR154">
        <v>9.5775108430636546</v>
      </c>
      <c r="AS154">
        <v>127.65160929211528</v>
      </c>
      <c r="AT154">
        <v>6.6366679733670297</v>
      </c>
      <c r="AU154">
        <v>26.014284346277122</v>
      </c>
      <c r="AV154"/>
      <c r="AW154"/>
      <c r="AX154" s="151"/>
      <c r="AY154" s="76">
        <f t="shared" ca="1" si="171"/>
        <v>0.22509097994138849</v>
      </c>
      <c r="AZ154">
        <v>7</v>
      </c>
      <c r="BA154" s="129">
        <f t="shared" si="170"/>
        <v>39847</v>
      </c>
      <c r="BB154" s="207">
        <v>0</v>
      </c>
      <c r="BC154" s="207">
        <v>0</v>
      </c>
      <c r="BD154" s="207">
        <v>0</v>
      </c>
      <c r="BE154" s="207">
        <v>0</v>
      </c>
      <c r="BF154" s="207">
        <v>0</v>
      </c>
      <c r="BG154" s="207">
        <v>0</v>
      </c>
      <c r="BH154" s="207">
        <v>0</v>
      </c>
      <c r="BI154" s="207">
        <v>0</v>
      </c>
      <c r="BJ154" s="207">
        <v>0</v>
      </c>
      <c r="BK154" s="207">
        <v>0</v>
      </c>
      <c r="BL154" s="207">
        <v>0</v>
      </c>
      <c r="BM154" s="207">
        <v>0</v>
      </c>
      <c r="BN154" s="207">
        <v>0</v>
      </c>
      <c r="BO154" s="207">
        <v>0</v>
      </c>
      <c r="BP154" s="207">
        <v>0</v>
      </c>
      <c r="BQ154" s="207">
        <v>0</v>
      </c>
      <c r="BR154" s="207">
        <v>0</v>
      </c>
      <c r="BS154" s="207">
        <v>0</v>
      </c>
      <c r="BT154" s="207">
        <v>0</v>
      </c>
      <c r="BU154" s="207">
        <v>0</v>
      </c>
      <c r="BV154" s="207">
        <v>0</v>
      </c>
      <c r="BW154" s="207">
        <v>0</v>
      </c>
      <c r="BX154" s="207">
        <v>0</v>
      </c>
      <c r="BY154" s="207">
        <v>0</v>
      </c>
      <c r="BZ154" s="207">
        <v>0</v>
      </c>
      <c r="CA154" s="207">
        <v>0</v>
      </c>
      <c r="CB154" s="207">
        <v>0</v>
      </c>
      <c r="CC154" s="207">
        <v>0</v>
      </c>
      <c r="CD154" s="207">
        <v>0</v>
      </c>
      <c r="CE154" s="207">
        <v>0</v>
      </c>
      <c r="CF154" s="207"/>
      <c r="CG154" s="147"/>
      <c r="CH154" s="176"/>
      <c r="CJ154" s="151"/>
      <c r="CK154" s="76">
        <f t="shared" ca="1" si="206"/>
        <v>0.11845367962456033</v>
      </c>
      <c r="CL154" s="179">
        <f t="shared" si="207"/>
        <v>7</v>
      </c>
      <c r="CM154" s="180">
        <f t="shared" si="208"/>
        <v>39847</v>
      </c>
      <c r="CN154" s="208">
        <v>0</v>
      </c>
      <c r="CO154" s="208">
        <v>0</v>
      </c>
      <c r="CP154" s="208">
        <v>0</v>
      </c>
      <c r="CQ154" s="208">
        <v>0</v>
      </c>
      <c r="CR154" s="208">
        <v>0</v>
      </c>
      <c r="CS154" s="208">
        <v>0</v>
      </c>
      <c r="CT154" s="208">
        <v>0</v>
      </c>
      <c r="CU154" s="208">
        <v>0</v>
      </c>
      <c r="CV154" s="160"/>
      <c r="CW154">
        <v>1</v>
      </c>
      <c r="CX154">
        <v>1</v>
      </c>
      <c r="CY154" s="165"/>
      <c r="CZ154" s="177">
        <f t="shared" si="209"/>
        <v>9.6000000000000002E-2</v>
      </c>
      <c r="DB154" s="151"/>
      <c r="DC154" s="76">
        <f t="shared" ca="1" si="172"/>
        <v>0.57523458096105529</v>
      </c>
      <c r="DD154">
        <f t="shared" si="210"/>
        <v>7</v>
      </c>
      <c r="DE154" s="129">
        <f t="shared" si="169"/>
        <v>39847</v>
      </c>
      <c r="DF154" s="161">
        <f t="shared" si="211"/>
        <v>0</v>
      </c>
      <c r="DG154" s="161">
        <f t="shared" si="212"/>
        <v>0</v>
      </c>
      <c r="DH154" s="161">
        <f t="shared" si="213"/>
        <v>0</v>
      </c>
      <c r="DI154" s="161">
        <f t="shared" si="214"/>
        <v>0</v>
      </c>
      <c r="DJ154" s="161">
        <f t="shared" si="215"/>
        <v>0</v>
      </c>
      <c r="DK154" s="161">
        <f t="shared" si="216"/>
        <v>0</v>
      </c>
      <c r="DL154" s="161">
        <f t="shared" si="217"/>
        <v>0</v>
      </c>
      <c r="DM154" s="161">
        <f t="shared" si="218"/>
        <v>0</v>
      </c>
      <c r="DN154" s="161">
        <f t="shared" si="219"/>
        <v>0</v>
      </c>
      <c r="DO154" s="161">
        <f t="shared" si="220"/>
        <v>0</v>
      </c>
      <c r="DP154" s="161">
        <f t="shared" si="221"/>
        <v>0</v>
      </c>
      <c r="DQ154" s="161">
        <f t="shared" si="222"/>
        <v>0</v>
      </c>
      <c r="DR154" s="161">
        <f t="shared" si="223"/>
        <v>0</v>
      </c>
      <c r="DS154" s="161">
        <f t="shared" si="224"/>
        <v>0</v>
      </c>
      <c r="DT154" s="161">
        <f t="shared" si="225"/>
        <v>0</v>
      </c>
      <c r="DU154" s="161">
        <f t="shared" si="226"/>
        <v>0</v>
      </c>
      <c r="DV154" s="161">
        <f t="shared" si="227"/>
        <v>0</v>
      </c>
      <c r="DW154" s="161">
        <f t="shared" si="228"/>
        <v>0</v>
      </c>
      <c r="DX154" s="161">
        <f t="shared" si="229"/>
        <v>0</v>
      </c>
      <c r="DY154" s="161">
        <f t="shared" si="230"/>
        <v>0</v>
      </c>
      <c r="DZ154" s="161">
        <f t="shared" si="231"/>
        <v>0</v>
      </c>
      <c r="EA154" s="161">
        <f t="shared" si="232"/>
        <v>0</v>
      </c>
      <c r="EB154" s="161">
        <f t="shared" si="233"/>
        <v>0</v>
      </c>
      <c r="EC154" s="161">
        <f t="shared" si="234"/>
        <v>0</v>
      </c>
      <c r="ED154" s="161">
        <f t="shared" si="235"/>
        <v>0</v>
      </c>
      <c r="EE154" s="161">
        <f t="shared" si="236"/>
        <v>0</v>
      </c>
      <c r="EF154" s="161">
        <f t="shared" si="237"/>
        <v>0</v>
      </c>
      <c r="EG154" s="161">
        <f t="shared" si="238"/>
        <v>0</v>
      </c>
      <c r="EH154" s="161">
        <f t="shared" si="239"/>
        <v>0</v>
      </c>
      <c r="EI154" s="161">
        <f t="shared" si="240"/>
        <v>0</v>
      </c>
      <c r="EJ154" s="161">
        <f t="shared" si="241"/>
        <v>0</v>
      </c>
      <c r="EK154" s="147">
        <f t="shared" si="173"/>
        <v>0</v>
      </c>
      <c r="EL154" s="149"/>
      <c r="EN154" s="151"/>
      <c r="EO154" s="151"/>
      <c r="EP154" s="139">
        <f t="shared" si="174"/>
        <v>0</v>
      </c>
      <c r="EQ154" s="139">
        <f t="shared" si="175"/>
        <v>0</v>
      </c>
      <c r="ER154" s="139">
        <f t="shared" si="176"/>
        <v>0</v>
      </c>
      <c r="ES154" s="139">
        <f t="shared" si="177"/>
        <v>0</v>
      </c>
      <c r="ET154" s="139">
        <f t="shared" si="178"/>
        <v>0</v>
      </c>
      <c r="EU154" s="139">
        <f t="shared" si="179"/>
        <v>0</v>
      </c>
      <c r="EV154" s="139">
        <f t="shared" si="180"/>
        <v>0</v>
      </c>
      <c r="EW154" s="139">
        <f t="shared" si="181"/>
        <v>0</v>
      </c>
      <c r="EX154" s="139">
        <f t="shared" si="182"/>
        <v>0</v>
      </c>
      <c r="EY154" s="139">
        <f t="shared" si="183"/>
        <v>0</v>
      </c>
      <c r="EZ154" s="139">
        <f t="shared" si="184"/>
        <v>0</v>
      </c>
      <c r="FA154" s="139">
        <f t="shared" si="185"/>
        <v>0</v>
      </c>
      <c r="FB154" s="139">
        <f t="shared" si="186"/>
        <v>0</v>
      </c>
      <c r="FC154" s="139">
        <f t="shared" si="187"/>
        <v>0</v>
      </c>
      <c r="FD154" s="139">
        <f t="shared" si="188"/>
        <v>0</v>
      </c>
      <c r="FE154" s="139">
        <f t="shared" si="189"/>
        <v>0</v>
      </c>
      <c r="FF154" s="139">
        <f t="shared" si="190"/>
        <v>0</v>
      </c>
      <c r="FG154" s="139">
        <f t="shared" si="191"/>
        <v>0</v>
      </c>
      <c r="FH154" s="139">
        <f t="shared" si="192"/>
        <v>0</v>
      </c>
      <c r="FI154" s="139">
        <f t="shared" si="193"/>
        <v>0</v>
      </c>
      <c r="FJ154" s="139">
        <f t="shared" si="194"/>
        <v>0</v>
      </c>
      <c r="FK154" s="139">
        <f t="shared" si="195"/>
        <v>0</v>
      </c>
      <c r="FL154" s="139">
        <f t="shared" si="196"/>
        <v>0</v>
      </c>
      <c r="FM154" s="139">
        <f t="shared" si="197"/>
        <v>0</v>
      </c>
      <c r="FN154" s="139">
        <f t="shared" si="198"/>
        <v>0</v>
      </c>
      <c r="FO154" s="139">
        <f t="shared" si="199"/>
        <v>0</v>
      </c>
      <c r="FP154" s="139">
        <f t="shared" si="200"/>
        <v>0</v>
      </c>
      <c r="FQ154" s="139">
        <f t="shared" si="201"/>
        <v>0</v>
      </c>
      <c r="FR154" s="139">
        <f t="shared" si="202"/>
        <v>0</v>
      </c>
      <c r="FS154" s="139">
        <f t="shared" si="203"/>
        <v>0</v>
      </c>
      <c r="FT154" s="139">
        <f t="shared" si="204"/>
        <v>0</v>
      </c>
      <c r="FU154" s="148">
        <f t="shared" si="205"/>
        <v>0</v>
      </c>
      <c r="FV154" s="149"/>
      <c r="FY154" s="213">
        <v>149</v>
      </c>
      <c r="FZ154">
        <v>19.515178893503631</v>
      </c>
      <c r="GA154">
        <v>23.598668250708705</v>
      </c>
      <c r="GB154">
        <v>4.1010517921642462</v>
      </c>
      <c r="GC154">
        <v>3.586891439903229</v>
      </c>
      <c r="GD154">
        <v>2.4486865142856398</v>
      </c>
      <c r="GE154">
        <v>1.9710772006471009</v>
      </c>
      <c r="GF154">
        <v>8.5389201606272476</v>
      </c>
      <c r="GG154">
        <v>6.9985578620837705</v>
      </c>
      <c r="GH154">
        <v>0.60080431445180338</v>
      </c>
      <c r="GI154">
        <v>7.0247894331954699</v>
      </c>
      <c r="GJ154"/>
      <c r="GK154"/>
      <c r="GL154"/>
      <c r="GM154"/>
      <c r="GN154" s="208"/>
      <c r="GO154" s="208"/>
      <c r="GP154" s="208"/>
      <c r="GQ154" s="208"/>
      <c r="GR154" s="208"/>
      <c r="GS154" s="208"/>
      <c r="GT154" s="208"/>
      <c r="GU154" s="213">
        <v>149</v>
      </c>
    </row>
    <row r="155" spans="1:203" s="7" customFormat="1">
      <c r="A155" s="77"/>
      <c r="B155" s="76">
        <f ca="1">IF(C155="", "", RAND())</f>
        <v>0.70236256609151937</v>
      </c>
      <c r="C155">
        <v>1</v>
      </c>
      <c r="D155">
        <v>39847</v>
      </c>
      <c r="E155">
        <v>0</v>
      </c>
      <c r="F155">
        <v>0</v>
      </c>
      <c r="G155">
        <v>0</v>
      </c>
      <c r="H155">
        <v>10.416666666666666</v>
      </c>
      <c r="I155">
        <v>10.416666666666666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87.515654340869844</v>
      </c>
      <c r="AO155">
        <v>12.039294869280136</v>
      </c>
      <c r="AP155">
        <v>58.605595911483185</v>
      </c>
      <c r="AQ155">
        <v>85.10090351151679</v>
      </c>
      <c r="AR155">
        <v>11.134717755129765</v>
      </c>
      <c r="AS155">
        <v>131.97874098535223</v>
      </c>
      <c r="AT155" t="e">
        <v>#DIV/0!</v>
      </c>
      <c r="AU155" t="e">
        <v>#DIV/0!</v>
      </c>
      <c r="AV155"/>
      <c r="AW155"/>
      <c r="AX155" s="151"/>
      <c r="AY155" s="76">
        <f t="shared" ca="1" si="171"/>
        <v>0.48099661824285556</v>
      </c>
      <c r="AZ155">
        <v>8</v>
      </c>
      <c r="BA155" s="129">
        <f t="shared" si="170"/>
        <v>39847</v>
      </c>
      <c r="BB155" s="207">
        <v>0</v>
      </c>
      <c r="BC155" s="207">
        <v>0</v>
      </c>
      <c r="BD155" s="207">
        <v>0</v>
      </c>
      <c r="BE155" s="207">
        <v>0</v>
      </c>
      <c r="BF155" s="207">
        <v>0</v>
      </c>
      <c r="BG155" s="207">
        <v>0</v>
      </c>
      <c r="BH155" s="207">
        <v>0</v>
      </c>
      <c r="BI155" s="207">
        <v>0</v>
      </c>
      <c r="BJ155" s="207">
        <v>0</v>
      </c>
      <c r="BK155" s="207">
        <v>0</v>
      </c>
      <c r="BL155" s="207">
        <v>0</v>
      </c>
      <c r="BM155" s="207">
        <v>0</v>
      </c>
      <c r="BN155" s="207">
        <v>0</v>
      </c>
      <c r="BO155" s="207">
        <v>0</v>
      </c>
      <c r="BP155" s="207">
        <v>0</v>
      </c>
      <c r="BQ155" s="207">
        <v>0</v>
      </c>
      <c r="BR155" s="207">
        <v>0</v>
      </c>
      <c r="BS155" s="207">
        <v>0</v>
      </c>
      <c r="BT155" s="207">
        <v>0</v>
      </c>
      <c r="BU155" s="207">
        <v>0</v>
      </c>
      <c r="BV155" s="207">
        <v>0</v>
      </c>
      <c r="BW155" s="207">
        <v>0</v>
      </c>
      <c r="BX155" s="207">
        <v>0</v>
      </c>
      <c r="BY155" s="207">
        <v>0</v>
      </c>
      <c r="BZ155" s="207">
        <v>0</v>
      </c>
      <c r="CA155" s="207">
        <v>0</v>
      </c>
      <c r="CB155" s="207">
        <v>0</v>
      </c>
      <c r="CC155" s="207">
        <v>0</v>
      </c>
      <c r="CD155" s="207">
        <v>0</v>
      </c>
      <c r="CE155" s="207">
        <v>0</v>
      </c>
      <c r="CF155" s="207"/>
      <c r="CG155" s="147"/>
      <c r="CH155" s="176"/>
      <c r="CJ155" s="151"/>
      <c r="CK155" s="76">
        <f t="shared" ca="1" si="206"/>
        <v>0.25969406685698204</v>
      </c>
      <c r="CL155" s="179">
        <f t="shared" si="207"/>
        <v>8</v>
      </c>
      <c r="CM155" s="180">
        <f t="shared" si="208"/>
        <v>39847</v>
      </c>
      <c r="CN155" s="208">
        <v>0</v>
      </c>
      <c r="CO155" s="208">
        <v>0</v>
      </c>
      <c r="CP155" s="208">
        <v>0</v>
      </c>
      <c r="CQ155" s="208">
        <v>0</v>
      </c>
      <c r="CR155" s="208">
        <v>0</v>
      </c>
      <c r="CS155" s="208">
        <v>0</v>
      </c>
      <c r="CT155" s="208">
        <v>0</v>
      </c>
      <c r="CU155" s="208">
        <v>0</v>
      </c>
      <c r="CV155" s="160"/>
      <c r="CW155">
        <v>1</v>
      </c>
      <c r="CX155">
        <f>360/54</f>
        <v>6.666666666666667</v>
      </c>
      <c r="CY155" s="165"/>
      <c r="CZ155" s="177">
        <f t="shared" si="209"/>
        <v>9.6000000000000002E-2</v>
      </c>
      <c r="DB155" s="151"/>
      <c r="DC155" s="76">
        <f t="shared" ca="1" si="172"/>
        <v>0.34048015132268095</v>
      </c>
      <c r="DD155">
        <f t="shared" si="210"/>
        <v>8</v>
      </c>
      <c r="DE155" s="129">
        <f t="shared" si="169"/>
        <v>39847</v>
      </c>
      <c r="DF155" s="161">
        <f t="shared" si="211"/>
        <v>0</v>
      </c>
      <c r="DG155" s="161">
        <f t="shared" si="212"/>
        <v>0</v>
      </c>
      <c r="DH155" s="161">
        <f t="shared" si="213"/>
        <v>0</v>
      </c>
      <c r="DI155" s="161">
        <f t="shared" si="214"/>
        <v>0</v>
      </c>
      <c r="DJ155" s="161">
        <f t="shared" si="215"/>
        <v>0</v>
      </c>
      <c r="DK155" s="161">
        <f t="shared" si="216"/>
        <v>0</v>
      </c>
      <c r="DL155" s="161">
        <f t="shared" si="217"/>
        <v>0</v>
      </c>
      <c r="DM155" s="161">
        <f t="shared" si="218"/>
        <v>0</v>
      </c>
      <c r="DN155" s="161">
        <f t="shared" si="219"/>
        <v>0</v>
      </c>
      <c r="DO155" s="161">
        <f t="shared" si="220"/>
        <v>0</v>
      </c>
      <c r="DP155" s="161">
        <f t="shared" si="221"/>
        <v>0</v>
      </c>
      <c r="DQ155" s="161">
        <f t="shared" si="222"/>
        <v>0</v>
      </c>
      <c r="DR155" s="161">
        <f t="shared" si="223"/>
        <v>0</v>
      </c>
      <c r="DS155" s="161">
        <f t="shared" si="224"/>
        <v>0</v>
      </c>
      <c r="DT155" s="161">
        <f t="shared" si="225"/>
        <v>0</v>
      </c>
      <c r="DU155" s="161">
        <f t="shared" si="226"/>
        <v>0</v>
      </c>
      <c r="DV155" s="161">
        <f t="shared" si="227"/>
        <v>0</v>
      </c>
      <c r="DW155" s="161">
        <f t="shared" si="228"/>
        <v>0</v>
      </c>
      <c r="DX155" s="161">
        <f t="shared" si="229"/>
        <v>0</v>
      </c>
      <c r="DY155" s="161">
        <f t="shared" si="230"/>
        <v>0</v>
      </c>
      <c r="DZ155" s="161">
        <f t="shared" si="231"/>
        <v>0</v>
      </c>
      <c r="EA155" s="161">
        <f t="shared" si="232"/>
        <v>0</v>
      </c>
      <c r="EB155" s="161">
        <f t="shared" si="233"/>
        <v>0</v>
      </c>
      <c r="EC155" s="161">
        <f t="shared" si="234"/>
        <v>0</v>
      </c>
      <c r="ED155" s="161">
        <f t="shared" si="235"/>
        <v>0</v>
      </c>
      <c r="EE155" s="161">
        <f t="shared" si="236"/>
        <v>0</v>
      </c>
      <c r="EF155" s="161">
        <f t="shared" si="237"/>
        <v>0</v>
      </c>
      <c r="EG155" s="161">
        <f t="shared" si="238"/>
        <v>0</v>
      </c>
      <c r="EH155" s="161">
        <f t="shared" si="239"/>
        <v>0</v>
      </c>
      <c r="EI155" s="161">
        <f t="shared" si="240"/>
        <v>0</v>
      </c>
      <c r="EJ155" s="161">
        <f t="shared" si="241"/>
        <v>0</v>
      </c>
      <c r="EK155" s="147">
        <f t="shared" si="173"/>
        <v>0</v>
      </c>
      <c r="EL155" s="149"/>
      <c r="EN155" s="151"/>
      <c r="EO155" s="151"/>
      <c r="EP155" s="139">
        <f t="shared" si="174"/>
        <v>0</v>
      </c>
      <c r="EQ155" s="139">
        <f t="shared" si="175"/>
        <v>0</v>
      </c>
      <c r="ER155" s="139">
        <f t="shared" si="176"/>
        <v>0</v>
      </c>
      <c r="ES155" s="139">
        <f t="shared" si="177"/>
        <v>0</v>
      </c>
      <c r="ET155" s="139">
        <f t="shared" si="178"/>
        <v>0</v>
      </c>
      <c r="EU155" s="139">
        <f t="shared" si="179"/>
        <v>0</v>
      </c>
      <c r="EV155" s="139">
        <f t="shared" si="180"/>
        <v>0</v>
      </c>
      <c r="EW155" s="139">
        <f t="shared" si="181"/>
        <v>0</v>
      </c>
      <c r="EX155" s="139">
        <f t="shared" si="182"/>
        <v>0</v>
      </c>
      <c r="EY155" s="139">
        <f t="shared" si="183"/>
        <v>0</v>
      </c>
      <c r="EZ155" s="139">
        <f t="shared" si="184"/>
        <v>0</v>
      </c>
      <c r="FA155" s="139">
        <f t="shared" si="185"/>
        <v>0</v>
      </c>
      <c r="FB155" s="139">
        <f t="shared" si="186"/>
        <v>0</v>
      </c>
      <c r="FC155" s="139">
        <f t="shared" si="187"/>
        <v>0</v>
      </c>
      <c r="FD155" s="139">
        <f t="shared" si="188"/>
        <v>0</v>
      </c>
      <c r="FE155" s="139">
        <f t="shared" si="189"/>
        <v>0</v>
      </c>
      <c r="FF155" s="139">
        <f t="shared" si="190"/>
        <v>0</v>
      </c>
      <c r="FG155" s="139">
        <f t="shared" si="191"/>
        <v>0</v>
      </c>
      <c r="FH155" s="139">
        <f t="shared" si="192"/>
        <v>0</v>
      </c>
      <c r="FI155" s="139">
        <f t="shared" si="193"/>
        <v>0</v>
      </c>
      <c r="FJ155" s="139">
        <f t="shared" si="194"/>
        <v>0</v>
      </c>
      <c r="FK155" s="139">
        <f t="shared" si="195"/>
        <v>0</v>
      </c>
      <c r="FL155" s="139">
        <f t="shared" si="196"/>
        <v>0</v>
      </c>
      <c r="FM155" s="139">
        <f t="shared" si="197"/>
        <v>0</v>
      </c>
      <c r="FN155" s="139">
        <f t="shared" si="198"/>
        <v>0</v>
      </c>
      <c r="FO155" s="139">
        <f t="shared" si="199"/>
        <v>0</v>
      </c>
      <c r="FP155" s="139">
        <f t="shared" si="200"/>
        <v>0</v>
      </c>
      <c r="FQ155" s="139">
        <f t="shared" si="201"/>
        <v>0</v>
      </c>
      <c r="FR155" s="139">
        <f t="shared" si="202"/>
        <v>0</v>
      </c>
      <c r="FS155" s="139">
        <f t="shared" si="203"/>
        <v>0</v>
      </c>
      <c r="FT155" s="139">
        <f t="shared" si="204"/>
        <v>0</v>
      </c>
      <c r="FU155" s="148">
        <f t="shared" si="205"/>
        <v>0</v>
      </c>
      <c r="FV155" s="149"/>
      <c r="FY155" s="213">
        <v>150</v>
      </c>
      <c r="FZ155">
        <v>32.869498980866609</v>
      </c>
      <c r="GA155">
        <v>38.599362271194281</v>
      </c>
      <c r="GB155">
        <v>9.1005936060881307</v>
      </c>
      <c r="GC155">
        <v>5.9411372044940025</v>
      </c>
      <c r="GD155">
        <v>2.5491282289580677</v>
      </c>
      <c r="GE155">
        <v>2.3149194625080014</v>
      </c>
      <c r="GF155">
        <v>3.5963241388540457</v>
      </c>
      <c r="GG155">
        <v>4.310551062341184</v>
      </c>
      <c r="GH155">
        <v>3.3627822549657664</v>
      </c>
      <c r="GI155">
        <v>9.880218193579406</v>
      </c>
      <c r="GJ155"/>
      <c r="GK155"/>
      <c r="GL155"/>
      <c r="GM155"/>
      <c r="GN155" s="208"/>
      <c r="GO155" s="208"/>
      <c r="GP155" s="208"/>
      <c r="GQ155" s="208"/>
      <c r="GR155" s="208"/>
      <c r="GS155" s="208"/>
      <c r="GT155" s="208"/>
      <c r="GU155" s="213">
        <v>150</v>
      </c>
    </row>
    <row r="156" spans="1:203" s="7" customFormat="1">
      <c r="A156" s="77"/>
      <c r="B156" s="76">
        <f ca="1">IF(C156="", "", RAND())</f>
        <v>0.12181817237414005</v>
      </c>
      <c r="C156">
        <v>8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73.296640226603444</v>
      </c>
      <c r="AO156">
        <v>12.623151089394115</v>
      </c>
      <c r="AP156">
        <v>99.147406764558468</v>
      </c>
      <c r="AQ156">
        <v>99.015696807756711</v>
      </c>
      <c r="AR156">
        <v>11.672474714439812</v>
      </c>
      <c r="AS156">
        <v>133.12089314865617</v>
      </c>
      <c r="AT156" t="e">
        <v>#DIV/0!</v>
      </c>
      <c r="AU156" t="e">
        <v>#DIV/0!</v>
      </c>
      <c r="AV156"/>
      <c r="AW156"/>
      <c r="AX156" s="151"/>
      <c r="AY156" s="76">
        <f t="shared" ca="1" si="171"/>
        <v>0.32960601588558358</v>
      </c>
      <c r="AZ156">
        <v>9</v>
      </c>
      <c r="BA156" s="129">
        <f t="shared" si="170"/>
        <v>39847</v>
      </c>
      <c r="BB156" s="207">
        <v>0</v>
      </c>
      <c r="BC156" s="207">
        <v>0</v>
      </c>
      <c r="BD156" s="207">
        <v>0</v>
      </c>
      <c r="BE156" s="207">
        <v>1</v>
      </c>
      <c r="BF156" s="207">
        <v>0</v>
      </c>
      <c r="BG156" s="207">
        <v>0</v>
      </c>
      <c r="BH156" s="207">
        <v>0</v>
      </c>
      <c r="BI156" s="207">
        <v>0</v>
      </c>
      <c r="BJ156" s="207">
        <v>0</v>
      </c>
      <c r="BK156" s="207">
        <v>0</v>
      </c>
      <c r="BL156" s="207">
        <v>0</v>
      </c>
      <c r="BM156" s="207">
        <v>0</v>
      </c>
      <c r="BN156" s="207">
        <v>0</v>
      </c>
      <c r="BO156" s="207">
        <v>0</v>
      </c>
      <c r="BP156" s="207">
        <v>0</v>
      </c>
      <c r="BQ156" s="207">
        <v>0</v>
      </c>
      <c r="BR156" s="207">
        <v>0</v>
      </c>
      <c r="BS156" s="207">
        <v>0</v>
      </c>
      <c r="BT156" s="207">
        <v>0</v>
      </c>
      <c r="BU156" s="207">
        <v>0</v>
      </c>
      <c r="BV156" s="207">
        <v>0</v>
      </c>
      <c r="BW156" s="207">
        <v>0</v>
      </c>
      <c r="BX156" s="207">
        <v>0</v>
      </c>
      <c r="BY156" s="207">
        <v>0</v>
      </c>
      <c r="BZ156" s="207">
        <v>0</v>
      </c>
      <c r="CA156" s="207">
        <v>0</v>
      </c>
      <c r="CB156" s="207">
        <v>0</v>
      </c>
      <c r="CC156" s="207">
        <v>0</v>
      </c>
      <c r="CD156" s="207">
        <v>0</v>
      </c>
      <c r="CE156" s="207">
        <v>0</v>
      </c>
      <c r="CF156" s="207"/>
      <c r="CG156" s="147"/>
      <c r="CH156" s="176"/>
      <c r="CJ156" s="151"/>
      <c r="CK156" s="76">
        <f t="shared" ca="1" si="206"/>
        <v>0.95324595194553652</v>
      </c>
      <c r="CL156" s="179">
        <f t="shared" si="207"/>
        <v>9</v>
      </c>
      <c r="CM156" s="180">
        <f t="shared" si="208"/>
        <v>39847</v>
      </c>
      <c r="CN156" s="208">
        <v>0</v>
      </c>
      <c r="CO156" s="208">
        <v>0</v>
      </c>
      <c r="CP156" s="208">
        <v>0</v>
      </c>
      <c r="CQ156" s="208">
        <v>0</v>
      </c>
      <c r="CR156" s="208">
        <v>0</v>
      </c>
      <c r="CS156" s="208">
        <v>0</v>
      </c>
      <c r="CT156" s="208">
        <v>0</v>
      </c>
      <c r="CU156" s="208">
        <v>0</v>
      </c>
      <c r="CV156" s="160"/>
      <c r="CW156">
        <v>1</v>
      </c>
      <c r="CX156">
        <f>350/56</f>
        <v>6.25</v>
      </c>
      <c r="CY156" s="165"/>
      <c r="CZ156" s="177">
        <f t="shared" si="209"/>
        <v>9.6000000000000002E-2</v>
      </c>
      <c r="DB156" s="151"/>
      <c r="DC156" s="76">
        <f t="shared" ca="1" si="172"/>
        <v>0.758342671358609</v>
      </c>
      <c r="DD156">
        <f t="shared" si="210"/>
        <v>9</v>
      </c>
      <c r="DE156" s="129">
        <f t="shared" si="169"/>
        <v>39847</v>
      </c>
      <c r="DF156" s="161">
        <f t="shared" si="211"/>
        <v>0</v>
      </c>
      <c r="DG156" s="161">
        <f t="shared" si="212"/>
        <v>0</v>
      </c>
      <c r="DH156" s="161">
        <f t="shared" si="213"/>
        <v>0</v>
      </c>
      <c r="DI156" s="161">
        <f t="shared" si="214"/>
        <v>10.416666666666666</v>
      </c>
      <c r="DJ156" s="161">
        <f t="shared" si="215"/>
        <v>0</v>
      </c>
      <c r="DK156" s="161">
        <f t="shared" si="216"/>
        <v>0</v>
      </c>
      <c r="DL156" s="161">
        <f t="shared" si="217"/>
        <v>0</v>
      </c>
      <c r="DM156" s="161">
        <f t="shared" si="218"/>
        <v>0</v>
      </c>
      <c r="DN156" s="161">
        <f t="shared" si="219"/>
        <v>0</v>
      </c>
      <c r="DO156" s="161">
        <f t="shared" si="220"/>
        <v>0</v>
      </c>
      <c r="DP156" s="161">
        <f t="shared" si="221"/>
        <v>0</v>
      </c>
      <c r="DQ156" s="161">
        <f t="shared" si="222"/>
        <v>0</v>
      </c>
      <c r="DR156" s="161">
        <f t="shared" si="223"/>
        <v>0</v>
      </c>
      <c r="DS156" s="161">
        <f t="shared" si="224"/>
        <v>0</v>
      </c>
      <c r="DT156" s="161">
        <f t="shared" si="225"/>
        <v>0</v>
      </c>
      <c r="DU156" s="161">
        <f t="shared" si="226"/>
        <v>0</v>
      </c>
      <c r="DV156" s="161">
        <f t="shared" si="227"/>
        <v>0</v>
      </c>
      <c r="DW156" s="161">
        <f t="shared" si="228"/>
        <v>0</v>
      </c>
      <c r="DX156" s="161">
        <f t="shared" si="229"/>
        <v>0</v>
      </c>
      <c r="DY156" s="161">
        <f t="shared" si="230"/>
        <v>0</v>
      </c>
      <c r="DZ156" s="161">
        <f t="shared" si="231"/>
        <v>0</v>
      </c>
      <c r="EA156" s="161">
        <f t="shared" si="232"/>
        <v>0</v>
      </c>
      <c r="EB156" s="161">
        <f t="shared" si="233"/>
        <v>0</v>
      </c>
      <c r="EC156" s="161">
        <f t="shared" si="234"/>
        <v>0</v>
      </c>
      <c r="ED156" s="161">
        <f t="shared" si="235"/>
        <v>0</v>
      </c>
      <c r="EE156" s="161">
        <f t="shared" si="236"/>
        <v>0</v>
      </c>
      <c r="EF156" s="161">
        <f t="shared" si="237"/>
        <v>0</v>
      </c>
      <c r="EG156" s="161">
        <f t="shared" si="238"/>
        <v>0</v>
      </c>
      <c r="EH156" s="161">
        <f t="shared" si="239"/>
        <v>0</v>
      </c>
      <c r="EI156" s="161">
        <f t="shared" si="240"/>
        <v>0</v>
      </c>
      <c r="EJ156" s="161">
        <f t="shared" si="241"/>
        <v>0</v>
      </c>
      <c r="EK156" s="147">
        <f t="shared" si="173"/>
        <v>10.416666666666666</v>
      </c>
      <c r="EL156" s="149"/>
      <c r="EN156" s="151"/>
      <c r="EO156" s="151"/>
      <c r="EP156" s="139">
        <f t="shared" si="174"/>
        <v>0</v>
      </c>
      <c r="EQ156" s="139">
        <f t="shared" si="175"/>
        <v>0</v>
      </c>
      <c r="ER156" s="139">
        <f t="shared" si="176"/>
        <v>0</v>
      </c>
      <c r="ES156" s="139">
        <f t="shared" si="177"/>
        <v>1.4476253266872796</v>
      </c>
      <c r="ET156" s="139">
        <f t="shared" si="178"/>
        <v>0</v>
      </c>
      <c r="EU156" s="139">
        <f t="shared" si="179"/>
        <v>0</v>
      </c>
      <c r="EV156" s="139">
        <f t="shared" si="180"/>
        <v>0</v>
      </c>
      <c r="EW156" s="139">
        <f t="shared" si="181"/>
        <v>0</v>
      </c>
      <c r="EX156" s="139">
        <f t="shared" si="182"/>
        <v>0</v>
      </c>
      <c r="EY156" s="139">
        <f t="shared" si="183"/>
        <v>0</v>
      </c>
      <c r="EZ156" s="139">
        <f t="shared" si="184"/>
        <v>0</v>
      </c>
      <c r="FA156" s="139">
        <f t="shared" si="185"/>
        <v>0</v>
      </c>
      <c r="FB156" s="139">
        <f t="shared" si="186"/>
        <v>0</v>
      </c>
      <c r="FC156" s="139">
        <f t="shared" si="187"/>
        <v>0</v>
      </c>
      <c r="FD156" s="139">
        <f t="shared" si="188"/>
        <v>0</v>
      </c>
      <c r="FE156" s="139">
        <f t="shared" si="189"/>
        <v>0</v>
      </c>
      <c r="FF156" s="139">
        <f t="shared" si="190"/>
        <v>0</v>
      </c>
      <c r="FG156" s="139">
        <f t="shared" si="191"/>
        <v>0</v>
      </c>
      <c r="FH156" s="139">
        <f t="shared" si="192"/>
        <v>0</v>
      </c>
      <c r="FI156" s="139">
        <f t="shared" si="193"/>
        <v>0</v>
      </c>
      <c r="FJ156" s="139">
        <f t="shared" si="194"/>
        <v>0</v>
      </c>
      <c r="FK156" s="139">
        <f t="shared" si="195"/>
        <v>0</v>
      </c>
      <c r="FL156" s="139">
        <f t="shared" si="196"/>
        <v>0</v>
      </c>
      <c r="FM156" s="139">
        <f t="shared" si="197"/>
        <v>0</v>
      </c>
      <c r="FN156" s="139">
        <f t="shared" si="198"/>
        <v>0</v>
      </c>
      <c r="FO156" s="139">
        <f t="shared" si="199"/>
        <v>0</v>
      </c>
      <c r="FP156" s="139">
        <f t="shared" si="200"/>
        <v>0</v>
      </c>
      <c r="FQ156" s="139">
        <f t="shared" si="201"/>
        <v>0</v>
      </c>
      <c r="FR156" s="139">
        <f t="shared" si="202"/>
        <v>0</v>
      </c>
      <c r="FS156" s="139">
        <f t="shared" si="203"/>
        <v>0</v>
      </c>
      <c r="FT156" s="139">
        <f t="shared" si="204"/>
        <v>0</v>
      </c>
      <c r="FU156" s="148">
        <f t="shared" si="205"/>
        <v>1.4476253266872796</v>
      </c>
      <c r="FV156" s="149"/>
      <c r="FY156" s="213">
        <v>151</v>
      </c>
      <c r="FZ156">
        <v>32.802207722890444</v>
      </c>
      <c r="GA156">
        <v>41.055356334680255</v>
      </c>
      <c r="GB156">
        <v>4.4577913507941966</v>
      </c>
      <c r="GC156">
        <v>3.7590824630568691</v>
      </c>
      <c r="GD156">
        <v>2.1292836489986877</v>
      </c>
      <c r="GE156">
        <v>1.0254393343635546</v>
      </c>
      <c r="GF156">
        <v>3.0970608890264986</v>
      </c>
      <c r="GG156">
        <v>3.833542847480305</v>
      </c>
      <c r="GH156">
        <v>2.7619779405139626</v>
      </c>
      <c r="GI156">
        <v>8.2102310374626697</v>
      </c>
      <c r="GJ156"/>
      <c r="GK156"/>
      <c r="GL156"/>
      <c r="GM156"/>
      <c r="GN156" s="208"/>
      <c r="GO156" s="208"/>
      <c r="GP156" s="208"/>
      <c r="GQ156" s="208"/>
      <c r="GR156" s="208"/>
      <c r="GS156" s="208"/>
      <c r="GT156" s="208"/>
      <c r="GU156" s="213">
        <v>151</v>
      </c>
    </row>
    <row r="157" spans="1:203" s="7" customFormat="1">
      <c r="A157" s="77"/>
      <c r="B157" s="76">
        <f ca="1">IF(C157="", "", RAND())</f>
        <v>0.16546291929050994</v>
      </c>
      <c r="C157">
        <v>5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72.92627368476127</v>
      </c>
      <c r="AO157">
        <v>8.9158999895132709</v>
      </c>
      <c r="AP157">
        <v>53.197544911017452</v>
      </c>
      <c r="AQ157">
        <v>57.889272254664057</v>
      </c>
      <c r="AR157">
        <v>8.2291692688149549</v>
      </c>
      <c r="AS157">
        <v>113.29410098231241</v>
      </c>
      <c r="AT157" t="e">
        <v>#DIV/0!</v>
      </c>
      <c r="AU157" t="e">
        <v>#DIV/0!</v>
      </c>
      <c r="AV157"/>
      <c r="AW157"/>
      <c r="AX157" s="151"/>
      <c r="AY157" s="76">
        <f t="shared" ca="1" si="171"/>
        <v>0.65762308437834305</v>
      </c>
      <c r="AZ157">
        <v>10</v>
      </c>
      <c r="BA157" s="129">
        <f t="shared" si="170"/>
        <v>39847</v>
      </c>
      <c r="BB157" s="207">
        <v>0</v>
      </c>
      <c r="BC157" s="207">
        <v>0</v>
      </c>
      <c r="BD157" s="207">
        <v>0</v>
      </c>
      <c r="BE157" s="207">
        <v>0</v>
      </c>
      <c r="BF157" s="207">
        <v>1</v>
      </c>
      <c r="BG157" s="207">
        <v>0</v>
      </c>
      <c r="BH157" s="207">
        <v>0</v>
      </c>
      <c r="BI157" s="207">
        <v>0</v>
      </c>
      <c r="BJ157" s="207"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P157" s="207">
        <v>0</v>
      </c>
      <c r="BQ157" s="207">
        <v>0</v>
      </c>
      <c r="BR157" s="207">
        <v>0</v>
      </c>
      <c r="BS157" s="207">
        <v>0</v>
      </c>
      <c r="BT157" s="207">
        <v>0</v>
      </c>
      <c r="BU157" s="207">
        <v>0</v>
      </c>
      <c r="BV157" s="207">
        <v>0</v>
      </c>
      <c r="BW157" s="207">
        <v>0</v>
      </c>
      <c r="BX157" s="207">
        <v>0</v>
      </c>
      <c r="BY157" s="207">
        <v>0</v>
      </c>
      <c r="BZ157" s="207">
        <v>0</v>
      </c>
      <c r="CA157" s="207">
        <v>0</v>
      </c>
      <c r="CB157" s="207">
        <v>0</v>
      </c>
      <c r="CC157" s="207">
        <v>0</v>
      </c>
      <c r="CD157" s="207">
        <v>0</v>
      </c>
      <c r="CE157" s="207">
        <v>0</v>
      </c>
      <c r="CF157" s="207"/>
      <c r="CG157" s="147"/>
      <c r="CH157" s="176"/>
      <c r="CJ157" s="151"/>
      <c r="CK157" s="76">
        <f t="shared" ca="1" si="206"/>
        <v>0.45734512178332265</v>
      </c>
      <c r="CL157" s="179">
        <f t="shared" si="207"/>
        <v>10</v>
      </c>
      <c r="CM157" s="180">
        <f t="shared" si="208"/>
        <v>39847</v>
      </c>
      <c r="CN157" s="208">
        <v>0</v>
      </c>
      <c r="CO157" s="208">
        <v>0</v>
      </c>
      <c r="CP157" s="208">
        <v>0</v>
      </c>
      <c r="CQ157" s="208">
        <v>0</v>
      </c>
      <c r="CR157" s="208">
        <v>0</v>
      </c>
      <c r="CS157" s="208">
        <v>0</v>
      </c>
      <c r="CT157" s="208">
        <v>0</v>
      </c>
      <c r="CU157" s="208">
        <v>0</v>
      </c>
      <c r="CV157" s="160"/>
      <c r="CW157">
        <v>1</v>
      </c>
      <c r="CX157">
        <v>1</v>
      </c>
      <c r="CY157" s="165"/>
      <c r="CZ157" s="177">
        <f t="shared" si="209"/>
        <v>9.6000000000000002E-2</v>
      </c>
      <c r="DB157" s="151"/>
      <c r="DC157" s="76">
        <f t="shared" ca="1" si="172"/>
        <v>0.41758926291333376</v>
      </c>
      <c r="DD157">
        <f t="shared" si="210"/>
        <v>10</v>
      </c>
      <c r="DE157" s="129">
        <f t="shared" si="169"/>
        <v>39847</v>
      </c>
      <c r="DF157" s="161">
        <f t="shared" si="211"/>
        <v>0</v>
      </c>
      <c r="DG157" s="161">
        <f t="shared" si="212"/>
        <v>0</v>
      </c>
      <c r="DH157" s="161">
        <f t="shared" si="213"/>
        <v>0</v>
      </c>
      <c r="DI157" s="161">
        <f t="shared" si="214"/>
        <v>0</v>
      </c>
      <c r="DJ157" s="161">
        <f t="shared" si="215"/>
        <v>10.416666666666666</v>
      </c>
      <c r="DK157" s="161">
        <f t="shared" si="216"/>
        <v>0</v>
      </c>
      <c r="DL157" s="161">
        <f t="shared" si="217"/>
        <v>0</v>
      </c>
      <c r="DM157" s="161">
        <f t="shared" si="218"/>
        <v>0</v>
      </c>
      <c r="DN157" s="161">
        <f t="shared" si="219"/>
        <v>0</v>
      </c>
      <c r="DO157" s="161">
        <f t="shared" si="220"/>
        <v>0</v>
      </c>
      <c r="DP157" s="161">
        <f t="shared" si="221"/>
        <v>0</v>
      </c>
      <c r="DQ157" s="161">
        <f t="shared" si="222"/>
        <v>0</v>
      </c>
      <c r="DR157" s="161">
        <f t="shared" si="223"/>
        <v>0</v>
      </c>
      <c r="DS157" s="161">
        <f t="shared" si="224"/>
        <v>0</v>
      </c>
      <c r="DT157" s="161">
        <f t="shared" si="225"/>
        <v>0</v>
      </c>
      <c r="DU157" s="161">
        <f t="shared" si="226"/>
        <v>0</v>
      </c>
      <c r="DV157" s="161">
        <f t="shared" si="227"/>
        <v>0</v>
      </c>
      <c r="DW157" s="161">
        <f t="shared" si="228"/>
        <v>0</v>
      </c>
      <c r="DX157" s="161">
        <f t="shared" si="229"/>
        <v>0</v>
      </c>
      <c r="DY157" s="161">
        <f t="shared" si="230"/>
        <v>0</v>
      </c>
      <c r="DZ157" s="161">
        <f t="shared" si="231"/>
        <v>0</v>
      </c>
      <c r="EA157" s="161">
        <f t="shared" si="232"/>
        <v>0</v>
      </c>
      <c r="EB157" s="161">
        <f t="shared" si="233"/>
        <v>0</v>
      </c>
      <c r="EC157" s="161">
        <f t="shared" si="234"/>
        <v>0</v>
      </c>
      <c r="ED157" s="161">
        <f t="shared" si="235"/>
        <v>0</v>
      </c>
      <c r="EE157" s="161">
        <f t="shared" si="236"/>
        <v>0</v>
      </c>
      <c r="EF157" s="161">
        <f t="shared" si="237"/>
        <v>0</v>
      </c>
      <c r="EG157" s="161">
        <f t="shared" si="238"/>
        <v>0</v>
      </c>
      <c r="EH157" s="161">
        <f t="shared" si="239"/>
        <v>0</v>
      </c>
      <c r="EI157" s="161">
        <f t="shared" si="240"/>
        <v>0</v>
      </c>
      <c r="EJ157" s="161">
        <f t="shared" si="241"/>
        <v>0</v>
      </c>
      <c r="EK157" s="147">
        <f t="shared" si="173"/>
        <v>10.416666666666666</v>
      </c>
      <c r="EL157" s="149"/>
      <c r="EN157" s="151"/>
      <c r="EO157" s="151"/>
      <c r="EP157" s="139">
        <f t="shared" si="174"/>
        <v>0</v>
      </c>
      <c r="EQ157" s="139">
        <f t="shared" si="175"/>
        <v>0</v>
      </c>
      <c r="ER157" s="139">
        <f t="shared" si="176"/>
        <v>0</v>
      </c>
      <c r="ES157" s="139">
        <f t="shared" si="177"/>
        <v>0</v>
      </c>
      <c r="ET157" s="139">
        <f t="shared" si="178"/>
        <v>3.1395421122460458</v>
      </c>
      <c r="EU157" s="139">
        <f t="shared" si="179"/>
        <v>0</v>
      </c>
      <c r="EV157" s="139">
        <f t="shared" si="180"/>
        <v>0</v>
      </c>
      <c r="EW157" s="139">
        <f t="shared" si="181"/>
        <v>0</v>
      </c>
      <c r="EX157" s="139">
        <f t="shared" si="182"/>
        <v>0</v>
      </c>
      <c r="EY157" s="139">
        <f t="shared" si="183"/>
        <v>0</v>
      </c>
      <c r="EZ157" s="139">
        <f t="shared" si="184"/>
        <v>0</v>
      </c>
      <c r="FA157" s="139">
        <f t="shared" si="185"/>
        <v>0</v>
      </c>
      <c r="FB157" s="139">
        <f t="shared" si="186"/>
        <v>0</v>
      </c>
      <c r="FC157" s="139">
        <f t="shared" si="187"/>
        <v>0</v>
      </c>
      <c r="FD157" s="139">
        <f t="shared" si="188"/>
        <v>0</v>
      </c>
      <c r="FE157" s="139">
        <f t="shared" si="189"/>
        <v>0</v>
      </c>
      <c r="FF157" s="139">
        <f t="shared" si="190"/>
        <v>0</v>
      </c>
      <c r="FG157" s="139">
        <f t="shared" si="191"/>
        <v>0</v>
      </c>
      <c r="FH157" s="139">
        <f t="shared" si="192"/>
        <v>0</v>
      </c>
      <c r="FI157" s="139">
        <f t="shared" si="193"/>
        <v>0</v>
      </c>
      <c r="FJ157" s="139">
        <f t="shared" si="194"/>
        <v>0</v>
      </c>
      <c r="FK157" s="139">
        <f t="shared" si="195"/>
        <v>0</v>
      </c>
      <c r="FL157" s="139">
        <f t="shared" si="196"/>
        <v>0</v>
      </c>
      <c r="FM157" s="139">
        <f t="shared" si="197"/>
        <v>0</v>
      </c>
      <c r="FN157" s="139">
        <f t="shared" si="198"/>
        <v>0</v>
      </c>
      <c r="FO157" s="139">
        <f t="shared" si="199"/>
        <v>0</v>
      </c>
      <c r="FP157" s="139">
        <f t="shared" si="200"/>
        <v>0</v>
      </c>
      <c r="FQ157" s="139">
        <f t="shared" si="201"/>
        <v>0</v>
      </c>
      <c r="FR157" s="139">
        <f t="shared" si="202"/>
        <v>0</v>
      </c>
      <c r="FS157" s="139">
        <f t="shared" si="203"/>
        <v>0</v>
      </c>
      <c r="FT157" s="139">
        <f t="shared" si="204"/>
        <v>0</v>
      </c>
      <c r="FU157" s="148">
        <f t="shared" si="205"/>
        <v>3.1395421122460458</v>
      </c>
      <c r="FV157" s="149"/>
      <c r="FY157" s="213">
        <v>152</v>
      </c>
      <c r="FZ157">
        <v>11.213002200085175</v>
      </c>
      <c r="GA157">
        <v>15.924530499255134</v>
      </c>
      <c r="GB157">
        <v>8.7715054408148649</v>
      </c>
      <c r="GC157">
        <v>5.665935028210149</v>
      </c>
      <c r="GD157">
        <v>2.4361071852453087</v>
      </c>
      <c r="GE157">
        <v>2.5255929124514673</v>
      </c>
      <c r="GF157">
        <v>4.5184537150270838</v>
      </c>
      <c r="GG157">
        <v>4.8687298600366251</v>
      </c>
      <c r="GH157">
        <v>2.7619779405139626</v>
      </c>
      <c r="GI157">
        <v>6.537565487544823</v>
      </c>
      <c r="GJ157"/>
      <c r="GK157"/>
      <c r="GL157"/>
      <c r="GM157"/>
      <c r="GN157" s="208"/>
      <c r="GO157" s="208"/>
      <c r="GP157" s="208"/>
      <c r="GQ157" s="208"/>
      <c r="GR157" s="208"/>
      <c r="GS157" s="208"/>
      <c r="GT157" s="208"/>
      <c r="GU157" s="213">
        <v>152</v>
      </c>
    </row>
    <row r="158" spans="1:203" s="7" customFormat="1">
      <c r="A158" s="128"/>
      <c r="B158" s="76">
        <f ca="1">IF(C158="", "", RAND())</f>
        <v>8.4648073263660528E-2</v>
      </c>
      <c r="C158">
        <v>2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73.746482227580103</v>
      </c>
      <c r="AO158">
        <v>10.096152318855648</v>
      </c>
      <c r="AP158">
        <v>59.164615053957618</v>
      </c>
      <c r="AQ158">
        <v>76.738832597577684</v>
      </c>
      <c r="AR158">
        <v>9.2797772278263722</v>
      </c>
      <c r="AS158">
        <v>116.25089842434991</v>
      </c>
      <c r="AT158" t="e">
        <v>#DIV/0!</v>
      </c>
      <c r="AU158" t="e">
        <v>#DIV/0!</v>
      </c>
      <c r="AV158"/>
      <c r="AW158"/>
      <c r="AX158" s="128"/>
      <c r="AY158" s="76">
        <f t="shared" ca="1" si="171"/>
        <v>0.13251379178108502</v>
      </c>
      <c r="AZ158">
        <v>1</v>
      </c>
      <c r="BA158" s="129">
        <f>IF(AZ158="", "",$C$11)</f>
        <v>39910</v>
      </c>
      <c r="BB158" s="207">
        <v>0</v>
      </c>
      <c r="BC158" s="207">
        <v>0</v>
      </c>
      <c r="BD158" s="207">
        <v>0</v>
      </c>
      <c r="BE158" s="207">
        <v>1</v>
      </c>
      <c r="BF158" s="207">
        <v>2</v>
      </c>
      <c r="BG158" s="207">
        <v>0</v>
      </c>
      <c r="BH158" s="207">
        <v>0</v>
      </c>
      <c r="BI158" s="207">
        <v>0</v>
      </c>
      <c r="BJ158" s="207"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P158" s="207">
        <v>0</v>
      </c>
      <c r="BQ158" s="207">
        <v>0</v>
      </c>
      <c r="BR158" s="207">
        <v>0</v>
      </c>
      <c r="BS158" s="207">
        <v>0</v>
      </c>
      <c r="BT158" s="207">
        <v>0</v>
      </c>
      <c r="BU158" s="207">
        <v>0</v>
      </c>
      <c r="BV158" s="207">
        <v>0</v>
      </c>
      <c r="BW158" s="207">
        <v>0</v>
      </c>
      <c r="BX158" s="207">
        <v>0</v>
      </c>
      <c r="BY158" s="207">
        <v>0</v>
      </c>
      <c r="BZ158" s="207">
        <v>0</v>
      </c>
      <c r="CA158" s="207">
        <v>0</v>
      </c>
      <c r="CB158" s="207">
        <v>0</v>
      </c>
      <c r="CC158" s="207">
        <v>0</v>
      </c>
      <c r="CD158" s="207">
        <v>0</v>
      </c>
      <c r="CE158" s="207">
        <v>0</v>
      </c>
      <c r="CF158" s="207"/>
      <c r="CG158" s="147"/>
      <c r="CH158" s="176"/>
      <c r="CJ158" s="128"/>
      <c r="CK158" s="76">
        <f t="shared" ca="1" si="206"/>
        <v>0.65074982344743892</v>
      </c>
      <c r="CL158" s="179">
        <f t="shared" si="207"/>
        <v>1</v>
      </c>
      <c r="CM158" s="180">
        <f t="shared" si="208"/>
        <v>39910</v>
      </c>
      <c r="CN158" s="208">
        <v>0</v>
      </c>
      <c r="CO158" s="208">
        <v>0</v>
      </c>
      <c r="CP158" s="208">
        <v>0</v>
      </c>
      <c r="CQ158" s="208">
        <v>0</v>
      </c>
      <c r="CR158" s="208">
        <v>0</v>
      </c>
      <c r="CS158" s="208">
        <v>0</v>
      </c>
      <c r="CT158" s="208">
        <v>0</v>
      </c>
      <c r="CU158" s="208">
        <v>0</v>
      </c>
      <c r="CV158" s="160"/>
      <c r="CW158">
        <v>1</v>
      </c>
      <c r="CX158">
        <v>1</v>
      </c>
      <c r="CY158" s="160"/>
      <c r="CZ158" s="177">
        <f t="shared" si="209"/>
        <v>9.6000000000000002E-2</v>
      </c>
      <c r="DB158" s="128"/>
      <c r="DC158" s="76">
        <f t="shared" ca="1" si="172"/>
        <v>0.39153229874096374</v>
      </c>
      <c r="DD158">
        <f t="shared" si="210"/>
        <v>1</v>
      </c>
      <c r="DE158" s="129">
        <f t="shared" ref="DE158:DE167" si="242">IF((DD158)="", "", $C$11)</f>
        <v>39910</v>
      </c>
      <c r="DF158" s="161">
        <f t="shared" si="211"/>
        <v>0</v>
      </c>
      <c r="DG158" s="161">
        <f t="shared" si="212"/>
        <v>0</v>
      </c>
      <c r="DH158" s="161">
        <f t="shared" si="213"/>
        <v>0</v>
      </c>
      <c r="DI158" s="161">
        <f t="shared" si="214"/>
        <v>10.416666666666666</v>
      </c>
      <c r="DJ158" s="161">
        <f t="shared" si="215"/>
        <v>20.833333333333332</v>
      </c>
      <c r="DK158" s="161">
        <f t="shared" si="216"/>
        <v>0</v>
      </c>
      <c r="DL158" s="161">
        <f t="shared" si="217"/>
        <v>0</v>
      </c>
      <c r="DM158" s="161">
        <f t="shared" si="218"/>
        <v>0</v>
      </c>
      <c r="DN158" s="161">
        <f t="shared" si="219"/>
        <v>0</v>
      </c>
      <c r="DO158" s="161">
        <f t="shared" si="220"/>
        <v>0</v>
      </c>
      <c r="DP158" s="161">
        <f t="shared" si="221"/>
        <v>0</v>
      </c>
      <c r="DQ158" s="161">
        <f t="shared" si="222"/>
        <v>0</v>
      </c>
      <c r="DR158" s="161">
        <f t="shared" si="223"/>
        <v>0</v>
      </c>
      <c r="DS158" s="161">
        <f t="shared" si="224"/>
        <v>0</v>
      </c>
      <c r="DT158" s="161">
        <f t="shared" si="225"/>
        <v>0</v>
      </c>
      <c r="DU158" s="161">
        <f t="shared" si="226"/>
        <v>0</v>
      </c>
      <c r="DV158" s="161">
        <f t="shared" si="227"/>
        <v>0</v>
      </c>
      <c r="DW158" s="161">
        <f t="shared" si="228"/>
        <v>0</v>
      </c>
      <c r="DX158" s="161">
        <f t="shared" si="229"/>
        <v>0</v>
      </c>
      <c r="DY158" s="161">
        <f t="shared" si="230"/>
        <v>0</v>
      </c>
      <c r="DZ158" s="161">
        <f t="shared" si="231"/>
        <v>0</v>
      </c>
      <c r="EA158" s="161">
        <f t="shared" si="232"/>
        <v>0</v>
      </c>
      <c r="EB158" s="161">
        <f t="shared" si="233"/>
        <v>0</v>
      </c>
      <c r="EC158" s="161">
        <f t="shared" si="234"/>
        <v>0</v>
      </c>
      <c r="ED158" s="161">
        <f t="shared" si="235"/>
        <v>0</v>
      </c>
      <c r="EE158" s="161">
        <f t="shared" si="236"/>
        <v>0</v>
      </c>
      <c r="EF158" s="161">
        <f t="shared" si="237"/>
        <v>0</v>
      </c>
      <c r="EG158" s="161">
        <f t="shared" si="238"/>
        <v>0</v>
      </c>
      <c r="EH158" s="161">
        <f t="shared" si="239"/>
        <v>0</v>
      </c>
      <c r="EI158" s="161">
        <f t="shared" si="240"/>
        <v>0</v>
      </c>
      <c r="EJ158" s="161">
        <f t="shared" si="241"/>
        <v>0</v>
      </c>
      <c r="EK158" s="147">
        <f t="shared" si="173"/>
        <v>31.25</v>
      </c>
      <c r="EL158" s="149"/>
      <c r="EN158" s="146"/>
      <c r="EO158" s="146"/>
      <c r="EP158" s="139">
        <f t="shared" si="174"/>
        <v>0</v>
      </c>
      <c r="EQ158" s="139">
        <f t="shared" si="175"/>
        <v>0</v>
      </c>
      <c r="ER158" s="139">
        <f t="shared" si="176"/>
        <v>0</v>
      </c>
      <c r="ES158" s="139">
        <f t="shared" si="177"/>
        <v>1.4476253266872796</v>
      </c>
      <c r="ET158" s="139">
        <f t="shared" si="178"/>
        <v>6.2790842244920917</v>
      </c>
      <c r="EU158" s="139">
        <f t="shared" si="179"/>
        <v>0</v>
      </c>
      <c r="EV158" s="139">
        <f t="shared" si="180"/>
        <v>0</v>
      </c>
      <c r="EW158" s="139">
        <f t="shared" si="181"/>
        <v>0</v>
      </c>
      <c r="EX158" s="139">
        <f t="shared" si="182"/>
        <v>0</v>
      </c>
      <c r="EY158" s="139">
        <f t="shared" si="183"/>
        <v>0</v>
      </c>
      <c r="EZ158" s="139">
        <f t="shared" si="184"/>
        <v>0</v>
      </c>
      <c r="FA158" s="139">
        <f t="shared" si="185"/>
        <v>0</v>
      </c>
      <c r="FB158" s="139">
        <f t="shared" si="186"/>
        <v>0</v>
      </c>
      <c r="FC158" s="139">
        <f t="shared" si="187"/>
        <v>0</v>
      </c>
      <c r="FD158" s="139">
        <f t="shared" si="188"/>
        <v>0</v>
      </c>
      <c r="FE158" s="139">
        <f t="shared" si="189"/>
        <v>0</v>
      </c>
      <c r="FF158" s="139">
        <f t="shared" si="190"/>
        <v>0</v>
      </c>
      <c r="FG158" s="139">
        <f t="shared" si="191"/>
        <v>0</v>
      </c>
      <c r="FH158" s="139">
        <f t="shared" si="192"/>
        <v>0</v>
      </c>
      <c r="FI158" s="139">
        <f t="shared" si="193"/>
        <v>0</v>
      </c>
      <c r="FJ158" s="139">
        <f t="shared" si="194"/>
        <v>0</v>
      </c>
      <c r="FK158" s="139">
        <f t="shared" si="195"/>
        <v>0</v>
      </c>
      <c r="FL158" s="139">
        <f t="shared" si="196"/>
        <v>0</v>
      </c>
      <c r="FM158" s="139">
        <f t="shared" si="197"/>
        <v>0</v>
      </c>
      <c r="FN158" s="139">
        <f t="shared" si="198"/>
        <v>0</v>
      </c>
      <c r="FO158" s="139">
        <f t="shared" si="199"/>
        <v>0</v>
      </c>
      <c r="FP158" s="139">
        <f t="shared" si="200"/>
        <v>0</v>
      </c>
      <c r="FQ158" s="139">
        <f t="shared" si="201"/>
        <v>0</v>
      </c>
      <c r="FR158" s="139">
        <f t="shared" si="202"/>
        <v>0</v>
      </c>
      <c r="FS158" s="139">
        <f t="shared" si="203"/>
        <v>0</v>
      </c>
      <c r="FT158" s="139">
        <f t="shared" si="204"/>
        <v>0</v>
      </c>
      <c r="FU158" s="148">
        <f t="shared" si="205"/>
        <v>7.7267095511793711</v>
      </c>
      <c r="FV158" s="149"/>
      <c r="FY158" s="213">
        <v>153</v>
      </c>
      <c r="FZ158">
        <v>32.890237019345541</v>
      </c>
      <c r="GA158">
        <v>40.314492683796885</v>
      </c>
      <c r="GB158">
        <v>6.8241263257265228</v>
      </c>
      <c r="GC158">
        <v>4.7903492755722956</v>
      </c>
      <c r="GD158">
        <v>2.7830179516352711</v>
      </c>
      <c r="GE158">
        <v>3.0100769119780657</v>
      </c>
      <c r="GF158">
        <v>3.8449063162415631</v>
      </c>
      <c r="GG158">
        <v>3.1698091251637406</v>
      </c>
      <c r="GH158">
        <v>0</v>
      </c>
      <c r="GI158">
        <v>8.9031565205888938</v>
      </c>
      <c r="GJ158"/>
      <c r="GK158"/>
      <c r="GL158"/>
      <c r="GM158"/>
      <c r="GN158" s="208"/>
      <c r="GO158" s="208"/>
      <c r="GP158" s="208"/>
      <c r="GQ158" s="208"/>
      <c r="GR158" s="208"/>
      <c r="GS158" s="208"/>
      <c r="GT158" s="208"/>
      <c r="GU158" s="213">
        <v>153</v>
      </c>
    </row>
    <row r="159" spans="1:203" s="7" customFormat="1">
      <c r="A159" s="1"/>
      <c r="B159" s="76">
        <f ca="1">IF(C159="", "", RAND())</f>
        <v>1.5533508104574878E-2</v>
      </c>
      <c r="C159">
        <v>5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71.832996373836892</v>
      </c>
      <c r="AO159">
        <v>12.987564594371909</v>
      </c>
      <c r="AP159">
        <v>119.95726564498534</v>
      </c>
      <c r="AQ159">
        <v>108.60776785621502</v>
      </c>
      <c r="AR159">
        <v>12.20612641041104</v>
      </c>
      <c r="AS159">
        <v>149.62955427946119</v>
      </c>
      <c r="AT159" t="e">
        <v>#DIV/0!</v>
      </c>
      <c r="AU159" t="e">
        <v>#DIV/0!</v>
      </c>
      <c r="AV159"/>
      <c r="AW159"/>
      <c r="AX159" s="146"/>
      <c r="AY159" s="76">
        <f t="shared" ca="1" si="171"/>
        <v>0.68665324471188471</v>
      </c>
      <c r="AZ159">
        <v>2</v>
      </c>
      <c r="BA159" s="129">
        <f t="shared" ref="BA159:BA167" si="243">IF(AZ159="", "",$C$11)</f>
        <v>39910</v>
      </c>
      <c r="BB159" s="207">
        <v>0</v>
      </c>
      <c r="BC159" s="207">
        <v>0</v>
      </c>
      <c r="BD159" s="207">
        <v>0</v>
      </c>
      <c r="BE159" s="207">
        <v>0</v>
      </c>
      <c r="BF159" s="207">
        <v>0</v>
      </c>
      <c r="BG159" s="207">
        <v>0</v>
      </c>
      <c r="BH159" s="207">
        <v>0</v>
      </c>
      <c r="BI159" s="207">
        <v>0</v>
      </c>
      <c r="BJ159" s="207">
        <v>0</v>
      </c>
      <c r="BK159" s="207">
        <v>0</v>
      </c>
      <c r="BL159" s="207">
        <v>0</v>
      </c>
      <c r="BM159" s="207">
        <v>0</v>
      </c>
      <c r="BN159" s="207">
        <v>0</v>
      </c>
      <c r="BO159" s="207">
        <v>0</v>
      </c>
      <c r="BP159" s="207">
        <v>0</v>
      </c>
      <c r="BQ159" s="207">
        <v>0</v>
      </c>
      <c r="BR159" s="207">
        <v>0</v>
      </c>
      <c r="BS159" s="207">
        <v>0</v>
      </c>
      <c r="BT159" s="207">
        <v>0</v>
      </c>
      <c r="BU159" s="207">
        <v>0</v>
      </c>
      <c r="BV159" s="207">
        <v>0</v>
      </c>
      <c r="BW159" s="207">
        <v>0</v>
      </c>
      <c r="BX159" s="207">
        <v>0</v>
      </c>
      <c r="BY159" s="207">
        <v>0</v>
      </c>
      <c r="BZ159" s="207">
        <v>0</v>
      </c>
      <c r="CA159" s="207">
        <v>0</v>
      </c>
      <c r="CB159" s="207">
        <v>0</v>
      </c>
      <c r="CC159" s="207">
        <v>0</v>
      </c>
      <c r="CD159" s="207">
        <v>0</v>
      </c>
      <c r="CE159" s="207">
        <v>0</v>
      </c>
      <c r="CF159" s="207"/>
      <c r="CG159" s="147"/>
      <c r="CH159" s="176"/>
      <c r="CJ159" s="146"/>
      <c r="CK159" s="76">
        <f t="shared" ca="1" si="206"/>
        <v>0.16075212229412661</v>
      </c>
      <c r="CL159" s="179">
        <f t="shared" si="207"/>
        <v>2</v>
      </c>
      <c r="CM159" s="180">
        <f t="shared" si="208"/>
        <v>39910</v>
      </c>
      <c r="CN159" s="208">
        <v>0</v>
      </c>
      <c r="CO159" s="208">
        <v>0</v>
      </c>
      <c r="CP159" s="208">
        <v>0</v>
      </c>
      <c r="CQ159" s="208">
        <v>0</v>
      </c>
      <c r="CR159" s="208">
        <v>0</v>
      </c>
      <c r="CS159" s="208">
        <v>0</v>
      </c>
      <c r="CT159" s="208">
        <v>0</v>
      </c>
      <c r="CU159" s="208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9"/>
        <v>9.6000000000000002E-2</v>
      </c>
      <c r="DB159" s="146"/>
      <c r="DC159" s="76">
        <f t="shared" ca="1" si="172"/>
        <v>0.46375120511232559</v>
      </c>
      <c r="DD159">
        <f t="shared" si="210"/>
        <v>2</v>
      </c>
      <c r="DE159" s="129">
        <f t="shared" si="242"/>
        <v>39910</v>
      </c>
      <c r="DF159" s="161">
        <f t="shared" si="211"/>
        <v>0</v>
      </c>
      <c r="DG159" s="161">
        <f t="shared" si="212"/>
        <v>0</v>
      </c>
      <c r="DH159" s="161">
        <f t="shared" si="213"/>
        <v>0</v>
      </c>
      <c r="DI159" s="161">
        <f t="shared" si="214"/>
        <v>0</v>
      </c>
      <c r="DJ159" s="161">
        <f t="shared" si="215"/>
        <v>0</v>
      </c>
      <c r="DK159" s="161">
        <f t="shared" si="216"/>
        <v>0</v>
      </c>
      <c r="DL159" s="161">
        <f t="shared" si="217"/>
        <v>0</v>
      </c>
      <c r="DM159" s="161">
        <f t="shared" si="218"/>
        <v>0</v>
      </c>
      <c r="DN159" s="161">
        <f t="shared" si="219"/>
        <v>0</v>
      </c>
      <c r="DO159" s="161">
        <f t="shared" si="220"/>
        <v>0</v>
      </c>
      <c r="DP159" s="161">
        <f t="shared" si="221"/>
        <v>0</v>
      </c>
      <c r="DQ159" s="161">
        <f t="shared" si="222"/>
        <v>0</v>
      </c>
      <c r="DR159" s="161">
        <f t="shared" si="223"/>
        <v>0</v>
      </c>
      <c r="DS159" s="161">
        <f t="shared" si="224"/>
        <v>0</v>
      </c>
      <c r="DT159" s="161">
        <f t="shared" si="225"/>
        <v>0</v>
      </c>
      <c r="DU159" s="161">
        <f t="shared" si="226"/>
        <v>0</v>
      </c>
      <c r="DV159" s="161">
        <f t="shared" si="227"/>
        <v>0</v>
      </c>
      <c r="DW159" s="161">
        <f t="shared" si="228"/>
        <v>0</v>
      </c>
      <c r="DX159" s="161">
        <f t="shared" si="229"/>
        <v>0</v>
      </c>
      <c r="DY159" s="161">
        <f t="shared" si="230"/>
        <v>0</v>
      </c>
      <c r="DZ159" s="161">
        <f t="shared" si="231"/>
        <v>0</v>
      </c>
      <c r="EA159" s="161">
        <f t="shared" si="232"/>
        <v>0</v>
      </c>
      <c r="EB159" s="161">
        <f t="shared" si="233"/>
        <v>0</v>
      </c>
      <c r="EC159" s="161">
        <f t="shared" si="234"/>
        <v>0</v>
      </c>
      <c r="ED159" s="161">
        <f t="shared" si="235"/>
        <v>0</v>
      </c>
      <c r="EE159" s="161">
        <f t="shared" si="236"/>
        <v>0</v>
      </c>
      <c r="EF159" s="161">
        <f t="shared" si="237"/>
        <v>0</v>
      </c>
      <c r="EG159" s="161">
        <f t="shared" si="238"/>
        <v>0</v>
      </c>
      <c r="EH159" s="161">
        <f t="shared" si="239"/>
        <v>0</v>
      </c>
      <c r="EI159" s="161">
        <f t="shared" si="240"/>
        <v>0</v>
      </c>
      <c r="EJ159" s="161">
        <f t="shared" si="241"/>
        <v>0</v>
      </c>
      <c r="EK159" s="147">
        <f t="shared" si="173"/>
        <v>0</v>
      </c>
      <c r="EL159" s="149"/>
      <c r="EN159" s="146"/>
      <c r="EO159" s="146"/>
      <c r="EP159" s="139">
        <f t="shared" si="174"/>
        <v>0</v>
      </c>
      <c r="EQ159" s="139">
        <f t="shared" si="175"/>
        <v>0</v>
      </c>
      <c r="ER159" s="139">
        <f t="shared" si="176"/>
        <v>0</v>
      </c>
      <c r="ES159" s="139">
        <f t="shared" si="177"/>
        <v>0</v>
      </c>
      <c r="ET159" s="139">
        <f t="shared" si="178"/>
        <v>0</v>
      </c>
      <c r="EU159" s="139">
        <f t="shared" si="179"/>
        <v>0</v>
      </c>
      <c r="EV159" s="139">
        <f t="shared" si="180"/>
        <v>0</v>
      </c>
      <c r="EW159" s="139">
        <f t="shared" si="181"/>
        <v>0</v>
      </c>
      <c r="EX159" s="139">
        <f t="shared" si="182"/>
        <v>0</v>
      </c>
      <c r="EY159" s="139">
        <f t="shared" si="183"/>
        <v>0</v>
      </c>
      <c r="EZ159" s="139">
        <f t="shared" si="184"/>
        <v>0</v>
      </c>
      <c r="FA159" s="139">
        <f t="shared" si="185"/>
        <v>0</v>
      </c>
      <c r="FB159" s="139">
        <f t="shared" si="186"/>
        <v>0</v>
      </c>
      <c r="FC159" s="139">
        <f t="shared" si="187"/>
        <v>0</v>
      </c>
      <c r="FD159" s="139">
        <f t="shared" si="188"/>
        <v>0</v>
      </c>
      <c r="FE159" s="139">
        <f t="shared" si="189"/>
        <v>0</v>
      </c>
      <c r="FF159" s="139">
        <f t="shared" si="190"/>
        <v>0</v>
      </c>
      <c r="FG159" s="139">
        <f t="shared" si="191"/>
        <v>0</v>
      </c>
      <c r="FH159" s="139">
        <f t="shared" si="192"/>
        <v>0</v>
      </c>
      <c r="FI159" s="139">
        <f t="shared" si="193"/>
        <v>0</v>
      </c>
      <c r="FJ159" s="139">
        <f t="shared" si="194"/>
        <v>0</v>
      </c>
      <c r="FK159" s="139">
        <f t="shared" si="195"/>
        <v>0</v>
      </c>
      <c r="FL159" s="139">
        <f t="shared" si="196"/>
        <v>0</v>
      </c>
      <c r="FM159" s="139">
        <f t="shared" si="197"/>
        <v>0</v>
      </c>
      <c r="FN159" s="139">
        <f t="shared" si="198"/>
        <v>0</v>
      </c>
      <c r="FO159" s="139">
        <f t="shared" si="199"/>
        <v>0</v>
      </c>
      <c r="FP159" s="139">
        <f t="shared" si="200"/>
        <v>0</v>
      </c>
      <c r="FQ159" s="139">
        <f t="shared" si="201"/>
        <v>0</v>
      </c>
      <c r="FR159" s="139">
        <f t="shared" si="202"/>
        <v>0</v>
      </c>
      <c r="FS159" s="139">
        <f t="shared" si="203"/>
        <v>0</v>
      </c>
      <c r="FT159" s="139">
        <f t="shared" si="204"/>
        <v>0</v>
      </c>
      <c r="FU159" s="148">
        <f t="shared" si="205"/>
        <v>0</v>
      </c>
      <c r="FV159" s="149"/>
      <c r="FY159" s="213">
        <v>154</v>
      </c>
      <c r="FZ159">
        <v>19.930069543389852</v>
      </c>
      <c r="GA159">
        <v>22.725635809277893</v>
      </c>
      <c r="GB159">
        <v>9.7346497761062949</v>
      </c>
      <c r="GC159">
        <v>6.439489636789987</v>
      </c>
      <c r="GD159">
        <v>2.9364338991544083</v>
      </c>
      <c r="GE159">
        <v>3.1904002264530256</v>
      </c>
      <c r="GF159">
        <v>2.6317819860974163</v>
      </c>
      <c r="GG159">
        <v>5.3675140875775966</v>
      </c>
      <c r="GH159">
        <v>5.8827165637346734</v>
      </c>
      <c r="GI159">
        <v>8.638864677569968</v>
      </c>
      <c r="GJ159"/>
      <c r="GK159"/>
      <c r="GL159"/>
      <c r="GM159"/>
      <c r="GN159" s="208"/>
      <c r="GO159" s="208"/>
      <c r="GP159" s="208"/>
      <c r="GQ159" s="208"/>
      <c r="GR159" s="208"/>
      <c r="GS159" s="208"/>
      <c r="GT159" s="208"/>
      <c r="GU159" s="213">
        <v>154</v>
      </c>
    </row>
    <row r="160" spans="1:203" s="7" customFormat="1">
      <c r="A160" s="1"/>
      <c r="B160" s="76">
        <f ca="1">IF(C160="", "", RAND())</f>
        <v>0.22033951505829541</v>
      </c>
      <c r="C160">
        <v>10</v>
      </c>
      <c r="D160">
        <v>39910</v>
      </c>
      <c r="E160">
        <v>0</v>
      </c>
      <c r="F160">
        <v>0</v>
      </c>
      <c r="G160">
        <v>0</v>
      </c>
      <c r="H160">
        <v>114.58333333333333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75.897034072249582</v>
      </c>
      <c r="AO160">
        <v>15.09712188626815</v>
      </c>
      <c r="AP160">
        <v>147.58328315374987</v>
      </c>
      <c r="AQ160">
        <v>126.91894974460801</v>
      </c>
      <c r="AR160">
        <v>13.952477624781842</v>
      </c>
      <c r="AS160">
        <v>160.72669629934057</v>
      </c>
      <c r="AT160" t="e">
        <v>#DIV/0!</v>
      </c>
      <c r="AU160" t="e">
        <v>#DIV/0!</v>
      </c>
      <c r="AV160"/>
      <c r="AW160"/>
      <c r="AX160" s="146"/>
      <c r="AY160" s="76">
        <f t="shared" ca="1" si="171"/>
        <v>0.15335099706397415</v>
      </c>
      <c r="AZ160">
        <v>3</v>
      </c>
      <c r="BA160" s="129">
        <f t="shared" si="243"/>
        <v>39910</v>
      </c>
      <c r="BB160" s="207">
        <v>0</v>
      </c>
      <c r="BC160" s="207">
        <v>0</v>
      </c>
      <c r="BD160" s="207">
        <v>0</v>
      </c>
      <c r="BE160" s="207">
        <v>0</v>
      </c>
      <c r="BF160" s="207">
        <v>1</v>
      </c>
      <c r="BG160" s="207">
        <v>0</v>
      </c>
      <c r="BH160" s="207">
        <v>0</v>
      </c>
      <c r="BI160" s="207">
        <v>0</v>
      </c>
      <c r="BJ160" s="207">
        <v>0</v>
      </c>
      <c r="BK160" s="207">
        <v>0</v>
      </c>
      <c r="BL160" s="207">
        <v>0</v>
      </c>
      <c r="BM160" s="207">
        <v>0</v>
      </c>
      <c r="BN160" s="207">
        <v>0</v>
      </c>
      <c r="BO160" s="207">
        <v>0</v>
      </c>
      <c r="BP160" s="207">
        <v>0</v>
      </c>
      <c r="BQ160" s="207">
        <v>0</v>
      </c>
      <c r="BR160" s="207">
        <v>0</v>
      </c>
      <c r="BS160" s="207">
        <v>0</v>
      </c>
      <c r="BT160" s="207">
        <v>0</v>
      </c>
      <c r="BU160" s="207">
        <v>0</v>
      </c>
      <c r="BV160" s="207">
        <v>0</v>
      </c>
      <c r="BW160" s="207">
        <v>0</v>
      </c>
      <c r="BX160" s="207">
        <v>0</v>
      </c>
      <c r="BY160" s="207">
        <v>0</v>
      </c>
      <c r="BZ160" s="207">
        <v>0</v>
      </c>
      <c r="CA160" s="207">
        <v>0</v>
      </c>
      <c r="CB160" s="207">
        <v>0</v>
      </c>
      <c r="CC160" s="207">
        <v>0</v>
      </c>
      <c r="CD160" s="207">
        <v>0</v>
      </c>
      <c r="CE160" s="207">
        <v>0</v>
      </c>
      <c r="CF160" s="207"/>
      <c r="CG160" s="147"/>
      <c r="CH160" s="176"/>
      <c r="CJ160" s="146"/>
      <c r="CK160" s="76">
        <f t="shared" ca="1" si="206"/>
        <v>0.44215242494678875</v>
      </c>
      <c r="CL160" s="179">
        <f t="shared" si="207"/>
        <v>3</v>
      </c>
      <c r="CM160" s="180">
        <f t="shared" si="208"/>
        <v>39910</v>
      </c>
      <c r="CN160" s="208">
        <v>0</v>
      </c>
      <c r="CO160" s="208">
        <v>0</v>
      </c>
      <c r="CP160" s="208">
        <v>0</v>
      </c>
      <c r="CQ160" s="208">
        <v>0</v>
      </c>
      <c r="CR160" s="208">
        <v>1</v>
      </c>
      <c r="CS160" s="208">
        <v>0</v>
      </c>
      <c r="CT160" s="208">
        <v>0</v>
      </c>
      <c r="CU160" s="208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9"/>
        <v>9.6000000000000002E-2</v>
      </c>
      <c r="DB160" s="146"/>
      <c r="DC160" s="76">
        <f t="shared" ca="1" si="172"/>
        <v>0.4023178338951594</v>
      </c>
      <c r="DD160">
        <f t="shared" si="210"/>
        <v>3</v>
      </c>
      <c r="DE160" s="129">
        <f t="shared" si="242"/>
        <v>39910</v>
      </c>
      <c r="DF160" s="161">
        <f t="shared" si="211"/>
        <v>0</v>
      </c>
      <c r="DG160" s="161">
        <f t="shared" si="212"/>
        <v>0</v>
      </c>
      <c r="DH160" s="161">
        <f t="shared" si="213"/>
        <v>0</v>
      </c>
      <c r="DI160" s="161">
        <f t="shared" si="214"/>
        <v>0</v>
      </c>
      <c r="DJ160" s="161">
        <f t="shared" si="215"/>
        <v>115.21464646464646</v>
      </c>
      <c r="DK160" s="161">
        <f t="shared" si="216"/>
        <v>0</v>
      </c>
      <c r="DL160" s="161">
        <f t="shared" si="217"/>
        <v>0</v>
      </c>
      <c r="DM160" s="161">
        <f t="shared" si="218"/>
        <v>0</v>
      </c>
      <c r="DN160" s="161">
        <f t="shared" si="219"/>
        <v>0</v>
      </c>
      <c r="DO160" s="161">
        <f t="shared" si="220"/>
        <v>0</v>
      </c>
      <c r="DP160" s="161">
        <f t="shared" si="221"/>
        <v>0</v>
      </c>
      <c r="DQ160" s="161">
        <f t="shared" si="222"/>
        <v>0</v>
      </c>
      <c r="DR160" s="161">
        <f t="shared" si="223"/>
        <v>0</v>
      </c>
      <c r="DS160" s="161">
        <f t="shared" si="224"/>
        <v>0</v>
      </c>
      <c r="DT160" s="161">
        <f t="shared" si="225"/>
        <v>0</v>
      </c>
      <c r="DU160" s="161">
        <f t="shared" si="226"/>
        <v>0</v>
      </c>
      <c r="DV160" s="161">
        <f t="shared" si="227"/>
        <v>0</v>
      </c>
      <c r="DW160" s="161">
        <f t="shared" si="228"/>
        <v>0</v>
      </c>
      <c r="DX160" s="161">
        <f t="shared" si="229"/>
        <v>0</v>
      </c>
      <c r="DY160" s="161">
        <f t="shared" si="230"/>
        <v>0</v>
      </c>
      <c r="DZ160" s="161">
        <f t="shared" si="231"/>
        <v>0</v>
      </c>
      <c r="EA160" s="161">
        <f t="shared" si="232"/>
        <v>0</v>
      </c>
      <c r="EB160" s="161">
        <f t="shared" si="233"/>
        <v>0</v>
      </c>
      <c r="EC160" s="161">
        <f t="shared" si="234"/>
        <v>0</v>
      </c>
      <c r="ED160" s="161">
        <f t="shared" si="235"/>
        <v>0</v>
      </c>
      <c r="EE160" s="161">
        <f t="shared" si="236"/>
        <v>0</v>
      </c>
      <c r="EF160" s="161">
        <f t="shared" si="237"/>
        <v>0</v>
      </c>
      <c r="EG160" s="161">
        <f t="shared" si="238"/>
        <v>0</v>
      </c>
      <c r="EH160" s="161">
        <f t="shared" si="239"/>
        <v>0</v>
      </c>
      <c r="EI160" s="161">
        <f t="shared" si="240"/>
        <v>0</v>
      </c>
      <c r="EJ160" s="161">
        <f t="shared" si="241"/>
        <v>0</v>
      </c>
      <c r="EK160" s="147">
        <f t="shared" si="173"/>
        <v>115.21464646464646</v>
      </c>
      <c r="EL160" s="149"/>
      <c r="EN160" s="146"/>
      <c r="EO160" s="146"/>
      <c r="EP160" s="139">
        <f t="shared" si="174"/>
        <v>0</v>
      </c>
      <c r="EQ160" s="139">
        <f t="shared" si="175"/>
        <v>0</v>
      </c>
      <c r="ER160" s="139">
        <f t="shared" si="176"/>
        <v>0</v>
      </c>
      <c r="ES160" s="139">
        <f t="shared" si="177"/>
        <v>0</v>
      </c>
      <c r="ET160" s="139">
        <f t="shared" si="178"/>
        <v>34.725238514236572</v>
      </c>
      <c r="EU160" s="139">
        <f t="shared" si="179"/>
        <v>0</v>
      </c>
      <c r="EV160" s="139">
        <f t="shared" si="180"/>
        <v>0</v>
      </c>
      <c r="EW160" s="139">
        <f t="shared" si="181"/>
        <v>0</v>
      </c>
      <c r="EX160" s="139">
        <f t="shared" si="182"/>
        <v>0</v>
      </c>
      <c r="EY160" s="139">
        <f t="shared" si="183"/>
        <v>0</v>
      </c>
      <c r="EZ160" s="139">
        <f t="shared" si="184"/>
        <v>0</v>
      </c>
      <c r="FA160" s="139">
        <f t="shared" si="185"/>
        <v>0</v>
      </c>
      <c r="FB160" s="139">
        <f t="shared" si="186"/>
        <v>0</v>
      </c>
      <c r="FC160" s="139">
        <f t="shared" si="187"/>
        <v>0</v>
      </c>
      <c r="FD160" s="139">
        <f t="shared" si="188"/>
        <v>0</v>
      </c>
      <c r="FE160" s="139">
        <f t="shared" si="189"/>
        <v>0</v>
      </c>
      <c r="FF160" s="139">
        <f t="shared" si="190"/>
        <v>0</v>
      </c>
      <c r="FG160" s="139">
        <f t="shared" si="191"/>
        <v>0</v>
      </c>
      <c r="FH160" s="139">
        <f t="shared" si="192"/>
        <v>0</v>
      </c>
      <c r="FI160" s="139">
        <f t="shared" si="193"/>
        <v>0</v>
      </c>
      <c r="FJ160" s="139">
        <f t="shared" si="194"/>
        <v>0</v>
      </c>
      <c r="FK160" s="139">
        <f t="shared" si="195"/>
        <v>0</v>
      </c>
      <c r="FL160" s="139">
        <f t="shared" si="196"/>
        <v>0</v>
      </c>
      <c r="FM160" s="139">
        <f t="shared" si="197"/>
        <v>0</v>
      </c>
      <c r="FN160" s="139">
        <f t="shared" si="198"/>
        <v>0</v>
      </c>
      <c r="FO160" s="139">
        <f t="shared" si="199"/>
        <v>0</v>
      </c>
      <c r="FP160" s="139">
        <f t="shared" si="200"/>
        <v>0</v>
      </c>
      <c r="FQ160" s="139">
        <f t="shared" si="201"/>
        <v>0</v>
      </c>
      <c r="FR160" s="139">
        <f t="shared" si="202"/>
        <v>0</v>
      </c>
      <c r="FS160" s="139">
        <f t="shared" si="203"/>
        <v>0</v>
      </c>
      <c r="FT160" s="139">
        <f t="shared" si="204"/>
        <v>0</v>
      </c>
      <c r="FU160" s="148">
        <f t="shared" si="205"/>
        <v>34.725238514236572</v>
      </c>
      <c r="FV160" s="149"/>
      <c r="FY160" s="213">
        <v>155</v>
      </c>
      <c r="FZ160">
        <v>42.025993492488709</v>
      </c>
      <c r="GA160">
        <v>51.338050050416484</v>
      </c>
      <c r="GB160">
        <v>13.56296737929998</v>
      </c>
      <c r="GC160">
        <v>7.7974971406939364</v>
      </c>
      <c r="GD160">
        <v>1.9138257920766202</v>
      </c>
      <c r="GE160">
        <v>2.1525747501744386</v>
      </c>
      <c r="GF160">
        <v>1.391286416504232</v>
      </c>
      <c r="GG160">
        <v>2.1071321818287339</v>
      </c>
      <c r="GH160">
        <v>2.1611736260621592</v>
      </c>
      <c r="GI160">
        <v>11.286057441382209</v>
      </c>
      <c r="GJ160"/>
      <c r="GK160"/>
      <c r="GL160"/>
      <c r="GM160"/>
      <c r="GN160" s="208"/>
      <c r="GO160" s="208"/>
      <c r="GP160" s="208"/>
      <c r="GQ160" s="208"/>
      <c r="GR160" s="208"/>
      <c r="GS160" s="208"/>
      <c r="GT160" s="208"/>
      <c r="GU160" s="213">
        <v>155</v>
      </c>
    </row>
    <row r="161" spans="1:203" s="7" customFormat="1">
      <c r="A161" s="1"/>
      <c r="B161" s="76">
        <f ca="1">IF(C161="", "", RAND())</f>
        <v>0.58123387053260811</v>
      </c>
      <c r="C161">
        <v>3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115.21464646464646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64.246641797744758</v>
      </c>
      <c r="AO161">
        <v>9.7911091951000433</v>
      </c>
      <c r="AP161">
        <v>75.381070057582207</v>
      </c>
      <c r="AQ161">
        <v>76.229746893487743</v>
      </c>
      <c r="AR161">
        <v>9.0795142266034841</v>
      </c>
      <c r="AS161">
        <v>117.73184370896301</v>
      </c>
      <c r="AT161" t="e">
        <v>#DIV/0!</v>
      </c>
      <c r="AU161" t="e">
        <v>#DIV/0!</v>
      </c>
      <c r="AV161"/>
      <c r="AW161"/>
      <c r="AX161" s="146"/>
      <c r="AY161" s="76">
        <f t="shared" ca="1" si="171"/>
        <v>0.38692543293847281</v>
      </c>
      <c r="AZ161">
        <v>4</v>
      </c>
      <c r="BA161" s="129">
        <f t="shared" si="243"/>
        <v>39910</v>
      </c>
      <c r="BB161" s="207">
        <v>0</v>
      </c>
      <c r="BC161" s="207">
        <v>0</v>
      </c>
      <c r="BD161" s="207">
        <v>0</v>
      </c>
      <c r="BE161" s="207">
        <v>0</v>
      </c>
      <c r="BF161" s="207">
        <v>1</v>
      </c>
      <c r="BG161" s="207">
        <v>0</v>
      </c>
      <c r="BH161" s="207">
        <v>0</v>
      </c>
      <c r="BI161" s="207">
        <v>0</v>
      </c>
      <c r="BJ161" s="207">
        <v>0</v>
      </c>
      <c r="BK161" s="207">
        <v>0</v>
      </c>
      <c r="BL161" s="207">
        <v>0</v>
      </c>
      <c r="BM161" s="207">
        <v>0</v>
      </c>
      <c r="BN161" s="207">
        <v>0</v>
      </c>
      <c r="BO161" s="207">
        <v>0</v>
      </c>
      <c r="BP161" s="207">
        <v>0</v>
      </c>
      <c r="BQ161" s="207">
        <v>0</v>
      </c>
      <c r="BR161" s="207">
        <v>0</v>
      </c>
      <c r="BS161" s="207">
        <v>0</v>
      </c>
      <c r="BT161" s="207">
        <v>0</v>
      </c>
      <c r="BU161" s="207">
        <v>0</v>
      </c>
      <c r="BV161" s="207">
        <v>0</v>
      </c>
      <c r="BW161" s="207">
        <v>0</v>
      </c>
      <c r="BX161" s="207">
        <v>0</v>
      </c>
      <c r="BY161" s="207">
        <v>0</v>
      </c>
      <c r="BZ161" s="207">
        <v>0</v>
      </c>
      <c r="CA161" s="207">
        <v>0</v>
      </c>
      <c r="CB161" s="207">
        <v>0</v>
      </c>
      <c r="CC161" s="207">
        <v>0</v>
      </c>
      <c r="CD161" s="207">
        <v>0</v>
      </c>
      <c r="CE161" s="207">
        <v>0</v>
      </c>
      <c r="CF161" s="207"/>
      <c r="CG161" s="147"/>
      <c r="CH161" s="176"/>
      <c r="CJ161" s="146"/>
      <c r="CK161" s="76">
        <f t="shared" ca="1" si="206"/>
        <v>0.96223747954037631</v>
      </c>
      <c r="CL161" s="179">
        <f t="shared" si="207"/>
        <v>4</v>
      </c>
      <c r="CM161" s="180">
        <f t="shared" si="208"/>
        <v>39910</v>
      </c>
      <c r="CN161" s="208">
        <v>0</v>
      </c>
      <c r="CO161" s="208">
        <v>0</v>
      </c>
      <c r="CP161" s="208">
        <v>0</v>
      </c>
      <c r="CQ161" s="208">
        <v>0</v>
      </c>
      <c r="CR161" s="208">
        <v>0</v>
      </c>
      <c r="CS161" s="208">
        <v>0</v>
      </c>
      <c r="CT161" s="208">
        <v>0</v>
      </c>
      <c r="CU161" s="208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9"/>
        <v>9.6000000000000002E-2</v>
      </c>
      <c r="DB161" s="146"/>
      <c r="DC161" s="76">
        <f t="shared" ca="1" si="172"/>
        <v>0.17371739693028854</v>
      </c>
      <c r="DD161">
        <f t="shared" si="210"/>
        <v>4</v>
      </c>
      <c r="DE161" s="129">
        <f t="shared" si="242"/>
        <v>39910</v>
      </c>
      <c r="DF161" s="161">
        <f t="shared" si="211"/>
        <v>0</v>
      </c>
      <c r="DG161" s="161">
        <f t="shared" si="212"/>
        <v>0</v>
      </c>
      <c r="DH161" s="161">
        <f t="shared" si="213"/>
        <v>0</v>
      </c>
      <c r="DI161" s="161">
        <f t="shared" si="214"/>
        <v>0</v>
      </c>
      <c r="DJ161" s="161">
        <f t="shared" si="215"/>
        <v>10.416666666666666</v>
      </c>
      <c r="DK161" s="161">
        <f t="shared" si="216"/>
        <v>0</v>
      </c>
      <c r="DL161" s="161">
        <f t="shared" si="217"/>
        <v>0</v>
      </c>
      <c r="DM161" s="161">
        <f t="shared" si="218"/>
        <v>0</v>
      </c>
      <c r="DN161" s="161">
        <f t="shared" si="219"/>
        <v>0</v>
      </c>
      <c r="DO161" s="161">
        <f t="shared" si="220"/>
        <v>0</v>
      </c>
      <c r="DP161" s="161">
        <f t="shared" si="221"/>
        <v>0</v>
      </c>
      <c r="DQ161" s="161">
        <f t="shared" si="222"/>
        <v>0</v>
      </c>
      <c r="DR161" s="161">
        <f t="shared" si="223"/>
        <v>0</v>
      </c>
      <c r="DS161" s="161">
        <f t="shared" si="224"/>
        <v>0</v>
      </c>
      <c r="DT161" s="161">
        <f t="shared" si="225"/>
        <v>0</v>
      </c>
      <c r="DU161" s="161">
        <f t="shared" si="226"/>
        <v>0</v>
      </c>
      <c r="DV161" s="161">
        <f t="shared" si="227"/>
        <v>0</v>
      </c>
      <c r="DW161" s="161">
        <f t="shared" si="228"/>
        <v>0</v>
      </c>
      <c r="DX161" s="161">
        <f t="shared" si="229"/>
        <v>0</v>
      </c>
      <c r="DY161" s="161">
        <f t="shared" si="230"/>
        <v>0</v>
      </c>
      <c r="DZ161" s="161">
        <f t="shared" si="231"/>
        <v>0</v>
      </c>
      <c r="EA161" s="161">
        <f t="shared" si="232"/>
        <v>0</v>
      </c>
      <c r="EB161" s="161">
        <f t="shared" si="233"/>
        <v>0</v>
      </c>
      <c r="EC161" s="161">
        <f t="shared" si="234"/>
        <v>0</v>
      </c>
      <c r="ED161" s="161">
        <f t="shared" si="235"/>
        <v>0</v>
      </c>
      <c r="EE161" s="161">
        <f t="shared" si="236"/>
        <v>0</v>
      </c>
      <c r="EF161" s="161">
        <f t="shared" si="237"/>
        <v>0</v>
      </c>
      <c r="EG161" s="161">
        <f t="shared" si="238"/>
        <v>0</v>
      </c>
      <c r="EH161" s="161">
        <f t="shared" si="239"/>
        <v>0</v>
      </c>
      <c r="EI161" s="161">
        <f t="shared" si="240"/>
        <v>0</v>
      </c>
      <c r="EJ161" s="161">
        <f t="shared" si="241"/>
        <v>0</v>
      </c>
      <c r="EK161" s="147">
        <f t="shared" si="173"/>
        <v>10.416666666666666</v>
      </c>
      <c r="EL161" s="149"/>
      <c r="EN161" s="146"/>
      <c r="EO161" s="146"/>
      <c r="EP161" s="139">
        <f t="shared" si="174"/>
        <v>0</v>
      </c>
      <c r="EQ161" s="139">
        <f t="shared" si="175"/>
        <v>0</v>
      </c>
      <c r="ER161" s="139">
        <f t="shared" si="176"/>
        <v>0</v>
      </c>
      <c r="ES161" s="139">
        <f t="shared" si="177"/>
        <v>0</v>
      </c>
      <c r="ET161" s="139">
        <f t="shared" si="178"/>
        <v>3.1395421122460458</v>
      </c>
      <c r="EU161" s="139">
        <f t="shared" si="179"/>
        <v>0</v>
      </c>
      <c r="EV161" s="139">
        <f t="shared" si="180"/>
        <v>0</v>
      </c>
      <c r="EW161" s="139">
        <f t="shared" si="181"/>
        <v>0</v>
      </c>
      <c r="EX161" s="139">
        <f t="shared" si="182"/>
        <v>0</v>
      </c>
      <c r="EY161" s="139">
        <f t="shared" si="183"/>
        <v>0</v>
      </c>
      <c r="EZ161" s="139">
        <f t="shared" si="184"/>
        <v>0</v>
      </c>
      <c r="FA161" s="139">
        <f t="shared" si="185"/>
        <v>0</v>
      </c>
      <c r="FB161" s="139">
        <f t="shared" si="186"/>
        <v>0</v>
      </c>
      <c r="FC161" s="139">
        <f t="shared" si="187"/>
        <v>0</v>
      </c>
      <c r="FD161" s="139">
        <f t="shared" si="188"/>
        <v>0</v>
      </c>
      <c r="FE161" s="139">
        <f t="shared" si="189"/>
        <v>0</v>
      </c>
      <c r="FF161" s="139">
        <f t="shared" si="190"/>
        <v>0</v>
      </c>
      <c r="FG161" s="139">
        <f t="shared" si="191"/>
        <v>0</v>
      </c>
      <c r="FH161" s="139">
        <f t="shared" si="192"/>
        <v>0</v>
      </c>
      <c r="FI161" s="139">
        <f t="shared" si="193"/>
        <v>0</v>
      </c>
      <c r="FJ161" s="139">
        <f t="shared" si="194"/>
        <v>0</v>
      </c>
      <c r="FK161" s="139">
        <f t="shared" si="195"/>
        <v>0</v>
      </c>
      <c r="FL161" s="139">
        <f t="shared" si="196"/>
        <v>0</v>
      </c>
      <c r="FM161" s="139">
        <f t="shared" si="197"/>
        <v>0</v>
      </c>
      <c r="FN161" s="139">
        <f t="shared" si="198"/>
        <v>0</v>
      </c>
      <c r="FO161" s="139">
        <f t="shared" si="199"/>
        <v>0</v>
      </c>
      <c r="FP161" s="139">
        <f t="shared" si="200"/>
        <v>0</v>
      </c>
      <c r="FQ161" s="139">
        <f t="shared" si="201"/>
        <v>0</v>
      </c>
      <c r="FR161" s="139">
        <f t="shared" si="202"/>
        <v>0</v>
      </c>
      <c r="FS161" s="139">
        <f t="shared" si="203"/>
        <v>0</v>
      </c>
      <c r="FT161" s="139">
        <f t="shared" si="204"/>
        <v>0</v>
      </c>
      <c r="FU161" s="148">
        <f t="shared" si="205"/>
        <v>3.1395421122460458</v>
      </c>
      <c r="FV161" s="149"/>
      <c r="FY161" s="213">
        <v>156</v>
      </c>
      <c r="FZ161">
        <v>29.435392139675905</v>
      </c>
      <c r="GA161">
        <v>33.030408995903272</v>
      </c>
      <c r="GB161">
        <v>4.119204599364525</v>
      </c>
      <c r="GC161">
        <v>3.7624028127352296</v>
      </c>
      <c r="GD161">
        <v>2.2520802780995308</v>
      </c>
      <c r="GE161">
        <v>2.4561338704012599</v>
      </c>
      <c r="GF161">
        <v>4.4533707510484515</v>
      </c>
      <c r="GG161">
        <v>3.5964563027851248</v>
      </c>
      <c r="GH161">
        <v>0.60080431445180338</v>
      </c>
      <c r="GI161">
        <v>7.623203076672584</v>
      </c>
      <c r="GJ161"/>
      <c r="GK161"/>
      <c r="GL161"/>
      <c r="GM161"/>
      <c r="GN161" s="208"/>
      <c r="GO161" s="208"/>
      <c r="GP161" s="208"/>
      <c r="GQ161" s="208"/>
      <c r="GR161" s="208"/>
      <c r="GS161" s="208"/>
      <c r="GT161" s="208"/>
      <c r="GU161" s="213">
        <v>156</v>
      </c>
    </row>
    <row r="162" spans="1:203" s="7" customFormat="1">
      <c r="A162" s="1"/>
      <c r="B162" s="76">
        <f ca="1">IF(C162="", "", RAND())</f>
        <v>0.71497649577079514</v>
      </c>
      <c r="C162">
        <v>9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34.375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85.297778181785517</v>
      </c>
      <c r="AO162">
        <v>12.116747288950897</v>
      </c>
      <c r="AP162">
        <v>72.010688269377965</v>
      </c>
      <c r="AQ162">
        <v>93.217352261502043</v>
      </c>
      <c r="AR162">
        <v>11.152190680364502</v>
      </c>
      <c r="AS162">
        <v>146.8813332878704</v>
      </c>
      <c r="AT162">
        <v>7.5595403422444702</v>
      </c>
      <c r="AU162">
        <v>17.163535279504895</v>
      </c>
      <c r="AV162"/>
      <c r="AW162"/>
      <c r="AX162" s="146"/>
      <c r="AY162" s="76">
        <f t="shared" ca="1" si="171"/>
        <v>0.22980292352133569</v>
      </c>
      <c r="AZ162">
        <v>5</v>
      </c>
      <c r="BA162" s="129">
        <f t="shared" si="243"/>
        <v>39910</v>
      </c>
      <c r="BB162" s="207">
        <v>0</v>
      </c>
      <c r="BC162" s="207">
        <v>0</v>
      </c>
      <c r="BD162" s="207">
        <v>0</v>
      </c>
      <c r="BE162" s="207">
        <v>0</v>
      </c>
      <c r="BF162" s="207">
        <v>0</v>
      </c>
      <c r="BG162" s="207">
        <v>0</v>
      </c>
      <c r="BH162" s="207">
        <v>0</v>
      </c>
      <c r="BI162" s="207">
        <v>0</v>
      </c>
      <c r="BJ162" s="207">
        <v>0</v>
      </c>
      <c r="BK162" s="207">
        <v>0</v>
      </c>
      <c r="BL162" s="207">
        <v>0</v>
      </c>
      <c r="BM162" s="207">
        <v>0</v>
      </c>
      <c r="BN162" s="207">
        <v>0</v>
      </c>
      <c r="BO162" s="207">
        <v>0</v>
      </c>
      <c r="BP162" s="207">
        <v>0</v>
      </c>
      <c r="BQ162" s="207">
        <v>0</v>
      </c>
      <c r="BR162" s="207">
        <v>0</v>
      </c>
      <c r="BS162" s="207">
        <v>0</v>
      </c>
      <c r="BT162" s="207">
        <v>0</v>
      </c>
      <c r="BU162" s="207">
        <v>0</v>
      </c>
      <c r="BV162" s="207">
        <v>0</v>
      </c>
      <c r="BW162" s="207">
        <v>0</v>
      </c>
      <c r="BX162" s="207">
        <v>0</v>
      </c>
      <c r="BY162" s="207">
        <v>0</v>
      </c>
      <c r="BZ162" s="207">
        <v>0</v>
      </c>
      <c r="CA162" s="207">
        <v>0</v>
      </c>
      <c r="CB162" s="207">
        <v>0</v>
      </c>
      <c r="CC162" s="207">
        <v>0</v>
      </c>
      <c r="CD162" s="207">
        <v>0</v>
      </c>
      <c r="CE162" s="207">
        <v>0</v>
      </c>
      <c r="CF162" s="207"/>
      <c r="CG162" s="147"/>
      <c r="CH162" s="176"/>
      <c r="CJ162" s="146"/>
      <c r="CK162" s="76">
        <f t="shared" ca="1" si="206"/>
        <v>0.25602753153471225</v>
      </c>
      <c r="CL162" s="179">
        <f t="shared" si="207"/>
        <v>5</v>
      </c>
      <c r="CM162" s="180">
        <f t="shared" si="208"/>
        <v>39910</v>
      </c>
      <c r="CN162" s="208">
        <v>0</v>
      </c>
      <c r="CO162" s="208">
        <v>0</v>
      </c>
      <c r="CP162" s="208">
        <v>0</v>
      </c>
      <c r="CQ162" s="208">
        <v>0</v>
      </c>
      <c r="CR162" s="208">
        <v>0</v>
      </c>
      <c r="CS162" s="208">
        <v>0</v>
      </c>
      <c r="CT162" s="208">
        <v>0</v>
      </c>
      <c r="CU162" s="208">
        <v>0</v>
      </c>
      <c r="CV162" s="160"/>
      <c r="CW162">
        <v>1</v>
      </c>
      <c r="CX162">
        <v>1</v>
      </c>
      <c r="CY162" s="160"/>
      <c r="CZ162" s="177">
        <f t="shared" si="209"/>
        <v>9.6000000000000002E-2</v>
      </c>
      <c r="DB162" s="146"/>
      <c r="DC162" s="76">
        <f t="shared" ca="1" si="172"/>
        <v>6.5410721321816023E-2</v>
      </c>
      <c r="DD162">
        <f t="shared" si="210"/>
        <v>5</v>
      </c>
      <c r="DE162" s="129">
        <f t="shared" si="242"/>
        <v>39910</v>
      </c>
      <c r="DF162" s="161">
        <f t="shared" si="211"/>
        <v>0</v>
      </c>
      <c r="DG162" s="161">
        <f t="shared" si="212"/>
        <v>0</v>
      </c>
      <c r="DH162" s="161">
        <f t="shared" si="213"/>
        <v>0</v>
      </c>
      <c r="DI162" s="161">
        <f t="shared" si="214"/>
        <v>0</v>
      </c>
      <c r="DJ162" s="161">
        <f t="shared" si="215"/>
        <v>0</v>
      </c>
      <c r="DK162" s="161">
        <f t="shared" si="216"/>
        <v>0</v>
      </c>
      <c r="DL162" s="161">
        <f t="shared" si="217"/>
        <v>0</v>
      </c>
      <c r="DM162" s="161">
        <f t="shared" si="218"/>
        <v>0</v>
      </c>
      <c r="DN162" s="161">
        <f t="shared" si="219"/>
        <v>0</v>
      </c>
      <c r="DO162" s="161">
        <f t="shared" si="220"/>
        <v>0</v>
      </c>
      <c r="DP162" s="161">
        <f t="shared" si="221"/>
        <v>0</v>
      </c>
      <c r="DQ162" s="161">
        <f t="shared" si="222"/>
        <v>0</v>
      </c>
      <c r="DR162" s="161">
        <f t="shared" si="223"/>
        <v>0</v>
      </c>
      <c r="DS162" s="161">
        <f t="shared" si="224"/>
        <v>0</v>
      </c>
      <c r="DT162" s="161">
        <f t="shared" si="225"/>
        <v>0</v>
      </c>
      <c r="DU162" s="161">
        <f t="shared" si="226"/>
        <v>0</v>
      </c>
      <c r="DV162" s="161">
        <f t="shared" si="227"/>
        <v>0</v>
      </c>
      <c r="DW162" s="161">
        <f t="shared" si="228"/>
        <v>0</v>
      </c>
      <c r="DX162" s="161">
        <f t="shared" si="229"/>
        <v>0</v>
      </c>
      <c r="DY162" s="161">
        <f t="shared" si="230"/>
        <v>0</v>
      </c>
      <c r="DZ162" s="161">
        <f t="shared" si="231"/>
        <v>0</v>
      </c>
      <c r="EA162" s="161">
        <f t="shared" si="232"/>
        <v>0</v>
      </c>
      <c r="EB162" s="161">
        <f t="shared" si="233"/>
        <v>0</v>
      </c>
      <c r="EC162" s="161">
        <f t="shared" si="234"/>
        <v>0</v>
      </c>
      <c r="ED162" s="161">
        <f t="shared" si="235"/>
        <v>0</v>
      </c>
      <c r="EE162" s="161">
        <f t="shared" si="236"/>
        <v>0</v>
      </c>
      <c r="EF162" s="161">
        <f t="shared" si="237"/>
        <v>0</v>
      </c>
      <c r="EG162" s="161">
        <f t="shared" si="238"/>
        <v>0</v>
      </c>
      <c r="EH162" s="161">
        <f t="shared" si="239"/>
        <v>0</v>
      </c>
      <c r="EI162" s="161">
        <f t="shared" si="240"/>
        <v>0</v>
      </c>
      <c r="EJ162" s="161">
        <f t="shared" si="241"/>
        <v>0</v>
      </c>
      <c r="EK162" s="147">
        <f t="shared" si="173"/>
        <v>0</v>
      </c>
      <c r="EL162" s="149"/>
      <c r="EN162" s="146"/>
      <c r="EO162" s="146"/>
      <c r="EP162" s="139">
        <f t="shared" si="174"/>
        <v>0</v>
      </c>
      <c r="EQ162" s="139">
        <f t="shared" si="175"/>
        <v>0</v>
      </c>
      <c r="ER162" s="139">
        <f t="shared" si="176"/>
        <v>0</v>
      </c>
      <c r="ES162" s="139">
        <f t="shared" si="177"/>
        <v>0</v>
      </c>
      <c r="ET162" s="139">
        <f t="shared" si="178"/>
        <v>0</v>
      </c>
      <c r="EU162" s="139">
        <f t="shared" si="179"/>
        <v>0</v>
      </c>
      <c r="EV162" s="139">
        <f t="shared" si="180"/>
        <v>0</v>
      </c>
      <c r="EW162" s="139">
        <f t="shared" si="181"/>
        <v>0</v>
      </c>
      <c r="EX162" s="139">
        <f t="shared" si="182"/>
        <v>0</v>
      </c>
      <c r="EY162" s="139">
        <f t="shared" si="183"/>
        <v>0</v>
      </c>
      <c r="EZ162" s="139">
        <f t="shared" si="184"/>
        <v>0</v>
      </c>
      <c r="FA162" s="139">
        <f t="shared" si="185"/>
        <v>0</v>
      </c>
      <c r="FB162" s="139">
        <f t="shared" si="186"/>
        <v>0</v>
      </c>
      <c r="FC162" s="139">
        <f t="shared" si="187"/>
        <v>0</v>
      </c>
      <c r="FD162" s="139">
        <f t="shared" si="188"/>
        <v>0</v>
      </c>
      <c r="FE162" s="139">
        <f t="shared" si="189"/>
        <v>0</v>
      </c>
      <c r="FF162" s="139">
        <f t="shared" si="190"/>
        <v>0</v>
      </c>
      <c r="FG162" s="139">
        <f t="shared" si="191"/>
        <v>0</v>
      </c>
      <c r="FH162" s="139">
        <f t="shared" si="192"/>
        <v>0</v>
      </c>
      <c r="FI162" s="139">
        <f t="shared" si="193"/>
        <v>0</v>
      </c>
      <c r="FJ162" s="139">
        <f t="shared" si="194"/>
        <v>0</v>
      </c>
      <c r="FK162" s="139">
        <f t="shared" si="195"/>
        <v>0</v>
      </c>
      <c r="FL162" s="139">
        <f t="shared" si="196"/>
        <v>0</v>
      </c>
      <c r="FM162" s="139">
        <f t="shared" si="197"/>
        <v>0</v>
      </c>
      <c r="FN162" s="139">
        <f t="shared" si="198"/>
        <v>0</v>
      </c>
      <c r="FO162" s="139">
        <f t="shared" si="199"/>
        <v>0</v>
      </c>
      <c r="FP162" s="139">
        <f t="shared" si="200"/>
        <v>0</v>
      </c>
      <c r="FQ162" s="139">
        <f t="shared" si="201"/>
        <v>0</v>
      </c>
      <c r="FR162" s="139">
        <f t="shared" si="202"/>
        <v>0</v>
      </c>
      <c r="FS162" s="139">
        <f t="shared" si="203"/>
        <v>0</v>
      </c>
      <c r="FT162" s="139">
        <f t="shared" si="204"/>
        <v>0</v>
      </c>
      <c r="FU162" s="148">
        <f t="shared" si="205"/>
        <v>0</v>
      </c>
      <c r="FV162" s="149"/>
      <c r="FY162" s="213">
        <v>157</v>
      </c>
      <c r="FZ162">
        <v>37.565573677242469</v>
      </c>
      <c r="GA162">
        <v>45.122290007989193</v>
      </c>
      <c r="GB162">
        <v>9.4482940032196367</v>
      </c>
      <c r="GC162">
        <v>5.8481790577753401</v>
      </c>
      <c r="GD162">
        <v>2.3455419786824971</v>
      </c>
      <c r="GE162">
        <v>2.3245308809850815</v>
      </c>
      <c r="GF162">
        <v>4.6190298782561037</v>
      </c>
      <c r="GG162">
        <v>5.0955327847237006</v>
      </c>
      <c r="GH162">
        <v>2.1611736260621592</v>
      </c>
      <c r="GI162">
        <v>10.446975965635872</v>
      </c>
      <c r="GJ162"/>
      <c r="GK162"/>
      <c r="GL162"/>
      <c r="GM162"/>
      <c r="GN162" s="208"/>
      <c r="GO162" s="208"/>
      <c r="GP162" s="208"/>
      <c r="GQ162" s="208"/>
      <c r="GR162" s="208"/>
      <c r="GS162" s="208"/>
      <c r="GT162" s="208"/>
      <c r="GU162" s="213">
        <v>157</v>
      </c>
    </row>
    <row r="163" spans="1:203" s="7" customFormat="1">
      <c r="A163" s="1"/>
      <c r="B163" s="76">
        <f ca="1">IF(C163="", "", RAND())</f>
        <v>0.49162434791798315</v>
      </c>
      <c r="C163">
        <v>1</v>
      </c>
      <c r="D163">
        <v>39910</v>
      </c>
      <c r="E163">
        <v>0</v>
      </c>
      <c r="F163">
        <v>0</v>
      </c>
      <c r="G163">
        <v>0</v>
      </c>
      <c r="H163">
        <v>10.416666666666666</v>
      </c>
      <c r="I163">
        <v>20.833333333333332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78.793381480944873</v>
      </c>
      <c r="AO163">
        <v>12.848852584252706</v>
      </c>
      <c r="AP163">
        <v>69.54108210129219</v>
      </c>
      <c r="AQ163">
        <v>96.48669858582636</v>
      </c>
      <c r="AR163">
        <v>11.928136620498144</v>
      </c>
      <c r="AS163">
        <v>159.70472643982316</v>
      </c>
      <c r="AT163">
        <v>7.6485094134812242</v>
      </c>
      <c r="AU163">
        <v>38.109691639837166</v>
      </c>
      <c r="AV163"/>
      <c r="AW163"/>
      <c r="AX163" s="146"/>
      <c r="AY163" s="76">
        <f t="shared" ca="1" si="171"/>
        <v>0.75165449653939032</v>
      </c>
      <c r="AZ163">
        <v>6</v>
      </c>
      <c r="BA163" s="129">
        <f t="shared" si="243"/>
        <v>39910</v>
      </c>
      <c r="BB163" s="207">
        <v>0</v>
      </c>
      <c r="BC163" s="207">
        <v>0</v>
      </c>
      <c r="BD163" s="207">
        <v>0</v>
      </c>
      <c r="BE163" s="207">
        <v>0</v>
      </c>
      <c r="BF163" s="207">
        <v>0</v>
      </c>
      <c r="BG163" s="207">
        <v>0</v>
      </c>
      <c r="BH163" s="207">
        <v>0</v>
      </c>
      <c r="BI163" s="207">
        <v>0</v>
      </c>
      <c r="BJ163" s="207">
        <v>0</v>
      </c>
      <c r="BK163" s="207">
        <v>0</v>
      </c>
      <c r="BL163" s="207">
        <v>0</v>
      </c>
      <c r="BM163" s="207">
        <v>0</v>
      </c>
      <c r="BN163" s="207">
        <v>0</v>
      </c>
      <c r="BO163" s="207">
        <v>0</v>
      </c>
      <c r="BP163" s="207">
        <v>0</v>
      </c>
      <c r="BQ163" s="207">
        <v>0</v>
      </c>
      <c r="BR163" s="207">
        <v>0</v>
      </c>
      <c r="BS163" s="207">
        <v>0</v>
      </c>
      <c r="BT163" s="207">
        <v>0</v>
      </c>
      <c r="BU163" s="207">
        <v>0</v>
      </c>
      <c r="BV163" s="207">
        <v>0</v>
      </c>
      <c r="BW163" s="207">
        <v>0</v>
      </c>
      <c r="BX163" s="207">
        <v>0</v>
      </c>
      <c r="BY163" s="207">
        <v>0</v>
      </c>
      <c r="BZ163" s="207">
        <v>0</v>
      </c>
      <c r="CA163" s="207">
        <v>0</v>
      </c>
      <c r="CB163" s="207">
        <v>0</v>
      </c>
      <c r="CC163" s="207">
        <v>0</v>
      </c>
      <c r="CD163" s="207">
        <v>0</v>
      </c>
      <c r="CE163" s="207">
        <v>0</v>
      </c>
      <c r="CF163" s="207"/>
      <c r="CG163" s="147"/>
      <c r="CH163" s="176"/>
      <c r="CJ163" s="146"/>
      <c r="CK163" s="76">
        <f t="shared" ca="1" si="206"/>
        <v>0.99153046231550168</v>
      </c>
      <c r="CL163" s="179">
        <f t="shared" si="207"/>
        <v>6</v>
      </c>
      <c r="CM163" s="180">
        <f t="shared" si="208"/>
        <v>39910</v>
      </c>
      <c r="CN163" s="208">
        <v>0</v>
      </c>
      <c r="CO163" s="208">
        <v>0</v>
      </c>
      <c r="CP163" s="208">
        <v>0</v>
      </c>
      <c r="CQ163" s="208">
        <v>0</v>
      </c>
      <c r="CR163" s="208">
        <v>0</v>
      </c>
      <c r="CS163" s="208">
        <v>0</v>
      </c>
      <c r="CT163" s="208">
        <v>0</v>
      </c>
      <c r="CU163" s="208">
        <v>0</v>
      </c>
      <c r="CV163" s="160"/>
      <c r="CW163">
        <v>1</v>
      </c>
      <c r="CX163">
        <v>1</v>
      </c>
      <c r="CY163" s="160"/>
      <c r="CZ163" s="177">
        <f t="shared" si="209"/>
        <v>9.6000000000000002E-2</v>
      </c>
      <c r="DB163" s="146"/>
      <c r="DC163" s="76">
        <f t="shared" ca="1" si="172"/>
        <v>0.50063290634770796</v>
      </c>
      <c r="DD163">
        <f t="shared" si="210"/>
        <v>6</v>
      </c>
      <c r="DE163" s="129">
        <f t="shared" si="242"/>
        <v>39910</v>
      </c>
      <c r="DF163" s="161">
        <f t="shared" si="211"/>
        <v>0</v>
      </c>
      <c r="DG163" s="161">
        <f t="shared" si="212"/>
        <v>0</v>
      </c>
      <c r="DH163" s="161">
        <f t="shared" si="213"/>
        <v>0</v>
      </c>
      <c r="DI163" s="161">
        <f t="shared" si="214"/>
        <v>0</v>
      </c>
      <c r="DJ163" s="161">
        <f t="shared" si="215"/>
        <v>0</v>
      </c>
      <c r="DK163" s="161">
        <f t="shared" si="216"/>
        <v>0</v>
      </c>
      <c r="DL163" s="161">
        <f t="shared" si="217"/>
        <v>0</v>
      </c>
      <c r="DM163" s="161">
        <f t="shared" si="218"/>
        <v>0</v>
      </c>
      <c r="DN163" s="161">
        <f t="shared" si="219"/>
        <v>0</v>
      </c>
      <c r="DO163" s="161">
        <f t="shared" si="220"/>
        <v>0</v>
      </c>
      <c r="DP163" s="161">
        <f t="shared" si="221"/>
        <v>0</v>
      </c>
      <c r="DQ163" s="161">
        <f t="shared" si="222"/>
        <v>0</v>
      </c>
      <c r="DR163" s="161">
        <f t="shared" si="223"/>
        <v>0</v>
      </c>
      <c r="DS163" s="161">
        <f t="shared" si="224"/>
        <v>0</v>
      </c>
      <c r="DT163" s="161">
        <f t="shared" si="225"/>
        <v>0</v>
      </c>
      <c r="DU163" s="161">
        <f t="shared" si="226"/>
        <v>0</v>
      </c>
      <c r="DV163" s="161">
        <f t="shared" si="227"/>
        <v>0</v>
      </c>
      <c r="DW163" s="161">
        <f t="shared" si="228"/>
        <v>0</v>
      </c>
      <c r="DX163" s="161">
        <f t="shared" si="229"/>
        <v>0</v>
      </c>
      <c r="DY163" s="161">
        <f t="shared" si="230"/>
        <v>0</v>
      </c>
      <c r="DZ163" s="161">
        <f t="shared" si="231"/>
        <v>0</v>
      </c>
      <c r="EA163" s="161">
        <f t="shared" si="232"/>
        <v>0</v>
      </c>
      <c r="EB163" s="161">
        <f t="shared" si="233"/>
        <v>0</v>
      </c>
      <c r="EC163" s="161">
        <f t="shared" si="234"/>
        <v>0</v>
      </c>
      <c r="ED163" s="161">
        <f t="shared" si="235"/>
        <v>0</v>
      </c>
      <c r="EE163" s="161">
        <f t="shared" si="236"/>
        <v>0</v>
      </c>
      <c r="EF163" s="161">
        <f t="shared" si="237"/>
        <v>0</v>
      </c>
      <c r="EG163" s="161">
        <f t="shared" si="238"/>
        <v>0</v>
      </c>
      <c r="EH163" s="161">
        <f t="shared" si="239"/>
        <v>0</v>
      </c>
      <c r="EI163" s="161">
        <f t="shared" si="240"/>
        <v>0</v>
      </c>
      <c r="EJ163" s="161">
        <f t="shared" si="241"/>
        <v>0</v>
      </c>
      <c r="EK163" s="147">
        <f t="shared" si="173"/>
        <v>0</v>
      </c>
      <c r="EL163" s="149"/>
      <c r="EN163" s="146"/>
      <c r="EO163" s="146"/>
      <c r="EP163" s="139">
        <f t="shared" si="174"/>
        <v>0</v>
      </c>
      <c r="EQ163" s="139">
        <f t="shared" si="175"/>
        <v>0</v>
      </c>
      <c r="ER163" s="139">
        <f t="shared" si="176"/>
        <v>0</v>
      </c>
      <c r="ES163" s="139">
        <f t="shared" si="177"/>
        <v>0</v>
      </c>
      <c r="ET163" s="139">
        <f t="shared" si="178"/>
        <v>0</v>
      </c>
      <c r="EU163" s="139">
        <f t="shared" si="179"/>
        <v>0</v>
      </c>
      <c r="EV163" s="139">
        <f t="shared" si="180"/>
        <v>0</v>
      </c>
      <c r="EW163" s="139">
        <f t="shared" si="181"/>
        <v>0</v>
      </c>
      <c r="EX163" s="139">
        <f t="shared" si="182"/>
        <v>0</v>
      </c>
      <c r="EY163" s="139">
        <f t="shared" si="183"/>
        <v>0</v>
      </c>
      <c r="EZ163" s="139">
        <f t="shared" si="184"/>
        <v>0</v>
      </c>
      <c r="FA163" s="139">
        <f t="shared" si="185"/>
        <v>0</v>
      </c>
      <c r="FB163" s="139">
        <f t="shared" si="186"/>
        <v>0</v>
      </c>
      <c r="FC163" s="139">
        <f t="shared" si="187"/>
        <v>0</v>
      </c>
      <c r="FD163" s="139">
        <f t="shared" si="188"/>
        <v>0</v>
      </c>
      <c r="FE163" s="139">
        <f t="shared" si="189"/>
        <v>0</v>
      </c>
      <c r="FF163" s="139">
        <f t="shared" si="190"/>
        <v>0</v>
      </c>
      <c r="FG163" s="139">
        <f t="shared" si="191"/>
        <v>0</v>
      </c>
      <c r="FH163" s="139">
        <f t="shared" si="192"/>
        <v>0</v>
      </c>
      <c r="FI163" s="139">
        <f t="shared" si="193"/>
        <v>0</v>
      </c>
      <c r="FJ163" s="139">
        <f t="shared" si="194"/>
        <v>0</v>
      </c>
      <c r="FK163" s="139">
        <f t="shared" si="195"/>
        <v>0</v>
      </c>
      <c r="FL163" s="139">
        <f t="shared" si="196"/>
        <v>0</v>
      </c>
      <c r="FM163" s="139">
        <f t="shared" si="197"/>
        <v>0</v>
      </c>
      <c r="FN163" s="139">
        <f t="shared" si="198"/>
        <v>0</v>
      </c>
      <c r="FO163" s="139">
        <f t="shared" si="199"/>
        <v>0</v>
      </c>
      <c r="FP163" s="139">
        <f t="shared" si="200"/>
        <v>0</v>
      </c>
      <c r="FQ163" s="139">
        <f t="shared" si="201"/>
        <v>0</v>
      </c>
      <c r="FR163" s="139">
        <f t="shared" si="202"/>
        <v>0</v>
      </c>
      <c r="FS163" s="139">
        <f t="shared" si="203"/>
        <v>0</v>
      </c>
      <c r="FT163" s="139">
        <f t="shared" si="204"/>
        <v>0</v>
      </c>
      <c r="FU163" s="148">
        <f t="shared" si="205"/>
        <v>0</v>
      </c>
      <c r="FV163" s="149"/>
      <c r="FY163" s="213">
        <v>158</v>
      </c>
      <c r="FZ163">
        <v>8.4018542606512607</v>
      </c>
      <c r="GA163">
        <v>9.6798384270007531</v>
      </c>
      <c r="GB163">
        <v>3.0877759198361692</v>
      </c>
      <c r="GC163">
        <v>2.5189971855031144</v>
      </c>
      <c r="GD163">
        <v>1.6264497539264791</v>
      </c>
      <c r="GE163">
        <v>2.3306111864176535</v>
      </c>
      <c r="GF163">
        <v>3.695624321682438</v>
      </c>
      <c r="GG163">
        <v>7.5230486758571544</v>
      </c>
      <c r="GH163">
        <v>6.8422815608932268</v>
      </c>
      <c r="GI163">
        <v>4.7026116254063259</v>
      </c>
      <c r="GJ163"/>
      <c r="GK163"/>
      <c r="GL163"/>
      <c r="GM163"/>
      <c r="GN163" s="208"/>
      <c r="GO163" s="208"/>
      <c r="GP163" s="208"/>
      <c r="GQ163" s="208"/>
      <c r="GR163" s="208"/>
      <c r="GS163" s="208"/>
      <c r="GT163" s="208"/>
      <c r="GU163" s="213">
        <v>158</v>
      </c>
    </row>
    <row r="164" spans="1:203" s="7" customFormat="1">
      <c r="A164" s="1"/>
      <c r="B164" s="76">
        <f ca="1">IF(C164="", "", RAND())</f>
        <v>0.8289821715801875</v>
      </c>
      <c r="C164">
        <v>4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10.416666666666666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82.356568144499164</v>
      </c>
      <c r="AO164">
        <v>8.3921482108414303</v>
      </c>
      <c r="AP164">
        <v>38.654801402474519</v>
      </c>
      <c r="AQ164">
        <v>53.773161851810265</v>
      </c>
      <c r="AR164">
        <v>7.7438428144196969</v>
      </c>
      <c r="AS164">
        <v>108.70286898156407</v>
      </c>
      <c r="AT164" t="e">
        <v>#DIV/0!</v>
      </c>
      <c r="AU164" t="e">
        <v>#DIV/0!</v>
      </c>
      <c r="AV164"/>
      <c r="AW164"/>
      <c r="AX164" s="146"/>
      <c r="AY164" s="76">
        <f t="shared" ca="1" si="171"/>
        <v>0.93811294458704531</v>
      </c>
      <c r="AZ164">
        <v>7</v>
      </c>
      <c r="BA164" s="129">
        <f t="shared" si="243"/>
        <v>39910</v>
      </c>
      <c r="BB164" s="207">
        <v>0</v>
      </c>
      <c r="BC164" s="207">
        <v>0</v>
      </c>
      <c r="BD164" s="207">
        <v>0</v>
      </c>
      <c r="BE164" s="207">
        <v>0</v>
      </c>
      <c r="BF164" s="207">
        <v>0</v>
      </c>
      <c r="BG164" s="207">
        <v>0</v>
      </c>
      <c r="BH164" s="207">
        <v>0</v>
      </c>
      <c r="BI164" s="207">
        <v>0</v>
      </c>
      <c r="BJ164" s="207">
        <v>0</v>
      </c>
      <c r="BK164" s="207">
        <v>0</v>
      </c>
      <c r="BL164" s="207">
        <v>0</v>
      </c>
      <c r="BM164" s="207">
        <v>0</v>
      </c>
      <c r="BN164" s="207">
        <v>0</v>
      </c>
      <c r="BO164" s="207">
        <v>0</v>
      </c>
      <c r="BP164" s="207">
        <v>0</v>
      </c>
      <c r="BQ164" s="207">
        <v>0</v>
      </c>
      <c r="BR164" s="207">
        <v>0</v>
      </c>
      <c r="BS164" s="207">
        <v>0</v>
      </c>
      <c r="BT164" s="207">
        <v>0</v>
      </c>
      <c r="BU164" s="207">
        <v>0</v>
      </c>
      <c r="BV164" s="207">
        <v>0</v>
      </c>
      <c r="BW164" s="207">
        <v>0</v>
      </c>
      <c r="BX164" s="207">
        <v>0</v>
      </c>
      <c r="BY164" s="207">
        <v>0</v>
      </c>
      <c r="BZ164" s="207">
        <v>0</v>
      </c>
      <c r="CA164" s="207">
        <v>0</v>
      </c>
      <c r="CB164" s="207">
        <v>0</v>
      </c>
      <c r="CC164" s="207">
        <v>0</v>
      </c>
      <c r="CD164" s="207">
        <v>0</v>
      </c>
      <c r="CE164" s="207">
        <v>0</v>
      </c>
      <c r="CF164" s="207"/>
      <c r="CG164" s="147"/>
      <c r="CH164" s="176"/>
      <c r="CJ164" s="146"/>
      <c r="CK164" s="76">
        <f t="shared" ca="1" si="206"/>
        <v>0.24354955187507699</v>
      </c>
      <c r="CL164" s="179">
        <f t="shared" si="207"/>
        <v>7</v>
      </c>
      <c r="CM164" s="180">
        <f t="shared" si="208"/>
        <v>39910</v>
      </c>
      <c r="CN164" s="208">
        <v>0</v>
      </c>
      <c r="CO164" s="208">
        <v>0</v>
      </c>
      <c r="CP164" s="208">
        <v>0</v>
      </c>
      <c r="CQ164" s="208">
        <v>0</v>
      </c>
      <c r="CR164" s="208">
        <v>0</v>
      </c>
      <c r="CS164" s="208">
        <v>0</v>
      </c>
      <c r="CT164" s="208">
        <v>0</v>
      </c>
      <c r="CU164" s="208">
        <v>0</v>
      </c>
      <c r="CV164" s="160"/>
      <c r="CW164">
        <v>1</v>
      </c>
      <c r="CX164">
        <v>1</v>
      </c>
      <c r="CY164" s="165"/>
      <c r="CZ164" s="177">
        <f t="shared" si="209"/>
        <v>9.6000000000000002E-2</v>
      </c>
      <c r="DB164" s="146"/>
      <c r="DC164" s="76">
        <f t="shared" ca="1" si="172"/>
        <v>0.15943644241973565</v>
      </c>
      <c r="DD164">
        <f t="shared" si="210"/>
        <v>7</v>
      </c>
      <c r="DE164" s="129">
        <f t="shared" si="242"/>
        <v>39910</v>
      </c>
      <c r="DF164" s="161">
        <f t="shared" si="211"/>
        <v>0</v>
      </c>
      <c r="DG164" s="161">
        <f t="shared" si="212"/>
        <v>0</v>
      </c>
      <c r="DH164" s="161">
        <f t="shared" si="213"/>
        <v>0</v>
      </c>
      <c r="DI164" s="161">
        <f t="shared" si="214"/>
        <v>0</v>
      </c>
      <c r="DJ164" s="161">
        <f t="shared" si="215"/>
        <v>0</v>
      </c>
      <c r="DK164" s="161">
        <f t="shared" si="216"/>
        <v>0</v>
      </c>
      <c r="DL164" s="161">
        <f t="shared" si="217"/>
        <v>0</v>
      </c>
      <c r="DM164" s="161">
        <f t="shared" si="218"/>
        <v>0</v>
      </c>
      <c r="DN164" s="161">
        <f t="shared" si="219"/>
        <v>0</v>
      </c>
      <c r="DO164" s="161">
        <f t="shared" si="220"/>
        <v>0</v>
      </c>
      <c r="DP164" s="161">
        <f t="shared" si="221"/>
        <v>0</v>
      </c>
      <c r="DQ164" s="161">
        <f t="shared" si="222"/>
        <v>0</v>
      </c>
      <c r="DR164" s="161">
        <f t="shared" si="223"/>
        <v>0</v>
      </c>
      <c r="DS164" s="161">
        <f t="shared" si="224"/>
        <v>0</v>
      </c>
      <c r="DT164" s="161">
        <f t="shared" si="225"/>
        <v>0</v>
      </c>
      <c r="DU164" s="161">
        <f t="shared" si="226"/>
        <v>0</v>
      </c>
      <c r="DV164" s="161">
        <f t="shared" si="227"/>
        <v>0</v>
      </c>
      <c r="DW164" s="161">
        <f t="shared" si="228"/>
        <v>0</v>
      </c>
      <c r="DX164" s="161">
        <f t="shared" si="229"/>
        <v>0</v>
      </c>
      <c r="DY164" s="161">
        <f t="shared" si="230"/>
        <v>0</v>
      </c>
      <c r="DZ164" s="161">
        <f t="shared" si="231"/>
        <v>0</v>
      </c>
      <c r="EA164" s="161">
        <f t="shared" si="232"/>
        <v>0</v>
      </c>
      <c r="EB164" s="161">
        <f t="shared" si="233"/>
        <v>0</v>
      </c>
      <c r="EC164" s="161">
        <f t="shared" si="234"/>
        <v>0</v>
      </c>
      <c r="ED164" s="161">
        <f t="shared" si="235"/>
        <v>0</v>
      </c>
      <c r="EE164" s="161">
        <f t="shared" si="236"/>
        <v>0</v>
      </c>
      <c r="EF164" s="161">
        <f t="shared" si="237"/>
        <v>0</v>
      </c>
      <c r="EG164" s="161">
        <f t="shared" si="238"/>
        <v>0</v>
      </c>
      <c r="EH164" s="161">
        <f t="shared" si="239"/>
        <v>0</v>
      </c>
      <c r="EI164" s="161">
        <f t="shared" si="240"/>
        <v>0</v>
      </c>
      <c r="EJ164" s="161">
        <f t="shared" si="241"/>
        <v>0</v>
      </c>
      <c r="EK164" s="147">
        <f t="shared" si="173"/>
        <v>0</v>
      </c>
      <c r="EL164" s="149"/>
      <c r="EN164" s="146"/>
      <c r="EO164" s="146"/>
      <c r="EP164" s="139">
        <f t="shared" si="174"/>
        <v>0</v>
      </c>
      <c r="EQ164" s="139">
        <f t="shared" si="175"/>
        <v>0</v>
      </c>
      <c r="ER164" s="139">
        <f t="shared" si="176"/>
        <v>0</v>
      </c>
      <c r="ES164" s="139">
        <f t="shared" si="177"/>
        <v>0</v>
      </c>
      <c r="ET164" s="139">
        <f t="shared" si="178"/>
        <v>0</v>
      </c>
      <c r="EU164" s="139">
        <f t="shared" si="179"/>
        <v>0</v>
      </c>
      <c r="EV164" s="139">
        <f t="shared" si="180"/>
        <v>0</v>
      </c>
      <c r="EW164" s="139">
        <f t="shared" si="181"/>
        <v>0</v>
      </c>
      <c r="EX164" s="139">
        <f t="shared" si="182"/>
        <v>0</v>
      </c>
      <c r="EY164" s="139">
        <f t="shared" si="183"/>
        <v>0</v>
      </c>
      <c r="EZ164" s="139">
        <f t="shared" si="184"/>
        <v>0</v>
      </c>
      <c r="FA164" s="139">
        <f t="shared" si="185"/>
        <v>0</v>
      </c>
      <c r="FB164" s="139">
        <f t="shared" si="186"/>
        <v>0</v>
      </c>
      <c r="FC164" s="139">
        <f t="shared" si="187"/>
        <v>0</v>
      </c>
      <c r="FD164" s="139">
        <f t="shared" si="188"/>
        <v>0</v>
      </c>
      <c r="FE164" s="139">
        <f t="shared" si="189"/>
        <v>0</v>
      </c>
      <c r="FF164" s="139">
        <f t="shared" si="190"/>
        <v>0</v>
      </c>
      <c r="FG164" s="139">
        <f t="shared" si="191"/>
        <v>0</v>
      </c>
      <c r="FH164" s="139">
        <f t="shared" si="192"/>
        <v>0</v>
      </c>
      <c r="FI164" s="139">
        <f t="shared" si="193"/>
        <v>0</v>
      </c>
      <c r="FJ164" s="139">
        <f t="shared" si="194"/>
        <v>0</v>
      </c>
      <c r="FK164" s="139">
        <f t="shared" si="195"/>
        <v>0</v>
      </c>
      <c r="FL164" s="139">
        <f t="shared" si="196"/>
        <v>0</v>
      </c>
      <c r="FM164" s="139">
        <f t="shared" si="197"/>
        <v>0</v>
      </c>
      <c r="FN164" s="139">
        <f t="shared" si="198"/>
        <v>0</v>
      </c>
      <c r="FO164" s="139">
        <f t="shared" si="199"/>
        <v>0</v>
      </c>
      <c r="FP164" s="139">
        <f t="shared" si="200"/>
        <v>0</v>
      </c>
      <c r="FQ164" s="139">
        <f t="shared" si="201"/>
        <v>0</v>
      </c>
      <c r="FR164" s="139">
        <f t="shared" si="202"/>
        <v>0</v>
      </c>
      <c r="FS164" s="139">
        <f t="shared" si="203"/>
        <v>0</v>
      </c>
      <c r="FT164" s="139">
        <f t="shared" si="204"/>
        <v>0</v>
      </c>
      <c r="FU164" s="148">
        <f t="shared" si="205"/>
        <v>0</v>
      </c>
      <c r="FV164" s="149"/>
      <c r="FY164" s="213">
        <v>159</v>
      </c>
      <c r="FZ164">
        <v>12.635286015252548</v>
      </c>
      <c r="GA164">
        <v>17.294427127897453</v>
      </c>
      <c r="GB164">
        <v>4.2273526857783246</v>
      </c>
      <c r="GC164">
        <v>2.9882656719616598</v>
      </c>
      <c r="GD164">
        <v>2.3418934963504476</v>
      </c>
      <c r="GE164">
        <v>2.5022586596975676</v>
      </c>
      <c r="GF164">
        <v>2.7726718308575147</v>
      </c>
      <c r="GG164">
        <v>3.4283056125179199</v>
      </c>
      <c r="GH164">
        <v>1.5603693116103559</v>
      </c>
      <c r="GI164">
        <v>5.0946245393489038</v>
      </c>
      <c r="GJ164"/>
      <c r="GK164"/>
      <c r="GL164"/>
      <c r="GM164"/>
      <c r="GN164" s="208"/>
      <c r="GO164" s="208"/>
      <c r="GP164" s="208"/>
      <c r="GQ164" s="208"/>
      <c r="GR164" s="208"/>
      <c r="GS164" s="208"/>
      <c r="GT164" s="208"/>
      <c r="GU164" s="213">
        <v>159</v>
      </c>
    </row>
    <row r="165" spans="1:203" s="7" customFormat="1">
      <c r="A165" s="1"/>
      <c r="B165" s="76">
        <f ca="1">IF(C165="", "", RAND())</f>
        <v>0.47036106593693661</v>
      </c>
      <c r="C165">
        <v>8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64.882627442002445</v>
      </c>
      <c r="AO165">
        <v>10.378533769545758</v>
      </c>
      <c r="AP165">
        <v>70.886201258640739</v>
      </c>
      <c r="AQ165">
        <v>78.384625861570839</v>
      </c>
      <c r="AR165">
        <v>9.6911326809419425</v>
      </c>
      <c r="AS165">
        <v>133.79366187430347</v>
      </c>
      <c r="AT165" t="e">
        <v>#DIV/0!</v>
      </c>
      <c r="AU165" t="e">
        <v>#DIV/0!</v>
      </c>
      <c r="AV165"/>
      <c r="AW165"/>
      <c r="AX165" s="146"/>
      <c r="AY165" s="76">
        <f t="shared" ca="1" si="171"/>
        <v>0.58229688411335734</v>
      </c>
      <c r="AZ165">
        <v>8</v>
      </c>
      <c r="BA165" s="129">
        <f t="shared" si="243"/>
        <v>39910</v>
      </c>
      <c r="BB165" s="207">
        <v>0</v>
      </c>
      <c r="BC165" s="207">
        <v>0</v>
      </c>
      <c r="BD165" s="207">
        <v>0</v>
      </c>
      <c r="BE165" s="207">
        <v>0</v>
      </c>
      <c r="BF165" s="207">
        <v>0</v>
      </c>
      <c r="BG165" s="207">
        <v>0</v>
      </c>
      <c r="BH165" s="207">
        <v>0</v>
      </c>
      <c r="BI165" s="207">
        <v>0</v>
      </c>
      <c r="BJ165" s="207">
        <v>0</v>
      </c>
      <c r="BK165" s="207">
        <v>0</v>
      </c>
      <c r="BL165" s="207">
        <v>0</v>
      </c>
      <c r="BM165" s="207">
        <v>0</v>
      </c>
      <c r="BN165" s="207">
        <v>0</v>
      </c>
      <c r="BO165" s="207">
        <v>0</v>
      </c>
      <c r="BP165" s="207">
        <v>0</v>
      </c>
      <c r="BQ165" s="207">
        <v>0</v>
      </c>
      <c r="BR165" s="207">
        <v>0</v>
      </c>
      <c r="BS165" s="207">
        <v>0</v>
      </c>
      <c r="BT165" s="207">
        <v>0</v>
      </c>
      <c r="BU165" s="207">
        <v>0</v>
      </c>
      <c r="BV165" s="207">
        <v>0</v>
      </c>
      <c r="BW165" s="207">
        <v>0</v>
      </c>
      <c r="BX165" s="207">
        <v>0</v>
      </c>
      <c r="BY165" s="207">
        <v>0</v>
      </c>
      <c r="BZ165" s="207">
        <v>0</v>
      </c>
      <c r="CA165" s="207">
        <v>0</v>
      </c>
      <c r="CB165" s="207">
        <v>0</v>
      </c>
      <c r="CC165" s="207">
        <v>0</v>
      </c>
      <c r="CD165" s="207">
        <v>0</v>
      </c>
      <c r="CE165" s="207">
        <v>0</v>
      </c>
      <c r="CF165" s="207"/>
      <c r="CG165" s="147"/>
      <c r="CH165" s="176"/>
      <c r="CJ165" s="146"/>
      <c r="CK165" s="76">
        <f t="shared" ca="1" si="206"/>
        <v>0.66904783919847333</v>
      </c>
      <c r="CL165" s="179">
        <f t="shared" si="207"/>
        <v>8</v>
      </c>
      <c r="CM165" s="180">
        <f t="shared" si="208"/>
        <v>39910</v>
      </c>
      <c r="CN165" s="208">
        <v>0</v>
      </c>
      <c r="CO165" s="208">
        <v>0</v>
      </c>
      <c r="CP165" s="208">
        <v>0</v>
      </c>
      <c r="CQ165" s="208">
        <v>0</v>
      </c>
      <c r="CR165" s="208">
        <v>0</v>
      </c>
      <c r="CS165" s="208">
        <v>0</v>
      </c>
      <c r="CT165" s="208">
        <v>0</v>
      </c>
      <c r="CU165" s="208">
        <v>0</v>
      </c>
      <c r="CV165" s="160"/>
      <c r="CW165">
        <v>1</v>
      </c>
      <c r="CX165">
        <v>1</v>
      </c>
      <c r="CY165" s="165"/>
      <c r="CZ165" s="177">
        <f t="shared" si="209"/>
        <v>9.6000000000000002E-2</v>
      </c>
      <c r="DB165" s="146"/>
      <c r="DC165" s="76">
        <f t="shared" ca="1" si="172"/>
        <v>0.96511443268005537</v>
      </c>
      <c r="DD165">
        <f t="shared" si="210"/>
        <v>8</v>
      </c>
      <c r="DE165" s="129">
        <f t="shared" si="242"/>
        <v>39910</v>
      </c>
      <c r="DF165" s="161">
        <f t="shared" si="211"/>
        <v>0</v>
      </c>
      <c r="DG165" s="161">
        <f t="shared" si="212"/>
        <v>0</v>
      </c>
      <c r="DH165" s="161">
        <f t="shared" si="213"/>
        <v>0</v>
      </c>
      <c r="DI165" s="161">
        <f t="shared" si="214"/>
        <v>0</v>
      </c>
      <c r="DJ165" s="161">
        <f t="shared" si="215"/>
        <v>0</v>
      </c>
      <c r="DK165" s="161">
        <f t="shared" si="216"/>
        <v>0</v>
      </c>
      <c r="DL165" s="161">
        <f t="shared" si="217"/>
        <v>0</v>
      </c>
      <c r="DM165" s="161">
        <f t="shared" si="218"/>
        <v>0</v>
      </c>
      <c r="DN165" s="161">
        <f t="shared" si="219"/>
        <v>0</v>
      </c>
      <c r="DO165" s="161">
        <f t="shared" si="220"/>
        <v>0</v>
      </c>
      <c r="DP165" s="161">
        <f t="shared" si="221"/>
        <v>0</v>
      </c>
      <c r="DQ165" s="161">
        <f t="shared" si="222"/>
        <v>0</v>
      </c>
      <c r="DR165" s="161">
        <f t="shared" si="223"/>
        <v>0</v>
      </c>
      <c r="DS165" s="161">
        <f t="shared" si="224"/>
        <v>0</v>
      </c>
      <c r="DT165" s="161">
        <f t="shared" si="225"/>
        <v>0</v>
      </c>
      <c r="DU165" s="161">
        <f t="shared" si="226"/>
        <v>0</v>
      </c>
      <c r="DV165" s="161">
        <f t="shared" si="227"/>
        <v>0</v>
      </c>
      <c r="DW165" s="161">
        <f t="shared" si="228"/>
        <v>0</v>
      </c>
      <c r="DX165" s="161">
        <f t="shared" si="229"/>
        <v>0</v>
      </c>
      <c r="DY165" s="161">
        <f t="shared" si="230"/>
        <v>0</v>
      </c>
      <c r="DZ165" s="161">
        <f t="shared" si="231"/>
        <v>0</v>
      </c>
      <c r="EA165" s="161">
        <f t="shared" si="232"/>
        <v>0</v>
      </c>
      <c r="EB165" s="161">
        <f t="shared" si="233"/>
        <v>0</v>
      </c>
      <c r="EC165" s="161">
        <f t="shared" si="234"/>
        <v>0</v>
      </c>
      <c r="ED165" s="161">
        <f t="shared" si="235"/>
        <v>0</v>
      </c>
      <c r="EE165" s="161">
        <f t="shared" si="236"/>
        <v>0</v>
      </c>
      <c r="EF165" s="161">
        <f t="shared" si="237"/>
        <v>0</v>
      </c>
      <c r="EG165" s="161">
        <f t="shared" si="238"/>
        <v>0</v>
      </c>
      <c r="EH165" s="161">
        <f t="shared" si="239"/>
        <v>0</v>
      </c>
      <c r="EI165" s="161">
        <f t="shared" si="240"/>
        <v>0</v>
      </c>
      <c r="EJ165" s="161">
        <f t="shared" si="241"/>
        <v>0</v>
      </c>
      <c r="EK165" s="147">
        <f t="shared" si="173"/>
        <v>0</v>
      </c>
      <c r="EL165" s="149"/>
      <c r="EN165" s="146"/>
      <c r="EO165" s="146"/>
      <c r="EP165" s="139">
        <f t="shared" si="174"/>
        <v>0</v>
      </c>
      <c r="EQ165" s="139">
        <f t="shared" si="175"/>
        <v>0</v>
      </c>
      <c r="ER165" s="139">
        <f t="shared" si="176"/>
        <v>0</v>
      </c>
      <c r="ES165" s="139">
        <f t="shared" si="177"/>
        <v>0</v>
      </c>
      <c r="ET165" s="139">
        <f t="shared" si="178"/>
        <v>0</v>
      </c>
      <c r="EU165" s="139">
        <f t="shared" si="179"/>
        <v>0</v>
      </c>
      <c r="EV165" s="139">
        <f t="shared" si="180"/>
        <v>0</v>
      </c>
      <c r="EW165" s="139">
        <f t="shared" si="181"/>
        <v>0</v>
      </c>
      <c r="EX165" s="139">
        <f t="shared" si="182"/>
        <v>0</v>
      </c>
      <c r="EY165" s="139">
        <f t="shared" si="183"/>
        <v>0</v>
      </c>
      <c r="EZ165" s="139">
        <f t="shared" si="184"/>
        <v>0</v>
      </c>
      <c r="FA165" s="139">
        <f t="shared" si="185"/>
        <v>0</v>
      </c>
      <c r="FB165" s="139">
        <f t="shared" si="186"/>
        <v>0</v>
      </c>
      <c r="FC165" s="139">
        <f t="shared" si="187"/>
        <v>0</v>
      </c>
      <c r="FD165" s="139">
        <f t="shared" si="188"/>
        <v>0</v>
      </c>
      <c r="FE165" s="139">
        <f t="shared" si="189"/>
        <v>0</v>
      </c>
      <c r="FF165" s="139">
        <f t="shared" si="190"/>
        <v>0</v>
      </c>
      <c r="FG165" s="139">
        <f t="shared" si="191"/>
        <v>0</v>
      </c>
      <c r="FH165" s="139">
        <f t="shared" si="192"/>
        <v>0</v>
      </c>
      <c r="FI165" s="139">
        <f t="shared" si="193"/>
        <v>0</v>
      </c>
      <c r="FJ165" s="139">
        <f t="shared" si="194"/>
        <v>0</v>
      </c>
      <c r="FK165" s="139">
        <f t="shared" si="195"/>
        <v>0</v>
      </c>
      <c r="FL165" s="139">
        <f t="shared" si="196"/>
        <v>0</v>
      </c>
      <c r="FM165" s="139">
        <f t="shared" si="197"/>
        <v>0</v>
      </c>
      <c r="FN165" s="139">
        <f t="shared" si="198"/>
        <v>0</v>
      </c>
      <c r="FO165" s="139">
        <f t="shared" si="199"/>
        <v>0</v>
      </c>
      <c r="FP165" s="139">
        <f t="shared" si="200"/>
        <v>0</v>
      </c>
      <c r="FQ165" s="139">
        <f t="shared" si="201"/>
        <v>0</v>
      </c>
      <c r="FR165" s="139">
        <f t="shared" si="202"/>
        <v>0</v>
      </c>
      <c r="FS165" s="139">
        <f t="shared" si="203"/>
        <v>0</v>
      </c>
      <c r="FT165" s="139">
        <f t="shared" si="204"/>
        <v>0</v>
      </c>
      <c r="FU165" s="148">
        <f t="shared" si="205"/>
        <v>0</v>
      </c>
      <c r="FV165" s="149"/>
      <c r="FY165" s="213">
        <v>160</v>
      </c>
      <c r="FZ165">
        <v>30.861481263291999</v>
      </c>
      <c r="GA165">
        <v>35.573724299137638</v>
      </c>
      <c r="GB165">
        <v>5.0976592397707137</v>
      </c>
      <c r="GC165">
        <v>3.8840975227082839</v>
      </c>
      <c r="GD165">
        <v>1.8049484991475786</v>
      </c>
      <c r="GE165">
        <v>1.7282202160613158</v>
      </c>
      <c r="GF165">
        <v>1.746984466637713</v>
      </c>
      <c r="GG165">
        <v>3.7499366469342883</v>
      </c>
      <c r="GH165">
        <v>3.7215429376725151</v>
      </c>
      <c r="GI165">
        <v>7.7930701010491159</v>
      </c>
      <c r="GJ165"/>
      <c r="GK165"/>
      <c r="GL165"/>
      <c r="GM165"/>
      <c r="GN165" s="208"/>
      <c r="GO165" s="208"/>
      <c r="GP165" s="208"/>
      <c r="GQ165" s="208"/>
      <c r="GR165" s="208"/>
      <c r="GS165" s="208"/>
      <c r="GT165" s="208"/>
      <c r="GU165" s="213">
        <v>160</v>
      </c>
    </row>
    <row r="166" spans="1:203" s="7" customFormat="1">
      <c r="A166" s="1"/>
      <c r="B166" s="76">
        <f ca="1">IF(C166="", "", RAND())</f>
        <v>0.45422767458574409</v>
      </c>
      <c r="C166">
        <v>6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84.272728142612792</v>
      </c>
      <c r="AO166">
        <v>14.599835260874537</v>
      </c>
      <c r="AP166">
        <v>134.94838960703473</v>
      </c>
      <c r="AQ166">
        <v>112.52451540384949</v>
      </c>
      <c r="AR166">
        <v>13.719031765177581</v>
      </c>
      <c r="AS166">
        <v>155.98086806268853</v>
      </c>
      <c r="AT166" t="e">
        <v>#DIV/0!</v>
      </c>
      <c r="AU166" t="e">
        <v>#DIV/0!</v>
      </c>
      <c r="AV166"/>
      <c r="AW166"/>
      <c r="AX166" s="146"/>
      <c r="AY166" s="76">
        <f t="shared" ca="1" si="171"/>
        <v>0.51379389089739913</v>
      </c>
      <c r="AZ166">
        <v>9</v>
      </c>
      <c r="BA166" s="129">
        <f t="shared" si="243"/>
        <v>39910</v>
      </c>
      <c r="BB166" s="207">
        <v>0</v>
      </c>
      <c r="BC166" s="207">
        <v>0</v>
      </c>
      <c r="BD166" s="207">
        <v>0</v>
      </c>
      <c r="BE166" s="207">
        <v>0</v>
      </c>
      <c r="BF166" s="207">
        <v>0</v>
      </c>
      <c r="BG166" s="207">
        <v>1</v>
      </c>
      <c r="BH166" s="207">
        <v>0</v>
      </c>
      <c r="BI166" s="207">
        <v>0</v>
      </c>
      <c r="BJ166" s="207">
        <v>0</v>
      </c>
      <c r="BK166" s="207">
        <v>0</v>
      </c>
      <c r="BL166" s="207">
        <v>0</v>
      </c>
      <c r="BM166" s="207">
        <v>0</v>
      </c>
      <c r="BN166" s="207">
        <v>0</v>
      </c>
      <c r="BO166" s="207">
        <v>0</v>
      </c>
      <c r="BP166" s="207">
        <v>0</v>
      </c>
      <c r="BQ166" s="207">
        <v>0</v>
      </c>
      <c r="BR166" s="207">
        <v>0</v>
      </c>
      <c r="BS166" s="207">
        <v>0</v>
      </c>
      <c r="BT166" s="207">
        <v>0</v>
      </c>
      <c r="BU166" s="207">
        <v>0</v>
      </c>
      <c r="BV166" s="207">
        <v>0</v>
      </c>
      <c r="BW166" s="207">
        <v>0</v>
      </c>
      <c r="BX166" s="207">
        <v>0</v>
      </c>
      <c r="BY166" s="207">
        <v>0</v>
      </c>
      <c r="BZ166" s="207">
        <v>0</v>
      </c>
      <c r="CA166" s="207">
        <v>0</v>
      </c>
      <c r="CB166" s="207">
        <v>0</v>
      </c>
      <c r="CC166" s="207">
        <v>0</v>
      </c>
      <c r="CD166" s="207">
        <v>0</v>
      </c>
      <c r="CE166" s="207">
        <v>0</v>
      </c>
      <c r="CF166" s="207"/>
      <c r="CG166" s="147"/>
      <c r="CH166" s="176"/>
      <c r="CJ166" s="146"/>
      <c r="CK166" s="76">
        <f t="shared" ca="1" si="206"/>
        <v>0.668327643561339</v>
      </c>
      <c r="CL166" s="179">
        <f t="shared" si="207"/>
        <v>9</v>
      </c>
      <c r="CM166" s="180">
        <f t="shared" si="208"/>
        <v>39910</v>
      </c>
      <c r="CN166" s="208">
        <v>0</v>
      </c>
      <c r="CO166" s="208">
        <v>0</v>
      </c>
      <c r="CP166" s="208">
        <v>0</v>
      </c>
      <c r="CQ166" s="208">
        <v>0</v>
      </c>
      <c r="CR166" s="208">
        <v>0</v>
      </c>
      <c r="CS166" s="208">
        <v>0</v>
      </c>
      <c r="CT166" s="208">
        <v>0</v>
      </c>
      <c r="CU166" s="208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9"/>
        <v>9.6000000000000002E-2</v>
      </c>
      <c r="DB166" s="146"/>
      <c r="DC166" s="76">
        <f t="shared" ca="1" si="172"/>
        <v>0.52197562030914946</v>
      </c>
      <c r="DD166">
        <f t="shared" si="210"/>
        <v>9</v>
      </c>
      <c r="DE166" s="129">
        <f t="shared" si="242"/>
        <v>39910</v>
      </c>
      <c r="DF166" s="161">
        <f t="shared" si="211"/>
        <v>0</v>
      </c>
      <c r="DG166" s="161">
        <f t="shared" si="212"/>
        <v>0</v>
      </c>
      <c r="DH166" s="161">
        <f t="shared" si="213"/>
        <v>0</v>
      </c>
      <c r="DI166" s="161">
        <f t="shared" si="214"/>
        <v>0</v>
      </c>
      <c r="DJ166" s="161">
        <f t="shared" si="215"/>
        <v>0</v>
      </c>
      <c r="DK166" s="161">
        <f t="shared" si="216"/>
        <v>34.375</v>
      </c>
      <c r="DL166" s="161">
        <f t="shared" si="217"/>
        <v>0</v>
      </c>
      <c r="DM166" s="161">
        <f t="shared" si="218"/>
        <v>0</v>
      </c>
      <c r="DN166" s="161">
        <f t="shared" si="219"/>
        <v>0</v>
      </c>
      <c r="DO166" s="161">
        <f t="shared" si="220"/>
        <v>0</v>
      </c>
      <c r="DP166" s="161">
        <f t="shared" si="221"/>
        <v>0</v>
      </c>
      <c r="DQ166" s="161">
        <f t="shared" si="222"/>
        <v>0</v>
      </c>
      <c r="DR166" s="161">
        <f t="shared" si="223"/>
        <v>0</v>
      </c>
      <c r="DS166" s="161">
        <f t="shared" si="224"/>
        <v>0</v>
      </c>
      <c r="DT166" s="161">
        <f t="shared" si="225"/>
        <v>0</v>
      </c>
      <c r="DU166" s="161">
        <f t="shared" si="226"/>
        <v>0</v>
      </c>
      <c r="DV166" s="161">
        <f t="shared" si="227"/>
        <v>0</v>
      </c>
      <c r="DW166" s="161">
        <f t="shared" si="228"/>
        <v>0</v>
      </c>
      <c r="DX166" s="161">
        <f t="shared" si="229"/>
        <v>0</v>
      </c>
      <c r="DY166" s="161">
        <f t="shared" si="230"/>
        <v>0</v>
      </c>
      <c r="DZ166" s="161">
        <f t="shared" si="231"/>
        <v>0</v>
      </c>
      <c r="EA166" s="161">
        <f t="shared" si="232"/>
        <v>0</v>
      </c>
      <c r="EB166" s="161">
        <f t="shared" si="233"/>
        <v>0</v>
      </c>
      <c r="EC166" s="161">
        <f t="shared" si="234"/>
        <v>0</v>
      </c>
      <c r="ED166" s="161">
        <f t="shared" si="235"/>
        <v>0</v>
      </c>
      <c r="EE166" s="161">
        <f t="shared" si="236"/>
        <v>0</v>
      </c>
      <c r="EF166" s="161">
        <f t="shared" si="237"/>
        <v>0</v>
      </c>
      <c r="EG166" s="161">
        <f t="shared" si="238"/>
        <v>0</v>
      </c>
      <c r="EH166" s="161">
        <f t="shared" si="239"/>
        <v>0</v>
      </c>
      <c r="EI166" s="161">
        <f t="shared" si="240"/>
        <v>0</v>
      </c>
      <c r="EJ166" s="161">
        <f t="shared" si="241"/>
        <v>0</v>
      </c>
      <c r="EK166" s="147">
        <f t="shared" si="173"/>
        <v>34.375</v>
      </c>
      <c r="EL166" s="149"/>
      <c r="EN166" s="146"/>
      <c r="EO166" s="146"/>
      <c r="EP166" s="139">
        <f t="shared" si="174"/>
        <v>0</v>
      </c>
      <c r="EQ166" s="139">
        <f t="shared" si="175"/>
        <v>0</v>
      </c>
      <c r="ER166" s="139">
        <f t="shared" si="176"/>
        <v>0</v>
      </c>
      <c r="ES166" s="139">
        <f t="shared" si="177"/>
        <v>0</v>
      </c>
      <c r="ET166" s="139">
        <f t="shared" si="178"/>
        <v>0</v>
      </c>
      <c r="EU166" s="139">
        <f t="shared" si="179"/>
        <v>18.887092083917473</v>
      </c>
      <c r="EV166" s="139">
        <f t="shared" si="180"/>
        <v>0</v>
      </c>
      <c r="EW166" s="139">
        <f t="shared" si="181"/>
        <v>0</v>
      </c>
      <c r="EX166" s="139">
        <f t="shared" si="182"/>
        <v>0</v>
      </c>
      <c r="EY166" s="139">
        <f t="shared" si="183"/>
        <v>0</v>
      </c>
      <c r="EZ166" s="139">
        <f t="shared" si="184"/>
        <v>0</v>
      </c>
      <c r="FA166" s="139">
        <f t="shared" si="185"/>
        <v>0</v>
      </c>
      <c r="FB166" s="139">
        <f t="shared" si="186"/>
        <v>0</v>
      </c>
      <c r="FC166" s="139">
        <f t="shared" si="187"/>
        <v>0</v>
      </c>
      <c r="FD166" s="139">
        <f t="shared" si="188"/>
        <v>0</v>
      </c>
      <c r="FE166" s="139">
        <f t="shared" si="189"/>
        <v>0</v>
      </c>
      <c r="FF166" s="139">
        <f t="shared" si="190"/>
        <v>0</v>
      </c>
      <c r="FG166" s="139">
        <f t="shared" si="191"/>
        <v>0</v>
      </c>
      <c r="FH166" s="139">
        <f t="shared" si="192"/>
        <v>0</v>
      </c>
      <c r="FI166" s="139">
        <f t="shared" si="193"/>
        <v>0</v>
      </c>
      <c r="FJ166" s="139">
        <f t="shared" si="194"/>
        <v>0</v>
      </c>
      <c r="FK166" s="139">
        <f t="shared" si="195"/>
        <v>0</v>
      </c>
      <c r="FL166" s="139">
        <f t="shared" si="196"/>
        <v>0</v>
      </c>
      <c r="FM166" s="139">
        <f t="shared" si="197"/>
        <v>0</v>
      </c>
      <c r="FN166" s="139">
        <f t="shared" si="198"/>
        <v>0</v>
      </c>
      <c r="FO166" s="139">
        <f t="shared" si="199"/>
        <v>0</v>
      </c>
      <c r="FP166" s="139">
        <f t="shared" si="200"/>
        <v>0</v>
      </c>
      <c r="FQ166" s="139">
        <f t="shared" si="201"/>
        <v>0</v>
      </c>
      <c r="FR166" s="139">
        <f t="shared" si="202"/>
        <v>0</v>
      </c>
      <c r="FS166" s="139">
        <f t="shared" si="203"/>
        <v>0</v>
      </c>
      <c r="FT166" s="139">
        <f t="shared" si="204"/>
        <v>0</v>
      </c>
      <c r="FU166" s="148">
        <f t="shared" si="205"/>
        <v>18.887092083917473</v>
      </c>
      <c r="FV166" s="149"/>
      <c r="FY166" s="213">
        <v>161</v>
      </c>
      <c r="FZ166">
        <v>43.210311994487419</v>
      </c>
      <c r="GA166">
        <v>50.365958526040458</v>
      </c>
      <c r="GB166">
        <v>7.9759300006299849</v>
      </c>
      <c r="GC166">
        <v>6.2725511550207367</v>
      </c>
      <c r="GD166">
        <v>2.7121436259796252</v>
      </c>
      <c r="GE166">
        <v>2.3262911595436524</v>
      </c>
      <c r="GF166">
        <v>1.0825151553512562</v>
      </c>
      <c r="GG166">
        <v>4.3215459880263101</v>
      </c>
      <c r="GH166">
        <v>4.6811079348310667</v>
      </c>
      <c r="GI166">
        <v>10.906562864202677</v>
      </c>
      <c r="GJ166"/>
      <c r="GK166"/>
      <c r="GL166"/>
      <c r="GM166"/>
      <c r="GN166" s="208"/>
      <c r="GO166" s="208"/>
      <c r="GP166" s="208"/>
      <c r="GQ166" s="208"/>
      <c r="GR166" s="208"/>
      <c r="GS166" s="208"/>
      <c r="GT166" s="208"/>
      <c r="GU166" s="213">
        <v>161</v>
      </c>
    </row>
    <row r="167" spans="1:203" s="7" customFormat="1">
      <c r="A167" s="1"/>
      <c r="B167" s="76">
        <f ca="1">IF(C167="", "", RAND())</f>
        <v>0.96134121683876583</v>
      </c>
      <c r="C167">
        <v>7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67.754544039838166</v>
      </c>
      <c r="AO167">
        <v>12.330155337008238</v>
      </c>
      <c r="AP167">
        <v>98.802576341189308</v>
      </c>
      <c r="AQ167">
        <v>103.13197356926744</v>
      </c>
      <c r="AR167">
        <v>11.379794479058333</v>
      </c>
      <c r="AS167">
        <v>120.83374510889394</v>
      </c>
      <c r="AT167">
        <v>8.0303388648283693</v>
      </c>
      <c r="AU167">
        <v>26.223723288221841</v>
      </c>
      <c r="AV167"/>
      <c r="AW167"/>
      <c r="AX167" s="146"/>
      <c r="AY167" s="76">
        <f t="shared" ca="1" si="171"/>
        <v>0.98536756659039648</v>
      </c>
      <c r="AZ167">
        <v>10</v>
      </c>
      <c r="BA167" s="129">
        <f t="shared" si="243"/>
        <v>39910</v>
      </c>
      <c r="BB167" s="207">
        <v>0</v>
      </c>
      <c r="BC167" s="207">
        <v>0</v>
      </c>
      <c r="BD167" s="207">
        <v>0</v>
      </c>
      <c r="BE167" s="207">
        <v>1</v>
      </c>
      <c r="BF167" s="207">
        <v>0</v>
      </c>
      <c r="BG167" s="207">
        <v>0</v>
      </c>
      <c r="BH167" s="207">
        <v>0</v>
      </c>
      <c r="BI167" s="207">
        <v>0</v>
      </c>
      <c r="BJ167" s="207">
        <v>0</v>
      </c>
      <c r="BK167" s="207">
        <v>0</v>
      </c>
      <c r="BL167" s="207">
        <v>0</v>
      </c>
      <c r="BM167" s="207">
        <v>0</v>
      </c>
      <c r="BN167" s="207">
        <v>0</v>
      </c>
      <c r="BO167" s="207">
        <v>0</v>
      </c>
      <c r="BP167" s="207">
        <v>0</v>
      </c>
      <c r="BQ167" s="207">
        <v>0</v>
      </c>
      <c r="BR167" s="207">
        <v>0</v>
      </c>
      <c r="BS167" s="207">
        <v>0</v>
      </c>
      <c r="BT167" s="207">
        <v>0</v>
      </c>
      <c r="BU167" s="207">
        <v>0</v>
      </c>
      <c r="BV167" s="207">
        <v>0</v>
      </c>
      <c r="BW167" s="207">
        <v>0</v>
      </c>
      <c r="BX167" s="207">
        <v>0</v>
      </c>
      <c r="BY167" s="207">
        <v>0</v>
      </c>
      <c r="BZ167" s="207">
        <v>0</v>
      </c>
      <c r="CA167" s="207">
        <v>0</v>
      </c>
      <c r="CB167" s="207">
        <v>0</v>
      </c>
      <c r="CC167" s="207">
        <v>0</v>
      </c>
      <c r="CD167" s="207">
        <v>0</v>
      </c>
      <c r="CE167" s="207">
        <v>0</v>
      </c>
      <c r="CF167" s="207"/>
      <c r="CG167" s="147"/>
      <c r="CH167" s="176"/>
      <c r="CJ167" s="146"/>
      <c r="CK167" s="76">
        <f t="shared" ca="1" si="206"/>
        <v>0.17448258299395381</v>
      </c>
      <c r="CL167" s="179">
        <f t="shared" si="207"/>
        <v>10</v>
      </c>
      <c r="CM167" s="180">
        <f t="shared" si="208"/>
        <v>39910</v>
      </c>
      <c r="CN167" s="208">
        <v>0</v>
      </c>
      <c r="CO167" s="208">
        <v>0</v>
      </c>
      <c r="CP167" s="208">
        <v>0</v>
      </c>
      <c r="CQ167" s="208">
        <v>1</v>
      </c>
      <c r="CR167" s="208">
        <v>0</v>
      </c>
      <c r="CS167" s="208">
        <v>0</v>
      </c>
      <c r="CT167" s="208">
        <v>0</v>
      </c>
      <c r="CU167" s="208">
        <v>0</v>
      </c>
      <c r="CV167" s="160"/>
      <c r="CW167">
        <v>1</v>
      </c>
      <c r="CX167">
        <f>350/35</f>
        <v>10</v>
      </c>
      <c r="CY167" s="165"/>
      <c r="CZ167" s="177">
        <f t="shared" si="209"/>
        <v>9.6000000000000002E-2</v>
      </c>
      <c r="DB167" s="146"/>
      <c r="DC167" s="76">
        <f t="shared" ca="1" si="172"/>
        <v>0.82665350666641579</v>
      </c>
      <c r="DD167">
        <f t="shared" si="210"/>
        <v>10</v>
      </c>
      <c r="DE167" s="129">
        <f t="shared" si="242"/>
        <v>39910</v>
      </c>
      <c r="DF167" s="161">
        <f t="shared" si="211"/>
        <v>0</v>
      </c>
      <c r="DG167" s="161">
        <f t="shared" si="212"/>
        <v>0</v>
      </c>
      <c r="DH167" s="161">
        <f t="shared" si="213"/>
        <v>0</v>
      </c>
      <c r="DI167" s="161">
        <f t="shared" si="214"/>
        <v>114.58333333333333</v>
      </c>
      <c r="DJ167" s="161">
        <f t="shared" si="215"/>
        <v>0</v>
      </c>
      <c r="DK167" s="161">
        <f t="shared" si="216"/>
        <v>0</v>
      </c>
      <c r="DL167" s="161">
        <f t="shared" si="217"/>
        <v>0</v>
      </c>
      <c r="DM167" s="161">
        <f t="shared" si="218"/>
        <v>0</v>
      </c>
      <c r="DN167" s="161">
        <f t="shared" si="219"/>
        <v>0</v>
      </c>
      <c r="DO167" s="161">
        <f t="shared" si="220"/>
        <v>0</v>
      </c>
      <c r="DP167" s="161">
        <f t="shared" si="221"/>
        <v>0</v>
      </c>
      <c r="DQ167" s="161">
        <f t="shared" si="222"/>
        <v>0</v>
      </c>
      <c r="DR167" s="161">
        <f t="shared" si="223"/>
        <v>0</v>
      </c>
      <c r="DS167" s="161">
        <f t="shared" si="224"/>
        <v>0</v>
      </c>
      <c r="DT167" s="161">
        <f t="shared" si="225"/>
        <v>0</v>
      </c>
      <c r="DU167" s="161">
        <f t="shared" si="226"/>
        <v>0</v>
      </c>
      <c r="DV167" s="161">
        <f t="shared" si="227"/>
        <v>0</v>
      </c>
      <c r="DW167" s="161">
        <f t="shared" si="228"/>
        <v>0</v>
      </c>
      <c r="DX167" s="161">
        <f t="shared" si="229"/>
        <v>0</v>
      </c>
      <c r="DY167" s="161">
        <f t="shared" si="230"/>
        <v>0</v>
      </c>
      <c r="DZ167" s="161">
        <f t="shared" si="231"/>
        <v>0</v>
      </c>
      <c r="EA167" s="161">
        <f t="shared" si="232"/>
        <v>0</v>
      </c>
      <c r="EB167" s="161">
        <f t="shared" si="233"/>
        <v>0</v>
      </c>
      <c r="EC167" s="161">
        <f t="shared" si="234"/>
        <v>0</v>
      </c>
      <c r="ED167" s="161">
        <f t="shared" si="235"/>
        <v>0</v>
      </c>
      <c r="EE167" s="161">
        <f t="shared" si="236"/>
        <v>0</v>
      </c>
      <c r="EF167" s="161">
        <f t="shared" si="237"/>
        <v>0</v>
      </c>
      <c r="EG167" s="161">
        <f t="shared" si="238"/>
        <v>0</v>
      </c>
      <c r="EH167" s="161">
        <f t="shared" si="239"/>
        <v>0</v>
      </c>
      <c r="EI167" s="161">
        <f t="shared" si="240"/>
        <v>0</v>
      </c>
      <c r="EJ167" s="161">
        <f t="shared" si="241"/>
        <v>0</v>
      </c>
      <c r="EK167" s="147">
        <f t="shared" si="173"/>
        <v>114.58333333333333</v>
      </c>
      <c r="EL167" s="149"/>
      <c r="EN167" s="146"/>
      <c r="EO167" s="146"/>
      <c r="EP167" s="139">
        <f t="shared" si="174"/>
        <v>0</v>
      </c>
      <c r="EQ167" s="139">
        <f t="shared" si="175"/>
        <v>0</v>
      </c>
      <c r="ER167" s="139">
        <f t="shared" si="176"/>
        <v>0</v>
      </c>
      <c r="ES167" s="139">
        <f t="shared" si="177"/>
        <v>15.923878593560078</v>
      </c>
      <c r="ET167" s="139">
        <f t="shared" si="178"/>
        <v>0</v>
      </c>
      <c r="EU167" s="139">
        <f t="shared" si="179"/>
        <v>0</v>
      </c>
      <c r="EV167" s="139">
        <f t="shared" si="180"/>
        <v>0</v>
      </c>
      <c r="EW167" s="139">
        <f t="shared" si="181"/>
        <v>0</v>
      </c>
      <c r="EX167" s="139">
        <f t="shared" si="182"/>
        <v>0</v>
      </c>
      <c r="EY167" s="139">
        <f t="shared" si="183"/>
        <v>0</v>
      </c>
      <c r="EZ167" s="139">
        <f t="shared" si="184"/>
        <v>0</v>
      </c>
      <c r="FA167" s="139">
        <f t="shared" si="185"/>
        <v>0</v>
      </c>
      <c r="FB167" s="139">
        <f t="shared" si="186"/>
        <v>0</v>
      </c>
      <c r="FC167" s="139">
        <f t="shared" si="187"/>
        <v>0</v>
      </c>
      <c r="FD167" s="139">
        <f t="shared" si="188"/>
        <v>0</v>
      </c>
      <c r="FE167" s="139">
        <f t="shared" si="189"/>
        <v>0</v>
      </c>
      <c r="FF167" s="139">
        <f t="shared" si="190"/>
        <v>0</v>
      </c>
      <c r="FG167" s="139">
        <f t="shared" si="191"/>
        <v>0</v>
      </c>
      <c r="FH167" s="139">
        <f t="shared" si="192"/>
        <v>0</v>
      </c>
      <c r="FI167" s="139">
        <f t="shared" si="193"/>
        <v>0</v>
      </c>
      <c r="FJ167" s="139">
        <f t="shared" si="194"/>
        <v>0</v>
      </c>
      <c r="FK167" s="139">
        <f t="shared" si="195"/>
        <v>0</v>
      </c>
      <c r="FL167" s="139">
        <f t="shared" si="196"/>
        <v>0</v>
      </c>
      <c r="FM167" s="139">
        <f t="shared" si="197"/>
        <v>0</v>
      </c>
      <c r="FN167" s="139">
        <f t="shared" si="198"/>
        <v>0</v>
      </c>
      <c r="FO167" s="139">
        <f t="shared" si="199"/>
        <v>0</v>
      </c>
      <c r="FP167" s="139">
        <f t="shared" si="200"/>
        <v>0</v>
      </c>
      <c r="FQ167" s="139">
        <f t="shared" si="201"/>
        <v>0</v>
      </c>
      <c r="FR167" s="139">
        <f t="shared" si="202"/>
        <v>0</v>
      </c>
      <c r="FS167" s="139">
        <f t="shared" si="203"/>
        <v>0</v>
      </c>
      <c r="FT167" s="139">
        <f t="shared" si="204"/>
        <v>0</v>
      </c>
      <c r="FU167" s="148">
        <f t="shared" si="205"/>
        <v>15.923878593560078</v>
      </c>
      <c r="FV167" s="149"/>
      <c r="FY167" s="213">
        <v>162</v>
      </c>
      <c r="FZ167">
        <v>26.879887316516832</v>
      </c>
      <c r="GA167">
        <v>32.571099657258863</v>
      </c>
      <c r="GB167">
        <v>7.429973761520281</v>
      </c>
      <c r="GC167">
        <v>4.6684980202930983</v>
      </c>
      <c r="GD167">
        <v>2.2606753867629275</v>
      </c>
      <c r="GE167">
        <v>2.5022105618338411</v>
      </c>
      <c r="GF167">
        <v>1.7313666696217052</v>
      </c>
      <c r="GG167">
        <v>1.2398301364596112</v>
      </c>
      <c r="GH167">
        <v>0.60080431445180338</v>
      </c>
      <c r="GI167">
        <v>7.5337126696302814</v>
      </c>
      <c r="GJ167"/>
      <c r="GK167"/>
      <c r="GL167"/>
      <c r="GM167"/>
      <c r="GN167" s="208"/>
      <c r="GO167" s="208"/>
      <c r="GP167" s="208"/>
      <c r="GQ167" s="208"/>
      <c r="GR167" s="208"/>
      <c r="GS167" s="208"/>
      <c r="GT167" s="208"/>
      <c r="GU167" s="213">
        <v>162</v>
      </c>
    </row>
    <row r="168" spans="1:203" s="7" customFormat="1">
      <c r="A168" s="128"/>
      <c r="B168" s="76">
        <f ca="1">IF(C168="", "", RAND())</f>
        <v>0.65943379655036694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83.23165681465629</v>
      </c>
      <c r="AO168">
        <v>9.7086661570281318</v>
      </c>
      <c r="AP168">
        <v>37.076816315904836</v>
      </c>
      <c r="AQ168">
        <v>65.223400269184594</v>
      </c>
      <c r="AR168">
        <v>8.9967216453931087</v>
      </c>
      <c r="AS168">
        <v>120.19517574857672</v>
      </c>
      <c r="AT168">
        <v>5.8077423878098182</v>
      </c>
      <c r="AU168">
        <v>13.163371030341469</v>
      </c>
      <c r="AV168"/>
      <c r="AW168"/>
      <c r="AX168" s="128"/>
      <c r="AY168" s="76">
        <f t="shared" ca="1" si="171"/>
        <v>0.21973434922553658</v>
      </c>
      <c r="AZ168">
        <v>1</v>
      </c>
      <c r="BA168" s="129">
        <f>IF(AZ168="", "",$C$12)</f>
        <v>39949</v>
      </c>
      <c r="BB168" s="207">
        <v>0</v>
      </c>
      <c r="BC168" s="207">
        <v>0</v>
      </c>
      <c r="BD168" s="207">
        <v>0</v>
      </c>
      <c r="BE168" s="207">
        <v>0</v>
      </c>
      <c r="BF168" s="207">
        <v>0</v>
      </c>
      <c r="BG168" s="207">
        <v>0</v>
      </c>
      <c r="BH168" s="207">
        <v>0</v>
      </c>
      <c r="BI168" s="207">
        <v>0</v>
      </c>
      <c r="BJ168" s="207">
        <v>0</v>
      </c>
      <c r="BK168" s="207">
        <v>0</v>
      </c>
      <c r="BL168" s="207">
        <v>0</v>
      </c>
      <c r="BM168" s="207">
        <v>0</v>
      </c>
      <c r="BN168" s="207">
        <v>0</v>
      </c>
      <c r="BO168" s="207">
        <v>0</v>
      </c>
      <c r="BP168" s="207">
        <v>0</v>
      </c>
      <c r="BQ168" s="207">
        <v>0</v>
      </c>
      <c r="BR168" s="207">
        <v>0</v>
      </c>
      <c r="BS168" s="207">
        <v>0</v>
      </c>
      <c r="BT168" s="207">
        <v>0</v>
      </c>
      <c r="BU168" s="207">
        <v>0</v>
      </c>
      <c r="BV168" s="207">
        <v>0</v>
      </c>
      <c r="BW168" s="207">
        <v>0</v>
      </c>
      <c r="BX168" s="207">
        <v>0</v>
      </c>
      <c r="BY168" s="207">
        <v>0</v>
      </c>
      <c r="BZ168" s="207">
        <v>0</v>
      </c>
      <c r="CA168" s="207">
        <v>0</v>
      </c>
      <c r="CB168" s="207">
        <v>0</v>
      </c>
      <c r="CC168" s="207">
        <v>0</v>
      </c>
      <c r="CD168" s="207">
        <v>0</v>
      </c>
      <c r="CE168" s="207">
        <v>0</v>
      </c>
      <c r="CF168" s="207"/>
      <c r="CG168" s="147"/>
      <c r="CH168" s="176"/>
      <c r="CJ168" s="128"/>
      <c r="CK168" s="76">
        <f t="shared" ca="1" si="206"/>
        <v>0.48672701620933534</v>
      </c>
      <c r="CL168" s="179">
        <f t="shared" si="207"/>
        <v>1</v>
      </c>
      <c r="CM168" s="180">
        <f t="shared" si="208"/>
        <v>39949</v>
      </c>
      <c r="CN168" s="208">
        <v>0</v>
      </c>
      <c r="CO168" s="208">
        <v>0</v>
      </c>
      <c r="CP168" s="208">
        <v>0</v>
      </c>
      <c r="CQ168" s="208">
        <v>0</v>
      </c>
      <c r="CR168" s="208">
        <v>0</v>
      </c>
      <c r="CS168" s="208">
        <v>0</v>
      </c>
      <c r="CT168" s="208">
        <v>0</v>
      </c>
      <c r="CU168" s="20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9"/>
        <v>9.6000000000000002E-2</v>
      </c>
      <c r="DB168" s="128"/>
      <c r="DC168" s="76">
        <f t="shared" ca="1" si="172"/>
        <v>0.11481839099427749</v>
      </c>
      <c r="DD168">
        <f t="shared" si="210"/>
        <v>1</v>
      </c>
      <c r="DE168" s="129">
        <f t="shared" ref="DE168:DE177" si="244">IF((DD168)="", "", $C$12)</f>
        <v>39949</v>
      </c>
      <c r="DF168" s="161">
        <f t="shared" si="211"/>
        <v>0</v>
      </c>
      <c r="DG168" s="161">
        <f t="shared" si="212"/>
        <v>0</v>
      </c>
      <c r="DH168" s="161">
        <f t="shared" si="213"/>
        <v>0</v>
      </c>
      <c r="DI168" s="161">
        <f t="shared" si="214"/>
        <v>0</v>
      </c>
      <c r="DJ168" s="161">
        <f t="shared" si="215"/>
        <v>0</v>
      </c>
      <c r="DK168" s="161">
        <f t="shared" si="216"/>
        <v>0</v>
      </c>
      <c r="DL168" s="161">
        <f t="shared" si="217"/>
        <v>0</v>
      </c>
      <c r="DM168" s="161">
        <f t="shared" si="218"/>
        <v>0</v>
      </c>
      <c r="DN168" s="161">
        <f t="shared" si="219"/>
        <v>0</v>
      </c>
      <c r="DO168" s="161">
        <f t="shared" si="220"/>
        <v>0</v>
      </c>
      <c r="DP168" s="161">
        <f t="shared" si="221"/>
        <v>0</v>
      </c>
      <c r="DQ168" s="161">
        <f t="shared" si="222"/>
        <v>0</v>
      </c>
      <c r="DR168" s="161">
        <f t="shared" si="223"/>
        <v>0</v>
      </c>
      <c r="DS168" s="161">
        <f t="shared" si="224"/>
        <v>0</v>
      </c>
      <c r="DT168" s="161">
        <f t="shared" si="225"/>
        <v>0</v>
      </c>
      <c r="DU168" s="161">
        <f t="shared" si="226"/>
        <v>0</v>
      </c>
      <c r="DV168" s="161">
        <f t="shared" si="227"/>
        <v>0</v>
      </c>
      <c r="DW168" s="161">
        <f t="shared" si="228"/>
        <v>0</v>
      </c>
      <c r="DX168" s="161">
        <f t="shared" si="229"/>
        <v>0</v>
      </c>
      <c r="DY168" s="161">
        <f t="shared" si="230"/>
        <v>0</v>
      </c>
      <c r="DZ168" s="161">
        <f t="shared" si="231"/>
        <v>0</v>
      </c>
      <c r="EA168" s="161">
        <f t="shared" si="232"/>
        <v>0</v>
      </c>
      <c r="EB168" s="161">
        <f t="shared" si="233"/>
        <v>0</v>
      </c>
      <c r="EC168" s="161">
        <f t="shared" si="234"/>
        <v>0</v>
      </c>
      <c r="ED168" s="161">
        <f t="shared" si="235"/>
        <v>0</v>
      </c>
      <c r="EE168" s="161">
        <f t="shared" si="236"/>
        <v>0</v>
      </c>
      <c r="EF168" s="161">
        <f t="shared" si="237"/>
        <v>0</v>
      </c>
      <c r="EG168" s="161">
        <f t="shared" si="238"/>
        <v>0</v>
      </c>
      <c r="EH168" s="161">
        <f t="shared" si="239"/>
        <v>0</v>
      </c>
      <c r="EI168" s="161">
        <f t="shared" si="240"/>
        <v>0</v>
      </c>
      <c r="EJ168" s="161">
        <f t="shared" si="241"/>
        <v>0</v>
      </c>
      <c r="EK168" s="147">
        <f t="shared" si="173"/>
        <v>0</v>
      </c>
      <c r="EL168" s="149"/>
      <c r="EN168" s="146"/>
      <c r="EO168" s="146"/>
      <c r="EP168" s="139">
        <f t="shared" si="174"/>
        <v>0</v>
      </c>
      <c r="EQ168" s="139">
        <f t="shared" si="175"/>
        <v>0</v>
      </c>
      <c r="ER168" s="139">
        <f t="shared" si="176"/>
        <v>0</v>
      </c>
      <c r="ES168" s="139">
        <f t="shared" si="177"/>
        <v>0</v>
      </c>
      <c r="ET168" s="139">
        <f t="shared" si="178"/>
        <v>0</v>
      </c>
      <c r="EU168" s="139">
        <f t="shared" si="179"/>
        <v>0</v>
      </c>
      <c r="EV168" s="139">
        <f t="shared" si="180"/>
        <v>0</v>
      </c>
      <c r="EW168" s="139">
        <f t="shared" si="181"/>
        <v>0</v>
      </c>
      <c r="EX168" s="139">
        <f t="shared" si="182"/>
        <v>0</v>
      </c>
      <c r="EY168" s="139">
        <f t="shared" si="183"/>
        <v>0</v>
      </c>
      <c r="EZ168" s="139">
        <f t="shared" si="184"/>
        <v>0</v>
      </c>
      <c r="FA168" s="139">
        <f t="shared" si="185"/>
        <v>0</v>
      </c>
      <c r="FB168" s="139">
        <f t="shared" si="186"/>
        <v>0</v>
      </c>
      <c r="FC168" s="139">
        <f t="shared" si="187"/>
        <v>0</v>
      </c>
      <c r="FD168" s="139">
        <f t="shared" si="188"/>
        <v>0</v>
      </c>
      <c r="FE168" s="139">
        <f t="shared" si="189"/>
        <v>0</v>
      </c>
      <c r="FF168" s="139">
        <f t="shared" si="190"/>
        <v>0</v>
      </c>
      <c r="FG168" s="139">
        <f t="shared" si="191"/>
        <v>0</v>
      </c>
      <c r="FH168" s="139">
        <f t="shared" si="192"/>
        <v>0</v>
      </c>
      <c r="FI168" s="139">
        <f t="shared" si="193"/>
        <v>0</v>
      </c>
      <c r="FJ168" s="139">
        <f t="shared" si="194"/>
        <v>0</v>
      </c>
      <c r="FK168" s="139">
        <f t="shared" si="195"/>
        <v>0</v>
      </c>
      <c r="FL168" s="139">
        <f t="shared" si="196"/>
        <v>0</v>
      </c>
      <c r="FM168" s="139">
        <f t="shared" si="197"/>
        <v>0</v>
      </c>
      <c r="FN168" s="139">
        <f t="shared" si="198"/>
        <v>0</v>
      </c>
      <c r="FO168" s="139">
        <f t="shared" si="199"/>
        <v>0</v>
      </c>
      <c r="FP168" s="139">
        <f t="shared" si="200"/>
        <v>0</v>
      </c>
      <c r="FQ168" s="139">
        <f t="shared" si="201"/>
        <v>0</v>
      </c>
      <c r="FR168" s="139">
        <f t="shared" si="202"/>
        <v>0</v>
      </c>
      <c r="FS168" s="139">
        <f t="shared" si="203"/>
        <v>0</v>
      </c>
      <c r="FT168" s="139">
        <f t="shared" si="204"/>
        <v>0</v>
      </c>
      <c r="FU168" s="148">
        <f t="shared" si="205"/>
        <v>0</v>
      </c>
      <c r="FV168" s="149"/>
      <c r="FY168" s="213">
        <v>163</v>
      </c>
      <c r="FZ168">
        <v>31.057003029145331</v>
      </c>
      <c r="GA168">
        <v>37.758720917727885</v>
      </c>
      <c r="GB168">
        <v>10.41419160333515</v>
      </c>
      <c r="GC168">
        <v>6.4681238875991793</v>
      </c>
      <c r="GD168">
        <v>2.1499116939583751</v>
      </c>
      <c r="GE168">
        <v>1.9401387303950495</v>
      </c>
      <c r="GF168">
        <v>1.6897770076899996</v>
      </c>
      <c r="GG168">
        <v>2.4454720600288211</v>
      </c>
      <c r="GH168">
        <v>2.1611736260621592</v>
      </c>
      <c r="GI168">
        <v>9.0750830780001266</v>
      </c>
      <c r="GJ168"/>
      <c r="GK168"/>
      <c r="GL168"/>
      <c r="GM168"/>
      <c r="GN168" s="208"/>
      <c r="GO168" s="208"/>
      <c r="GP168" s="208"/>
      <c r="GQ168" s="208"/>
      <c r="GR168" s="208"/>
      <c r="GS168" s="208"/>
      <c r="GT168" s="208"/>
      <c r="GU168" s="213">
        <v>163</v>
      </c>
    </row>
    <row r="169" spans="1:203" s="7" customFormat="1">
      <c r="A169" s="1"/>
      <c r="B169" s="76">
        <f ca="1">IF(C169="", "", RAND())</f>
        <v>0.28754972474092177</v>
      </c>
      <c r="C169">
        <v>8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101.4115518665468</v>
      </c>
      <c r="AO169">
        <v>13.392929168403569</v>
      </c>
      <c r="AP169">
        <v>109.71181198515029</v>
      </c>
      <c r="AQ169">
        <v>106.53017213004877</v>
      </c>
      <c r="AR169">
        <v>12.276847091051755</v>
      </c>
      <c r="AS169">
        <v>158.44211161053173</v>
      </c>
      <c r="AT169" t="e">
        <v>#DIV/0!</v>
      </c>
      <c r="AU169" t="e">
        <v>#DIV/0!</v>
      </c>
      <c r="AV169"/>
      <c r="AW169"/>
      <c r="AX169" s="146"/>
      <c r="AY169" s="76">
        <f t="shared" ca="1" si="171"/>
        <v>0.99068388302921506</v>
      </c>
      <c r="AZ169">
        <v>2</v>
      </c>
      <c r="BA169" s="129">
        <f t="shared" ref="BA169:BA177" si="245">IF(AZ169="", "",$C$12)</f>
        <v>39949</v>
      </c>
      <c r="BB169" s="207">
        <v>0</v>
      </c>
      <c r="BC169" s="207">
        <v>0</v>
      </c>
      <c r="BD169" s="207">
        <v>0</v>
      </c>
      <c r="BE169" s="207">
        <v>0</v>
      </c>
      <c r="BF169" s="207">
        <v>0</v>
      </c>
      <c r="BG169" s="207">
        <v>0</v>
      </c>
      <c r="BH169" s="207">
        <v>0</v>
      </c>
      <c r="BI169" s="207">
        <v>0</v>
      </c>
      <c r="BJ169" s="207">
        <v>0</v>
      </c>
      <c r="BK169" s="207">
        <v>0</v>
      </c>
      <c r="BL169" s="207">
        <v>0</v>
      </c>
      <c r="BM169" s="207">
        <v>0</v>
      </c>
      <c r="BN169" s="207">
        <v>0</v>
      </c>
      <c r="BO169" s="207">
        <v>0</v>
      </c>
      <c r="BP169" s="207">
        <v>0</v>
      </c>
      <c r="BQ169" s="207">
        <v>0</v>
      </c>
      <c r="BR169" s="207">
        <v>0</v>
      </c>
      <c r="BS169" s="207">
        <v>0</v>
      </c>
      <c r="BT169" s="207">
        <v>0</v>
      </c>
      <c r="BU169" s="207">
        <v>0</v>
      </c>
      <c r="BV169" s="207">
        <v>0</v>
      </c>
      <c r="BW169" s="207">
        <v>0</v>
      </c>
      <c r="BX169" s="207">
        <v>0</v>
      </c>
      <c r="BY169" s="207">
        <v>0</v>
      </c>
      <c r="BZ169" s="207">
        <v>0</v>
      </c>
      <c r="CA169" s="207">
        <v>0</v>
      </c>
      <c r="CB169" s="207">
        <v>0</v>
      </c>
      <c r="CC169" s="207">
        <v>0</v>
      </c>
      <c r="CD169" s="207">
        <v>0</v>
      </c>
      <c r="CE169" s="207">
        <v>0</v>
      </c>
      <c r="CF169" s="207"/>
      <c r="CG169" s="147"/>
      <c r="CH169" s="176"/>
      <c r="CJ169" s="146"/>
      <c r="CK169" s="76">
        <f t="shared" ca="1" si="206"/>
        <v>0.49996323338207027</v>
      </c>
      <c r="CL169" s="179">
        <f t="shared" si="207"/>
        <v>2</v>
      </c>
      <c r="CM169" s="180">
        <f t="shared" si="208"/>
        <v>39949</v>
      </c>
      <c r="CN169" s="208">
        <v>0</v>
      </c>
      <c r="CO169" s="208">
        <v>0</v>
      </c>
      <c r="CP169" s="208">
        <v>0</v>
      </c>
      <c r="CQ169" s="208">
        <v>0</v>
      </c>
      <c r="CR169" s="208">
        <v>0</v>
      </c>
      <c r="CS169" s="208">
        <v>0</v>
      </c>
      <c r="CT169" s="208">
        <v>0</v>
      </c>
      <c r="CU169" s="208">
        <v>0</v>
      </c>
      <c r="CV169" s="160"/>
      <c r="CW169">
        <v>1</v>
      </c>
      <c r="CX169">
        <v>1</v>
      </c>
      <c r="CY169" s="160"/>
      <c r="CZ169" s="177">
        <f t="shared" si="209"/>
        <v>9.6000000000000002E-2</v>
      </c>
      <c r="DB169" s="146"/>
      <c r="DC169" s="76">
        <f t="shared" ca="1" si="172"/>
        <v>0.34024224309430928</v>
      </c>
      <c r="DD169">
        <f t="shared" si="210"/>
        <v>2</v>
      </c>
      <c r="DE169" s="129">
        <f t="shared" si="244"/>
        <v>39949</v>
      </c>
      <c r="DF169" s="161">
        <f t="shared" si="211"/>
        <v>0</v>
      </c>
      <c r="DG169" s="161">
        <f t="shared" si="212"/>
        <v>0</v>
      </c>
      <c r="DH169" s="161">
        <f t="shared" si="213"/>
        <v>0</v>
      </c>
      <c r="DI169" s="161">
        <f t="shared" si="214"/>
        <v>0</v>
      </c>
      <c r="DJ169" s="161">
        <f t="shared" si="215"/>
        <v>0</v>
      </c>
      <c r="DK169" s="161">
        <f t="shared" si="216"/>
        <v>0</v>
      </c>
      <c r="DL169" s="161">
        <f t="shared" si="217"/>
        <v>0</v>
      </c>
      <c r="DM169" s="161">
        <f t="shared" si="218"/>
        <v>0</v>
      </c>
      <c r="DN169" s="161">
        <f t="shared" si="219"/>
        <v>0</v>
      </c>
      <c r="DO169" s="161">
        <f t="shared" si="220"/>
        <v>0</v>
      </c>
      <c r="DP169" s="161">
        <f t="shared" si="221"/>
        <v>0</v>
      </c>
      <c r="DQ169" s="161">
        <f t="shared" si="222"/>
        <v>0</v>
      </c>
      <c r="DR169" s="161">
        <f t="shared" si="223"/>
        <v>0</v>
      </c>
      <c r="DS169" s="161">
        <f t="shared" si="224"/>
        <v>0</v>
      </c>
      <c r="DT169" s="161">
        <f t="shared" si="225"/>
        <v>0</v>
      </c>
      <c r="DU169" s="161">
        <f t="shared" si="226"/>
        <v>0</v>
      </c>
      <c r="DV169" s="161">
        <f t="shared" si="227"/>
        <v>0</v>
      </c>
      <c r="DW169" s="161">
        <f t="shared" si="228"/>
        <v>0</v>
      </c>
      <c r="DX169" s="161">
        <f t="shared" si="229"/>
        <v>0</v>
      </c>
      <c r="DY169" s="161">
        <f t="shared" si="230"/>
        <v>0</v>
      </c>
      <c r="DZ169" s="161">
        <f t="shared" si="231"/>
        <v>0</v>
      </c>
      <c r="EA169" s="161">
        <f t="shared" si="232"/>
        <v>0</v>
      </c>
      <c r="EB169" s="161">
        <f t="shared" si="233"/>
        <v>0</v>
      </c>
      <c r="EC169" s="161">
        <f t="shared" si="234"/>
        <v>0</v>
      </c>
      <c r="ED169" s="161">
        <f t="shared" si="235"/>
        <v>0</v>
      </c>
      <c r="EE169" s="161">
        <f t="shared" si="236"/>
        <v>0</v>
      </c>
      <c r="EF169" s="161">
        <f t="shared" si="237"/>
        <v>0</v>
      </c>
      <c r="EG169" s="161">
        <f t="shared" si="238"/>
        <v>0</v>
      </c>
      <c r="EH169" s="161">
        <f t="shared" si="239"/>
        <v>0</v>
      </c>
      <c r="EI169" s="161">
        <f t="shared" si="240"/>
        <v>0</v>
      </c>
      <c r="EJ169" s="161">
        <f t="shared" si="241"/>
        <v>0</v>
      </c>
      <c r="EK169" s="147">
        <f t="shared" si="173"/>
        <v>0</v>
      </c>
      <c r="EL169" s="149"/>
      <c r="EN169" s="146"/>
      <c r="EO169" s="146"/>
      <c r="EP169" s="139">
        <f t="shared" si="174"/>
        <v>0</v>
      </c>
      <c r="EQ169" s="139">
        <f t="shared" si="175"/>
        <v>0</v>
      </c>
      <c r="ER169" s="139">
        <f t="shared" si="176"/>
        <v>0</v>
      </c>
      <c r="ES169" s="139">
        <f t="shared" si="177"/>
        <v>0</v>
      </c>
      <c r="ET169" s="139">
        <f t="shared" si="178"/>
        <v>0</v>
      </c>
      <c r="EU169" s="139">
        <f t="shared" si="179"/>
        <v>0</v>
      </c>
      <c r="EV169" s="139">
        <f t="shared" si="180"/>
        <v>0</v>
      </c>
      <c r="EW169" s="139">
        <f t="shared" si="181"/>
        <v>0</v>
      </c>
      <c r="EX169" s="139">
        <f t="shared" si="182"/>
        <v>0</v>
      </c>
      <c r="EY169" s="139">
        <f t="shared" si="183"/>
        <v>0</v>
      </c>
      <c r="EZ169" s="139">
        <f t="shared" si="184"/>
        <v>0</v>
      </c>
      <c r="FA169" s="139">
        <f t="shared" si="185"/>
        <v>0</v>
      </c>
      <c r="FB169" s="139">
        <f t="shared" si="186"/>
        <v>0</v>
      </c>
      <c r="FC169" s="139">
        <f t="shared" si="187"/>
        <v>0</v>
      </c>
      <c r="FD169" s="139">
        <f t="shared" si="188"/>
        <v>0</v>
      </c>
      <c r="FE169" s="139">
        <f t="shared" si="189"/>
        <v>0</v>
      </c>
      <c r="FF169" s="139">
        <f t="shared" si="190"/>
        <v>0</v>
      </c>
      <c r="FG169" s="139">
        <f t="shared" si="191"/>
        <v>0</v>
      </c>
      <c r="FH169" s="139">
        <f t="shared" si="192"/>
        <v>0</v>
      </c>
      <c r="FI169" s="139">
        <f t="shared" si="193"/>
        <v>0</v>
      </c>
      <c r="FJ169" s="139">
        <f t="shared" si="194"/>
        <v>0</v>
      </c>
      <c r="FK169" s="139">
        <f t="shared" si="195"/>
        <v>0</v>
      </c>
      <c r="FL169" s="139">
        <f t="shared" si="196"/>
        <v>0</v>
      </c>
      <c r="FM169" s="139">
        <f t="shared" si="197"/>
        <v>0</v>
      </c>
      <c r="FN169" s="139">
        <f t="shared" si="198"/>
        <v>0</v>
      </c>
      <c r="FO169" s="139">
        <f t="shared" si="199"/>
        <v>0</v>
      </c>
      <c r="FP169" s="139">
        <f t="shared" si="200"/>
        <v>0</v>
      </c>
      <c r="FQ169" s="139">
        <f t="shared" si="201"/>
        <v>0</v>
      </c>
      <c r="FR169" s="139">
        <f t="shared" si="202"/>
        <v>0</v>
      </c>
      <c r="FS169" s="139">
        <f t="shared" si="203"/>
        <v>0</v>
      </c>
      <c r="FT169" s="139">
        <f t="shared" si="204"/>
        <v>0</v>
      </c>
      <c r="FU169" s="148">
        <f t="shared" si="205"/>
        <v>0</v>
      </c>
      <c r="FV169" s="149"/>
      <c r="FY169" s="213">
        <v>164</v>
      </c>
      <c r="FZ169">
        <v>29.706632210315565</v>
      </c>
      <c r="GA169">
        <v>33.779137111056066</v>
      </c>
      <c r="GB169">
        <v>7.6179239151387987</v>
      </c>
      <c r="GC169">
        <v>5.8129132209052088</v>
      </c>
      <c r="GD169">
        <v>2.5085490955447662</v>
      </c>
      <c r="GE169">
        <v>2.3199812223612932</v>
      </c>
      <c r="GF169">
        <v>2.1238203165870657</v>
      </c>
      <c r="GG169">
        <v>4.1860631272017583</v>
      </c>
      <c r="GH169">
        <v>3.1207386232207117</v>
      </c>
      <c r="GI169">
        <v>8.6969931752869112</v>
      </c>
      <c r="GJ169"/>
      <c r="GK169"/>
      <c r="GL169"/>
      <c r="GM169"/>
      <c r="GN169" s="208"/>
      <c r="GO169" s="208"/>
      <c r="GP169" s="208"/>
      <c r="GQ169" s="208"/>
      <c r="GR169" s="208"/>
      <c r="GS169" s="208"/>
      <c r="GT169" s="208"/>
      <c r="GU169" s="213">
        <v>164</v>
      </c>
    </row>
    <row r="170" spans="1:203" s="7" customFormat="1">
      <c r="A170" s="1"/>
      <c r="B170" s="76">
        <f ca="1">IF(C170="", "", RAND())</f>
        <v>0.20414302994984102</v>
      </c>
      <c r="C170">
        <v>1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86.718563258636777</v>
      </c>
      <c r="AO170">
        <v>12.749963182828253</v>
      </c>
      <c r="AP170">
        <v>77.058577309521851</v>
      </c>
      <c r="AQ170">
        <v>87.477556206151135</v>
      </c>
      <c r="AR170">
        <v>12.019301816675117</v>
      </c>
      <c r="AS170">
        <v>150.76887246797102</v>
      </c>
      <c r="AT170">
        <v>7.3089237372715878</v>
      </c>
      <c r="AU170">
        <v>17.076611977193142</v>
      </c>
      <c r="AV170"/>
      <c r="AW170"/>
      <c r="AX170" s="146"/>
      <c r="AY170" s="76">
        <f t="shared" ca="1" si="171"/>
        <v>0.44817950647858229</v>
      </c>
      <c r="AZ170">
        <v>3</v>
      </c>
      <c r="BA170" s="129">
        <f t="shared" si="245"/>
        <v>39949</v>
      </c>
      <c r="BB170" s="207">
        <v>0</v>
      </c>
      <c r="BC170" s="207">
        <v>0</v>
      </c>
      <c r="BD170" s="207">
        <v>0</v>
      </c>
      <c r="BE170" s="207">
        <v>0</v>
      </c>
      <c r="BF170" s="207">
        <v>1</v>
      </c>
      <c r="BG170" s="207">
        <v>0</v>
      </c>
      <c r="BH170" s="207">
        <v>3</v>
      </c>
      <c r="BI170" s="207">
        <v>0</v>
      </c>
      <c r="BJ170" s="207">
        <v>0</v>
      </c>
      <c r="BK170" s="207">
        <v>0</v>
      </c>
      <c r="BL170" s="207">
        <v>0</v>
      </c>
      <c r="BM170" s="207">
        <v>0</v>
      </c>
      <c r="BN170" s="207">
        <v>0</v>
      </c>
      <c r="BO170" s="207">
        <v>0</v>
      </c>
      <c r="BP170" s="207">
        <v>0</v>
      </c>
      <c r="BQ170" s="207">
        <v>0</v>
      </c>
      <c r="BR170" s="207">
        <v>0</v>
      </c>
      <c r="BS170" s="207">
        <v>0</v>
      </c>
      <c r="BT170" s="207">
        <v>0</v>
      </c>
      <c r="BU170" s="207">
        <v>0</v>
      </c>
      <c r="BV170" s="207">
        <v>0</v>
      </c>
      <c r="BW170" s="207">
        <v>0</v>
      </c>
      <c r="BX170" s="207">
        <v>0</v>
      </c>
      <c r="BY170" s="207">
        <v>0</v>
      </c>
      <c r="BZ170" s="207">
        <v>0</v>
      </c>
      <c r="CA170" s="207">
        <v>0</v>
      </c>
      <c r="CB170" s="207">
        <v>0</v>
      </c>
      <c r="CC170" s="207">
        <v>0</v>
      </c>
      <c r="CD170" s="207">
        <v>0</v>
      </c>
      <c r="CE170" s="207">
        <v>0</v>
      </c>
      <c r="CF170" s="207"/>
      <c r="CG170" s="147"/>
      <c r="CH170" s="176"/>
      <c r="CJ170" s="146"/>
      <c r="CK170" s="76">
        <f t="shared" ca="1" si="206"/>
        <v>4.7443247014147261E-2</v>
      </c>
      <c r="CL170" s="179">
        <f t="shared" si="207"/>
        <v>3</v>
      </c>
      <c r="CM170" s="180">
        <f t="shared" si="208"/>
        <v>39949</v>
      </c>
      <c r="CN170" s="208">
        <v>0</v>
      </c>
      <c r="CO170" s="208">
        <v>0</v>
      </c>
      <c r="CP170" s="208">
        <v>1</v>
      </c>
      <c r="CQ170" s="208">
        <v>0</v>
      </c>
      <c r="CR170" s="208">
        <v>0</v>
      </c>
      <c r="CS170" s="208">
        <v>0</v>
      </c>
      <c r="CT170" s="208">
        <v>0</v>
      </c>
      <c r="CU170" s="208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9"/>
        <v>9.6000000000000002E-2</v>
      </c>
      <c r="DB170" s="146"/>
      <c r="DC170" s="76">
        <f t="shared" ca="1" si="172"/>
        <v>0.87290921190375159</v>
      </c>
      <c r="DD170">
        <f t="shared" si="210"/>
        <v>3</v>
      </c>
      <c r="DE170" s="129">
        <f t="shared" si="244"/>
        <v>39949</v>
      </c>
      <c r="DF170" s="161">
        <f t="shared" si="211"/>
        <v>0</v>
      </c>
      <c r="DG170" s="161">
        <f t="shared" si="212"/>
        <v>0</v>
      </c>
      <c r="DH170" s="161">
        <f t="shared" si="213"/>
        <v>81.018518518518519</v>
      </c>
      <c r="DI170" s="161">
        <f t="shared" si="214"/>
        <v>0</v>
      </c>
      <c r="DJ170" s="161">
        <f t="shared" si="215"/>
        <v>10.416666666666666</v>
      </c>
      <c r="DK170" s="161">
        <f t="shared" si="216"/>
        <v>0</v>
      </c>
      <c r="DL170" s="161">
        <f t="shared" si="217"/>
        <v>31.25</v>
      </c>
      <c r="DM170" s="161">
        <f t="shared" si="218"/>
        <v>0</v>
      </c>
      <c r="DN170" s="161">
        <f t="shared" si="219"/>
        <v>0</v>
      </c>
      <c r="DO170" s="161">
        <f t="shared" si="220"/>
        <v>0</v>
      </c>
      <c r="DP170" s="161">
        <f t="shared" si="221"/>
        <v>0</v>
      </c>
      <c r="DQ170" s="161">
        <f t="shared" si="222"/>
        <v>0</v>
      </c>
      <c r="DR170" s="161">
        <f t="shared" si="223"/>
        <v>0</v>
      </c>
      <c r="DS170" s="161">
        <f t="shared" si="224"/>
        <v>0</v>
      </c>
      <c r="DT170" s="161">
        <f t="shared" si="225"/>
        <v>0</v>
      </c>
      <c r="DU170" s="161">
        <f t="shared" si="226"/>
        <v>0</v>
      </c>
      <c r="DV170" s="161">
        <f t="shared" si="227"/>
        <v>0</v>
      </c>
      <c r="DW170" s="161">
        <f t="shared" si="228"/>
        <v>0</v>
      </c>
      <c r="DX170" s="161">
        <f t="shared" si="229"/>
        <v>0</v>
      </c>
      <c r="DY170" s="161">
        <f t="shared" si="230"/>
        <v>0</v>
      </c>
      <c r="DZ170" s="161">
        <f t="shared" si="231"/>
        <v>0</v>
      </c>
      <c r="EA170" s="161">
        <f t="shared" si="232"/>
        <v>0</v>
      </c>
      <c r="EB170" s="161">
        <f t="shared" si="233"/>
        <v>0</v>
      </c>
      <c r="EC170" s="161">
        <f t="shared" si="234"/>
        <v>0</v>
      </c>
      <c r="ED170" s="161">
        <f t="shared" si="235"/>
        <v>0</v>
      </c>
      <c r="EE170" s="161">
        <f t="shared" si="236"/>
        <v>0</v>
      </c>
      <c r="EF170" s="161">
        <f t="shared" si="237"/>
        <v>0</v>
      </c>
      <c r="EG170" s="161">
        <f t="shared" si="238"/>
        <v>0</v>
      </c>
      <c r="EH170" s="161">
        <f t="shared" si="239"/>
        <v>0</v>
      </c>
      <c r="EI170" s="161">
        <f t="shared" si="240"/>
        <v>0</v>
      </c>
      <c r="EJ170" s="161">
        <f t="shared" si="241"/>
        <v>0</v>
      </c>
      <c r="EK170" s="147">
        <f t="shared" si="173"/>
        <v>122.68518518518519</v>
      </c>
      <c r="EL170" s="149"/>
      <c r="EN170" s="146"/>
      <c r="EO170" s="146"/>
      <c r="EP170" s="139">
        <f t="shared" si="174"/>
        <v>0</v>
      </c>
      <c r="EQ170" s="139">
        <f t="shared" si="175"/>
        <v>0</v>
      </c>
      <c r="ER170" s="139">
        <f t="shared" si="176"/>
        <v>3.7813782780217098</v>
      </c>
      <c r="ES170" s="139">
        <f t="shared" si="177"/>
        <v>0</v>
      </c>
      <c r="ET170" s="139">
        <f t="shared" si="178"/>
        <v>3.1395421122460458</v>
      </c>
      <c r="EU170" s="139">
        <f t="shared" si="179"/>
        <v>0</v>
      </c>
      <c r="EV170" s="139">
        <f t="shared" si="180"/>
        <v>28.0445932603748</v>
      </c>
      <c r="EW170" s="139">
        <f t="shared" si="181"/>
        <v>0</v>
      </c>
      <c r="EX170" s="139">
        <f t="shared" si="182"/>
        <v>0</v>
      </c>
      <c r="EY170" s="139">
        <f t="shared" si="183"/>
        <v>0</v>
      </c>
      <c r="EZ170" s="139">
        <f t="shared" si="184"/>
        <v>0</v>
      </c>
      <c r="FA170" s="139">
        <f t="shared" si="185"/>
        <v>0</v>
      </c>
      <c r="FB170" s="139">
        <f t="shared" si="186"/>
        <v>0</v>
      </c>
      <c r="FC170" s="139">
        <f t="shared" si="187"/>
        <v>0</v>
      </c>
      <c r="FD170" s="139">
        <f t="shared" si="188"/>
        <v>0</v>
      </c>
      <c r="FE170" s="139">
        <f t="shared" si="189"/>
        <v>0</v>
      </c>
      <c r="FF170" s="139">
        <f t="shared" si="190"/>
        <v>0</v>
      </c>
      <c r="FG170" s="139">
        <f t="shared" si="191"/>
        <v>0</v>
      </c>
      <c r="FH170" s="139">
        <f t="shared" si="192"/>
        <v>0</v>
      </c>
      <c r="FI170" s="139">
        <f t="shared" si="193"/>
        <v>0</v>
      </c>
      <c r="FJ170" s="139">
        <f t="shared" si="194"/>
        <v>0</v>
      </c>
      <c r="FK170" s="139">
        <f t="shared" si="195"/>
        <v>0</v>
      </c>
      <c r="FL170" s="139">
        <f t="shared" si="196"/>
        <v>0</v>
      </c>
      <c r="FM170" s="139">
        <f t="shared" si="197"/>
        <v>0</v>
      </c>
      <c r="FN170" s="139">
        <f t="shared" si="198"/>
        <v>0</v>
      </c>
      <c r="FO170" s="139">
        <f t="shared" si="199"/>
        <v>0</v>
      </c>
      <c r="FP170" s="139">
        <f t="shared" si="200"/>
        <v>0</v>
      </c>
      <c r="FQ170" s="139">
        <f t="shared" si="201"/>
        <v>0</v>
      </c>
      <c r="FR170" s="139">
        <f t="shared" si="202"/>
        <v>0</v>
      </c>
      <c r="FS170" s="139">
        <f t="shared" si="203"/>
        <v>0</v>
      </c>
      <c r="FT170" s="139">
        <f t="shared" si="204"/>
        <v>0</v>
      </c>
      <c r="FU170" s="148">
        <f t="shared" si="205"/>
        <v>34.965513650642556</v>
      </c>
      <c r="FV170" s="149"/>
      <c r="FY170" s="213">
        <v>165</v>
      </c>
      <c r="FZ170">
        <v>22.532151649848743</v>
      </c>
      <c r="GA170">
        <v>31.3229200747909</v>
      </c>
      <c r="GB170">
        <v>9.3809872906464165</v>
      </c>
      <c r="GC170">
        <v>4.6710281285909474</v>
      </c>
      <c r="GD170">
        <v>2.126099736336267</v>
      </c>
      <c r="GE170">
        <v>2.8517369679757429</v>
      </c>
      <c r="GF170">
        <v>2.5228870710018532</v>
      </c>
      <c r="GG170">
        <v>3.0482954020177795</v>
      </c>
      <c r="GH170">
        <v>1.5603693116103559</v>
      </c>
      <c r="GI170">
        <v>7.615462955691223</v>
      </c>
      <c r="GJ170"/>
      <c r="GK170"/>
      <c r="GL170"/>
      <c r="GM170"/>
      <c r="GN170" s="208"/>
      <c r="GO170" s="208"/>
      <c r="GP170" s="208"/>
      <c r="GQ170" s="208"/>
      <c r="GR170" s="208"/>
      <c r="GS170" s="208"/>
      <c r="GT170" s="208"/>
      <c r="GU170" s="213">
        <v>165</v>
      </c>
    </row>
    <row r="171" spans="1:203" s="7" customFormat="1">
      <c r="A171" s="1"/>
      <c r="B171" s="76">
        <f ca="1">IF(C171="", "", RAND())</f>
        <v>0.68450420018398273</v>
      </c>
      <c r="C171">
        <v>10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107.80608655228964</v>
      </c>
      <c r="AO171">
        <v>16.948080052670221</v>
      </c>
      <c r="AP171">
        <v>84.770190747947865</v>
      </c>
      <c r="AQ171">
        <v>135.7365582709275</v>
      </c>
      <c r="AR171">
        <v>15.579669716994738</v>
      </c>
      <c r="AS171">
        <v>189.05600093013487</v>
      </c>
      <c r="AT171">
        <v>10.356771353457228</v>
      </c>
      <c r="AU171">
        <v>19.621998334018702</v>
      </c>
      <c r="AV171"/>
      <c r="AW171"/>
      <c r="AX171" s="146"/>
      <c r="AY171" s="76">
        <f t="shared" ca="1" si="171"/>
        <v>0.33978131823656543</v>
      </c>
      <c r="AZ171">
        <v>4</v>
      </c>
      <c r="BA171" s="129">
        <f t="shared" si="245"/>
        <v>39949</v>
      </c>
      <c r="BB171" s="207">
        <v>0</v>
      </c>
      <c r="BC171" s="207">
        <v>0</v>
      </c>
      <c r="BD171" s="207">
        <v>0</v>
      </c>
      <c r="BE171" s="207">
        <v>0</v>
      </c>
      <c r="BF171" s="207">
        <v>0</v>
      </c>
      <c r="BG171" s="207">
        <v>0</v>
      </c>
      <c r="BH171" s="207">
        <v>0</v>
      </c>
      <c r="BI171" s="207">
        <v>0</v>
      </c>
      <c r="BJ171" s="207">
        <v>0</v>
      </c>
      <c r="BK171" s="207">
        <v>0</v>
      </c>
      <c r="BL171" s="207">
        <v>0</v>
      </c>
      <c r="BM171" s="207">
        <v>0</v>
      </c>
      <c r="BN171" s="207">
        <v>0</v>
      </c>
      <c r="BO171" s="207">
        <v>0</v>
      </c>
      <c r="BP171" s="207">
        <v>0</v>
      </c>
      <c r="BQ171" s="207">
        <v>0</v>
      </c>
      <c r="BR171" s="207">
        <v>0</v>
      </c>
      <c r="BS171" s="207">
        <v>0</v>
      </c>
      <c r="BT171" s="207">
        <v>0</v>
      </c>
      <c r="BU171" s="207">
        <v>0</v>
      </c>
      <c r="BV171" s="207">
        <v>0</v>
      </c>
      <c r="BW171" s="207">
        <v>0</v>
      </c>
      <c r="BX171" s="207">
        <v>0</v>
      </c>
      <c r="BY171" s="207">
        <v>0</v>
      </c>
      <c r="BZ171" s="207">
        <v>0</v>
      </c>
      <c r="CA171" s="207">
        <v>0</v>
      </c>
      <c r="CB171" s="207">
        <v>0</v>
      </c>
      <c r="CC171" s="207">
        <v>0</v>
      </c>
      <c r="CD171" s="207">
        <v>0</v>
      </c>
      <c r="CE171" s="207">
        <v>0</v>
      </c>
      <c r="CF171" s="207"/>
      <c r="CG171" s="147"/>
      <c r="CH171" s="176"/>
      <c r="CJ171" s="146"/>
      <c r="CK171" s="76">
        <f t="shared" ca="1" si="206"/>
        <v>0.54164551346653322</v>
      </c>
      <c r="CL171" s="179">
        <f t="shared" si="207"/>
        <v>4</v>
      </c>
      <c r="CM171" s="180">
        <f t="shared" si="208"/>
        <v>39949</v>
      </c>
      <c r="CN171" s="208">
        <v>0</v>
      </c>
      <c r="CO171" s="208">
        <v>0</v>
      </c>
      <c r="CP171" s="208">
        <v>0</v>
      </c>
      <c r="CQ171" s="208">
        <v>0</v>
      </c>
      <c r="CR171" s="208">
        <v>0</v>
      </c>
      <c r="CS171" s="208">
        <v>0</v>
      </c>
      <c r="CT171" s="208">
        <v>0</v>
      </c>
      <c r="CU171" s="208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9"/>
        <v>9.6000000000000002E-2</v>
      </c>
      <c r="DB171" s="146"/>
      <c r="DC171" s="76">
        <f t="shared" ca="1" si="172"/>
        <v>0.31606358331824858</v>
      </c>
      <c r="DD171">
        <f t="shared" si="210"/>
        <v>4</v>
      </c>
      <c r="DE171" s="129">
        <f t="shared" si="244"/>
        <v>39949</v>
      </c>
      <c r="DF171" s="161">
        <f t="shared" si="211"/>
        <v>0</v>
      </c>
      <c r="DG171" s="161">
        <f t="shared" si="212"/>
        <v>0</v>
      </c>
      <c r="DH171" s="161">
        <f t="shared" si="213"/>
        <v>0</v>
      </c>
      <c r="DI171" s="161">
        <f t="shared" si="214"/>
        <v>0</v>
      </c>
      <c r="DJ171" s="161">
        <f t="shared" si="215"/>
        <v>0</v>
      </c>
      <c r="DK171" s="161">
        <f t="shared" si="216"/>
        <v>0</v>
      </c>
      <c r="DL171" s="161">
        <f t="shared" si="217"/>
        <v>0</v>
      </c>
      <c r="DM171" s="161">
        <f t="shared" si="218"/>
        <v>0</v>
      </c>
      <c r="DN171" s="161">
        <f t="shared" si="219"/>
        <v>0</v>
      </c>
      <c r="DO171" s="161">
        <f t="shared" si="220"/>
        <v>0</v>
      </c>
      <c r="DP171" s="161">
        <f t="shared" si="221"/>
        <v>0</v>
      </c>
      <c r="DQ171" s="161">
        <f t="shared" si="222"/>
        <v>0</v>
      </c>
      <c r="DR171" s="161">
        <f t="shared" si="223"/>
        <v>0</v>
      </c>
      <c r="DS171" s="161">
        <f t="shared" si="224"/>
        <v>0</v>
      </c>
      <c r="DT171" s="161">
        <f t="shared" si="225"/>
        <v>0</v>
      </c>
      <c r="DU171" s="161">
        <f t="shared" si="226"/>
        <v>0</v>
      </c>
      <c r="DV171" s="161">
        <f t="shared" si="227"/>
        <v>0</v>
      </c>
      <c r="DW171" s="161">
        <f t="shared" si="228"/>
        <v>0</v>
      </c>
      <c r="DX171" s="161">
        <f t="shared" si="229"/>
        <v>0</v>
      </c>
      <c r="DY171" s="161">
        <f t="shared" si="230"/>
        <v>0</v>
      </c>
      <c r="DZ171" s="161">
        <f t="shared" si="231"/>
        <v>0</v>
      </c>
      <c r="EA171" s="161">
        <f t="shared" si="232"/>
        <v>0</v>
      </c>
      <c r="EB171" s="161">
        <f t="shared" si="233"/>
        <v>0</v>
      </c>
      <c r="EC171" s="161">
        <f t="shared" si="234"/>
        <v>0</v>
      </c>
      <c r="ED171" s="161">
        <f t="shared" si="235"/>
        <v>0</v>
      </c>
      <c r="EE171" s="161">
        <f t="shared" si="236"/>
        <v>0</v>
      </c>
      <c r="EF171" s="161">
        <f t="shared" si="237"/>
        <v>0</v>
      </c>
      <c r="EG171" s="161">
        <f t="shared" si="238"/>
        <v>0</v>
      </c>
      <c r="EH171" s="161">
        <f t="shared" si="239"/>
        <v>0</v>
      </c>
      <c r="EI171" s="161">
        <f t="shared" si="240"/>
        <v>0</v>
      </c>
      <c r="EJ171" s="161">
        <f t="shared" si="241"/>
        <v>0</v>
      </c>
      <c r="EK171" s="147">
        <f t="shared" si="173"/>
        <v>0</v>
      </c>
      <c r="EL171" s="149"/>
      <c r="EN171" s="146"/>
      <c r="EO171" s="146"/>
      <c r="EP171" s="139">
        <f t="shared" si="174"/>
        <v>0</v>
      </c>
      <c r="EQ171" s="139">
        <f t="shared" si="175"/>
        <v>0</v>
      </c>
      <c r="ER171" s="139">
        <f t="shared" si="176"/>
        <v>0</v>
      </c>
      <c r="ES171" s="139">
        <f t="shared" si="177"/>
        <v>0</v>
      </c>
      <c r="ET171" s="139">
        <f t="shared" si="178"/>
        <v>0</v>
      </c>
      <c r="EU171" s="139">
        <f t="shared" si="179"/>
        <v>0</v>
      </c>
      <c r="EV171" s="139">
        <f t="shared" si="180"/>
        <v>0</v>
      </c>
      <c r="EW171" s="139">
        <f t="shared" si="181"/>
        <v>0</v>
      </c>
      <c r="EX171" s="139">
        <f t="shared" si="182"/>
        <v>0</v>
      </c>
      <c r="EY171" s="139">
        <f t="shared" si="183"/>
        <v>0</v>
      </c>
      <c r="EZ171" s="139">
        <f t="shared" si="184"/>
        <v>0</v>
      </c>
      <c r="FA171" s="139">
        <f t="shared" si="185"/>
        <v>0</v>
      </c>
      <c r="FB171" s="139">
        <f t="shared" si="186"/>
        <v>0</v>
      </c>
      <c r="FC171" s="139">
        <f t="shared" si="187"/>
        <v>0</v>
      </c>
      <c r="FD171" s="139">
        <f t="shared" si="188"/>
        <v>0</v>
      </c>
      <c r="FE171" s="139">
        <f t="shared" si="189"/>
        <v>0</v>
      </c>
      <c r="FF171" s="139">
        <f t="shared" si="190"/>
        <v>0</v>
      </c>
      <c r="FG171" s="139">
        <f t="shared" si="191"/>
        <v>0</v>
      </c>
      <c r="FH171" s="139">
        <f t="shared" si="192"/>
        <v>0</v>
      </c>
      <c r="FI171" s="139">
        <f t="shared" si="193"/>
        <v>0</v>
      </c>
      <c r="FJ171" s="139">
        <f t="shared" si="194"/>
        <v>0</v>
      </c>
      <c r="FK171" s="139">
        <f t="shared" si="195"/>
        <v>0</v>
      </c>
      <c r="FL171" s="139">
        <f t="shared" si="196"/>
        <v>0</v>
      </c>
      <c r="FM171" s="139">
        <f t="shared" si="197"/>
        <v>0</v>
      </c>
      <c r="FN171" s="139">
        <f t="shared" si="198"/>
        <v>0</v>
      </c>
      <c r="FO171" s="139">
        <f t="shared" si="199"/>
        <v>0</v>
      </c>
      <c r="FP171" s="139">
        <f t="shared" si="200"/>
        <v>0</v>
      </c>
      <c r="FQ171" s="139">
        <f t="shared" si="201"/>
        <v>0</v>
      </c>
      <c r="FR171" s="139">
        <f t="shared" si="202"/>
        <v>0</v>
      </c>
      <c r="FS171" s="139">
        <f t="shared" si="203"/>
        <v>0</v>
      </c>
      <c r="FT171" s="139">
        <f t="shared" si="204"/>
        <v>0</v>
      </c>
      <c r="FU171" s="148">
        <f t="shared" si="205"/>
        <v>0</v>
      </c>
      <c r="FV171" s="149"/>
      <c r="FY171" s="213">
        <v>166</v>
      </c>
      <c r="FZ171">
        <v>36.941566182074745</v>
      </c>
      <c r="GA171">
        <v>47.759813265677508</v>
      </c>
      <c r="GB171">
        <v>5.7367158809909444</v>
      </c>
      <c r="GC171">
        <v>2.866895567905364</v>
      </c>
      <c r="GD171">
        <v>2.3387691177618972</v>
      </c>
      <c r="GE171">
        <v>3.1218020928696979</v>
      </c>
      <c r="GF171">
        <v>3.1560473903238124</v>
      </c>
      <c r="GG171">
        <v>2.2333855562977378</v>
      </c>
      <c r="GH171">
        <v>0</v>
      </c>
      <c r="GI171">
        <v>8.8520319113106272</v>
      </c>
      <c r="GJ171"/>
      <c r="GK171"/>
      <c r="GL171"/>
      <c r="GM171"/>
      <c r="GN171" s="208"/>
      <c r="GO171" s="208"/>
      <c r="GP171" s="208"/>
      <c r="GQ171" s="208"/>
      <c r="GR171" s="208"/>
      <c r="GS171" s="208"/>
      <c r="GT171" s="208"/>
      <c r="GU171" s="213">
        <v>166</v>
      </c>
    </row>
    <row r="172" spans="1:203" s="7" customFormat="1">
      <c r="A172" s="1"/>
      <c r="B172" s="76">
        <f ca="1">IF(C172="", "", RAND())</f>
        <v>0.59644811890716798</v>
      </c>
      <c r="C172">
        <v>3</v>
      </c>
      <c r="D172">
        <v>39949</v>
      </c>
      <c r="E172">
        <v>0</v>
      </c>
      <c r="F172">
        <v>0</v>
      </c>
      <c r="G172">
        <v>81.018518518518519</v>
      </c>
      <c r="H172">
        <v>0</v>
      </c>
      <c r="I172">
        <v>10.416666666666666</v>
      </c>
      <c r="J172">
        <v>0</v>
      </c>
      <c r="K172">
        <v>31.25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68.852627621561439</v>
      </c>
      <c r="AO172">
        <v>11.380793866661318</v>
      </c>
      <c r="AP172">
        <v>151.38278597212977</v>
      </c>
      <c r="AQ172">
        <v>91.329457141137695</v>
      </c>
      <c r="AR172">
        <v>10.529549938967875</v>
      </c>
      <c r="AS172">
        <v>138.65429749135424</v>
      </c>
      <c r="AT172" t="e">
        <v>#DIV/0!</v>
      </c>
      <c r="AU172" t="e">
        <v>#DIV/0!</v>
      </c>
      <c r="AV172"/>
      <c r="AW172"/>
      <c r="AX172" s="146"/>
      <c r="AY172" s="76">
        <f t="shared" ca="1" si="171"/>
        <v>0.22836723198303699</v>
      </c>
      <c r="AZ172">
        <v>5</v>
      </c>
      <c r="BA172" s="129">
        <f t="shared" si="245"/>
        <v>39949</v>
      </c>
      <c r="BB172" s="207">
        <v>0</v>
      </c>
      <c r="BC172" s="207">
        <v>0</v>
      </c>
      <c r="BD172" s="207">
        <v>0</v>
      </c>
      <c r="BE172" s="207">
        <v>0</v>
      </c>
      <c r="BF172" s="207">
        <v>0</v>
      </c>
      <c r="BG172" s="207">
        <v>0</v>
      </c>
      <c r="BH172" s="207">
        <v>0</v>
      </c>
      <c r="BI172" s="207">
        <v>0</v>
      </c>
      <c r="BJ172" s="207">
        <v>0</v>
      </c>
      <c r="BK172" s="207">
        <v>0</v>
      </c>
      <c r="BL172" s="207">
        <v>0</v>
      </c>
      <c r="BM172" s="207">
        <v>0</v>
      </c>
      <c r="BN172" s="207">
        <v>0</v>
      </c>
      <c r="BO172" s="207">
        <v>0</v>
      </c>
      <c r="BP172" s="207">
        <v>0</v>
      </c>
      <c r="BQ172" s="207">
        <v>0</v>
      </c>
      <c r="BR172" s="207">
        <v>0</v>
      </c>
      <c r="BS172" s="207">
        <v>0</v>
      </c>
      <c r="BT172" s="207">
        <v>0</v>
      </c>
      <c r="BU172" s="207">
        <v>0</v>
      </c>
      <c r="BV172" s="207">
        <v>0</v>
      </c>
      <c r="BW172" s="207">
        <v>0</v>
      </c>
      <c r="BX172" s="207">
        <v>0</v>
      </c>
      <c r="BY172" s="207">
        <v>0</v>
      </c>
      <c r="BZ172" s="207">
        <v>0</v>
      </c>
      <c r="CA172" s="207">
        <v>0</v>
      </c>
      <c r="CB172" s="207">
        <v>0</v>
      </c>
      <c r="CC172" s="207">
        <v>0</v>
      </c>
      <c r="CD172" s="207">
        <v>0</v>
      </c>
      <c r="CE172" s="207">
        <v>0</v>
      </c>
      <c r="CF172" s="207"/>
      <c r="CG172" s="147"/>
      <c r="CH172" s="176"/>
      <c r="CJ172" s="146"/>
      <c r="CK172" s="76">
        <f t="shared" ca="1" si="206"/>
        <v>0.32194304033274079</v>
      </c>
      <c r="CL172" s="179">
        <f t="shared" si="207"/>
        <v>5</v>
      </c>
      <c r="CM172" s="180">
        <f t="shared" si="208"/>
        <v>39949</v>
      </c>
      <c r="CN172" s="208">
        <v>0</v>
      </c>
      <c r="CO172" s="208">
        <v>0</v>
      </c>
      <c r="CP172" s="208">
        <v>0</v>
      </c>
      <c r="CQ172" s="208">
        <v>0</v>
      </c>
      <c r="CR172" s="208">
        <v>0</v>
      </c>
      <c r="CS172" s="208">
        <v>0</v>
      </c>
      <c r="CT172" s="208">
        <v>0</v>
      </c>
      <c r="CU172" s="208">
        <v>0</v>
      </c>
      <c r="CV172" s="160"/>
      <c r="CW172">
        <v>1</v>
      </c>
      <c r="CX172">
        <v>1</v>
      </c>
      <c r="CY172" s="160"/>
      <c r="CZ172" s="177">
        <f t="shared" si="209"/>
        <v>9.6000000000000002E-2</v>
      </c>
      <c r="DB172" s="146"/>
      <c r="DC172" s="76">
        <f t="shared" ca="1" si="172"/>
        <v>0.97547313016744219</v>
      </c>
      <c r="DD172">
        <f t="shared" si="210"/>
        <v>5</v>
      </c>
      <c r="DE172" s="129">
        <f t="shared" si="244"/>
        <v>39949</v>
      </c>
      <c r="DF172" s="161">
        <f t="shared" si="211"/>
        <v>0</v>
      </c>
      <c r="DG172" s="161">
        <f t="shared" si="212"/>
        <v>0</v>
      </c>
      <c r="DH172" s="161">
        <f t="shared" si="213"/>
        <v>0</v>
      </c>
      <c r="DI172" s="161">
        <f t="shared" si="214"/>
        <v>0</v>
      </c>
      <c r="DJ172" s="161">
        <f t="shared" si="215"/>
        <v>0</v>
      </c>
      <c r="DK172" s="161">
        <f t="shared" si="216"/>
        <v>0</v>
      </c>
      <c r="DL172" s="161">
        <f t="shared" si="217"/>
        <v>0</v>
      </c>
      <c r="DM172" s="161">
        <f t="shared" si="218"/>
        <v>0</v>
      </c>
      <c r="DN172" s="161">
        <f t="shared" si="219"/>
        <v>0</v>
      </c>
      <c r="DO172" s="161">
        <f t="shared" si="220"/>
        <v>0</v>
      </c>
      <c r="DP172" s="161">
        <f t="shared" si="221"/>
        <v>0</v>
      </c>
      <c r="DQ172" s="161">
        <f t="shared" si="222"/>
        <v>0</v>
      </c>
      <c r="DR172" s="161">
        <f t="shared" si="223"/>
        <v>0</v>
      </c>
      <c r="DS172" s="161">
        <f t="shared" si="224"/>
        <v>0</v>
      </c>
      <c r="DT172" s="161">
        <f t="shared" si="225"/>
        <v>0</v>
      </c>
      <c r="DU172" s="161">
        <f t="shared" si="226"/>
        <v>0</v>
      </c>
      <c r="DV172" s="161">
        <f t="shared" si="227"/>
        <v>0</v>
      </c>
      <c r="DW172" s="161">
        <f t="shared" si="228"/>
        <v>0</v>
      </c>
      <c r="DX172" s="161">
        <f t="shared" si="229"/>
        <v>0</v>
      </c>
      <c r="DY172" s="161">
        <f t="shared" si="230"/>
        <v>0</v>
      </c>
      <c r="DZ172" s="161">
        <f t="shared" si="231"/>
        <v>0</v>
      </c>
      <c r="EA172" s="161">
        <f t="shared" si="232"/>
        <v>0</v>
      </c>
      <c r="EB172" s="161">
        <f t="shared" si="233"/>
        <v>0</v>
      </c>
      <c r="EC172" s="161">
        <f t="shared" si="234"/>
        <v>0</v>
      </c>
      <c r="ED172" s="161">
        <f t="shared" si="235"/>
        <v>0</v>
      </c>
      <c r="EE172" s="161">
        <f t="shared" si="236"/>
        <v>0</v>
      </c>
      <c r="EF172" s="161">
        <f t="shared" si="237"/>
        <v>0</v>
      </c>
      <c r="EG172" s="161">
        <f t="shared" si="238"/>
        <v>0</v>
      </c>
      <c r="EH172" s="161">
        <f t="shared" si="239"/>
        <v>0</v>
      </c>
      <c r="EI172" s="161">
        <f t="shared" si="240"/>
        <v>0</v>
      </c>
      <c r="EJ172" s="161">
        <f t="shared" si="241"/>
        <v>0</v>
      </c>
      <c r="EK172" s="147">
        <f t="shared" si="173"/>
        <v>0</v>
      </c>
      <c r="EL172" s="149"/>
      <c r="EN172" s="146"/>
      <c r="EO172" s="146"/>
      <c r="EP172" s="139">
        <f t="shared" si="174"/>
        <v>0</v>
      </c>
      <c r="EQ172" s="139">
        <f t="shared" si="175"/>
        <v>0</v>
      </c>
      <c r="ER172" s="139">
        <f t="shared" si="176"/>
        <v>0</v>
      </c>
      <c r="ES172" s="139">
        <f t="shared" si="177"/>
        <v>0</v>
      </c>
      <c r="ET172" s="139">
        <f t="shared" si="178"/>
        <v>0</v>
      </c>
      <c r="EU172" s="139">
        <f t="shared" si="179"/>
        <v>0</v>
      </c>
      <c r="EV172" s="139">
        <f t="shared" si="180"/>
        <v>0</v>
      </c>
      <c r="EW172" s="139">
        <f t="shared" si="181"/>
        <v>0</v>
      </c>
      <c r="EX172" s="139">
        <f t="shared" si="182"/>
        <v>0</v>
      </c>
      <c r="EY172" s="139">
        <f t="shared" si="183"/>
        <v>0</v>
      </c>
      <c r="EZ172" s="139">
        <f t="shared" si="184"/>
        <v>0</v>
      </c>
      <c r="FA172" s="139">
        <f t="shared" si="185"/>
        <v>0</v>
      </c>
      <c r="FB172" s="139">
        <f t="shared" si="186"/>
        <v>0</v>
      </c>
      <c r="FC172" s="139">
        <f t="shared" si="187"/>
        <v>0</v>
      </c>
      <c r="FD172" s="139">
        <f t="shared" si="188"/>
        <v>0</v>
      </c>
      <c r="FE172" s="139">
        <f t="shared" si="189"/>
        <v>0</v>
      </c>
      <c r="FF172" s="139">
        <f t="shared" si="190"/>
        <v>0</v>
      </c>
      <c r="FG172" s="139">
        <f t="shared" si="191"/>
        <v>0</v>
      </c>
      <c r="FH172" s="139">
        <f t="shared" si="192"/>
        <v>0</v>
      </c>
      <c r="FI172" s="139">
        <f t="shared" si="193"/>
        <v>0</v>
      </c>
      <c r="FJ172" s="139">
        <f t="shared" si="194"/>
        <v>0</v>
      </c>
      <c r="FK172" s="139">
        <f t="shared" si="195"/>
        <v>0</v>
      </c>
      <c r="FL172" s="139">
        <f t="shared" si="196"/>
        <v>0</v>
      </c>
      <c r="FM172" s="139">
        <f t="shared" si="197"/>
        <v>0</v>
      </c>
      <c r="FN172" s="139">
        <f t="shared" si="198"/>
        <v>0</v>
      </c>
      <c r="FO172" s="139">
        <f t="shared" si="199"/>
        <v>0</v>
      </c>
      <c r="FP172" s="139">
        <f t="shared" si="200"/>
        <v>0</v>
      </c>
      <c r="FQ172" s="139">
        <f t="shared" si="201"/>
        <v>0</v>
      </c>
      <c r="FR172" s="139">
        <f t="shared" si="202"/>
        <v>0</v>
      </c>
      <c r="FS172" s="139">
        <f t="shared" si="203"/>
        <v>0</v>
      </c>
      <c r="FT172" s="139">
        <f t="shared" si="204"/>
        <v>0</v>
      </c>
      <c r="FU172" s="148">
        <f t="shared" si="205"/>
        <v>0</v>
      </c>
      <c r="FV172" s="149"/>
      <c r="FY172" s="213">
        <v>167</v>
      </c>
      <c r="FZ172">
        <v>20.752514763114224</v>
      </c>
      <c r="GA172">
        <v>27.978611851095252</v>
      </c>
      <c r="GB172">
        <v>10.014802574801248</v>
      </c>
      <c r="GC172">
        <v>4.8280153191567612</v>
      </c>
      <c r="GD172">
        <v>2.288490537859579</v>
      </c>
      <c r="GE172">
        <v>3.5869760630204142</v>
      </c>
      <c r="GF172">
        <v>2.8971845429690868</v>
      </c>
      <c r="GG172">
        <v>1.9581802251598386</v>
      </c>
      <c r="GH172">
        <v>0</v>
      </c>
      <c r="GI172">
        <v>7.4741546044469978</v>
      </c>
      <c r="GJ172"/>
      <c r="GK172"/>
      <c r="GL172"/>
      <c r="GM172"/>
      <c r="GN172" s="208"/>
      <c r="GO172" s="208"/>
      <c r="GP172" s="208"/>
      <c r="GQ172" s="208"/>
      <c r="GR172" s="208"/>
      <c r="GS172" s="208"/>
      <c r="GT172" s="208"/>
      <c r="GU172" s="213">
        <v>167</v>
      </c>
    </row>
    <row r="173" spans="1:203" s="7" customFormat="1">
      <c r="A173" s="1"/>
      <c r="B173" s="76">
        <f ca="1">IF(C173="", "", RAND())</f>
        <v>0.66019852900188702</v>
      </c>
      <c r="C173">
        <v>2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112.66804793719727</v>
      </c>
      <c r="AO173">
        <v>15.544771016282601</v>
      </c>
      <c r="AP173">
        <v>84.587743846635433</v>
      </c>
      <c r="AQ173">
        <v>124.97712186057205</v>
      </c>
      <c r="AR173">
        <v>14.400971374534738</v>
      </c>
      <c r="AS173">
        <v>182.64142400856079</v>
      </c>
      <c r="AT173">
        <v>9.6748152186470602</v>
      </c>
      <c r="AU173">
        <v>25.433343031673019</v>
      </c>
      <c r="AV173"/>
      <c r="AW173"/>
      <c r="AX173" s="146"/>
      <c r="AY173" s="76">
        <f t="shared" ca="1" si="171"/>
        <v>0.14368350596851709</v>
      </c>
      <c r="AZ173">
        <v>6</v>
      </c>
      <c r="BA173" s="129">
        <f t="shared" si="245"/>
        <v>39949</v>
      </c>
      <c r="BB173" s="207">
        <v>0</v>
      </c>
      <c r="BC173" s="207">
        <v>0</v>
      </c>
      <c r="BD173" s="207">
        <v>0</v>
      </c>
      <c r="BE173" s="207">
        <v>0</v>
      </c>
      <c r="BF173" s="207">
        <v>0</v>
      </c>
      <c r="BG173" s="207">
        <v>0</v>
      </c>
      <c r="BH173" s="207">
        <v>0</v>
      </c>
      <c r="BI173" s="207">
        <v>0</v>
      </c>
      <c r="BJ173" s="207">
        <v>0</v>
      </c>
      <c r="BK173" s="207">
        <v>0</v>
      </c>
      <c r="BL173" s="207">
        <v>0</v>
      </c>
      <c r="BM173" s="207">
        <v>0</v>
      </c>
      <c r="BN173" s="207">
        <v>0</v>
      </c>
      <c r="BO173" s="207">
        <v>0</v>
      </c>
      <c r="BP173" s="207">
        <v>0</v>
      </c>
      <c r="BQ173" s="207">
        <v>0</v>
      </c>
      <c r="BR173" s="207">
        <v>0</v>
      </c>
      <c r="BS173" s="207">
        <v>0</v>
      </c>
      <c r="BT173" s="207">
        <v>0</v>
      </c>
      <c r="BU173" s="207">
        <v>0</v>
      </c>
      <c r="BV173" s="207">
        <v>0</v>
      </c>
      <c r="BW173" s="207">
        <v>0</v>
      </c>
      <c r="BX173" s="207">
        <v>0</v>
      </c>
      <c r="BY173" s="207">
        <v>0</v>
      </c>
      <c r="BZ173" s="207">
        <v>0</v>
      </c>
      <c r="CA173" s="207">
        <v>0</v>
      </c>
      <c r="CB173" s="207">
        <v>0</v>
      </c>
      <c r="CC173" s="207">
        <v>0</v>
      </c>
      <c r="CD173" s="207">
        <v>0</v>
      </c>
      <c r="CE173" s="207">
        <v>0</v>
      </c>
      <c r="CF173" s="207"/>
      <c r="CG173" s="147"/>
      <c r="CH173" s="176"/>
      <c r="CJ173" s="146"/>
      <c r="CK173" s="76">
        <f t="shared" ca="1" si="206"/>
        <v>0.66183067284792507</v>
      </c>
      <c r="CL173" s="179">
        <f t="shared" si="207"/>
        <v>6</v>
      </c>
      <c r="CM173" s="180">
        <f t="shared" si="208"/>
        <v>39949</v>
      </c>
      <c r="CN173" s="208">
        <v>0</v>
      </c>
      <c r="CO173" s="208">
        <v>0</v>
      </c>
      <c r="CP173" s="208">
        <v>0</v>
      </c>
      <c r="CQ173" s="208">
        <v>0</v>
      </c>
      <c r="CR173" s="208">
        <v>0</v>
      </c>
      <c r="CS173" s="208">
        <v>0</v>
      </c>
      <c r="CT173" s="208">
        <v>0</v>
      </c>
      <c r="CU173" s="208">
        <v>0</v>
      </c>
      <c r="CV173" s="160"/>
      <c r="CW173">
        <v>1</v>
      </c>
      <c r="CX173">
        <v>1</v>
      </c>
      <c r="CY173" s="160"/>
      <c r="CZ173" s="177">
        <f t="shared" si="209"/>
        <v>9.6000000000000002E-2</v>
      </c>
      <c r="DB173" s="146"/>
      <c r="DC173" s="76">
        <f t="shared" ca="1" si="172"/>
        <v>0.30376119877182362</v>
      </c>
      <c r="DD173">
        <f t="shared" si="210"/>
        <v>6</v>
      </c>
      <c r="DE173" s="129">
        <f t="shared" si="244"/>
        <v>39949</v>
      </c>
      <c r="DF173" s="161">
        <f t="shared" si="211"/>
        <v>0</v>
      </c>
      <c r="DG173" s="161">
        <f t="shared" si="212"/>
        <v>0</v>
      </c>
      <c r="DH173" s="161">
        <f t="shared" si="213"/>
        <v>0</v>
      </c>
      <c r="DI173" s="161">
        <f t="shared" si="214"/>
        <v>0</v>
      </c>
      <c r="DJ173" s="161">
        <f t="shared" si="215"/>
        <v>0</v>
      </c>
      <c r="DK173" s="161">
        <f t="shared" si="216"/>
        <v>0</v>
      </c>
      <c r="DL173" s="161">
        <f t="shared" si="217"/>
        <v>0</v>
      </c>
      <c r="DM173" s="161">
        <f t="shared" si="218"/>
        <v>0</v>
      </c>
      <c r="DN173" s="161">
        <f t="shared" si="219"/>
        <v>0</v>
      </c>
      <c r="DO173" s="161">
        <f t="shared" si="220"/>
        <v>0</v>
      </c>
      <c r="DP173" s="161">
        <f t="shared" si="221"/>
        <v>0</v>
      </c>
      <c r="DQ173" s="161">
        <f t="shared" si="222"/>
        <v>0</v>
      </c>
      <c r="DR173" s="161">
        <f t="shared" si="223"/>
        <v>0</v>
      </c>
      <c r="DS173" s="161">
        <f t="shared" si="224"/>
        <v>0</v>
      </c>
      <c r="DT173" s="161">
        <f t="shared" si="225"/>
        <v>0</v>
      </c>
      <c r="DU173" s="161">
        <f t="shared" si="226"/>
        <v>0</v>
      </c>
      <c r="DV173" s="161">
        <f t="shared" si="227"/>
        <v>0</v>
      </c>
      <c r="DW173" s="161">
        <f t="shared" si="228"/>
        <v>0</v>
      </c>
      <c r="DX173" s="161">
        <f t="shared" si="229"/>
        <v>0</v>
      </c>
      <c r="DY173" s="161">
        <f t="shared" si="230"/>
        <v>0</v>
      </c>
      <c r="DZ173" s="161">
        <f t="shared" si="231"/>
        <v>0</v>
      </c>
      <c r="EA173" s="161">
        <f t="shared" si="232"/>
        <v>0</v>
      </c>
      <c r="EB173" s="161">
        <f t="shared" si="233"/>
        <v>0</v>
      </c>
      <c r="EC173" s="161">
        <f t="shared" si="234"/>
        <v>0</v>
      </c>
      <c r="ED173" s="161">
        <f t="shared" si="235"/>
        <v>0</v>
      </c>
      <c r="EE173" s="161">
        <f t="shared" si="236"/>
        <v>0</v>
      </c>
      <c r="EF173" s="161">
        <f t="shared" si="237"/>
        <v>0</v>
      </c>
      <c r="EG173" s="161">
        <f t="shared" si="238"/>
        <v>0</v>
      </c>
      <c r="EH173" s="161">
        <f t="shared" si="239"/>
        <v>0</v>
      </c>
      <c r="EI173" s="161">
        <f t="shared" si="240"/>
        <v>0</v>
      </c>
      <c r="EJ173" s="161">
        <f t="shared" si="241"/>
        <v>0</v>
      </c>
      <c r="EK173" s="147">
        <f t="shared" si="173"/>
        <v>0</v>
      </c>
      <c r="EL173" s="149"/>
      <c r="EN173" s="146"/>
      <c r="EO173" s="146"/>
      <c r="EP173" s="139">
        <f t="shared" si="174"/>
        <v>0</v>
      </c>
      <c r="EQ173" s="139">
        <f t="shared" si="175"/>
        <v>0</v>
      </c>
      <c r="ER173" s="139">
        <f t="shared" si="176"/>
        <v>0</v>
      </c>
      <c r="ES173" s="139">
        <f t="shared" si="177"/>
        <v>0</v>
      </c>
      <c r="ET173" s="139">
        <f t="shared" si="178"/>
        <v>0</v>
      </c>
      <c r="EU173" s="139">
        <f t="shared" si="179"/>
        <v>0</v>
      </c>
      <c r="EV173" s="139">
        <f t="shared" si="180"/>
        <v>0</v>
      </c>
      <c r="EW173" s="139">
        <f t="shared" si="181"/>
        <v>0</v>
      </c>
      <c r="EX173" s="139">
        <f t="shared" si="182"/>
        <v>0</v>
      </c>
      <c r="EY173" s="139">
        <f t="shared" si="183"/>
        <v>0</v>
      </c>
      <c r="EZ173" s="139">
        <f t="shared" si="184"/>
        <v>0</v>
      </c>
      <c r="FA173" s="139">
        <f t="shared" si="185"/>
        <v>0</v>
      </c>
      <c r="FB173" s="139">
        <f t="shared" si="186"/>
        <v>0</v>
      </c>
      <c r="FC173" s="139">
        <f t="shared" si="187"/>
        <v>0</v>
      </c>
      <c r="FD173" s="139">
        <f t="shared" si="188"/>
        <v>0</v>
      </c>
      <c r="FE173" s="139">
        <f t="shared" si="189"/>
        <v>0</v>
      </c>
      <c r="FF173" s="139">
        <f t="shared" si="190"/>
        <v>0</v>
      </c>
      <c r="FG173" s="139">
        <f t="shared" si="191"/>
        <v>0</v>
      </c>
      <c r="FH173" s="139">
        <f t="shared" si="192"/>
        <v>0</v>
      </c>
      <c r="FI173" s="139">
        <f t="shared" si="193"/>
        <v>0</v>
      </c>
      <c r="FJ173" s="139">
        <f t="shared" si="194"/>
        <v>0</v>
      </c>
      <c r="FK173" s="139">
        <f t="shared" si="195"/>
        <v>0</v>
      </c>
      <c r="FL173" s="139">
        <f t="shared" si="196"/>
        <v>0</v>
      </c>
      <c r="FM173" s="139">
        <f t="shared" si="197"/>
        <v>0</v>
      </c>
      <c r="FN173" s="139">
        <f t="shared" si="198"/>
        <v>0</v>
      </c>
      <c r="FO173" s="139">
        <f t="shared" si="199"/>
        <v>0</v>
      </c>
      <c r="FP173" s="139">
        <f t="shared" si="200"/>
        <v>0</v>
      </c>
      <c r="FQ173" s="139">
        <f t="shared" si="201"/>
        <v>0</v>
      </c>
      <c r="FR173" s="139">
        <f t="shared" si="202"/>
        <v>0</v>
      </c>
      <c r="FS173" s="139">
        <f t="shared" si="203"/>
        <v>0</v>
      </c>
      <c r="FT173" s="139">
        <f t="shared" si="204"/>
        <v>0</v>
      </c>
      <c r="FU173" s="148">
        <f t="shared" si="205"/>
        <v>0</v>
      </c>
      <c r="FV173" s="149"/>
      <c r="FY173" s="213">
        <v>168</v>
      </c>
      <c r="FZ173">
        <v>10.54728989419991</v>
      </c>
      <c r="GA173">
        <v>15.173136222283802</v>
      </c>
      <c r="GB173">
        <v>5.9344249717035549</v>
      </c>
      <c r="GC173">
        <v>3.8559487950928553</v>
      </c>
      <c r="GD173">
        <v>2.4925893239536796</v>
      </c>
      <c r="GE173">
        <v>2.9342935645386676</v>
      </c>
      <c r="GF173">
        <v>3.0711624220432832</v>
      </c>
      <c r="GG173">
        <v>3.6571009600327233</v>
      </c>
      <c r="GH173">
        <v>2.7619779405139626</v>
      </c>
      <c r="GI173">
        <v>5.4836590094729116</v>
      </c>
      <c r="GJ173"/>
      <c r="GK173"/>
      <c r="GL173"/>
      <c r="GM173"/>
      <c r="GN173" s="208"/>
      <c r="GO173" s="208"/>
      <c r="GP173" s="208"/>
      <c r="GQ173" s="208"/>
      <c r="GR173" s="208"/>
      <c r="GS173" s="208"/>
      <c r="GT173" s="208"/>
      <c r="GU173" s="213">
        <v>168</v>
      </c>
    </row>
    <row r="174" spans="1:203" s="7" customFormat="1">
      <c r="A174" s="1"/>
      <c r="B174" s="76">
        <f ca="1">IF(C174="", "", RAND())</f>
        <v>0.46404174918523844</v>
      </c>
      <c r="C174">
        <v>9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63.855747758505096</v>
      </c>
      <c r="AO174">
        <v>7.0213449434033226</v>
      </c>
      <c r="AP174">
        <v>93.333449055023749</v>
      </c>
      <c r="AQ174">
        <v>50.409092917174576</v>
      </c>
      <c r="AR174">
        <v>6.4628468679688984</v>
      </c>
      <c r="AS174">
        <v>93.555696369821689</v>
      </c>
      <c r="AT174" t="e">
        <v>#DIV/0!</v>
      </c>
      <c r="AU174" t="e">
        <v>#DIV/0!</v>
      </c>
      <c r="AV174"/>
      <c r="AW174"/>
      <c r="AX174" s="146"/>
      <c r="AY174" s="76">
        <f t="shared" ca="1" si="171"/>
        <v>0.80470524833122892</v>
      </c>
      <c r="AZ174">
        <v>7</v>
      </c>
      <c r="BA174" s="129">
        <f t="shared" si="245"/>
        <v>39949</v>
      </c>
      <c r="BB174" s="207">
        <v>0</v>
      </c>
      <c r="BC174" s="207">
        <v>0</v>
      </c>
      <c r="BD174" s="207">
        <v>0</v>
      </c>
      <c r="BE174" s="207">
        <v>0</v>
      </c>
      <c r="BF174" s="207">
        <v>0</v>
      </c>
      <c r="BG174" s="207">
        <v>0</v>
      </c>
      <c r="BH174" s="207">
        <v>0</v>
      </c>
      <c r="BI174" s="207">
        <v>0</v>
      </c>
      <c r="BJ174" s="207">
        <v>0</v>
      </c>
      <c r="BK174" s="207">
        <v>0</v>
      </c>
      <c r="BL174" s="207">
        <v>0</v>
      </c>
      <c r="BM174" s="207">
        <v>0</v>
      </c>
      <c r="BN174" s="207">
        <v>0</v>
      </c>
      <c r="BO174" s="207">
        <v>0</v>
      </c>
      <c r="BP174" s="207">
        <v>0</v>
      </c>
      <c r="BQ174" s="207">
        <v>0</v>
      </c>
      <c r="BR174" s="207">
        <v>0</v>
      </c>
      <c r="BS174" s="207">
        <v>0</v>
      </c>
      <c r="BT174" s="207">
        <v>0</v>
      </c>
      <c r="BU174" s="207">
        <v>0</v>
      </c>
      <c r="BV174" s="207">
        <v>0</v>
      </c>
      <c r="BW174" s="207">
        <v>0</v>
      </c>
      <c r="BX174" s="207">
        <v>0</v>
      </c>
      <c r="BY174" s="207">
        <v>0</v>
      </c>
      <c r="BZ174" s="207">
        <v>0</v>
      </c>
      <c r="CA174" s="207">
        <v>0</v>
      </c>
      <c r="CB174" s="207">
        <v>0</v>
      </c>
      <c r="CC174" s="207">
        <v>0</v>
      </c>
      <c r="CD174" s="207">
        <v>0</v>
      </c>
      <c r="CE174" s="207">
        <v>0</v>
      </c>
      <c r="CF174" s="207"/>
      <c r="CG174" s="147"/>
      <c r="CH174" s="176"/>
      <c r="CJ174" s="146"/>
      <c r="CK174" s="76">
        <f t="shared" ca="1" si="206"/>
        <v>0.14142988006927126</v>
      </c>
      <c r="CL174" s="179">
        <f t="shared" si="207"/>
        <v>7</v>
      </c>
      <c r="CM174" s="180">
        <f t="shared" si="208"/>
        <v>39949</v>
      </c>
      <c r="CN174" s="208">
        <v>0</v>
      </c>
      <c r="CO174" s="208">
        <v>0</v>
      </c>
      <c r="CP174" s="208">
        <v>0</v>
      </c>
      <c r="CQ174" s="208">
        <v>0</v>
      </c>
      <c r="CR174" s="208">
        <v>0</v>
      </c>
      <c r="CS174" s="208">
        <v>0</v>
      </c>
      <c r="CT174" s="208">
        <v>0</v>
      </c>
      <c r="CU174" s="208">
        <v>0</v>
      </c>
      <c r="CV174" s="160"/>
      <c r="CW174">
        <v>1</v>
      </c>
      <c r="CX174">
        <v>1</v>
      </c>
      <c r="CY174" s="165"/>
      <c r="CZ174" s="177">
        <f t="shared" si="209"/>
        <v>9.6000000000000002E-2</v>
      </c>
      <c r="DB174" s="146"/>
      <c r="DC174" s="76">
        <f t="shared" ca="1" si="172"/>
        <v>0.87750301567398203</v>
      </c>
      <c r="DD174">
        <f t="shared" si="210"/>
        <v>7</v>
      </c>
      <c r="DE174" s="129">
        <f t="shared" si="244"/>
        <v>39949</v>
      </c>
      <c r="DF174" s="161">
        <f t="shared" si="211"/>
        <v>0</v>
      </c>
      <c r="DG174" s="161">
        <f t="shared" si="212"/>
        <v>0</v>
      </c>
      <c r="DH174" s="161">
        <f t="shared" si="213"/>
        <v>0</v>
      </c>
      <c r="DI174" s="161">
        <f t="shared" si="214"/>
        <v>0</v>
      </c>
      <c r="DJ174" s="161">
        <f t="shared" si="215"/>
        <v>0</v>
      </c>
      <c r="DK174" s="161">
        <f t="shared" si="216"/>
        <v>0</v>
      </c>
      <c r="DL174" s="161">
        <f t="shared" si="217"/>
        <v>0</v>
      </c>
      <c r="DM174" s="161">
        <f t="shared" si="218"/>
        <v>0</v>
      </c>
      <c r="DN174" s="161">
        <f t="shared" si="219"/>
        <v>0</v>
      </c>
      <c r="DO174" s="161">
        <f t="shared" si="220"/>
        <v>0</v>
      </c>
      <c r="DP174" s="161">
        <f t="shared" si="221"/>
        <v>0</v>
      </c>
      <c r="DQ174" s="161">
        <f t="shared" si="222"/>
        <v>0</v>
      </c>
      <c r="DR174" s="161">
        <f t="shared" si="223"/>
        <v>0</v>
      </c>
      <c r="DS174" s="161">
        <f t="shared" si="224"/>
        <v>0</v>
      </c>
      <c r="DT174" s="161">
        <f t="shared" si="225"/>
        <v>0</v>
      </c>
      <c r="DU174" s="161">
        <f t="shared" si="226"/>
        <v>0</v>
      </c>
      <c r="DV174" s="161">
        <f t="shared" si="227"/>
        <v>0</v>
      </c>
      <c r="DW174" s="161">
        <f t="shared" si="228"/>
        <v>0</v>
      </c>
      <c r="DX174" s="161">
        <f t="shared" si="229"/>
        <v>0</v>
      </c>
      <c r="DY174" s="161">
        <f t="shared" si="230"/>
        <v>0</v>
      </c>
      <c r="DZ174" s="161">
        <f t="shared" si="231"/>
        <v>0</v>
      </c>
      <c r="EA174" s="161">
        <f t="shared" si="232"/>
        <v>0</v>
      </c>
      <c r="EB174" s="161">
        <f t="shared" si="233"/>
        <v>0</v>
      </c>
      <c r="EC174" s="161">
        <f t="shared" si="234"/>
        <v>0</v>
      </c>
      <c r="ED174" s="161">
        <f t="shared" si="235"/>
        <v>0</v>
      </c>
      <c r="EE174" s="161">
        <f t="shared" si="236"/>
        <v>0</v>
      </c>
      <c r="EF174" s="161">
        <f t="shared" si="237"/>
        <v>0</v>
      </c>
      <c r="EG174" s="161">
        <f t="shared" si="238"/>
        <v>0</v>
      </c>
      <c r="EH174" s="161">
        <f t="shared" si="239"/>
        <v>0</v>
      </c>
      <c r="EI174" s="161">
        <f t="shared" si="240"/>
        <v>0</v>
      </c>
      <c r="EJ174" s="161">
        <f t="shared" si="241"/>
        <v>0</v>
      </c>
      <c r="EK174" s="147">
        <f t="shared" si="173"/>
        <v>0</v>
      </c>
      <c r="EL174" s="149"/>
      <c r="EN174" s="146"/>
      <c r="EO174" s="146"/>
      <c r="EP174" s="139">
        <f t="shared" si="174"/>
        <v>0</v>
      </c>
      <c r="EQ174" s="139">
        <f t="shared" si="175"/>
        <v>0</v>
      </c>
      <c r="ER174" s="139">
        <f t="shared" si="176"/>
        <v>0</v>
      </c>
      <c r="ES174" s="139">
        <f t="shared" si="177"/>
        <v>0</v>
      </c>
      <c r="ET174" s="139">
        <f t="shared" si="178"/>
        <v>0</v>
      </c>
      <c r="EU174" s="139">
        <f t="shared" si="179"/>
        <v>0</v>
      </c>
      <c r="EV174" s="139">
        <f t="shared" si="180"/>
        <v>0</v>
      </c>
      <c r="EW174" s="139">
        <f t="shared" si="181"/>
        <v>0</v>
      </c>
      <c r="EX174" s="139">
        <f t="shared" si="182"/>
        <v>0</v>
      </c>
      <c r="EY174" s="139">
        <f t="shared" si="183"/>
        <v>0</v>
      </c>
      <c r="EZ174" s="139">
        <f t="shared" si="184"/>
        <v>0</v>
      </c>
      <c r="FA174" s="139">
        <f t="shared" si="185"/>
        <v>0</v>
      </c>
      <c r="FB174" s="139">
        <f t="shared" si="186"/>
        <v>0</v>
      </c>
      <c r="FC174" s="139">
        <f t="shared" si="187"/>
        <v>0</v>
      </c>
      <c r="FD174" s="139">
        <f t="shared" si="188"/>
        <v>0</v>
      </c>
      <c r="FE174" s="139">
        <f t="shared" si="189"/>
        <v>0</v>
      </c>
      <c r="FF174" s="139">
        <f t="shared" si="190"/>
        <v>0</v>
      </c>
      <c r="FG174" s="139">
        <f t="shared" si="191"/>
        <v>0</v>
      </c>
      <c r="FH174" s="139">
        <f t="shared" si="192"/>
        <v>0</v>
      </c>
      <c r="FI174" s="139">
        <f t="shared" si="193"/>
        <v>0</v>
      </c>
      <c r="FJ174" s="139">
        <f t="shared" si="194"/>
        <v>0</v>
      </c>
      <c r="FK174" s="139">
        <f t="shared" si="195"/>
        <v>0</v>
      </c>
      <c r="FL174" s="139">
        <f t="shared" si="196"/>
        <v>0</v>
      </c>
      <c r="FM174" s="139">
        <f t="shared" si="197"/>
        <v>0</v>
      </c>
      <c r="FN174" s="139">
        <f t="shared" si="198"/>
        <v>0</v>
      </c>
      <c r="FO174" s="139">
        <f t="shared" si="199"/>
        <v>0</v>
      </c>
      <c r="FP174" s="139">
        <f t="shared" si="200"/>
        <v>0</v>
      </c>
      <c r="FQ174" s="139">
        <f t="shared" si="201"/>
        <v>0</v>
      </c>
      <c r="FR174" s="139">
        <f t="shared" si="202"/>
        <v>0</v>
      </c>
      <c r="FS174" s="139">
        <f t="shared" si="203"/>
        <v>0</v>
      </c>
      <c r="FT174" s="139">
        <f t="shared" si="204"/>
        <v>0</v>
      </c>
      <c r="FU174" s="148">
        <f t="shared" si="205"/>
        <v>0</v>
      </c>
      <c r="FV174" s="149"/>
      <c r="FY174" s="213">
        <v>169</v>
      </c>
      <c r="FZ174">
        <v>18.405306033848767</v>
      </c>
      <c r="GA174">
        <v>19.889005425980361</v>
      </c>
      <c r="GB174">
        <v>3.2650496190036713</v>
      </c>
      <c r="GC174">
        <v>3.263566013903259</v>
      </c>
      <c r="GD174">
        <v>2.9282445409505518</v>
      </c>
      <c r="GE174">
        <v>3.8997235138660158</v>
      </c>
      <c r="GF174">
        <v>3.8135973242770649</v>
      </c>
      <c r="GG174">
        <v>2.8751320020914335</v>
      </c>
      <c r="GH174">
        <v>0.60080431445180338</v>
      </c>
      <c r="GI174">
        <v>6.052429228668573</v>
      </c>
      <c r="GJ174"/>
      <c r="GK174"/>
      <c r="GL174"/>
      <c r="GM174"/>
      <c r="GN174" s="208"/>
      <c r="GO174" s="208"/>
      <c r="GP174" s="208"/>
      <c r="GQ174" s="208"/>
      <c r="GR174" s="208"/>
      <c r="GS174" s="208"/>
      <c r="GT174" s="208"/>
      <c r="GU174" s="213">
        <v>169</v>
      </c>
    </row>
    <row r="175" spans="1:203" s="7" customFormat="1">
      <c r="A175" s="1"/>
      <c r="B175" s="76">
        <f ca="1">IF(C175="", "", RAND())</f>
        <v>0.93153045739468876</v>
      </c>
      <c r="C175">
        <v>4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43.26187072051043</v>
      </c>
      <c r="AO175">
        <v>7.6886417036256791</v>
      </c>
      <c r="AP175">
        <v>47.966588937986074</v>
      </c>
      <c r="AQ175">
        <v>54.845454951272693</v>
      </c>
      <c r="AR175">
        <v>7.0470324341908857</v>
      </c>
      <c r="AS175">
        <v>85.556748697378168</v>
      </c>
      <c r="AT175" t="e">
        <v>#DIV/0!</v>
      </c>
      <c r="AU175" t="e">
        <v>#DIV/0!</v>
      </c>
      <c r="AV175"/>
      <c r="AW175"/>
      <c r="AX175" s="146"/>
      <c r="AY175" s="76">
        <f t="shared" ca="1" si="171"/>
        <v>0.54713204009593586</v>
      </c>
      <c r="AZ175">
        <v>8</v>
      </c>
      <c r="BA175" s="129">
        <f t="shared" si="245"/>
        <v>39949</v>
      </c>
      <c r="BB175" s="207">
        <v>0</v>
      </c>
      <c r="BC175" s="207">
        <v>0</v>
      </c>
      <c r="BD175" s="207">
        <v>0</v>
      </c>
      <c r="BE175" s="207">
        <v>0</v>
      </c>
      <c r="BF175" s="207">
        <v>0</v>
      </c>
      <c r="BG175" s="207">
        <v>0</v>
      </c>
      <c r="BH175" s="207">
        <v>0</v>
      </c>
      <c r="BI175" s="207">
        <v>0</v>
      </c>
      <c r="BJ175" s="207">
        <v>0</v>
      </c>
      <c r="BK175" s="207">
        <v>0</v>
      </c>
      <c r="BL175" s="207">
        <v>0</v>
      </c>
      <c r="BM175" s="207">
        <v>0</v>
      </c>
      <c r="BN175" s="207">
        <v>0</v>
      </c>
      <c r="BO175" s="207">
        <v>0</v>
      </c>
      <c r="BP175" s="207">
        <v>0</v>
      </c>
      <c r="BQ175" s="207">
        <v>0</v>
      </c>
      <c r="BR175" s="207">
        <v>0</v>
      </c>
      <c r="BS175" s="207">
        <v>0</v>
      </c>
      <c r="BT175" s="207">
        <v>0</v>
      </c>
      <c r="BU175" s="207">
        <v>0</v>
      </c>
      <c r="BV175" s="207">
        <v>0</v>
      </c>
      <c r="BW175" s="207">
        <v>0</v>
      </c>
      <c r="BX175" s="207">
        <v>0</v>
      </c>
      <c r="BY175" s="207">
        <v>0</v>
      </c>
      <c r="BZ175" s="207">
        <v>0</v>
      </c>
      <c r="CA175" s="207">
        <v>0</v>
      </c>
      <c r="CB175" s="207">
        <v>0</v>
      </c>
      <c r="CC175" s="207">
        <v>0</v>
      </c>
      <c r="CD175" s="207">
        <v>0</v>
      </c>
      <c r="CE175" s="207">
        <v>0</v>
      </c>
      <c r="CF175" s="207"/>
      <c r="CG175" s="147"/>
      <c r="CH175" s="176"/>
      <c r="CJ175" s="146"/>
      <c r="CK175" s="76">
        <f t="shared" ca="1" si="206"/>
        <v>0.72364085418441615</v>
      </c>
      <c r="CL175" s="179">
        <f t="shared" si="207"/>
        <v>8</v>
      </c>
      <c r="CM175" s="180">
        <f t="shared" si="208"/>
        <v>39949</v>
      </c>
      <c r="CN175" s="208">
        <v>0</v>
      </c>
      <c r="CO175" s="208">
        <v>0</v>
      </c>
      <c r="CP175" s="208">
        <v>0</v>
      </c>
      <c r="CQ175" s="208">
        <v>0</v>
      </c>
      <c r="CR175" s="208">
        <v>0</v>
      </c>
      <c r="CS175" s="208">
        <v>0</v>
      </c>
      <c r="CT175" s="208">
        <v>0</v>
      </c>
      <c r="CU175" s="208">
        <v>0</v>
      </c>
      <c r="CV175" s="160"/>
      <c r="CW175">
        <v>1</v>
      </c>
      <c r="CX175">
        <v>1</v>
      </c>
      <c r="CY175" s="165"/>
      <c r="CZ175" s="177">
        <f t="shared" si="209"/>
        <v>9.6000000000000002E-2</v>
      </c>
      <c r="DB175" s="146"/>
      <c r="DC175" s="76">
        <f t="shared" ca="1" si="172"/>
        <v>0.62442688710901106</v>
      </c>
      <c r="DD175">
        <f t="shared" si="210"/>
        <v>8</v>
      </c>
      <c r="DE175" s="129">
        <f t="shared" si="244"/>
        <v>39949</v>
      </c>
      <c r="DF175" s="161">
        <f t="shared" si="211"/>
        <v>0</v>
      </c>
      <c r="DG175" s="161">
        <f t="shared" si="212"/>
        <v>0</v>
      </c>
      <c r="DH175" s="161">
        <f t="shared" si="213"/>
        <v>0</v>
      </c>
      <c r="DI175" s="161">
        <f t="shared" si="214"/>
        <v>0</v>
      </c>
      <c r="DJ175" s="161">
        <f t="shared" si="215"/>
        <v>0</v>
      </c>
      <c r="DK175" s="161">
        <f t="shared" si="216"/>
        <v>0</v>
      </c>
      <c r="DL175" s="161">
        <f t="shared" si="217"/>
        <v>0</v>
      </c>
      <c r="DM175" s="161">
        <f t="shared" si="218"/>
        <v>0</v>
      </c>
      <c r="DN175" s="161">
        <f t="shared" si="219"/>
        <v>0</v>
      </c>
      <c r="DO175" s="161">
        <f t="shared" si="220"/>
        <v>0</v>
      </c>
      <c r="DP175" s="161">
        <f t="shared" si="221"/>
        <v>0</v>
      </c>
      <c r="DQ175" s="161">
        <f t="shared" si="222"/>
        <v>0</v>
      </c>
      <c r="DR175" s="161">
        <f t="shared" si="223"/>
        <v>0</v>
      </c>
      <c r="DS175" s="161">
        <f t="shared" si="224"/>
        <v>0</v>
      </c>
      <c r="DT175" s="161">
        <f t="shared" si="225"/>
        <v>0</v>
      </c>
      <c r="DU175" s="161">
        <f t="shared" si="226"/>
        <v>0</v>
      </c>
      <c r="DV175" s="161">
        <f t="shared" si="227"/>
        <v>0</v>
      </c>
      <c r="DW175" s="161">
        <f t="shared" si="228"/>
        <v>0</v>
      </c>
      <c r="DX175" s="161">
        <f t="shared" si="229"/>
        <v>0</v>
      </c>
      <c r="DY175" s="161">
        <f t="shared" si="230"/>
        <v>0</v>
      </c>
      <c r="DZ175" s="161">
        <f t="shared" si="231"/>
        <v>0</v>
      </c>
      <c r="EA175" s="161">
        <f t="shared" si="232"/>
        <v>0</v>
      </c>
      <c r="EB175" s="161">
        <f t="shared" si="233"/>
        <v>0</v>
      </c>
      <c r="EC175" s="161">
        <f t="shared" si="234"/>
        <v>0</v>
      </c>
      <c r="ED175" s="161">
        <f t="shared" si="235"/>
        <v>0</v>
      </c>
      <c r="EE175" s="161">
        <f t="shared" si="236"/>
        <v>0</v>
      </c>
      <c r="EF175" s="161">
        <f t="shared" si="237"/>
        <v>0</v>
      </c>
      <c r="EG175" s="161">
        <f t="shared" si="238"/>
        <v>0</v>
      </c>
      <c r="EH175" s="161">
        <f t="shared" si="239"/>
        <v>0</v>
      </c>
      <c r="EI175" s="161">
        <f t="shared" si="240"/>
        <v>0</v>
      </c>
      <c r="EJ175" s="161">
        <f t="shared" si="241"/>
        <v>0</v>
      </c>
      <c r="EK175" s="147">
        <f t="shared" si="173"/>
        <v>0</v>
      </c>
      <c r="EL175" s="149"/>
      <c r="EN175" s="146"/>
      <c r="EO175" s="146"/>
      <c r="EP175" s="139">
        <f t="shared" si="174"/>
        <v>0</v>
      </c>
      <c r="EQ175" s="139">
        <f t="shared" si="175"/>
        <v>0</v>
      </c>
      <c r="ER175" s="139">
        <f t="shared" si="176"/>
        <v>0</v>
      </c>
      <c r="ES175" s="139">
        <f t="shared" si="177"/>
        <v>0</v>
      </c>
      <c r="ET175" s="139">
        <f t="shared" si="178"/>
        <v>0</v>
      </c>
      <c r="EU175" s="139">
        <f t="shared" si="179"/>
        <v>0</v>
      </c>
      <c r="EV175" s="139">
        <f t="shared" si="180"/>
        <v>0</v>
      </c>
      <c r="EW175" s="139">
        <f t="shared" si="181"/>
        <v>0</v>
      </c>
      <c r="EX175" s="139">
        <f t="shared" si="182"/>
        <v>0</v>
      </c>
      <c r="EY175" s="139">
        <f t="shared" si="183"/>
        <v>0</v>
      </c>
      <c r="EZ175" s="139">
        <f t="shared" si="184"/>
        <v>0</v>
      </c>
      <c r="FA175" s="139">
        <f t="shared" si="185"/>
        <v>0</v>
      </c>
      <c r="FB175" s="139">
        <f t="shared" si="186"/>
        <v>0</v>
      </c>
      <c r="FC175" s="139">
        <f t="shared" si="187"/>
        <v>0</v>
      </c>
      <c r="FD175" s="139">
        <f t="shared" si="188"/>
        <v>0</v>
      </c>
      <c r="FE175" s="139">
        <f t="shared" si="189"/>
        <v>0</v>
      </c>
      <c r="FF175" s="139">
        <f t="shared" si="190"/>
        <v>0</v>
      </c>
      <c r="FG175" s="139">
        <f t="shared" si="191"/>
        <v>0</v>
      </c>
      <c r="FH175" s="139">
        <f t="shared" si="192"/>
        <v>0</v>
      </c>
      <c r="FI175" s="139">
        <f t="shared" si="193"/>
        <v>0</v>
      </c>
      <c r="FJ175" s="139">
        <f t="shared" si="194"/>
        <v>0</v>
      </c>
      <c r="FK175" s="139">
        <f t="shared" si="195"/>
        <v>0</v>
      </c>
      <c r="FL175" s="139">
        <f t="shared" si="196"/>
        <v>0</v>
      </c>
      <c r="FM175" s="139">
        <f t="shared" si="197"/>
        <v>0</v>
      </c>
      <c r="FN175" s="139">
        <f t="shared" si="198"/>
        <v>0</v>
      </c>
      <c r="FO175" s="139">
        <f t="shared" si="199"/>
        <v>0</v>
      </c>
      <c r="FP175" s="139">
        <f t="shared" si="200"/>
        <v>0</v>
      </c>
      <c r="FQ175" s="139">
        <f t="shared" si="201"/>
        <v>0</v>
      </c>
      <c r="FR175" s="139">
        <f t="shared" si="202"/>
        <v>0</v>
      </c>
      <c r="FS175" s="139">
        <f t="shared" si="203"/>
        <v>0</v>
      </c>
      <c r="FT175" s="139">
        <f t="shared" si="204"/>
        <v>0</v>
      </c>
      <c r="FU175" s="148">
        <f t="shared" si="205"/>
        <v>0</v>
      </c>
      <c r="FV175" s="149"/>
      <c r="FY175" s="213">
        <v>170</v>
      </c>
      <c r="FZ175">
        <v>39.060656665465281</v>
      </c>
      <c r="GA175">
        <v>44.493202021287942</v>
      </c>
      <c r="GB175">
        <v>5.6884942767846063</v>
      </c>
      <c r="GC175">
        <v>4.7887037819421252</v>
      </c>
      <c r="GD175">
        <v>1.9370611032208647</v>
      </c>
      <c r="GE175">
        <v>1.613744073902124</v>
      </c>
      <c r="GF175">
        <v>4.9954860603891964</v>
      </c>
      <c r="GG175">
        <v>5.0625918969449488</v>
      </c>
      <c r="GH175">
        <v>2.1611736260621592</v>
      </c>
      <c r="GI175">
        <v>9.5527522838867345</v>
      </c>
      <c r="GJ175"/>
      <c r="GK175"/>
      <c r="GL175"/>
      <c r="GM175"/>
      <c r="GN175" s="208"/>
      <c r="GO175" s="208"/>
      <c r="GP175" s="208"/>
      <c r="GQ175" s="208"/>
      <c r="GR175" s="208"/>
      <c r="GS175" s="208"/>
      <c r="GT175" s="208"/>
      <c r="GU175" s="213">
        <v>170</v>
      </c>
    </row>
    <row r="176" spans="1:203" s="7" customFormat="1">
      <c r="A176" s="1"/>
      <c r="B176" s="76">
        <f ca="1">IF(C176="", "", RAND())</f>
        <v>0.95126421646363291</v>
      </c>
      <c r="C176">
        <v>7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92.532805742028614</v>
      </c>
      <c r="AO176">
        <v>11.560400433254634</v>
      </c>
      <c r="AP176">
        <v>79.217041924181828</v>
      </c>
      <c r="AQ176">
        <v>95.961665192411161</v>
      </c>
      <c r="AR176">
        <v>10.697248428663382</v>
      </c>
      <c r="AS176">
        <v>140.77863583950588</v>
      </c>
      <c r="AT176">
        <v>7.7357668862458588</v>
      </c>
      <c r="AU176">
        <v>30.737952087146635</v>
      </c>
      <c r="AV176"/>
      <c r="AW176"/>
      <c r="AX176" s="146"/>
      <c r="AY176" s="76">
        <f t="shared" ca="1" si="171"/>
        <v>0.45995218313799735</v>
      </c>
      <c r="AZ176">
        <v>9</v>
      </c>
      <c r="BA176" s="129">
        <f t="shared" si="245"/>
        <v>39949</v>
      </c>
      <c r="BB176" s="207">
        <v>0</v>
      </c>
      <c r="BC176" s="207">
        <v>0</v>
      </c>
      <c r="BD176" s="207">
        <v>0</v>
      </c>
      <c r="BE176" s="207">
        <v>0</v>
      </c>
      <c r="BF176" s="207">
        <v>0</v>
      </c>
      <c r="BG176" s="207">
        <v>0</v>
      </c>
      <c r="BH176" s="207">
        <v>0</v>
      </c>
      <c r="BI176" s="207">
        <v>0</v>
      </c>
      <c r="BJ176" s="207">
        <v>0</v>
      </c>
      <c r="BK176" s="207">
        <v>0</v>
      </c>
      <c r="BL176" s="207">
        <v>0</v>
      </c>
      <c r="BM176" s="207">
        <v>0</v>
      </c>
      <c r="BN176" s="207">
        <v>0</v>
      </c>
      <c r="BO176" s="207">
        <v>0</v>
      </c>
      <c r="BP176" s="207">
        <v>0</v>
      </c>
      <c r="BQ176" s="207">
        <v>0</v>
      </c>
      <c r="BR176" s="207">
        <v>0</v>
      </c>
      <c r="BS176" s="207">
        <v>0</v>
      </c>
      <c r="BT176" s="207">
        <v>0</v>
      </c>
      <c r="BU176" s="207">
        <v>0</v>
      </c>
      <c r="BV176" s="207">
        <v>0</v>
      </c>
      <c r="BW176" s="207">
        <v>0</v>
      </c>
      <c r="BX176" s="207">
        <v>0</v>
      </c>
      <c r="BY176" s="207">
        <v>0</v>
      </c>
      <c r="BZ176" s="207">
        <v>0</v>
      </c>
      <c r="CA176" s="207">
        <v>0</v>
      </c>
      <c r="CB176" s="207">
        <v>0</v>
      </c>
      <c r="CC176" s="207">
        <v>0</v>
      </c>
      <c r="CD176" s="207">
        <v>0</v>
      </c>
      <c r="CE176" s="207">
        <v>0</v>
      </c>
      <c r="CF176" s="207"/>
      <c r="CG176" s="147"/>
      <c r="CH176" s="176"/>
      <c r="CJ176" s="146"/>
      <c r="CK176" s="76">
        <f t="shared" ca="1" si="206"/>
        <v>0.82199765396815927</v>
      </c>
      <c r="CL176" s="179">
        <f t="shared" si="207"/>
        <v>9</v>
      </c>
      <c r="CM176" s="180">
        <f t="shared" si="208"/>
        <v>39949</v>
      </c>
      <c r="CN176" s="208">
        <v>0</v>
      </c>
      <c r="CO176" s="208">
        <v>0</v>
      </c>
      <c r="CP176" s="208">
        <v>0</v>
      </c>
      <c r="CQ176" s="208">
        <v>0</v>
      </c>
      <c r="CR176" s="208">
        <v>0</v>
      </c>
      <c r="CS176" s="208">
        <v>0</v>
      </c>
      <c r="CT176" s="208">
        <v>0</v>
      </c>
      <c r="CU176" s="208">
        <v>0</v>
      </c>
      <c r="CV176" s="160"/>
      <c r="CW176">
        <v>1</v>
      </c>
      <c r="CX176">
        <v>1</v>
      </c>
      <c r="CY176" s="165"/>
      <c r="CZ176" s="177">
        <f t="shared" si="209"/>
        <v>9.6000000000000002E-2</v>
      </c>
      <c r="DB176" s="146"/>
      <c r="DC176" s="76">
        <f t="shared" ca="1" si="172"/>
        <v>0.83591945636674536</v>
      </c>
      <c r="DD176">
        <f t="shared" si="210"/>
        <v>9</v>
      </c>
      <c r="DE176" s="129">
        <f t="shared" si="244"/>
        <v>39949</v>
      </c>
      <c r="DF176" s="161">
        <f t="shared" si="211"/>
        <v>0</v>
      </c>
      <c r="DG176" s="161">
        <f t="shared" si="212"/>
        <v>0</v>
      </c>
      <c r="DH176" s="161">
        <f t="shared" si="213"/>
        <v>0</v>
      </c>
      <c r="DI176" s="161">
        <f t="shared" si="214"/>
        <v>0</v>
      </c>
      <c r="DJ176" s="161">
        <f t="shared" si="215"/>
        <v>0</v>
      </c>
      <c r="DK176" s="161">
        <f t="shared" si="216"/>
        <v>0</v>
      </c>
      <c r="DL176" s="161">
        <f t="shared" si="217"/>
        <v>0</v>
      </c>
      <c r="DM176" s="161">
        <f t="shared" si="218"/>
        <v>0</v>
      </c>
      <c r="DN176" s="161">
        <f t="shared" si="219"/>
        <v>0</v>
      </c>
      <c r="DO176" s="161">
        <f t="shared" si="220"/>
        <v>0</v>
      </c>
      <c r="DP176" s="161">
        <f t="shared" si="221"/>
        <v>0</v>
      </c>
      <c r="DQ176" s="161">
        <f t="shared" si="222"/>
        <v>0</v>
      </c>
      <c r="DR176" s="161">
        <f t="shared" si="223"/>
        <v>0</v>
      </c>
      <c r="DS176" s="161">
        <f t="shared" si="224"/>
        <v>0</v>
      </c>
      <c r="DT176" s="161">
        <f t="shared" si="225"/>
        <v>0</v>
      </c>
      <c r="DU176" s="161">
        <f t="shared" si="226"/>
        <v>0</v>
      </c>
      <c r="DV176" s="161">
        <f t="shared" si="227"/>
        <v>0</v>
      </c>
      <c r="DW176" s="161">
        <f t="shared" si="228"/>
        <v>0</v>
      </c>
      <c r="DX176" s="161">
        <f t="shared" si="229"/>
        <v>0</v>
      </c>
      <c r="DY176" s="161">
        <f t="shared" si="230"/>
        <v>0</v>
      </c>
      <c r="DZ176" s="161">
        <f t="shared" si="231"/>
        <v>0</v>
      </c>
      <c r="EA176" s="161">
        <f t="shared" si="232"/>
        <v>0</v>
      </c>
      <c r="EB176" s="161">
        <f t="shared" si="233"/>
        <v>0</v>
      </c>
      <c r="EC176" s="161">
        <f t="shared" si="234"/>
        <v>0</v>
      </c>
      <c r="ED176" s="161">
        <f t="shared" si="235"/>
        <v>0</v>
      </c>
      <c r="EE176" s="161">
        <f t="shared" si="236"/>
        <v>0</v>
      </c>
      <c r="EF176" s="161">
        <f t="shared" si="237"/>
        <v>0</v>
      </c>
      <c r="EG176" s="161">
        <f t="shared" si="238"/>
        <v>0</v>
      </c>
      <c r="EH176" s="161">
        <f t="shared" si="239"/>
        <v>0</v>
      </c>
      <c r="EI176" s="161">
        <f t="shared" si="240"/>
        <v>0</v>
      </c>
      <c r="EJ176" s="161">
        <f t="shared" si="241"/>
        <v>0</v>
      </c>
      <c r="EK176" s="147">
        <f t="shared" si="173"/>
        <v>0</v>
      </c>
      <c r="EL176" s="149"/>
      <c r="EN176" s="146"/>
      <c r="EO176" s="146"/>
      <c r="EP176" s="139">
        <f t="shared" si="174"/>
        <v>0</v>
      </c>
      <c r="EQ176" s="139">
        <f t="shared" si="175"/>
        <v>0</v>
      </c>
      <c r="ER176" s="139">
        <f t="shared" si="176"/>
        <v>0</v>
      </c>
      <c r="ES176" s="139">
        <f t="shared" si="177"/>
        <v>0</v>
      </c>
      <c r="ET176" s="139">
        <f t="shared" si="178"/>
        <v>0</v>
      </c>
      <c r="EU176" s="139">
        <f t="shared" si="179"/>
        <v>0</v>
      </c>
      <c r="EV176" s="139">
        <f t="shared" si="180"/>
        <v>0</v>
      </c>
      <c r="EW176" s="139">
        <f t="shared" si="181"/>
        <v>0</v>
      </c>
      <c r="EX176" s="139">
        <f t="shared" si="182"/>
        <v>0</v>
      </c>
      <c r="EY176" s="139">
        <f t="shared" si="183"/>
        <v>0</v>
      </c>
      <c r="EZ176" s="139">
        <f t="shared" si="184"/>
        <v>0</v>
      </c>
      <c r="FA176" s="139">
        <f t="shared" si="185"/>
        <v>0</v>
      </c>
      <c r="FB176" s="139">
        <f t="shared" si="186"/>
        <v>0</v>
      </c>
      <c r="FC176" s="139">
        <f t="shared" si="187"/>
        <v>0</v>
      </c>
      <c r="FD176" s="139">
        <f t="shared" si="188"/>
        <v>0</v>
      </c>
      <c r="FE176" s="139">
        <f t="shared" si="189"/>
        <v>0</v>
      </c>
      <c r="FF176" s="139">
        <f t="shared" si="190"/>
        <v>0</v>
      </c>
      <c r="FG176" s="139">
        <f t="shared" si="191"/>
        <v>0</v>
      </c>
      <c r="FH176" s="139">
        <f t="shared" si="192"/>
        <v>0</v>
      </c>
      <c r="FI176" s="139">
        <f t="shared" si="193"/>
        <v>0</v>
      </c>
      <c r="FJ176" s="139">
        <f t="shared" si="194"/>
        <v>0</v>
      </c>
      <c r="FK176" s="139">
        <f t="shared" si="195"/>
        <v>0</v>
      </c>
      <c r="FL176" s="139">
        <f t="shared" si="196"/>
        <v>0</v>
      </c>
      <c r="FM176" s="139">
        <f t="shared" si="197"/>
        <v>0</v>
      </c>
      <c r="FN176" s="139">
        <f t="shared" si="198"/>
        <v>0</v>
      </c>
      <c r="FO176" s="139">
        <f t="shared" si="199"/>
        <v>0</v>
      </c>
      <c r="FP176" s="139">
        <f t="shared" si="200"/>
        <v>0</v>
      </c>
      <c r="FQ176" s="139">
        <f t="shared" si="201"/>
        <v>0</v>
      </c>
      <c r="FR176" s="139">
        <f t="shared" si="202"/>
        <v>0</v>
      </c>
      <c r="FS176" s="139">
        <f t="shared" si="203"/>
        <v>0</v>
      </c>
      <c r="FT176" s="139">
        <f t="shared" si="204"/>
        <v>0</v>
      </c>
      <c r="FU176" s="148">
        <f t="shared" si="205"/>
        <v>0</v>
      </c>
      <c r="FV176" s="149"/>
      <c r="FY176" s="213">
        <v>171</v>
      </c>
      <c r="FZ176">
        <v>10.49677584431708</v>
      </c>
      <c r="GA176">
        <v>12.019505781765499</v>
      </c>
      <c r="GB176">
        <v>6.6722688079621317</v>
      </c>
      <c r="GC176">
        <v>5.0448307191197408</v>
      </c>
      <c r="GD176">
        <v>2.1108817716545607</v>
      </c>
      <c r="GE176">
        <v>2.1610981810052898</v>
      </c>
      <c r="GF176">
        <v>1.6901566755062594</v>
      </c>
      <c r="GG176">
        <v>2.3736080684453325</v>
      </c>
      <c r="GH176">
        <v>1.5603693116103559</v>
      </c>
      <c r="GI176">
        <v>4.9812456648916887</v>
      </c>
      <c r="GJ176"/>
      <c r="GK176"/>
      <c r="GL176"/>
      <c r="GM176"/>
      <c r="GN176" s="208"/>
      <c r="GO176" s="208"/>
      <c r="GP176" s="208"/>
      <c r="GQ176" s="208"/>
      <c r="GR176" s="208"/>
      <c r="GS176" s="208"/>
      <c r="GT176" s="208"/>
      <c r="GU176" s="213">
        <v>171</v>
      </c>
    </row>
    <row r="177" spans="1:203" s="7" customFormat="1">
      <c r="A177" s="1"/>
      <c r="B177" s="76">
        <f ca="1">IF(C177="", "", RAND())</f>
        <v>0.3551111255992867</v>
      </c>
      <c r="C177">
        <v>5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106.92202419650444</v>
      </c>
      <c r="AO177">
        <v>16.490629421703069</v>
      </c>
      <c r="AP177">
        <v>109.6615285904774</v>
      </c>
      <c r="AQ177">
        <v>133.85491840411319</v>
      </c>
      <c r="AR177">
        <v>15.077468955641208</v>
      </c>
      <c r="AS177">
        <v>205.9020666783712</v>
      </c>
      <c r="AT177" t="e">
        <v>#DIV/0!</v>
      </c>
      <c r="AU177" t="e">
        <v>#DIV/0!</v>
      </c>
      <c r="AV177"/>
      <c r="AW177"/>
      <c r="AX177" s="146"/>
      <c r="AY177" s="76">
        <f t="shared" ca="1" si="171"/>
        <v>0.87330484169375322</v>
      </c>
      <c r="AZ177">
        <v>10</v>
      </c>
      <c r="BA177" s="129">
        <f t="shared" si="245"/>
        <v>39949</v>
      </c>
      <c r="BB177" s="207">
        <v>0</v>
      </c>
      <c r="BC177" s="207">
        <v>0</v>
      </c>
      <c r="BD177" s="207">
        <v>0</v>
      </c>
      <c r="BE177" s="207">
        <v>0</v>
      </c>
      <c r="BF177" s="207">
        <v>0</v>
      </c>
      <c r="BG177" s="207">
        <v>0</v>
      </c>
      <c r="BH177" s="207">
        <v>0</v>
      </c>
      <c r="BI177" s="207">
        <v>0</v>
      </c>
      <c r="BJ177" s="207">
        <v>0</v>
      </c>
      <c r="BK177" s="207">
        <v>0</v>
      </c>
      <c r="BL177" s="207">
        <v>0</v>
      </c>
      <c r="BM177" s="207">
        <v>0</v>
      </c>
      <c r="BN177" s="207">
        <v>0</v>
      </c>
      <c r="BO177" s="207">
        <v>0</v>
      </c>
      <c r="BP177" s="207">
        <v>0</v>
      </c>
      <c r="BQ177" s="207">
        <v>0</v>
      </c>
      <c r="BR177" s="207">
        <v>0</v>
      </c>
      <c r="BS177" s="207">
        <v>0</v>
      </c>
      <c r="BT177" s="207">
        <v>0</v>
      </c>
      <c r="BU177" s="207">
        <v>0</v>
      </c>
      <c r="BV177" s="207">
        <v>0</v>
      </c>
      <c r="BW177" s="207">
        <v>0</v>
      </c>
      <c r="BX177" s="207">
        <v>0</v>
      </c>
      <c r="BY177" s="207">
        <v>0</v>
      </c>
      <c r="BZ177" s="207">
        <v>0</v>
      </c>
      <c r="CA177" s="207">
        <v>0</v>
      </c>
      <c r="CB177" s="207">
        <v>0</v>
      </c>
      <c r="CC177" s="207">
        <v>0</v>
      </c>
      <c r="CD177" s="207">
        <v>0</v>
      </c>
      <c r="CE177" s="207">
        <v>0</v>
      </c>
      <c r="CF177" s="207"/>
      <c r="CG177" s="147"/>
      <c r="CH177" s="176"/>
      <c r="CJ177" s="146"/>
      <c r="CK177" s="76">
        <f t="shared" ca="1" si="206"/>
        <v>0.18850433233584041</v>
      </c>
      <c r="CL177" s="179">
        <f t="shared" si="207"/>
        <v>10</v>
      </c>
      <c r="CM177" s="180">
        <f t="shared" si="208"/>
        <v>39949</v>
      </c>
      <c r="CN177" s="208">
        <v>0</v>
      </c>
      <c r="CO177" s="208">
        <v>0</v>
      </c>
      <c r="CP177" s="208">
        <v>0</v>
      </c>
      <c r="CQ177" s="208">
        <v>0</v>
      </c>
      <c r="CR177" s="208">
        <v>0</v>
      </c>
      <c r="CS177" s="208">
        <v>0</v>
      </c>
      <c r="CT177" s="208">
        <v>0</v>
      </c>
      <c r="CU177" s="208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9"/>
        <v>9.6000000000000002E-2</v>
      </c>
      <c r="DB177" s="146"/>
      <c r="DC177" s="76">
        <f t="shared" ca="1" si="172"/>
        <v>0.39635827881294272</v>
      </c>
      <c r="DD177">
        <f t="shared" si="210"/>
        <v>10</v>
      </c>
      <c r="DE177" s="129">
        <f t="shared" si="244"/>
        <v>39949</v>
      </c>
      <c r="DF177" s="161">
        <f t="shared" si="211"/>
        <v>0</v>
      </c>
      <c r="DG177" s="161">
        <f t="shared" si="212"/>
        <v>0</v>
      </c>
      <c r="DH177" s="161">
        <f t="shared" si="213"/>
        <v>0</v>
      </c>
      <c r="DI177" s="161">
        <f t="shared" si="214"/>
        <v>0</v>
      </c>
      <c r="DJ177" s="161">
        <f t="shared" si="215"/>
        <v>0</v>
      </c>
      <c r="DK177" s="161">
        <f t="shared" si="216"/>
        <v>0</v>
      </c>
      <c r="DL177" s="161">
        <f t="shared" si="217"/>
        <v>0</v>
      </c>
      <c r="DM177" s="161">
        <f t="shared" si="218"/>
        <v>0</v>
      </c>
      <c r="DN177" s="161">
        <f t="shared" si="219"/>
        <v>0</v>
      </c>
      <c r="DO177" s="161">
        <f t="shared" si="220"/>
        <v>0</v>
      </c>
      <c r="DP177" s="161">
        <f t="shared" si="221"/>
        <v>0</v>
      </c>
      <c r="DQ177" s="161">
        <f t="shared" si="222"/>
        <v>0</v>
      </c>
      <c r="DR177" s="161">
        <f t="shared" si="223"/>
        <v>0</v>
      </c>
      <c r="DS177" s="161">
        <f t="shared" si="224"/>
        <v>0</v>
      </c>
      <c r="DT177" s="161">
        <f t="shared" si="225"/>
        <v>0</v>
      </c>
      <c r="DU177" s="161">
        <f t="shared" si="226"/>
        <v>0</v>
      </c>
      <c r="DV177" s="161">
        <f t="shared" si="227"/>
        <v>0</v>
      </c>
      <c r="DW177" s="161">
        <f t="shared" si="228"/>
        <v>0</v>
      </c>
      <c r="DX177" s="161">
        <f t="shared" si="229"/>
        <v>0</v>
      </c>
      <c r="DY177" s="161">
        <f t="shared" si="230"/>
        <v>0</v>
      </c>
      <c r="DZ177" s="161">
        <f t="shared" si="231"/>
        <v>0</v>
      </c>
      <c r="EA177" s="161">
        <f t="shared" si="232"/>
        <v>0</v>
      </c>
      <c r="EB177" s="161">
        <f t="shared" si="233"/>
        <v>0</v>
      </c>
      <c r="EC177" s="161">
        <f t="shared" si="234"/>
        <v>0</v>
      </c>
      <c r="ED177" s="161">
        <f t="shared" si="235"/>
        <v>0</v>
      </c>
      <c r="EE177" s="161">
        <f t="shared" si="236"/>
        <v>0</v>
      </c>
      <c r="EF177" s="161">
        <f t="shared" si="237"/>
        <v>0</v>
      </c>
      <c r="EG177" s="161">
        <f t="shared" si="238"/>
        <v>0</v>
      </c>
      <c r="EH177" s="161">
        <f t="shared" si="239"/>
        <v>0</v>
      </c>
      <c r="EI177" s="161">
        <f t="shared" si="240"/>
        <v>0</v>
      </c>
      <c r="EJ177" s="161">
        <f t="shared" si="241"/>
        <v>0</v>
      </c>
      <c r="EK177" s="147">
        <f t="shared" si="173"/>
        <v>0</v>
      </c>
      <c r="EL177" s="149"/>
      <c r="EN177" s="146"/>
      <c r="EO177" s="146"/>
      <c r="EP177" s="139">
        <f t="shared" si="174"/>
        <v>0</v>
      </c>
      <c r="EQ177" s="139">
        <f t="shared" si="175"/>
        <v>0</v>
      </c>
      <c r="ER177" s="139">
        <f t="shared" si="176"/>
        <v>0</v>
      </c>
      <c r="ES177" s="139">
        <f t="shared" si="177"/>
        <v>0</v>
      </c>
      <c r="ET177" s="139">
        <f t="shared" si="178"/>
        <v>0</v>
      </c>
      <c r="EU177" s="139">
        <f t="shared" si="179"/>
        <v>0</v>
      </c>
      <c r="EV177" s="139">
        <f t="shared" si="180"/>
        <v>0</v>
      </c>
      <c r="EW177" s="139">
        <f t="shared" si="181"/>
        <v>0</v>
      </c>
      <c r="EX177" s="139">
        <f t="shared" si="182"/>
        <v>0</v>
      </c>
      <c r="EY177" s="139">
        <f t="shared" si="183"/>
        <v>0</v>
      </c>
      <c r="EZ177" s="139">
        <f t="shared" si="184"/>
        <v>0</v>
      </c>
      <c r="FA177" s="139">
        <f t="shared" si="185"/>
        <v>0</v>
      </c>
      <c r="FB177" s="139">
        <f t="shared" si="186"/>
        <v>0</v>
      </c>
      <c r="FC177" s="139">
        <f t="shared" si="187"/>
        <v>0</v>
      </c>
      <c r="FD177" s="139">
        <f t="shared" si="188"/>
        <v>0</v>
      </c>
      <c r="FE177" s="139">
        <f t="shared" si="189"/>
        <v>0</v>
      </c>
      <c r="FF177" s="139">
        <f t="shared" si="190"/>
        <v>0</v>
      </c>
      <c r="FG177" s="139">
        <f t="shared" si="191"/>
        <v>0</v>
      </c>
      <c r="FH177" s="139">
        <f t="shared" si="192"/>
        <v>0</v>
      </c>
      <c r="FI177" s="139">
        <f t="shared" si="193"/>
        <v>0</v>
      </c>
      <c r="FJ177" s="139">
        <f t="shared" si="194"/>
        <v>0</v>
      </c>
      <c r="FK177" s="139">
        <f t="shared" si="195"/>
        <v>0</v>
      </c>
      <c r="FL177" s="139">
        <f t="shared" si="196"/>
        <v>0</v>
      </c>
      <c r="FM177" s="139">
        <f t="shared" si="197"/>
        <v>0</v>
      </c>
      <c r="FN177" s="139">
        <f t="shared" si="198"/>
        <v>0</v>
      </c>
      <c r="FO177" s="139">
        <f t="shared" si="199"/>
        <v>0</v>
      </c>
      <c r="FP177" s="139">
        <f t="shared" si="200"/>
        <v>0</v>
      </c>
      <c r="FQ177" s="139">
        <f t="shared" si="201"/>
        <v>0</v>
      </c>
      <c r="FR177" s="139">
        <f t="shared" si="202"/>
        <v>0</v>
      </c>
      <c r="FS177" s="139">
        <f t="shared" si="203"/>
        <v>0</v>
      </c>
      <c r="FT177" s="139">
        <f t="shared" si="204"/>
        <v>0</v>
      </c>
      <c r="FU177" s="148">
        <f t="shared" si="205"/>
        <v>0</v>
      </c>
      <c r="FV177" s="149"/>
      <c r="FY177" s="213">
        <v>172</v>
      </c>
      <c r="FZ177">
        <v>42.347332330039698</v>
      </c>
      <c r="GA177">
        <v>51.555037263705636</v>
      </c>
      <c r="GB177">
        <v>13.618375487826286</v>
      </c>
      <c r="GC177">
        <v>7.9488043640860422</v>
      </c>
      <c r="GD177">
        <v>1.8081776008487922</v>
      </c>
      <c r="GE177">
        <v>1.941835836659684</v>
      </c>
      <c r="GF177">
        <v>3.2216469990705523</v>
      </c>
      <c r="GG177">
        <v>4.6611331913380463</v>
      </c>
      <c r="GH177">
        <v>3.1207386232207117</v>
      </c>
      <c r="GI177">
        <v>11.806335247443489</v>
      </c>
      <c r="GJ177"/>
      <c r="GK177"/>
      <c r="GL177"/>
      <c r="GM177"/>
      <c r="GN177" s="208"/>
      <c r="GO177" s="208"/>
      <c r="GP177" s="208"/>
      <c r="GQ177" s="208"/>
      <c r="GR177" s="208"/>
      <c r="GS177" s="208"/>
      <c r="GT177" s="208"/>
      <c r="GU177" s="213">
        <v>172</v>
      </c>
    </row>
    <row r="178" spans="1:203" s="7" customFormat="1">
      <c r="A178" s="128"/>
      <c r="B178" s="76">
        <f ca="1">IF(C178="", "", RAND())</f>
        <v>0.29722453325721765</v>
      </c>
      <c r="C178">
        <v>3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92.530393890535862</v>
      </c>
      <c r="AO178">
        <v>11.123299013418432</v>
      </c>
      <c r="AP178">
        <v>67.210502903329711</v>
      </c>
      <c r="AQ178">
        <v>87.418058494349253</v>
      </c>
      <c r="AR178">
        <v>10.365982097157223</v>
      </c>
      <c r="AS178">
        <v>147.76119065179211</v>
      </c>
      <c r="AT178" t="e">
        <v>#DIV/0!</v>
      </c>
      <c r="AU178" t="e">
        <v>#DIV/0!</v>
      </c>
      <c r="AV178"/>
      <c r="AW178"/>
      <c r="AX178" s="128"/>
      <c r="AY178" s="76">
        <f t="shared" ca="1" si="171"/>
        <v>0.77087683242140814</v>
      </c>
      <c r="AZ178">
        <v>1</v>
      </c>
      <c r="BA178" s="129">
        <f>IF(AZ178="", "",$C$13)</f>
        <v>39987</v>
      </c>
      <c r="BB178" s="207">
        <v>0</v>
      </c>
      <c r="BC178" s="207">
        <v>0</v>
      </c>
      <c r="BD178" s="207">
        <v>0</v>
      </c>
      <c r="BE178" s="207">
        <v>0</v>
      </c>
      <c r="BF178" s="207">
        <v>0</v>
      </c>
      <c r="BG178" s="207">
        <v>0</v>
      </c>
      <c r="BH178" s="207">
        <v>0</v>
      </c>
      <c r="BI178" s="207">
        <v>0</v>
      </c>
      <c r="BJ178" s="207">
        <v>0</v>
      </c>
      <c r="BK178" s="207">
        <v>0</v>
      </c>
      <c r="BL178" s="207">
        <v>0</v>
      </c>
      <c r="BM178" s="207">
        <v>0</v>
      </c>
      <c r="BN178" s="207">
        <v>0</v>
      </c>
      <c r="BO178" s="207">
        <v>0</v>
      </c>
      <c r="BP178" s="207">
        <v>0</v>
      </c>
      <c r="BQ178" s="207">
        <v>0</v>
      </c>
      <c r="BR178" s="207">
        <v>0</v>
      </c>
      <c r="BS178" s="207">
        <v>0</v>
      </c>
      <c r="BT178" s="207">
        <v>0</v>
      </c>
      <c r="BU178" s="207">
        <v>0</v>
      </c>
      <c r="BV178" s="207">
        <v>0</v>
      </c>
      <c r="BW178" s="207">
        <v>0</v>
      </c>
      <c r="BX178" s="207">
        <v>0</v>
      </c>
      <c r="BY178" s="207">
        <v>0</v>
      </c>
      <c r="BZ178" s="207">
        <v>0</v>
      </c>
      <c r="CA178" s="207">
        <v>0</v>
      </c>
      <c r="CB178" s="207">
        <v>0</v>
      </c>
      <c r="CC178" s="207">
        <v>0</v>
      </c>
      <c r="CD178" s="207">
        <v>0</v>
      </c>
      <c r="CE178" s="207">
        <v>0</v>
      </c>
      <c r="CF178" s="207"/>
      <c r="CG178" s="147"/>
      <c r="CH178" s="176"/>
      <c r="CJ178" s="128"/>
      <c r="CK178" s="76">
        <f t="shared" ca="1" si="206"/>
        <v>4.2878120030931832E-2</v>
      </c>
      <c r="CL178" s="179">
        <f t="shared" si="207"/>
        <v>1</v>
      </c>
      <c r="CM178" s="180">
        <f t="shared" si="208"/>
        <v>39987</v>
      </c>
      <c r="CN178" s="208">
        <v>0</v>
      </c>
      <c r="CO178" s="208">
        <v>0</v>
      </c>
      <c r="CP178" s="208">
        <v>0</v>
      </c>
      <c r="CQ178" s="208">
        <v>0</v>
      </c>
      <c r="CR178" s="208">
        <v>0</v>
      </c>
      <c r="CS178" s="208">
        <v>0</v>
      </c>
      <c r="CT178" s="208">
        <v>0</v>
      </c>
      <c r="CU178" s="20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9"/>
        <v>9.6000000000000002E-2</v>
      </c>
      <c r="DB178" s="128"/>
      <c r="DC178" s="76">
        <f t="shared" ca="1" si="172"/>
        <v>6.8358061456176511E-2</v>
      </c>
      <c r="DD178">
        <f t="shared" si="210"/>
        <v>1</v>
      </c>
      <c r="DE178" s="129">
        <f t="shared" ref="DE178:DE187" si="246">IF((DD178)="", "", $C$13)</f>
        <v>39987</v>
      </c>
      <c r="DF178" s="161">
        <f t="shared" si="211"/>
        <v>0</v>
      </c>
      <c r="DG178" s="161">
        <f t="shared" si="212"/>
        <v>0</v>
      </c>
      <c r="DH178" s="161">
        <f t="shared" si="213"/>
        <v>0</v>
      </c>
      <c r="DI178" s="161">
        <f t="shared" si="214"/>
        <v>0</v>
      </c>
      <c r="DJ178" s="161">
        <f t="shared" si="215"/>
        <v>0</v>
      </c>
      <c r="DK178" s="161">
        <f t="shared" si="216"/>
        <v>0</v>
      </c>
      <c r="DL178" s="161">
        <f t="shared" si="217"/>
        <v>0</v>
      </c>
      <c r="DM178" s="161">
        <f t="shared" si="218"/>
        <v>0</v>
      </c>
      <c r="DN178" s="161">
        <f t="shared" si="219"/>
        <v>0</v>
      </c>
      <c r="DO178" s="161">
        <f t="shared" si="220"/>
        <v>0</v>
      </c>
      <c r="DP178" s="161">
        <f t="shared" si="221"/>
        <v>0</v>
      </c>
      <c r="DQ178" s="161">
        <f t="shared" si="222"/>
        <v>0</v>
      </c>
      <c r="DR178" s="161">
        <f t="shared" si="223"/>
        <v>0</v>
      </c>
      <c r="DS178" s="161">
        <f t="shared" si="224"/>
        <v>0</v>
      </c>
      <c r="DT178" s="161">
        <f t="shared" si="225"/>
        <v>0</v>
      </c>
      <c r="DU178" s="161">
        <f t="shared" si="226"/>
        <v>0</v>
      </c>
      <c r="DV178" s="161">
        <f t="shared" si="227"/>
        <v>0</v>
      </c>
      <c r="DW178" s="161">
        <f t="shared" si="228"/>
        <v>0</v>
      </c>
      <c r="DX178" s="161">
        <f t="shared" si="229"/>
        <v>0</v>
      </c>
      <c r="DY178" s="161">
        <f t="shared" si="230"/>
        <v>0</v>
      </c>
      <c r="DZ178" s="161">
        <f t="shared" si="231"/>
        <v>0</v>
      </c>
      <c r="EA178" s="161">
        <f t="shared" si="232"/>
        <v>0</v>
      </c>
      <c r="EB178" s="161">
        <f t="shared" si="233"/>
        <v>0</v>
      </c>
      <c r="EC178" s="161">
        <f t="shared" si="234"/>
        <v>0</v>
      </c>
      <c r="ED178" s="161">
        <f t="shared" si="235"/>
        <v>0</v>
      </c>
      <c r="EE178" s="161">
        <f t="shared" si="236"/>
        <v>0</v>
      </c>
      <c r="EF178" s="161">
        <f t="shared" si="237"/>
        <v>0</v>
      </c>
      <c r="EG178" s="161">
        <f t="shared" si="238"/>
        <v>0</v>
      </c>
      <c r="EH178" s="161">
        <f t="shared" si="239"/>
        <v>0</v>
      </c>
      <c r="EI178" s="161">
        <f t="shared" si="240"/>
        <v>0</v>
      </c>
      <c r="EJ178" s="161">
        <f t="shared" si="241"/>
        <v>0</v>
      </c>
      <c r="EK178" s="147">
        <f t="shared" si="173"/>
        <v>0</v>
      </c>
      <c r="EL178" s="149"/>
      <c r="EN178" s="146"/>
      <c r="EO178" s="146"/>
      <c r="EP178" s="139">
        <f t="shared" si="174"/>
        <v>0</v>
      </c>
      <c r="EQ178" s="139">
        <f t="shared" si="175"/>
        <v>0</v>
      </c>
      <c r="ER178" s="139">
        <f t="shared" si="176"/>
        <v>0</v>
      </c>
      <c r="ES178" s="139">
        <f t="shared" si="177"/>
        <v>0</v>
      </c>
      <c r="ET178" s="139">
        <f t="shared" si="178"/>
        <v>0</v>
      </c>
      <c r="EU178" s="139">
        <f t="shared" si="179"/>
        <v>0</v>
      </c>
      <c r="EV178" s="139">
        <f t="shared" si="180"/>
        <v>0</v>
      </c>
      <c r="EW178" s="139">
        <f t="shared" si="181"/>
        <v>0</v>
      </c>
      <c r="EX178" s="139">
        <f t="shared" si="182"/>
        <v>0</v>
      </c>
      <c r="EY178" s="139">
        <f t="shared" si="183"/>
        <v>0</v>
      </c>
      <c r="EZ178" s="139">
        <f t="shared" si="184"/>
        <v>0</v>
      </c>
      <c r="FA178" s="139">
        <f t="shared" si="185"/>
        <v>0</v>
      </c>
      <c r="FB178" s="139">
        <f t="shared" si="186"/>
        <v>0</v>
      </c>
      <c r="FC178" s="139">
        <f t="shared" si="187"/>
        <v>0</v>
      </c>
      <c r="FD178" s="139">
        <f t="shared" si="188"/>
        <v>0</v>
      </c>
      <c r="FE178" s="139">
        <f t="shared" si="189"/>
        <v>0</v>
      </c>
      <c r="FF178" s="139">
        <f t="shared" si="190"/>
        <v>0</v>
      </c>
      <c r="FG178" s="139">
        <f t="shared" si="191"/>
        <v>0</v>
      </c>
      <c r="FH178" s="139">
        <f t="shared" si="192"/>
        <v>0</v>
      </c>
      <c r="FI178" s="139">
        <f t="shared" si="193"/>
        <v>0</v>
      </c>
      <c r="FJ178" s="139">
        <f t="shared" si="194"/>
        <v>0</v>
      </c>
      <c r="FK178" s="139">
        <f t="shared" si="195"/>
        <v>0</v>
      </c>
      <c r="FL178" s="139">
        <f t="shared" si="196"/>
        <v>0</v>
      </c>
      <c r="FM178" s="139">
        <f t="shared" si="197"/>
        <v>0</v>
      </c>
      <c r="FN178" s="139">
        <f t="shared" si="198"/>
        <v>0</v>
      </c>
      <c r="FO178" s="139">
        <f t="shared" si="199"/>
        <v>0</v>
      </c>
      <c r="FP178" s="139">
        <f t="shared" si="200"/>
        <v>0</v>
      </c>
      <c r="FQ178" s="139">
        <f t="shared" si="201"/>
        <v>0</v>
      </c>
      <c r="FR178" s="139">
        <f t="shared" si="202"/>
        <v>0</v>
      </c>
      <c r="FS178" s="139">
        <f t="shared" si="203"/>
        <v>0</v>
      </c>
      <c r="FT178" s="139">
        <f t="shared" si="204"/>
        <v>0</v>
      </c>
      <c r="FU178" s="148">
        <f t="shared" si="205"/>
        <v>0</v>
      </c>
      <c r="FV178" s="149"/>
      <c r="FY178" s="213">
        <v>173</v>
      </c>
      <c r="FZ178">
        <v>48.936932132732622</v>
      </c>
      <c r="GA178">
        <v>61.16473995143847</v>
      </c>
      <c r="GB178">
        <v>8.9993478934265365</v>
      </c>
      <c r="GC178">
        <v>5.4484140291973766</v>
      </c>
      <c r="GD178">
        <v>2.9309232422821649</v>
      </c>
      <c r="GE178">
        <v>2.8556259299602225</v>
      </c>
      <c r="GF178">
        <v>6.0018146671427273</v>
      </c>
      <c r="GG178">
        <v>6.0756191087174836</v>
      </c>
      <c r="GH178">
        <v>3.3627822549657664</v>
      </c>
      <c r="GI178">
        <v>12.848110175700084</v>
      </c>
      <c r="GJ178"/>
      <c r="GK178"/>
      <c r="GL178"/>
      <c r="GM178"/>
      <c r="GN178" s="208"/>
      <c r="GO178" s="208"/>
      <c r="GP178" s="208"/>
      <c r="GQ178" s="208"/>
      <c r="GR178" s="208"/>
      <c r="GS178" s="208"/>
      <c r="GT178" s="208"/>
      <c r="GU178" s="213">
        <v>173</v>
      </c>
    </row>
    <row r="179" spans="1:203" s="7" customFormat="1">
      <c r="A179" s="1"/>
      <c r="B179" s="76">
        <f ca="1">IF(C179="", "", RAND())</f>
        <v>0.40343569713216931</v>
      </c>
      <c r="C179">
        <v>9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109.53728958058318</v>
      </c>
      <c r="AO179">
        <v>13.518724243134148</v>
      </c>
      <c r="AP179">
        <v>66.124124833983927</v>
      </c>
      <c r="AQ179">
        <v>105.15959563394208</v>
      </c>
      <c r="AR179">
        <v>12.521641581071185</v>
      </c>
      <c r="AS179">
        <v>174.14470050097523</v>
      </c>
      <c r="AT179">
        <v>8.1536922802371574</v>
      </c>
      <c r="AU179">
        <v>16.000926419653673</v>
      </c>
      <c r="AV179"/>
      <c r="AW179"/>
      <c r="AX179" s="146"/>
      <c r="AY179" s="76">
        <f t="shared" ca="1" si="171"/>
        <v>0.54016612217223714</v>
      </c>
      <c r="AZ179">
        <v>2</v>
      </c>
      <c r="BA179" s="129">
        <f t="shared" ref="BA179:BA187" si="247">IF(AZ179="", "",$C$13)</f>
        <v>39987</v>
      </c>
      <c r="BB179" s="207">
        <v>0</v>
      </c>
      <c r="BC179" s="207">
        <v>0</v>
      </c>
      <c r="BD179" s="207">
        <v>0</v>
      </c>
      <c r="BE179" s="207">
        <v>0</v>
      </c>
      <c r="BF179" s="207">
        <v>0</v>
      </c>
      <c r="BG179" s="207">
        <v>0</v>
      </c>
      <c r="BH179" s="207">
        <v>0</v>
      </c>
      <c r="BI179" s="207">
        <v>0</v>
      </c>
      <c r="BJ179" s="207">
        <v>0</v>
      </c>
      <c r="BK179" s="207">
        <v>0</v>
      </c>
      <c r="BL179" s="207">
        <v>0</v>
      </c>
      <c r="BM179" s="207">
        <v>0</v>
      </c>
      <c r="BN179" s="207">
        <v>0</v>
      </c>
      <c r="BO179" s="207">
        <v>0</v>
      </c>
      <c r="BP179" s="207">
        <v>0</v>
      </c>
      <c r="BQ179" s="207">
        <v>0</v>
      </c>
      <c r="BR179" s="207">
        <v>0</v>
      </c>
      <c r="BS179" s="207">
        <v>0</v>
      </c>
      <c r="BT179" s="207">
        <v>0</v>
      </c>
      <c r="BU179" s="207">
        <v>0</v>
      </c>
      <c r="BV179" s="207">
        <v>0</v>
      </c>
      <c r="BW179" s="207">
        <v>0</v>
      </c>
      <c r="BX179" s="207">
        <v>0</v>
      </c>
      <c r="BY179" s="207">
        <v>0</v>
      </c>
      <c r="BZ179" s="207">
        <v>0</v>
      </c>
      <c r="CA179" s="207">
        <v>0</v>
      </c>
      <c r="CB179" s="207">
        <v>0</v>
      </c>
      <c r="CC179" s="207">
        <v>0</v>
      </c>
      <c r="CD179" s="207">
        <v>0</v>
      </c>
      <c r="CE179" s="207">
        <v>0</v>
      </c>
      <c r="CF179" s="207"/>
      <c r="CG179" s="147"/>
      <c r="CH179" s="176"/>
      <c r="CJ179" s="146"/>
      <c r="CK179" s="76">
        <f t="shared" ca="1" si="206"/>
        <v>0.67542703006589644</v>
      </c>
      <c r="CL179" s="179">
        <f t="shared" si="207"/>
        <v>2</v>
      </c>
      <c r="CM179" s="180">
        <f t="shared" si="208"/>
        <v>39987</v>
      </c>
      <c r="CN179" s="208">
        <v>0</v>
      </c>
      <c r="CO179" s="208">
        <v>0</v>
      </c>
      <c r="CP179" s="208">
        <v>0</v>
      </c>
      <c r="CQ179" s="208">
        <v>0</v>
      </c>
      <c r="CR179" s="208">
        <v>0</v>
      </c>
      <c r="CS179" s="208">
        <v>0</v>
      </c>
      <c r="CT179" s="208">
        <v>0</v>
      </c>
      <c r="CU179" s="208">
        <v>0</v>
      </c>
      <c r="CV179" s="160"/>
      <c r="CW179">
        <v>1</v>
      </c>
      <c r="CX179">
        <f>355/64</f>
        <v>5.546875</v>
      </c>
      <c r="CY179" s="160"/>
      <c r="CZ179" s="177">
        <f t="shared" si="209"/>
        <v>9.6000000000000002E-2</v>
      </c>
      <c r="DB179" s="146"/>
      <c r="DC179" s="76">
        <f t="shared" ca="1" si="172"/>
        <v>0.87281770837117634</v>
      </c>
      <c r="DD179">
        <f t="shared" si="210"/>
        <v>2</v>
      </c>
      <c r="DE179" s="129">
        <f t="shared" si="246"/>
        <v>39987</v>
      </c>
      <c r="DF179" s="161">
        <f t="shared" si="211"/>
        <v>0</v>
      </c>
      <c r="DG179" s="161">
        <f t="shared" si="212"/>
        <v>0</v>
      </c>
      <c r="DH179" s="161">
        <f t="shared" si="213"/>
        <v>0</v>
      </c>
      <c r="DI179" s="161">
        <f t="shared" si="214"/>
        <v>0</v>
      </c>
      <c r="DJ179" s="161">
        <f t="shared" si="215"/>
        <v>0</v>
      </c>
      <c r="DK179" s="161">
        <f t="shared" si="216"/>
        <v>0</v>
      </c>
      <c r="DL179" s="161">
        <f t="shared" si="217"/>
        <v>0</v>
      </c>
      <c r="DM179" s="161">
        <f t="shared" si="218"/>
        <v>0</v>
      </c>
      <c r="DN179" s="161">
        <f t="shared" si="219"/>
        <v>0</v>
      </c>
      <c r="DO179" s="161">
        <f t="shared" si="220"/>
        <v>0</v>
      </c>
      <c r="DP179" s="161">
        <f t="shared" si="221"/>
        <v>0</v>
      </c>
      <c r="DQ179" s="161">
        <f t="shared" si="222"/>
        <v>0</v>
      </c>
      <c r="DR179" s="161">
        <f t="shared" si="223"/>
        <v>0</v>
      </c>
      <c r="DS179" s="161">
        <f t="shared" si="224"/>
        <v>0</v>
      </c>
      <c r="DT179" s="161">
        <f t="shared" si="225"/>
        <v>0</v>
      </c>
      <c r="DU179" s="161">
        <f t="shared" si="226"/>
        <v>0</v>
      </c>
      <c r="DV179" s="161">
        <f t="shared" si="227"/>
        <v>0</v>
      </c>
      <c r="DW179" s="161">
        <f t="shared" si="228"/>
        <v>0</v>
      </c>
      <c r="DX179" s="161">
        <f t="shared" si="229"/>
        <v>0</v>
      </c>
      <c r="DY179" s="161">
        <f t="shared" si="230"/>
        <v>0</v>
      </c>
      <c r="DZ179" s="161">
        <f t="shared" si="231"/>
        <v>0</v>
      </c>
      <c r="EA179" s="161">
        <f t="shared" si="232"/>
        <v>0</v>
      </c>
      <c r="EB179" s="161">
        <f t="shared" si="233"/>
        <v>0</v>
      </c>
      <c r="EC179" s="161">
        <f t="shared" si="234"/>
        <v>0</v>
      </c>
      <c r="ED179" s="161">
        <f t="shared" si="235"/>
        <v>0</v>
      </c>
      <c r="EE179" s="161">
        <f t="shared" si="236"/>
        <v>0</v>
      </c>
      <c r="EF179" s="161">
        <f t="shared" si="237"/>
        <v>0</v>
      </c>
      <c r="EG179" s="161">
        <f t="shared" si="238"/>
        <v>0</v>
      </c>
      <c r="EH179" s="161">
        <f t="shared" si="239"/>
        <v>0</v>
      </c>
      <c r="EI179" s="161">
        <f t="shared" si="240"/>
        <v>0</v>
      </c>
      <c r="EJ179" s="161">
        <f t="shared" si="241"/>
        <v>0</v>
      </c>
      <c r="EK179" s="147">
        <f t="shared" si="173"/>
        <v>0</v>
      </c>
      <c r="EL179" s="149"/>
      <c r="EN179" s="146"/>
      <c r="EO179" s="146"/>
      <c r="EP179" s="139">
        <f t="shared" si="174"/>
        <v>0</v>
      </c>
      <c r="EQ179" s="139">
        <f t="shared" si="175"/>
        <v>0</v>
      </c>
      <c r="ER179" s="139">
        <f t="shared" si="176"/>
        <v>0</v>
      </c>
      <c r="ES179" s="139">
        <f t="shared" si="177"/>
        <v>0</v>
      </c>
      <c r="ET179" s="139">
        <f t="shared" si="178"/>
        <v>0</v>
      </c>
      <c r="EU179" s="139">
        <f t="shared" si="179"/>
        <v>0</v>
      </c>
      <c r="EV179" s="139">
        <f t="shared" si="180"/>
        <v>0</v>
      </c>
      <c r="EW179" s="139">
        <f t="shared" si="181"/>
        <v>0</v>
      </c>
      <c r="EX179" s="139">
        <f t="shared" si="182"/>
        <v>0</v>
      </c>
      <c r="EY179" s="139">
        <f t="shared" si="183"/>
        <v>0</v>
      </c>
      <c r="EZ179" s="139">
        <f t="shared" si="184"/>
        <v>0</v>
      </c>
      <c r="FA179" s="139">
        <f t="shared" si="185"/>
        <v>0</v>
      </c>
      <c r="FB179" s="139">
        <f t="shared" si="186"/>
        <v>0</v>
      </c>
      <c r="FC179" s="139">
        <f t="shared" si="187"/>
        <v>0</v>
      </c>
      <c r="FD179" s="139">
        <f t="shared" si="188"/>
        <v>0</v>
      </c>
      <c r="FE179" s="139">
        <f t="shared" si="189"/>
        <v>0</v>
      </c>
      <c r="FF179" s="139">
        <f t="shared" si="190"/>
        <v>0</v>
      </c>
      <c r="FG179" s="139">
        <f t="shared" si="191"/>
        <v>0</v>
      </c>
      <c r="FH179" s="139">
        <f t="shared" si="192"/>
        <v>0</v>
      </c>
      <c r="FI179" s="139">
        <f t="shared" si="193"/>
        <v>0</v>
      </c>
      <c r="FJ179" s="139">
        <f t="shared" si="194"/>
        <v>0</v>
      </c>
      <c r="FK179" s="139">
        <f t="shared" si="195"/>
        <v>0</v>
      </c>
      <c r="FL179" s="139">
        <f t="shared" si="196"/>
        <v>0</v>
      </c>
      <c r="FM179" s="139">
        <f t="shared" si="197"/>
        <v>0</v>
      </c>
      <c r="FN179" s="139">
        <f t="shared" si="198"/>
        <v>0</v>
      </c>
      <c r="FO179" s="139">
        <f t="shared" si="199"/>
        <v>0</v>
      </c>
      <c r="FP179" s="139">
        <f t="shared" si="200"/>
        <v>0</v>
      </c>
      <c r="FQ179" s="139">
        <f t="shared" si="201"/>
        <v>0</v>
      </c>
      <c r="FR179" s="139">
        <f t="shared" si="202"/>
        <v>0</v>
      </c>
      <c r="FS179" s="139">
        <f t="shared" si="203"/>
        <v>0</v>
      </c>
      <c r="FT179" s="139">
        <f t="shared" si="204"/>
        <v>0</v>
      </c>
      <c r="FU179" s="148">
        <f t="shared" si="205"/>
        <v>0</v>
      </c>
      <c r="FV179" s="149"/>
      <c r="FY179" s="213">
        <v>174</v>
      </c>
      <c r="FZ179">
        <v>68.843187111798514</v>
      </c>
      <c r="GA179">
        <v>85.151466567500634</v>
      </c>
      <c r="GB179">
        <v>8.4658502802730808</v>
      </c>
      <c r="GC179">
        <v>4.2707048785091057</v>
      </c>
      <c r="GD179">
        <v>2.2528956608670985</v>
      </c>
      <c r="GE179">
        <v>3.1228011388460182</v>
      </c>
      <c r="GF179">
        <v>3.1611877253074168</v>
      </c>
      <c r="GG179">
        <v>2.0230259394484706</v>
      </c>
      <c r="GH179">
        <v>0.60080431445180338</v>
      </c>
      <c r="GI179">
        <v>14.304467231969207</v>
      </c>
      <c r="GJ179"/>
      <c r="GK179"/>
      <c r="GL179"/>
      <c r="GM179"/>
      <c r="GN179" s="208"/>
      <c r="GO179" s="208"/>
      <c r="GP179" s="208"/>
      <c r="GQ179" s="208"/>
      <c r="GR179" s="208"/>
      <c r="GS179" s="208"/>
      <c r="GT179" s="208"/>
      <c r="GU179" s="213">
        <v>174</v>
      </c>
    </row>
    <row r="180" spans="1:203" s="7" customFormat="1">
      <c r="A180" s="1"/>
      <c r="B180" s="76">
        <f ca="1">IF(C180="", "", RAND())</f>
        <v>0.20122485606561824</v>
      </c>
      <c r="C180">
        <v>6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84.009228360147489</v>
      </c>
      <c r="AO180">
        <v>13.118590812361489</v>
      </c>
      <c r="AP180">
        <v>110.16404862312029</v>
      </c>
      <c r="AQ180">
        <v>99.872752017618154</v>
      </c>
      <c r="AR180">
        <v>12.047139356855439</v>
      </c>
      <c r="AS180">
        <v>141.92498879959203</v>
      </c>
      <c r="AT180" t="e">
        <v>#DIV/0!</v>
      </c>
      <c r="AU180" t="e">
        <v>#DIV/0!</v>
      </c>
      <c r="AV180"/>
      <c r="AW180"/>
      <c r="AX180" s="146"/>
      <c r="AY180" s="76">
        <f t="shared" ca="1" si="171"/>
        <v>0.94517732749290406</v>
      </c>
      <c r="AZ180">
        <v>3</v>
      </c>
      <c r="BA180" s="129">
        <f t="shared" si="247"/>
        <v>39987</v>
      </c>
      <c r="BB180" s="207">
        <v>0</v>
      </c>
      <c r="BC180" s="207">
        <v>0</v>
      </c>
      <c r="BD180" s="207">
        <v>0</v>
      </c>
      <c r="BE180" s="207">
        <v>0</v>
      </c>
      <c r="BF180" s="207">
        <v>0</v>
      </c>
      <c r="BG180" s="207">
        <v>0</v>
      </c>
      <c r="BH180" s="207">
        <v>0</v>
      </c>
      <c r="BI180" s="207">
        <v>0</v>
      </c>
      <c r="BJ180" s="207">
        <v>0</v>
      </c>
      <c r="BK180" s="207">
        <v>0</v>
      </c>
      <c r="BL180" s="207">
        <v>0</v>
      </c>
      <c r="BM180" s="207">
        <v>0</v>
      </c>
      <c r="BN180" s="207">
        <v>0</v>
      </c>
      <c r="BO180" s="207">
        <v>0</v>
      </c>
      <c r="BP180" s="207">
        <v>0</v>
      </c>
      <c r="BQ180" s="207">
        <v>0</v>
      </c>
      <c r="BR180" s="207">
        <v>0</v>
      </c>
      <c r="BS180" s="207">
        <v>0</v>
      </c>
      <c r="BT180" s="207">
        <v>0</v>
      </c>
      <c r="BU180" s="207">
        <v>0</v>
      </c>
      <c r="BV180" s="207">
        <v>0</v>
      </c>
      <c r="BW180" s="207">
        <v>0</v>
      </c>
      <c r="BX180" s="207">
        <v>0</v>
      </c>
      <c r="BY180" s="207">
        <v>0</v>
      </c>
      <c r="BZ180" s="207">
        <v>0</v>
      </c>
      <c r="CA180" s="207">
        <v>0</v>
      </c>
      <c r="CB180" s="207">
        <v>0</v>
      </c>
      <c r="CC180" s="207">
        <v>0</v>
      </c>
      <c r="CD180" s="207">
        <v>0</v>
      </c>
      <c r="CE180" s="207">
        <v>0</v>
      </c>
      <c r="CF180" s="207"/>
      <c r="CG180" s="147"/>
      <c r="CH180" s="176"/>
      <c r="CJ180" s="146"/>
      <c r="CK180" s="76">
        <f t="shared" ca="1" si="206"/>
        <v>0.88134343018822059</v>
      </c>
      <c r="CL180" s="179">
        <f t="shared" si="207"/>
        <v>3</v>
      </c>
      <c r="CM180" s="180">
        <f t="shared" si="208"/>
        <v>39987</v>
      </c>
      <c r="CN180" s="208">
        <v>0</v>
      </c>
      <c r="CO180" s="208">
        <v>0</v>
      </c>
      <c r="CP180" s="208">
        <v>0</v>
      </c>
      <c r="CQ180" s="208">
        <v>0</v>
      </c>
      <c r="CR180" s="208">
        <v>0</v>
      </c>
      <c r="CS180" s="208">
        <v>0</v>
      </c>
      <c r="CT180" s="208">
        <v>0</v>
      </c>
      <c r="CU180" s="208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9"/>
        <v>9.6000000000000002E-2</v>
      </c>
      <c r="DB180" s="146"/>
      <c r="DC180" s="76">
        <f t="shared" ca="1" si="172"/>
        <v>0.33367526995479047</v>
      </c>
      <c r="DD180">
        <f t="shared" si="210"/>
        <v>3</v>
      </c>
      <c r="DE180" s="129">
        <f t="shared" si="246"/>
        <v>39987</v>
      </c>
      <c r="DF180" s="161">
        <f t="shared" si="211"/>
        <v>0</v>
      </c>
      <c r="DG180" s="161">
        <f t="shared" si="212"/>
        <v>0</v>
      </c>
      <c r="DH180" s="161">
        <f t="shared" si="213"/>
        <v>0</v>
      </c>
      <c r="DI180" s="161">
        <f t="shared" si="214"/>
        <v>0</v>
      </c>
      <c r="DJ180" s="161">
        <f t="shared" si="215"/>
        <v>0</v>
      </c>
      <c r="DK180" s="161">
        <f t="shared" si="216"/>
        <v>0</v>
      </c>
      <c r="DL180" s="161">
        <f t="shared" si="217"/>
        <v>0</v>
      </c>
      <c r="DM180" s="161">
        <f t="shared" si="218"/>
        <v>0</v>
      </c>
      <c r="DN180" s="161">
        <f t="shared" si="219"/>
        <v>0</v>
      </c>
      <c r="DO180" s="161">
        <f t="shared" si="220"/>
        <v>0</v>
      </c>
      <c r="DP180" s="161">
        <f t="shared" si="221"/>
        <v>0</v>
      </c>
      <c r="DQ180" s="161">
        <f t="shared" si="222"/>
        <v>0</v>
      </c>
      <c r="DR180" s="161">
        <f t="shared" si="223"/>
        <v>0</v>
      </c>
      <c r="DS180" s="161">
        <f t="shared" si="224"/>
        <v>0</v>
      </c>
      <c r="DT180" s="161">
        <f t="shared" si="225"/>
        <v>0</v>
      </c>
      <c r="DU180" s="161">
        <f t="shared" si="226"/>
        <v>0</v>
      </c>
      <c r="DV180" s="161">
        <f t="shared" si="227"/>
        <v>0</v>
      </c>
      <c r="DW180" s="161">
        <f t="shared" si="228"/>
        <v>0</v>
      </c>
      <c r="DX180" s="161">
        <f t="shared" si="229"/>
        <v>0</v>
      </c>
      <c r="DY180" s="161">
        <f t="shared" si="230"/>
        <v>0</v>
      </c>
      <c r="DZ180" s="161">
        <f t="shared" si="231"/>
        <v>0</v>
      </c>
      <c r="EA180" s="161">
        <f t="shared" si="232"/>
        <v>0</v>
      </c>
      <c r="EB180" s="161">
        <f t="shared" si="233"/>
        <v>0</v>
      </c>
      <c r="EC180" s="161">
        <f t="shared" si="234"/>
        <v>0</v>
      </c>
      <c r="ED180" s="161">
        <f t="shared" si="235"/>
        <v>0</v>
      </c>
      <c r="EE180" s="161">
        <f t="shared" si="236"/>
        <v>0</v>
      </c>
      <c r="EF180" s="161">
        <f t="shared" si="237"/>
        <v>0</v>
      </c>
      <c r="EG180" s="161">
        <f t="shared" si="238"/>
        <v>0</v>
      </c>
      <c r="EH180" s="161">
        <f t="shared" si="239"/>
        <v>0</v>
      </c>
      <c r="EI180" s="161">
        <f t="shared" si="240"/>
        <v>0</v>
      </c>
      <c r="EJ180" s="161">
        <f t="shared" si="241"/>
        <v>0</v>
      </c>
      <c r="EK180" s="147">
        <f t="shared" si="173"/>
        <v>0</v>
      </c>
      <c r="EL180" s="149"/>
      <c r="EN180" s="146"/>
      <c r="EO180" s="146"/>
      <c r="EP180" s="139">
        <f t="shared" si="174"/>
        <v>0</v>
      </c>
      <c r="EQ180" s="139">
        <f t="shared" si="175"/>
        <v>0</v>
      </c>
      <c r="ER180" s="139">
        <f t="shared" si="176"/>
        <v>0</v>
      </c>
      <c r="ES180" s="139">
        <f t="shared" si="177"/>
        <v>0</v>
      </c>
      <c r="ET180" s="139">
        <f t="shared" si="178"/>
        <v>0</v>
      </c>
      <c r="EU180" s="139">
        <f t="shared" si="179"/>
        <v>0</v>
      </c>
      <c r="EV180" s="139">
        <f t="shared" si="180"/>
        <v>0</v>
      </c>
      <c r="EW180" s="139">
        <f t="shared" si="181"/>
        <v>0</v>
      </c>
      <c r="EX180" s="139">
        <f t="shared" si="182"/>
        <v>0</v>
      </c>
      <c r="EY180" s="139">
        <f t="shared" si="183"/>
        <v>0</v>
      </c>
      <c r="EZ180" s="139">
        <f t="shared" si="184"/>
        <v>0</v>
      </c>
      <c r="FA180" s="139">
        <f t="shared" si="185"/>
        <v>0</v>
      </c>
      <c r="FB180" s="139">
        <f t="shared" si="186"/>
        <v>0</v>
      </c>
      <c r="FC180" s="139">
        <f t="shared" si="187"/>
        <v>0</v>
      </c>
      <c r="FD180" s="139">
        <f t="shared" si="188"/>
        <v>0</v>
      </c>
      <c r="FE180" s="139">
        <f t="shared" si="189"/>
        <v>0</v>
      </c>
      <c r="FF180" s="139">
        <f t="shared" si="190"/>
        <v>0</v>
      </c>
      <c r="FG180" s="139">
        <f t="shared" si="191"/>
        <v>0</v>
      </c>
      <c r="FH180" s="139">
        <f t="shared" si="192"/>
        <v>0</v>
      </c>
      <c r="FI180" s="139">
        <f t="shared" si="193"/>
        <v>0</v>
      </c>
      <c r="FJ180" s="139">
        <f t="shared" si="194"/>
        <v>0</v>
      </c>
      <c r="FK180" s="139">
        <f t="shared" si="195"/>
        <v>0</v>
      </c>
      <c r="FL180" s="139">
        <f t="shared" si="196"/>
        <v>0</v>
      </c>
      <c r="FM180" s="139">
        <f t="shared" si="197"/>
        <v>0</v>
      </c>
      <c r="FN180" s="139">
        <f t="shared" si="198"/>
        <v>0</v>
      </c>
      <c r="FO180" s="139">
        <f t="shared" si="199"/>
        <v>0</v>
      </c>
      <c r="FP180" s="139">
        <f t="shared" si="200"/>
        <v>0</v>
      </c>
      <c r="FQ180" s="139">
        <f t="shared" si="201"/>
        <v>0</v>
      </c>
      <c r="FR180" s="139">
        <f t="shared" si="202"/>
        <v>0</v>
      </c>
      <c r="FS180" s="139">
        <f t="shared" si="203"/>
        <v>0</v>
      </c>
      <c r="FT180" s="139">
        <f t="shared" si="204"/>
        <v>0</v>
      </c>
      <c r="FU180" s="148">
        <f t="shared" si="205"/>
        <v>0</v>
      </c>
      <c r="FV180" s="149"/>
      <c r="FY180" s="213">
        <v>175</v>
      </c>
      <c r="FZ180">
        <v>44.016136922003717</v>
      </c>
      <c r="GA180">
        <v>49.547635462685818</v>
      </c>
      <c r="GB180">
        <v>6.1918791401854874</v>
      </c>
      <c r="GC180">
        <v>5.0896688581076379</v>
      </c>
      <c r="GD180">
        <v>2.0660910183357237</v>
      </c>
      <c r="GE180">
        <v>1.8349706231615217</v>
      </c>
      <c r="GF180">
        <v>4.5374328046770964</v>
      </c>
      <c r="GG180">
        <v>4.7165381554283545</v>
      </c>
      <c r="GH180">
        <v>2.7619779405139626</v>
      </c>
      <c r="GI180">
        <v>10.541045844759772</v>
      </c>
      <c r="GJ180"/>
      <c r="GK180"/>
      <c r="GL180"/>
      <c r="GM180"/>
      <c r="GN180" s="208"/>
      <c r="GO180" s="208"/>
      <c r="GP180" s="208"/>
      <c r="GQ180" s="208"/>
      <c r="GR180" s="208"/>
      <c r="GS180" s="208"/>
      <c r="GT180" s="208"/>
      <c r="GU180" s="213">
        <v>175</v>
      </c>
    </row>
    <row r="181" spans="1:203" s="7" customFormat="1">
      <c r="A181" s="1"/>
      <c r="B181" s="76">
        <f ca="1">IF(C181="", "", RAND())</f>
        <v>0.4665916012281992</v>
      </c>
      <c r="C181">
        <v>4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79.271946263769294</v>
      </c>
      <c r="AO181">
        <v>11.451505131202904</v>
      </c>
      <c r="AP181">
        <v>76.641143627666125</v>
      </c>
      <c r="AQ181">
        <v>87.631938588510238</v>
      </c>
      <c r="AR181">
        <v>10.50528645895332</v>
      </c>
      <c r="AS181">
        <v>138.45264284006566</v>
      </c>
      <c r="AT181" t="e">
        <v>#DIV/0!</v>
      </c>
      <c r="AU181" t="e">
        <v>#DIV/0!</v>
      </c>
      <c r="AV181"/>
      <c r="AW181"/>
      <c r="AX181" s="146"/>
      <c r="AY181" s="76">
        <f t="shared" ca="1" si="171"/>
        <v>0.13527284149799845</v>
      </c>
      <c r="AZ181">
        <v>4</v>
      </c>
      <c r="BA181" s="129">
        <f t="shared" si="247"/>
        <v>39987</v>
      </c>
      <c r="BB181" s="207">
        <v>0</v>
      </c>
      <c r="BC181" s="207">
        <v>0</v>
      </c>
      <c r="BD181" s="207">
        <v>0</v>
      </c>
      <c r="BE181" s="207">
        <v>0</v>
      </c>
      <c r="BF181" s="207">
        <v>0</v>
      </c>
      <c r="BG181" s="207">
        <v>0</v>
      </c>
      <c r="BH181" s="207">
        <v>0</v>
      </c>
      <c r="BI181" s="207">
        <v>0</v>
      </c>
      <c r="BJ181" s="207">
        <v>0</v>
      </c>
      <c r="BK181" s="207">
        <v>0</v>
      </c>
      <c r="BL181" s="207">
        <v>0</v>
      </c>
      <c r="BM181" s="207">
        <v>0</v>
      </c>
      <c r="BN181" s="207">
        <v>0</v>
      </c>
      <c r="BO181" s="207">
        <v>0</v>
      </c>
      <c r="BP181" s="207">
        <v>0</v>
      </c>
      <c r="BQ181" s="207">
        <v>0</v>
      </c>
      <c r="BR181" s="207">
        <v>0</v>
      </c>
      <c r="BS181" s="207">
        <v>0</v>
      </c>
      <c r="BT181" s="207">
        <v>0</v>
      </c>
      <c r="BU181" s="207">
        <v>0</v>
      </c>
      <c r="BV181" s="207">
        <v>0</v>
      </c>
      <c r="BW181" s="207">
        <v>0</v>
      </c>
      <c r="BX181" s="207">
        <v>0</v>
      </c>
      <c r="BY181" s="207">
        <v>0</v>
      </c>
      <c r="BZ181" s="207">
        <v>0</v>
      </c>
      <c r="CA181" s="207">
        <v>0</v>
      </c>
      <c r="CB181" s="207">
        <v>0</v>
      </c>
      <c r="CC181" s="207">
        <v>0</v>
      </c>
      <c r="CD181" s="207">
        <v>0</v>
      </c>
      <c r="CE181" s="207">
        <v>0</v>
      </c>
      <c r="CF181" s="207"/>
      <c r="CG181" s="147"/>
      <c r="CH181" s="176"/>
      <c r="CJ181" s="146"/>
      <c r="CK181" s="76">
        <f t="shared" ca="1" si="206"/>
        <v>0.38420556467839595</v>
      </c>
      <c r="CL181" s="179">
        <f t="shared" si="207"/>
        <v>4</v>
      </c>
      <c r="CM181" s="180">
        <f t="shared" si="208"/>
        <v>39987</v>
      </c>
      <c r="CN181" s="208">
        <v>0</v>
      </c>
      <c r="CO181" s="208">
        <v>0</v>
      </c>
      <c r="CP181" s="208">
        <v>0</v>
      </c>
      <c r="CQ181" s="208">
        <v>0</v>
      </c>
      <c r="CR181" s="208">
        <v>0</v>
      </c>
      <c r="CS181" s="208">
        <v>0</v>
      </c>
      <c r="CT181" s="208">
        <v>0</v>
      </c>
      <c r="CU181" s="208">
        <v>0</v>
      </c>
      <c r="CV181" s="160"/>
      <c r="CW181">
        <v>1</v>
      </c>
      <c r="CX181">
        <f>350/41</f>
        <v>8.536585365853659</v>
      </c>
      <c r="CY181" s="160"/>
      <c r="CZ181" s="177">
        <f t="shared" si="209"/>
        <v>9.6000000000000002E-2</v>
      </c>
      <c r="DB181" s="146"/>
      <c r="DC181" s="76">
        <f t="shared" ca="1" si="172"/>
        <v>0.27597560091190987</v>
      </c>
      <c r="DD181">
        <f t="shared" si="210"/>
        <v>4</v>
      </c>
      <c r="DE181" s="129">
        <f t="shared" si="246"/>
        <v>39987</v>
      </c>
      <c r="DF181" s="161">
        <f t="shared" si="211"/>
        <v>0</v>
      </c>
      <c r="DG181" s="161">
        <f t="shared" si="212"/>
        <v>0</v>
      </c>
      <c r="DH181" s="161">
        <f t="shared" si="213"/>
        <v>0</v>
      </c>
      <c r="DI181" s="161">
        <f t="shared" si="214"/>
        <v>0</v>
      </c>
      <c r="DJ181" s="161">
        <f t="shared" si="215"/>
        <v>0</v>
      </c>
      <c r="DK181" s="161">
        <f t="shared" si="216"/>
        <v>0</v>
      </c>
      <c r="DL181" s="161">
        <f t="shared" si="217"/>
        <v>0</v>
      </c>
      <c r="DM181" s="161">
        <f t="shared" si="218"/>
        <v>0</v>
      </c>
      <c r="DN181" s="161">
        <f t="shared" si="219"/>
        <v>0</v>
      </c>
      <c r="DO181" s="161">
        <f t="shared" si="220"/>
        <v>0</v>
      </c>
      <c r="DP181" s="161">
        <f t="shared" si="221"/>
        <v>0</v>
      </c>
      <c r="DQ181" s="161">
        <f t="shared" si="222"/>
        <v>0</v>
      </c>
      <c r="DR181" s="161">
        <f t="shared" si="223"/>
        <v>0</v>
      </c>
      <c r="DS181" s="161">
        <f t="shared" si="224"/>
        <v>0</v>
      </c>
      <c r="DT181" s="161">
        <f t="shared" si="225"/>
        <v>0</v>
      </c>
      <c r="DU181" s="161">
        <f t="shared" si="226"/>
        <v>0</v>
      </c>
      <c r="DV181" s="161">
        <f t="shared" si="227"/>
        <v>0</v>
      </c>
      <c r="DW181" s="161">
        <f t="shared" si="228"/>
        <v>0</v>
      </c>
      <c r="DX181" s="161">
        <f t="shared" si="229"/>
        <v>0</v>
      </c>
      <c r="DY181" s="161">
        <f t="shared" si="230"/>
        <v>0</v>
      </c>
      <c r="DZ181" s="161">
        <f t="shared" si="231"/>
        <v>0</v>
      </c>
      <c r="EA181" s="161">
        <f t="shared" si="232"/>
        <v>0</v>
      </c>
      <c r="EB181" s="161">
        <f t="shared" si="233"/>
        <v>0</v>
      </c>
      <c r="EC181" s="161">
        <f t="shared" si="234"/>
        <v>0</v>
      </c>
      <c r="ED181" s="161">
        <f t="shared" si="235"/>
        <v>0</v>
      </c>
      <c r="EE181" s="161">
        <f t="shared" si="236"/>
        <v>0</v>
      </c>
      <c r="EF181" s="161">
        <f t="shared" si="237"/>
        <v>0</v>
      </c>
      <c r="EG181" s="161">
        <f t="shared" si="238"/>
        <v>0</v>
      </c>
      <c r="EH181" s="161">
        <f t="shared" si="239"/>
        <v>0</v>
      </c>
      <c r="EI181" s="161">
        <f t="shared" si="240"/>
        <v>0</v>
      </c>
      <c r="EJ181" s="161">
        <f t="shared" si="241"/>
        <v>0</v>
      </c>
      <c r="EK181" s="147">
        <f t="shared" si="173"/>
        <v>0</v>
      </c>
      <c r="EL181" s="149"/>
      <c r="EN181" s="146"/>
      <c r="EO181" s="146"/>
      <c r="EP181" s="139">
        <f t="shared" si="174"/>
        <v>0</v>
      </c>
      <c r="EQ181" s="139">
        <f t="shared" si="175"/>
        <v>0</v>
      </c>
      <c r="ER181" s="139">
        <f t="shared" si="176"/>
        <v>0</v>
      </c>
      <c r="ES181" s="139">
        <f t="shared" si="177"/>
        <v>0</v>
      </c>
      <c r="ET181" s="139">
        <f t="shared" si="178"/>
        <v>0</v>
      </c>
      <c r="EU181" s="139">
        <f t="shared" si="179"/>
        <v>0</v>
      </c>
      <c r="EV181" s="139">
        <f t="shared" si="180"/>
        <v>0</v>
      </c>
      <c r="EW181" s="139">
        <f t="shared" si="181"/>
        <v>0</v>
      </c>
      <c r="EX181" s="139">
        <f t="shared" si="182"/>
        <v>0</v>
      </c>
      <c r="EY181" s="139">
        <f t="shared" si="183"/>
        <v>0</v>
      </c>
      <c r="EZ181" s="139">
        <f t="shared" si="184"/>
        <v>0</v>
      </c>
      <c r="FA181" s="139">
        <f t="shared" si="185"/>
        <v>0</v>
      </c>
      <c r="FB181" s="139">
        <f t="shared" si="186"/>
        <v>0</v>
      </c>
      <c r="FC181" s="139">
        <f t="shared" si="187"/>
        <v>0</v>
      </c>
      <c r="FD181" s="139">
        <f t="shared" si="188"/>
        <v>0</v>
      </c>
      <c r="FE181" s="139">
        <f t="shared" si="189"/>
        <v>0</v>
      </c>
      <c r="FF181" s="139">
        <f t="shared" si="190"/>
        <v>0</v>
      </c>
      <c r="FG181" s="139">
        <f t="shared" si="191"/>
        <v>0</v>
      </c>
      <c r="FH181" s="139">
        <f t="shared" si="192"/>
        <v>0</v>
      </c>
      <c r="FI181" s="139">
        <f t="shared" si="193"/>
        <v>0</v>
      </c>
      <c r="FJ181" s="139">
        <f t="shared" si="194"/>
        <v>0</v>
      </c>
      <c r="FK181" s="139">
        <f t="shared" si="195"/>
        <v>0</v>
      </c>
      <c r="FL181" s="139">
        <f t="shared" si="196"/>
        <v>0</v>
      </c>
      <c r="FM181" s="139">
        <f t="shared" si="197"/>
        <v>0</v>
      </c>
      <c r="FN181" s="139">
        <f t="shared" si="198"/>
        <v>0</v>
      </c>
      <c r="FO181" s="139">
        <f t="shared" si="199"/>
        <v>0</v>
      </c>
      <c r="FP181" s="139">
        <f t="shared" si="200"/>
        <v>0</v>
      </c>
      <c r="FQ181" s="139">
        <f t="shared" si="201"/>
        <v>0</v>
      </c>
      <c r="FR181" s="139">
        <f t="shared" si="202"/>
        <v>0</v>
      </c>
      <c r="FS181" s="139">
        <f t="shared" si="203"/>
        <v>0</v>
      </c>
      <c r="FT181" s="139">
        <f t="shared" si="204"/>
        <v>0</v>
      </c>
      <c r="FU181" s="148">
        <f t="shared" si="205"/>
        <v>0</v>
      </c>
      <c r="FV181" s="149"/>
      <c r="FY181" s="213">
        <v>176</v>
      </c>
      <c r="FZ181">
        <v>35.906949348432327</v>
      </c>
      <c r="GA181">
        <v>44.345158679910718</v>
      </c>
      <c r="GB181">
        <v>4.7351221373921479</v>
      </c>
      <c r="GC181">
        <v>3.0299242952548573</v>
      </c>
      <c r="GD181">
        <v>1.9015552458205078</v>
      </c>
      <c r="GE181">
        <v>2.2367671453482245</v>
      </c>
      <c r="GF181">
        <v>3.3556174664974465</v>
      </c>
      <c r="GG181">
        <v>2.5610035671487972</v>
      </c>
      <c r="GH181">
        <v>0.60080431445180338</v>
      </c>
      <c r="GI181">
        <v>8.3375002798883262</v>
      </c>
      <c r="GJ181"/>
      <c r="GK181"/>
      <c r="GL181"/>
      <c r="GM181"/>
      <c r="GN181" s="208"/>
      <c r="GO181" s="208"/>
      <c r="GP181" s="208"/>
      <c r="GQ181" s="208"/>
      <c r="GR181" s="208"/>
      <c r="GS181" s="208"/>
      <c r="GT181" s="208"/>
      <c r="GU181" s="213">
        <v>176</v>
      </c>
    </row>
    <row r="182" spans="1:203" s="7" customFormat="1">
      <c r="A182" s="1"/>
      <c r="B182" s="76">
        <f ca="1">IF(C182="", "", RAND())</f>
        <v>4.2790172679962879E-4</v>
      </c>
      <c r="C182">
        <v>10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66.896096162824108</v>
      </c>
      <c r="AO182">
        <v>13.376009946212523</v>
      </c>
      <c r="AP182">
        <v>111.20924119015206</v>
      </c>
      <c r="AQ182">
        <v>113.00702696521233</v>
      </c>
      <c r="AR182">
        <v>12.287786440454209</v>
      </c>
      <c r="AS182">
        <v>158.65496115564696</v>
      </c>
      <c r="AT182" t="e">
        <v>#DIV/0!</v>
      </c>
      <c r="AU182" t="e">
        <v>#DIV/0!</v>
      </c>
      <c r="AV182"/>
      <c r="AW182"/>
      <c r="AX182" s="146"/>
      <c r="AY182" s="76">
        <f t="shared" ca="1" si="171"/>
        <v>0.7127058971467819</v>
      </c>
      <c r="AZ182">
        <v>5</v>
      </c>
      <c r="BA182" s="129">
        <f t="shared" si="247"/>
        <v>39987</v>
      </c>
      <c r="BB182" s="207">
        <v>0</v>
      </c>
      <c r="BC182" s="207">
        <v>0</v>
      </c>
      <c r="BD182" s="207">
        <v>0</v>
      </c>
      <c r="BE182" s="207">
        <v>0</v>
      </c>
      <c r="BF182" s="207">
        <v>0</v>
      </c>
      <c r="BG182" s="207">
        <v>0</v>
      </c>
      <c r="BH182" s="207">
        <v>0</v>
      </c>
      <c r="BI182" s="207">
        <v>0</v>
      </c>
      <c r="BJ182" s="207">
        <v>0</v>
      </c>
      <c r="BK182" s="207">
        <v>0</v>
      </c>
      <c r="BL182" s="207">
        <v>0</v>
      </c>
      <c r="BM182" s="207">
        <v>0</v>
      </c>
      <c r="BN182" s="207">
        <v>0</v>
      </c>
      <c r="BO182" s="207">
        <v>0</v>
      </c>
      <c r="BP182" s="207">
        <v>0</v>
      </c>
      <c r="BQ182" s="207">
        <v>0</v>
      </c>
      <c r="BR182" s="207">
        <v>0</v>
      </c>
      <c r="BS182" s="207">
        <v>0</v>
      </c>
      <c r="BT182" s="207">
        <v>0</v>
      </c>
      <c r="BU182" s="207">
        <v>0</v>
      </c>
      <c r="BV182" s="207">
        <v>0</v>
      </c>
      <c r="BW182" s="207">
        <v>0</v>
      </c>
      <c r="BX182" s="207">
        <v>0</v>
      </c>
      <c r="BY182" s="207">
        <v>0</v>
      </c>
      <c r="BZ182" s="207">
        <v>0</v>
      </c>
      <c r="CA182" s="207">
        <v>0</v>
      </c>
      <c r="CB182" s="207">
        <v>0</v>
      </c>
      <c r="CC182" s="207">
        <v>0</v>
      </c>
      <c r="CD182" s="207">
        <v>0</v>
      </c>
      <c r="CE182" s="207">
        <v>0</v>
      </c>
      <c r="CF182" s="207"/>
      <c r="CG182" s="147"/>
      <c r="CH182" s="176"/>
      <c r="CJ182" s="146"/>
      <c r="CK182" s="76">
        <f t="shared" ca="1" si="206"/>
        <v>0.20952114420582557</v>
      </c>
      <c r="CL182" s="179">
        <f t="shared" si="207"/>
        <v>5</v>
      </c>
      <c r="CM182" s="180">
        <f t="shared" si="208"/>
        <v>39987</v>
      </c>
      <c r="CN182" s="208">
        <v>0</v>
      </c>
      <c r="CO182" s="208">
        <v>0</v>
      </c>
      <c r="CP182" s="208">
        <v>0</v>
      </c>
      <c r="CQ182" s="208">
        <v>0</v>
      </c>
      <c r="CR182" s="208">
        <v>0</v>
      </c>
      <c r="CS182" s="208">
        <v>0</v>
      </c>
      <c r="CT182" s="208">
        <v>0</v>
      </c>
      <c r="CU182" s="208">
        <v>0</v>
      </c>
      <c r="CV182" s="160"/>
      <c r="CW182">
        <v>1</v>
      </c>
      <c r="CX182">
        <f>350/60</f>
        <v>5.833333333333333</v>
      </c>
      <c r="CY182" s="160"/>
      <c r="CZ182" s="177">
        <f t="shared" si="209"/>
        <v>9.6000000000000002E-2</v>
      </c>
      <c r="DB182" s="146"/>
      <c r="DC182" s="76">
        <f t="shared" ca="1" si="172"/>
        <v>0.9952478352381513</v>
      </c>
      <c r="DD182">
        <f t="shared" si="210"/>
        <v>5</v>
      </c>
      <c r="DE182" s="129">
        <f t="shared" si="246"/>
        <v>39987</v>
      </c>
      <c r="DF182" s="161">
        <f t="shared" si="211"/>
        <v>0</v>
      </c>
      <c r="DG182" s="161">
        <f t="shared" si="212"/>
        <v>0</v>
      </c>
      <c r="DH182" s="161">
        <f t="shared" si="213"/>
        <v>0</v>
      </c>
      <c r="DI182" s="161">
        <f t="shared" si="214"/>
        <v>0</v>
      </c>
      <c r="DJ182" s="161">
        <f t="shared" si="215"/>
        <v>0</v>
      </c>
      <c r="DK182" s="161">
        <f t="shared" si="216"/>
        <v>0</v>
      </c>
      <c r="DL182" s="161">
        <f t="shared" si="217"/>
        <v>0</v>
      </c>
      <c r="DM182" s="161">
        <f t="shared" si="218"/>
        <v>0</v>
      </c>
      <c r="DN182" s="161">
        <f t="shared" si="219"/>
        <v>0</v>
      </c>
      <c r="DO182" s="161">
        <f t="shared" si="220"/>
        <v>0</v>
      </c>
      <c r="DP182" s="161">
        <f t="shared" si="221"/>
        <v>0</v>
      </c>
      <c r="DQ182" s="161">
        <f t="shared" si="222"/>
        <v>0</v>
      </c>
      <c r="DR182" s="161">
        <f t="shared" si="223"/>
        <v>0</v>
      </c>
      <c r="DS182" s="161">
        <f t="shared" si="224"/>
        <v>0</v>
      </c>
      <c r="DT182" s="161">
        <f t="shared" si="225"/>
        <v>0</v>
      </c>
      <c r="DU182" s="161">
        <f t="shared" si="226"/>
        <v>0</v>
      </c>
      <c r="DV182" s="161">
        <f t="shared" si="227"/>
        <v>0</v>
      </c>
      <c r="DW182" s="161">
        <f t="shared" si="228"/>
        <v>0</v>
      </c>
      <c r="DX182" s="161">
        <f t="shared" si="229"/>
        <v>0</v>
      </c>
      <c r="DY182" s="161">
        <f t="shared" si="230"/>
        <v>0</v>
      </c>
      <c r="DZ182" s="161">
        <f t="shared" si="231"/>
        <v>0</v>
      </c>
      <c r="EA182" s="161">
        <f t="shared" si="232"/>
        <v>0</v>
      </c>
      <c r="EB182" s="161">
        <f t="shared" si="233"/>
        <v>0</v>
      </c>
      <c r="EC182" s="161">
        <f t="shared" si="234"/>
        <v>0</v>
      </c>
      <c r="ED182" s="161">
        <f t="shared" si="235"/>
        <v>0</v>
      </c>
      <c r="EE182" s="161">
        <f t="shared" si="236"/>
        <v>0</v>
      </c>
      <c r="EF182" s="161">
        <f t="shared" si="237"/>
        <v>0</v>
      </c>
      <c r="EG182" s="161">
        <f t="shared" si="238"/>
        <v>0</v>
      </c>
      <c r="EH182" s="161">
        <f t="shared" si="239"/>
        <v>0</v>
      </c>
      <c r="EI182" s="161">
        <f t="shared" si="240"/>
        <v>0</v>
      </c>
      <c r="EJ182" s="161">
        <f t="shared" si="241"/>
        <v>0</v>
      </c>
      <c r="EK182" s="147">
        <f t="shared" si="173"/>
        <v>0</v>
      </c>
      <c r="EL182" s="149"/>
      <c r="EN182" s="146"/>
      <c r="EO182" s="146"/>
      <c r="EP182" s="139">
        <f t="shared" si="174"/>
        <v>0</v>
      </c>
      <c r="EQ182" s="139">
        <f t="shared" si="175"/>
        <v>0</v>
      </c>
      <c r="ER182" s="139">
        <f t="shared" si="176"/>
        <v>0</v>
      </c>
      <c r="ES182" s="139">
        <f t="shared" si="177"/>
        <v>0</v>
      </c>
      <c r="ET182" s="139">
        <f t="shared" si="178"/>
        <v>0</v>
      </c>
      <c r="EU182" s="139">
        <f t="shared" si="179"/>
        <v>0</v>
      </c>
      <c r="EV182" s="139">
        <f t="shared" si="180"/>
        <v>0</v>
      </c>
      <c r="EW182" s="139">
        <f t="shared" si="181"/>
        <v>0</v>
      </c>
      <c r="EX182" s="139">
        <f t="shared" si="182"/>
        <v>0</v>
      </c>
      <c r="EY182" s="139">
        <f t="shared" si="183"/>
        <v>0</v>
      </c>
      <c r="EZ182" s="139">
        <f t="shared" si="184"/>
        <v>0</v>
      </c>
      <c r="FA182" s="139">
        <f t="shared" si="185"/>
        <v>0</v>
      </c>
      <c r="FB182" s="139">
        <f t="shared" si="186"/>
        <v>0</v>
      </c>
      <c r="FC182" s="139">
        <f t="shared" si="187"/>
        <v>0</v>
      </c>
      <c r="FD182" s="139">
        <f t="shared" si="188"/>
        <v>0</v>
      </c>
      <c r="FE182" s="139">
        <f t="shared" si="189"/>
        <v>0</v>
      </c>
      <c r="FF182" s="139">
        <f t="shared" si="190"/>
        <v>0</v>
      </c>
      <c r="FG182" s="139">
        <f t="shared" si="191"/>
        <v>0</v>
      </c>
      <c r="FH182" s="139">
        <f t="shared" si="192"/>
        <v>0</v>
      </c>
      <c r="FI182" s="139">
        <f t="shared" si="193"/>
        <v>0</v>
      </c>
      <c r="FJ182" s="139">
        <f t="shared" si="194"/>
        <v>0</v>
      </c>
      <c r="FK182" s="139">
        <f t="shared" si="195"/>
        <v>0</v>
      </c>
      <c r="FL182" s="139">
        <f t="shared" si="196"/>
        <v>0</v>
      </c>
      <c r="FM182" s="139">
        <f t="shared" si="197"/>
        <v>0</v>
      </c>
      <c r="FN182" s="139">
        <f t="shared" si="198"/>
        <v>0</v>
      </c>
      <c r="FO182" s="139">
        <f t="shared" si="199"/>
        <v>0</v>
      </c>
      <c r="FP182" s="139">
        <f t="shared" si="200"/>
        <v>0</v>
      </c>
      <c r="FQ182" s="139">
        <f t="shared" si="201"/>
        <v>0</v>
      </c>
      <c r="FR182" s="139">
        <f t="shared" si="202"/>
        <v>0</v>
      </c>
      <c r="FS182" s="139">
        <f t="shared" si="203"/>
        <v>0</v>
      </c>
      <c r="FT182" s="139">
        <f t="shared" si="204"/>
        <v>0</v>
      </c>
      <c r="FU182" s="148">
        <f t="shared" si="205"/>
        <v>0</v>
      </c>
      <c r="FV182" s="149"/>
      <c r="FY182" s="213">
        <v>177</v>
      </c>
      <c r="FZ182">
        <v>28.801783638979249</v>
      </c>
      <c r="GA182">
        <v>33.571800177020783</v>
      </c>
      <c r="GB182">
        <v>7.389432058651348</v>
      </c>
      <c r="GC182">
        <v>5.3635889019891554</v>
      </c>
      <c r="GD182">
        <v>2.1849563856131273</v>
      </c>
      <c r="GE182">
        <v>2.7392346380951165</v>
      </c>
      <c r="GF182">
        <v>1.1691791659813855</v>
      </c>
      <c r="GG182">
        <v>0.32863359205585285</v>
      </c>
      <c r="GH182">
        <v>0</v>
      </c>
      <c r="GI182">
        <v>7.5795757253475617</v>
      </c>
      <c r="GJ182"/>
      <c r="GK182"/>
      <c r="GL182"/>
      <c r="GM182"/>
      <c r="GN182" s="208"/>
      <c r="GO182" s="208"/>
      <c r="GP182" s="208"/>
      <c r="GQ182" s="208"/>
      <c r="GR182" s="208"/>
      <c r="GS182" s="208"/>
      <c r="GT182" s="208"/>
      <c r="GU182" s="213">
        <v>177</v>
      </c>
    </row>
    <row r="183" spans="1:203" s="7" customFormat="1">
      <c r="A183" s="1"/>
      <c r="B183" s="76">
        <f ca="1">IF(C183="", "", RAND())</f>
        <v>0.45021719278633121</v>
      </c>
      <c r="C183">
        <v>7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78.021856084387792</v>
      </c>
      <c r="AO183">
        <v>11.207241060208135</v>
      </c>
      <c r="AP183">
        <v>69.484989555518808</v>
      </c>
      <c r="AQ183">
        <v>81.778930481623391</v>
      </c>
      <c r="AR183">
        <v>10.377857165093568</v>
      </c>
      <c r="AS183">
        <v>129.25629841378367</v>
      </c>
      <c r="AT183" t="e">
        <v>#DIV/0!</v>
      </c>
      <c r="AU183" t="e">
        <v>#DIV/0!</v>
      </c>
      <c r="AV183"/>
      <c r="AW183"/>
      <c r="AX183" s="146"/>
      <c r="AY183" s="76">
        <f t="shared" ca="1" si="171"/>
        <v>0.52532279365372525</v>
      </c>
      <c r="AZ183">
        <v>6</v>
      </c>
      <c r="BA183" s="129">
        <f t="shared" si="247"/>
        <v>39987</v>
      </c>
      <c r="BB183" s="207">
        <v>0</v>
      </c>
      <c r="BC183" s="207">
        <v>0</v>
      </c>
      <c r="BD183" s="207">
        <v>0</v>
      </c>
      <c r="BE183" s="207">
        <v>0</v>
      </c>
      <c r="BF183" s="207">
        <v>0</v>
      </c>
      <c r="BG183" s="207">
        <v>0</v>
      </c>
      <c r="BH183" s="207">
        <v>0</v>
      </c>
      <c r="BI183" s="207">
        <v>0</v>
      </c>
      <c r="BJ183" s="207">
        <v>0</v>
      </c>
      <c r="BK183" s="207">
        <v>0</v>
      </c>
      <c r="BL183" s="207">
        <v>0</v>
      </c>
      <c r="BM183" s="207">
        <v>0</v>
      </c>
      <c r="BN183" s="207">
        <v>0</v>
      </c>
      <c r="BO183" s="207">
        <v>0</v>
      </c>
      <c r="BP183" s="207">
        <v>0</v>
      </c>
      <c r="BQ183" s="207">
        <v>0</v>
      </c>
      <c r="BR183" s="207">
        <v>0</v>
      </c>
      <c r="BS183" s="207">
        <v>0</v>
      </c>
      <c r="BT183" s="207">
        <v>0</v>
      </c>
      <c r="BU183" s="207">
        <v>0</v>
      </c>
      <c r="BV183" s="207">
        <v>0</v>
      </c>
      <c r="BW183" s="207">
        <v>0</v>
      </c>
      <c r="BX183" s="207">
        <v>0</v>
      </c>
      <c r="BY183" s="207">
        <v>0</v>
      </c>
      <c r="BZ183" s="207">
        <v>0</v>
      </c>
      <c r="CA183" s="207">
        <v>0</v>
      </c>
      <c r="CB183" s="207">
        <v>0</v>
      </c>
      <c r="CC183" s="207">
        <v>0</v>
      </c>
      <c r="CD183" s="207">
        <v>0</v>
      </c>
      <c r="CE183" s="207">
        <v>0</v>
      </c>
      <c r="CF183" s="207"/>
      <c r="CG183" s="147"/>
      <c r="CH183" s="176"/>
      <c r="CJ183" s="146"/>
      <c r="CK183" s="76">
        <f t="shared" ca="1" si="206"/>
        <v>0.29525362742035344</v>
      </c>
      <c r="CL183" s="179">
        <f t="shared" si="207"/>
        <v>6</v>
      </c>
      <c r="CM183" s="180">
        <f t="shared" si="208"/>
        <v>39987</v>
      </c>
      <c r="CN183" s="208">
        <v>0</v>
      </c>
      <c r="CO183" s="208">
        <v>0</v>
      </c>
      <c r="CP183" s="208">
        <v>0</v>
      </c>
      <c r="CQ183" s="208">
        <v>0</v>
      </c>
      <c r="CR183" s="208">
        <v>0</v>
      </c>
      <c r="CS183" s="208">
        <v>0</v>
      </c>
      <c r="CT183" s="208">
        <v>0</v>
      </c>
      <c r="CU183" s="208">
        <v>0</v>
      </c>
      <c r="CV183" s="160"/>
      <c r="CW183">
        <v>1</v>
      </c>
      <c r="CX183">
        <f>350/50</f>
        <v>7</v>
      </c>
      <c r="CY183" s="160"/>
      <c r="CZ183" s="177">
        <f t="shared" si="209"/>
        <v>9.6000000000000002E-2</v>
      </c>
      <c r="DB183" s="146"/>
      <c r="DC183" s="76">
        <f t="shared" ca="1" si="172"/>
        <v>0.46721428900175033</v>
      </c>
      <c r="DD183">
        <f t="shared" si="210"/>
        <v>6</v>
      </c>
      <c r="DE183" s="129">
        <f t="shared" si="246"/>
        <v>39987</v>
      </c>
      <c r="DF183" s="161">
        <f t="shared" si="211"/>
        <v>0</v>
      </c>
      <c r="DG183" s="161">
        <f t="shared" si="212"/>
        <v>0</v>
      </c>
      <c r="DH183" s="161">
        <f t="shared" si="213"/>
        <v>0</v>
      </c>
      <c r="DI183" s="161">
        <f t="shared" si="214"/>
        <v>0</v>
      </c>
      <c r="DJ183" s="161">
        <f t="shared" si="215"/>
        <v>0</v>
      </c>
      <c r="DK183" s="161">
        <f t="shared" si="216"/>
        <v>0</v>
      </c>
      <c r="DL183" s="161">
        <f t="shared" si="217"/>
        <v>0</v>
      </c>
      <c r="DM183" s="161">
        <f t="shared" si="218"/>
        <v>0</v>
      </c>
      <c r="DN183" s="161">
        <f t="shared" si="219"/>
        <v>0</v>
      </c>
      <c r="DO183" s="161">
        <f t="shared" si="220"/>
        <v>0</v>
      </c>
      <c r="DP183" s="161">
        <f t="shared" si="221"/>
        <v>0</v>
      </c>
      <c r="DQ183" s="161">
        <f t="shared" si="222"/>
        <v>0</v>
      </c>
      <c r="DR183" s="161">
        <f t="shared" si="223"/>
        <v>0</v>
      </c>
      <c r="DS183" s="161">
        <f t="shared" si="224"/>
        <v>0</v>
      </c>
      <c r="DT183" s="161">
        <f t="shared" si="225"/>
        <v>0</v>
      </c>
      <c r="DU183" s="161">
        <f t="shared" si="226"/>
        <v>0</v>
      </c>
      <c r="DV183" s="161">
        <f t="shared" si="227"/>
        <v>0</v>
      </c>
      <c r="DW183" s="161">
        <f t="shared" si="228"/>
        <v>0</v>
      </c>
      <c r="DX183" s="161">
        <f t="shared" si="229"/>
        <v>0</v>
      </c>
      <c r="DY183" s="161">
        <f t="shared" si="230"/>
        <v>0</v>
      </c>
      <c r="DZ183" s="161">
        <f t="shared" si="231"/>
        <v>0</v>
      </c>
      <c r="EA183" s="161">
        <f t="shared" si="232"/>
        <v>0</v>
      </c>
      <c r="EB183" s="161">
        <f t="shared" si="233"/>
        <v>0</v>
      </c>
      <c r="EC183" s="161">
        <f t="shared" si="234"/>
        <v>0</v>
      </c>
      <c r="ED183" s="161">
        <f t="shared" si="235"/>
        <v>0</v>
      </c>
      <c r="EE183" s="161">
        <f t="shared" si="236"/>
        <v>0</v>
      </c>
      <c r="EF183" s="161">
        <f t="shared" si="237"/>
        <v>0</v>
      </c>
      <c r="EG183" s="161">
        <f t="shared" si="238"/>
        <v>0</v>
      </c>
      <c r="EH183" s="161">
        <f t="shared" si="239"/>
        <v>0</v>
      </c>
      <c r="EI183" s="161">
        <f t="shared" si="240"/>
        <v>0</v>
      </c>
      <c r="EJ183" s="161">
        <f t="shared" si="241"/>
        <v>0</v>
      </c>
      <c r="EK183" s="147">
        <f t="shared" si="173"/>
        <v>0</v>
      </c>
      <c r="EL183" s="149"/>
      <c r="EN183" s="146"/>
      <c r="EO183" s="146"/>
      <c r="EP183" s="139">
        <f t="shared" si="174"/>
        <v>0</v>
      </c>
      <c r="EQ183" s="139">
        <f t="shared" si="175"/>
        <v>0</v>
      </c>
      <c r="ER183" s="139">
        <f t="shared" si="176"/>
        <v>0</v>
      </c>
      <c r="ES183" s="139">
        <f t="shared" si="177"/>
        <v>0</v>
      </c>
      <c r="ET183" s="139">
        <f t="shared" si="178"/>
        <v>0</v>
      </c>
      <c r="EU183" s="139">
        <f t="shared" si="179"/>
        <v>0</v>
      </c>
      <c r="EV183" s="139">
        <f t="shared" si="180"/>
        <v>0</v>
      </c>
      <c r="EW183" s="139">
        <f t="shared" si="181"/>
        <v>0</v>
      </c>
      <c r="EX183" s="139">
        <f t="shared" si="182"/>
        <v>0</v>
      </c>
      <c r="EY183" s="139">
        <f t="shared" si="183"/>
        <v>0</v>
      </c>
      <c r="EZ183" s="139">
        <f t="shared" si="184"/>
        <v>0</v>
      </c>
      <c r="FA183" s="139">
        <f t="shared" si="185"/>
        <v>0</v>
      </c>
      <c r="FB183" s="139">
        <f t="shared" si="186"/>
        <v>0</v>
      </c>
      <c r="FC183" s="139">
        <f t="shared" si="187"/>
        <v>0</v>
      </c>
      <c r="FD183" s="139">
        <f t="shared" si="188"/>
        <v>0</v>
      </c>
      <c r="FE183" s="139">
        <f t="shared" si="189"/>
        <v>0</v>
      </c>
      <c r="FF183" s="139">
        <f t="shared" si="190"/>
        <v>0</v>
      </c>
      <c r="FG183" s="139">
        <f t="shared" si="191"/>
        <v>0</v>
      </c>
      <c r="FH183" s="139">
        <f t="shared" si="192"/>
        <v>0</v>
      </c>
      <c r="FI183" s="139">
        <f t="shared" si="193"/>
        <v>0</v>
      </c>
      <c r="FJ183" s="139">
        <f t="shared" si="194"/>
        <v>0</v>
      </c>
      <c r="FK183" s="139">
        <f t="shared" si="195"/>
        <v>0</v>
      </c>
      <c r="FL183" s="139">
        <f t="shared" si="196"/>
        <v>0</v>
      </c>
      <c r="FM183" s="139">
        <f t="shared" si="197"/>
        <v>0</v>
      </c>
      <c r="FN183" s="139">
        <f t="shared" si="198"/>
        <v>0</v>
      </c>
      <c r="FO183" s="139">
        <f t="shared" si="199"/>
        <v>0</v>
      </c>
      <c r="FP183" s="139">
        <f t="shared" si="200"/>
        <v>0</v>
      </c>
      <c r="FQ183" s="139">
        <f t="shared" si="201"/>
        <v>0</v>
      </c>
      <c r="FR183" s="139">
        <f t="shared" si="202"/>
        <v>0</v>
      </c>
      <c r="FS183" s="139">
        <f t="shared" si="203"/>
        <v>0</v>
      </c>
      <c r="FT183" s="139">
        <f t="shared" si="204"/>
        <v>0</v>
      </c>
      <c r="FU183" s="148">
        <f t="shared" si="205"/>
        <v>0</v>
      </c>
      <c r="FV183" s="149"/>
      <c r="FY183" s="213">
        <v>178</v>
      </c>
      <c r="FZ183">
        <v>38.88004681348221</v>
      </c>
      <c r="GA183">
        <v>53.477428231170201</v>
      </c>
      <c r="GB183">
        <v>11.30802819888142</v>
      </c>
      <c r="GC183">
        <v>5.1614100433335102</v>
      </c>
      <c r="GD183">
        <v>2.176831814004899</v>
      </c>
      <c r="GE183">
        <v>2.4368567017897176</v>
      </c>
      <c r="GF183">
        <v>3.8638854058915753</v>
      </c>
      <c r="GG183">
        <v>7.9873763925803356</v>
      </c>
      <c r="GH183">
        <v>6.8422815608932268</v>
      </c>
      <c r="GI183">
        <v>11.673163250879599</v>
      </c>
      <c r="GJ183"/>
      <c r="GK183"/>
      <c r="GL183"/>
      <c r="GM183"/>
      <c r="GN183" s="208"/>
      <c r="GO183" s="208"/>
      <c r="GP183" s="208"/>
      <c r="GQ183" s="208"/>
      <c r="GR183" s="208"/>
      <c r="GS183" s="208"/>
      <c r="GT183" s="208"/>
      <c r="GU183" s="213">
        <v>178</v>
      </c>
    </row>
    <row r="184" spans="1:203" s="7" customFormat="1">
      <c r="A184" s="1"/>
      <c r="B184" s="76">
        <f ca="1">IF(C184="", "", RAND())</f>
        <v>0.68062196839511957</v>
      </c>
      <c r="C184">
        <v>1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75.683130220110428</v>
      </c>
      <c r="AO184">
        <v>8.1001875281754145</v>
      </c>
      <c r="AP184">
        <v>34.086626379674939</v>
      </c>
      <c r="AQ184">
        <v>55.911583103835355</v>
      </c>
      <c r="AR184">
        <v>7.5388881392285834</v>
      </c>
      <c r="AS184">
        <v>110.51148373764261</v>
      </c>
      <c r="AT184">
        <v>5.1196485979912314</v>
      </c>
      <c r="AU184">
        <v>14.733796039976831</v>
      </c>
      <c r="AV184"/>
      <c r="AW184"/>
      <c r="AX184" s="146"/>
      <c r="AY184" s="76">
        <f t="shared" ca="1" si="171"/>
        <v>0.64619716569931906</v>
      </c>
      <c r="AZ184">
        <v>7</v>
      </c>
      <c r="BA184" s="129">
        <f t="shared" si="247"/>
        <v>39987</v>
      </c>
      <c r="BB184" s="207">
        <v>0</v>
      </c>
      <c r="BC184" s="207">
        <v>0</v>
      </c>
      <c r="BD184" s="207">
        <v>0</v>
      </c>
      <c r="BE184" s="207">
        <v>0</v>
      </c>
      <c r="BF184" s="207">
        <v>0</v>
      </c>
      <c r="BG184" s="207">
        <v>0</v>
      </c>
      <c r="BH184" s="207">
        <v>0</v>
      </c>
      <c r="BI184" s="207">
        <v>0</v>
      </c>
      <c r="BJ184" s="207">
        <v>0</v>
      </c>
      <c r="BK184" s="207">
        <v>0</v>
      </c>
      <c r="BL184" s="207">
        <v>0</v>
      </c>
      <c r="BM184" s="207">
        <v>0</v>
      </c>
      <c r="BN184" s="207">
        <v>0</v>
      </c>
      <c r="BO184" s="207">
        <v>0</v>
      </c>
      <c r="BP184" s="207">
        <v>0</v>
      </c>
      <c r="BQ184" s="207">
        <v>0</v>
      </c>
      <c r="BR184" s="207">
        <v>0</v>
      </c>
      <c r="BS184" s="207">
        <v>0</v>
      </c>
      <c r="BT184" s="207">
        <v>0</v>
      </c>
      <c r="BU184" s="207">
        <v>0</v>
      </c>
      <c r="BV184" s="207">
        <v>0</v>
      </c>
      <c r="BW184" s="207">
        <v>0</v>
      </c>
      <c r="BX184" s="207">
        <v>0</v>
      </c>
      <c r="BY184" s="207">
        <v>0</v>
      </c>
      <c r="BZ184" s="207">
        <v>0</v>
      </c>
      <c r="CA184" s="207">
        <v>0</v>
      </c>
      <c r="CB184" s="207">
        <v>0</v>
      </c>
      <c r="CC184" s="207">
        <v>0</v>
      </c>
      <c r="CD184" s="207">
        <v>0</v>
      </c>
      <c r="CE184" s="207">
        <v>0</v>
      </c>
      <c r="CF184" s="207"/>
      <c r="CG184" s="147"/>
      <c r="CH184" s="176"/>
      <c r="CJ184" s="146"/>
      <c r="CK184" s="76">
        <f t="shared" ca="1" si="206"/>
        <v>0.67160059527877758</v>
      </c>
      <c r="CL184" s="179">
        <f t="shared" si="207"/>
        <v>7</v>
      </c>
      <c r="CM184" s="180">
        <f t="shared" si="208"/>
        <v>39987</v>
      </c>
      <c r="CN184" s="208">
        <v>0</v>
      </c>
      <c r="CO184" s="208">
        <v>0</v>
      </c>
      <c r="CP184" s="208">
        <v>0</v>
      </c>
      <c r="CQ184" s="208">
        <v>0</v>
      </c>
      <c r="CR184" s="208">
        <v>0</v>
      </c>
      <c r="CS184" s="208">
        <v>0</v>
      </c>
      <c r="CT184" s="208">
        <v>0</v>
      </c>
      <c r="CU184" s="208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9"/>
        <v>9.6000000000000002E-2</v>
      </c>
      <c r="DB184" s="146"/>
      <c r="DC184" s="76">
        <f t="shared" ca="1" si="172"/>
        <v>0.31032061930353749</v>
      </c>
      <c r="DD184">
        <f t="shared" si="210"/>
        <v>7</v>
      </c>
      <c r="DE184" s="129">
        <f t="shared" si="246"/>
        <v>39987</v>
      </c>
      <c r="DF184" s="161">
        <f t="shared" si="211"/>
        <v>0</v>
      </c>
      <c r="DG184" s="161">
        <f t="shared" si="212"/>
        <v>0</v>
      </c>
      <c r="DH184" s="161">
        <f t="shared" si="213"/>
        <v>0</v>
      </c>
      <c r="DI184" s="161">
        <f t="shared" si="214"/>
        <v>0</v>
      </c>
      <c r="DJ184" s="161">
        <f t="shared" si="215"/>
        <v>0</v>
      </c>
      <c r="DK184" s="161">
        <f t="shared" si="216"/>
        <v>0</v>
      </c>
      <c r="DL184" s="161">
        <f t="shared" si="217"/>
        <v>0</v>
      </c>
      <c r="DM184" s="161">
        <f t="shared" si="218"/>
        <v>0</v>
      </c>
      <c r="DN184" s="161">
        <f t="shared" si="219"/>
        <v>0</v>
      </c>
      <c r="DO184" s="161">
        <f t="shared" si="220"/>
        <v>0</v>
      </c>
      <c r="DP184" s="161">
        <f t="shared" si="221"/>
        <v>0</v>
      </c>
      <c r="DQ184" s="161">
        <f t="shared" si="222"/>
        <v>0</v>
      </c>
      <c r="DR184" s="161">
        <f t="shared" si="223"/>
        <v>0</v>
      </c>
      <c r="DS184" s="161">
        <f t="shared" si="224"/>
        <v>0</v>
      </c>
      <c r="DT184" s="161">
        <f t="shared" si="225"/>
        <v>0</v>
      </c>
      <c r="DU184" s="161">
        <f t="shared" si="226"/>
        <v>0</v>
      </c>
      <c r="DV184" s="161">
        <f t="shared" si="227"/>
        <v>0</v>
      </c>
      <c r="DW184" s="161">
        <f t="shared" si="228"/>
        <v>0</v>
      </c>
      <c r="DX184" s="161">
        <f t="shared" si="229"/>
        <v>0</v>
      </c>
      <c r="DY184" s="161">
        <f t="shared" si="230"/>
        <v>0</v>
      </c>
      <c r="DZ184" s="161">
        <f t="shared" si="231"/>
        <v>0</v>
      </c>
      <c r="EA184" s="161">
        <f t="shared" si="232"/>
        <v>0</v>
      </c>
      <c r="EB184" s="161">
        <f t="shared" si="233"/>
        <v>0</v>
      </c>
      <c r="EC184" s="161">
        <f t="shared" si="234"/>
        <v>0</v>
      </c>
      <c r="ED184" s="161">
        <f t="shared" si="235"/>
        <v>0</v>
      </c>
      <c r="EE184" s="161">
        <f t="shared" si="236"/>
        <v>0</v>
      </c>
      <c r="EF184" s="161">
        <f t="shared" si="237"/>
        <v>0</v>
      </c>
      <c r="EG184" s="161">
        <f t="shared" si="238"/>
        <v>0</v>
      </c>
      <c r="EH184" s="161">
        <f t="shared" si="239"/>
        <v>0</v>
      </c>
      <c r="EI184" s="161">
        <f t="shared" si="240"/>
        <v>0</v>
      </c>
      <c r="EJ184" s="161">
        <f t="shared" si="241"/>
        <v>0</v>
      </c>
      <c r="EK184" s="147">
        <f t="shared" ref="EK184:EK207" si="248">IF(DF184="", "", SUM(DF184:EJ184))</f>
        <v>0</v>
      </c>
      <c r="EL184" s="149"/>
      <c r="EN184" s="146"/>
      <c r="EO184" s="146"/>
      <c r="EP184" s="139">
        <f t="shared" ref="EP184:EP207" si="249">IF(DF184="", "", DF184*G$36)</f>
        <v>0</v>
      </c>
      <c r="EQ184" s="139">
        <f t="shared" ref="EQ184:EQ207" si="250">IF(DG184="", "", DG184*H$36)</f>
        <v>0</v>
      </c>
      <c r="ER184" s="139">
        <f t="shared" ref="ER184:ER207" si="251">IF(DH184="", "", DH184*I$36)</f>
        <v>0</v>
      </c>
      <c r="ES184" s="139">
        <f t="shared" ref="ES184:ES207" si="252">IF(DI184="", "", DI184*J$36)</f>
        <v>0</v>
      </c>
      <c r="ET184" s="139">
        <f t="shared" ref="ET184:ET207" si="253">IF(DJ184="", "", DJ184*K$36)</f>
        <v>0</v>
      </c>
      <c r="EU184" s="139">
        <f t="shared" ref="EU184:EU207" si="254">IF(DK184="", "", DK184*L$36)</f>
        <v>0</v>
      </c>
      <c r="EV184" s="139">
        <f t="shared" ref="EV184:EV207" si="255">IF(DL184="", "", DL184*M$36)</f>
        <v>0</v>
      </c>
      <c r="EW184" s="139">
        <f t="shared" ref="EW184:EW207" si="256">IF(DM184="", "", DM184*N$36)</f>
        <v>0</v>
      </c>
      <c r="EX184" s="139">
        <f t="shared" ref="EX184:EX207" si="257">IF(DN184="", "", DN184*O$36)</f>
        <v>0</v>
      </c>
      <c r="EY184" s="139">
        <f t="shared" ref="EY184:EY207" si="258">IF(DO184="", "", DO184*P$36)</f>
        <v>0</v>
      </c>
      <c r="EZ184" s="139">
        <f t="shared" ref="EZ184:EZ207" si="259">IF(DP184="", "", DP184*Q$36)</f>
        <v>0</v>
      </c>
      <c r="FA184" s="139">
        <f t="shared" ref="FA184:FA207" si="260">IF(DQ184="", "", DQ184*R$36)</f>
        <v>0</v>
      </c>
      <c r="FB184" s="139">
        <f t="shared" ref="FB184:FB207" si="261">IF(DR184="", "", DR184*S$36)</f>
        <v>0</v>
      </c>
      <c r="FC184" s="139">
        <f t="shared" ref="FC184:FC207" si="262">IF(DS184="", "", DS184*T$36)</f>
        <v>0</v>
      </c>
      <c r="FD184" s="139">
        <f t="shared" ref="FD184:FD207" si="263">IF(DT184="", "", DT184*U$36)</f>
        <v>0</v>
      </c>
      <c r="FE184" s="139">
        <f t="shared" ref="FE184:FE207" si="264">IF(DU184="", "", DU184*V$36)</f>
        <v>0</v>
      </c>
      <c r="FF184" s="139">
        <f t="shared" ref="FF184:FF207" si="265">IF(DV184="", "", DV184*W$36)</f>
        <v>0</v>
      </c>
      <c r="FG184" s="139">
        <f t="shared" ref="FG184:FG207" si="266">IF(DW184="", "", DW184*X$36)</f>
        <v>0</v>
      </c>
      <c r="FH184" s="139">
        <f t="shared" ref="FH184:FH207" si="267">IF(DX184="", "", DX184*Y$36)</f>
        <v>0</v>
      </c>
      <c r="FI184" s="139">
        <f t="shared" ref="FI184:FI207" si="268">IF(DY184="", "", DY184*Z$36)</f>
        <v>0</v>
      </c>
      <c r="FJ184" s="139">
        <f t="shared" ref="FJ184:FJ207" si="269">IF(DZ184="", "", DZ184*AA$36)</f>
        <v>0</v>
      </c>
      <c r="FK184" s="139">
        <f t="shared" ref="FK184:FK207" si="270">IF(EA184="", "", EA184*AB$36)</f>
        <v>0</v>
      </c>
      <c r="FL184" s="139">
        <f t="shared" ref="FL184:FL207" si="271">IF(EB184="", "", EB184*AC$36)</f>
        <v>0</v>
      </c>
      <c r="FM184" s="139">
        <f t="shared" ref="FM184:FM207" si="272">IF(EC184="", "", EC184*AD$36)</f>
        <v>0</v>
      </c>
      <c r="FN184" s="139">
        <f t="shared" ref="FN184:FN207" si="273">IF(ED184="", "", ED184*AE$36)</f>
        <v>0</v>
      </c>
      <c r="FO184" s="139">
        <f t="shared" ref="FO184:FO207" si="274">IF(EE184="", "", EE184*AF$36)</f>
        <v>0</v>
      </c>
      <c r="FP184" s="139">
        <f t="shared" ref="FP184:FP207" si="275">IF(EF184="", "", EF184*AG$36)</f>
        <v>0</v>
      </c>
      <c r="FQ184" s="139">
        <f t="shared" ref="FQ184:FQ207" si="276">IF(EG184="", "", EG184*AH$36)</f>
        <v>0</v>
      </c>
      <c r="FR184" s="139">
        <f t="shared" ref="FR184:FR207" si="277">IF(EH184="", "", EH184*AI$36)</f>
        <v>0</v>
      </c>
      <c r="FS184" s="139">
        <f t="shared" ref="FS184:FS207" si="278">IF(EI184="", "", EI184*AJ$36)</f>
        <v>0</v>
      </c>
      <c r="FT184" s="139">
        <f t="shared" ref="FT184:FT207" si="279">IF(EJ184="", "", EJ184*AK$36)</f>
        <v>0</v>
      </c>
      <c r="FU184" s="148">
        <f t="shared" ref="FU184:FU207" si="280">IF(EP184="","",SUM(EP184:FT184))</f>
        <v>0</v>
      </c>
      <c r="FV184" s="149"/>
      <c r="FY184" s="213">
        <v>179</v>
      </c>
      <c r="FZ184">
        <v>23.962046446352733</v>
      </c>
      <c r="GA184">
        <v>30.642671016932766</v>
      </c>
      <c r="GB184">
        <v>12.662118317958562</v>
      </c>
      <c r="GC184">
        <v>7.6495666547676748</v>
      </c>
      <c r="GD184">
        <v>2.3897871269705386</v>
      </c>
      <c r="GE184">
        <v>2.7221069725123757</v>
      </c>
      <c r="GF184">
        <v>3.1873563822883106</v>
      </c>
      <c r="GG184">
        <v>3.5804973171261913</v>
      </c>
      <c r="GH184">
        <v>2.1611736260621592</v>
      </c>
      <c r="GI184">
        <v>9.0554618560747908</v>
      </c>
      <c r="GJ184"/>
      <c r="GK184"/>
      <c r="GL184"/>
      <c r="GM184"/>
      <c r="GN184" s="208"/>
      <c r="GO184" s="208"/>
      <c r="GP184" s="208"/>
      <c r="GQ184" s="208"/>
      <c r="GR184" s="208"/>
      <c r="GS184" s="208"/>
      <c r="GT184" s="208"/>
      <c r="GU184" s="213">
        <v>179</v>
      </c>
    </row>
    <row r="185" spans="1:203" s="7" customFormat="1">
      <c r="A185" s="1"/>
      <c r="B185" s="76">
        <f ca="1">IF(C185="", "", RAND())</f>
        <v>0.61787295051311464</v>
      </c>
      <c r="C185">
        <v>5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55.329171155641731</v>
      </c>
      <c r="AO185">
        <v>8.911418411402563</v>
      </c>
      <c r="AP185">
        <v>52.503063698002826</v>
      </c>
      <c r="AQ185">
        <v>64.992858017041499</v>
      </c>
      <c r="AR185">
        <v>8.3154034147376343</v>
      </c>
      <c r="AS185">
        <v>102.46758597662649</v>
      </c>
      <c r="AT185" t="e">
        <v>#DIV/0!</v>
      </c>
      <c r="AU185" t="e">
        <v>#DIV/0!</v>
      </c>
      <c r="AV185"/>
      <c r="AW185"/>
      <c r="AX185" s="146"/>
      <c r="AY185" s="76">
        <f t="shared" ca="1" si="171"/>
        <v>2.7467903821372097E-2</v>
      </c>
      <c r="AZ185">
        <v>8</v>
      </c>
      <c r="BA185" s="129">
        <f t="shared" si="247"/>
        <v>39987</v>
      </c>
      <c r="BB185" s="207">
        <v>0</v>
      </c>
      <c r="BC185" s="207">
        <v>0</v>
      </c>
      <c r="BD185" s="207">
        <v>0</v>
      </c>
      <c r="BE185" s="207">
        <v>0</v>
      </c>
      <c r="BF185" s="207">
        <v>0</v>
      </c>
      <c r="BG185" s="207">
        <v>0</v>
      </c>
      <c r="BH185" s="207">
        <v>0</v>
      </c>
      <c r="BI185" s="207">
        <v>1</v>
      </c>
      <c r="BJ185" s="207">
        <v>0</v>
      </c>
      <c r="BK185" s="207">
        <v>0</v>
      </c>
      <c r="BL185" s="207">
        <v>0</v>
      </c>
      <c r="BM185" s="207">
        <v>0</v>
      </c>
      <c r="BN185" s="207">
        <v>0</v>
      </c>
      <c r="BO185" s="207">
        <v>0</v>
      </c>
      <c r="BP185" s="207">
        <v>0</v>
      </c>
      <c r="BQ185" s="207">
        <v>0</v>
      </c>
      <c r="BR185" s="207">
        <v>0</v>
      </c>
      <c r="BS185" s="207">
        <v>0</v>
      </c>
      <c r="BT185" s="207">
        <v>0</v>
      </c>
      <c r="BU185" s="207">
        <v>0</v>
      </c>
      <c r="BV185" s="207">
        <v>0</v>
      </c>
      <c r="BW185" s="207">
        <v>0</v>
      </c>
      <c r="BX185" s="207">
        <v>0</v>
      </c>
      <c r="BY185" s="207">
        <v>0</v>
      </c>
      <c r="BZ185" s="207">
        <v>0</v>
      </c>
      <c r="CA185" s="207">
        <v>0</v>
      </c>
      <c r="CB185" s="207">
        <v>0</v>
      </c>
      <c r="CC185" s="207">
        <v>0</v>
      </c>
      <c r="CD185" s="207">
        <v>0</v>
      </c>
      <c r="CE185" s="207">
        <v>0</v>
      </c>
      <c r="CF185" s="207"/>
      <c r="CG185" s="147"/>
      <c r="CH185" s="176"/>
      <c r="CJ185" s="146"/>
      <c r="CK185" s="76">
        <f t="shared" ca="1" si="206"/>
        <v>0.42230352852857278</v>
      </c>
      <c r="CL185" s="179">
        <f t="shared" si="207"/>
        <v>8</v>
      </c>
      <c r="CM185" s="180">
        <f t="shared" si="208"/>
        <v>39987</v>
      </c>
      <c r="CN185" s="208">
        <v>0</v>
      </c>
      <c r="CO185" s="208">
        <v>0</v>
      </c>
      <c r="CP185" s="208">
        <v>0</v>
      </c>
      <c r="CQ185" s="208">
        <v>0</v>
      </c>
      <c r="CR185" s="208">
        <v>0</v>
      </c>
      <c r="CS185" s="208">
        <v>0</v>
      </c>
      <c r="CT185" s="208">
        <v>0</v>
      </c>
      <c r="CU185" s="208">
        <v>0</v>
      </c>
      <c r="CV185" s="160"/>
      <c r="CW185">
        <v>1</v>
      </c>
      <c r="CX185">
        <f>350/65</f>
        <v>5.384615384615385</v>
      </c>
      <c r="CY185" s="165"/>
      <c r="CZ185" s="177">
        <f t="shared" si="209"/>
        <v>9.6000000000000002E-2</v>
      </c>
      <c r="DB185" s="146"/>
      <c r="DC185" s="76">
        <f t="shared" ca="1" si="172"/>
        <v>9.6799827912565917E-3</v>
      </c>
      <c r="DD185">
        <f t="shared" si="210"/>
        <v>8</v>
      </c>
      <c r="DE185" s="129">
        <f t="shared" si="246"/>
        <v>39987</v>
      </c>
      <c r="DF185" s="161">
        <f t="shared" si="211"/>
        <v>0</v>
      </c>
      <c r="DG185" s="161">
        <f t="shared" si="212"/>
        <v>0</v>
      </c>
      <c r="DH185" s="161">
        <f t="shared" si="213"/>
        <v>0</v>
      </c>
      <c r="DI185" s="161">
        <f t="shared" si="214"/>
        <v>0</v>
      </c>
      <c r="DJ185" s="161">
        <f t="shared" si="215"/>
        <v>0</v>
      </c>
      <c r="DK185" s="161">
        <f t="shared" si="216"/>
        <v>0</v>
      </c>
      <c r="DL185" s="161">
        <f t="shared" si="217"/>
        <v>0</v>
      </c>
      <c r="DM185" s="161">
        <f t="shared" si="218"/>
        <v>10.416666666666666</v>
      </c>
      <c r="DN185" s="161">
        <f t="shared" si="219"/>
        <v>0</v>
      </c>
      <c r="DO185" s="161">
        <f t="shared" si="220"/>
        <v>0</v>
      </c>
      <c r="DP185" s="161">
        <f t="shared" si="221"/>
        <v>0</v>
      </c>
      <c r="DQ185" s="161">
        <f t="shared" si="222"/>
        <v>0</v>
      </c>
      <c r="DR185" s="161">
        <f t="shared" si="223"/>
        <v>0</v>
      </c>
      <c r="DS185" s="161">
        <f t="shared" si="224"/>
        <v>0</v>
      </c>
      <c r="DT185" s="161">
        <f t="shared" si="225"/>
        <v>0</v>
      </c>
      <c r="DU185" s="161">
        <f t="shared" si="226"/>
        <v>0</v>
      </c>
      <c r="DV185" s="161">
        <f t="shared" si="227"/>
        <v>0</v>
      </c>
      <c r="DW185" s="161">
        <f t="shared" si="228"/>
        <v>0</v>
      </c>
      <c r="DX185" s="161">
        <f t="shared" si="229"/>
        <v>0</v>
      </c>
      <c r="DY185" s="161">
        <f t="shared" si="230"/>
        <v>0</v>
      </c>
      <c r="DZ185" s="161">
        <f t="shared" si="231"/>
        <v>0</v>
      </c>
      <c r="EA185" s="161">
        <f t="shared" si="232"/>
        <v>0</v>
      </c>
      <c r="EB185" s="161">
        <f t="shared" si="233"/>
        <v>0</v>
      </c>
      <c r="EC185" s="161">
        <f t="shared" si="234"/>
        <v>0</v>
      </c>
      <c r="ED185" s="161">
        <f t="shared" si="235"/>
        <v>0</v>
      </c>
      <c r="EE185" s="161">
        <f t="shared" si="236"/>
        <v>0</v>
      </c>
      <c r="EF185" s="161">
        <f t="shared" si="237"/>
        <v>0</v>
      </c>
      <c r="EG185" s="161">
        <f t="shared" si="238"/>
        <v>0</v>
      </c>
      <c r="EH185" s="161">
        <f t="shared" si="239"/>
        <v>0</v>
      </c>
      <c r="EI185" s="161">
        <f t="shared" si="240"/>
        <v>0</v>
      </c>
      <c r="EJ185" s="161">
        <f t="shared" si="241"/>
        <v>0</v>
      </c>
      <c r="EK185" s="147">
        <f t="shared" si="248"/>
        <v>10.416666666666666</v>
      </c>
      <c r="EL185" s="149"/>
      <c r="EN185" s="146"/>
      <c r="EO185" s="146"/>
      <c r="EP185" s="139">
        <f t="shared" si="249"/>
        <v>0</v>
      </c>
      <c r="EQ185" s="139">
        <f t="shared" si="250"/>
        <v>0</v>
      </c>
      <c r="ER185" s="139">
        <f t="shared" si="251"/>
        <v>0</v>
      </c>
      <c r="ES185" s="139">
        <f t="shared" si="252"/>
        <v>0</v>
      </c>
      <c r="ET185" s="139">
        <f t="shared" si="253"/>
        <v>0</v>
      </c>
      <c r="EU185" s="139">
        <f t="shared" si="254"/>
        <v>0</v>
      </c>
      <c r="EV185" s="139">
        <f t="shared" si="255"/>
        <v>0</v>
      </c>
      <c r="EW185" s="139">
        <f t="shared" si="256"/>
        <v>14.154081822273552</v>
      </c>
      <c r="EX185" s="139">
        <f t="shared" si="257"/>
        <v>0</v>
      </c>
      <c r="EY185" s="139">
        <f t="shared" si="258"/>
        <v>0</v>
      </c>
      <c r="EZ185" s="139">
        <f t="shared" si="259"/>
        <v>0</v>
      </c>
      <c r="FA185" s="139">
        <f t="shared" si="260"/>
        <v>0</v>
      </c>
      <c r="FB185" s="139">
        <f t="shared" si="261"/>
        <v>0</v>
      </c>
      <c r="FC185" s="139">
        <f t="shared" si="262"/>
        <v>0</v>
      </c>
      <c r="FD185" s="139">
        <f t="shared" si="263"/>
        <v>0</v>
      </c>
      <c r="FE185" s="139">
        <f t="shared" si="264"/>
        <v>0</v>
      </c>
      <c r="FF185" s="139">
        <f t="shared" si="265"/>
        <v>0</v>
      </c>
      <c r="FG185" s="139">
        <f t="shared" si="266"/>
        <v>0</v>
      </c>
      <c r="FH185" s="139">
        <f t="shared" si="267"/>
        <v>0</v>
      </c>
      <c r="FI185" s="139">
        <f t="shared" si="268"/>
        <v>0</v>
      </c>
      <c r="FJ185" s="139">
        <f t="shared" si="269"/>
        <v>0</v>
      </c>
      <c r="FK185" s="139">
        <f t="shared" si="270"/>
        <v>0</v>
      </c>
      <c r="FL185" s="139">
        <f t="shared" si="271"/>
        <v>0</v>
      </c>
      <c r="FM185" s="139">
        <f t="shared" si="272"/>
        <v>0</v>
      </c>
      <c r="FN185" s="139">
        <f t="shared" si="273"/>
        <v>0</v>
      </c>
      <c r="FO185" s="139">
        <f t="shared" si="274"/>
        <v>0</v>
      </c>
      <c r="FP185" s="139">
        <f t="shared" si="275"/>
        <v>0</v>
      </c>
      <c r="FQ185" s="139">
        <f t="shared" si="276"/>
        <v>0</v>
      </c>
      <c r="FR185" s="139">
        <f t="shared" si="277"/>
        <v>0</v>
      </c>
      <c r="FS185" s="139">
        <f t="shared" si="278"/>
        <v>0</v>
      </c>
      <c r="FT185" s="139">
        <f t="shared" si="279"/>
        <v>0</v>
      </c>
      <c r="FU185" s="148">
        <f t="shared" si="280"/>
        <v>14.154081822273552</v>
      </c>
      <c r="FV185" s="149"/>
      <c r="FY185" s="213">
        <v>180</v>
      </c>
      <c r="FZ185">
        <v>6.5900217451133249</v>
      </c>
      <c r="GA185">
        <v>9.63450726141647</v>
      </c>
      <c r="GB185">
        <v>11.096927562702046</v>
      </c>
      <c r="GC185">
        <v>7.0419922127720742</v>
      </c>
      <c r="GD185">
        <v>2.241225255659034</v>
      </c>
      <c r="GE185">
        <v>1.9513924452446583</v>
      </c>
      <c r="GF185">
        <v>2.2396346090158339</v>
      </c>
      <c r="GG185">
        <v>1.5868994591809993</v>
      </c>
      <c r="GH185">
        <v>1.2016086289036068</v>
      </c>
      <c r="GI185">
        <v>5.6519307914636512</v>
      </c>
      <c r="GJ185"/>
      <c r="GK185"/>
      <c r="GL185"/>
      <c r="GM185"/>
      <c r="GN185" s="208"/>
      <c r="GO185" s="208"/>
      <c r="GP185" s="208"/>
      <c r="GQ185" s="208"/>
      <c r="GR185" s="208"/>
      <c r="GS185" s="208"/>
      <c r="GT185" s="208"/>
      <c r="GU185" s="213">
        <v>180</v>
      </c>
    </row>
    <row r="186" spans="1:203" s="7" customFormat="1">
      <c r="A186" s="1"/>
      <c r="B186" s="76">
        <f ca="1">IF(C186="", "", RAND())</f>
        <v>0.12079655431655745</v>
      </c>
      <c r="C186">
        <v>8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10.416666666666666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89.280537612554582</v>
      </c>
      <c r="AO186">
        <v>14.297844830033222</v>
      </c>
      <c r="AP186">
        <v>76.731816869465362</v>
      </c>
      <c r="AQ186">
        <v>119.353865789886</v>
      </c>
      <c r="AR186">
        <v>13.181315302989287</v>
      </c>
      <c r="AS186">
        <v>156.48968702784771</v>
      </c>
      <c r="AT186">
        <v>9.0247125123705079</v>
      </c>
      <c r="AU186">
        <v>16.066898642462743</v>
      </c>
      <c r="AV186"/>
      <c r="AW186"/>
      <c r="AX186" s="146"/>
      <c r="AY186" s="76">
        <f t="shared" ca="1" si="171"/>
        <v>0.69291521611281448</v>
      </c>
      <c r="AZ186">
        <v>9</v>
      </c>
      <c r="BA186" s="129">
        <f t="shared" si="247"/>
        <v>39987</v>
      </c>
      <c r="BB186" s="207">
        <v>0</v>
      </c>
      <c r="BC186" s="207">
        <v>0</v>
      </c>
      <c r="BD186" s="207">
        <v>0</v>
      </c>
      <c r="BE186" s="207">
        <v>0</v>
      </c>
      <c r="BF186" s="207">
        <v>0</v>
      </c>
      <c r="BG186" s="207">
        <v>0</v>
      </c>
      <c r="BH186" s="207">
        <v>0</v>
      </c>
      <c r="BI186" s="207">
        <v>0</v>
      </c>
      <c r="BJ186" s="207">
        <v>0</v>
      </c>
      <c r="BK186" s="207">
        <v>0</v>
      </c>
      <c r="BL186" s="207">
        <v>0</v>
      </c>
      <c r="BM186" s="207">
        <v>0</v>
      </c>
      <c r="BN186" s="207">
        <v>0</v>
      </c>
      <c r="BO186" s="207">
        <v>0</v>
      </c>
      <c r="BP186" s="207">
        <v>0</v>
      </c>
      <c r="BQ186" s="207">
        <v>0</v>
      </c>
      <c r="BR186" s="207">
        <v>0</v>
      </c>
      <c r="BS186" s="207">
        <v>0</v>
      </c>
      <c r="BT186" s="207">
        <v>0</v>
      </c>
      <c r="BU186" s="207">
        <v>0</v>
      </c>
      <c r="BV186" s="207">
        <v>0</v>
      </c>
      <c r="BW186" s="207">
        <v>0</v>
      </c>
      <c r="BX186" s="207">
        <v>0</v>
      </c>
      <c r="BY186" s="207">
        <v>0</v>
      </c>
      <c r="BZ186" s="207">
        <v>0</v>
      </c>
      <c r="CA186" s="207">
        <v>0</v>
      </c>
      <c r="CB186" s="207">
        <v>0</v>
      </c>
      <c r="CC186" s="207">
        <v>0</v>
      </c>
      <c r="CD186" s="207">
        <v>0</v>
      </c>
      <c r="CE186" s="207">
        <v>0</v>
      </c>
      <c r="CF186" s="207"/>
      <c r="CG186" s="147"/>
      <c r="CH186" s="176"/>
      <c r="CJ186" s="146"/>
      <c r="CK186" s="76">
        <f t="shared" ca="1" si="206"/>
        <v>0.96382493852611262</v>
      </c>
      <c r="CL186" s="179">
        <f t="shared" si="207"/>
        <v>9</v>
      </c>
      <c r="CM186" s="180">
        <f t="shared" si="208"/>
        <v>39987</v>
      </c>
      <c r="CN186" s="208">
        <v>0</v>
      </c>
      <c r="CO186" s="208">
        <v>0</v>
      </c>
      <c r="CP186" s="208">
        <v>0</v>
      </c>
      <c r="CQ186" s="208">
        <v>0</v>
      </c>
      <c r="CR186" s="208">
        <v>0</v>
      </c>
      <c r="CS186" s="208">
        <v>0</v>
      </c>
      <c r="CT186" s="208">
        <v>0</v>
      </c>
      <c r="CU186" s="208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9"/>
        <v>9.6000000000000002E-2</v>
      </c>
      <c r="DB186" s="146"/>
      <c r="DC186" s="76">
        <f t="shared" ca="1" si="172"/>
        <v>0.75813423988431961</v>
      </c>
      <c r="DD186">
        <f t="shared" si="210"/>
        <v>9</v>
      </c>
      <c r="DE186" s="129">
        <f t="shared" si="246"/>
        <v>39987</v>
      </c>
      <c r="DF186" s="161">
        <f t="shared" si="211"/>
        <v>0</v>
      </c>
      <c r="DG186" s="161">
        <f t="shared" si="212"/>
        <v>0</v>
      </c>
      <c r="DH186" s="161">
        <f t="shared" si="213"/>
        <v>0</v>
      </c>
      <c r="DI186" s="161">
        <f t="shared" si="214"/>
        <v>0</v>
      </c>
      <c r="DJ186" s="161">
        <f t="shared" si="215"/>
        <v>0</v>
      </c>
      <c r="DK186" s="161">
        <f t="shared" si="216"/>
        <v>0</v>
      </c>
      <c r="DL186" s="161">
        <f t="shared" si="217"/>
        <v>0</v>
      </c>
      <c r="DM186" s="161">
        <f t="shared" si="218"/>
        <v>0</v>
      </c>
      <c r="DN186" s="161">
        <f t="shared" si="219"/>
        <v>0</v>
      </c>
      <c r="DO186" s="161">
        <f t="shared" si="220"/>
        <v>0</v>
      </c>
      <c r="DP186" s="161">
        <f t="shared" si="221"/>
        <v>0</v>
      </c>
      <c r="DQ186" s="161">
        <f t="shared" si="222"/>
        <v>0</v>
      </c>
      <c r="DR186" s="161">
        <f t="shared" si="223"/>
        <v>0</v>
      </c>
      <c r="DS186" s="161">
        <f t="shared" si="224"/>
        <v>0</v>
      </c>
      <c r="DT186" s="161">
        <f t="shared" si="225"/>
        <v>0</v>
      </c>
      <c r="DU186" s="161">
        <f t="shared" si="226"/>
        <v>0</v>
      </c>
      <c r="DV186" s="161">
        <f t="shared" si="227"/>
        <v>0</v>
      </c>
      <c r="DW186" s="161">
        <f t="shared" si="228"/>
        <v>0</v>
      </c>
      <c r="DX186" s="161">
        <f t="shared" si="229"/>
        <v>0</v>
      </c>
      <c r="DY186" s="161">
        <f t="shared" si="230"/>
        <v>0</v>
      </c>
      <c r="DZ186" s="161">
        <f t="shared" si="231"/>
        <v>0</v>
      </c>
      <c r="EA186" s="161">
        <f t="shared" si="232"/>
        <v>0</v>
      </c>
      <c r="EB186" s="161">
        <f t="shared" si="233"/>
        <v>0</v>
      </c>
      <c r="EC186" s="161">
        <f t="shared" si="234"/>
        <v>0</v>
      </c>
      <c r="ED186" s="161">
        <f t="shared" si="235"/>
        <v>0</v>
      </c>
      <c r="EE186" s="161">
        <f t="shared" si="236"/>
        <v>0</v>
      </c>
      <c r="EF186" s="161">
        <f t="shared" si="237"/>
        <v>0</v>
      </c>
      <c r="EG186" s="161">
        <f t="shared" si="238"/>
        <v>0</v>
      </c>
      <c r="EH186" s="161">
        <f t="shared" si="239"/>
        <v>0</v>
      </c>
      <c r="EI186" s="161">
        <f t="shared" si="240"/>
        <v>0</v>
      </c>
      <c r="EJ186" s="161">
        <f t="shared" si="241"/>
        <v>0</v>
      </c>
      <c r="EK186" s="147">
        <f t="shared" si="248"/>
        <v>0</v>
      </c>
      <c r="EL186" s="149"/>
      <c r="EN186" s="146"/>
      <c r="EO186" s="146"/>
      <c r="EP186" s="139">
        <f t="shared" si="249"/>
        <v>0</v>
      </c>
      <c r="EQ186" s="139">
        <f t="shared" si="250"/>
        <v>0</v>
      </c>
      <c r="ER186" s="139">
        <f t="shared" si="251"/>
        <v>0</v>
      </c>
      <c r="ES186" s="139">
        <f t="shared" si="252"/>
        <v>0</v>
      </c>
      <c r="ET186" s="139">
        <f t="shared" si="253"/>
        <v>0</v>
      </c>
      <c r="EU186" s="139">
        <f t="shared" si="254"/>
        <v>0</v>
      </c>
      <c r="EV186" s="139">
        <f t="shared" si="255"/>
        <v>0</v>
      </c>
      <c r="EW186" s="139">
        <f t="shared" si="256"/>
        <v>0</v>
      </c>
      <c r="EX186" s="139">
        <f t="shared" si="257"/>
        <v>0</v>
      </c>
      <c r="EY186" s="139">
        <f t="shared" si="258"/>
        <v>0</v>
      </c>
      <c r="EZ186" s="139">
        <f t="shared" si="259"/>
        <v>0</v>
      </c>
      <c r="FA186" s="139">
        <f t="shared" si="260"/>
        <v>0</v>
      </c>
      <c r="FB186" s="139">
        <f t="shared" si="261"/>
        <v>0</v>
      </c>
      <c r="FC186" s="139">
        <f t="shared" si="262"/>
        <v>0</v>
      </c>
      <c r="FD186" s="139">
        <f t="shared" si="263"/>
        <v>0</v>
      </c>
      <c r="FE186" s="139">
        <f t="shared" si="264"/>
        <v>0</v>
      </c>
      <c r="FF186" s="139">
        <f t="shared" si="265"/>
        <v>0</v>
      </c>
      <c r="FG186" s="139">
        <f t="shared" si="266"/>
        <v>0</v>
      </c>
      <c r="FH186" s="139">
        <f t="shared" si="267"/>
        <v>0</v>
      </c>
      <c r="FI186" s="139">
        <f t="shared" si="268"/>
        <v>0</v>
      </c>
      <c r="FJ186" s="139">
        <f t="shared" si="269"/>
        <v>0</v>
      </c>
      <c r="FK186" s="139">
        <f t="shared" si="270"/>
        <v>0</v>
      </c>
      <c r="FL186" s="139">
        <f t="shared" si="271"/>
        <v>0</v>
      </c>
      <c r="FM186" s="139">
        <f t="shared" si="272"/>
        <v>0</v>
      </c>
      <c r="FN186" s="139">
        <f t="shared" si="273"/>
        <v>0</v>
      </c>
      <c r="FO186" s="139">
        <f t="shared" si="274"/>
        <v>0</v>
      </c>
      <c r="FP186" s="139">
        <f t="shared" si="275"/>
        <v>0</v>
      </c>
      <c r="FQ186" s="139">
        <f t="shared" si="276"/>
        <v>0</v>
      </c>
      <c r="FR186" s="139">
        <f t="shared" si="277"/>
        <v>0</v>
      </c>
      <c r="FS186" s="139">
        <f t="shared" si="278"/>
        <v>0</v>
      </c>
      <c r="FT186" s="139">
        <f t="shared" si="279"/>
        <v>0</v>
      </c>
      <c r="FU186" s="148">
        <f t="shared" si="280"/>
        <v>0</v>
      </c>
      <c r="FV186" s="149"/>
      <c r="FY186" s="213">
        <v>181</v>
      </c>
      <c r="FZ186">
        <v>23.346392198858261</v>
      </c>
      <c r="GA186">
        <v>32.063558133004129</v>
      </c>
      <c r="GB186">
        <v>8.3525839536811919</v>
      </c>
      <c r="GC186">
        <v>4.6487694633288212</v>
      </c>
      <c r="GD186">
        <v>2.2954293844243545</v>
      </c>
      <c r="GE186">
        <v>2.1847633332776071</v>
      </c>
      <c r="GF186">
        <v>3.7299149384646806</v>
      </c>
      <c r="GG186">
        <v>3.1737989183619986</v>
      </c>
      <c r="GH186">
        <v>0.60080431445180338</v>
      </c>
      <c r="GI186">
        <v>7.7144080902474306</v>
      </c>
      <c r="GJ186"/>
      <c r="GK186"/>
      <c r="GL186"/>
      <c r="GM186"/>
      <c r="GN186" s="208"/>
      <c r="GO186" s="208"/>
      <c r="GP186" s="208"/>
      <c r="GQ186" s="208"/>
      <c r="GR186" s="208"/>
      <c r="GS186" s="208"/>
      <c r="GT186" s="208"/>
      <c r="GU186" s="213">
        <v>181</v>
      </c>
    </row>
    <row r="187" spans="1:203" s="7" customFormat="1">
      <c r="A187" s="1"/>
      <c r="B187" s="76">
        <f ca="1">IF(C187="", "", RAND())</f>
        <v>0.96345907251221785</v>
      </c>
      <c r="C187">
        <v>2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64.711866556599063</v>
      </c>
      <c r="AO187">
        <v>7.4357388603997396</v>
      </c>
      <c r="AP187">
        <v>33.075464792264775</v>
      </c>
      <c r="AQ187">
        <v>49.110740826277947</v>
      </c>
      <c r="AR187">
        <v>6.8148117139998279</v>
      </c>
      <c r="AS187">
        <v>90.095957791790667</v>
      </c>
      <c r="AT187" t="e">
        <v>#DIV/0!</v>
      </c>
      <c r="AU187" t="e">
        <v>#DIV/0!</v>
      </c>
      <c r="AV187"/>
      <c r="AW187"/>
      <c r="AX187" s="146"/>
      <c r="AY187" s="76">
        <f t="shared" ca="1" si="171"/>
        <v>0.69596549308074374</v>
      </c>
      <c r="AZ187">
        <v>10</v>
      </c>
      <c r="BA187" s="129">
        <f t="shared" si="247"/>
        <v>39987</v>
      </c>
      <c r="BB187" s="207">
        <v>0</v>
      </c>
      <c r="BC187" s="207">
        <v>0</v>
      </c>
      <c r="BD187" s="207">
        <v>0</v>
      </c>
      <c r="BE187" s="207">
        <v>0</v>
      </c>
      <c r="BF187" s="207">
        <v>0</v>
      </c>
      <c r="BG187" s="207">
        <v>0</v>
      </c>
      <c r="BH187" s="207">
        <v>0</v>
      </c>
      <c r="BI187" s="207">
        <v>0</v>
      </c>
      <c r="BJ187" s="207">
        <v>0</v>
      </c>
      <c r="BK187" s="207">
        <v>0</v>
      </c>
      <c r="BL187" s="207">
        <v>0</v>
      </c>
      <c r="BM187" s="207">
        <v>0</v>
      </c>
      <c r="BN187" s="207">
        <v>0</v>
      </c>
      <c r="BO187" s="207">
        <v>0</v>
      </c>
      <c r="BP187" s="207">
        <v>0</v>
      </c>
      <c r="BQ187" s="207">
        <v>0</v>
      </c>
      <c r="BR187" s="207">
        <v>0</v>
      </c>
      <c r="BS187" s="207">
        <v>0</v>
      </c>
      <c r="BT187" s="207">
        <v>0</v>
      </c>
      <c r="BU187" s="207">
        <v>0</v>
      </c>
      <c r="BV187" s="207">
        <v>0</v>
      </c>
      <c r="BW187" s="207">
        <v>0</v>
      </c>
      <c r="BX187" s="207">
        <v>0</v>
      </c>
      <c r="BY187" s="207">
        <v>0</v>
      </c>
      <c r="BZ187" s="207">
        <v>0</v>
      </c>
      <c r="CA187" s="207">
        <v>0</v>
      </c>
      <c r="CB187" s="207">
        <v>0</v>
      </c>
      <c r="CC187" s="207">
        <v>0</v>
      </c>
      <c r="CD187" s="207">
        <v>0</v>
      </c>
      <c r="CE187" s="207">
        <v>0</v>
      </c>
      <c r="CF187" s="207"/>
      <c r="CG187" s="147"/>
      <c r="CH187" s="176"/>
      <c r="CJ187" s="146"/>
      <c r="CK187" s="76">
        <f t="shared" ca="1" si="206"/>
        <v>0.42296320677296895</v>
      </c>
      <c r="CL187" s="179">
        <f t="shared" si="207"/>
        <v>10</v>
      </c>
      <c r="CM187" s="180">
        <f t="shared" si="208"/>
        <v>39987</v>
      </c>
      <c r="CN187" s="208">
        <v>0</v>
      </c>
      <c r="CO187" s="208">
        <v>0</v>
      </c>
      <c r="CP187" s="208">
        <v>0</v>
      </c>
      <c r="CQ187" s="208">
        <v>0</v>
      </c>
      <c r="CR187" s="208">
        <v>0</v>
      </c>
      <c r="CS187" s="208">
        <v>0</v>
      </c>
      <c r="CT187" s="208">
        <v>0</v>
      </c>
      <c r="CU187" s="208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9"/>
        <v>9.6000000000000002E-2</v>
      </c>
      <c r="DB187" s="146"/>
      <c r="DC187" s="76">
        <f t="shared" ca="1" si="172"/>
        <v>0.59177584656850968</v>
      </c>
      <c r="DD187">
        <f t="shared" si="210"/>
        <v>10</v>
      </c>
      <c r="DE187" s="129">
        <f t="shared" si="246"/>
        <v>39987</v>
      </c>
      <c r="DF187" s="161">
        <f t="shared" si="211"/>
        <v>0</v>
      </c>
      <c r="DG187" s="161">
        <f t="shared" si="212"/>
        <v>0</v>
      </c>
      <c r="DH187" s="161">
        <f t="shared" si="213"/>
        <v>0</v>
      </c>
      <c r="DI187" s="161">
        <f t="shared" si="214"/>
        <v>0</v>
      </c>
      <c r="DJ187" s="161">
        <f t="shared" si="215"/>
        <v>0</v>
      </c>
      <c r="DK187" s="161">
        <f t="shared" si="216"/>
        <v>0</v>
      </c>
      <c r="DL187" s="161">
        <f t="shared" si="217"/>
        <v>0</v>
      </c>
      <c r="DM187" s="161">
        <f t="shared" si="218"/>
        <v>0</v>
      </c>
      <c r="DN187" s="161">
        <f t="shared" si="219"/>
        <v>0</v>
      </c>
      <c r="DO187" s="161">
        <f t="shared" si="220"/>
        <v>0</v>
      </c>
      <c r="DP187" s="161">
        <f t="shared" si="221"/>
        <v>0</v>
      </c>
      <c r="DQ187" s="161">
        <f t="shared" si="222"/>
        <v>0</v>
      </c>
      <c r="DR187" s="161">
        <f t="shared" si="223"/>
        <v>0</v>
      </c>
      <c r="DS187" s="161">
        <f t="shared" si="224"/>
        <v>0</v>
      </c>
      <c r="DT187" s="161">
        <f t="shared" si="225"/>
        <v>0</v>
      </c>
      <c r="DU187" s="161">
        <f t="shared" si="226"/>
        <v>0</v>
      </c>
      <c r="DV187" s="161">
        <f t="shared" si="227"/>
        <v>0</v>
      </c>
      <c r="DW187" s="161">
        <f t="shared" si="228"/>
        <v>0</v>
      </c>
      <c r="DX187" s="161">
        <f t="shared" si="229"/>
        <v>0</v>
      </c>
      <c r="DY187" s="161">
        <f t="shared" si="230"/>
        <v>0</v>
      </c>
      <c r="DZ187" s="161">
        <f t="shared" si="231"/>
        <v>0</v>
      </c>
      <c r="EA187" s="161">
        <f t="shared" si="232"/>
        <v>0</v>
      </c>
      <c r="EB187" s="161">
        <f t="shared" si="233"/>
        <v>0</v>
      </c>
      <c r="EC187" s="161">
        <f t="shared" si="234"/>
        <v>0</v>
      </c>
      <c r="ED187" s="161">
        <f t="shared" si="235"/>
        <v>0</v>
      </c>
      <c r="EE187" s="161">
        <f t="shared" si="236"/>
        <v>0</v>
      </c>
      <c r="EF187" s="161">
        <f t="shared" si="237"/>
        <v>0</v>
      </c>
      <c r="EG187" s="161">
        <f t="shared" si="238"/>
        <v>0</v>
      </c>
      <c r="EH187" s="161">
        <f t="shared" si="239"/>
        <v>0</v>
      </c>
      <c r="EI187" s="161">
        <f t="shared" si="240"/>
        <v>0</v>
      </c>
      <c r="EJ187" s="161">
        <f t="shared" si="241"/>
        <v>0</v>
      </c>
      <c r="EK187" s="147">
        <f t="shared" si="248"/>
        <v>0</v>
      </c>
      <c r="EL187" s="149"/>
      <c r="EN187" s="146"/>
      <c r="EO187" s="146"/>
      <c r="EP187" s="139">
        <f t="shared" si="249"/>
        <v>0</v>
      </c>
      <c r="EQ187" s="139">
        <f t="shared" si="250"/>
        <v>0</v>
      </c>
      <c r="ER187" s="139">
        <f t="shared" si="251"/>
        <v>0</v>
      </c>
      <c r="ES187" s="139">
        <f t="shared" si="252"/>
        <v>0</v>
      </c>
      <c r="ET187" s="139">
        <f t="shared" si="253"/>
        <v>0</v>
      </c>
      <c r="EU187" s="139">
        <f t="shared" si="254"/>
        <v>0</v>
      </c>
      <c r="EV187" s="139">
        <f t="shared" si="255"/>
        <v>0</v>
      </c>
      <c r="EW187" s="139">
        <f t="shared" si="256"/>
        <v>0</v>
      </c>
      <c r="EX187" s="139">
        <f t="shared" si="257"/>
        <v>0</v>
      </c>
      <c r="EY187" s="139">
        <f t="shared" si="258"/>
        <v>0</v>
      </c>
      <c r="EZ187" s="139">
        <f t="shared" si="259"/>
        <v>0</v>
      </c>
      <c r="FA187" s="139">
        <f t="shared" si="260"/>
        <v>0</v>
      </c>
      <c r="FB187" s="139">
        <f t="shared" si="261"/>
        <v>0</v>
      </c>
      <c r="FC187" s="139">
        <f t="shared" si="262"/>
        <v>0</v>
      </c>
      <c r="FD187" s="139">
        <f t="shared" si="263"/>
        <v>0</v>
      </c>
      <c r="FE187" s="139">
        <f t="shared" si="264"/>
        <v>0</v>
      </c>
      <c r="FF187" s="139">
        <f t="shared" si="265"/>
        <v>0</v>
      </c>
      <c r="FG187" s="139">
        <f t="shared" si="266"/>
        <v>0</v>
      </c>
      <c r="FH187" s="139">
        <f t="shared" si="267"/>
        <v>0</v>
      </c>
      <c r="FI187" s="139">
        <f t="shared" si="268"/>
        <v>0</v>
      </c>
      <c r="FJ187" s="139">
        <f t="shared" si="269"/>
        <v>0</v>
      </c>
      <c r="FK187" s="139">
        <f t="shared" si="270"/>
        <v>0</v>
      </c>
      <c r="FL187" s="139">
        <f t="shared" si="271"/>
        <v>0</v>
      </c>
      <c r="FM187" s="139">
        <f t="shared" si="272"/>
        <v>0</v>
      </c>
      <c r="FN187" s="139">
        <f t="shared" si="273"/>
        <v>0</v>
      </c>
      <c r="FO187" s="139">
        <f t="shared" si="274"/>
        <v>0</v>
      </c>
      <c r="FP187" s="139">
        <f t="shared" si="275"/>
        <v>0</v>
      </c>
      <c r="FQ187" s="139">
        <f t="shared" si="276"/>
        <v>0</v>
      </c>
      <c r="FR187" s="139">
        <f t="shared" si="277"/>
        <v>0</v>
      </c>
      <c r="FS187" s="139">
        <f t="shared" si="278"/>
        <v>0</v>
      </c>
      <c r="FT187" s="139">
        <f t="shared" si="279"/>
        <v>0</v>
      </c>
      <c r="FU187" s="148">
        <f t="shared" si="280"/>
        <v>0</v>
      </c>
      <c r="FV187" s="149"/>
      <c r="FY187" s="213">
        <v>182</v>
      </c>
      <c r="FZ187">
        <v>5.7544519277380122</v>
      </c>
      <c r="GA187">
        <v>4.382554043346226</v>
      </c>
      <c r="GB187">
        <v>4.9537030324075024</v>
      </c>
      <c r="GC187">
        <v>4.1930249619749445</v>
      </c>
      <c r="GD187">
        <v>2.5283994177731484</v>
      </c>
      <c r="GE187">
        <v>3.2371166680208785</v>
      </c>
      <c r="GF187">
        <v>2.0088289388101837</v>
      </c>
      <c r="GG187">
        <v>2.3775978616435904</v>
      </c>
      <c r="GH187">
        <v>2.7619779405139626</v>
      </c>
      <c r="GI187">
        <v>4.3556116562564595</v>
      </c>
      <c r="GJ187"/>
      <c r="GK187"/>
      <c r="GL187"/>
      <c r="GM187"/>
      <c r="GN187" s="208"/>
      <c r="GO187" s="208"/>
      <c r="GP187" s="208"/>
      <c r="GQ187" s="208"/>
      <c r="GR187" s="208"/>
      <c r="GS187" s="208"/>
      <c r="GT187" s="208"/>
      <c r="GU187" s="213">
        <v>182</v>
      </c>
    </row>
    <row r="188" spans="1:203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105.85557235309389</v>
      </c>
      <c r="AO188">
        <v>17.868483501130957</v>
      </c>
      <c r="AP188">
        <v>87.749869526268213</v>
      </c>
      <c r="AQ188">
        <v>142.02941694423893</v>
      </c>
      <c r="AR188">
        <v>16.354174137391901</v>
      </c>
      <c r="AS188">
        <v>193.9696500752018</v>
      </c>
      <c r="AT188" t="e">
        <v>#DIV/0!</v>
      </c>
      <c r="AU188" t="e">
        <v>#DIV/0!</v>
      </c>
      <c r="AV188"/>
      <c r="AW188"/>
      <c r="AX188" s="128"/>
      <c r="AY188" s="76" t="str">
        <f t="shared" ca="1" si="171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6"/>
        <v/>
      </c>
      <c r="CL188" s="179" t="str">
        <f t="shared" si="207"/>
        <v/>
      </c>
      <c r="CM188" s="180" t="str">
        <f t="shared" si="208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9"/>
        <v/>
      </c>
      <c r="DB188" s="128"/>
      <c r="DC188" s="76" t="str">
        <f t="shared" ca="1" si="172"/>
        <v/>
      </c>
      <c r="DD188" t="str">
        <f t="shared" si="210"/>
        <v/>
      </c>
      <c r="DE188" s="129" t="str">
        <f t="shared" ref="DE188:DE197" si="281">IF((DD188)="", "", $C$14)</f>
        <v/>
      </c>
      <c r="DF188" s="161" t="str">
        <f t="shared" ref="DF188:DF207" si="282">IF($AZ188="", "", ((BB188*$CW188)+(CN188*$CX188))/$CZ188)</f>
        <v/>
      </c>
      <c r="DG188" s="161" t="str">
        <f t="shared" ref="DG188:DG207" si="283">IF($AZ188="", "", ((BC188*$CW188)+(CO188*$CX188))/$CZ188)</f>
        <v/>
      </c>
      <c r="DH188" s="161" t="str">
        <f t="shared" ref="DH188:DH207" si="284">IF($AZ188="", "", ((BD188*$CW188)+(CP188*$CX188))/$CZ188)</f>
        <v/>
      </c>
      <c r="DI188" s="161" t="str">
        <f t="shared" ref="DI188:DI207" si="285">IF($AZ188="", "", ((BE188*$CW188)+(CQ188*$CX188))/$CZ188)</f>
        <v/>
      </c>
      <c r="DJ188" s="161" t="str">
        <f t="shared" ref="DJ188:DJ207" si="286">IF($AZ188="", "", ((BF188*$CW188)+(CR188*$CX188))/$CZ188)</f>
        <v/>
      </c>
      <c r="DK188" s="161" t="str">
        <f t="shared" ref="DK188:DK207" si="287">IF($AZ188="", "", ((BG188*$CW188)+(CS188*$CX188))/$CZ188)</f>
        <v/>
      </c>
      <c r="DL188" s="161" t="str">
        <f t="shared" ref="DL188:DL207" si="288">IF($AZ188="", "", ((BH188*$CW188)+(CT188*$CX188))/$CZ188)</f>
        <v/>
      </c>
      <c r="DM188" s="161" t="str">
        <f t="shared" ref="DM188:DM207" si="289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0">IF($AZ188="", "", (BK187*$CW188)/$CZ188)</f>
        <v/>
      </c>
      <c r="DP188" s="161" t="str">
        <f t="shared" ref="DP188:DP193" si="291">IF($AZ188="", "", (BL187*$CW188)/$CZ188)</f>
        <v/>
      </c>
      <c r="DQ188" s="161" t="str">
        <f t="shared" ref="DQ188:DQ193" si="292">IF($AZ188="", "", (BM187*$CW188)/$CZ188)</f>
        <v/>
      </c>
      <c r="DR188" s="161" t="str">
        <f t="shared" ref="DR188:DR193" si="293">IF($AZ188="", "", (BN187*$CW188)/$CZ188)</f>
        <v/>
      </c>
      <c r="DS188" s="161" t="str">
        <f t="shared" ref="DS188:DS193" si="294">IF($AZ188="", "", (BO187*$CW188)/$CZ188)</f>
        <v/>
      </c>
      <c r="DT188" s="161" t="str">
        <f t="shared" ref="DT188:DT193" si="295">IF($AZ188="", "", (BP187*$CW188)/$CZ188)</f>
        <v/>
      </c>
      <c r="DU188" s="161" t="str">
        <f t="shared" ref="DU188:DU193" si="296">IF($AZ188="", "", (BQ187*$CW188)/$CZ188)</f>
        <v/>
      </c>
      <c r="DV188" s="161" t="str">
        <f t="shared" ref="DV188:DV193" si="297">IF($AZ188="", "", (BR187*$CW188)/$CZ188)</f>
        <v/>
      </c>
      <c r="DW188" s="161" t="str">
        <f t="shared" ref="DW188:DW193" si="298">IF($AZ188="", "", (BS187*$CW188)/$CZ188)</f>
        <v/>
      </c>
      <c r="DX188" s="161" t="str">
        <f t="shared" ref="DX188:DX193" si="299">IF($AZ188="", "", (BT187*$CW188)/$CZ188)</f>
        <v/>
      </c>
      <c r="DY188" s="161" t="str">
        <f t="shared" ref="DY188:DY193" si="300">IF($AZ188="", "", (BU187*$CW188)/$CZ188)</f>
        <v/>
      </c>
      <c r="DZ188" s="161" t="str">
        <f t="shared" ref="DZ188:DZ193" si="301">IF($AZ188="", "", (BV187*$CW188)/$CZ188)</f>
        <v/>
      </c>
      <c r="EA188" s="161" t="str">
        <f t="shared" ref="EA188:EA193" si="302">IF($AZ188="", "", (BW187*$CW188)/$CZ188)</f>
        <v/>
      </c>
      <c r="EB188" s="161" t="str">
        <f t="shared" ref="EB188:EB193" si="303">IF($AZ188="", "", (BX187*$CW188)/$CZ188)</f>
        <v/>
      </c>
      <c r="EC188" s="161" t="str">
        <f t="shared" ref="EC188:EC193" si="304">IF($AZ188="", "", (BY187*$CW188)/$CZ188)</f>
        <v/>
      </c>
      <c r="ED188" s="161" t="str">
        <f t="shared" ref="ED188:ED193" si="305">IF($AZ188="", "", (BZ187*$CW188)/$CZ188)</f>
        <v/>
      </c>
      <c r="EE188" s="161" t="str">
        <f t="shared" ref="EE188:EE193" si="306">IF($AZ188="", "", (CA187*$CW188)/$CZ188)</f>
        <v/>
      </c>
      <c r="EF188" s="161" t="str">
        <f t="shared" ref="EF188:EF193" si="307">IF($AZ188="", "", (CB187*$CW188)/$CZ188)</f>
        <v/>
      </c>
      <c r="EG188" s="161" t="str">
        <f t="shared" ref="EG188:EG193" si="308">IF($AZ188="", "", (CC187*$CW188)/$CZ188)</f>
        <v/>
      </c>
      <c r="EH188" s="161" t="str">
        <f t="shared" ref="EH188:EH193" si="309">IF($AZ188="", "", (CD187*$CW188)/$CZ188)</f>
        <v/>
      </c>
      <c r="EI188" s="161" t="str">
        <f t="shared" ref="EI188:EI193" si="310">IF($AZ188="", "", (CE187*$CW188)/$CZ188)</f>
        <v/>
      </c>
      <c r="EJ188" s="161" t="str">
        <f t="shared" ref="EJ188:EJ193" si="311">IF($AZ188="", "", (CF187*$CW188)/$CZ188)</f>
        <v/>
      </c>
      <c r="EK188" s="147" t="str">
        <f t="shared" si="248"/>
        <v/>
      </c>
      <c r="EL188" s="149"/>
      <c r="EN188" s="146"/>
      <c r="EO188" s="146"/>
      <c r="EP188" s="139" t="str">
        <f t="shared" si="249"/>
        <v/>
      </c>
      <c r="EQ188" s="139" t="str">
        <f t="shared" si="250"/>
        <v/>
      </c>
      <c r="ER188" s="139" t="str">
        <f t="shared" si="251"/>
        <v/>
      </c>
      <c r="ES188" s="139" t="str">
        <f t="shared" si="252"/>
        <v/>
      </c>
      <c r="ET188" s="139" t="str">
        <f t="shared" si="253"/>
        <v/>
      </c>
      <c r="EU188" s="139" t="str">
        <f t="shared" si="254"/>
        <v/>
      </c>
      <c r="EV188" s="139" t="str">
        <f t="shared" si="255"/>
        <v/>
      </c>
      <c r="EW188" s="139" t="str">
        <f t="shared" si="256"/>
        <v/>
      </c>
      <c r="EX188" s="139" t="str">
        <f t="shared" si="257"/>
        <v/>
      </c>
      <c r="EY188" s="139" t="str">
        <f t="shared" si="258"/>
        <v/>
      </c>
      <c r="EZ188" s="139" t="str">
        <f t="shared" si="259"/>
        <v/>
      </c>
      <c r="FA188" s="139" t="str">
        <f t="shared" si="260"/>
        <v/>
      </c>
      <c r="FB188" s="139" t="str">
        <f t="shared" si="261"/>
        <v/>
      </c>
      <c r="FC188" s="139" t="str">
        <f t="shared" si="262"/>
        <v/>
      </c>
      <c r="FD188" s="139" t="str">
        <f t="shared" si="263"/>
        <v/>
      </c>
      <c r="FE188" s="139" t="str">
        <f t="shared" si="264"/>
        <v/>
      </c>
      <c r="FF188" s="139" t="str">
        <f t="shared" si="265"/>
        <v/>
      </c>
      <c r="FG188" s="139" t="str">
        <f t="shared" si="266"/>
        <v/>
      </c>
      <c r="FH188" s="139" t="str">
        <f t="shared" si="267"/>
        <v/>
      </c>
      <c r="FI188" s="139" t="str">
        <f t="shared" si="268"/>
        <v/>
      </c>
      <c r="FJ188" s="139" t="str">
        <f t="shared" si="269"/>
        <v/>
      </c>
      <c r="FK188" s="139" t="str">
        <f t="shared" si="270"/>
        <v/>
      </c>
      <c r="FL188" s="139" t="str">
        <f t="shared" si="271"/>
        <v/>
      </c>
      <c r="FM188" s="139" t="str">
        <f t="shared" si="272"/>
        <v/>
      </c>
      <c r="FN188" s="139" t="str">
        <f t="shared" si="273"/>
        <v/>
      </c>
      <c r="FO188" s="139" t="str">
        <f t="shared" si="274"/>
        <v/>
      </c>
      <c r="FP188" s="139" t="str">
        <f t="shared" si="275"/>
        <v/>
      </c>
      <c r="FQ188" s="139" t="str">
        <f t="shared" si="276"/>
        <v/>
      </c>
      <c r="FR188" s="139" t="str">
        <f t="shared" si="277"/>
        <v/>
      </c>
      <c r="FS188" s="139" t="str">
        <f t="shared" si="278"/>
        <v/>
      </c>
      <c r="FT188" s="139" t="str">
        <f t="shared" si="279"/>
        <v/>
      </c>
      <c r="FU188" s="148" t="str">
        <f t="shared" si="280"/>
        <v/>
      </c>
      <c r="FV188" s="149"/>
      <c r="FY188" s="213">
        <v>183</v>
      </c>
      <c r="FZ188">
        <v>51.389017557744488</v>
      </c>
      <c r="GA188">
        <v>61.596922159731776</v>
      </c>
      <c r="GB188">
        <v>7.9619348889763764</v>
      </c>
      <c r="GC188">
        <v>4.7540535830082282</v>
      </c>
      <c r="GD188">
        <v>1.7695891998803606</v>
      </c>
      <c r="GE188">
        <v>1.8597677915263464</v>
      </c>
      <c r="GF188">
        <v>3.22195326895433</v>
      </c>
      <c r="GG188">
        <v>2.4524746176683063</v>
      </c>
      <c r="GH188">
        <v>0.60080431445180338</v>
      </c>
      <c r="GI188">
        <v>11.314880354342586</v>
      </c>
      <c r="GJ188"/>
      <c r="GK188"/>
      <c r="GL188"/>
      <c r="GM188"/>
      <c r="GN188" s="208"/>
      <c r="GO188" s="208"/>
      <c r="GP188" s="208"/>
      <c r="GQ188" s="208"/>
      <c r="GR188" s="208"/>
      <c r="GS188" s="208"/>
      <c r="GT188" s="208"/>
      <c r="GU188" s="213">
        <v>183</v>
      </c>
    </row>
    <row r="189" spans="1:203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106.73728393066628</v>
      </c>
      <c r="AO189">
        <v>19.185602281762165</v>
      </c>
      <c r="AP189">
        <v>110.50388643279027</v>
      </c>
      <c r="AQ189">
        <v>158.62430938556344</v>
      </c>
      <c r="AR189">
        <v>17.83065186504275</v>
      </c>
      <c r="AS189">
        <v>206.82789683982648</v>
      </c>
      <c r="AT189">
        <v>12.233388409391587</v>
      </c>
      <c r="AU189">
        <v>24.698849820651446</v>
      </c>
      <c r="AV189"/>
      <c r="AW189"/>
      <c r="AX189" s="146"/>
      <c r="AY189" s="76" t="str">
        <f t="shared" ca="1" si="171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6"/>
        <v/>
      </c>
      <c r="CL189" s="179" t="str">
        <f t="shared" si="207"/>
        <v/>
      </c>
      <c r="CM189" s="180" t="str">
        <f t="shared" si="208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9"/>
        <v/>
      </c>
      <c r="DB189" s="146"/>
      <c r="DC189" s="76" t="str">
        <f t="shared" ca="1" si="172"/>
        <v/>
      </c>
      <c r="DD189" t="str">
        <f t="shared" si="210"/>
        <v/>
      </c>
      <c r="DE189" s="129" t="str">
        <f t="shared" si="281"/>
        <v/>
      </c>
      <c r="DF189" s="161" t="str">
        <f t="shared" si="282"/>
        <v/>
      </c>
      <c r="DG189" s="161" t="str">
        <f t="shared" si="283"/>
        <v/>
      </c>
      <c r="DH189" s="161" t="str">
        <f t="shared" si="284"/>
        <v/>
      </c>
      <c r="DI189" s="161" t="str">
        <f t="shared" si="285"/>
        <v/>
      </c>
      <c r="DJ189" s="161" t="str">
        <f t="shared" si="286"/>
        <v/>
      </c>
      <c r="DK189" s="161" t="str">
        <f t="shared" si="287"/>
        <v/>
      </c>
      <c r="DL189" s="161" t="str">
        <f t="shared" si="288"/>
        <v/>
      </c>
      <c r="DM189" s="161" t="str">
        <f t="shared" si="289"/>
        <v/>
      </c>
      <c r="DN189" s="161" t="str">
        <f>IF($AZ189="", "", (BJ189*$CW189)/$CZ189)</f>
        <v/>
      </c>
      <c r="DO189" s="161" t="str">
        <f t="shared" si="290"/>
        <v/>
      </c>
      <c r="DP189" s="161" t="str">
        <f t="shared" si="291"/>
        <v/>
      </c>
      <c r="DQ189" s="161" t="str">
        <f t="shared" si="292"/>
        <v/>
      </c>
      <c r="DR189" s="161" t="str">
        <f t="shared" si="293"/>
        <v/>
      </c>
      <c r="DS189" s="161" t="str">
        <f t="shared" si="294"/>
        <v/>
      </c>
      <c r="DT189" s="161" t="str">
        <f t="shared" si="295"/>
        <v/>
      </c>
      <c r="DU189" s="161" t="str">
        <f t="shared" si="296"/>
        <v/>
      </c>
      <c r="DV189" s="161" t="str">
        <f t="shared" si="297"/>
        <v/>
      </c>
      <c r="DW189" s="161" t="str">
        <f t="shared" si="298"/>
        <v/>
      </c>
      <c r="DX189" s="161" t="str">
        <f t="shared" si="299"/>
        <v/>
      </c>
      <c r="DY189" s="161" t="str">
        <f t="shared" si="300"/>
        <v/>
      </c>
      <c r="DZ189" s="161" t="str">
        <f t="shared" si="301"/>
        <v/>
      </c>
      <c r="EA189" s="161" t="str">
        <f t="shared" si="302"/>
        <v/>
      </c>
      <c r="EB189" s="161" t="str">
        <f t="shared" si="303"/>
        <v/>
      </c>
      <c r="EC189" s="161" t="str">
        <f t="shared" si="304"/>
        <v/>
      </c>
      <c r="ED189" s="161" t="str">
        <f t="shared" si="305"/>
        <v/>
      </c>
      <c r="EE189" s="161" t="str">
        <f t="shared" si="306"/>
        <v/>
      </c>
      <c r="EF189" s="161" t="str">
        <f t="shared" si="307"/>
        <v/>
      </c>
      <c r="EG189" s="161" t="str">
        <f t="shared" si="308"/>
        <v/>
      </c>
      <c r="EH189" s="161" t="str">
        <f t="shared" si="309"/>
        <v/>
      </c>
      <c r="EI189" s="161" t="str">
        <f t="shared" si="310"/>
        <v/>
      </c>
      <c r="EJ189" s="161" t="str">
        <f t="shared" si="311"/>
        <v/>
      </c>
      <c r="EK189" s="147" t="str">
        <f t="shared" si="248"/>
        <v/>
      </c>
      <c r="EL189" s="149"/>
      <c r="EN189" s="146"/>
      <c r="EO189" s="146"/>
      <c r="EP189" s="139" t="str">
        <f t="shared" si="249"/>
        <v/>
      </c>
      <c r="EQ189" s="139" t="str">
        <f t="shared" si="250"/>
        <v/>
      </c>
      <c r="ER189" s="139" t="str">
        <f t="shared" si="251"/>
        <v/>
      </c>
      <c r="ES189" s="139" t="str">
        <f t="shared" si="252"/>
        <v/>
      </c>
      <c r="ET189" s="139" t="str">
        <f t="shared" si="253"/>
        <v/>
      </c>
      <c r="EU189" s="139" t="str">
        <f t="shared" si="254"/>
        <v/>
      </c>
      <c r="EV189" s="139" t="str">
        <f t="shared" si="255"/>
        <v/>
      </c>
      <c r="EW189" s="139" t="str">
        <f t="shared" si="256"/>
        <v/>
      </c>
      <c r="EX189" s="139" t="str">
        <f t="shared" si="257"/>
        <v/>
      </c>
      <c r="EY189" s="139" t="str">
        <f t="shared" si="258"/>
        <v/>
      </c>
      <c r="EZ189" s="139" t="str">
        <f t="shared" si="259"/>
        <v/>
      </c>
      <c r="FA189" s="139" t="str">
        <f t="shared" si="260"/>
        <v/>
      </c>
      <c r="FB189" s="139" t="str">
        <f t="shared" si="261"/>
        <v/>
      </c>
      <c r="FC189" s="139" t="str">
        <f t="shared" si="262"/>
        <v/>
      </c>
      <c r="FD189" s="139" t="str">
        <f t="shared" si="263"/>
        <v/>
      </c>
      <c r="FE189" s="139" t="str">
        <f t="shared" si="264"/>
        <v/>
      </c>
      <c r="FF189" s="139" t="str">
        <f t="shared" si="265"/>
        <v/>
      </c>
      <c r="FG189" s="139" t="str">
        <f t="shared" si="266"/>
        <v/>
      </c>
      <c r="FH189" s="139" t="str">
        <f t="shared" si="267"/>
        <v/>
      </c>
      <c r="FI189" s="139" t="str">
        <f t="shared" si="268"/>
        <v/>
      </c>
      <c r="FJ189" s="139" t="str">
        <f t="shared" si="269"/>
        <v/>
      </c>
      <c r="FK189" s="139" t="str">
        <f t="shared" si="270"/>
        <v/>
      </c>
      <c r="FL189" s="139" t="str">
        <f t="shared" si="271"/>
        <v/>
      </c>
      <c r="FM189" s="139" t="str">
        <f t="shared" si="272"/>
        <v/>
      </c>
      <c r="FN189" s="139" t="str">
        <f t="shared" si="273"/>
        <v/>
      </c>
      <c r="FO189" s="139" t="str">
        <f t="shared" si="274"/>
        <v/>
      </c>
      <c r="FP189" s="139" t="str">
        <f t="shared" si="275"/>
        <v/>
      </c>
      <c r="FQ189" s="139" t="str">
        <f t="shared" si="276"/>
        <v/>
      </c>
      <c r="FR189" s="139" t="str">
        <f t="shared" si="277"/>
        <v/>
      </c>
      <c r="FS189" s="139" t="str">
        <f t="shared" si="278"/>
        <v/>
      </c>
      <c r="FT189" s="139" t="str">
        <f t="shared" si="279"/>
        <v/>
      </c>
      <c r="FU189" s="148" t="str">
        <f t="shared" si="280"/>
        <v/>
      </c>
      <c r="FV189" s="149"/>
      <c r="FY189" s="213">
        <v>184</v>
      </c>
      <c r="FZ189">
        <v>36.520464607394644</v>
      </c>
      <c r="GA189">
        <v>42.811847968745198</v>
      </c>
      <c r="GB189">
        <v>8.4441337476269567</v>
      </c>
      <c r="GC189">
        <v>5.0597029281974946</v>
      </c>
      <c r="GD189">
        <v>2.157401379492911</v>
      </c>
      <c r="GE189">
        <v>2.6099370194681919</v>
      </c>
      <c r="GF189">
        <v>3.3708555956971953</v>
      </c>
      <c r="GG189">
        <v>2.7094712016388183</v>
      </c>
      <c r="GH189">
        <v>0.60080431445180338</v>
      </c>
      <c r="GI189">
        <v>9.4734399279473429</v>
      </c>
      <c r="GJ189"/>
      <c r="GK189"/>
      <c r="GL189"/>
      <c r="GM189"/>
      <c r="GN189" s="208"/>
      <c r="GO189" s="208"/>
      <c r="GP189" s="208"/>
      <c r="GQ189" s="208"/>
      <c r="GR189" s="208"/>
      <c r="GS189" s="208"/>
      <c r="GT189" s="208"/>
      <c r="GU189" s="213">
        <v>184</v>
      </c>
    </row>
    <row r="190" spans="1:203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92.026257748899752</v>
      </c>
      <c r="AO190">
        <v>21.66061048870424</v>
      </c>
      <c r="AP190">
        <v>150.28979696830442</v>
      </c>
      <c r="AQ190">
        <v>192.19639084897136</v>
      </c>
      <c r="AR190">
        <v>19.901257385808805</v>
      </c>
      <c r="AS190">
        <v>224.95347236225925</v>
      </c>
      <c r="AT190" t="e">
        <v>#DIV/0!</v>
      </c>
      <c r="AU190" t="e">
        <v>#DIV/0!</v>
      </c>
      <c r="AV190"/>
      <c r="AW190"/>
      <c r="AX190" s="146"/>
      <c r="AY190" s="76" t="str">
        <f t="shared" ca="1" si="171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6"/>
        <v/>
      </c>
      <c r="CL190" s="179" t="str">
        <f t="shared" si="207"/>
        <v/>
      </c>
      <c r="CM190" s="180" t="str">
        <f t="shared" si="208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9"/>
        <v/>
      </c>
      <c r="DB190" s="146"/>
      <c r="DC190" s="76" t="str">
        <f t="shared" ca="1" si="172"/>
        <v/>
      </c>
      <c r="DD190" t="str">
        <f t="shared" si="210"/>
        <v/>
      </c>
      <c r="DE190" s="129" t="str">
        <f t="shared" si="281"/>
        <v/>
      </c>
      <c r="DF190" s="161" t="str">
        <f t="shared" si="282"/>
        <v/>
      </c>
      <c r="DG190" s="161" t="str">
        <f t="shared" si="283"/>
        <v/>
      </c>
      <c r="DH190" s="161" t="str">
        <f t="shared" si="284"/>
        <v/>
      </c>
      <c r="DI190" s="161" t="str">
        <f t="shared" si="285"/>
        <v/>
      </c>
      <c r="DJ190" s="161" t="str">
        <f t="shared" si="286"/>
        <v/>
      </c>
      <c r="DK190" s="161" t="str">
        <f t="shared" si="287"/>
        <v/>
      </c>
      <c r="DL190" s="161" t="str">
        <f t="shared" si="288"/>
        <v/>
      </c>
      <c r="DM190" s="161" t="str">
        <f t="shared" si="289"/>
        <v/>
      </c>
      <c r="DN190" s="161" t="str">
        <f>IF($AZ190="", "", (BJ190*$CW190)/$CZ190)</f>
        <v/>
      </c>
      <c r="DO190" s="161" t="str">
        <f t="shared" si="290"/>
        <v/>
      </c>
      <c r="DP190" s="161" t="str">
        <f t="shared" si="291"/>
        <v/>
      </c>
      <c r="DQ190" s="161" t="str">
        <f t="shared" si="292"/>
        <v/>
      </c>
      <c r="DR190" s="161" t="str">
        <f t="shared" si="293"/>
        <v/>
      </c>
      <c r="DS190" s="161" t="str">
        <f t="shared" si="294"/>
        <v/>
      </c>
      <c r="DT190" s="161" t="str">
        <f t="shared" si="295"/>
        <v/>
      </c>
      <c r="DU190" s="161" t="str">
        <f t="shared" si="296"/>
        <v/>
      </c>
      <c r="DV190" s="161" t="str">
        <f t="shared" si="297"/>
        <v/>
      </c>
      <c r="DW190" s="161" t="str">
        <f t="shared" si="298"/>
        <v/>
      </c>
      <c r="DX190" s="161" t="str">
        <f t="shared" si="299"/>
        <v/>
      </c>
      <c r="DY190" s="161" t="str">
        <f t="shared" si="300"/>
        <v/>
      </c>
      <c r="DZ190" s="161" t="str">
        <f t="shared" si="301"/>
        <v/>
      </c>
      <c r="EA190" s="161" t="str">
        <f t="shared" si="302"/>
        <v/>
      </c>
      <c r="EB190" s="161" t="str">
        <f t="shared" si="303"/>
        <v/>
      </c>
      <c r="EC190" s="161" t="str">
        <f t="shared" si="304"/>
        <v/>
      </c>
      <c r="ED190" s="161" t="str">
        <f t="shared" si="305"/>
        <v/>
      </c>
      <c r="EE190" s="161" t="str">
        <f t="shared" si="306"/>
        <v/>
      </c>
      <c r="EF190" s="161" t="str">
        <f t="shared" si="307"/>
        <v/>
      </c>
      <c r="EG190" s="161" t="str">
        <f t="shared" si="308"/>
        <v/>
      </c>
      <c r="EH190" s="161" t="str">
        <f t="shared" si="309"/>
        <v/>
      </c>
      <c r="EI190" s="161" t="str">
        <f t="shared" si="310"/>
        <v/>
      </c>
      <c r="EJ190" s="161" t="str">
        <f t="shared" si="311"/>
        <v/>
      </c>
      <c r="EK190" s="147" t="str">
        <f t="shared" si="248"/>
        <v/>
      </c>
      <c r="EL190" s="149"/>
      <c r="EN190" s="146"/>
      <c r="EO190" s="146"/>
      <c r="EP190" s="139" t="str">
        <f t="shared" si="249"/>
        <v/>
      </c>
      <c r="EQ190" s="139" t="str">
        <f t="shared" si="250"/>
        <v/>
      </c>
      <c r="ER190" s="139" t="str">
        <f t="shared" si="251"/>
        <v/>
      </c>
      <c r="ES190" s="139" t="str">
        <f t="shared" si="252"/>
        <v/>
      </c>
      <c r="ET190" s="139" t="str">
        <f t="shared" si="253"/>
        <v/>
      </c>
      <c r="EU190" s="139" t="str">
        <f t="shared" si="254"/>
        <v/>
      </c>
      <c r="EV190" s="139" t="str">
        <f t="shared" si="255"/>
        <v/>
      </c>
      <c r="EW190" s="139" t="str">
        <f t="shared" si="256"/>
        <v/>
      </c>
      <c r="EX190" s="139" t="str">
        <f t="shared" si="257"/>
        <v/>
      </c>
      <c r="EY190" s="139" t="str">
        <f t="shared" si="258"/>
        <v/>
      </c>
      <c r="EZ190" s="139" t="str">
        <f t="shared" si="259"/>
        <v/>
      </c>
      <c r="FA190" s="139" t="str">
        <f t="shared" si="260"/>
        <v/>
      </c>
      <c r="FB190" s="139" t="str">
        <f t="shared" si="261"/>
        <v/>
      </c>
      <c r="FC190" s="139" t="str">
        <f t="shared" si="262"/>
        <v/>
      </c>
      <c r="FD190" s="139" t="str">
        <f t="shared" si="263"/>
        <v/>
      </c>
      <c r="FE190" s="139" t="str">
        <f t="shared" si="264"/>
        <v/>
      </c>
      <c r="FF190" s="139" t="str">
        <f t="shared" si="265"/>
        <v/>
      </c>
      <c r="FG190" s="139" t="str">
        <f t="shared" si="266"/>
        <v/>
      </c>
      <c r="FH190" s="139" t="str">
        <f t="shared" si="267"/>
        <v/>
      </c>
      <c r="FI190" s="139" t="str">
        <f t="shared" si="268"/>
        <v/>
      </c>
      <c r="FJ190" s="139" t="str">
        <f t="shared" si="269"/>
        <v/>
      </c>
      <c r="FK190" s="139" t="str">
        <f t="shared" si="270"/>
        <v/>
      </c>
      <c r="FL190" s="139" t="str">
        <f t="shared" si="271"/>
        <v/>
      </c>
      <c r="FM190" s="139" t="str">
        <f t="shared" si="272"/>
        <v/>
      </c>
      <c r="FN190" s="139" t="str">
        <f t="shared" si="273"/>
        <v/>
      </c>
      <c r="FO190" s="139" t="str">
        <f t="shared" si="274"/>
        <v/>
      </c>
      <c r="FP190" s="139" t="str">
        <f t="shared" si="275"/>
        <v/>
      </c>
      <c r="FQ190" s="139" t="str">
        <f t="shared" si="276"/>
        <v/>
      </c>
      <c r="FR190" s="139" t="str">
        <f t="shared" si="277"/>
        <v/>
      </c>
      <c r="FS190" s="139" t="str">
        <f t="shared" si="278"/>
        <v/>
      </c>
      <c r="FT190" s="139" t="str">
        <f t="shared" si="279"/>
        <v/>
      </c>
      <c r="FU190" s="148" t="str">
        <f t="shared" si="280"/>
        <v/>
      </c>
      <c r="FV190" s="149"/>
      <c r="FY190" s="213">
        <v>185</v>
      </c>
      <c r="FZ190">
        <v>39.912983009244471</v>
      </c>
      <c r="GA190">
        <v>46.327418516978753</v>
      </c>
      <c r="GB190">
        <v>3.5359578622570602</v>
      </c>
      <c r="GC190">
        <v>3.726717078675605</v>
      </c>
      <c r="GD190">
        <v>2.4420966758336657</v>
      </c>
      <c r="GE190">
        <v>2.601808529342251</v>
      </c>
      <c r="GF190">
        <v>1.4848698044675652</v>
      </c>
      <c r="GG190">
        <v>0.59909927187070877</v>
      </c>
      <c r="GH190">
        <v>0</v>
      </c>
      <c r="GI190">
        <v>8.4693836943535921</v>
      </c>
      <c r="GJ190"/>
      <c r="GK190"/>
      <c r="GL190"/>
      <c r="GM190"/>
      <c r="GN190" s="208"/>
      <c r="GO190" s="208"/>
      <c r="GP190" s="208"/>
      <c r="GQ190" s="208"/>
      <c r="GR190" s="208"/>
      <c r="GS190" s="208"/>
      <c r="GT190" s="208"/>
      <c r="GU190" s="213">
        <v>185</v>
      </c>
    </row>
    <row r="191" spans="1:203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86.623542055711169</v>
      </c>
      <c r="AO191">
        <v>15.729619723583074</v>
      </c>
      <c r="AP191">
        <v>211.06704990030335</v>
      </c>
      <c r="AQ191">
        <v>131.30337676985911</v>
      </c>
      <c r="AR191">
        <v>14.59357425432216</v>
      </c>
      <c r="AS191">
        <v>170.84691827605658</v>
      </c>
      <c r="AT191" t="e">
        <v>#DIV/0!</v>
      </c>
      <c r="AU191" t="e">
        <v>#DIV/0!</v>
      </c>
      <c r="AV191"/>
      <c r="AW191"/>
      <c r="AX191" s="146"/>
      <c r="AY191" s="76" t="str">
        <f t="shared" ca="1" si="171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6"/>
        <v/>
      </c>
      <c r="CL191" s="179" t="str">
        <f t="shared" si="207"/>
        <v/>
      </c>
      <c r="CM191" s="180" t="str">
        <f t="shared" si="208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9"/>
        <v/>
      </c>
      <c r="DB191" s="146"/>
      <c r="DC191" s="76" t="str">
        <f t="shared" ca="1" si="172"/>
        <v/>
      </c>
      <c r="DD191" t="str">
        <f t="shared" si="210"/>
        <v/>
      </c>
      <c r="DE191" s="129" t="str">
        <f t="shared" si="281"/>
        <v/>
      </c>
      <c r="DF191" s="161" t="str">
        <f t="shared" si="282"/>
        <v/>
      </c>
      <c r="DG191" s="161" t="str">
        <f t="shared" si="283"/>
        <v/>
      </c>
      <c r="DH191" s="161" t="str">
        <f t="shared" si="284"/>
        <v/>
      </c>
      <c r="DI191" s="161" t="str">
        <f t="shared" si="285"/>
        <v/>
      </c>
      <c r="DJ191" s="161" t="str">
        <f t="shared" si="286"/>
        <v/>
      </c>
      <c r="DK191" s="161" t="str">
        <f t="shared" si="287"/>
        <v/>
      </c>
      <c r="DL191" s="161" t="str">
        <f t="shared" si="288"/>
        <v/>
      </c>
      <c r="DM191" s="161" t="str">
        <f t="shared" si="289"/>
        <v/>
      </c>
      <c r="DN191" s="161" t="str">
        <f>IF($AZ191="", "", (BJ191*$CW191)/$CZ191)</f>
        <v/>
      </c>
      <c r="DO191" s="161" t="str">
        <f t="shared" si="290"/>
        <v/>
      </c>
      <c r="DP191" s="161" t="str">
        <f t="shared" si="291"/>
        <v/>
      </c>
      <c r="DQ191" s="161" t="str">
        <f t="shared" si="292"/>
        <v/>
      </c>
      <c r="DR191" s="161" t="str">
        <f t="shared" si="293"/>
        <v/>
      </c>
      <c r="DS191" s="161" t="str">
        <f t="shared" si="294"/>
        <v/>
      </c>
      <c r="DT191" s="161" t="str">
        <f t="shared" si="295"/>
        <v/>
      </c>
      <c r="DU191" s="161" t="str">
        <f t="shared" si="296"/>
        <v/>
      </c>
      <c r="DV191" s="161" t="str">
        <f t="shared" si="297"/>
        <v/>
      </c>
      <c r="DW191" s="161" t="str">
        <f t="shared" si="298"/>
        <v/>
      </c>
      <c r="DX191" s="161" t="str">
        <f t="shared" si="299"/>
        <v/>
      </c>
      <c r="DY191" s="161" t="str">
        <f t="shared" si="300"/>
        <v/>
      </c>
      <c r="DZ191" s="161" t="str">
        <f t="shared" si="301"/>
        <v/>
      </c>
      <c r="EA191" s="161" t="str">
        <f t="shared" si="302"/>
        <v/>
      </c>
      <c r="EB191" s="161" t="str">
        <f t="shared" si="303"/>
        <v/>
      </c>
      <c r="EC191" s="161" t="str">
        <f t="shared" si="304"/>
        <v/>
      </c>
      <c r="ED191" s="161" t="str">
        <f t="shared" si="305"/>
        <v/>
      </c>
      <c r="EE191" s="161" t="str">
        <f t="shared" si="306"/>
        <v/>
      </c>
      <c r="EF191" s="161" t="str">
        <f t="shared" si="307"/>
        <v/>
      </c>
      <c r="EG191" s="161" t="str">
        <f t="shared" si="308"/>
        <v/>
      </c>
      <c r="EH191" s="161" t="str">
        <f t="shared" si="309"/>
        <v/>
      </c>
      <c r="EI191" s="161" t="str">
        <f t="shared" si="310"/>
        <v/>
      </c>
      <c r="EJ191" s="161" t="str">
        <f t="shared" si="311"/>
        <v/>
      </c>
      <c r="EK191" s="147" t="str">
        <f t="shared" si="248"/>
        <v/>
      </c>
      <c r="EL191" s="149"/>
      <c r="EN191" s="146"/>
      <c r="EO191" s="146"/>
      <c r="EP191" s="139" t="str">
        <f t="shared" si="249"/>
        <v/>
      </c>
      <c r="EQ191" s="139" t="str">
        <f t="shared" si="250"/>
        <v/>
      </c>
      <c r="ER191" s="139" t="str">
        <f t="shared" si="251"/>
        <v/>
      </c>
      <c r="ES191" s="139" t="str">
        <f t="shared" si="252"/>
        <v/>
      </c>
      <c r="ET191" s="139" t="str">
        <f t="shared" si="253"/>
        <v/>
      </c>
      <c r="EU191" s="139" t="str">
        <f t="shared" si="254"/>
        <v/>
      </c>
      <c r="EV191" s="139" t="str">
        <f t="shared" si="255"/>
        <v/>
      </c>
      <c r="EW191" s="139" t="str">
        <f t="shared" si="256"/>
        <v/>
      </c>
      <c r="EX191" s="139" t="str">
        <f t="shared" si="257"/>
        <v/>
      </c>
      <c r="EY191" s="139" t="str">
        <f t="shared" si="258"/>
        <v/>
      </c>
      <c r="EZ191" s="139" t="str">
        <f t="shared" si="259"/>
        <v/>
      </c>
      <c r="FA191" s="139" t="str">
        <f t="shared" si="260"/>
        <v/>
      </c>
      <c r="FB191" s="139" t="str">
        <f t="shared" si="261"/>
        <v/>
      </c>
      <c r="FC191" s="139" t="str">
        <f t="shared" si="262"/>
        <v/>
      </c>
      <c r="FD191" s="139" t="str">
        <f t="shared" si="263"/>
        <v/>
      </c>
      <c r="FE191" s="139" t="str">
        <f t="shared" si="264"/>
        <v/>
      </c>
      <c r="FF191" s="139" t="str">
        <f t="shared" si="265"/>
        <v/>
      </c>
      <c r="FG191" s="139" t="str">
        <f t="shared" si="266"/>
        <v/>
      </c>
      <c r="FH191" s="139" t="str">
        <f t="shared" si="267"/>
        <v/>
      </c>
      <c r="FI191" s="139" t="str">
        <f t="shared" si="268"/>
        <v/>
      </c>
      <c r="FJ191" s="139" t="str">
        <f t="shared" si="269"/>
        <v/>
      </c>
      <c r="FK191" s="139" t="str">
        <f t="shared" si="270"/>
        <v/>
      </c>
      <c r="FL191" s="139" t="str">
        <f t="shared" si="271"/>
        <v/>
      </c>
      <c r="FM191" s="139" t="str">
        <f t="shared" si="272"/>
        <v/>
      </c>
      <c r="FN191" s="139" t="str">
        <f t="shared" si="273"/>
        <v/>
      </c>
      <c r="FO191" s="139" t="str">
        <f t="shared" si="274"/>
        <v/>
      </c>
      <c r="FP191" s="139" t="str">
        <f t="shared" si="275"/>
        <v/>
      </c>
      <c r="FQ191" s="139" t="str">
        <f t="shared" si="276"/>
        <v/>
      </c>
      <c r="FR191" s="139" t="str">
        <f t="shared" si="277"/>
        <v/>
      </c>
      <c r="FS191" s="139" t="str">
        <f t="shared" si="278"/>
        <v/>
      </c>
      <c r="FT191" s="139" t="str">
        <f t="shared" si="279"/>
        <v/>
      </c>
      <c r="FU191" s="148" t="str">
        <f t="shared" si="280"/>
        <v/>
      </c>
      <c r="FV191" s="149"/>
      <c r="FY191" s="213">
        <v>186</v>
      </c>
      <c r="FZ191">
        <v>30.722554025696692</v>
      </c>
      <c r="GA191">
        <v>34.612297461888538</v>
      </c>
      <c r="GB191">
        <v>6.3842306368601882</v>
      </c>
      <c r="GC191">
        <v>4.370984658796357</v>
      </c>
      <c r="GD191">
        <v>1.8203205233177047</v>
      </c>
      <c r="GE191">
        <v>2.375208962897287</v>
      </c>
      <c r="GF191">
        <v>4.4194598020824687</v>
      </c>
      <c r="GG191">
        <v>6.0976063852403524</v>
      </c>
      <c r="GH191">
        <v>4.3223472521243185</v>
      </c>
      <c r="GI191">
        <v>8.7823063445526994</v>
      </c>
      <c r="GJ191"/>
      <c r="GK191"/>
      <c r="GL191"/>
      <c r="GM191"/>
      <c r="GN191" s="208"/>
      <c r="GO191" s="208"/>
      <c r="GP191" s="208"/>
      <c r="GQ191" s="208"/>
      <c r="GR191" s="208"/>
      <c r="GS191" s="208"/>
      <c r="GT191" s="208"/>
      <c r="GU191" s="213">
        <v>186</v>
      </c>
    </row>
    <row r="192" spans="1:203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73.834702021834374</v>
      </c>
      <c r="AO192">
        <v>12.592284290224288</v>
      </c>
      <c r="AP192">
        <v>118.67541616358588</v>
      </c>
      <c r="AQ192">
        <v>107.01040248014517</v>
      </c>
      <c r="AR192">
        <v>11.578065652239488</v>
      </c>
      <c r="AS192">
        <v>136.38876034155533</v>
      </c>
      <c r="AT192" t="e">
        <v>#DIV/0!</v>
      </c>
      <c r="AU192" t="e">
        <v>#DIV/0!</v>
      </c>
      <c r="AV192"/>
      <c r="AW192"/>
      <c r="AX192" s="146"/>
      <c r="AY192" s="76" t="str">
        <f t="shared" ca="1" si="171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6"/>
        <v/>
      </c>
      <c r="CL192" s="179" t="str">
        <f t="shared" si="207"/>
        <v/>
      </c>
      <c r="CM192" s="180" t="str">
        <f t="shared" si="208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9"/>
        <v/>
      </c>
      <c r="DB192" s="146"/>
      <c r="DC192" s="76" t="str">
        <f t="shared" ca="1" si="172"/>
        <v/>
      </c>
      <c r="DD192" t="str">
        <f t="shared" si="210"/>
        <v/>
      </c>
      <c r="DE192" s="129" t="str">
        <f t="shared" si="281"/>
        <v/>
      </c>
      <c r="DF192" s="161" t="str">
        <f t="shared" si="282"/>
        <v/>
      </c>
      <c r="DG192" s="161" t="str">
        <f t="shared" si="283"/>
        <v/>
      </c>
      <c r="DH192" s="161" t="str">
        <f t="shared" si="284"/>
        <v/>
      </c>
      <c r="DI192" s="161" t="str">
        <f t="shared" si="285"/>
        <v/>
      </c>
      <c r="DJ192" s="161" t="str">
        <f t="shared" si="286"/>
        <v/>
      </c>
      <c r="DK192" s="161" t="str">
        <f t="shared" si="287"/>
        <v/>
      </c>
      <c r="DL192" s="161" t="str">
        <f t="shared" si="288"/>
        <v/>
      </c>
      <c r="DM192" s="161" t="str">
        <f t="shared" si="289"/>
        <v/>
      </c>
      <c r="DN192" s="161" t="str">
        <f>IF($AZ192="", "", (BJ192*$CW192)/$CZ192)</f>
        <v/>
      </c>
      <c r="DO192" s="161" t="str">
        <f t="shared" si="290"/>
        <v/>
      </c>
      <c r="DP192" s="161" t="str">
        <f t="shared" si="291"/>
        <v/>
      </c>
      <c r="DQ192" s="161" t="str">
        <f t="shared" si="292"/>
        <v/>
      </c>
      <c r="DR192" s="161" t="str">
        <f t="shared" si="293"/>
        <v/>
      </c>
      <c r="DS192" s="161" t="str">
        <f t="shared" si="294"/>
        <v/>
      </c>
      <c r="DT192" s="161" t="str">
        <f t="shared" si="295"/>
        <v/>
      </c>
      <c r="DU192" s="161" t="str">
        <f t="shared" si="296"/>
        <v/>
      </c>
      <c r="DV192" s="161" t="str">
        <f t="shared" si="297"/>
        <v/>
      </c>
      <c r="DW192" s="161" t="str">
        <f t="shared" si="298"/>
        <v/>
      </c>
      <c r="DX192" s="161" t="str">
        <f t="shared" si="299"/>
        <v/>
      </c>
      <c r="DY192" s="161" t="str">
        <f t="shared" si="300"/>
        <v/>
      </c>
      <c r="DZ192" s="161" t="str">
        <f t="shared" si="301"/>
        <v/>
      </c>
      <c r="EA192" s="161" t="str">
        <f t="shared" si="302"/>
        <v/>
      </c>
      <c r="EB192" s="161" t="str">
        <f t="shared" si="303"/>
        <v/>
      </c>
      <c r="EC192" s="161" t="str">
        <f t="shared" si="304"/>
        <v/>
      </c>
      <c r="ED192" s="161" t="str">
        <f t="shared" si="305"/>
        <v/>
      </c>
      <c r="EE192" s="161" t="str">
        <f t="shared" si="306"/>
        <v/>
      </c>
      <c r="EF192" s="161" t="str">
        <f t="shared" si="307"/>
        <v/>
      </c>
      <c r="EG192" s="161" t="str">
        <f t="shared" si="308"/>
        <v/>
      </c>
      <c r="EH192" s="161" t="str">
        <f t="shared" si="309"/>
        <v/>
      </c>
      <c r="EI192" s="161" t="str">
        <f t="shared" si="310"/>
        <v/>
      </c>
      <c r="EJ192" s="161" t="str">
        <f t="shared" si="311"/>
        <v/>
      </c>
      <c r="EK192" s="147" t="str">
        <f t="shared" si="248"/>
        <v/>
      </c>
      <c r="EL192" s="149"/>
      <c r="EN192" s="146"/>
      <c r="EO192" s="146"/>
      <c r="EP192" s="139" t="str">
        <f t="shared" si="249"/>
        <v/>
      </c>
      <c r="EQ192" s="139" t="str">
        <f t="shared" si="250"/>
        <v/>
      </c>
      <c r="ER192" s="139" t="str">
        <f t="shared" si="251"/>
        <v/>
      </c>
      <c r="ES192" s="139" t="str">
        <f t="shared" si="252"/>
        <v/>
      </c>
      <c r="ET192" s="139" t="str">
        <f t="shared" si="253"/>
        <v/>
      </c>
      <c r="EU192" s="139" t="str">
        <f t="shared" si="254"/>
        <v/>
      </c>
      <c r="EV192" s="139" t="str">
        <f t="shared" si="255"/>
        <v/>
      </c>
      <c r="EW192" s="139" t="str">
        <f t="shared" si="256"/>
        <v/>
      </c>
      <c r="EX192" s="139" t="str">
        <f t="shared" si="257"/>
        <v/>
      </c>
      <c r="EY192" s="139" t="str">
        <f t="shared" si="258"/>
        <v/>
      </c>
      <c r="EZ192" s="139" t="str">
        <f t="shared" si="259"/>
        <v/>
      </c>
      <c r="FA192" s="139" t="str">
        <f t="shared" si="260"/>
        <v/>
      </c>
      <c r="FB192" s="139" t="str">
        <f t="shared" si="261"/>
        <v/>
      </c>
      <c r="FC192" s="139" t="str">
        <f t="shared" si="262"/>
        <v/>
      </c>
      <c r="FD192" s="139" t="str">
        <f t="shared" si="263"/>
        <v/>
      </c>
      <c r="FE192" s="139" t="str">
        <f t="shared" si="264"/>
        <v/>
      </c>
      <c r="FF192" s="139" t="str">
        <f t="shared" si="265"/>
        <v/>
      </c>
      <c r="FG192" s="139" t="str">
        <f t="shared" si="266"/>
        <v/>
      </c>
      <c r="FH192" s="139" t="str">
        <f t="shared" si="267"/>
        <v/>
      </c>
      <c r="FI192" s="139" t="str">
        <f t="shared" si="268"/>
        <v/>
      </c>
      <c r="FJ192" s="139" t="str">
        <f t="shared" si="269"/>
        <v/>
      </c>
      <c r="FK192" s="139" t="str">
        <f t="shared" si="270"/>
        <v/>
      </c>
      <c r="FL192" s="139" t="str">
        <f t="shared" si="271"/>
        <v/>
      </c>
      <c r="FM192" s="139" t="str">
        <f t="shared" si="272"/>
        <v/>
      </c>
      <c r="FN192" s="139" t="str">
        <f t="shared" si="273"/>
        <v/>
      </c>
      <c r="FO192" s="139" t="str">
        <f t="shared" si="274"/>
        <v/>
      </c>
      <c r="FP192" s="139" t="str">
        <f t="shared" si="275"/>
        <v/>
      </c>
      <c r="FQ192" s="139" t="str">
        <f t="shared" si="276"/>
        <v/>
      </c>
      <c r="FR192" s="139" t="str">
        <f t="shared" si="277"/>
        <v/>
      </c>
      <c r="FS192" s="139" t="str">
        <f t="shared" si="278"/>
        <v/>
      </c>
      <c r="FT192" s="139" t="str">
        <f t="shared" si="279"/>
        <v/>
      </c>
      <c r="FU192" s="148" t="str">
        <f t="shared" si="280"/>
        <v/>
      </c>
      <c r="FV192" s="149"/>
      <c r="FY192" s="213">
        <v>187</v>
      </c>
      <c r="FZ192">
        <v>22.115635663675871</v>
      </c>
      <c r="GA192">
        <v>24.362579016904256</v>
      </c>
      <c r="GB192">
        <v>4.6263883596911528</v>
      </c>
      <c r="GC192">
        <v>4.5691089553767723</v>
      </c>
      <c r="GD192">
        <v>2.4678668046001473</v>
      </c>
      <c r="GE192">
        <v>2.0134652993047268</v>
      </c>
      <c r="GF192">
        <v>3.0224565907131771</v>
      </c>
      <c r="GG192">
        <v>2.4272475932060615</v>
      </c>
      <c r="GH192">
        <v>0</v>
      </c>
      <c r="GI192">
        <v>6.3651910738448434</v>
      </c>
      <c r="GJ192"/>
      <c r="GK192"/>
      <c r="GL192"/>
      <c r="GM192"/>
      <c r="GN192" s="208"/>
      <c r="GO192" s="208"/>
      <c r="GP192" s="208"/>
      <c r="GQ192" s="208"/>
      <c r="GR192" s="208"/>
      <c r="GS192" s="208"/>
      <c r="GT192" s="208"/>
      <c r="GU192" s="213">
        <v>187</v>
      </c>
    </row>
    <row r="193" spans="1:203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77.63993800106249</v>
      </c>
      <c r="AO193">
        <v>11.440516611643378</v>
      </c>
      <c r="AP193">
        <v>67.088357500761347</v>
      </c>
      <c r="AQ193">
        <v>89.128184283733603</v>
      </c>
      <c r="AR193">
        <v>10.448889071396215</v>
      </c>
      <c r="AS193">
        <v>118.57432822629205</v>
      </c>
      <c r="AT193" t="e">
        <v>#DIV/0!</v>
      </c>
      <c r="AU193" t="e">
        <v>#DIV/0!</v>
      </c>
      <c r="AV193"/>
      <c r="AW193"/>
      <c r="AX193" s="146"/>
      <c r="AY193" s="76" t="str">
        <f t="shared" ca="1" si="171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6"/>
        <v/>
      </c>
      <c r="CL193" s="179" t="str">
        <f t="shared" si="207"/>
        <v/>
      </c>
      <c r="CM193" s="180" t="str">
        <f t="shared" si="208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9"/>
        <v/>
      </c>
      <c r="DB193" s="146"/>
      <c r="DC193" s="76" t="str">
        <f t="shared" ca="1" si="172"/>
        <v/>
      </c>
      <c r="DD193" t="str">
        <f t="shared" si="210"/>
        <v/>
      </c>
      <c r="DE193" s="129" t="str">
        <f t="shared" si="281"/>
        <v/>
      </c>
      <c r="DF193" s="161" t="str">
        <f t="shared" si="282"/>
        <v/>
      </c>
      <c r="DG193" s="161" t="str">
        <f t="shared" si="283"/>
        <v/>
      </c>
      <c r="DH193" s="161" t="str">
        <f t="shared" si="284"/>
        <v/>
      </c>
      <c r="DI193" s="161" t="str">
        <f t="shared" si="285"/>
        <v/>
      </c>
      <c r="DJ193" s="161" t="str">
        <f t="shared" si="286"/>
        <v/>
      </c>
      <c r="DK193" s="161" t="str">
        <f t="shared" si="287"/>
        <v/>
      </c>
      <c r="DL193" s="161" t="str">
        <f t="shared" si="288"/>
        <v/>
      </c>
      <c r="DM193" s="161" t="str">
        <f t="shared" si="289"/>
        <v/>
      </c>
      <c r="DN193" s="161" t="str">
        <f t="shared" ref="DN193:DN207" si="312">IF($AZ193="", "", (BJ193*$CW193)/$CZ193)</f>
        <v/>
      </c>
      <c r="DO193" s="161" t="str">
        <f t="shared" si="290"/>
        <v/>
      </c>
      <c r="DP193" s="161" t="str">
        <f t="shared" si="291"/>
        <v/>
      </c>
      <c r="DQ193" s="161" t="str">
        <f t="shared" si="292"/>
        <v/>
      </c>
      <c r="DR193" s="161" t="str">
        <f t="shared" si="293"/>
        <v/>
      </c>
      <c r="DS193" s="161" t="str">
        <f t="shared" si="294"/>
        <v/>
      </c>
      <c r="DT193" s="161" t="str">
        <f t="shared" si="295"/>
        <v/>
      </c>
      <c r="DU193" s="161" t="str">
        <f t="shared" si="296"/>
        <v/>
      </c>
      <c r="DV193" s="161" t="str">
        <f t="shared" si="297"/>
        <v/>
      </c>
      <c r="DW193" s="161" t="str">
        <f t="shared" si="298"/>
        <v/>
      </c>
      <c r="DX193" s="161" t="str">
        <f t="shared" si="299"/>
        <v/>
      </c>
      <c r="DY193" s="161" t="str">
        <f t="shared" si="300"/>
        <v/>
      </c>
      <c r="DZ193" s="161" t="str">
        <f t="shared" si="301"/>
        <v/>
      </c>
      <c r="EA193" s="161" t="str">
        <f t="shared" si="302"/>
        <v/>
      </c>
      <c r="EB193" s="161" t="str">
        <f t="shared" si="303"/>
        <v/>
      </c>
      <c r="EC193" s="161" t="str">
        <f t="shared" si="304"/>
        <v/>
      </c>
      <c r="ED193" s="161" t="str">
        <f t="shared" si="305"/>
        <v/>
      </c>
      <c r="EE193" s="161" t="str">
        <f t="shared" si="306"/>
        <v/>
      </c>
      <c r="EF193" s="161" t="str">
        <f t="shared" si="307"/>
        <v/>
      </c>
      <c r="EG193" s="161" t="str">
        <f t="shared" si="308"/>
        <v/>
      </c>
      <c r="EH193" s="161" t="str">
        <f t="shared" si="309"/>
        <v/>
      </c>
      <c r="EI193" s="161" t="str">
        <f t="shared" si="310"/>
        <v/>
      </c>
      <c r="EJ193" s="161" t="str">
        <f t="shared" si="311"/>
        <v/>
      </c>
      <c r="EK193" s="147" t="str">
        <f t="shared" si="248"/>
        <v/>
      </c>
      <c r="EL193" s="149"/>
      <c r="EN193" s="146"/>
      <c r="EO193" s="146"/>
      <c r="EP193" s="139" t="str">
        <f t="shared" si="249"/>
        <v/>
      </c>
      <c r="EQ193" s="139" t="str">
        <f t="shared" si="250"/>
        <v/>
      </c>
      <c r="ER193" s="139" t="str">
        <f t="shared" si="251"/>
        <v/>
      </c>
      <c r="ES193" s="139" t="str">
        <f t="shared" si="252"/>
        <v/>
      </c>
      <c r="ET193" s="139" t="str">
        <f t="shared" si="253"/>
        <v/>
      </c>
      <c r="EU193" s="139" t="str">
        <f t="shared" si="254"/>
        <v/>
      </c>
      <c r="EV193" s="139" t="str">
        <f t="shared" si="255"/>
        <v/>
      </c>
      <c r="EW193" s="139" t="str">
        <f t="shared" si="256"/>
        <v/>
      </c>
      <c r="EX193" s="139" t="str">
        <f t="shared" si="257"/>
        <v/>
      </c>
      <c r="EY193" s="139" t="str">
        <f t="shared" si="258"/>
        <v/>
      </c>
      <c r="EZ193" s="139" t="str">
        <f t="shared" si="259"/>
        <v/>
      </c>
      <c r="FA193" s="139" t="str">
        <f t="shared" si="260"/>
        <v/>
      </c>
      <c r="FB193" s="139" t="str">
        <f t="shared" si="261"/>
        <v/>
      </c>
      <c r="FC193" s="139" t="str">
        <f t="shared" si="262"/>
        <v/>
      </c>
      <c r="FD193" s="139" t="str">
        <f t="shared" si="263"/>
        <v/>
      </c>
      <c r="FE193" s="139" t="str">
        <f t="shared" si="264"/>
        <v/>
      </c>
      <c r="FF193" s="139" t="str">
        <f t="shared" si="265"/>
        <v/>
      </c>
      <c r="FG193" s="139" t="str">
        <f t="shared" si="266"/>
        <v/>
      </c>
      <c r="FH193" s="139" t="str">
        <f t="shared" si="267"/>
        <v/>
      </c>
      <c r="FI193" s="139" t="str">
        <f t="shared" si="268"/>
        <v/>
      </c>
      <c r="FJ193" s="139" t="str">
        <f t="shared" si="269"/>
        <v/>
      </c>
      <c r="FK193" s="139" t="str">
        <f t="shared" si="270"/>
        <v/>
      </c>
      <c r="FL193" s="139" t="str">
        <f t="shared" si="271"/>
        <v/>
      </c>
      <c r="FM193" s="139" t="str">
        <f t="shared" si="272"/>
        <v/>
      </c>
      <c r="FN193" s="139" t="str">
        <f t="shared" si="273"/>
        <v/>
      </c>
      <c r="FO193" s="139" t="str">
        <f t="shared" si="274"/>
        <v/>
      </c>
      <c r="FP193" s="139" t="str">
        <f t="shared" si="275"/>
        <v/>
      </c>
      <c r="FQ193" s="139" t="str">
        <f t="shared" si="276"/>
        <v/>
      </c>
      <c r="FR193" s="139" t="str">
        <f t="shared" si="277"/>
        <v/>
      </c>
      <c r="FS193" s="139" t="str">
        <f t="shared" si="278"/>
        <v/>
      </c>
      <c r="FT193" s="139" t="str">
        <f t="shared" si="279"/>
        <v/>
      </c>
      <c r="FU193" s="148" t="str">
        <f t="shared" si="280"/>
        <v/>
      </c>
      <c r="FV193" s="149"/>
      <c r="FY193" s="213">
        <v>188</v>
      </c>
      <c r="FZ193">
        <v>19.241076509218473</v>
      </c>
      <c r="GA193">
        <v>24.466293003157137</v>
      </c>
      <c r="GB193">
        <v>10.381280624593744</v>
      </c>
      <c r="GC193">
        <v>6.4317042606598278</v>
      </c>
      <c r="GD193">
        <v>1.930271686168503</v>
      </c>
      <c r="GE193">
        <v>1.5719926360917493</v>
      </c>
      <c r="GF193">
        <v>1.724447292288501</v>
      </c>
      <c r="GG193">
        <v>2.5627304540306133</v>
      </c>
      <c r="GH193">
        <v>2.1611736260621592</v>
      </c>
      <c r="GI193">
        <v>7.2545966228566154</v>
      </c>
      <c r="GJ193"/>
      <c r="GK193"/>
      <c r="GL193"/>
      <c r="GM193"/>
      <c r="GN193" s="208"/>
      <c r="GO193" s="208"/>
      <c r="GP193" s="208"/>
      <c r="GQ193" s="208"/>
      <c r="GR193" s="208"/>
      <c r="GS193" s="208"/>
      <c r="GT193" s="208"/>
      <c r="GU193" s="213">
        <v>188</v>
      </c>
    </row>
    <row r="194" spans="1:203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103.58733498114839</v>
      </c>
      <c r="AO194">
        <v>17.665927991529113</v>
      </c>
      <c r="AP194">
        <v>130.29030532366497</v>
      </c>
      <c r="AQ194">
        <v>143.80730841290671</v>
      </c>
      <c r="AR194">
        <v>16.218999373943522</v>
      </c>
      <c r="AS194">
        <v>200.99004097093612</v>
      </c>
      <c r="AT194">
        <v>11.129813907646321</v>
      </c>
      <c r="AU194">
        <v>-4.5016140534745812</v>
      </c>
      <c r="AV194"/>
      <c r="AW194"/>
      <c r="AX194" s="146"/>
      <c r="AY194" s="76" t="str">
        <f t="shared" ca="1" si="171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6"/>
        <v/>
      </c>
      <c r="CL194" s="179" t="str">
        <f t="shared" si="207"/>
        <v/>
      </c>
      <c r="CM194" s="180" t="str">
        <f t="shared" si="208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9"/>
        <v/>
      </c>
      <c r="DB194" s="146"/>
      <c r="DC194" s="76" t="str">
        <f t="shared" ca="1" si="172"/>
        <v/>
      </c>
      <c r="DD194" t="str">
        <f t="shared" si="210"/>
        <v/>
      </c>
      <c r="DE194" s="129" t="str">
        <f t="shared" si="281"/>
        <v/>
      </c>
      <c r="DF194" s="161" t="str">
        <f t="shared" si="282"/>
        <v/>
      </c>
      <c r="DG194" s="161" t="str">
        <f t="shared" si="283"/>
        <v/>
      </c>
      <c r="DH194" s="161" t="str">
        <f t="shared" si="284"/>
        <v/>
      </c>
      <c r="DI194" s="161" t="str">
        <f t="shared" si="285"/>
        <v/>
      </c>
      <c r="DJ194" s="161" t="str">
        <f t="shared" si="286"/>
        <v/>
      </c>
      <c r="DK194" s="161" t="str">
        <f t="shared" si="287"/>
        <v/>
      </c>
      <c r="DL194" s="161" t="str">
        <f t="shared" si="288"/>
        <v/>
      </c>
      <c r="DM194" s="161" t="str">
        <f t="shared" si="289"/>
        <v/>
      </c>
      <c r="DN194" s="161" t="str">
        <f t="shared" si="312"/>
        <v/>
      </c>
      <c r="DO194" s="161" t="str">
        <f t="shared" ref="DO194:DO206" si="313">IF($AZ194="", "", (BK193*$CW194)/$CZ194)</f>
        <v/>
      </c>
      <c r="DP194" s="161" t="str">
        <f t="shared" ref="DP194:DP206" si="314">IF($AZ194="", "", (BL193*$CW194)/$CZ194)</f>
        <v/>
      </c>
      <c r="DQ194" s="161" t="str">
        <f t="shared" ref="DQ194:DQ206" si="315">IF($AZ194="", "", (BM193*$CW194)/$CZ194)</f>
        <v/>
      </c>
      <c r="DR194" s="161" t="str">
        <f t="shared" ref="DR194:DR206" si="316">IF($AZ194="", "", (BN193*$CW194)/$CZ194)</f>
        <v/>
      </c>
      <c r="DS194" s="161" t="str">
        <f t="shared" ref="DS194:DS206" si="317">IF($AZ194="", "", (BO193*$CW194)/$CZ194)</f>
        <v/>
      </c>
      <c r="DT194" s="161" t="str">
        <f t="shared" ref="DT194:DT206" si="318">IF($AZ194="", "", (BP193*$CW194)/$CZ194)</f>
        <v/>
      </c>
      <c r="DU194" s="161" t="str">
        <f t="shared" ref="DU194:DU206" si="319">IF($AZ194="", "", (BQ193*$CW194)/$CZ194)</f>
        <v/>
      </c>
      <c r="DV194" s="161" t="str">
        <f t="shared" ref="DV194:DV206" si="320">IF($AZ194="", "", (BR193*$CW194)/$CZ194)</f>
        <v/>
      </c>
      <c r="DW194" s="161" t="str">
        <f t="shared" ref="DW194:DW206" si="321">IF($AZ194="", "", (BS193*$CW194)/$CZ194)</f>
        <v/>
      </c>
      <c r="DX194" s="161" t="str">
        <f t="shared" ref="DX194:DX206" si="322">IF($AZ194="", "", (BT193*$CW194)/$CZ194)</f>
        <v/>
      </c>
      <c r="DY194" s="161" t="str">
        <f t="shared" ref="DY194:DY206" si="323">IF($AZ194="", "", (BU193*$CW194)/$CZ194)</f>
        <v/>
      </c>
      <c r="DZ194" s="161" t="str">
        <f t="shared" ref="DZ194:DZ206" si="324">IF($AZ194="", "", (BV193*$CW194)/$CZ194)</f>
        <v/>
      </c>
      <c r="EA194" s="161" t="str">
        <f t="shared" ref="EA194:EA206" si="325">IF($AZ194="", "", (BW193*$CW194)/$CZ194)</f>
        <v/>
      </c>
      <c r="EB194" s="161" t="str">
        <f t="shared" ref="EB194:EB206" si="326">IF($AZ194="", "", (BX193*$CW194)/$CZ194)</f>
        <v/>
      </c>
      <c r="EC194" s="161" t="str">
        <f t="shared" ref="EC194:EC206" si="327">IF($AZ194="", "", (BY193*$CW194)/$CZ194)</f>
        <v/>
      </c>
      <c r="ED194" s="161" t="str">
        <f t="shared" ref="ED194:ED206" si="328">IF($AZ194="", "", (BZ193*$CW194)/$CZ194)</f>
        <v/>
      </c>
      <c r="EE194" s="161" t="str">
        <f t="shared" ref="EE194:EE206" si="329">IF($AZ194="", "", (CA193*$CW194)/$CZ194)</f>
        <v/>
      </c>
      <c r="EF194" s="161" t="str">
        <f t="shared" ref="EF194:EF206" si="330">IF($AZ194="", "", (CB193*$CW194)/$CZ194)</f>
        <v/>
      </c>
      <c r="EG194" s="161" t="str">
        <f t="shared" ref="EG194:EG206" si="331">IF($AZ194="", "", (CC193*$CW194)/$CZ194)</f>
        <v/>
      </c>
      <c r="EH194" s="161" t="str">
        <f t="shared" ref="EH194:EH206" si="332">IF($AZ194="", "", (CD193*$CW194)/$CZ194)</f>
        <v/>
      </c>
      <c r="EI194" s="161" t="str">
        <f t="shared" ref="EI194:EI206" si="333">IF($AZ194="", "", (CE193*$CW194)/$CZ194)</f>
        <v/>
      </c>
      <c r="EJ194" s="161" t="str">
        <f t="shared" ref="EJ194:EJ206" si="334">IF($AZ194="", "", (CF193*$CW194)/$CZ194)</f>
        <v/>
      </c>
      <c r="EK194" s="147" t="str">
        <f t="shared" si="248"/>
        <v/>
      </c>
      <c r="EL194" s="149"/>
      <c r="EN194" s="146"/>
      <c r="EO194" s="146"/>
      <c r="EP194" s="139" t="str">
        <f t="shared" si="249"/>
        <v/>
      </c>
      <c r="EQ194" s="139" t="str">
        <f t="shared" si="250"/>
        <v/>
      </c>
      <c r="ER194" s="139" t="str">
        <f t="shared" si="251"/>
        <v/>
      </c>
      <c r="ES194" s="139" t="str">
        <f t="shared" si="252"/>
        <v/>
      </c>
      <c r="ET194" s="139" t="str">
        <f t="shared" si="253"/>
        <v/>
      </c>
      <c r="EU194" s="139" t="str">
        <f t="shared" si="254"/>
        <v/>
      </c>
      <c r="EV194" s="139" t="str">
        <f t="shared" si="255"/>
        <v/>
      </c>
      <c r="EW194" s="139" t="str">
        <f t="shared" si="256"/>
        <v/>
      </c>
      <c r="EX194" s="139" t="str">
        <f t="shared" si="257"/>
        <v/>
      </c>
      <c r="EY194" s="139" t="str">
        <f t="shared" si="258"/>
        <v/>
      </c>
      <c r="EZ194" s="139" t="str">
        <f t="shared" si="259"/>
        <v/>
      </c>
      <c r="FA194" s="139" t="str">
        <f t="shared" si="260"/>
        <v/>
      </c>
      <c r="FB194" s="139" t="str">
        <f t="shared" si="261"/>
        <v/>
      </c>
      <c r="FC194" s="139" t="str">
        <f t="shared" si="262"/>
        <v/>
      </c>
      <c r="FD194" s="139" t="str">
        <f t="shared" si="263"/>
        <v/>
      </c>
      <c r="FE194" s="139" t="str">
        <f t="shared" si="264"/>
        <v/>
      </c>
      <c r="FF194" s="139" t="str">
        <f t="shared" si="265"/>
        <v/>
      </c>
      <c r="FG194" s="139" t="str">
        <f t="shared" si="266"/>
        <v/>
      </c>
      <c r="FH194" s="139" t="str">
        <f t="shared" si="267"/>
        <v/>
      </c>
      <c r="FI194" s="139" t="str">
        <f t="shared" si="268"/>
        <v/>
      </c>
      <c r="FJ194" s="139" t="str">
        <f t="shared" si="269"/>
        <v/>
      </c>
      <c r="FK194" s="139" t="str">
        <f t="shared" si="270"/>
        <v/>
      </c>
      <c r="FL194" s="139" t="str">
        <f t="shared" si="271"/>
        <v/>
      </c>
      <c r="FM194" s="139" t="str">
        <f t="shared" si="272"/>
        <v/>
      </c>
      <c r="FN194" s="139" t="str">
        <f t="shared" si="273"/>
        <v/>
      </c>
      <c r="FO194" s="139" t="str">
        <f t="shared" si="274"/>
        <v/>
      </c>
      <c r="FP194" s="139" t="str">
        <f t="shared" si="275"/>
        <v/>
      </c>
      <c r="FQ194" s="139" t="str">
        <f t="shared" si="276"/>
        <v/>
      </c>
      <c r="FR194" s="139" t="str">
        <f t="shared" si="277"/>
        <v/>
      </c>
      <c r="FS194" s="139" t="str">
        <f t="shared" si="278"/>
        <v/>
      </c>
      <c r="FT194" s="139" t="str">
        <f t="shared" si="279"/>
        <v/>
      </c>
      <c r="FU194" s="148" t="str">
        <f t="shared" si="280"/>
        <v/>
      </c>
      <c r="FV194" s="149"/>
      <c r="FY194" s="213">
        <v>189</v>
      </c>
      <c r="FZ194">
        <v>22.350130972766422</v>
      </c>
      <c r="GA194">
        <v>31.999828289107263</v>
      </c>
      <c r="GB194">
        <v>7.5022885416240861</v>
      </c>
      <c r="GC194">
        <v>3.5585825121661441</v>
      </c>
      <c r="GD194">
        <v>1.9593543228560744</v>
      </c>
      <c r="GE194">
        <v>2.5017416673891666</v>
      </c>
      <c r="GF194">
        <v>4.627348630122647</v>
      </c>
      <c r="GG194">
        <v>6.0259693771550111</v>
      </c>
      <c r="GH194">
        <v>3.7215429376725151</v>
      </c>
      <c r="GI194">
        <v>7.7704770084914054</v>
      </c>
      <c r="GJ194"/>
      <c r="GK194"/>
      <c r="GL194"/>
      <c r="GM194"/>
      <c r="GN194" s="208"/>
      <c r="GO194" s="208"/>
      <c r="GP194" s="208"/>
      <c r="GQ194" s="208"/>
      <c r="GR194" s="208"/>
      <c r="GS194" s="208"/>
      <c r="GT194" s="208"/>
      <c r="GU194" s="213">
        <v>189</v>
      </c>
    </row>
    <row r="195" spans="1:203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74.811704790964427</v>
      </c>
      <c r="AO195">
        <v>13.688467659360677</v>
      </c>
      <c r="AP195">
        <v>79.43625214646201</v>
      </c>
      <c r="AQ195">
        <v>98.0127857170461</v>
      </c>
      <c r="AR195">
        <v>12.552497023855556</v>
      </c>
      <c r="AS195">
        <v>142.03608000198417</v>
      </c>
      <c r="AT195">
        <v>8.1078304101920669</v>
      </c>
      <c r="AU195">
        <v>-23.596876922246814</v>
      </c>
      <c r="AV195"/>
      <c r="AW195"/>
      <c r="AX195" s="146"/>
      <c r="AY195" s="76" t="str">
        <f t="shared" ca="1" si="171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6"/>
        <v/>
      </c>
      <c r="CL195" s="179" t="str">
        <f t="shared" si="207"/>
        <v/>
      </c>
      <c r="CM195" s="180" t="str">
        <f t="shared" si="208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9"/>
        <v/>
      </c>
      <c r="DB195" s="146"/>
      <c r="DC195" s="76" t="str">
        <f t="shared" ca="1" si="172"/>
        <v/>
      </c>
      <c r="DD195" t="str">
        <f t="shared" si="210"/>
        <v/>
      </c>
      <c r="DE195" s="129" t="str">
        <f t="shared" si="281"/>
        <v/>
      </c>
      <c r="DF195" s="161" t="str">
        <f t="shared" si="282"/>
        <v/>
      </c>
      <c r="DG195" s="161" t="str">
        <f t="shared" si="283"/>
        <v/>
      </c>
      <c r="DH195" s="161" t="str">
        <f t="shared" si="284"/>
        <v/>
      </c>
      <c r="DI195" s="161" t="str">
        <f t="shared" si="285"/>
        <v/>
      </c>
      <c r="DJ195" s="161" t="str">
        <f t="shared" si="286"/>
        <v/>
      </c>
      <c r="DK195" s="161" t="str">
        <f t="shared" si="287"/>
        <v/>
      </c>
      <c r="DL195" s="161" t="str">
        <f t="shared" si="288"/>
        <v/>
      </c>
      <c r="DM195" s="161" t="str">
        <f t="shared" si="289"/>
        <v/>
      </c>
      <c r="DN195" s="161" t="str">
        <f t="shared" si="312"/>
        <v/>
      </c>
      <c r="DO195" s="161" t="str">
        <f t="shared" si="313"/>
        <v/>
      </c>
      <c r="DP195" s="161" t="str">
        <f t="shared" si="314"/>
        <v/>
      </c>
      <c r="DQ195" s="161" t="str">
        <f t="shared" si="315"/>
        <v/>
      </c>
      <c r="DR195" s="161" t="str">
        <f t="shared" si="316"/>
        <v/>
      </c>
      <c r="DS195" s="161" t="str">
        <f t="shared" si="317"/>
        <v/>
      </c>
      <c r="DT195" s="161" t="str">
        <f t="shared" si="318"/>
        <v/>
      </c>
      <c r="DU195" s="161" t="str">
        <f t="shared" si="319"/>
        <v/>
      </c>
      <c r="DV195" s="161" t="str">
        <f t="shared" si="320"/>
        <v/>
      </c>
      <c r="DW195" s="161" t="str">
        <f t="shared" si="321"/>
        <v/>
      </c>
      <c r="DX195" s="161" t="str">
        <f t="shared" si="322"/>
        <v/>
      </c>
      <c r="DY195" s="161" t="str">
        <f t="shared" si="323"/>
        <v/>
      </c>
      <c r="DZ195" s="161" t="str">
        <f t="shared" si="324"/>
        <v/>
      </c>
      <c r="EA195" s="161" t="str">
        <f t="shared" si="325"/>
        <v/>
      </c>
      <c r="EB195" s="161" t="str">
        <f t="shared" si="326"/>
        <v/>
      </c>
      <c r="EC195" s="161" t="str">
        <f t="shared" si="327"/>
        <v/>
      </c>
      <c r="ED195" s="161" t="str">
        <f t="shared" si="328"/>
        <v/>
      </c>
      <c r="EE195" s="161" t="str">
        <f t="shared" si="329"/>
        <v/>
      </c>
      <c r="EF195" s="161" t="str">
        <f t="shared" si="330"/>
        <v/>
      </c>
      <c r="EG195" s="161" t="str">
        <f t="shared" si="331"/>
        <v/>
      </c>
      <c r="EH195" s="161" t="str">
        <f t="shared" si="332"/>
        <v/>
      </c>
      <c r="EI195" s="161" t="str">
        <f t="shared" si="333"/>
        <v/>
      </c>
      <c r="EJ195" s="161" t="str">
        <f t="shared" si="334"/>
        <v/>
      </c>
      <c r="EK195" s="147" t="str">
        <f t="shared" si="248"/>
        <v/>
      </c>
      <c r="EL195" s="149"/>
      <c r="EN195" s="146"/>
      <c r="EO195" s="146"/>
      <c r="EP195" s="139" t="str">
        <f t="shared" si="249"/>
        <v/>
      </c>
      <c r="EQ195" s="139" t="str">
        <f t="shared" si="250"/>
        <v/>
      </c>
      <c r="ER195" s="139" t="str">
        <f t="shared" si="251"/>
        <v/>
      </c>
      <c r="ES195" s="139" t="str">
        <f t="shared" si="252"/>
        <v/>
      </c>
      <c r="ET195" s="139" t="str">
        <f t="shared" si="253"/>
        <v/>
      </c>
      <c r="EU195" s="139" t="str">
        <f t="shared" si="254"/>
        <v/>
      </c>
      <c r="EV195" s="139" t="str">
        <f t="shared" si="255"/>
        <v/>
      </c>
      <c r="EW195" s="139" t="str">
        <f t="shared" si="256"/>
        <v/>
      </c>
      <c r="EX195" s="139" t="str">
        <f t="shared" si="257"/>
        <v/>
      </c>
      <c r="EY195" s="139" t="str">
        <f t="shared" si="258"/>
        <v/>
      </c>
      <c r="EZ195" s="139" t="str">
        <f t="shared" si="259"/>
        <v/>
      </c>
      <c r="FA195" s="139" t="str">
        <f t="shared" si="260"/>
        <v/>
      </c>
      <c r="FB195" s="139" t="str">
        <f t="shared" si="261"/>
        <v/>
      </c>
      <c r="FC195" s="139" t="str">
        <f t="shared" si="262"/>
        <v/>
      </c>
      <c r="FD195" s="139" t="str">
        <f t="shared" si="263"/>
        <v/>
      </c>
      <c r="FE195" s="139" t="str">
        <f t="shared" si="264"/>
        <v/>
      </c>
      <c r="FF195" s="139" t="str">
        <f t="shared" si="265"/>
        <v/>
      </c>
      <c r="FG195" s="139" t="str">
        <f t="shared" si="266"/>
        <v/>
      </c>
      <c r="FH195" s="139" t="str">
        <f t="shared" si="267"/>
        <v/>
      </c>
      <c r="FI195" s="139" t="str">
        <f t="shared" si="268"/>
        <v/>
      </c>
      <c r="FJ195" s="139" t="str">
        <f t="shared" si="269"/>
        <v/>
      </c>
      <c r="FK195" s="139" t="str">
        <f t="shared" si="270"/>
        <v/>
      </c>
      <c r="FL195" s="139" t="str">
        <f t="shared" si="271"/>
        <v/>
      </c>
      <c r="FM195" s="139" t="str">
        <f t="shared" si="272"/>
        <v/>
      </c>
      <c r="FN195" s="139" t="str">
        <f t="shared" si="273"/>
        <v/>
      </c>
      <c r="FO195" s="139" t="str">
        <f t="shared" si="274"/>
        <v/>
      </c>
      <c r="FP195" s="139" t="str">
        <f t="shared" si="275"/>
        <v/>
      </c>
      <c r="FQ195" s="139" t="str">
        <f t="shared" si="276"/>
        <v/>
      </c>
      <c r="FR195" s="139" t="str">
        <f t="shared" si="277"/>
        <v/>
      </c>
      <c r="FS195" s="139" t="str">
        <f t="shared" si="278"/>
        <v/>
      </c>
      <c r="FT195" s="139" t="str">
        <f t="shared" si="279"/>
        <v/>
      </c>
      <c r="FU195" s="148" t="str">
        <f t="shared" si="280"/>
        <v/>
      </c>
      <c r="FV195" s="149"/>
      <c r="FY195" s="213">
        <v>190</v>
      </c>
      <c r="FZ195">
        <v>53.81131049734843</v>
      </c>
      <c r="GA195">
        <v>62.546104744900433</v>
      </c>
      <c r="GB195">
        <v>6.5908168054451215</v>
      </c>
      <c r="GC195">
        <v>4.8000540739923503</v>
      </c>
      <c r="GD195">
        <v>1.6274703155525223</v>
      </c>
      <c r="GE195">
        <v>1.7030154609055903</v>
      </c>
      <c r="GF195">
        <v>5.5350629917478233</v>
      </c>
      <c r="GG195">
        <v>6.8663175111800747</v>
      </c>
      <c r="GH195">
        <v>4.3223472521243185</v>
      </c>
      <c r="GI195">
        <v>12.215885334741534</v>
      </c>
      <c r="GJ195"/>
      <c r="GK195"/>
      <c r="GL195"/>
      <c r="GM195"/>
      <c r="GN195" s="208"/>
      <c r="GO195" s="208"/>
      <c r="GP195" s="208"/>
      <c r="GQ195" s="208"/>
      <c r="GR195" s="208"/>
      <c r="GS195" s="208"/>
      <c r="GT195" s="208"/>
      <c r="GU195" s="213">
        <v>190</v>
      </c>
    </row>
    <row r="196" spans="1:203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83.485332212018321</v>
      </c>
      <c r="AO196">
        <v>8.298170496729508</v>
      </c>
      <c r="AP196">
        <v>38.877228280757166</v>
      </c>
      <c r="AQ196">
        <v>49.236139971471687</v>
      </c>
      <c r="AR196">
        <v>7.7870819999749799</v>
      </c>
      <c r="AS196">
        <v>117.3579634724711</v>
      </c>
      <c r="AT196" t="e">
        <v>#DIV/0!</v>
      </c>
      <c r="AU196" t="e">
        <v>#DIV/0!</v>
      </c>
      <c r="AV196"/>
      <c r="AW196"/>
      <c r="AX196" s="146"/>
      <c r="AY196" s="76" t="str">
        <f t="shared" ca="1" si="171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6"/>
        <v/>
      </c>
      <c r="CL196" s="179" t="str">
        <f t="shared" si="207"/>
        <v/>
      </c>
      <c r="CM196" s="180" t="str">
        <f t="shared" si="208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9"/>
        <v/>
      </c>
      <c r="DB196" s="146"/>
      <c r="DC196" s="76" t="str">
        <f t="shared" ca="1" si="172"/>
        <v/>
      </c>
      <c r="DD196" t="str">
        <f t="shared" si="210"/>
        <v/>
      </c>
      <c r="DE196" s="129" t="str">
        <f t="shared" si="281"/>
        <v/>
      </c>
      <c r="DF196" s="161" t="str">
        <f t="shared" si="282"/>
        <v/>
      </c>
      <c r="DG196" s="161" t="str">
        <f t="shared" si="283"/>
        <v/>
      </c>
      <c r="DH196" s="161" t="str">
        <f t="shared" si="284"/>
        <v/>
      </c>
      <c r="DI196" s="161" t="str">
        <f t="shared" si="285"/>
        <v/>
      </c>
      <c r="DJ196" s="161" t="str">
        <f t="shared" si="286"/>
        <v/>
      </c>
      <c r="DK196" s="161" t="str">
        <f t="shared" si="287"/>
        <v/>
      </c>
      <c r="DL196" s="161" t="str">
        <f t="shared" si="288"/>
        <v/>
      </c>
      <c r="DM196" s="161" t="str">
        <f t="shared" si="289"/>
        <v/>
      </c>
      <c r="DN196" s="161" t="str">
        <f t="shared" si="312"/>
        <v/>
      </c>
      <c r="DO196" s="161" t="str">
        <f t="shared" si="313"/>
        <v/>
      </c>
      <c r="DP196" s="161" t="str">
        <f t="shared" si="314"/>
        <v/>
      </c>
      <c r="DQ196" s="161" t="str">
        <f t="shared" si="315"/>
        <v/>
      </c>
      <c r="DR196" s="161" t="str">
        <f t="shared" si="316"/>
        <v/>
      </c>
      <c r="DS196" s="161" t="str">
        <f t="shared" si="317"/>
        <v/>
      </c>
      <c r="DT196" s="161" t="str">
        <f t="shared" si="318"/>
        <v/>
      </c>
      <c r="DU196" s="161" t="str">
        <f t="shared" si="319"/>
        <v/>
      </c>
      <c r="DV196" s="161" t="str">
        <f t="shared" si="320"/>
        <v/>
      </c>
      <c r="DW196" s="161" t="str">
        <f t="shared" si="321"/>
        <v/>
      </c>
      <c r="DX196" s="161" t="str">
        <f t="shared" si="322"/>
        <v/>
      </c>
      <c r="DY196" s="161" t="str">
        <f t="shared" si="323"/>
        <v/>
      </c>
      <c r="DZ196" s="161" t="str">
        <f t="shared" si="324"/>
        <v/>
      </c>
      <c r="EA196" s="161" t="str">
        <f t="shared" si="325"/>
        <v/>
      </c>
      <c r="EB196" s="161" t="str">
        <f t="shared" si="326"/>
        <v/>
      </c>
      <c r="EC196" s="161" t="str">
        <f t="shared" si="327"/>
        <v/>
      </c>
      <c r="ED196" s="161" t="str">
        <f t="shared" si="328"/>
        <v/>
      </c>
      <c r="EE196" s="161" t="str">
        <f t="shared" si="329"/>
        <v/>
      </c>
      <c r="EF196" s="161" t="str">
        <f t="shared" si="330"/>
        <v/>
      </c>
      <c r="EG196" s="161" t="str">
        <f t="shared" si="331"/>
        <v/>
      </c>
      <c r="EH196" s="161" t="str">
        <f t="shared" si="332"/>
        <v/>
      </c>
      <c r="EI196" s="161" t="str">
        <f t="shared" si="333"/>
        <v/>
      </c>
      <c r="EJ196" s="161" t="str">
        <f t="shared" si="334"/>
        <v/>
      </c>
      <c r="EK196" s="147" t="str">
        <f t="shared" si="248"/>
        <v/>
      </c>
      <c r="EL196" s="149"/>
      <c r="EN196" s="146"/>
      <c r="EO196" s="146"/>
      <c r="EP196" s="139" t="str">
        <f t="shared" si="249"/>
        <v/>
      </c>
      <c r="EQ196" s="139" t="str">
        <f t="shared" si="250"/>
        <v/>
      </c>
      <c r="ER196" s="139" t="str">
        <f t="shared" si="251"/>
        <v/>
      </c>
      <c r="ES196" s="139" t="str">
        <f t="shared" si="252"/>
        <v/>
      </c>
      <c r="ET196" s="139" t="str">
        <f t="shared" si="253"/>
        <v/>
      </c>
      <c r="EU196" s="139" t="str">
        <f t="shared" si="254"/>
        <v/>
      </c>
      <c r="EV196" s="139" t="str">
        <f t="shared" si="255"/>
        <v/>
      </c>
      <c r="EW196" s="139" t="str">
        <f t="shared" si="256"/>
        <v/>
      </c>
      <c r="EX196" s="139" t="str">
        <f t="shared" si="257"/>
        <v/>
      </c>
      <c r="EY196" s="139" t="str">
        <f t="shared" si="258"/>
        <v/>
      </c>
      <c r="EZ196" s="139" t="str">
        <f t="shared" si="259"/>
        <v/>
      </c>
      <c r="FA196" s="139" t="str">
        <f t="shared" si="260"/>
        <v/>
      </c>
      <c r="FB196" s="139" t="str">
        <f t="shared" si="261"/>
        <v/>
      </c>
      <c r="FC196" s="139" t="str">
        <f t="shared" si="262"/>
        <v/>
      </c>
      <c r="FD196" s="139" t="str">
        <f t="shared" si="263"/>
        <v/>
      </c>
      <c r="FE196" s="139" t="str">
        <f t="shared" si="264"/>
        <v/>
      </c>
      <c r="FF196" s="139" t="str">
        <f t="shared" si="265"/>
        <v/>
      </c>
      <c r="FG196" s="139" t="str">
        <f t="shared" si="266"/>
        <v/>
      </c>
      <c r="FH196" s="139" t="str">
        <f t="shared" si="267"/>
        <v/>
      </c>
      <c r="FI196" s="139" t="str">
        <f t="shared" si="268"/>
        <v/>
      </c>
      <c r="FJ196" s="139" t="str">
        <f t="shared" si="269"/>
        <v/>
      </c>
      <c r="FK196" s="139" t="str">
        <f t="shared" si="270"/>
        <v/>
      </c>
      <c r="FL196" s="139" t="str">
        <f t="shared" si="271"/>
        <v/>
      </c>
      <c r="FM196" s="139" t="str">
        <f t="shared" si="272"/>
        <v/>
      </c>
      <c r="FN196" s="139" t="str">
        <f t="shared" si="273"/>
        <v/>
      </c>
      <c r="FO196" s="139" t="str">
        <f t="shared" si="274"/>
        <v/>
      </c>
      <c r="FP196" s="139" t="str">
        <f t="shared" si="275"/>
        <v/>
      </c>
      <c r="FQ196" s="139" t="str">
        <f t="shared" si="276"/>
        <v/>
      </c>
      <c r="FR196" s="139" t="str">
        <f t="shared" si="277"/>
        <v/>
      </c>
      <c r="FS196" s="139" t="str">
        <f t="shared" si="278"/>
        <v/>
      </c>
      <c r="FT196" s="139" t="str">
        <f t="shared" si="279"/>
        <v/>
      </c>
      <c r="FU196" s="148" t="str">
        <f t="shared" si="280"/>
        <v/>
      </c>
      <c r="FV196" s="149"/>
      <c r="FY196" s="213">
        <v>191</v>
      </c>
      <c r="FZ196">
        <v>21.407868224660927</v>
      </c>
      <c r="GA196">
        <v>28.110638011803328</v>
      </c>
      <c r="GB196">
        <v>6.5070010458699024</v>
      </c>
      <c r="GC196">
        <v>4.5509405272550323</v>
      </c>
      <c r="GD196">
        <v>2.6569084266984127</v>
      </c>
      <c r="GE196">
        <v>2.756023029429032</v>
      </c>
      <c r="GF196">
        <v>3.4874292237584825</v>
      </c>
      <c r="GG196">
        <v>5.0458830531612291</v>
      </c>
      <c r="GH196">
        <v>4.3223472521243185</v>
      </c>
      <c r="GI196">
        <v>7.6897633997608859</v>
      </c>
      <c r="GJ196"/>
      <c r="GK196"/>
      <c r="GL196"/>
      <c r="GM196"/>
      <c r="GN196" s="208"/>
      <c r="GO196" s="208"/>
      <c r="GP196" s="208"/>
      <c r="GQ196" s="208"/>
      <c r="GR196" s="208"/>
      <c r="GS196" s="208"/>
      <c r="GT196" s="208"/>
      <c r="GU196" s="213">
        <v>191</v>
      </c>
    </row>
    <row r="197" spans="1:203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79.557226065713621</v>
      </c>
      <c r="AO197">
        <v>11.574299766882387</v>
      </c>
      <c r="AP197">
        <v>91.326656814834763</v>
      </c>
      <c r="AQ197">
        <v>88.110422728100261</v>
      </c>
      <c r="AR197">
        <v>10.692205015336825</v>
      </c>
      <c r="AS197">
        <v>135.11715441500203</v>
      </c>
      <c r="AT197" t="e">
        <v>#DIV/0!</v>
      </c>
      <c r="AU197" t="e">
        <v>#DIV/0!</v>
      </c>
      <c r="AV197"/>
      <c r="AW197"/>
      <c r="AX197" s="146"/>
      <c r="AY197" s="76" t="str">
        <f t="shared" ca="1" si="171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6"/>
        <v/>
      </c>
      <c r="CL197" s="179" t="str">
        <f t="shared" si="207"/>
        <v/>
      </c>
      <c r="CM197" s="180" t="str">
        <f t="shared" si="208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9"/>
        <v/>
      </c>
      <c r="DB197" s="146"/>
      <c r="DC197" s="76" t="str">
        <f t="shared" ca="1" si="172"/>
        <v/>
      </c>
      <c r="DD197" t="str">
        <f t="shared" si="210"/>
        <v/>
      </c>
      <c r="DE197" s="129" t="str">
        <f t="shared" si="281"/>
        <v/>
      </c>
      <c r="DF197" s="161" t="str">
        <f t="shared" si="282"/>
        <v/>
      </c>
      <c r="DG197" s="161" t="str">
        <f t="shared" si="283"/>
        <v/>
      </c>
      <c r="DH197" s="161" t="str">
        <f t="shared" si="284"/>
        <v/>
      </c>
      <c r="DI197" s="161" t="str">
        <f t="shared" si="285"/>
        <v/>
      </c>
      <c r="DJ197" s="161" t="str">
        <f t="shared" si="286"/>
        <v/>
      </c>
      <c r="DK197" s="161" t="str">
        <f t="shared" si="287"/>
        <v/>
      </c>
      <c r="DL197" s="161" t="str">
        <f t="shared" si="288"/>
        <v/>
      </c>
      <c r="DM197" s="161" t="str">
        <f t="shared" si="289"/>
        <v/>
      </c>
      <c r="DN197" s="161" t="str">
        <f t="shared" si="312"/>
        <v/>
      </c>
      <c r="DO197" s="161" t="str">
        <f t="shared" si="313"/>
        <v/>
      </c>
      <c r="DP197" s="161" t="str">
        <f t="shared" si="314"/>
        <v/>
      </c>
      <c r="DQ197" s="161" t="str">
        <f t="shared" si="315"/>
        <v/>
      </c>
      <c r="DR197" s="161" t="str">
        <f t="shared" si="316"/>
        <v/>
      </c>
      <c r="DS197" s="161" t="str">
        <f t="shared" si="317"/>
        <v/>
      </c>
      <c r="DT197" s="161" t="str">
        <f t="shared" si="318"/>
        <v/>
      </c>
      <c r="DU197" s="161" t="str">
        <f t="shared" si="319"/>
        <v/>
      </c>
      <c r="DV197" s="161" t="str">
        <f t="shared" si="320"/>
        <v/>
      </c>
      <c r="DW197" s="161" t="str">
        <f t="shared" si="321"/>
        <v/>
      </c>
      <c r="DX197" s="161" t="str">
        <f t="shared" si="322"/>
        <v/>
      </c>
      <c r="DY197" s="161" t="str">
        <f t="shared" si="323"/>
        <v/>
      </c>
      <c r="DZ197" s="161" t="str">
        <f t="shared" si="324"/>
        <v/>
      </c>
      <c r="EA197" s="161" t="str">
        <f t="shared" si="325"/>
        <v/>
      </c>
      <c r="EB197" s="161" t="str">
        <f t="shared" si="326"/>
        <v/>
      </c>
      <c r="EC197" s="161" t="str">
        <f t="shared" si="327"/>
        <v/>
      </c>
      <c r="ED197" s="161" t="str">
        <f t="shared" si="328"/>
        <v/>
      </c>
      <c r="EE197" s="161" t="str">
        <f t="shared" si="329"/>
        <v/>
      </c>
      <c r="EF197" s="161" t="str">
        <f t="shared" si="330"/>
        <v/>
      </c>
      <c r="EG197" s="161" t="str">
        <f t="shared" si="331"/>
        <v/>
      </c>
      <c r="EH197" s="161" t="str">
        <f t="shared" si="332"/>
        <v/>
      </c>
      <c r="EI197" s="161" t="str">
        <f t="shared" si="333"/>
        <v/>
      </c>
      <c r="EJ197" s="161" t="str">
        <f t="shared" si="334"/>
        <v/>
      </c>
      <c r="EK197" s="147" t="str">
        <f t="shared" si="248"/>
        <v/>
      </c>
      <c r="EL197" s="149"/>
      <c r="EN197" s="146"/>
      <c r="EO197" s="146"/>
      <c r="EP197" s="139" t="str">
        <f t="shared" si="249"/>
        <v/>
      </c>
      <c r="EQ197" s="139" t="str">
        <f t="shared" si="250"/>
        <v/>
      </c>
      <c r="ER197" s="139" t="str">
        <f t="shared" si="251"/>
        <v/>
      </c>
      <c r="ES197" s="139" t="str">
        <f t="shared" si="252"/>
        <v/>
      </c>
      <c r="ET197" s="139" t="str">
        <f t="shared" si="253"/>
        <v/>
      </c>
      <c r="EU197" s="139" t="str">
        <f t="shared" si="254"/>
        <v/>
      </c>
      <c r="EV197" s="139" t="str">
        <f t="shared" si="255"/>
        <v/>
      </c>
      <c r="EW197" s="139" t="str">
        <f t="shared" si="256"/>
        <v/>
      </c>
      <c r="EX197" s="139" t="str">
        <f t="shared" si="257"/>
        <v/>
      </c>
      <c r="EY197" s="139" t="str">
        <f t="shared" si="258"/>
        <v/>
      </c>
      <c r="EZ197" s="139" t="str">
        <f t="shared" si="259"/>
        <v/>
      </c>
      <c r="FA197" s="139" t="str">
        <f t="shared" si="260"/>
        <v/>
      </c>
      <c r="FB197" s="139" t="str">
        <f t="shared" si="261"/>
        <v/>
      </c>
      <c r="FC197" s="139" t="str">
        <f t="shared" si="262"/>
        <v/>
      </c>
      <c r="FD197" s="139" t="str">
        <f t="shared" si="263"/>
        <v/>
      </c>
      <c r="FE197" s="139" t="str">
        <f t="shared" si="264"/>
        <v/>
      </c>
      <c r="FF197" s="139" t="str">
        <f t="shared" si="265"/>
        <v/>
      </c>
      <c r="FG197" s="139" t="str">
        <f t="shared" si="266"/>
        <v/>
      </c>
      <c r="FH197" s="139" t="str">
        <f t="shared" si="267"/>
        <v/>
      </c>
      <c r="FI197" s="139" t="str">
        <f t="shared" si="268"/>
        <v/>
      </c>
      <c r="FJ197" s="139" t="str">
        <f t="shared" si="269"/>
        <v/>
      </c>
      <c r="FK197" s="139" t="str">
        <f t="shared" si="270"/>
        <v/>
      </c>
      <c r="FL197" s="139" t="str">
        <f t="shared" si="271"/>
        <v/>
      </c>
      <c r="FM197" s="139" t="str">
        <f t="shared" si="272"/>
        <v/>
      </c>
      <c r="FN197" s="139" t="str">
        <f t="shared" si="273"/>
        <v/>
      </c>
      <c r="FO197" s="139" t="str">
        <f t="shared" si="274"/>
        <v/>
      </c>
      <c r="FP197" s="139" t="str">
        <f t="shared" si="275"/>
        <v/>
      </c>
      <c r="FQ197" s="139" t="str">
        <f t="shared" si="276"/>
        <v/>
      </c>
      <c r="FR197" s="139" t="str">
        <f t="shared" si="277"/>
        <v/>
      </c>
      <c r="FS197" s="139" t="str">
        <f t="shared" si="278"/>
        <v/>
      </c>
      <c r="FT197" s="139" t="str">
        <f t="shared" si="279"/>
        <v/>
      </c>
      <c r="FU197" s="148" t="str">
        <f t="shared" si="280"/>
        <v/>
      </c>
      <c r="FV197" s="149"/>
      <c r="FY197" s="213">
        <v>192</v>
      </c>
      <c r="FZ197">
        <v>66.957075388061526</v>
      </c>
      <c r="GA197">
        <v>83.799956460415288</v>
      </c>
      <c r="GB197">
        <v>8.1974945802006456</v>
      </c>
      <c r="GC197">
        <v>4.421413807341585</v>
      </c>
      <c r="GD197">
        <v>2.3902165012135299</v>
      </c>
      <c r="GE197">
        <v>2.8815337702143324</v>
      </c>
      <c r="GF197">
        <v>4.9364995590918817</v>
      </c>
      <c r="GG197">
        <v>3.8492361100592305</v>
      </c>
      <c r="GH197">
        <v>0.60080431445180338</v>
      </c>
      <c r="GI197">
        <v>14.379462268717111</v>
      </c>
      <c r="GJ197"/>
      <c r="GK197"/>
      <c r="GL197"/>
      <c r="GM197"/>
      <c r="GN197" s="208"/>
      <c r="GO197" s="208"/>
      <c r="GP197" s="208"/>
      <c r="GQ197" s="208"/>
      <c r="GR197" s="208"/>
      <c r="GS197" s="208"/>
      <c r="GT197" s="208"/>
      <c r="GU197" s="213">
        <v>192</v>
      </c>
    </row>
    <row r="198" spans="1:203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80.312870353343229</v>
      </c>
      <c r="AO198">
        <v>6.1966054229955816</v>
      </c>
      <c r="AP198">
        <v>25.424172800276402</v>
      </c>
      <c r="AQ198">
        <v>36.553266448484905</v>
      </c>
      <c r="AR198">
        <v>5.9536172260445284</v>
      </c>
      <c r="AS198">
        <v>99.654027320443873</v>
      </c>
      <c r="AT198">
        <v>4.1056729147522919</v>
      </c>
      <c r="AU198">
        <v>21.850361865535021</v>
      </c>
      <c r="AV198"/>
      <c r="AW198"/>
      <c r="AX198" s="128"/>
      <c r="AY198" s="76" t="str">
        <f t="shared" ca="1" si="171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6"/>
        <v/>
      </c>
      <c r="CL198" s="179" t="str">
        <f t="shared" si="207"/>
        <v/>
      </c>
      <c r="CM198" s="180" t="str">
        <f t="shared" si="208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9"/>
        <v/>
      </c>
      <c r="DB198" s="128"/>
      <c r="DC198" s="76" t="str">
        <f t="shared" ca="1" si="172"/>
        <v/>
      </c>
      <c r="DD198" t="str">
        <f t="shared" si="210"/>
        <v/>
      </c>
      <c r="DE198" s="129" t="str">
        <f t="shared" ref="DE198:DE207" si="335">IF((DD198)="", "", $C$15)</f>
        <v/>
      </c>
      <c r="DF198" s="161" t="str">
        <f t="shared" si="282"/>
        <v/>
      </c>
      <c r="DG198" s="161" t="str">
        <f t="shared" si="283"/>
        <v/>
      </c>
      <c r="DH198" s="161" t="str">
        <f t="shared" si="284"/>
        <v/>
      </c>
      <c r="DI198" s="161" t="str">
        <f t="shared" si="285"/>
        <v/>
      </c>
      <c r="DJ198" s="161" t="str">
        <f t="shared" si="286"/>
        <v/>
      </c>
      <c r="DK198" s="161" t="str">
        <f t="shared" si="287"/>
        <v/>
      </c>
      <c r="DL198" s="161" t="str">
        <f t="shared" si="288"/>
        <v/>
      </c>
      <c r="DM198" s="161" t="str">
        <f t="shared" si="289"/>
        <v/>
      </c>
      <c r="DN198" s="161" t="str">
        <f t="shared" si="312"/>
        <v/>
      </c>
      <c r="DO198" s="161" t="str">
        <f t="shared" si="313"/>
        <v/>
      </c>
      <c r="DP198" s="161" t="str">
        <f t="shared" si="314"/>
        <v/>
      </c>
      <c r="DQ198" s="161" t="str">
        <f t="shared" si="315"/>
        <v/>
      </c>
      <c r="DR198" s="161" t="str">
        <f t="shared" si="316"/>
        <v/>
      </c>
      <c r="DS198" s="161" t="str">
        <f t="shared" si="317"/>
        <v/>
      </c>
      <c r="DT198" s="161" t="str">
        <f t="shared" si="318"/>
        <v/>
      </c>
      <c r="DU198" s="161" t="str">
        <f t="shared" si="319"/>
        <v/>
      </c>
      <c r="DV198" s="161" t="str">
        <f t="shared" si="320"/>
        <v/>
      </c>
      <c r="DW198" s="161" t="str">
        <f t="shared" si="321"/>
        <v/>
      </c>
      <c r="DX198" s="161" t="str">
        <f t="shared" si="322"/>
        <v/>
      </c>
      <c r="DY198" s="161" t="str">
        <f t="shared" si="323"/>
        <v/>
      </c>
      <c r="DZ198" s="161" t="str">
        <f t="shared" si="324"/>
        <v/>
      </c>
      <c r="EA198" s="161" t="str">
        <f t="shared" si="325"/>
        <v/>
      </c>
      <c r="EB198" s="161" t="str">
        <f t="shared" si="326"/>
        <v/>
      </c>
      <c r="EC198" s="161" t="str">
        <f t="shared" si="327"/>
        <v/>
      </c>
      <c r="ED198" s="161" t="str">
        <f t="shared" si="328"/>
        <v/>
      </c>
      <c r="EE198" s="161" t="str">
        <f t="shared" si="329"/>
        <v/>
      </c>
      <c r="EF198" s="161" t="str">
        <f t="shared" si="330"/>
        <v/>
      </c>
      <c r="EG198" s="161" t="str">
        <f t="shared" si="331"/>
        <v/>
      </c>
      <c r="EH198" s="161" t="str">
        <f t="shared" si="332"/>
        <v/>
      </c>
      <c r="EI198" s="161" t="str">
        <f t="shared" si="333"/>
        <v/>
      </c>
      <c r="EJ198" s="161" t="str">
        <f t="shared" si="334"/>
        <v/>
      </c>
      <c r="EK198" s="147" t="str">
        <f t="shared" si="248"/>
        <v/>
      </c>
      <c r="EL198" s="149"/>
      <c r="EN198" s="146"/>
      <c r="EO198" s="146"/>
      <c r="EP198" s="139" t="str">
        <f t="shared" si="249"/>
        <v/>
      </c>
      <c r="EQ198" s="139" t="str">
        <f t="shared" si="250"/>
        <v/>
      </c>
      <c r="ER198" s="139" t="str">
        <f t="shared" si="251"/>
        <v/>
      </c>
      <c r="ES198" s="139" t="str">
        <f t="shared" si="252"/>
        <v/>
      </c>
      <c r="ET198" s="139" t="str">
        <f t="shared" si="253"/>
        <v/>
      </c>
      <c r="EU198" s="139" t="str">
        <f t="shared" si="254"/>
        <v/>
      </c>
      <c r="EV198" s="139" t="str">
        <f t="shared" si="255"/>
        <v/>
      </c>
      <c r="EW198" s="139" t="str">
        <f t="shared" si="256"/>
        <v/>
      </c>
      <c r="EX198" s="139" t="str">
        <f t="shared" si="257"/>
        <v/>
      </c>
      <c r="EY198" s="139" t="str">
        <f t="shared" si="258"/>
        <v/>
      </c>
      <c r="EZ198" s="139" t="str">
        <f t="shared" si="259"/>
        <v/>
      </c>
      <c r="FA198" s="139" t="str">
        <f t="shared" si="260"/>
        <v/>
      </c>
      <c r="FB198" s="139" t="str">
        <f t="shared" si="261"/>
        <v/>
      </c>
      <c r="FC198" s="139" t="str">
        <f t="shared" si="262"/>
        <v/>
      </c>
      <c r="FD198" s="139" t="str">
        <f t="shared" si="263"/>
        <v/>
      </c>
      <c r="FE198" s="139" t="str">
        <f t="shared" si="264"/>
        <v/>
      </c>
      <c r="FF198" s="139" t="str">
        <f t="shared" si="265"/>
        <v/>
      </c>
      <c r="FG198" s="139" t="str">
        <f t="shared" si="266"/>
        <v/>
      </c>
      <c r="FH198" s="139" t="str">
        <f t="shared" si="267"/>
        <v/>
      </c>
      <c r="FI198" s="139" t="str">
        <f t="shared" si="268"/>
        <v/>
      </c>
      <c r="FJ198" s="139" t="str">
        <f t="shared" si="269"/>
        <v/>
      </c>
      <c r="FK198" s="139" t="str">
        <f t="shared" si="270"/>
        <v/>
      </c>
      <c r="FL198" s="139" t="str">
        <f t="shared" si="271"/>
        <v/>
      </c>
      <c r="FM198" s="139" t="str">
        <f t="shared" si="272"/>
        <v/>
      </c>
      <c r="FN198" s="139" t="str">
        <f t="shared" si="273"/>
        <v/>
      </c>
      <c r="FO198" s="139" t="str">
        <f t="shared" si="274"/>
        <v/>
      </c>
      <c r="FP198" s="139" t="str">
        <f t="shared" si="275"/>
        <v/>
      </c>
      <c r="FQ198" s="139" t="str">
        <f t="shared" si="276"/>
        <v/>
      </c>
      <c r="FR198" s="139" t="str">
        <f t="shared" si="277"/>
        <v/>
      </c>
      <c r="FS198" s="139" t="str">
        <f t="shared" si="278"/>
        <v/>
      </c>
      <c r="FT198" s="139" t="str">
        <f t="shared" si="279"/>
        <v/>
      </c>
      <c r="FU198" s="148" t="str">
        <f t="shared" si="280"/>
        <v/>
      </c>
      <c r="FV198" s="149"/>
      <c r="FY198" s="213">
        <v>193</v>
      </c>
      <c r="FZ198">
        <v>65.425212195999791</v>
      </c>
      <c r="GA198">
        <v>81.633715242775708</v>
      </c>
      <c r="GB198">
        <v>8.8269602519062378</v>
      </c>
      <c r="GC198">
        <v>5.0159680821861929</v>
      </c>
      <c r="GD198">
        <v>2.2729648525894439</v>
      </c>
      <c r="GE198">
        <v>2.2578552456274279</v>
      </c>
      <c r="GF198">
        <v>3.633079735685925</v>
      </c>
      <c r="GG198">
        <v>3.8596924414623484</v>
      </c>
      <c r="GH198">
        <v>2.7619779405139626</v>
      </c>
      <c r="GI198">
        <v>14.357402664826076</v>
      </c>
      <c r="GJ198"/>
      <c r="GK198"/>
      <c r="GL198"/>
      <c r="GM198"/>
      <c r="GN198" s="208"/>
      <c r="GO198" s="208"/>
      <c r="GP198" s="208"/>
      <c r="GQ198" s="208"/>
      <c r="GR198" s="208"/>
      <c r="GS198" s="208"/>
      <c r="GT198" s="208"/>
      <c r="GU198" s="213">
        <v>193</v>
      </c>
    </row>
    <row r="199" spans="1:203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99.603721747319625</v>
      </c>
      <c r="AO199">
        <v>16.975439865106249</v>
      </c>
      <c r="AP199">
        <v>110.90041241148793</v>
      </c>
      <c r="AQ199">
        <v>146.92139773628463</v>
      </c>
      <c r="AR199">
        <v>15.666221076579932</v>
      </c>
      <c r="AS199">
        <v>191.15546774093499</v>
      </c>
      <c r="AT199" t="e">
        <v>#DIV/0!</v>
      </c>
      <c r="AU199" t="e">
        <v>#DIV/0!</v>
      </c>
      <c r="AV199"/>
      <c r="AW199"/>
      <c r="AX199" s="146"/>
      <c r="AY199" s="76" t="str">
        <f t="shared" ca="1" si="171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6"/>
        <v/>
      </c>
      <c r="CL199" s="179" t="str">
        <f t="shared" si="207"/>
        <v/>
      </c>
      <c r="CM199" s="180" t="str">
        <f t="shared" si="208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9"/>
        <v/>
      </c>
      <c r="DB199" s="146"/>
      <c r="DC199" s="76" t="str">
        <f t="shared" ca="1" si="172"/>
        <v/>
      </c>
      <c r="DD199" t="str">
        <f t="shared" si="210"/>
        <v/>
      </c>
      <c r="DE199" s="129" t="str">
        <f t="shared" si="335"/>
        <v/>
      </c>
      <c r="DF199" s="161" t="str">
        <f t="shared" si="282"/>
        <v/>
      </c>
      <c r="DG199" s="161" t="str">
        <f t="shared" si="283"/>
        <v/>
      </c>
      <c r="DH199" s="161" t="str">
        <f t="shared" si="284"/>
        <v/>
      </c>
      <c r="DI199" s="161" t="str">
        <f t="shared" si="285"/>
        <v/>
      </c>
      <c r="DJ199" s="161" t="str">
        <f t="shared" si="286"/>
        <v/>
      </c>
      <c r="DK199" s="161" t="str">
        <f t="shared" si="287"/>
        <v/>
      </c>
      <c r="DL199" s="161" t="str">
        <f t="shared" si="288"/>
        <v/>
      </c>
      <c r="DM199" s="161" t="str">
        <f t="shared" si="289"/>
        <v/>
      </c>
      <c r="DN199" s="161" t="str">
        <f t="shared" si="312"/>
        <v/>
      </c>
      <c r="DO199" s="161" t="str">
        <f t="shared" si="313"/>
        <v/>
      </c>
      <c r="DP199" s="161" t="str">
        <f t="shared" si="314"/>
        <v/>
      </c>
      <c r="DQ199" s="161" t="str">
        <f t="shared" si="315"/>
        <v/>
      </c>
      <c r="DR199" s="161" t="str">
        <f t="shared" si="316"/>
        <v/>
      </c>
      <c r="DS199" s="161" t="str">
        <f t="shared" si="317"/>
        <v/>
      </c>
      <c r="DT199" s="161" t="str">
        <f t="shared" si="318"/>
        <v/>
      </c>
      <c r="DU199" s="161" t="str">
        <f t="shared" si="319"/>
        <v/>
      </c>
      <c r="DV199" s="161" t="str">
        <f t="shared" si="320"/>
        <v/>
      </c>
      <c r="DW199" s="161" t="str">
        <f t="shared" si="321"/>
        <v/>
      </c>
      <c r="DX199" s="161" t="str">
        <f t="shared" si="322"/>
        <v/>
      </c>
      <c r="DY199" s="161" t="str">
        <f t="shared" si="323"/>
        <v/>
      </c>
      <c r="DZ199" s="161" t="str">
        <f t="shared" si="324"/>
        <v/>
      </c>
      <c r="EA199" s="161" t="str">
        <f t="shared" si="325"/>
        <v/>
      </c>
      <c r="EB199" s="161" t="str">
        <f t="shared" si="326"/>
        <v/>
      </c>
      <c r="EC199" s="161" t="str">
        <f t="shared" si="327"/>
        <v/>
      </c>
      <c r="ED199" s="161" t="str">
        <f t="shared" si="328"/>
        <v/>
      </c>
      <c r="EE199" s="161" t="str">
        <f t="shared" si="329"/>
        <v/>
      </c>
      <c r="EF199" s="161" t="str">
        <f t="shared" si="330"/>
        <v/>
      </c>
      <c r="EG199" s="161" t="str">
        <f t="shared" si="331"/>
        <v/>
      </c>
      <c r="EH199" s="161" t="str">
        <f t="shared" si="332"/>
        <v/>
      </c>
      <c r="EI199" s="161" t="str">
        <f t="shared" si="333"/>
        <v/>
      </c>
      <c r="EJ199" s="161" t="str">
        <f t="shared" si="334"/>
        <v/>
      </c>
      <c r="EK199" s="147" t="str">
        <f t="shared" si="248"/>
        <v/>
      </c>
      <c r="EL199" s="149"/>
      <c r="EN199" s="146"/>
      <c r="EO199" s="146"/>
      <c r="EP199" s="139" t="str">
        <f t="shared" si="249"/>
        <v/>
      </c>
      <c r="EQ199" s="139" t="str">
        <f t="shared" si="250"/>
        <v/>
      </c>
      <c r="ER199" s="139" t="str">
        <f t="shared" si="251"/>
        <v/>
      </c>
      <c r="ES199" s="139" t="str">
        <f t="shared" si="252"/>
        <v/>
      </c>
      <c r="ET199" s="139" t="str">
        <f t="shared" si="253"/>
        <v/>
      </c>
      <c r="EU199" s="139" t="str">
        <f t="shared" si="254"/>
        <v/>
      </c>
      <c r="EV199" s="139" t="str">
        <f t="shared" si="255"/>
        <v/>
      </c>
      <c r="EW199" s="139" t="str">
        <f t="shared" si="256"/>
        <v/>
      </c>
      <c r="EX199" s="139" t="str">
        <f t="shared" si="257"/>
        <v/>
      </c>
      <c r="EY199" s="139" t="str">
        <f t="shared" si="258"/>
        <v/>
      </c>
      <c r="EZ199" s="139" t="str">
        <f t="shared" si="259"/>
        <v/>
      </c>
      <c r="FA199" s="139" t="str">
        <f t="shared" si="260"/>
        <v/>
      </c>
      <c r="FB199" s="139" t="str">
        <f t="shared" si="261"/>
        <v/>
      </c>
      <c r="FC199" s="139" t="str">
        <f t="shared" si="262"/>
        <v/>
      </c>
      <c r="FD199" s="139" t="str">
        <f t="shared" si="263"/>
        <v/>
      </c>
      <c r="FE199" s="139" t="str">
        <f t="shared" si="264"/>
        <v/>
      </c>
      <c r="FF199" s="139" t="str">
        <f t="shared" si="265"/>
        <v/>
      </c>
      <c r="FG199" s="139" t="str">
        <f t="shared" si="266"/>
        <v/>
      </c>
      <c r="FH199" s="139" t="str">
        <f t="shared" si="267"/>
        <v/>
      </c>
      <c r="FI199" s="139" t="str">
        <f t="shared" si="268"/>
        <v/>
      </c>
      <c r="FJ199" s="139" t="str">
        <f t="shared" si="269"/>
        <v/>
      </c>
      <c r="FK199" s="139" t="str">
        <f t="shared" si="270"/>
        <v/>
      </c>
      <c r="FL199" s="139" t="str">
        <f t="shared" si="271"/>
        <v/>
      </c>
      <c r="FM199" s="139" t="str">
        <f t="shared" si="272"/>
        <v/>
      </c>
      <c r="FN199" s="139" t="str">
        <f t="shared" si="273"/>
        <v/>
      </c>
      <c r="FO199" s="139" t="str">
        <f t="shared" si="274"/>
        <v/>
      </c>
      <c r="FP199" s="139" t="str">
        <f t="shared" si="275"/>
        <v/>
      </c>
      <c r="FQ199" s="139" t="str">
        <f t="shared" si="276"/>
        <v/>
      </c>
      <c r="FR199" s="139" t="str">
        <f t="shared" si="277"/>
        <v/>
      </c>
      <c r="FS199" s="139" t="str">
        <f t="shared" si="278"/>
        <v/>
      </c>
      <c r="FT199" s="139" t="str">
        <f t="shared" si="279"/>
        <v/>
      </c>
      <c r="FU199" s="148" t="str">
        <f t="shared" si="280"/>
        <v/>
      </c>
      <c r="FV199" s="149"/>
      <c r="FY199" s="213">
        <v>194</v>
      </c>
      <c r="FZ199">
        <v>18.620031919270453</v>
      </c>
      <c r="GA199">
        <v>21.024825161478653</v>
      </c>
      <c r="GB199">
        <v>7.022846882227296</v>
      </c>
      <c r="GC199">
        <v>5.0916890183509009</v>
      </c>
      <c r="GD199">
        <v>2.008398801365797</v>
      </c>
      <c r="GE199">
        <v>2.4073935798333714</v>
      </c>
      <c r="GF199">
        <v>5.662114081841513</v>
      </c>
      <c r="GG199">
        <v>7.8721151818149755</v>
      </c>
      <c r="GH199">
        <v>5.8827165637346734</v>
      </c>
      <c r="GI199">
        <v>7.670328222486841</v>
      </c>
      <c r="GJ199"/>
      <c r="GK199"/>
      <c r="GL199"/>
      <c r="GM199"/>
      <c r="GN199" s="208"/>
      <c r="GO199" s="208"/>
      <c r="GP199" s="208"/>
      <c r="GQ199" s="208"/>
      <c r="GR199" s="208"/>
      <c r="GS199" s="208"/>
      <c r="GT199" s="208"/>
      <c r="GU199" s="213">
        <v>194</v>
      </c>
    </row>
    <row r="200" spans="1:203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84.229670105221572</v>
      </c>
      <c r="AO200">
        <v>14.058015222282595</v>
      </c>
      <c r="AP200">
        <v>116.10621218346685</v>
      </c>
      <c r="AQ200">
        <v>113.75805869066056</v>
      </c>
      <c r="AR200">
        <v>13.088955037033799</v>
      </c>
      <c r="AS200">
        <v>164.11133452082962</v>
      </c>
      <c r="AT200" t="e">
        <v>#DIV/0!</v>
      </c>
      <c r="AU200" t="e">
        <v>#DIV/0!</v>
      </c>
      <c r="AV200"/>
      <c r="AW200"/>
      <c r="AX200" s="146"/>
      <c r="AY200" s="76" t="str">
        <f t="shared" ca="1" si="171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6"/>
        <v/>
      </c>
      <c r="CL200" s="179" t="str">
        <f t="shared" si="207"/>
        <v/>
      </c>
      <c r="CM200" s="180" t="str">
        <f t="shared" si="208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9"/>
        <v/>
      </c>
      <c r="DB200" s="146"/>
      <c r="DC200" s="76" t="str">
        <f t="shared" ca="1" si="172"/>
        <v/>
      </c>
      <c r="DD200" t="str">
        <f t="shared" si="210"/>
        <v/>
      </c>
      <c r="DE200" s="129" t="str">
        <f t="shared" si="335"/>
        <v/>
      </c>
      <c r="DF200" s="161" t="str">
        <f t="shared" si="282"/>
        <v/>
      </c>
      <c r="DG200" s="161" t="str">
        <f t="shared" si="283"/>
        <v/>
      </c>
      <c r="DH200" s="161" t="str">
        <f t="shared" si="284"/>
        <v/>
      </c>
      <c r="DI200" s="161" t="str">
        <f t="shared" si="285"/>
        <v/>
      </c>
      <c r="DJ200" s="161" t="str">
        <f t="shared" si="286"/>
        <v/>
      </c>
      <c r="DK200" s="161" t="str">
        <f t="shared" si="287"/>
        <v/>
      </c>
      <c r="DL200" s="161" t="str">
        <f t="shared" si="288"/>
        <v/>
      </c>
      <c r="DM200" s="161" t="str">
        <f t="shared" si="289"/>
        <v/>
      </c>
      <c r="DN200" s="161" t="str">
        <f t="shared" si="312"/>
        <v/>
      </c>
      <c r="DO200" s="161" t="str">
        <f t="shared" si="313"/>
        <v/>
      </c>
      <c r="DP200" s="161" t="str">
        <f t="shared" si="314"/>
        <v/>
      </c>
      <c r="DQ200" s="161" t="str">
        <f t="shared" si="315"/>
        <v/>
      </c>
      <c r="DR200" s="161" t="str">
        <f t="shared" si="316"/>
        <v/>
      </c>
      <c r="DS200" s="161" t="str">
        <f t="shared" si="317"/>
        <v/>
      </c>
      <c r="DT200" s="161" t="str">
        <f t="shared" si="318"/>
        <v/>
      </c>
      <c r="DU200" s="161" t="str">
        <f t="shared" si="319"/>
        <v/>
      </c>
      <c r="DV200" s="161" t="str">
        <f t="shared" si="320"/>
        <v/>
      </c>
      <c r="DW200" s="161" t="str">
        <f t="shared" si="321"/>
        <v/>
      </c>
      <c r="DX200" s="161" t="str">
        <f t="shared" si="322"/>
        <v/>
      </c>
      <c r="DY200" s="161" t="str">
        <f t="shared" si="323"/>
        <v/>
      </c>
      <c r="DZ200" s="161" t="str">
        <f t="shared" si="324"/>
        <v/>
      </c>
      <c r="EA200" s="161" t="str">
        <f t="shared" si="325"/>
        <v/>
      </c>
      <c r="EB200" s="161" t="str">
        <f t="shared" si="326"/>
        <v/>
      </c>
      <c r="EC200" s="161" t="str">
        <f t="shared" si="327"/>
        <v/>
      </c>
      <c r="ED200" s="161" t="str">
        <f t="shared" si="328"/>
        <v/>
      </c>
      <c r="EE200" s="161" t="str">
        <f t="shared" si="329"/>
        <v/>
      </c>
      <c r="EF200" s="161" t="str">
        <f t="shared" si="330"/>
        <v/>
      </c>
      <c r="EG200" s="161" t="str">
        <f t="shared" si="331"/>
        <v/>
      </c>
      <c r="EH200" s="161" t="str">
        <f t="shared" si="332"/>
        <v/>
      </c>
      <c r="EI200" s="161" t="str">
        <f t="shared" si="333"/>
        <v/>
      </c>
      <c r="EJ200" s="161" t="str">
        <f t="shared" si="334"/>
        <v/>
      </c>
      <c r="EK200" s="147" t="str">
        <f t="shared" si="248"/>
        <v/>
      </c>
      <c r="EL200" s="149"/>
      <c r="EN200" s="146"/>
      <c r="EO200" s="146"/>
      <c r="EP200" s="139" t="str">
        <f t="shared" si="249"/>
        <v/>
      </c>
      <c r="EQ200" s="139" t="str">
        <f t="shared" si="250"/>
        <v/>
      </c>
      <c r="ER200" s="139" t="str">
        <f t="shared" si="251"/>
        <v/>
      </c>
      <c r="ES200" s="139" t="str">
        <f t="shared" si="252"/>
        <v/>
      </c>
      <c r="ET200" s="139" t="str">
        <f t="shared" si="253"/>
        <v/>
      </c>
      <c r="EU200" s="139" t="str">
        <f t="shared" si="254"/>
        <v/>
      </c>
      <c r="EV200" s="139" t="str">
        <f t="shared" si="255"/>
        <v/>
      </c>
      <c r="EW200" s="139" t="str">
        <f t="shared" si="256"/>
        <v/>
      </c>
      <c r="EX200" s="139" t="str">
        <f t="shared" si="257"/>
        <v/>
      </c>
      <c r="EY200" s="139" t="str">
        <f t="shared" si="258"/>
        <v/>
      </c>
      <c r="EZ200" s="139" t="str">
        <f t="shared" si="259"/>
        <v/>
      </c>
      <c r="FA200" s="139" t="str">
        <f t="shared" si="260"/>
        <v/>
      </c>
      <c r="FB200" s="139" t="str">
        <f t="shared" si="261"/>
        <v/>
      </c>
      <c r="FC200" s="139" t="str">
        <f t="shared" si="262"/>
        <v/>
      </c>
      <c r="FD200" s="139" t="str">
        <f t="shared" si="263"/>
        <v/>
      </c>
      <c r="FE200" s="139" t="str">
        <f t="shared" si="264"/>
        <v/>
      </c>
      <c r="FF200" s="139" t="str">
        <f t="shared" si="265"/>
        <v/>
      </c>
      <c r="FG200" s="139" t="str">
        <f t="shared" si="266"/>
        <v/>
      </c>
      <c r="FH200" s="139" t="str">
        <f t="shared" si="267"/>
        <v/>
      </c>
      <c r="FI200" s="139" t="str">
        <f t="shared" si="268"/>
        <v/>
      </c>
      <c r="FJ200" s="139" t="str">
        <f t="shared" si="269"/>
        <v/>
      </c>
      <c r="FK200" s="139" t="str">
        <f t="shared" si="270"/>
        <v/>
      </c>
      <c r="FL200" s="139" t="str">
        <f t="shared" si="271"/>
        <v/>
      </c>
      <c r="FM200" s="139" t="str">
        <f t="shared" si="272"/>
        <v/>
      </c>
      <c r="FN200" s="139" t="str">
        <f t="shared" si="273"/>
        <v/>
      </c>
      <c r="FO200" s="139" t="str">
        <f t="shared" si="274"/>
        <v/>
      </c>
      <c r="FP200" s="139" t="str">
        <f t="shared" si="275"/>
        <v/>
      </c>
      <c r="FQ200" s="139" t="str">
        <f t="shared" si="276"/>
        <v/>
      </c>
      <c r="FR200" s="139" t="str">
        <f t="shared" si="277"/>
        <v/>
      </c>
      <c r="FS200" s="139" t="str">
        <f t="shared" si="278"/>
        <v/>
      </c>
      <c r="FT200" s="139" t="str">
        <f t="shared" si="279"/>
        <v/>
      </c>
      <c r="FU200" s="148" t="str">
        <f t="shared" si="280"/>
        <v/>
      </c>
      <c r="FV200" s="149"/>
      <c r="FY200" s="213">
        <v>195</v>
      </c>
      <c r="FZ200">
        <v>12.424930742380097</v>
      </c>
      <c r="GA200">
        <v>13.465707728365754</v>
      </c>
      <c r="GB200">
        <v>9.587240765540237</v>
      </c>
      <c r="GC200">
        <v>6.9299941016872708</v>
      </c>
      <c r="GD200">
        <v>2.2841004179010533</v>
      </c>
      <c r="GE200">
        <v>2.202620189004012</v>
      </c>
      <c r="GF200">
        <v>4.162755664893603</v>
      </c>
      <c r="GG200">
        <v>4.497449094057786</v>
      </c>
      <c r="GH200">
        <v>2.1611736260621592</v>
      </c>
      <c r="GI200">
        <v>6.6903239256763554</v>
      </c>
      <c r="GJ200"/>
      <c r="GK200"/>
      <c r="GL200"/>
      <c r="GM200"/>
      <c r="GN200" s="208"/>
      <c r="GO200" s="208"/>
      <c r="GP200" s="208"/>
      <c r="GQ200" s="208"/>
      <c r="GR200" s="208"/>
      <c r="GS200" s="208"/>
      <c r="GT200" s="208"/>
      <c r="GU200" s="213">
        <v>195</v>
      </c>
    </row>
    <row r="201" spans="1:203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70.343134561516905</v>
      </c>
      <c r="AO201">
        <v>12.807572739044295</v>
      </c>
      <c r="AP201">
        <v>87.294605326796272</v>
      </c>
      <c r="AQ201">
        <v>109.10033444302368</v>
      </c>
      <c r="AR201">
        <v>11.704926747410894</v>
      </c>
      <c r="AS201">
        <v>141.6799388105558</v>
      </c>
      <c r="AT201" t="e">
        <v>#DIV/0!</v>
      </c>
      <c r="AU201" t="e">
        <v>#DIV/0!</v>
      </c>
      <c r="AV201"/>
      <c r="AW201"/>
      <c r="AX201" s="146"/>
      <c r="AY201" s="76" t="str">
        <f t="shared" ca="1" si="171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6"/>
        <v/>
      </c>
      <c r="CL201" s="179" t="str">
        <f t="shared" si="207"/>
        <v/>
      </c>
      <c r="CM201" s="180" t="str">
        <f t="shared" si="208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9"/>
        <v/>
      </c>
      <c r="DB201" s="146"/>
      <c r="DC201" s="76" t="str">
        <f t="shared" ca="1" si="172"/>
        <v/>
      </c>
      <c r="DD201" t="str">
        <f t="shared" si="210"/>
        <v/>
      </c>
      <c r="DE201" s="129" t="str">
        <f t="shared" si="335"/>
        <v/>
      </c>
      <c r="DF201" s="161" t="str">
        <f t="shared" si="282"/>
        <v/>
      </c>
      <c r="DG201" s="161" t="str">
        <f t="shared" si="283"/>
        <v/>
      </c>
      <c r="DH201" s="161" t="str">
        <f t="shared" si="284"/>
        <v/>
      </c>
      <c r="DI201" s="161" t="str">
        <f t="shared" si="285"/>
        <v/>
      </c>
      <c r="DJ201" s="161" t="str">
        <f t="shared" si="286"/>
        <v/>
      </c>
      <c r="DK201" s="161" t="str">
        <f t="shared" si="287"/>
        <v/>
      </c>
      <c r="DL201" s="161" t="str">
        <f t="shared" si="288"/>
        <v/>
      </c>
      <c r="DM201" s="161" t="str">
        <f t="shared" si="289"/>
        <v/>
      </c>
      <c r="DN201" s="161" t="str">
        <f t="shared" si="312"/>
        <v/>
      </c>
      <c r="DO201" s="161" t="str">
        <f t="shared" si="313"/>
        <v/>
      </c>
      <c r="DP201" s="161" t="str">
        <f t="shared" si="314"/>
        <v/>
      </c>
      <c r="DQ201" s="161" t="str">
        <f t="shared" si="315"/>
        <v/>
      </c>
      <c r="DR201" s="161" t="str">
        <f t="shared" si="316"/>
        <v/>
      </c>
      <c r="DS201" s="161" t="str">
        <f t="shared" si="317"/>
        <v/>
      </c>
      <c r="DT201" s="161" t="str">
        <f t="shared" si="318"/>
        <v/>
      </c>
      <c r="DU201" s="161" t="str">
        <f t="shared" si="319"/>
        <v/>
      </c>
      <c r="DV201" s="161" t="str">
        <f t="shared" si="320"/>
        <v/>
      </c>
      <c r="DW201" s="161" t="str">
        <f t="shared" si="321"/>
        <v/>
      </c>
      <c r="DX201" s="161" t="str">
        <f t="shared" si="322"/>
        <v/>
      </c>
      <c r="DY201" s="161" t="str">
        <f t="shared" si="323"/>
        <v/>
      </c>
      <c r="DZ201" s="161" t="str">
        <f t="shared" si="324"/>
        <v/>
      </c>
      <c r="EA201" s="161" t="str">
        <f t="shared" si="325"/>
        <v/>
      </c>
      <c r="EB201" s="161" t="str">
        <f t="shared" si="326"/>
        <v/>
      </c>
      <c r="EC201" s="161" t="str">
        <f t="shared" si="327"/>
        <v/>
      </c>
      <c r="ED201" s="161" t="str">
        <f t="shared" si="328"/>
        <v/>
      </c>
      <c r="EE201" s="161" t="str">
        <f t="shared" si="329"/>
        <v/>
      </c>
      <c r="EF201" s="161" t="str">
        <f t="shared" si="330"/>
        <v/>
      </c>
      <c r="EG201" s="161" t="str">
        <f t="shared" si="331"/>
        <v/>
      </c>
      <c r="EH201" s="161" t="str">
        <f t="shared" si="332"/>
        <v/>
      </c>
      <c r="EI201" s="161" t="str">
        <f t="shared" si="333"/>
        <v/>
      </c>
      <c r="EJ201" s="161" t="str">
        <f t="shared" si="334"/>
        <v/>
      </c>
      <c r="EK201" s="147" t="str">
        <f t="shared" si="248"/>
        <v/>
      </c>
      <c r="EL201" s="149"/>
      <c r="EN201" s="146"/>
      <c r="EO201" s="146"/>
      <c r="EP201" s="139" t="str">
        <f t="shared" si="249"/>
        <v/>
      </c>
      <c r="EQ201" s="139" t="str">
        <f t="shared" si="250"/>
        <v/>
      </c>
      <c r="ER201" s="139" t="str">
        <f t="shared" si="251"/>
        <v/>
      </c>
      <c r="ES201" s="139" t="str">
        <f t="shared" si="252"/>
        <v/>
      </c>
      <c r="ET201" s="139" t="str">
        <f t="shared" si="253"/>
        <v/>
      </c>
      <c r="EU201" s="139" t="str">
        <f t="shared" si="254"/>
        <v/>
      </c>
      <c r="EV201" s="139" t="str">
        <f t="shared" si="255"/>
        <v/>
      </c>
      <c r="EW201" s="139" t="str">
        <f t="shared" si="256"/>
        <v/>
      </c>
      <c r="EX201" s="139" t="str">
        <f t="shared" si="257"/>
        <v/>
      </c>
      <c r="EY201" s="139" t="str">
        <f t="shared" si="258"/>
        <v/>
      </c>
      <c r="EZ201" s="139" t="str">
        <f t="shared" si="259"/>
        <v/>
      </c>
      <c r="FA201" s="139" t="str">
        <f t="shared" si="260"/>
        <v/>
      </c>
      <c r="FB201" s="139" t="str">
        <f t="shared" si="261"/>
        <v/>
      </c>
      <c r="FC201" s="139" t="str">
        <f t="shared" si="262"/>
        <v/>
      </c>
      <c r="FD201" s="139" t="str">
        <f t="shared" si="263"/>
        <v/>
      </c>
      <c r="FE201" s="139" t="str">
        <f t="shared" si="264"/>
        <v/>
      </c>
      <c r="FF201" s="139" t="str">
        <f t="shared" si="265"/>
        <v/>
      </c>
      <c r="FG201" s="139" t="str">
        <f t="shared" si="266"/>
        <v/>
      </c>
      <c r="FH201" s="139" t="str">
        <f t="shared" si="267"/>
        <v/>
      </c>
      <c r="FI201" s="139" t="str">
        <f t="shared" si="268"/>
        <v/>
      </c>
      <c r="FJ201" s="139" t="str">
        <f t="shared" si="269"/>
        <v/>
      </c>
      <c r="FK201" s="139" t="str">
        <f t="shared" si="270"/>
        <v/>
      </c>
      <c r="FL201" s="139" t="str">
        <f t="shared" si="271"/>
        <v/>
      </c>
      <c r="FM201" s="139" t="str">
        <f t="shared" si="272"/>
        <v/>
      </c>
      <c r="FN201" s="139" t="str">
        <f t="shared" si="273"/>
        <v/>
      </c>
      <c r="FO201" s="139" t="str">
        <f t="shared" si="274"/>
        <v/>
      </c>
      <c r="FP201" s="139" t="str">
        <f t="shared" si="275"/>
        <v/>
      </c>
      <c r="FQ201" s="139" t="str">
        <f t="shared" si="276"/>
        <v/>
      </c>
      <c r="FR201" s="139" t="str">
        <f t="shared" si="277"/>
        <v/>
      </c>
      <c r="FS201" s="139" t="str">
        <f t="shared" si="278"/>
        <v/>
      </c>
      <c r="FT201" s="139" t="str">
        <f t="shared" si="279"/>
        <v/>
      </c>
      <c r="FU201" s="148" t="str">
        <f t="shared" si="280"/>
        <v/>
      </c>
      <c r="FV201" s="149"/>
      <c r="FY201" s="213">
        <v>196</v>
      </c>
      <c r="FZ201">
        <v>18.971707455127667</v>
      </c>
      <c r="GA201">
        <v>22.911311005632008</v>
      </c>
      <c r="GB201">
        <v>6.1008299673284272</v>
      </c>
      <c r="GC201">
        <v>4.4361267789845007</v>
      </c>
      <c r="GD201">
        <v>3.0556820902875024</v>
      </c>
      <c r="GE201">
        <v>3.0393854267550799</v>
      </c>
      <c r="GF201">
        <v>4.3692451184004417</v>
      </c>
      <c r="GG201">
        <v>4.7155225742235611</v>
      </c>
      <c r="GH201">
        <v>2.1611736260621592</v>
      </c>
      <c r="GI201">
        <v>7.2418395216006815</v>
      </c>
      <c r="GJ201"/>
      <c r="GK201"/>
      <c r="GL201"/>
      <c r="GM201"/>
      <c r="GN201" s="208"/>
      <c r="GO201" s="208"/>
      <c r="GP201" s="208"/>
      <c r="GQ201" s="208"/>
      <c r="GR201" s="208"/>
      <c r="GS201" s="208"/>
      <c r="GT201" s="208"/>
      <c r="GU201" s="213">
        <v>196</v>
      </c>
    </row>
    <row r="202" spans="1:203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62.831571498331144</v>
      </c>
      <c r="AO202">
        <v>13.154391300989991</v>
      </c>
      <c r="AP202">
        <v>207.10481900013141</v>
      </c>
      <c r="AQ202">
        <v>103.9073160534566</v>
      </c>
      <c r="AR202">
        <v>12.201828185666329</v>
      </c>
      <c r="AS202">
        <v>133.42815012506375</v>
      </c>
      <c r="AT202" t="e">
        <v>#DIV/0!</v>
      </c>
      <c r="AU202" t="e">
        <v>#DIV/0!</v>
      </c>
      <c r="AV202"/>
      <c r="AW202"/>
      <c r="AX202" s="146"/>
      <c r="AY202" s="76" t="str">
        <f t="shared" ca="1" si="171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6"/>
        <v/>
      </c>
      <c r="CL202" s="179" t="str">
        <f t="shared" si="207"/>
        <v/>
      </c>
      <c r="CM202" s="180" t="str">
        <f t="shared" si="208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9"/>
        <v/>
      </c>
      <c r="DB202" s="146"/>
      <c r="DC202" s="76" t="str">
        <f t="shared" ca="1" si="172"/>
        <v/>
      </c>
      <c r="DD202" t="str">
        <f t="shared" si="210"/>
        <v/>
      </c>
      <c r="DE202" s="129" t="str">
        <f t="shared" si="335"/>
        <v/>
      </c>
      <c r="DF202" s="161" t="str">
        <f t="shared" si="282"/>
        <v/>
      </c>
      <c r="DG202" s="161" t="str">
        <f t="shared" si="283"/>
        <v/>
      </c>
      <c r="DH202" s="161" t="str">
        <f t="shared" si="284"/>
        <v/>
      </c>
      <c r="DI202" s="161" t="str">
        <f t="shared" si="285"/>
        <v/>
      </c>
      <c r="DJ202" s="161" t="str">
        <f t="shared" si="286"/>
        <v/>
      </c>
      <c r="DK202" s="161" t="str">
        <f t="shared" si="287"/>
        <v/>
      </c>
      <c r="DL202" s="161" t="str">
        <f t="shared" si="288"/>
        <v/>
      </c>
      <c r="DM202" s="161" t="str">
        <f t="shared" si="289"/>
        <v/>
      </c>
      <c r="DN202" s="161" t="str">
        <f t="shared" si="312"/>
        <v/>
      </c>
      <c r="DO202" s="161" t="str">
        <f t="shared" si="313"/>
        <v/>
      </c>
      <c r="DP202" s="161" t="str">
        <f t="shared" si="314"/>
        <v/>
      </c>
      <c r="DQ202" s="161" t="str">
        <f t="shared" si="315"/>
        <v/>
      </c>
      <c r="DR202" s="161" t="str">
        <f t="shared" si="316"/>
        <v/>
      </c>
      <c r="DS202" s="161" t="str">
        <f t="shared" si="317"/>
        <v/>
      </c>
      <c r="DT202" s="161" t="str">
        <f t="shared" si="318"/>
        <v/>
      </c>
      <c r="DU202" s="161" t="str">
        <f t="shared" si="319"/>
        <v/>
      </c>
      <c r="DV202" s="161" t="str">
        <f t="shared" si="320"/>
        <v/>
      </c>
      <c r="DW202" s="161" t="str">
        <f t="shared" si="321"/>
        <v/>
      </c>
      <c r="DX202" s="161" t="str">
        <f t="shared" si="322"/>
        <v/>
      </c>
      <c r="DY202" s="161" t="str">
        <f t="shared" si="323"/>
        <v/>
      </c>
      <c r="DZ202" s="161" t="str">
        <f t="shared" si="324"/>
        <v/>
      </c>
      <c r="EA202" s="161" t="str">
        <f t="shared" si="325"/>
        <v/>
      </c>
      <c r="EB202" s="161" t="str">
        <f t="shared" si="326"/>
        <v/>
      </c>
      <c r="EC202" s="161" t="str">
        <f t="shared" si="327"/>
        <v/>
      </c>
      <c r="ED202" s="161" t="str">
        <f t="shared" si="328"/>
        <v/>
      </c>
      <c r="EE202" s="161" t="str">
        <f t="shared" si="329"/>
        <v/>
      </c>
      <c r="EF202" s="161" t="str">
        <f t="shared" si="330"/>
        <v/>
      </c>
      <c r="EG202" s="161" t="str">
        <f t="shared" si="331"/>
        <v/>
      </c>
      <c r="EH202" s="161" t="str">
        <f t="shared" si="332"/>
        <v/>
      </c>
      <c r="EI202" s="161" t="str">
        <f t="shared" si="333"/>
        <v/>
      </c>
      <c r="EJ202" s="161" t="str">
        <f t="shared" si="334"/>
        <v/>
      </c>
      <c r="EK202" s="147" t="str">
        <f t="shared" si="248"/>
        <v/>
      </c>
      <c r="EL202" s="149"/>
      <c r="EN202" s="146"/>
      <c r="EO202" s="146"/>
      <c r="EP202" s="139" t="str">
        <f t="shared" si="249"/>
        <v/>
      </c>
      <c r="EQ202" s="139" t="str">
        <f t="shared" si="250"/>
        <v/>
      </c>
      <c r="ER202" s="139" t="str">
        <f t="shared" si="251"/>
        <v/>
      </c>
      <c r="ES202" s="139" t="str">
        <f t="shared" si="252"/>
        <v/>
      </c>
      <c r="ET202" s="139" t="str">
        <f t="shared" si="253"/>
        <v/>
      </c>
      <c r="EU202" s="139" t="str">
        <f t="shared" si="254"/>
        <v/>
      </c>
      <c r="EV202" s="139" t="str">
        <f t="shared" si="255"/>
        <v/>
      </c>
      <c r="EW202" s="139" t="str">
        <f t="shared" si="256"/>
        <v/>
      </c>
      <c r="EX202" s="139" t="str">
        <f t="shared" si="257"/>
        <v/>
      </c>
      <c r="EY202" s="139" t="str">
        <f t="shared" si="258"/>
        <v/>
      </c>
      <c r="EZ202" s="139" t="str">
        <f t="shared" si="259"/>
        <v/>
      </c>
      <c r="FA202" s="139" t="str">
        <f t="shared" si="260"/>
        <v/>
      </c>
      <c r="FB202" s="139" t="str">
        <f t="shared" si="261"/>
        <v/>
      </c>
      <c r="FC202" s="139" t="str">
        <f t="shared" si="262"/>
        <v/>
      </c>
      <c r="FD202" s="139" t="str">
        <f t="shared" si="263"/>
        <v/>
      </c>
      <c r="FE202" s="139" t="str">
        <f t="shared" si="264"/>
        <v/>
      </c>
      <c r="FF202" s="139" t="str">
        <f t="shared" si="265"/>
        <v/>
      </c>
      <c r="FG202" s="139" t="str">
        <f t="shared" si="266"/>
        <v/>
      </c>
      <c r="FH202" s="139" t="str">
        <f t="shared" si="267"/>
        <v/>
      </c>
      <c r="FI202" s="139" t="str">
        <f t="shared" si="268"/>
        <v/>
      </c>
      <c r="FJ202" s="139" t="str">
        <f t="shared" si="269"/>
        <v/>
      </c>
      <c r="FK202" s="139" t="str">
        <f t="shared" si="270"/>
        <v/>
      </c>
      <c r="FL202" s="139" t="str">
        <f t="shared" si="271"/>
        <v/>
      </c>
      <c r="FM202" s="139" t="str">
        <f t="shared" si="272"/>
        <v/>
      </c>
      <c r="FN202" s="139" t="str">
        <f t="shared" si="273"/>
        <v/>
      </c>
      <c r="FO202" s="139" t="str">
        <f t="shared" si="274"/>
        <v/>
      </c>
      <c r="FP202" s="139" t="str">
        <f t="shared" si="275"/>
        <v/>
      </c>
      <c r="FQ202" s="139" t="str">
        <f t="shared" si="276"/>
        <v/>
      </c>
      <c r="FR202" s="139" t="str">
        <f t="shared" si="277"/>
        <v/>
      </c>
      <c r="FS202" s="139" t="str">
        <f t="shared" si="278"/>
        <v/>
      </c>
      <c r="FT202" s="139" t="str">
        <f t="shared" si="279"/>
        <v/>
      </c>
      <c r="FU202" s="148" t="str">
        <f t="shared" si="280"/>
        <v/>
      </c>
      <c r="FV202" s="149"/>
      <c r="FY202" s="213">
        <v>197</v>
      </c>
      <c r="FZ202">
        <v>27.200062974089818</v>
      </c>
      <c r="GA202">
        <v>33.536054885681722</v>
      </c>
      <c r="GB202">
        <v>7.4200666573514313</v>
      </c>
      <c r="GC202">
        <v>4.8523260661384224</v>
      </c>
      <c r="GD202">
        <v>2.125446142269336</v>
      </c>
      <c r="GE202">
        <v>2.1934526422200924</v>
      </c>
      <c r="GF202">
        <v>5.961807255495426</v>
      </c>
      <c r="GG202">
        <v>7.1367831909949313</v>
      </c>
      <c r="GH202">
        <v>3.7215429376725151</v>
      </c>
      <c r="GI202">
        <v>8.793678258571596</v>
      </c>
      <c r="GJ202"/>
      <c r="GK202"/>
      <c r="GL202"/>
      <c r="GM202"/>
      <c r="GN202" s="208"/>
      <c r="GO202" s="208"/>
      <c r="GP202" s="208"/>
      <c r="GQ202" s="208"/>
      <c r="GR202" s="208"/>
      <c r="GS202" s="208"/>
      <c r="GT202" s="208"/>
      <c r="GU202" s="213">
        <v>197</v>
      </c>
    </row>
    <row r="203" spans="1:203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85.61812866393241</v>
      </c>
      <c r="AO203">
        <v>9.4520759705682078</v>
      </c>
      <c r="AP203">
        <v>50.620434118359654</v>
      </c>
      <c r="AQ203">
        <v>71.969939357317003</v>
      </c>
      <c r="AR203">
        <v>8.7228827798541282</v>
      </c>
      <c r="AS203">
        <v>131.07079855410865</v>
      </c>
      <c r="AT203" t="e">
        <v>#DIV/0!</v>
      </c>
      <c r="AU203" t="e">
        <v>#DIV/0!</v>
      </c>
      <c r="AV203"/>
      <c r="AW203"/>
      <c r="AX203" s="146"/>
      <c r="AY203" s="76" t="str">
        <f t="shared" ca="1" si="171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6"/>
        <v/>
      </c>
      <c r="CL203" s="179" t="str">
        <f t="shared" si="207"/>
        <v/>
      </c>
      <c r="CM203" s="180" t="str">
        <f t="shared" si="208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9"/>
        <v/>
      </c>
      <c r="DB203" s="146"/>
      <c r="DC203" s="76" t="str">
        <f t="shared" ca="1" si="172"/>
        <v/>
      </c>
      <c r="DD203" t="str">
        <f t="shared" si="210"/>
        <v/>
      </c>
      <c r="DE203" s="129" t="str">
        <f t="shared" si="335"/>
        <v/>
      </c>
      <c r="DF203" s="161" t="str">
        <f t="shared" si="282"/>
        <v/>
      </c>
      <c r="DG203" s="161" t="str">
        <f t="shared" si="283"/>
        <v/>
      </c>
      <c r="DH203" s="161" t="str">
        <f t="shared" si="284"/>
        <v/>
      </c>
      <c r="DI203" s="161" t="str">
        <f t="shared" si="285"/>
        <v/>
      </c>
      <c r="DJ203" s="161" t="str">
        <f t="shared" si="286"/>
        <v/>
      </c>
      <c r="DK203" s="161" t="str">
        <f t="shared" si="287"/>
        <v/>
      </c>
      <c r="DL203" s="161" t="str">
        <f t="shared" si="288"/>
        <v/>
      </c>
      <c r="DM203" s="161" t="str">
        <f t="shared" si="289"/>
        <v/>
      </c>
      <c r="DN203" s="161" t="str">
        <f t="shared" si="312"/>
        <v/>
      </c>
      <c r="DO203" s="161" t="str">
        <f t="shared" si="313"/>
        <v/>
      </c>
      <c r="DP203" s="161" t="str">
        <f t="shared" si="314"/>
        <v/>
      </c>
      <c r="DQ203" s="161" t="str">
        <f t="shared" si="315"/>
        <v/>
      </c>
      <c r="DR203" s="161" t="str">
        <f t="shared" si="316"/>
        <v/>
      </c>
      <c r="DS203" s="161" t="str">
        <f t="shared" si="317"/>
        <v/>
      </c>
      <c r="DT203" s="161" t="str">
        <f t="shared" si="318"/>
        <v/>
      </c>
      <c r="DU203" s="161" t="str">
        <f t="shared" si="319"/>
        <v/>
      </c>
      <c r="DV203" s="161" t="str">
        <f t="shared" si="320"/>
        <v/>
      </c>
      <c r="DW203" s="161" t="str">
        <f t="shared" si="321"/>
        <v/>
      </c>
      <c r="DX203" s="161" t="str">
        <f t="shared" si="322"/>
        <v/>
      </c>
      <c r="DY203" s="161" t="str">
        <f t="shared" si="323"/>
        <v/>
      </c>
      <c r="DZ203" s="161" t="str">
        <f t="shared" si="324"/>
        <v/>
      </c>
      <c r="EA203" s="161" t="str">
        <f t="shared" si="325"/>
        <v/>
      </c>
      <c r="EB203" s="161" t="str">
        <f t="shared" si="326"/>
        <v/>
      </c>
      <c r="EC203" s="161" t="str">
        <f t="shared" si="327"/>
        <v/>
      </c>
      <c r="ED203" s="161" t="str">
        <f t="shared" si="328"/>
        <v/>
      </c>
      <c r="EE203" s="161" t="str">
        <f t="shared" si="329"/>
        <v/>
      </c>
      <c r="EF203" s="161" t="str">
        <f t="shared" si="330"/>
        <v/>
      </c>
      <c r="EG203" s="161" t="str">
        <f t="shared" si="331"/>
        <v/>
      </c>
      <c r="EH203" s="161" t="str">
        <f t="shared" si="332"/>
        <v/>
      </c>
      <c r="EI203" s="161" t="str">
        <f t="shared" si="333"/>
        <v/>
      </c>
      <c r="EJ203" s="161" t="str">
        <f t="shared" si="334"/>
        <v/>
      </c>
      <c r="EK203" s="147" t="str">
        <f t="shared" si="248"/>
        <v/>
      </c>
      <c r="EL203" s="149"/>
      <c r="EN203" s="146"/>
      <c r="EO203" s="146"/>
      <c r="EP203" s="139" t="str">
        <f t="shared" si="249"/>
        <v/>
      </c>
      <c r="EQ203" s="139" t="str">
        <f t="shared" si="250"/>
        <v/>
      </c>
      <c r="ER203" s="139" t="str">
        <f t="shared" si="251"/>
        <v/>
      </c>
      <c r="ES203" s="139" t="str">
        <f t="shared" si="252"/>
        <v/>
      </c>
      <c r="ET203" s="139" t="str">
        <f t="shared" si="253"/>
        <v/>
      </c>
      <c r="EU203" s="139" t="str">
        <f t="shared" si="254"/>
        <v/>
      </c>
      <c r="EV203" s="139" t="str">
        <f t="shared" si="255"/>
        <v/>
      </c>
      <c r="EW203" s="139" t="str">
        <f t="shared" si="256"/>
        <v/>
      </c>
      <c r="EX203" s="139" t="str">
        <f t="shared" si="257"/>
        <v/>
      </c>
      <c r="EY203" s="139" t="str">
        <f t="shared" si="258"/>
        <v/>
      </c>
      <c r="EZ203" s="139" t="str">
        <f t="shared" si="259"/>
        <v/>
      </c>
      <c r="FA203" s="139" t="str">
        <f t="shared" si="260"/>
        <v/>
      </c>
      <c r="FB203" s="139" t="str">
        <f t="shared" si="261"/>
        <v/>
      </c>
      <c r="FC203" s="139" t="str">
        <f t="shared" si="262"/>
        <v/>
      </c>
      <c r="FD203" s="139" t="str">
        <f t="shared" si="263"/>
        <v/>
      </c>
      <c r="FE203" s="139" t="str">
        <f t="shared" si="264"/>
        <v/>
      </c>
      <c r="FF203" s="139" t="str">
        <f t="shared" si="265"/>
        <v/>
      </c>
      <c r="FG203" s="139" t="str">
        <f t="shared" si="266"/>
        <v/>
      </c>
      <c r="FH203" s="139" t="str">
        <f t="shared" si="267"/>
        <v/>
      </c>
      <c r="FI203" s="139" t="str">
        <f t="shared" si="268"/>
        <v/>
      </c>
      <c r="FJ203" s="139" t="str">
        <f t="shared" si="269"/>
        <v/>
      </c>
      <c r="FK203" s="139" t="str">
        <f t="shared" si="270"/>
        <v/>
      </c>
      <c r="FL203" s="139" t="str">
        <f t="shared" si="271"/>
        <v/>
      </c>
      <c r="FM203" s="139" t="str">
        <f t="shared" si="272"/>
        <v/>
      </c>
      <c r="FN203" s="139" t="str">
        <f t="shared" si="273"/>
        <v/>
      </c>
      <c r="FO203" s="139" t="str">
        <f t="shared" si="274"/>
        <v/>
      </c>
      <c r="FP203" s="139" t="str">
        <f t="shared" si="275"/>
        <v/>
      </c>
      <c r="FQ203" s="139" t="str">
        <f t="shared" si="276"/>
        <v/>
      </c>
      <c r="FR203" s="139" t="str">
        <f t="shared" si="277"/>
        <v/>
      </c>
      <c r="FS203" s="139" t="str">
        <f t="shared" si="278"/>
        <v/>
      </c>
      <c r="FT203" s="139" t="str">
        <f t="shared" si="279"/>
        <v/>
      </c>
      <c r="FU203" s="148" t="str">
        <f t="shared" si="280"/>
        <v/>
      </c>
      <c r="FV203" s="149"/>
      <c r="FY203" s="213">
        <v>198</v>
      </c>
      <c r="FZ203">
        <v>37.780864388535775</v>
      </c>
      <c r="GA203">
        <v>46.178621733042633</v>
      </c>
      <c r="GB203">
        <v>6.5113215853463533</v>
      </c>
      <c r="GC203">
        <v>4.7478014788963305</v>
      </c>
      <c r="GD203">
        <v>2.4556203758221113</v>
      </c>
      <c r="GE203">
        <v>2.005907493317495</v>
      </c>
      <c r="GF203">
        <v>3.7389930259637447</v>
      </c>
      <c r="GG203">
        <v>4.1214286767559027</v>
      </c>
      <c r="GH203">
        <v>2.7619779405139626</v>
      </c>
      <c r="GI203">
        <v>9.7587042311657122</v>
      </c>
      <c r="GJ203"/>
      <c r="GK203"/>
      <c r="GL203"/>
      <c r="GM203"/>
      <c r="GN203" s="208"/>
      <c r="GO203" s="208"/>
      <c r="GP203" s="208"/>
      <c r="GQ203" s="208"/>
      <c r="GR203" s="208"/>
      <c r="GS203" s="208"/>
      <c r="GT203" s="208"/>
      <c r="GU203" s="213">
        <v>198</v>
      </c>
    </row>
    <row r="204" spans="1:203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81.718347127386181</v>
      </c>
      <c r="AO204">
        <v>10.842940729863724</v>
      </c>
      <c r="AP204">
        <v>63.10717576098375</v>
      </c>
      <c r="AQ204">
        <v>77.725566715127314</v>
      </c>
      <c r="AR204">
        <v>10.018592726051558</v>
      </c>
      <c r="AS204">
        <v>141.57446458973874</v>
      </c>
      <c r="AT204">
        <v>6.3141663991977994</v>
      </c>
      <c r="AU204">
        <v>-29.526144418236193</v>
      </c>
      <c r="AV204"/>
      <c r="AW204"/>
      <c r="AX204" s="146"/>
      <c r="AY204" s="76" t="str">
        <f t="shared" ca="1" si="171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6"/>
        <v/>
      </c>
      <c r="CL204" s="179" t="str">
        <f t="shared" si="207"/>
        <v/>
      </c>
      <c r="CM204" s="180" t="str">
        <f t="shared" si="208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9"/>
        <v/>
      </c>
      <c r="DB204" s="146"/>
      <c r="DC204" s="76" t="str">
        <f t="shared" ca="1" si="172"/>
        <v/>
      </c>
      <c r="DD204" t="str">
        <f t="shared" si="210"/>
        <v/>
      </c>
      <c r="DE204" s="129" t="str">
        <f t="shared" si="335"/>
        <v/>
      </c>
      <c r="DF204" s="161" t="str">
        <f t="shared" si="282"/>
        <v/>
      </c>
      <c r="DG204" s="161" t="str">
        <f t="shared" si="283"/>
        <v/>
      </c>
      <c r="DH204" s="161" t="str">
        <f t="shared" si="284"/>
        <v/>
      </c>
      <c r="DI204" s="161" t="str">
        <f t="shared" si="285"/>
        <v/>
      </c>
      <c r="DJ204" s="161" t="str">
        <f t="shared" si="286"/>
        <v/>
      </c>
      <c r="DK204" s="161" t="str">
        <f t="shared" si="287"/>
        <v/>
      </c>
      <c r="DL204" s="161" t="str">
        <f t="shared" si="288"/>
        <v/>
      </c>
      <c r="DM204" s="161" t="str">
        <f t="shared" si="289"/>
        <v/>
      </c>
      <c r="DN204" s="161" t="str">
        <f t="shared" si="312"/>
        <v/>
      </c>
      <c r="DO204" s="161" t="str">
        <f t="shared" si="313"/>
        <v/>
      </c>
      <c r="DP204" s="161" t="str">
        <f t="shared" si="314"/>
        <v/>
      </c>
      <c r="DQ204" s="161" t="str">
        <f t="shared" si="315"/>
        <v/>
      </c>
      <c r="DR204" s="161" t="str">
        <f t="shared" si="316"/>
        <v/>
      </c>
      <c r="DS204" s="161" t="str">
        <f t="shared" si="317"/>
        <v/>
      </c>
      <c r="DT204" s="161" t="str">
        <f t="shared" si="318"/>
        <v/>
      </c>
      <c r="DU204" s="161" t="str">
        <f t="shared" si="319"/>
        <v/>
      </c>
      <c r="DV204" s="161" t="str">
        <f t="shared" si="320"/>
        <v/>
      </c>
      <c r="DW204" s="161" t="str">
        <f t="shared" si="321"/>
        <v/>
      </c>
      <c r="DX204" s="161" t="str">
        <f t="shared" si="322"/>
        <v/>
      </c>
      <c r="DY204" s="161" t="str">
        <f t="shared" si="323"/>
        <v/>
      </c>
      <c r="DZ204" s="161" t="str">
        <f t="shared" si="324"/>
        <v/>
      </c>
      <c r="EA204" s="161" t="str">
        <f t="shared" si="325"/>
        <v/>
      </c>
      <c r="EB204" s="161" t="str">
        <f t="shared" si="326"/>
        <v/>
      </c>
      <c r="EC204" s="161" t="str">
        <f t="shared" si="327"/>
        <v/>
      </c>
      <c r="ED204" s="161" t="str">
        <f t="shared" si="328"/>
        <v/>
      </c>
      <c r="EE204" s="161" t="str">
        <f t="shared" si="329"/>
        <v/>
      </c>
      <c r="EF204" s="161" t="str">
        <f t="shared" si="330"/>
        <v/>
      </c>
      <c r="EG204" s="161" t="str">
        <f t="shared" si="331"/>
        <v/>
      </c>
      <c r="EH204" s="161" t="str">
        <f t="shared" si="332"/>
        <v/>
      </c>
      <c r="EI204" s="161" t="str">
        <f t="shared" si="333"/>
        <v/>
      </c>
      <c r="EJ204" s="161" t="str">
        <f t="shared" si="334"/>
        <v/>
      </c>
      <c r="EK204" s="147" t="str">
        <f t="shared" si="248"/>
        <v/>
      </c>
      <c r="EL204" s="149"/>
      <c r="EN204" s="146"/>
      <c r="EO204" s="146"/>
      <c r="EP204" s="139" t="str">
        <f t="shared" si="249"/>
        <v/>
      </c>
      <c r="EQ204" s="139" t="str">
        <f t="shared" si="250"/>
        <v/>
      </c>
      <c r="ER204" s="139" t="str">
        <f t="shared" si="251"/>
        <v/>
      </c>
      <c r="ES204" s="139" t="str">
        <f t="shared" si="252"/>
        <v/>
      </c>
      <c r="ET204" s="139" t="str">
        <f t="shared" si="253"/>
        <v/>
      </c>
      <c r="EU204" s="139" t="str">
        <f t="shared" si="254"/>
        <v/>
      </c>
      <c r="EV204" s="139" t="str">
        <f t="shared" si="255"/>
        <v/>
      </c>
      <c r="EW204" s="139" t="str">
        <f t="shared" si="256"/>
        <v/>
      </c>
      <c r="EX204" s="139" t="str">
        <f t="shared" si="257"/>
        <v/>
      </c>
      <c r="EY204" s="139" t="str">
        <f t="shared" si="258"/>
        <v/>
      </c>
      <c r="EZ204" s="139" t="str">
        <f t="shared" si="259"/>
        <v/>
      </c>
      <c r="FA204" s="139" t="str">
        <f t="shared" si="260"/>
        <v/>
      </c>
      <c r="FB204" s="139" t="str">
        <f t="shared" si="261"/>
        <v/>
      </c>
      <c r="FC204" s="139" t="str">
        <f t="shared" si="262"/>
        <v/>
      </c>
      <c r="FD204" s="139" t="str">
        <f t="shared" si="263"/>
        <v/>
      </c>
      <c r="FE204" s="139" t="str">
        <f t="shared" si="264"/>
        <v/>
      </c>
      <c r="FF204" s="139" t="str">
        <f t="shared" si="265"/>
        <v/>
      </c>
      <c r="FG204" s="139" t="str">
        <f t="shared" si="266"/>
        <v/>
      </c>
      <c r="FH204" s="139" t="str">
        <f t="shared" si="267"/>
        <v/>
      </c>
      <c r="FI204" s="139" t="str">
        <f t="shared" si="268"/>
        <v/>
      </c>
      <c r="FJ204" s="139" t="str">
        <f t="shared" si="269"/>
        <v/>
      </c>
      <c r="FK204" s="139" t="str">
        <f t="shared" si="270"/>
        <v/>
      </c>
      <c r="FL204" s="139" t="str">
        <f t="shared" si="271"/>
        <v/>
      </c>
      <c r="FM204" s="139" t="str">
        <f t="shared" si="272"/>
        <v/>
      </c>
      <c r="FN204" s="139" t="str">
        <f t="shared" si="273"/>
        <v/>
      </c>
      <c r="FO204" s="139" t="str">
        <f t="shared" si="274"/>
        <v/>
      </c>
      <c r="FP204" s="139" t="str">
        <f t="shared" si="275"/>
        <v/>
      </c>
      <c r="FQ204" s="139" t="str">
        <f t="shared" si="276"/>
        <v/>
      </c>
      <c r="FR204" s="139" t="str">
        <f t="shared" si="277"/>
        <v/>
      </c>
      <c r="FS204" s="139" t="str">
        <f t="shared" si="278"/>
        <v/>
      </c>
      <c r="FT204" s="139" t="str">
        <f t="shared" si="279"/>
        <v/>
      </c>
      <c r="FU204" s="148" t="str">
        <f t="shared" si="280"/>
        <v/>
      </c>
      <c r="FV204" s="149"/>
      <c r="FY204" s="213">
        <v>199</v>
      </c>
      <c r="FZ204">
        <v>28.43654977329458</v>
      </c>
      <c r="GA204">
        <v>34.914578969830806</v>
      </c>
      <c r="GB204">
        <v>7.4750348684286001</v>
      </c>
      <c r="GC204">
        <v>5.1889039980747231</v>
      </c>
      <c r="GD204">
        <v>2.2224046099590993</v>
      </c>
      <c r="GE204">
        <v>1.8673200595662545</v>
      </c>
      <c r="GF204">
        <v>1.9742320521441632</v>
      </c>
      <c r="GG204">
        <v>4.8866887909134729</v>
      </c>
      <c r="GH204">
        <v>4.6811079348310667</v>
      </c>
      <c r="GI204">
        <v>8.4792640913281794</v>
      </c>
      <c r="GJ204"/>
      <c r="GK204"/>
      <c r="GL204"/>
      <c r="GM204"/>
      <c r="GN204" s="208"/>
      <c r="GO204" s="208"/>
      <c r="GP204" s="208"/>
      <c r="GQ204" s="208"/>
      <c r="GR204" s="208"/>
      <c r="GS204" s="208"/>
      <c r="GT204" s="208"/>
      <c r="GU204" s="213">
        <v>199</v>
      </c>
    </row>
    <row r="205" spans="1:203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74.589019319413609</v>
      </c>
      <c r="AO205">
        <v>11.739357525435082</v>
      </c>
      <c r="AP205">
        <v>65.039374337894145</v>
      </c>
      <c r="AQ205">
        <v>92.017264259350739</v>
      </c>
      <c r="AR205">
        <v>10.78730755761044</v>
      </c>
      <c r="AS205">
        <v>122.68826243820931</v>
      </c>
      <c r="AT205">
        <v>7.0020574210418305</v>
      </c>
      <c r="AU205">
        <v>16.288685321690362</v>
      </c>
      <c r="AV205"/>
      <c r="AW205"/>
      <c r="AX205" s="146"/>
      <c r="AY205" s="76" t="str">
        <f t="shared" ca="1" si="171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6"/>
        <v/>
      </c>
      <c r="CL205" s="179" t="str">
        <f t="shared" si="207"/>
        <v/>
      </c>
      <c r="CM205" s="180" t="str">
        <f t="shared" si="208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9"/>
        <v/>
      </c>
      <c r="DB205" s="146"/>
      <c r="DC205" s="76" t="str">
        <f t="shared" ca="1" si="172"/>
        <v/>
      </c>
      <c r="DD205" t="str">
        <f t="shared" si="210"/>
        <v/>
      </c>
      <c r="DE205" s="129" t="str">
        <f t="shared" si="335"/>
        <v/>
      </c>
      <c r="DF205" s="161" t="str">
        <f t="shared" si="282"/>
        <v/>
      </c>
      <c r="DG205" s="161" t="str">
        <f t="shared" si="283"/>
        <v/>
      </c>
      <c r="DH205" s="161" t="str">
        <f t="shared" si="284"/>
        <v/>
      </c>
      <c r="DI205" s="161" t="str">
        <f t="shared" si="285"/>
        <v/>
      </c>
      <c r="DJ205" s="161" t="str">
        <f t="shared" si="286"/>
        <v/>
      </c>
      <c r="DK205" s="161" t="str">
        <f t="shared" si="287"/>
        <v/>
      </c>
      <c r="DL205" s="161" t="str">
        <f t="shared" si="288"/>
        <v/>
      </c>
      <c r="DM205" s="161" t="str">
        <f t="shared" si="289"/>
        <v/>
      </c>
      <c r="DN205" s="161" t="str">
        <f t="shared" si="312"/>
        <v/>
      </c>
      <c r="DO205" s="161" t="str">
        <f t="shared" si="313"/>
        <v/>
      </c>
      <c r="DP205" s="161" t="str">
        <f t="shared" si="314"/>
        <v/>
      </c>
      <c r="DQ205" s="161" t="str">
        <f t="shared" si="315"/>
        <v/>
      </c>
      <c r="DR205" s="161" t="str">
        <f t="shared" si="316"/>
        <v/>
      </c>
      <c r="DS205" s="161" t="str">
        <f t="shared" si="317"/>
        <v/>
      </c>
      <c r="DT205" s="161" t="str">
        <f t="shared" si="318"/>
        <v/>
      </c>
      <c r="DU205" s="161" t="str">
        <f t="shared" si="319"/>
        <v/>
      </c>
      <c r="DV205" s="161" t="str">
        <f t="shared" si="320"/>
        <v/>
      </c>
      <c r="DW205" s="161" t="str">
        <f t="shared" si="321"/>
        <v/>
      </c>
      <c r="DX205" s="161" t="str">
        <f t="shared" si="322"/>
        <v/>
      </c>
      <c r="DY205" s="161" t="str">
        <f t="shared" si="323"/>
        <v/>
      </c>
      <c r="DZ205" s="161" t="str">
        <f t="shared" si="324"/>
        <v/>
      </c>
      <c r="EA205" s="161" t="str">
        <f t="shared" si="325"/>
        <v/>
      </c>
      <c r="EB205" s="161" t="str">
        <f t="shared" si="326"/>
        <v/>
      </c>
      <c r="EC205" s="161" t="str">
        <f t="shared" si="327"/>
        <v/>
      </c>
      <c r="ED205" s="161" t="str">
        <f t="shared" si="328"/>
        <v/>
      </c>
      <c r="EE205" s="161" t="str">
        <f t="shared" si="329"/>
        <v/>
      </c>
      <c r="EF205" s="161" t="str">
        <f t="shared" si="330"/>
        <v/>
      </c>
      <c r="EG205" s="161" t="str">
        <f t="shared" si="331"/>
        <v/>
      </c>
      <c r="EH205" s="161" t="str">
        <f t="shared" si="332"/>
        <v/>
      </c>
      <c r="EI205" s="161" t="str">
        <f t="shared" si="333"/>
        <v/>
      </c>
      <c r="EJ205" s="161" t="str">
        <f t="shared" si="334"/>
        <v/>
      </c>
      <c r="EK205" s="147" t="str">
        <f t="shared" si="248"/>
        <v/>
      </c>
      <c r="EL205" s="149"/>
      <c r="EN205" s="146"/>
      <c r="EO205" s="146"/>
      <c r="EP205" s="139" t="str">
        <f t="shared" si="249"/>
        <v/>
      </c>
      <c r="EQ205" s="139" t="str">
        <f t="shared" si="250"/>
        <v/>
      </c>
      <c r="ER205" s="139" t="str">
        <f t="shared" si="251"/>
        <v/>
      </c>
      <c r="ES205" s="139" t="str">
        <f t="shared" si="252"/>
        <v/>
      </c>
      <c r="ET205" s="139" t="str">
        <f t="shared" si="253"/>
        <v/>
      </c>
      <c r="EU205" s="139" t="str">
        <f t="shared" si="254"/>
        <v/>
      </c>
      <c r="EV205" s="139" t="str">
        <f t="shared" si="255"/>
        <v/>
      </c>
      <c r="EW205" s="139" t="str">
        <f t="shared" si="256"/>
        <v/>
      </c>
      <c r="EX205" s="139" t="str">
        <f t="shared" si="257"/>
        <v/>
      </c>
      <c r="EY205" s="139" t="str">
        <f t="shared" si="258"/>
        <v/>
      </c>
      <c r="EZ205" s="139" t="str">
        <f t="shared" si="259"/>
        <v/>
      </c>
      <c r="FA205" s="139" t="str">
        <f t="shared" si="260"/>
        <v/>
      </c>
      <c r="FB205" s="139" t="str">
        <f t="shared" si="261"/>
        <v/>
      </c>
      <c r="FC205" s="139" t="str">
        <f t="shared" si="262"/>
        <v/>
      </c>
      <c r="FD205" s="139" t="str">
        <f t="shared" si="263"/>
        <v/>
      </c>
      <c r="FE205" s="139" t="str">
        <f t="shared" si="264"/>
        <v/>
      </c>
      <c r="FF205" s="139" t="str">
        <f t="shared" si="265"/>
        <v/>
      </c>
      <c r="FG205" s="139" t="str">
        <f t="shared" si="266"/>
        <v/>
      </c>
      <c r="FH205" s="139" t="str">
        <f t="shared" si="267"/>
        <v/>
      </c>
      <c r="FI205" s="139" t="str">
        <f t="shared" si="268"/>
        <v/>
      </c>
      <c r="FJ205" s="139" t="str">
        <f t="shared" si="269"/>
        <v/>
      </c>
      <c r="FK205" s="139" t="str">
        <f t="shared" si="270"/>
        <v/>
      </c>
      <c r="FL205" s="139" t="str">
        <f t="shared" si="271"/>
        <v/>
      </c>
      <c r="FM205" s="139" t="str">
        <f t="shared" si="272"/>
        <v/>
      </c>
      <c r="FN205" s="139" t="str">
        <f t="shared" si="273"/>
        <v/>
      </c>
      <c r="FO205" s="139" t="str">
        <f t="shared" si="274"/>
        <v/>
      </c>
      <c r="FP205" s="139" t="str">
        <f t="shared" si="275"/>
        <v/>
      </c>
      <c r="FQ205" s="139" t="str">
        <f t="shared" si="276"/>
        <v/>
      </c>
      <c r="FR205" s="139" t="str">
        <f t="shared" si="277"/>
        <v/>
      </c>
      <c r="FS205" s="139" t="str">
        <f t="shared" si="278"/>
        <v/>
      </c>
      <c r="FT205" s="139" t="str">
        <f t="shared" si="279"/>
        <v/>
      </c>
      <c r="FU205" s="148" t="str">
        <f t="shared" si="280"/>
        <v/>
      </c>
      <c r="FV205" s="149"/>
      <c r="FY205" s="213">
        <v>200</v>
      </c>
      <c r="FZ205">
        <v>17.251072921838212</v>
      </c>
      <c r="GA205">
        <v>21.364252555695067</v>
      </c>
      <c r="GB205">
        <v>10.041971019050168</v>
      </c>
      <c r="GC205">
        <v>5.9834650483003493</v>
      </c>
      <c r="GD205">
        <v>2.1472641817853821</v>
      </c>
      <c r="GE205">
        <v>2.6856464603989325</v>
      </c>
      <c r="GF205">
        <v>3.6050225585368492</v>
      </c>
      <c r="GG205">
        <v>2.523323028047002</v>
      </c>
      <c r="GH205">
        <v>0.60080431445180338</v>
      </c>
      <c r="GI205">
        <v>7.1586433111591861</v>
      </c>
      <c r="GJ205"/>
      <c r="GK205"/>
      <c r="GL205"/>
      <c r="GM205"/>
      <c r="GN205" s="208"/>
      <c r="GO205" s="208"/>
      <c r="GP205" s="208"/>
      <c r="GQ205" s="208"/>
      <c r="GR205" s="208"/>
      <c r="GS205" s="208"/>
      <c r="GT205" s="208"/>
      <c r="GU205" s="213">
        <v>200</v>
      </c>
    </row>
    <row r="206" spans="1:203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91.547185051444671</v>
      </c>
      <c r="AO206">
        <v>18.417421367162181</v>
      </c>
      <c r="AP206">
        <v>234.35363283765048</v>
      </c>
      <c r="AQ206">
        <v>160.01838498793822</v>
      </c>
      <c r="AR206">
        <v>16.917993332946818</v>
      </c>
      <c r="AS206">
        <v>185.73669459740356</v>
      </c>
      <c r="AT206" t="e">
        <v>#DIV/0!</v>
      </c>
      <c r="AU206" t="e">
        <v>#DIV/0!</v>
      </c>
      <c r="AV206"/>
      <c r="AW206"/>
      <c r="AX206" s="146"/>
      <c r="AY206" s="76" t="str">
        <f t="shared" ca="1" si="171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6"/>
        <v/>
      </c>
      <c r="CL206" s="179" t="str">
        <f t="shared" si="207"/>
        <v/>
      </c>
      <c r="CM206" s="180" t="str">
        <f t="shared" si="208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9"/>
        <v/>
      </c>
      <c r="DB206" s="146"/>
      <c r="DC206" s="76" t="str">
        <f t="shared" ca="1" si="172"/>
        <v/>
      </c>
      <c r="DD206" t="str">
        <f t="shared" si="210"/>
        <v/>
      </c>
      <c r="DE206" s="129" t="str">
        <f t="shared" si="335"/>
        <v/>
      </c>
      <c r="DF206" s="161" t="str">
        <f t="shared" si="282"/>
        <v/>
      </c>
      <c r="DG206" s="161" t="str">
        <f t="shared" si="283"/>
        <v/>
      </c>
      <c r="DH206" s="161" t="str">
        <f t="shared" si="284"/>
        <v/>
      </c>
      <c r="DI206" s="161" t="str">
        <f t="shared" si="285"/>
        <v/>
      </c>
      <c r="DJ206" s="161" t="str">
        <f t="shared" si="286"/>
        <v/>
      </c>
      <c r="DK206" s="161" t="str">
        <f t="shared" si="287"/>
        <v/>
      </c>
      <c r="DL206" s="161" t="str">
        <f t="shared" si="288"/>
        <v/>
      </c>
      <c r="DM206" s="161" t="str">
        <f t="shared" si="289"/>
        <v/>
      </c>
      <c r="DN206" s="161" t="str">
        <f t="shared" si="312"/>
        <v/>
      </c>
      <c r="DO206" s="161" t="str">
        <f t="shared" si="313"/>
        <v/>
      </c>
      <c r="DP206" s="161" t="str">
        <f t="shared" si="314"/>
        <v/>
      </c>
      <c r="DQ206" s="161" t="str">
        <f t="shared" si="315"/>
        <v/>
      </c>
      <c r="DR206" s="161" t="str">
        <f t="shared" si="316"/>
        <v/>
      </c>
      <c r="DS206" s="161" t="str">
        <f t="shared" si="317"/>
        <v/>
      </c>
      <c r="DT206" s="161" t="str">
        <f t="shared" si="318"/>
        <v/>
      </c>
      <c r="DU206" s="161" t="str">
        <f t="shared" si="319"/>
        <v/>
      </c>
      <c r="DV206" s="161" t="str">
        <f t="shared" si="320"/>
        <v/>
      </c>
      <c r="DW206" s="161" t="str">
        <f t="shared" si="321"/>
        <v/>
      </c>
      <c r="DX206" s="161" t="str">
        <f t="shared" si="322"/>
        <v/>
      </c>
      <c r="DY206" s="161" t="str">
        <f t="shared" si="323"/>
        <v/>
      </c>
      <c r="DZ206" s="161" t="str">
        <f t="shared" si="324"/>
        <v/>
      </c>
      <c r="EA206" s="161" t="str">
        <f t="shared" si="325"/>
        <v/>
      </c>
      <c r="EB206" s="161" t="str">
        <f t="shared" si="326"/>
        <v/>
      </c>
      <c r="EC206" s="161" t="str">
        <f t="shared" si="327"/>
        <v/>
      </c>
      <c r="ED206" s="161" t="str">
        <f t="shared" si="328"/>
        <v/>
      </c>
      <c r="EE206" s="161" t="str">
        <f t="shared" si="329"/>
        <v/>
      </c>
      <c r="EF206" s="161" t="str">
        <f t="shared" si="330"/>
        <v/>
      </c>
      <c r="EG206" s="161" t="str">
        <f t="shared" si="331"/>
        <v/>
      </c>
      <c r="EH206" s="161" t="str">
        <f t="shared" si="332"/>
        <v/>
      </c>
      <c r="EI206" s="161" t="str">
        <f t="shared" si="333"/>
        <v/>
      </c>
      <c r="EJ206" s="161" t="str">
        <f t="shared" si="334"/>
        <v/>
      </c>
      <c r="EK206" s="147" t="str">
        <f t="shared" si="248"/>
        <v/>
      </c>
      <c r="EL206" s="149"/>
      <c r="EN206" s="146"/>
      <c r="EO206" s="146"/>
      <c r="EP206" s="139" t="str">
        <f t="shared" si="249"/>
        <v/>
      </c>
      <c r="EQ206" s="139" t="str">
        <f t="shared" si="250"/>
        <v/>
      </c>
      <c r="ER206" s="139" t="str">
        <f t="shared" si="251"/>
        <v/>
      </c>
      <c r="ES206" s="139" t="str">
        <f t="shared" si="252"/>
        <v/>
      </c>
      <c r="ET206" s="139" t="str">
        <f t="shared" si="253"/>
        <v/>
      </c>
      <c r="EU206" s="139" t="str">
        <f t="shared" si="254"/>
        <v/>
      </c>
      <c r="EV206" s="139" t="str">
        <f t="shared" si="255"/>
        <v/>
      </c>
      <c r="EW206" s="139" t="str">
        <f t="shared" si="256"/>
        <v/>
      </c>
      <c r="EX206" s="139" t="str">
        <f t="shared" si="257"/>
        <v/>
      </c>
      <c r="EY206" s="139" t="str">
        <f t="shared" si="258"/>
        <v/>
      </c>
      <c r="EZ206" s="139" t="str">
        <f t="shared" si="259"/>
        <v/>
      </c>
      <c r="FA206" s="139" t="str">
        <f t="shared" si="260"/>
        <v/>
      </c>
      <c r="FB206" s="139" t="str">
        <f t="shared" si="261"/>
        <v/>
      </c>
      <c r="FC206" s="139" t="str">
        <f t="shared" si="262"/>
        <v/>
      </c>
      <c r="FD206" s="139" t="str">
        <f t="shared" si="263"/>
        <v/>
      </c>
      <c r="FE206" s="139" t="str">
        <f t="shared" si="264"/>
        <v/>
      </c>
      <c r="FF206" s="139" t="str">
        <f t="shared" si="265"/>
        <v/>
      </c>
      <c r="FG206" s="139" t="str">
        <f t="shared" si="266"/>
        <v/>
      </c>
      <c r="FH206" s="139" t="str">
        <f t="shared" si="267"/>
        <v/>
      </c>
      <c r="FI206" s="139" t="str">
        <f t="shared" si="268"/>
        <v/>
      </c>
      <c r="FJ206" s="139" t="str">
        <f t="shared" si="269"/>
        <v/>
      </c>
      <c r="FK206" s="139" t="str">
        <f t="shared" si="270"/>
        <v/>
      </c>
      <c r="FL206" s="139" t="str">
        <f t="shared" si="271"/>
        <v/>
      </c>
      <c r="FM206" s="139" t="str">
        <f t="shared" si="272"/>
        <v/>
      </c>
      <c r="FN206" s="139" t="str">
        <f t="shared" si="273"/>
        <v/>
      </c>
      <c r="FO206" s="139" t="str">
        <f t="shared" si="274"/>
        <v/>
      </c>
      <c r="FP206" s="139" t="str">
        <f t="shared" si="275"/>
        <v/>
      </c>
      <c r="FQ206" s="139" t="str">
        <f t="shared" si="276"/>
        <v/>
      </c>
      <c r="FR206" s="139" t="str">
        <f t="shared" si="277"/>
        <v/>
      </c>
      <c r="FS206" s="139" t="str">
        <f t="shared" si="278"/>
        <v/>
      </c>
      <c r="FT206" s="139" t="str">
        <f t="shared" si="279"/>
        <v/>
      </c>
      <c r="FU206" s="148" t="str">
        <f t="shared" si="280"/>
        <v/>
      </c>
      <c r="FV206" s="149"/>
      <c r="FY206" s="213">
        <v>201</v>
      </c>
      <c r="FZ206">
        <v>15.198001082319768</v>
      </c>
      <c r="GA206">
        <v>17.331318215225178</v>
      </c>
      <c r="GB206">
        <v>4.3506598235092762</v>
      </c>
      <c r="GC206">
        <v>3.6818170822217535</v>
      </c>
      <c r="GD206">
        <v>1.8757444665286025</v>
      </c>
      <c r="GE206">
        <v>2.1644358615216128</v>
      </c>
      <c r="GF206">
        <v>2.3419898145944531</v>
      </c>
      <c r="GG206">
        <v>2.6722749847158975</v>
      </c>
      <c r="GH206">
        <v>2.1611736260621592</v>
      </c>
      <c r="GI206">
        <v>5.1536595511528827</v>
      </c>
      <c r="GJ206"/>
      <c r="GK206"/>
      <c r="GL206"/>
      <c r="GM206"/>
      <c r="GN206" s="208"/>
      <c r="GO206" s="208"/>
      <c r="GP206" s="208"/>
      <c r="GQ206" s="208"/>
      <c r="GR206" s="208"/>
      <c r="GS206" s="208"/>
      <c r="GT206" s="208"/>
      <c r="GU206" s="213">
        <v>201</v>
      </c>
    </row>
    <row r="207" spans="1:203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72.628607041107045</v>
      </c>
      <c r="AO207">
        <v>11.572729166738258</v>
      </c>
      <c r="AP207">
        <v>70.422140853069521</v>
      </c>
      <c r="AQ207">
        <v>86.534802194521561</v>
      </c>
      <c r="AR207">
        <v>10.671435313927002</v>
      </c>
      <c r="AS207">
        <v>128.1659664951091</v>
      </c>
      <c r="AT207">
        <v>7.002504901872368</v>
      </c>
      <c r="AU207">
        <v>25.181016291465838</v>
      </c>
      <c r="AV207"/>
      <c r="AW207"/>
      <c r="AX207" s="146"/>
      <c r="AY207" s="76" t="str">
        <f t="shared" ca="1" si="171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6"/>
        <v/>
      </c>
      <c r="CL207" s="179" t="str">
        <f t="shared" si="207"/>
        <v/>
      </c>
      <c r="CM207" s="180" t="str">
        <f t="shared" si="208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9"/>
        <v/>
      </c>
      <c r="DB207" s="146"/>
      <c r="DC207" s="76" t="str">
        <f t="shared" ca="1" si="172"/>
        <v/>
      </c>
      <c r="DD207" t="str">
        <f t="shared" si="210"/>
        <v/>
      </c>
      <c r="DE207" s="129" t="str">
        <f t="shared" si="335"/>
        <v/>
      </c>
      <c r="DF207" s="161" t="str">
        <f t="shared" si="282"/>
        <v/>
      </c>
      <c r="DG207" s="161" t="str">
        <f t="shared" si="283"/>
        <v/>
      </c>
      <c r="DH207" s="161" t="str">
        <f t="shared" si="284"/>
        <v/>
      </c>
      <c r="DI207" s="161" t="str">
        <f t="shared" si="285"/>
        <v/>
      </c>
      <c r="DJ207" s="161" t="str">
        <f t="shared" si="286"/>
        <v/>
      </c>
      <c r="DK207" s="161" t="str">
        <f t="shared" si="287"/>
        <v/>
      </c>
      <c r="DL207" s="161" t="str">
        <f t="shared" si="288"/>
        <v/>
      </c>
      <c r="DM207" s="161" t="str">
        <f t="shared" si="289"/>
        <v/>
      </c>
      <c r="DN207" s="161" t="str">
        <f t="shared" si="312"/>
        <v/>
      </c>
      <c r="DO207" s="161" t="str">
        <f t="shared" ref="DO207:EJ207" si="336">IF($AZ207="", "", (BK207*$CW207)/$CZ207)</f>
        <v/>
      </c>
      <c r="DP207" s="161" t="str">
        <f t="shared" si="336"/>
        <v/>
      </c>
      <c r="DQ207" s="161" t="str">
        <f t="shared" si="336"/>
        <v/>
      </c>
      <c r="DR207" s="161" t="str">
        <f t="shared" si="336"/>
        <v/>
      </c>
      <c r="DS207" s="161" t="str">
        <f t="shared" si="336"/>
        <v/>
      </c>
      <c r="DT207" s="161" t="str">
        <f t="shared" si="336"/>
        <v/>
      </c>
      <c r="DU207" s="161" t="str">
        <f t="shared" si="336"/>
        <v/>
      </c>
      <c r="DV207" s="161" t="str">
        <f t="shared" si="336"/>
        <v/>
      </c>
      <c r="DW207" s="161" t="str">
        <f t="shared" si="336"/>
        <v/>
      </c>
      <c r="DX207" s="161" t="str">
        <f t="shared" si="336"/>
        <v/>
      </c>
      <c r="DY207" s="161" t="str">
        <f t="shared" si="336"/>
        <v/>
      </c>
      <c r="DZ207" s="161" t="str">
        <f t="shared" si="336"/>
        <v/>
      </c>
      <c r="EA207" s="161" t="str">
        <f t="shared" si="336"/>
        <v/>
      </c>
      <c r="EB207" s="161" t="str">
        <f t="shared" si="336"/>
        <v/>
      </c>
      <c r="EC207" s="161" t="str">
        <f t="shared" si="336"/>
        <v/>
      </c>
      <c r="ED207" s="161" t="str">
        <f t="shared" si="336"/>
        <v/>
      </c>
      <c r="EE207" s="161" t="str">
        <f t="shared" si="336"/>
        <v/>
      </c>
      <c r="EF207" s="161" t="str">
        <f t="shared" si="336"/>
        <v/>
      </c>
      <c r="EG207" s="161" t="str">
        <f t="shared" si="336"/>
        <v/>
      </c>
      <c r="EH207" s="161" t="str">
        <f t="shared" si="336"/>
        <v/>
      </c>
      <c r="EI207" s="161" t="str">
        <f t="shared" si="336"/>
        <v/>
      </c>
      <c r="EJ207" s="161" t="str">
        <f t="shared" si="336"/>
        <v/>
      </c>
      <c r="EK207" s="147" t="str">
        <f t="shared" si="248"/>
        <v/>
      </c>
      <c r="EL207" s="149"/>
      <c r="EN207" s="146"/>
      <c r="EO207" s="146"/>
      <c r="EP207" s="139" t="str">
        <f t="shared" si="249"/>
        <v/>
      </c>
      <c r="EQ207" s="139" t="str">
        <f t="shared" si="250"/>
        <v/>
      </c>
      <c r="ER207" s="139" t="str">
        <f t="shared" si="251"/>
        <v/>
      </c>
      <c r="ES207" s="139" t="str">
        <f t="shared" si="252"/>
        <v/>
      </c>
      <c r="ET207" s="139" t="str">
        <f t="shared" si="253"/>
        <v/>
      </c>
      <c r="EU207" s="139" t="str">
        <f t="shared" si="254"/>
        <v/>
      </c>
      <c r="EV207" s="139" t="str">
        <f t="shared" si="255"/>
        <v/>
      </c>
      <c r="EW207" s="139" t="str">
        <f t="shared" si="256"/>
        <v/>
      </c>
      <c r="EX207" s="139" t="str">
        <f t="shared" si="257"/>
        <v/>
      </c>
      <c r="EY207" s="139" t="str">
        <f t="shared" si="258"/>
        <v/>
      </c>
      <c r="EZ207" s="139" t="str">
        <f t="shared" si="259"/>
        <v/>
      </c>
      <c r="FA207" s="139" t="str">
        <f t="shared" si="260"/>
        <v/>
      </c>
      <c r="FB207" s="139" t="str">
        <f t="shared" si="261"/>
        <v/>
      </c>
      <c r="FC207" s="139" t="str">
        <f t="shared" si="262"/>
        <v/>
      </c>
      <c r="FD207" s="139" t="str">
        <f t="shared" si="263"/>
        <v/>
      </c>
      <c r="FE207" s="139" t="str">
        <f t="shared" si="264"/>
        <v/>
      </c>
      <c r="FF207" s="139" t="str">
        <f t="shared" si="265"/>
        <v/>
      </c>
      <c r="FG207" s="139" t="str">
        <f t="shared" si="266"/>
        <v/>
      </c>
      <c r="FH207" s="139" t="str">
        <f t="shared" si="267"/>
        <v/>
      </c>
      <c r="FI207" s="139" t="str">
        <f t="shared" si="268"/>
        <v/>
      </c>
      <c r="FJ207" s="139" t="str">
        <f t="shared" si="269"/>
        <v/>
      </c>
      <c r="FK207" s="139" t="str">
        <f t="shared" si="270"/>
        <v/>
      </c>
      <c r="FL207" s="139" t="str">
        <f t="shared" si="271"/>
        <v/>
      </c>
      <c r="FM207" s="139" t="str">
        <f t="shared" si="272"/>
        <v/>
      </c>
      <c r="FN207" s="139" t="str">
        <f t="shared" si="273"/>
        <v/>
      </c>
      <c r="FO207" s="139" t="str">
        <f t="shared" si="274"/>
        <v/>
      </c>
      <c r="FP207" s="139" t="str">
        <f t="shared" si="275"/>
        <v/>
      </c>
      <c r="FQ207" s="139" t="str">
        <f t="shared" si="276"/>
        <v/>
      </c>
      <c r="FR207" s="139" t="str">
        <f t="shared" si="277"/>
        <v/>
      </c>
      <c r="FS207" s="139" t="str">
        <f t="shared" si="278"/>
        <v/>
      </c>
      <c r="FT207" s="139" t="str">
        <f t="shared" si="279"/>
        <v/>
      </c>
      <c r="FU207" s="148" t="str">
        <f t="shared" si="280"/>
        <v/>
      </c>
      <c r="FV207" s="149"/>
      <c r="FY207" s="213">
        <v>202</v>
      </c>
      <c r="FZ207">
        <v>29.054249304775347</v>
      </c>
      <c r="GA207">
        <v>41.552408611994984</v>
      </c>
      <c r="GB207">
        <v>11.209807622386151</v>
      </c>
      <c r="GC207">
        <v>5.2763784515618051</v>
      </c>
      <c r="GD207">
        <v>2.2437093112289568</v>
      </c>
      <c r="GE207">
        <v>2.3168912474772263</v>
      </c>
      <c r="GF207">
        <v>1.2004881579458833</v>
      </c>
      <c r="GG207">
        <v>0.6746873335724477</v>
      </c>
      <c r="GH207">
        <v>0</v>
      </c>
      <c r="GI207">
        <v>8.6775192251676678</v>
      </c>
      <c r="GJ207"/>
      <c r="GK207"/>
      <c r="GL207"/>
      <c r="GM207"/>
      <c r="GN207" s="208"/>
      <c r="GO207" s="208"/>
      <c r="GP207" s="208"/>
      <c r="GQ207" s="208"/>
      <c r="GR207" s="208"/>
      <c r="GS207" s="208"/>
      <c r="GT207" s="208"/>
      <c r="GU207" s="213">
        <v>202</v>
      </c>
    </row>
    <row r="208" spans="1:203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111.88751616031024</v>
      </c>
      <c r="AO208">
        <v>21.893574560693743</v>
      </c>
      <c r="AP208">
        <v>228.79588598853337</v>
      </c>
      <c r="AQ208">
        <v>192.41369275976692</v>
      </c>
      <c r="AR208">
        <v>20.02283374609263</v>
      </c>
      <c r="AS208">
        <v>226.11763731156358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3">
        <v>203</v>
      </c>
      <c r="FZ208">
        <v>19.770121473013525</v>
      </c>
      <c r="GA208">
        <v>30.855593976009871</v>
      </c>
      <c r="GB208">
        <v>9.6627215392034778</v>
      </c>
      <c r="GC208">
        <v>4.5873999588422665</v>
      </c>
      <c r="GD208">
        <v>2.2610292543367354</v>
      </c>
      <c r="GE208">
        <v>2.0667888479164604</v>
      </c>
      <c r="GF208">
        <v>4.0357045747999116</v>
      </c>
      <c r="GG208">
        <v>3.330730274293312</v>
      </c>
      <c r="GH208">
        <v>0</v>
      </c>
      <c r="GI208">
        <v>7.4211999076368311</v>
      </c>
      <c r="GJ208"/>
      <c r="GK208"/>
      <c r="GL208"/>
      <c r="GM208"/>
      <c r="GN208" s="208"/>
      <c r="GO208" s="208"/>
      <c r="GP208" s="208"/>
      <c r="GQ208" s="208"/>
      <c r="GR208" s="208"/>
      <c r="GS208" s="208"/>
      <c r="GT208" s="208"/>
      <c r="GU208" s="213">
        <v>203</v>
      </c>
    </row>
    <row r="209" spans="1:203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105.16148999350699</v>
      </c>
      <c r="AO209">
        <v>21.755737883557316</v>
      </c>
      <c r="AP209">
        <v>193.55417967692807</v>
      </c>
      <c r="AQ209">
        <v>190.04482865357312</v>
      </c>
      <c r="AR209">
        <v>19.992505516667237</v>
      </c>
      <c r="AS209">
        <v>221.76139960799173</v>
      </c>
      <c r="AT209">
        <v>13.483276351573698</v>
      </c>
      <c r="AU209">
        <v>42.255051839136932</v>
      </c>
      <c r="AV209"/>
      <c r="AW209"/>
      <c r="FY209" s="213">
        <v>204</v>
      </c>
      <c r="FZ209">
        <v>9.7066608997723556</v>
      </c>
      <c r="GA209">
        <v>11.083889292426477</v>
      </c>
      <c r="GB209">
        <v>6.5679164475123892</v>
      </c>
      <c r="GC209">
        <v>4.8124780031343732</v>
      </c>
      <c r="GD209">
        <v>1.927853527771439</v>
      </c>
      <c r="GE209">
        <v>2.031675311336008</v>
      </c>
      <c r="GF209">
        <v>5.7193215407892257</v>
      </c>
      <c r="GG209">
        <v>4.8505053932138651</v>
      </c>
      <c r="GH209">
        <v>0</v>
      </c>
      <c r="GI209">
        <v>5.2199086478865864</v>
      </c>
      <c r="GJ209"/>
      <c r="GK209"/>
      <c r="GL209"/>
      <c r="GM209"/>
      <c r="GN209" s="208"/>
      <c r="GO209" s="208"/>
      <c r="GP209" s="208"/>
      <c r="GQ209" s="208"/>
      <c r="GR209" s="208"/>
      <c r="GS209" s="208"/>
      <c r="GT209" s="208"/>
      <c r="GU209" s="213">
        <v>204</v>
      </c>
    </row>
    <row r="210" spans="1:203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96.266353274289372</v>
      </c>
      <c r="AO210">
        <v>11.339130328594246</v>
      </c>
      <c r="AP210">
        <v>62.715193474051162</v>
      </c>
      <c r="AQ210">
        <v>83.262459412404482</v>
      </c>
      <c r="AR210">
        <v>10.549381041637586</v>
      </c>
      <c r="AS210">
        <v>166.24727077890503</v>
      </c>
      <c r="AT210">
        <v>7.3374181313350642</v>
      </c>
      <c r="AU210">
        <v>34.185071035585857</v>
      </c>
      <c r="AV210"/>
      <c r="AW210"/>
      <c r="FY210" s="213">
        <v>205</v>
      </c>
      <c r="FZ210">
        <v>24.44304810048661</v>
      </c>
      <c r="GA210">
        <v>36.950428512892245</v>
      </c>
      <c r="GB210">
        <v>9.6101244385261264</v>
      </c>
      <c r="GC210">
        <v>4.612723986907354</v>
      </c>
      <c r="GD210">
        <v>2.4446328179686176</v>
      </c>
      <c r="GE210">
        <v>2.5560404482092913</v>
      </c>
      <c r="GF210">
        <v>4.671097002220213</v>
      </c>
      <c r="GG210">
        <v>4.9346116355941296</v>
      </c>
      <c r="GH210">
        <v>3.3627822549657664</v>
      </c>
      <c r="GI210">
        <v>8.8603998828884905</v>
      </c>
      <c r="GJ210"/>
      <c r="GK210"/>
      <c r="GL210"/>
      <c r="GM210"/>
      <c r="GN210" s="208"/>
      <c r="GO210" s="208"/>
      <c r="GP210" s="208"/>
      <c r="GQ210" s="208"/>
      <c r="GR210" s="208"/>
      <c r="GS210" s="208"/>
      <c r="GT210" s="208"/>
      <c r="GU210" s="213">
        <v>205</v>
      </c>
    </row>
    <row r="211" spans="1:203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93.136433370504122</v>
      </c>
      <c r="AO211">
        <v>9.9081689767190202</v>
      </c>
      <c r="AP211">
        <v>31.082260981418372</v>
      </c>
      <c r="AQ211">
        <v>64.406296255568321</v>
      </c>
      <c r="AR211">
        <v>9.1819604534353445</v>
      </c>
      <c r="AS211">
        <v>127.59714533077043</v>
      </c>
      <c r="AT211">
        <v>5.9730580998966643</v>
      </c>
      <c r="AU211">
        <v>3.750007120988359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3">
        <v>206</v>
      </c>
      <c r="FZ211">
        <v>72.359678086602102</v>
      </c>
      <c r="GA211">
        <v>90.378133179206188</v>
      </c>
      <c r="GB211">
        <v>8.9993907386883585</v>
      </c>
      <c r="GC211">
        <v>4.6585144036366382</v>
      </c>
      <c r="GD211">
        <v>2.0540416963068338</v>
      </c>
      <c r="GE211">
        <v>2.1272229058649379</v>
      </c>
      <c r="GF211">
        <v>1.5561862080793647</v>
      </c>
      <c r="GG211">
        <v>2.3688684171222891</v>
      </c>
      <c r="GH211">
        <v>1.5603693116103559</v>
      </c>
      <c r="GI211">
        <v>14.685266717024358</v>
      </c>
      <c r="GJ211"/>
      <c r="GK211"/>
      <c r="GL211"/>
      <c r="GM211"/>
      <c r="GN211" s="208"/>
      <c r="GO211" s="208"/>
      <c r="GP211" s="208"/>
      <c r="GQ211" s="208"/>
      <c r="GR211" s="208"/>
      <c r="GS211" s="208"/>
      <c r="GT211" s="208"/>
      <c r="GU211" s="213">
        <v>206</v>
      </c>
    </row>
    <row r="212" spans="1:203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85.367775007512606</v>
      </c>
      <c r="AO212">
        <v>10.596486146317782</v>
      </c>
      <c r="AP212">
        <v>44.220109383663313</v>
      </c>
      <c r="AQ212">
        <v>77.002823564402036</v>
      </c>
      <c r="AR212">
        <v>9.9552706527629411</v>
      </c>
      <c r="AS212">
        <v>148.24822263230843</v>
      </c>
      <c r="AT212">
        <v>6.6596542147345836</v>
      </c>
      <c r="AU212">
        <v>26.332161755835713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7">AVERAGE(DF88:DF97)</f>
        <v>0</v>
      </c>
      <c r="DG212" s="182">
        <f t="shared" ref="DG212:DO212" si="338">AVERAGE(DG88:DG97)</f>
        <v>0</v>
      </c>
      <c r="DH212" s="182">
        <f t="shared" si="338"/>
        <v>35.416666666666664</v>
      </c>
      <c r="DI212" s="182">
        <f t="shared" si="338"/>
        <v>6.25</v>
      </c>
      <c r="DJ212" s="182">
        <f t="shared" si="338"/>
        <v>0</v>
      </c>
      <c r="DK212" s="182">
        <f t="shared" si="338"/>
        <v>0</v>
      </c>
      <c r="DL212" s="182">
        <f t="shared" si="338"/>
        <v>0</v>
      </c>
      <c r="DM212" s="182">
        <f t="shared" si="338"/>
        <v>0</v>
      </c>
      <c r="DN212" s="182">
        <f t="shared" si="338"/>
        <v>0</v>
      </c>
      <c r="DO212" s="182">
        <f t="shared" si="338"/>
        <v>0</v>
      </c>
      <c r="DP212" s="182">
        <f t="shared" ref="DP212:DQ212" si="339">AVERAGE(DP88:DP97)</f>
        <v>0</v>
      </c>
      <c r="DQ212" s="182">
        <f t="shared" si="339"/>
        <v>0</v>
      </c>
      <c r="DR212" s="182">
        <f t="shared" si="337"/>
        <v>0</v>
      </c>
      <c r="DS212" s="182">
        <f t="shared" si="337"/>
        <v>0</v>
      </c>
      <c r="DT212" s="182">
        <f t="shared" si="337"/>
        <v>0</v>
      </c>
      <c r="DU212" s="182">
        <f t="shared" si="337"/>
        <v>0</v>
      </c>
      <c r="DV212" s="182">
        <f t="shared" si="337"/>
        <v>0</v>
      </c>
      <c r="DW212" s="182">
        <f t="shared" si="337"/>
        <v>0</v>
      </c>
      <c r="DX212" s="182">
        <f t="shared" si="337"/>
        <v>0</v>
      </c>
      <c r="DY212" s="182">
        <f t="shared" si="337"/>
        <v>0</v>
      </c>
      <c r="DZ212" s="182">
        <f t="shared" si="337"/>
        <v>0</v>
      </c>
      <c r="EA212" s="182">
        <f t="shared" si="337"/>
        <v>0</v>
      </c>
      <c r="EB212" s="182">
        <f t="shared" si="337"/>
        <v>0</v>
      </c>
      <c r="EC212" s="182">
        <f t="shared" si="337"/>
        <v>0</v>
      </c>
      <c r="ED212" s="182">
        <f t="shared" si="337"/>
        <v>0</v>
      </c>
      <c r="EE212" s="182">
        <f t="shared" si="337"/>
        <v>0</v>
      </c>
      <c r="EF212" s="182">
        <f t="shared" si="337"/>
        <v>0</v>
      </c>
      <c r="EG212" s="182">
        <f t="shared" si="337"/>
        <v>0</v>
      </c>
      <c r="EH212" s="182">
        <f t="shared" si="337"/>
        <v>0</v>
      </c>
      <c r="EI212" s="182">
        <f t="shared" si="337"/>
        <v>0</v>
      </c>
      <c r="EJ212" s="182">
        <f t="shared" si="337"/>
        <v>0</v>
      </c>
      <c r="FY212" s="213">
        <v>207</v>
      </c>
      <c r="FZ212">
        <v>26.563483917386684</v>
      </c>
      <c r="GA212">
        <v>29.269962871205998</v>
      </c>
      <c r="GB212">
        <v>5.0777109098168891</v>
      </c>
      <c r="GC212">
        <v>4.5558311456003482</v>
      </c>
      <c r="GD212">
        <v>2.5566905960329902</v>
      </c>
      <c r="GE212">
        <v>2.278572171738543</v>
      </c>
      <c r="GF212">
        <v>4.5305134273438927</v>
      </c>
      <c r="GG212">
        <v>5.0383804536874974</v>
      </c>
      <c r="GH212">
        <v>1.5603693116103559</v>
      </c>
      <c r="GI212">
        <v>7.7737215778450075</v>
      </c>
      <c r="GJ212"/>
      <c r="GK212"/>
      <c r="GL212"/>
      <c r="GM212"/>
      <c r="GN212" s="208"/>
      <c r="GO212" s="208"/>
      <c r="GP212" s="208"/>
      <c r="GQ212" s="208"/>
      <c r="GR212" s="208"/>
      <c r="GS212" s="208"/>
      <c r="GT212" s="208"/>
      <c r="GU212" s="213">
        <v>207</v>
      </c>
    </row>
    <row r="213" spans="1:203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79.588711724005833</v>
      </c>
      <c r="AO213">
        <v>13.147825822282712</v>
      </c>
      <c r="AP213">
        <v>93.553482848664217</v>
      </c>
      <c r="AQ213">
        <v>102.94122101048529</v>
      </c>
      <c r="AR213">
        <v>12.127202188446299</v>
      </c>
      <c r="AS213">
        <v>154.93071659366458</v>
      </c>
      <c r="AT213">
        <v>8.6286642384834504</v>
      </c>
      <c r="AU213">
        <v>5.0467736422036058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0">AVERAGE(DF98:DF107)</f>
        <v>0</v>
      </c>
      <c r="DG213" s="185">
        <f t="shared" ref="DG213:DO213" si="341">AVERAGE(DG98:DG107)</f>
        <v>0</v>
      </c>
      <c r="DH213" s="185">
        <f t="shared" si="341"/>
        <v>1.0416666666666665</v>
      </c>
      <c r="DI213" s="185">
        <f t="shared" si="341"/>
        <v>67.4579831932773</v>
      </c>
      <c r="DJ213" s="185">
        <f t="shared" si="341"/>
        <v>54.79166666666665</v>
      </c>
      <c r="DK213" s="185">
        <f t="shared" si="341"/>
        <v>34.791666666666664</v>
      </c>
      <c r="DL213" s="185">
        <f t="shared" si="341"/>
        <v>12.5</v>
      </c>
      <c r="DM213" s="185">
        <f t="shared" si="341"/>
        <v>1.875</v>
      </c>
      <c r="DN213" s="185">
        <f t="shared" si="341"/>
        <v>0</v>
      </c>
      <c r="DO213" s="185">
        <f t="shared" si="341"/>
        <v>0</v>
      </c>
      <c r="DP213" s="185">
        <f t="shared" ref="DP213:DQ213" si="342">AVERAGE(DP98:DP107)</f>
        <v>0</v>
      </c>
      <c r="DQ213" s="185">
        <f t="shared" si="342"/>
        <v>0</v>
      </c>
      <c r="DR213" s="185">
        <f t="shared" si="340"/>
        <v>0</v>
      </c>
      <c r="DS213" s="185">
        <f t="shared" si="340"/>
        <v>0</v>
      </c>
      <c r="DT213" s="185">
        <f t="shared" si="340"/>
        <v>0</v>
      </c>
      <c r="DU213" s="185">
        <f t="shared" si="340"/>
        <v>0</v>
      </c>
      <c r="DV213" s="185">
        <f t="shared" si="340"/>
        <v>0</v>
      </c>
      <c r="DW213" s="185">
        <f t="shared" si="340"/>
        <v>0</v>
      </c>
      <c r="DX213" s="185">
        <f t="shared" si="340"/>
        <v>0</v>
      </c>
      <c r="DY213" s="185">
        <f t="shared" si="340"/>
        <v>0</v>
      </c>
      <c r="DZ213" s="185">
        <f t="shared" si="340"/>
        <v>0</v>
      </c>
      <c r="EA213" s="185">
        <f t="shared" si="340"/>
        <v>0</v>
      </c>
      <c r="EB213" s="185">
        <f t="shared" si="340"/>
        <v>0</v>
      </c>
      <c r="EC213" s="185">
        <f t="shared" si="340"/>
        <v>0</v>
      </c>
      <c r="ED213" s="185">
        <f t="shared" si="340"/>
        <v>0</v>
      </c>
      <c r="EE213" s="185">
        <f t="shared" si="340"/>
        <v>0</v>
      </c>
      <c r="EF213" s="185">
        <f t="shared" si="340"/>
        <v>0</v>
      </c>
      <c r="EG213" s="185">
        <f t="shared" si="340"/>
        <v>0</v>
      </c>
      <c r="EH213" s="185">
        <f t="shared" si="340"/>
        <v>0</v>
      </c>
      <c r="EI213" s="185">
        <f t="shared" si="340"/>
        <v>0</v>
      </c>
      <c r="EJ213" s="185">
        <f t="shared" si="340"/>
        <v>0</v>
      </c>
      <c r="FY213" s="213">
        <v>208</v>
      </c>
      <c r="FZ213">
        <v>40.704887319987122</v>
      </c>
      <c r="GA213">
        <v>50.269076255820124</v>
      </c>
      <c r="GB213">
        <v>9.1454424971852006</v>
      </c>
      <c r="GC213">
        <v>6.1071067143806594</v>
      </c>
      <c r="GD213">
        <v>2.4252741409458536</v>
      </c>
      <c r="GE213">
        <v>1.9646785857628448</v>
      </c>
      <c r="GF213">
        <v>5.0111038574052049</v>
      </c>
      <c r="GG213">
        <v>4.2476820512249063</v>
      </c>
      <c r="GH213">
        <v>1.2016086289036068</v>
      </c>
      <c r="GI213">
        <v>10.893570068769144</v>
      </c>
      <c r="GJ213"/>
      <c r="GK213"/>
      <c r="GL213"/>
      <c r="GM213"/>
      <c r="GN213" s="208"/>
      <c r="GO213" s="208"/>
      <c r="GP213" s="208"/>
      <c r="GQ213" s="208"/>
      <c r="GR213" s="208"/>
      <c r="GS213" s="208"/>
      <c r="GT213" s="208"/>
      <c r="GU213" s="213">
        <v>208</v>
      </c>
    </row>
    <row r="214" spans="1:203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92.322587924058524</v>
      </c>
      <c r="AO214">
        <v>14.553634065822527</v>
      </c>
      <c r="AP214">
        <v>84.371330241637708</v>
      </c>
      <c r="AQ214">
        <v>120.06124092936001</v>
      </c>
      <c r="AR214">
        <v>13.480595900110423</v>
      </c>
      <c r="AS214">
        <v>175.66688808714869</v>
      </c>
      <c r="AT214">
        <v>9.2919075472685133</v>
      </c>
      <c r="AU214">
        <v>20.32868411047555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3">AVERAGE(DF108:DF117)</f>
        <v>0</v>
      </c>
      <c r="DG214" s="182">
        <f t="shared" ref="DG214:DO214" si="344">AVERAGE(DG108:DG117)</f>
        <v>8.928571428571427</v>
      </c>
      <c r="DH214" s="182">
        <f t="shared" si="344"/>
        <v>8.928571428571427</v>
      </c>
      <c r="DI214" s="182">
        <f t="shared" si="344"/>
        <v>3.125</v>
      </c>
      <c r="DJ214" s="182">
        <f t="shared" si="344"/>
        <v>1.0416666666666665</v>
      </c>
      <c r="DK214" s="182">
        <f t="shared" si="344"/>
        <v>0</v>
      </c>
      <c r="DL214" s="182">
        <f t="shared" si="344"/>
        <v>1.0416666666666665</v>
      </c>
      <c r="DM214" s="182">
        <f t="shared" si="344"/>
        <v>0</v>
      </c>
      <c r="DN214" s="182">
        <f t="shared" si="344"/>
        <v>2.083333333333333</v>
      </c>
      <c r="DO214" s="182">
        <f t="shared" si="344"/>
        <v>0</v>
      </c>
      <c r="DP214" s="182">
        <f t="shared" si="343"/>
        <v>0</v>
      </c>
      <c r="DQ214" s="182">
        <f t="shared" si="343"/>
        <v>0</v>
      </c>
      <c r="DR214" s="182">
        <f t="shared" si="343"/>
        <v>0</v>
      </c>
      <c r="DS214" s="182">
        <f t="shared" si="343"/>
        <v>0</v>
      </c>
      <c r="DT214" s="182">
        <f t="shared" si="343"/>
        <v>0</v>
      </c>
      <c r="DU214" s="182">
        <f t="shared" si="343"/>
        <v>0</v>
      </c>
      <c r="DV214" s="182">
        <f t="shared" si="343"/>
        <v>0</v>
      </c>
      <c r="DW214" s="182">
        <f t="shared" si="343"/>
        <v>0</v>
      </c>
      <c r="DX214" s="182">
        <f t="shared" si="343"/>
        <v>0</v>
      </c>
      <c r="DY214" s="182">
        <f t="shared" si="343"/>
        <v>0</v>
      </c>
      <c r="DZ214" s="182">
        <f t="shared" si="343"/>
        <v>0</v>
      </c>
      <c r="EA214" s="182">
        <f t="shared" si="343"/>
        <v>0</v>
      </c>
      <c r="EB214" s="182">
        <f t="shared" si="343"/>
        <v>0</v>
      </c>
      <c r="EC214" s="182">
        <f t="shared" si="343"/>
        <v>0</v>
      </c>
      <c r="ED214" s="182">
        <f t="shared" si="343"/>
        <v>0</v>
      </c>
      <c r="EE214" s="182">
        <f t="shared" si="343"/>
        <v>0</v>
      </c>
      <c r="EF214" s="182">
        <f t="shared" si="343"/>
        <v>0</v>
      </c>
      <c r="EG214" s="182">
        <f t="shared" si="343"/>
        <v>0</v>
      </c>
      <c r="EH214" s="182">
        <f t="shared" si="343"/>
        <v>0</v>
      </c>
      <c r="EI214" s="182">
        <f t="shared" si="343"/>
        <v>0</v>
      </c>
      <c r="EJ214" s="182">
        <f t="shared" si="343"/>
        <v>0</v>
      </c>
      <c r="FY214" s="213">
        <v>209</v>
      </c>
      <c r="FZ214">
        <v>33.755984108855699</v>
      </c>
      <c r="GA214">
        <v>39.104541141002834</v>
      </c>
      <c r="GB214">
        <v>6.0438207257436503</v>
      </c>
      <c r="GC214">
        <v>4.3644098737789481</v>
      </c>
      <c r="GD214">
        <v>1.8837669140327875</v>
      </c>
      <c r="GE214">
        <v>2.6365235733593204</v>
      </c>
      <c r="GF214">
        <v>2.3262986196459634</v>
      </c>
      <c r="GG214">
        <v>1.4531434852382639</v>
      </c>
      <c r="GH214">
        <v>0</v>
      </c>
      <c r="GI214">
        <v>7.9845643121634389</v>
      </c>
      <c r="GJ214"/>
      <c r="GK214"/>
      <c r="GL214"/>
      <c r="GM214"/>
      <c r="GN214" s="208"/>
      <c r="GO214" s="208"/>
      <c r="GP214" s="208"/>
      <c r="GQ214" s="208"/>
      <c r="GR214" s="208"/>
      <c r="GS214" s="208"/>
      <c r="GT214" s="208"/>
      <c r="GU214" s="213">
        <v>209</v>
      </c>
    </row>
    <row r="215" spans="1:203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95.584722671119735</v>
      </c>
      <c r="AO215">
        <v>12.718285755184567</v>
      </c>
      <c r="AP215">
        <v>90.5039176746415</v>
      </c>
      <c r="AQ215">
        <v>100.12608514837092</v>
      </c>
      <c r="AR215">
        <v>11.685435564909028</v>
      </c>
      <c r="AS215">
        <v>152.17615286720851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5">AVERAGE(DF118:DF127)</f>
        <v>0</v>
      </c>
      <c r="DG215" s="182">
        <f t="shared" ref="DG215:DO215" si="346">AVERAGE(DG118:DG127)</f>
        <v>70.045824625565984</v>
      </c>
      <c r="DH215" s="182">
        <f t="shared" si="346"/>
        <v>165.65334210808351</v>
      </c>
      <c r="DI215" s="182">
        <f t="shared" si="346"/>
        <v>33.921861184792213</v>
      </c>
      <c r="DJ215" s="182">
        <f t="shared" si="346"/>
        <v>14.0625</v>
      </c>
      <c r="DK215" s="182">
        <f t="shared" si="346"/>
        <v>2.8409090909090908</v>
      </c>
      <c r="DL215" s="182">
        <f t="shared" si="346"/>
        <v>0</v>
      </c>
      <c r="DM215" s="182">
        <f t="shared" si="346"/>
        <v>2.083333333333333</v>
      </c>
      <c r="DN215" s="182">
        <f t="shared" si="346"/>
        <v>0</v>
      </c>
      <c r="DO215" s="182">
        <f t="shared" si="346"/>
        <v>0</v>
      </c>
      <c r="DP215" s="182">
        <f t="shared" si="345"/>
        <v>0</v>
      </c>
      <c r="DQ215" s="182">
        <f t="shared" si="345"/>
        <v>0</v>
      </c>
      <c r="DR215" s="182">
        <f t="shared" si="345"/>
        <v>0</v>
      </c>
      <c r="DS215" s="182">
        <f t="shared" si="345"/>
        <v>0</v>
      </c>
      <c r="DT215" s="182">
        <f t="shared" si="345"/>
        <v>0</v>
      </c>
      <c r="DU215" s="182">
        <f t="shared" si="345"/>
        <v>0</v>
      </c>
      <c r="DV215" s="182">
        <f t="shared" si="345"/>
        <v>0</v>
      </c>
      <c r="DW215" s="182">
        <f t="shared" si="345"/>
        <v>0</v>
      </c>
      <c r="DX215" s="182">
        <f t="shared" si="345"/>
        <v>0</v>
      </c>
      <c r="DY215" s="182">
        <f t="shared" si="345"/>
        <v>0</v>
      </c>
      <c r="DZ215" s="182">
        <f t="shared" si="345"/>
        <v>0</v>
      </c>
      <c r="EA215" s="182">
        <f t="shared" si="345"/>
        <v>0</v>
      </c>
      <c r="EB215" s="182">
        <f t="shared" si="345"/>
        <v>0</v>
      </c>
      <c r="EC215" s="182">
        <f t="shared" si="345"/>
        <v>0</v>
      </c>
      <c r="ED215" s="182">
        <f t="shared" si="345"/>
        <v>0</v>
      </c>
      <c r="EE215" s="182">
        <f t="shared" si="345"/>
        <v>0</v>
      </c>
      <c r="EF215" s="182">
        <f t="shared" si="345"/>
        <v>0</v>
      </c>
      <c r="EG215" s="182">
        <f t="shared" si="345"/>
        <v>0</v>
      </c>
      <c r="EH215" s="182">
        <f t="shared" si="345"/>
        <v>0</v>
      </c>
      <c r="EI215" s="182">
        <f t="shared" si="345"/>
        <v>0</v>
      </c>
      <c r="EJ215" s="182">
        <f t="shared" si="345"/>
        <v>0</v>
      </c>
      <c r="FY215" s="213">
        <v>210</v>
      </c>
      <c r="FZ215">
        <v>29.769210292176481</v>
      </c>
      <c r="GA215">
        <v>38.353959247566344</v>
      </c>
      <c r="GB215">
        <v>9.0875575070624262</v>
      </c>
      <c r="GC215">
        <v>4.7711405606929302</v>
      </c>
      <c r="GD215">
        <v>1.6974344156334631</v>
      </c>
      <c r="GE215">
        <v>2.4645241291777888</v>
      </c>
      <c r="GF215">
        <v>3.3643158861802513</v>
      </c>
      <c r="GG215">
        <v>4.8520210162529054</v>
      </c>
      <c r="GH215">
        <v>3.7215429376725151</v>
      </c>
      <c r="GI215">
        <v>8.898817806177016</v>
      </c>
      <c r="GJ215"/>
      <c r="GK215"/>
      <c r="GL215"/>
      <c r="GM215"/>
      <c r="GN215" s="208"/>
      <c r="GO215" s="208"/>
      <c r="GP215" s="208"/>
      <c r="GQ215" s="208"/>
      <c r="GR215" s="208"/>
      <c r="GS215" s="208"/>
      <c r="GT215" s="208"/>
      <c r="GU215" s="213">
        <v>210</v>
      </c>
    </row>
    <row r="216" spans="1:203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78.257452310057531</v>
      </c>
      <c r="AO216">
        <v>10.657735681523011</v>
      </c>
      <c r="AP216">
        <v>53.071589261663931</v>
      </c>
      <c r="AQ216">
        <v>73.36146539926294</v>
      </c>
      <c r="AR216">
        <v>9.9294833261475457</v>
      </c>
      <c r="AS216">
        <v>126.20825056092494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7">AVERAGE(DF128:DF137)</f>
        <v>0</v>
      </c>
      <c r="DG216" s="182">
        <f t="shared" ref="DG216:DO216" si="348">AVERAGE(DG128:DG137)</f>
        <v>7.2916666666666661</v>
      </c>
      <c r="DH216" s="182">
        <f t="shared" si="348"/>
        <v>116.56926406926405</v>
      </c>
      <c r="DI216" s="182">
        <f t="shared" si="348"/>
        <v>18.633207070707066</v>
      </c>
      <c r="DJ216" s="182">
        <f t="shared" si="348"/>
        <v>1.4204545454545454</v>
      </c>
      <c r="DK216" s="182">
        <f t="shared" si="348"/>
        <v>1.4204545454545454</v>
      </c>
      <c r="DL216" s="182">
        <f t="shared" si="348"/>
        <v>0</v>
      </c>
      <c r="DM216" s="182">
        <f t="shared" si="348"/>
        <v>0</v>
      </c>
      <c r="DN216" s="182">
        <f t="shared" si="348"/>
        <v>0</v>
      </c>
      <c r="DO216" s="182">
        <f t="shared" si="348"/>
        <v>0</v>
      </c>
      <c r="DP216" s="182">
        <f t="shared" si="347"/>
        <v>0</v>
      </c>
      <c r="DQ216" s="182">
        <f t="shared" si="347"/>
        <v>0</v>
      </c>
      <c r="DR216" s="182">
        <f t="shared" si="347"/>
        <v>0</v>
      </c>
      <c r="DS216" s="182">
        <f t="shared" si="347"/>
        <v>0</v>
      </c>
      <c r="DT216" s="182">
        <f t="shared" si="347"/>
        <v>0</v>
      </c>
      <c r="DU216" s="182">
        <f t="shared" si="347"/>
        <v>0</v>
      </c>
      <c r="DV216" s="182">
        <f t="shared" si="347"/>
        <v>0</v>
      </c>
      <c r="DW216" s="182">
        <f t="shared" si="347"/>
        <v>0</v>
      </c>
      <c r="DX216" s="182">
        <f t="shared" si="347"/>
        <v>0</v>
      </c>
      <c r="DY216" s="182">
        <f t="shared" si="347"/>
        <v>0</v>
      </c>
      <c r="DZ216" s="182">
        <f t="shared" si="347"/>
        <v>0</v>
      </c>
      <c r="EA216" s="182">
        <f t="shared" si="347"/>
        <v>0</v>
      </c>
      <c r="EB216" s="182">
        <f t="shared" si="347"/>
        <v>0</v>
      </c>
      <c r="EC216" s="182">
        <f t="shared" si="347"/>
        <v>0</v>
      </c>
      <c r="ED216" s="182">
        <f t="shared" si="347"/>
        <v>0</v>
      </c>
      <c r="EE216" s="182">
        <f t="shared" si="347"/>
        <v>0</v>
      </c>
      <c r="EF216" s="182">
        <f t="shared" si="347"/>
        <v>0</v>
      </c>
      <c r="EG216" s="182">
        <f t="shared" si="347"/>
        <v>0</v>
      </c>
      <c r="EH216" s="182">
        <f t="shared" si="347"/>
        <v>0</v>
      </c>
      <c r="EI216" s="182">
        <f t="shared" si="347"/>
        <v>0</v>
      </c>
      <c r="EJ216" s="182">
        <f t="shared" si="347"/>
        <v>0</v>
      </c>
      <c r="FY216" s="213">
        <v>211</v>
      </c>
      <c r="FZ216">
        <v>40.811272800594047</v>
      </c>
      <c r="GA216">
        <v>50.222230414853506</v>
      </c>
      <c r="GB216">
        <v>9.1661675307627988</v>
      </c>
      <c r="GC216">
        <v>5.2565383868805791</v>
      </c>
      <c r="GD216">
        <v>1.6404812369107242</v>
      </c>
      <c r="GE216">
        <v>1.6699037096248408</v>
      </c>
      <c r="GF216">
        <v>5.002405437722401</v>
      </c>
      <c r="GG216">
        <v>5.2816809583155173</v>
      </c>
      <c r="GH216">
        <v>3.3627822549657664</v>
      </c>
      <c r="GI216">
        <v>10.804764057874388</v>
      </c>
      <c r="GJ216"/>
      <c r="GK216"/>
      <c r="GL216"/>
      <c r="GM216"/>
      <c r="GN216" s="208"/>
      <c r="GO216" s="208"/>
      <c r="GP216" s="208"/>
      <c r="GQ216" s="208"/>
      <c r="GR216" s="208"/>
      <c r="GS216" s="208"/>
      <c r="GT216" s="208"/>
      <c r="GU216" s="213">
        <v>211</v>
      </c>
    </row>
    <row r="217" spans="1:203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80.746741752256469</v>
      </c>
      <c r="AO217">
        <v>7.614065651384605</v>
      </c>
      <c r="AP217">
        <v>38.082520738875978</v>
      </c>
      <c r="AQ217">
        <v>56.931074507851584</v>
      </c>
      <c r="AR217">
        <v>7.0412637140873118</v>
      </c>
      <c r="AS217">
        <v>110.98044850808117</v>
      </c>
      <c r="AT217">
        <v>5.1700085199341315</v>
      </c>
      <c r="AU217">
        <v>6.6063817436865779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9">AVERAGE(DF138:DF147)</f>
        <v>0</v>
      </c>
      <c r="DG217" s="182">
        <f t="shared" ref="DG217:DO217" si="350">AVERAGE(DG138:DG147)</f>
        <v>8.3333333333333321</v>
      </c>
      <c r="DH217" s="182">
        <f t="shared" si="350"/>
        <v>50.077985739750446</v>
      </c>
      <c r="DI217" s="182">
        <f t="shared" si="350"/>
        <v>13.690476190476193</v>
      </c>
      <c r="DJ217" s="182">
        <f t="shared" si="350"/>
        <v>4.1666666666666661</v>
      </c>
      <c r="DK217" s="182">
        <f t="shared" si="350"/>
        <v>0</v>
      </c>
      <c r="DL217" s="182">
        <f t="shared" si="350"/>
        <v>1.0416666666666665</v>
      </c>
      <c r="DM217" s="182">
        <f t="shared" si="350"/>
        <v>0</v>
      </c>
      <c r="DN217" s="182">
        <f t="shared" si="350"/>
        <v>1.0416666666666665</v>
      </c>
      <c r="DO217" s="182">
        <f t="shared" si="350"/>
        <v>0</v>
      </c>
      <c r="DP217" s="182">
        <f t="shared" si="349"/>
        <v>0</v>
      </c>
      <c r="DQ217" s="182">
        <f t="shared" si="349"/>
        <v>0</v>
      </c>
      <c r="DR217" s="182">
        <f t="shared" si="349"/>
        <v>0</v>
      </c>
      <c r="DS217" s="182">
        <f t="shared" si="349"/>
        <v>0</v>
      </c>
      <c r="DT217" s="182">
        <f t="shared" si="349"/>
        <v>0</v>
      </c>
      <c r="DU217" s="182">
        <f t="shared" si="349"/>
        <v>0</v>
      </c>
      <c r="DV217" s="182">
        <f t="shared" si="349"/>
        <v>0</v>
      </c>
      <c r="DW217" s="182">
        <f t="shared" si="349"/>
        <v>0</v>
      </c>
      <c r="DX217" s="182">
        <f t="shared" si="349"/>
        <v>0</v>
      </c>
      <c r="DY217" s="182">
        <f t="shared" si="349"/>
        <v>0</v>
      </c>
      <c r="DZ217" s="182">
        <f t="shared" si="349"/>
        <v>0</v>
      </c>
      <c r="EA217" s="182">
        <f t="shared" si="349"/>
        <v>0</v>
      </c>
      <c r="EB217" s="182">
        <f t="shared" si="349"/>
        <v>0</v>
      </c>
      <c r="EC217" s="182">
        <f t="shared" si="349"/>
        <v>0</v>
      </c>
      <c r="ED217" s="182">
        <f t="shared" si="349"/>
        <v>0</v>
      </c>
      <c r="EE217" s="182">
        <f t="shared" si="349"/>
        <v>0</v>
      </c>
      <c r="EF217" s="182">
        <f t="shared" si="349"/>
        <v>0</v>
      </c>
      <c r="EG217" s="182">
        <f t="shared" si="349"/>
        <v>0</v>
      </c>
      <c r="EH217" s="182">
        <f t="shared" si="349"/>
        <v>0</v>
      </c>
      <c r="EI217" s="182">
        <f t="shared" si="349"/>
        <v>0</v>
      </c>
      <c r="EJ217" s="182">
        <f t="shared" si="349"/>
        <v>0</v>
      </c>
      <c r="FY217" s="213">
        <v>212</v>
      </c>
      <c r="FZ217">
        <v>8.8448769121443309</v>
      </c>
      <c r="GA217">
        <v>12.496862539065535</v>
      </c>
      <c r="GB217">
        <v>7.61699222257214</v>
      </c>
      <c r="GC217">
        <v>4.4410077796972889</v>
      </c>
      <c r="GD217">
        <v>2.5475580952060337</v>
      </c>
      <c r="GE217">
        <v>3.4355128327253848</v>
      </c>
      <c r="GF217">
        <v>6.546152265668697</v>
      </c>
      <c r="GG217">
        <v>6.8221704338734197</v>
      </c>
      <c r="GH217">
        <v>2.7619779405139626</v>
      </c>
      <c r="GI217">
        <v>6.3210591926873265</v>
      </c>
      <c r="GJ217"/>
      <c r="GK217"/>
      <c r="GL217"/>
      <c r="GM217"/>
      <c r="GN217" s="208"/>
      <c r="GO217" s="208"/>
      <c r="GP217" s="208"/>
      <c r="GQ217" s="208"/>
      <c r="GR217" s="208"/>
      <c r="GS217" s="208"/>
      <c r="GT217" s="208"/>
      <c r="GU217" s="213">
        <v>212</v>
      </c>
    </row>
    <row r="218" spans="1:203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79.06389921353157</v>
      </c>
      <c r="AO218">
        <v>13.152859493963447</v>
      </c>
      <c r="AP218">
        <v>63.264054359964732</v>
      </c>
      <c r="AQ218">
        <v>102.20613926611048</v>
      </c>
      <c r="AR218">
        <v>12.102403267855287</v>
      </c>
      <c r="AS218">
        <v>148.90395030614238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1">AVERAGE(DF148:DF157)</f>
        <v>0</v>
      </c>
      <c r="DG218" s="182">
        <f t="shared" ref="DG218:DO218" si="352">AVERAGE(DG148:DG157)</f>
        <v>0</v>
      </c>
      <c r="DH218" s="182">
        <f t="shared" si="352"/>
        <v>0</v>
      </c>
      <c r="DI218" s="182">
        <f t="shared" si="352"/>
        <v>2.083333333333333</v>
      </c>
      <c r="DJ218" s="182">
        <f t="shared" si="352"/>
        <v>2.083333333333333</v>
      </c>
      <c r="DK218" s="182">
        <f t="shared" si="352"/>
        <v>0</v>
      </c>
      <c r="DL218" s="182">
        <f t="shared" si="352"/>
        <v>0</v>
      </c>
      <c r="DM218" s="182">
        <f t="shared" si="352"/>
        <v>0</v>
      </c>
      <c r="DN218" s="182">
        <f t="shared" si="352"/>
        <v>0</v>
      </c>
      <c r="DO218" s="182">
        <f t="shared" si="352"/>
        <v>0</v>
      </c>
      <c r="DP218" s="182">
        <f t="shared" si="351"/>
        <v>0</v>
      </c>
      <c r="DQ218" s="182">
        <f t="shared" si="351"/>
        <v>0</v>
      </c>
      <c r="DR218" s="182">
        <f t="shared" si="351"/>
        <v>0</v>
      </c>
      <c r="DS218" s="182">
        <f t="shared" si="351"/>
        <v>0</v>
      </c>
      <c r="DT218" s="182">
        <f t="shared" si="351"/>
        <v>0</v>
      </c>
      <c r="DU218" s="182">
        <f t="shared" si="351"/>
        <v>0</v>
      </c>
      <c r="DV218" s="182">
        <f t="shared" si="351"/>
        <v>0</v>
      </c>
      <c r="DW218" s="182">
        <f t="shared" si="351"/>
        <v>0</v>
      </c>
      <c r="DX218" s="182">
        <f t="shared" si="351"/>
        <v>0</v>
      </c>
      <c r="DY218" s="182">
        <f t="shared" si="351"/>
        <v>0</v>
      </c>
      <c r="DZ218" s="182">
        <f t="shared" si="351"/>
        <v>0</v>
      </c>
      <c r="EA218" s="182">
        <f t="shared" si="351"/>
        <v>0</v>
      </c>
      <c r="EB218" s="182">
        <f t="shared" si="351"/>
        <v>0</v>
      </c>
      <c r="EC218" s="182">
        <f t="shared" si="351"/>
        <v>0</v>
      </c>
      <c r="ED218" s="182">
        <f t="shared" si="351"/>
        <v>0</v>
      </c>
      <c r="EE218" s="182">
        <f t="shared" si="351"/>
        <v>0</v>
      </c>
      <c r="EF218" s="182">
        <f t="shared" si="351"/>
        <v>0</v>
      </c>
      <c r="EG218" s="182">
        <f t="shared" si="351"/>
        <v>0</v>
      </c>
      <c r="EH218" s="182">
        <f t="shared" si="351"/>
        <v>0</v>
      </c>
      <c r="EI218" s="182">
        <f t="shared" si="351"/>
        <v>0</v>
      </c>
      <c r="EJ218" s="182">
        <f t="shared" si="351"/>
        <v>0</v>
      </c>
      <c r="FY218" s="213">
        <v>213</v>
      </c>
      <c r="FZ218">
        <v>18.546408943317175</v>
      </c>
      <c r="GA218">
        <v>27.686129095305859</v>
      </c>
      <c r="GB218">
        <v>9.0430019549889504</v>
      </c>
      <c r="GC218">
        <v>4.9310727053563026</v>
      </c>
      <c r="GD218">
        <v>1.8813824339918497</v>
      </c>
      <c r="GE218">
        <v>1.7397774927496963</v>
      </c>
      <c r="GF218">
        <v>2.3666856991095235</v>
      </c>
      <c r="GG218">
        <v>2.6440737482601882</v>
      </c>
      <c r="GH218">
        <v>1.5603693116103559</v>
      </c>
      <c r="GI218">
        <v>6.7685972538213699</v>
      </c>
      <c r="GJ218"/>
      <c r="GK218"/>
      <c r="GL218"/>
      <c r="GM218"/>
      <c r="GN218" s="208"/>
      <c r="GO218" s="208"/>
      <c r="GP218" s="208"/>
      <c r="GQ218" s="208"/>
      <c r="GR218" s="208"/>
      <c r="GS218" s="208"/>
      <c r="GT218" s="208"/>
      <c r="GU218" s="213">
        <v>213</v>
      </c>
    </row>
    <row r="219" spans="1:203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86.416706169647355</v>
      </c>
      <c r="AO219">
        <v>11.15926375918994</v>
      </c>
      <c r="AP219">
        <v>48.936317147144244</v>
      </c>
      <c r="AQ219">
        <v>83.991289806052393</v>
      </c>
      <c r="AR219">
        <v>10.272463485935177</v>
      </c>
      <c r="AS219">
        <v>134.73752739150049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3">AVERAGE(DF158:DF167)</f>
        <v>0</v>
      </c>
      <c r="DG219" s="182">
        <f t="shared" ref="DG219:DO219" si="354">AVERAGE(DG158:DG167)</f>
        <v>0</v>
      </c>
      <c r="DH219" s="182">
        <f t="shared" si="354"/>
        <v>0</v>
      </c>
      <c r="DI219" s="182">
        <f t="shared" si="354"/>
        <v>12.5</v>
      </c>
      <c r="DJ219" s="182">
        <f t="shared" si="354"/>
        <v>14.646464646464645</v>
      </c>
      <c r="DK219" s="182">
        <f t="shared" si="354"/>
        <v>3.4375</v>
      </c>
      <c r="DL219" s="182">
        <f t="shared" si="354"/>
        <v>0</v>
      </c>
      <c r="DM219" s="182">
        <f t="shared" si="354"/>
        <v>0</v>
      </c>
      <c r="DN219" s="182">
        <f t="shared" si="354"/>
        <v>0</v>
      </c>
      <c r="DO219" s="182">
        <f t="shared" si="354"/>
        <v>0</v>
      </c>
      <c r="DP219" s="182">
        <f t="shared" si="353"/>
        <v>0</v>
      </c>
      <c r="DQ219" s="182">
        <f t="shared" si="353"/>
        <v>0</v>
      </c>
      <c r="DR219" s="182">
        <f t="shared" si="353"/>
        <v>0</v>
      </c>
      <c r="DS219" s="182">
        <f t="shared" si="353"/>
        <v>0</v>
      </c>
      <c r="DT219" s="182">
        <f t="shared" si="353"/>
        <v>0</v>
      </c>
      <c r="DU219" s="182">
        <f t="shared" si="353"/>
        <v>0</v>
      </c>
      <c r="DV219" s="182">
        <f t="shared" si="353"/>
        <v>0</v>
      </c>
      <c r="DW219" s="182">
        <f t="shared" si="353"/>
        <v>0</v>
      </c>
      <c r="DX219" s="182">
        <f t="shared" si="353"/>
        <v>0</v>
      </c>
      <c r="DY219" s="182">
        <f t="shared" si="353"/>
        <v>0</v>
      </c>
      <c r="DZ219" s="182">
        <f t="shared" si="353"/>
        <v>0</v>
      </c>
      <c r="EA219" s="182">
        <f t="shared" si="353"/>
        <v>0</v>
      </c>
      <c r="EB219" s="182">
        <f t="shared" si="353"/>
        <v>0</v>
      </c>
      <c r="EC219" s="182">
        <f t="shared" si="353"/>
        <v>0</v>
      </c>
      <c r="ED219" s="182">
        <f t="shared" si="353"/>
        <v>0</v>
      </c>
      <c r="EE219" s="182">
        <f t="shared" si="353"/>
        <v>0</v>
      </c>
      <c r="EF219" s="182">
        <f t="shared" si="353"/>
        <v>0</v>
      </c>
      <c r="EG219" s="182">
        <f t="shared" si="353"/>
        <v>0</v>
      </c>
      <c r="EH219" s="182">
        <f t="shared" si="353"/>
        <v>0</v>
      </c>
      <c r="EI219" s="182">
        <f t="shared" si="353"/>
        <v>0</v>
      </c>
      <c r="EJ219" s="182">
        <f t="shared" si="353"/>
        <v>0</v>
      </c>
      <c r="FY219" s="213">
        <v>214</v>
      </c>
      <c r="FZ219">
        <v>33.454955388326482</v>
      </c>
      <c r="GA219">
        <v>37.054260360767934</v>
      </c>
      <c r="GB219">
        <v>10.243495436455094</v>
      </c>
      <c r="GC219">
        <v>7.6150547227299645</v>
      </c>
      <c r="GD219">
        <v>2.6252181593548376</v>
      </c>
      <c r="GE219">
        <v>2.6120578176501672</v>
      </c>
      <c r="GF219">
        <v>3.5638125644214038</v>
      </c>
      <c r="GG219">
        <v>2.6046663222765769</v>
      </c>
      <c r="GH219">
        <v>1.2016086289036068</v>
      </c>
      <c r="GI219">
        <v>9.9155036737198952</v>
      </c>
      <c r="GJ219"/>
      <c r="GK219"/>
      <c r="GL219"/>
      <c r="GM219"/>
      <c r="GN219" s="208"/>
      <c r="GO219" s="208"/>
      <c r="GP219" s="208"/>
      <c r="GQ219" s="208"/>
      <c r="GR219" s="208"/>
      <c r="GS219" s="208"/>
      <c r="GT219" s="208"/>
      <c r="GU219" s="213">
        <v>214</v>
      </c>
    </row>
    <row r="220" spans="1:203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66.684850769441283</v>
      </c>
      <c r="AO220">
        <v>7.7881637638225003</v>
      </c>
      <c r="AP220">
        <v>36.13561275918169</v>
      </c>
      <c r="AQ220">
        <v>51.920209063842719</v>
      </c>
      <c r="AR220">
        <v>7.1285683006499596</v>
      </c>
      <c r="AS220">
        <v>111.31395163780151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5">AVERAGE(DF168:DF177)</f>
        <v>0</v>
      </c>
      <c r="DG220" s="182">
        <f t="shared" ref="DG220:DO220" si="356">AVERAGE(DG168:DG177)</f>
        <v>0</v>
      </c>
      <c r="DH220" s="182">
        <f t="shared" si="356"/>
        <v>8.1018518518518512</v>
      </c>
      <c r="DI220" s="182">
        <f t="shared" si="356"/>
        <v>0</v>
      </c>
      <c r="DJ220" s="182">
        <f t="shared" si="356"/>
        <v>1.0416666666666665</v>
      </c>
      <c r="DK220" s="182">
        <f t="shared" si="356"/>
        <v>0</v>
      </c>
      <c r="DL220" s="182">
        <f t="shared" si="356"/>
        <v>3.125</v>
      </c>
      <c r="DM220" s="182">
        <f t="shared" si="356"/>
        <v>0</v>
      </c>
      <c r="DN220" s="182">
        <f t="shared" si="356"/>
        <v>0</v>
      </c>
      <c r="DO220" s="182">
        <f t="shared" si="356"/>
        <v>0</v>
      </c>
      <c r="DP220" s="182">
        <f t="shared" si="355"/>
        <v>0</v>
      </c>
      <c r="DQ220" s="182">
        <f t="shared" si="355"/>
        <v>0</v>
      </c>
      <c r="DR220" s="182">
        <f t="shared" si="355"/>
        <v>0</v>
      </c>
      <c r="DS220" s="182">
        <f t="shared" si="355"/>
        <v>0</v>
      </c>
      <c r="DT220" s="182">
        <f t="shared" si="355"/>
        <v>0</v>
      </c>
      <c r="DU220" s="182">
        <f t="shared" si="355"/>
        <v>0</v>
      </c>
      <c r="DV220" s="182">
        <f t="shared" si="355"/>
        <v>0</v>
      </c>
      <c r="DW220" s="182">
        <f t="shared" si="355"/>
        <v>0</v>
      </c>
      <c r="DX220" s="182">
        <f t="shared" si="355"/>
        <v>0</v>
      </c>
      <c r="DY220" s="182">
        <f t="shared" si="355"/>
        <v>0</v>
      </c>
      <c r="DZ220" s="182">
        <f t="shared" si="355"/>
        <v>0</v>
      </c>
      <c r="EA220" s="182">
        <f t="shared" si="355"/>
        <v>0</v>
      </c>
      <c r="EB220" s="182">
        <f t="shared" si="355"/>
        <v>0</v>
      </c>
      <c r="EC220" s="182">
        <f t="shared" si="355"/>
        <v>0</v>
      </c>
      <c r="ED220" s="182">
        <f t="shared" si="355"/>
        <v>0</v>
      </c>
      <c r="EE220" s="182">
        <f t="shared" si="355"/>
        <v>0</v>
      </c>
      <c r="EF220" s="182">
        <f t="shared" si="355"/>
        <v>0</v>
      </c>
      <c r="EG220" s="182">
        <f t="shared" si="355"/>
        <v>0</v>
      </c>
      <c r="EH220" s="182">
        <f t="shared" si="355"/>
        <v>0</v>
      </c>
      <c r="EI220" s="182">
        <f t="shared" si="355"/>
        <v>0</v>
      </c>
      <c r="EJ220" s="182">
        <f t="shared" si="355"/>
        <v>0</v>
      </c>
      <c r="FY220" s="213">
        <v>215</v>
      </c>
      <c r="FZ220">
        <v>15.677471755263326</v>
      </c>
      <c r="GA220">
        <v>20.680423701792137</v>
      </c>
      <c r="GB220">
        <v>6.6446604662640718</v>
      </c>
      <c r="GC220">
        <v>4.2641256855717593</v>
      </c>
      <c r="GD220">
        <v>1.7841743048098186</v>
      </c>
      <c r="GE220">
        <v>1.7990296586018428</v>
      </c>
      <c r="GF220">
        <v>3.6865462341833748</v>
      </c>
      <c r="GG220">
        <v>3.9809949007655323</v>
      </c>
      <c r="GH220">
        <v>2.1611736260621592</v>
      </c>
      <c r="GI220">
        <v>6.0597481166900371</v>
      </c>
      <c r="GJ220"/>
      <c r="GK220"/>
      <c r="GL220"/>
      <c r="GM220"/>
      <c r="GN220" s="208"/>
      <c r="GO220" s="208"/>
      <c r="GP220" s="208"/>
      <c r="GQ220" s="208"/>
      <c r="GR220" s="208"/>
      <c r="GS220" s="208"/>
      <c r="GT220" s="208"/>
      <c r="GU220" s="213">
        <v>215</v>
      </c>
    </row>
    <row r="221" spans="1:203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76.932901220464601</v>
      </c>
      <c r="AO221">
        <v>13.268448515141364</v>
      </c>
      <c r="AP221">
        <v>90.562444323097836</v>
      </c>
      <c r="AQ221">
        <v>102.44588908065883</v>
      </c>
      <c r="AR221">
        <v>12.31691493234832</v>
      </c>
      <c r="AS221">
        <v>143.46043743202299</v>
      </c>
      <c r="AT221">
        <v>8.3180450298815352</v>
      </c>
      <c r="AU221">
        <v>-18.412602192415562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7">AVERAGE(DF178:DF187)</f>
        <v>0</v>
      </c>
      <c r="DG221" s="182">
        <f t="shared" ref="DG221:DO221" si="358">AVERAGE(DG178:DG187)</f>
        <v>0</v>
      </c>
      <c r="DH221" s="182">
        <f t="shared" si="358"/>
        <v>0</v>
      </c>
      <c r="DI221" s="182">
        <f t="shared" si="358"/>
        <v>0</v>
      </c>
      <c r="DJ221" s="182">
        <f t="shared" si="358"/>
        <v>0</v>
      </c>
      <c r="DK221" s="182">
        <f t="shared" si="358"/>
        <v>0</v>
      </c>
      <c r="DL221" s="182">
        <f t="shared" si="358"/>
        <v>0</v>
      </c>
      <c r="DM221" s="182">
        <f t="shared" si="358"/>
        <v>1.0416666666666665</v>
      </c>
      <c r="DN221" s="182">
        <f t="shared" si="358"/>
        <v>0</v>
      </c>
      <c r="DO221" s="182">
        <f t="shared" si="358"/>
        <v>0</v>
      </c>
      <c r="DP221" s="182">
        <f t="shared" si="357"/>
        <v>0</v>
      </c>
      <c r="DQ221" s="182">
        <f t="shared" si="357"/>
        <v>0</v>
      </c>
      <c r="DR221" s="182">
        <f t="shared" si="357"/>
        <v>0</v>
      </c>
      <c r="DS221" s="182">
        <f t="shared" si="357"/>
        <v>0</v>
      </c>
      <c r="DT221" s="182">
        <f t="shared" si="357"/>
        <v>0</v>
      </c>
      <c r="DU221" s="182">
        <f t="shared" si="357"/>
        <v>0</v>
      </c>
      <c r="DV221" s="182">
        <f t="shared" si="357"/>
        <v>0</v>
      </c>
      <c r="DW221" s="182">
        <f t="shared" si="357"/>
        <v>0</v>
      </c>
      <c r="DX221" s="182">
        <f t="shared" si="357"/>
        <v>0</v>
      </c>
      <c r="DY221" s="182">
        <f t="shared" si="357"/>
        <v>0</v>
      </c>
      <c r="DZ221" s="182">
        <f t="shared" si="357"/>
        <v>0</v>
      </c>
      <c r="EA221" s="182">
        <f t="shared" si="357"/>
        <v>0</v>
      </c>
      <c r="EB221" s="182">
        <f t="shared" si="357"/>
        <v>0</v>
      </c>
      <c r="EC221" s="182">
        <f t="shared" si="357"/>
        <v>0</v>
      </c>
      <c r="ED221" s="182">
        <f t="shared" si="357"/>
        <v>0</v>
      </c>
      <c r="EE221" s="182">
        <f t="shared" si="357"/>
        <v>0</v>
      </c>
      <c r="EF221" s="182">
        <f t="shared" si="357"/>
        <v>0</v>
      </c>
      <c r="EG221" s="182">
        <f t="shared" si="357"/>
        <v>0</v>
      </c>
      <c r="EH221" s="182">
        <f t="shared" si="357"/>
        <v>0</v>
      </c>
      <c r="EI221" s="182">
        <f t="shared" si="357"/>
        <v>0</v>
      </c>
      <c r="EJ221" s="182">
        <f t="shared" si="357"/>
        <v>0</v>
      </c>
      <c r="FY221" s="213">
        <v>216</v>
      </c>
      <c r="FZ221">
        <v>28.444969533757138</v>
      </c>
      <c r="GA221">
        <v>33.695128193496323</v>
      </c>
      <c r="GB221">
        <v>6.63146181855707</v>
      </c>
      <c r="GC221">
        <v>4.6987581319995195</v>
      </c>
      <c r="GD221">
        <v>2.0838382172558352</v>
      </c>
      <c r="GE221">
        <v>2.458747898721243</v>
      </c>
      <c r="GF221">
        <v>4.6277282979389076</v>
      </c>
      <c r="GG221">
        <v>5.0625918969449488</v>
      </c>
      <c r="GH221">
        <v>1.5603693116103559</v>
      </c>
      <c r="GI221">
        <v>8.1414591569498302</v>
      </c>
      <c r="GJ221"/>
      <c r="GK221"/>
      <c r="GL221"/>
      <c r="GM221"/>
      <c r="GN221" s="208"/>
      <c r="GO221" s="208"/>
      <c r="GP221" s="208"/>
      <c r="GQ221" s="208"/>
      <c r="GR221" s="208"/>
      <c r="GS221" s="208"/>
      <c r="GT221" s="208"/>
      <c r="GU221" s="213">
        <v>216</v>
      </c>
    </row>
    <row r="222" spans="1:203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108.38886235491839</v>
      </c>
      <c r="AO222">
        <v>22.336007853447093</v>
      </c>
      <c r="AP222">
        <v>136.11576305507299</v>
      </c>
      <c r="AQ222">
        <v>200.74767166414139</v>
      </c>
      <c r="AR222">
        <v>20.382510614415928</v>
      </c>
      <c r="AS222">
        <v>219.00166671529382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>
        <v>40011</v>
      </c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3">
        <v>217</v>
      </c>
      <c r="FZ222">
        <v>14.276758688766403</v>
      </c>
      <c r="GA222">
        <v>18.599114330457347</v>
      </c>
      <c r="GB222">
        <v>4.82156786636956</v>
      </c>
      <c r="GC222">
        <v>3.5060455188866366</v>
      </c>
      <c r="GD222">
        <v>1.9995486494998942</v>
      </c>
      <c r="GE222">
        <v>1.8065310952453055</v>
      </c>
      <c r="GF222">
        <v>2.8316583321548285</v>
      </c>
      <c r="GG222">
        <v>1.9958607642616337</v>
      </c>
      <c r="GH222">
        <v>0</v>
      </c>
      <c r="GI222">
        <v>4.9853123910173238</v>
      </c>
      <c r="GJ222"/>
      <c r="GK222"/>
      <c r="GL222"/>
      <c r="GM222"/>
      <c r="GN222" s="208"/>
      <c r="GO222" s="208"/>
      <c r="GP222" s="208"/>
      <c r="GQ222" s="208"/>
      <c r="GR222" s="208"/>
      <c r="GS222" s="208"/>
      <c r="GT222" s="208"/>
      <c r="GU222" s="213">
        <v>217</v>
      </c>
    </row>
    <row r="223" spans="1:203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86.003484866168662</v>
      </c>
      <c r="AO223">
        <v>11.511543257652471</v>
      </c>
      <c r="AP223">
        <v>57.154961924124336</v>
      </c>
      <c r="AQ223">
        <v>89.205236382268211</v>
      </c>
      <c r="AR223">
        <v>10.661125215595343</v>
      </c>
      <c r="AS223">
        <v>144.7000705739483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3">
        <v>218</v>
      </c>
      <c r="FZ223">
        <v>9.4215818627099903</v>
      </c>
      <c r="GA223">
        <v>12.923935693689888</v>
      </c>
      <c r="GB223">
        <v>10.017193651920701</v>
      </c>
      <c r="GC223">
        <v>6.0512556974624649</v>
      </c>
      <c r="GD223">
        <v>2.182798320538641</v>
      </c>
      <c r="GE223">
        <v>2.5030893343467673</v>
      </c>
      <c r="GF223">
        <v>3.2129485793877484</v>
      </c>
      <c r="GG223">
        <v>2.53103689136351</v>
      </c>
      <c r="GH223">
        <v>0.60080431445180338</v>
      </c>
      <c r="GI223">
        <v>5.8501081982613057</v>
      </c>
      <c r="GJ223"/>
      <c r="GK223"/>
      <c r="GL223"/>
      <c r="GM223"/>
      <c r="GN223" s="208"/>
      <c r="GO223" s="208"/>
      <c r="GP223" s="208"/>
      <c r="GQ223" s="208"/>
      <c r="GR223" s="208"/>
      <c r="GS223" s="208"/>
      <c r="GT223" s="208"/>
      <c r="GU223" s="213">
        <v>218</v>
      </c>
    </row>
    <row r="224" spans="1:203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81.731042833800188</v>
      </c>
      <c r="AO224">
        <v>16.485948619396595</v>
      </c>
      <c r="AP224">
        <v>145.512458916805</v>
      </c>
      <c r="AQ224">
        <v>131.97043012038469</v>
      </c>
      <c r="AR224">
        <v>15.166727105858515</v>
      </c>
      <c r="AS224">
        <v>141.46780730638488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3">
        <v>219</v>
      </c>
      <c r="FZ224">
        <v>38.106639385483561</v>
      </c>
      <c r="GA224">
        <v>44.906325618447156</v>
      </c>
      <c r="GB224">
        <v>6.2056695957662589</v>
      </c>
      <c r="GC224">
        <v>4.2371247031931807</v>
      </c>
      <c r="GD224">
        <v>2.5669776979790351</v>
      </c>
      <c r="GE224">
        <v>3.0108061021217303</v>
      </c>
      <c r="GF224">
        <v>3.2059558041220626</v>
      </c>
      <c r="GG224">
        <v>5.7145834102989852</v>
      </c>
      <c r="GH224">
        <v>5.2819122492828701</v>
      </c>
      <c r="GI224">
        <v>10.149071669392674</v>
      </c>
      <c r="GJ224"/>
      <c r="GK224"/>
      <c r="GL224"/>
      <c r="GM224"/>
      <c r="GN224" s="208"/>
      <c r="GO224" s="208"/>
      <c r="GP224" s="208"/>
      <c r="GQ224" s="208"/>
      <c r="GR224" s="208"/>
      <c r="GS224" s="208"/>
      <c r="GT224" s="208"/>
      <c r="GU224" s="213">
        <v>219</v>
      </c>
    </row>
    <row r="225" spans="1:203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81.22533879378453</v>
      </c>
      <c r="AO225">
        <v>12.023097979326522</v>
      </c>
      <c r="AP225">
        <v>71.691589444193696</v>
      </c>
      <c r="AQ225">
        <v>99.553052753820921</v>
      </c>
      <c r="AR225">
        <v>10.978607644697576</v>
      </c>
      <c r="AS225">
        <v>136.13637968639023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6.0517864809713169E-2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3">
        <v>220</v>
      </c>
      <c r="FZ225">
        <v>51.066870358308201</v>
      </c>
      <c r="GA225">
        <v>64.623492609211937</v>
      </c>
      <c r="GB225">
        <v>10.910540217832706</v>
      </c>
      <c r="GC225">
        <v>5.3817071547499857</v>
      </c>
      <c r="GD225">
        <v>1.9312338146477248</v>
      </c>
      <c r="GE225">
        <v>2.7426121902747016</v>
      </c>
      <c r="GF225">
        <v>1.9429230601796657</v>
      </c>
      <c r="GG225">
        <v>2.2680533309583057</v>
      </c>
      <c r="GH225">
        <v>1.5603693116103559</v>
      </c>
      <c r="GI225">
        <v>12.0289919296302</v>
      </c>
      <c r="GJ225"/>
      <c r="GK225"/>
      <c r="GL225"/>
      <c r="GM225"/>
      <c r="GN225" s="208"/>
      <c r="GO225" s="208"/>
      <c r="GP225" s="208"/>
      <c r="GQ225" s="208"/>
      <c r="GR225" s="208"/>
      <c r="GS225" s="208"/>
      <c r="GT225" s="208"/>
      <c r="GU225" s="213">
        <v>220</v>
      </c>
    </row>
    <row r="226" spans="1:203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88.355179753525334</v>
      </c>
      <c r="AO226">
        <v>13.466863164919641</v>
      </c>
      <c r="AP226">
        <v>75.49682574685005</v>
      </c>
      <c r="AQ226">
        <v>106.98052379859213</v>
      </c>
      <c r="AR226">
        <v>12.342297955095406</v>
      </c>
      <c r="AS226">
        <v>151.9457424331863</v>
      </c>
      <c r="AT226">
        <v>7.7810848173091003</v>
      </c>
      <c r="AU226">
        <v>17.734430224250293</v>
      </c>
      <c r="AV226"/>
      <c r="AW226"/>
      <c r="DE226" s="187">
        <f>DE101</f>
        <v>39673</v>
      </c>
      <c r="DF226" s="205"/>
      <c r="DG226" s="205">
        <f t="shared" ref="DG226:DG235" si="359">((DG213*$H$372)+(DH213*$I$372)+(DI213*$J$372)+(DJ213*$K$372)+(DK213*$L$372)+(DL213*$M$372)+(DM213*$N$372)+(DN213*$O$372)+(DO213*$P$372)+(DP213*$Q$372)+(DQ213*$R$372)+(DR213*$S$372)+(DS213*$T$372)+(DT213*$U$372))/SUM(DG213:DT213)</f>
        <v>0.34106267314249289</v>
      </c>
      <c r="DH226" s="205">
        <f>(LN(DG226/DG225))/(DE213-DE212)</f>
        <v>6.4041764631226974E-2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3">
        <v>221</v>
      </c>
      <c r="FZ226">
        <v>28.501385177379515</v>
      </c>
      <c r="GA226">
        <v>35.916913975722636</v>
      </c>
      <c r="GB226">
        <v>8.2099532061568947</v>
      </c>
      <c r="GC226">
        <v>5.3682590260452256</v>
      </c>
      <c r="GD226">
        <v>2.8201317155869963</v>
      </c>
      <c r="GE226">
        <v>3.2934275733311655</v>
      </c>
      <c r="GF226">
        <v>1.9330220580287176</v>
      </c>
      <c r="GG226">
        <v>1.2116289000039018</v>
      </c>
      <c r="GH226">
        <v>0</v>
      </c>
      <c r="GI226">
        <v>8.2865978539313829</v>
      </c>
      <c r="GJ226"/>
      <c r="GK226"/>
      <c r="GL226"/>
      <c r="GM226"/>
      <c r="GN226" s="208"/>
      <c r="GO226" s="208"/>
      <c r="GP226" s="208"/>
      <c r="GQ226" s="208"/>
      <c r="GR226" s="208"/>
      <c r="GS226" s="208"/>
      <c r="GT226" s="208"/>
      <c r="GU226" s="213">
        <v>221</v>
      </c>
    </row>
    <row r="227" spans="1:203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84.593883784356663</v>
      </c>
      <c r="AO227">
        <v>16.214806819283055</v>
      </c>
      <c r="AP227">
        <v>99.7116872373837</v>
      </c>
      <c r="AQ227">
        <v>133.21822678850458</v>
      </c>
      <c r="AR227">
        <v>15.030780823907987</v>
      </c>
      <c r="AS227">
        <v>167.18798108908965</v>
      </c>
      <c r="AT227">
        <v>9.816476852255354</v>
      </c>
      <c r="AU227">
        <v>38.312357400670805</v>
      </c>
      <c r="AV227"/>
      <c r="AW227"/>
      <c r="DE227" s="187">
        <f>DE111</f>
        <v>39714</v>
      </c>
      <c r="DF227" s="205"/>
      <c r="DG227" s="205">
        <f t="shared" si="359"/>
        <v>0.24729217771973025</v>
      </c>
      <c r="DH227" s="205">
        <f t="shared" ref="DH227:DH234" si="360">(LN(DG227/DG226))/(DE214-DE213)</f>
        <v>-7.8413587636197418E-3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3">
        <v>222</v>
      </c>
      <c r="FZ227">
        <v>19.765722004685568</v>
      </c>
      <c r="GA227">
        <v>21.15061861862068</v>
      </c>
      <c r="GB227">
        <v>8.8446965319719446</v>
      </c>
      <c r="GC227">
        <v>5.8872363034721644</v>
      </c>
      <c r="GD227">
        <v>2.2779367589209478</v>
      </c>
      <c r="GE227">
        <v>3.0001177414122613</v>
      </c>
      <c r="GF227">
        <v>0.6106231449727475</v>
      </c>
      <c r="GG227">
        <v>0.27046567981485609</v>
      </c>
      <c r="GH227">
        <v>1.2016086289036068</v>
      </c>
      <c r="GI227">
        <v>6.7827867606955312</v>
      </c>
      <c r="GJ227"/>
      <c r="GK227"/>
      <c r="GL227"/>
      <c r="GM227"/>
      <c r="GN227" s="208"/>
      <c r="GO227" s="208"/>
      <c r="GP227" s="208"/>
      <c r="GQ227" s="208"/>
      <c r="GR227" s="208"/>
      <c r="GS227" s="208"/>
      <c r="GT227" s="208"/>
      <c r="GU227" s="213">
        <v>222</v>
      </c>
    </row>
    <row r="228" spans="1:203" s="7" customFormat="1">
      <c r="A228" s="9" t="s">
        <v>60</v>
      </c>
      <c r="B228">
        <v>0.2545527969473238</v>
      </c>
      <c r="C228">
        <v>4</v>
      </c>
      <c r="D228">
        <v>39646</v>
      </c>
      <c r="E228">
        <v>0</v>
      </c>
      <c r="F228">
        <v>0</v>
      </c>
      <c r="G228">
        <v>41.666666666666664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93.466019980789241</v>
      </c>
      <c r="AO228">
        <v>9.2990155767545559</v>
      </c>
      <c r="AP228">
        <v>36.301554638920436</v>
      </c>
      <c r="AQ228">
        <v>61.834170214154128</v>
      </c>
      <c r="AR228">
        <v>8.6925213708416234</v>
      </c>
      <c r="AS228">
        <v>114.9009472945479</v>
      </c>
      <c r="AT228">
        <v>5.7654300427318388</v>
      </c>
      <c r="AU228">
        <v>18.715651564201803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9"/>
        <v>7.4780067271307857E-2</v>
      </c>
      <c r="DH228" s="205">
        <f t="shared" si="360"/>
        <v>-3.6243005277454013E-2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3">
        <v>223</v>
      </c>
      <c r="FZ228">
        <v>35.873285226048282</v>
      </c>
      <c r="GA228">
        <v>42.03683404484493</v>
      </c>
      <c r="GB228">
        <v>6.1622562136703722</v>
      </c>
      <c r="GC228">
        <v>5.2413563396335494</v>
      </c>
      <c r="GD228">
        <v>2.4588125080044891</v>
      </c>
      <c r="GE228">
        <v>2.1690805890229061</v>
      </c>
      <c r="GF228">
        <v>4.0667433767667323</v>
      </c>
      <c r="GG228">
        <v>5.5112263510892028</v>
      </c>
      <c r="GH228">
        <v>4.3223472521243185</v>
      </c>
      <c r="GI228">
        <v>9.7361534155708043</v>
      </c>
      <c r="GJ228"/>
      <c r="GK228"/>
      <c r="GL228"/>
      <c r="GM228"/>
      <c r="GN228" s="208"/>
      <c r="GO228" s="208"/>
      <c r="GP228" s="208"/>
      <c r="GQ228" s="208"/>
      <c r="GR228" s="208"/>
      <c r="GS228" s="208"/>
      <c r="GT228" s="208"/>
      <c r="GU228" s="213">
        <v>223</v>
      </c>
    </row>
    <row r="229" spans="1:203" s="7" customFormat="1">
      <c r="A229" s="90"/>
      <c r="B229">
        <v>0.88798601627547868</v>
      </c>
      <c r="C229">
        <v>4</v>
      </c>
      <c r="D229">
        <v>39646</v>
      </c>
      <c r="E229">
        <v>0</v>
      </c>
      <c r="F229">
        <v>0</v>
      </c>
      <c r="G229">
        <v>41.666666666666664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87.438246691986549</v>
      </c>
      <c r="AO229">
        <v>10.21179940203235</v>
      </c>
      <c r="AP229">
        <v>46.696478959591438</v>
      </c>
      <c r="AQ229">
        <v>77.167498638511262</v>
      </c>
      <c r="AR229">
        <v>9.3210222405837797</v>
      </c>
      <c r="AS229">
        <v>128.10387861557621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9"/>
        <v>6.3930981982872462E-2</v>
      </c>
      <c r="DH229" s="205">
        <f t="shared" si="360"/>
        <v>-5.5981169355275575E-3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3">
        <v>224</v>
      </c>
      <c r="FZ229">
        <v>14.576942060618444</v>
      </c>
      <c r="GA229">
        <v>22.330233215942208</v>
      </c>
      <c r="GB229">
        <v>10.511243252306864</v>
      </c>
      <c r="GC229">
        <v>5.4211510604362863</v>
      </c>
      <c r="GD229">
        <v>2.0510488026210747</v>
      </c>
      <c r="GE229">
        <v>2.3880113748578218</v>
      </c>
      <c r="GF229">
        <v>2.9911475987486802</v>
      </c>
      <c r="GG229">
        <v>4.5660733377018987</v>
      </c>
      <c r="GH229">
        <v>4.3223472521243185</v>
      </c>
      <c r="GI229">
        <v>7.3063686480643693</v>
      </c>
      <c r="GJ229"/>
      <c r="GK229"/>
      <c r="GL229"/>
      <c r="GM229"/>
      <c r="GN229" s="208"/>
      <c r="GO229" s="208"/>
      <c r="GP229" s="208"/>
      <c r="GQ229" s="208"/>
      <c r="GR229" s="208"/>
      <c r="GS229" s="208"/>
      <c r="GT229" s="208"/>
      <c r="GU229" s="213">
        <v>224</v>
      </c>
    </row>
    <row r="230" spans="1:203" s="7" customFormat="1">
      <c r="A230" s="77"/>
      <c r="B230">
        <v>0.85553531406934114</v>
      </c>
      <c r="C230">
        <v>10</v>
      </c>
      <c r="D230">
        <v>39646</v>
      </c>
      <c r="E230">
        <v>0</v>
      </c>
      <c r="F230">
        <v>0</v>
      </c>
      <c r="G230">
        <v>208.33333333333334</v>
      </c>
      <c r="H230">
        <v>41.666666666666664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92.740494084459598</v>
      </c>
      <c r="AO230">
        <v>14.705648469619973</v>
      </c>
      <c r="AP230">
        <v>295.27554389737679</v>
      </c>
      <c r="AQ230">
        <v>110.89063307460596</v>
      </c>
      <c r="AR230">
        <v>13.673740778155114</v>
      </c>
      <c r="AS230">
        <v>178.29799586960073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9"/>
        <v>0.10871663776248297</v>
      </c>
      <c r="DH230" s="205">
        <f t="shared" si="360"/>
        <v>2.2122531198479668E-2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3">
        <v>225</v>
      </c>
      <c r="FZ230">
        <v>19.992374760959898</v>
      </c>
      <c r="GA230">
        <v>25.454140086003978</v>
      </c>
      <c r="GB230">
        <v>6.7648657958412741</v>
      </c>
      <c r="GC230">
        <v>4.4855911810596556</v>
      </c>
      <c r="GD230">
        <v>2.443898375726687</v>
      </c>
      <c r="GE230">
        <v>2.6492876967590364</v>
      </c>
      <c r="GF230">
        <v>2.3576076116104607</v>
      </c>
      <c r="GG230">
        <v>1.747820608310571</v>
      </c>
      <c r="GH230">
        <v>0.60080431445180338</v>
      </c>
      <c r="GI230">
        <v>6.6080110978305209</v>
      </c>
      <c r="GJ230"/>
      <c r="GK230"/>
      <c r="GL230"/>
      <c r="GM230"/>
      <c r="GN230" s="208"/>
      <c r="GO230" s="208"/>
      <c r="GP230" s="208"/>
      <c r="GQ230" s="208"/>
      <c r="GR230" s="208"/>
      <c r="GS230" s="208"/>
      <c r="GT230" s="208"/>
      <c r="GU230" s="213">
        <v>225</v>
      </c>
    </row>
    <row r="231" spans="1:203" s="7" customFormat="1">
      <c r="A231" s="77"/>
      <c r="B231">
        <v>0.76849682760966154</v>
      </c>
      <c r="C231">
        <v>9</v>
      </c>
      <c r="D231">
        <v>39646</v>
      </c>
      <c r="E231">
        <v>0</v>
      </c>
      <c r="F231">
        <v>0</v>
      </c>
      <c r="G231">
        <v>10.416666666666666</v>
      </c>
      <c r="H231">
        <v>20.833333333333332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64.979696154176366</v>
      </c>
      <c r="AO231">
        <v>9.0701639755941432</v>
      </c>
      <c r="AP231">
        <v>56.801747210711987</v>
      </c>
      <c r="AQ231">
        <v>66.738348450004054</v>
      </c>
      <c r="AR231">
        <v>8.3671993597649585</v>
      </c>
      <c r="AS231">
        <v>106.26344096041962</v>
      </c>
      <c r="AT231">
        <v>5.7310737632834323</v>
      </c>
      <c r="AU231">
        <v>-21.441465641379281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9"/>
        <v>0.22018403706879966</v>
      </c>
      <c r="DH231" s="205">
        <f t="shared" si="360"/>
        <v>1.4702476772466751E-2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3">
        <v>226</v>
      </c>
      <c r="FZ231">
        <v>42.006252932326447</v>
      </c>
      <c r="GA231">
        <v>51.334278219369438</v>
      </c>
      <c r="GB231">
        <v>7.7634394867415555</v>
      </c>
      <c r="GC231">
        <v>4.6320303366184783</v>
      </c>
      <c r="GD231">
        <v>1.8694714064720475</v>
      </c>
      <c r="GE231">
        <v>2.0792798688135479</v>
      </c>
      <c r="GF231">
        <v>4.2130437465081121</v>
      </c>
      <c r="GG231">
        <v>6.7448037880341136</v>
      </c>
      <c r="GH231">
        <v>5.2819122492828701</v>
      </c>
      <c r="GI231">
        <v>10.85796421029953</v>
      </c>
      <c r="GJ231"/>
      <c r="GK231"/>
      <c r="GL231"/>
      <c r="GM231"/>
      <c r="GN231" s="208"/>
      <c r="GO231" s="208"/>
      <c r="GP231" s="208"/>
      <c r="GQ231" s="208"/>
      <c r="GR231" s="208"/>
      <c r="GS231" s="208"/>
      <c r="GT231" s="208"/>
      <c r="GU231" s="213">
        <v>226</v>
      </c>
    </row>
    <row r="232" spans="1:203" s="7" customFormat="1">
      <c r="A232" s="77"/>
      <c r="B232">
        <v>0.47740982848462399</v>
      </c>
      <c r="C232">
        <v>2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83.377371762881381</v>
      </c>
      <c r="AO232">
        <v>12.300766695606608</v>
      </c>
      <c r="AP232">
        <v>63.725762796974095</v>
      </c>
      <c r="AQ232">
        <v>97.405052457231179</v>
      </c>
      <c r="AR232">
        <v>11.204514993651786</v>
      </c>
      <c r="AS232">
        <v>139.08597806957718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9"/>
        <v>0.26289090307470547</v>
      </c>
      <c r="DH232" s="205">
        <f t="shared" si="360"/>
        <v>2.8138952400887118E-3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3">
        <v>227</v>
      </c>
      <c r="FZ232">
        <v>11.524438359567597</v>
      </c>
      <c r="GA232">
        <v>14.664592887569132</v>
      </c>
      <c r="GB232">
        <v>10.329591786794548</v>
      </c>
      <c r="GC232">
        <v>6.0303925452395806</v>
      </c>
      <c r="GD232">
        <v>1.8367455004479514</v>
      </c>
      <c r="GE232">
        <v>1.9445693201173071</v>
      </c>
      <c r="GF232">
        <v>4.2039656590090475</v>
      </c>
      <c r="GG232">
        <v>6.849608667396355</v>
      </c>
      <c r="GH232">
        <v>5.2819122492828701</v>
      </c>
      <c r="GI232">
        <v>6.9704389250314467</v>
      </c>
      <c r="GJ232"/>
      <c r="GK232"/>
      <c r="GL232"/>
      <c r="GM232"/>
      <c r="GN232" s="208"/>
      <c r="GO232" s="208"/>
      <c r="GP232" s="208"/>
      <c r="GQ232" s="208"/>
      <c r="GR232" s="208"/>
      <c r="GS232" s="208"/>
      <c r="GT232" s="208"/>
      <c r="GU232" s="213">
        <v>227</v>
      </c>
    </row>
    <row r="233" spans="1:203" s="7" customFormat="1">
      <c r="A233" s="77"/>
      <c r="B233">
        <v>0.78832414146007856</v>
      </c>
      <c r="C233">
        <v>4</v>
      </c>
      <c r="D233">
        <v>39646</v>
      </c>
      <c r="E233">
        <v>0</v>
      </c>
      <c r="F233">
        <v>0</v>
      </c>
      <c r="G233">
        <v>41.666666666666664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61.13471077533579</v>
      </c>
      <c r="AO233">
        <v>7.4179069990598538</v>
      </c>
      <c r="AP233">
        <v>49.232699603108912</v>
      </c>
      <c r="AQ233">
        <v>54.822397636658934</v>
      </c>
      <c r="AR233">
        <v>6.8472186516809863</v>
      </c>
      <c r="AS233">
        <v>97.460501296199055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9"/>
        <v>0.28500192258636953</v>
      </c>
      <c r="DH233" s="205">
        <f t="shared" si="360"/>
        <v>2.0706871090286974E-3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3">
        <v>228</v>
      </c>
      <c r="FZ233">
        <v>62.054354645157723</v>
      </c>
      <c r="GA233">
        <v>75.601795189420571</v>
      </c>
      <c r="GB233">
        <v>8.808248040361244</v>
      </c>
      <c r="GC233">
        <v>5.5524991406713449</v>
      </c>
      <c r="GD233">
        <v>2.4888792212074162</v>
      </c>
      <c r="GE233">
        <v>2.6258354618190936</v>
      </c>
      <c r="GF233">
        <v>4.6433460949549143</v>
      </c>
      <c r="GG233">
        <v>4.9782743907219098</v>
      </c>
      <c r="GH233">
        <v>2.1611736260621592</v>
      </c>
      <c r="GI233">
        <v>14.074538695939763</v>
      </c>
      <c r="GJ233"/>
      <c r="GK233"/>
      <c r="GL233"/>
      <c r="GM233"/>
      <c r="GN233" s="208"/>
      <c r="GO233" s="208"/>
      <c r="GP233" s="208"/>
      <c r="GQ233" s="208"/>
      <c r="GR233" s="208"/>
      <c r="GS233" s="208"/>
      <c r="GT233" s="208"/>
      <c r="GU233" s="213">
        <v>228</v>
      </c>
    </row>
    <row r="234" spans="1:203" s="7" customFormat="1">
      <c r="A234" s="77"/>
      <c r="B234">
        <v>0.7487740029806158</v>
      </c>
      <c r="C234">
        <v>9</v>
      </c>
      <c r="D234">
        <v>39646</v>
      </c>
      <c r="E234">
        <v>0</v>
      </c>
      <c r="F234">
        <v>0</v>
      </c>
      <c r="G234">
        <v>10.416666666666666</v>
      </c>
      <c r="H234">
        <v>20.833333333333332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90.158352736541104</v>
      </c>
      <c r="AO234">
        <v>8.6451972647399469</v>
      </c>
      <c r="AP234">
        <v>37.564802497082724</v>
      </c>
      <c r="AQ234">
        <v>55.294752544132812</v>
      </c>
      <c r="AR234">
        <v>8.0338043516361868</v>
      </c>
      <c r="AS234">
        <v>136.6526299464372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9"/>
        <v>1.3587918549382612</v>
      </c>
      <c r="DH234" s="205">
        <f t="shared" si="360"/>
        <v>4.1101455678957975E-2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3">
        <v>229</v>
      </c>
      <c r="FZ234">
        <v>27.818136952773521</v>
      </c>
      <c r="GA234">
        <v>33.012191960532462</v>
      </c>
      <c r="GB234">
        <v>5.8306341463290803</v>
      </c>
      <c r="GC234">
        <v>4.7984418046276813</v>
      </c>
      <c r="GD234">
        <v>2.7768219037583384</v>
      </c>
      <c r="GE234">
        <v>3.2988250083437025</v>
      </c>
      <c r="GF234">
        <v>3.5827916540714151</v>
      </c>
      <c r="GG234">
        <v>2.5038512361125935</v>
      </c>
      <c r="GH234">
        <v>0</v>
      </c>
      <c r="GI234">
        <v>7.831532528561354</v>
      </c>
      <c r="GJ234"/>
      <c r="GK234"/>
      <c r="GL234"/>
      <c r="GM234"/>
      <c r="GN234" s="208"/>
      <c r="GO234" s="208"/>
      <c r="GP234" s="208"/>
      <c r="GQ234" s="208"/>
      <c r="GR234" s="208"/>
      <c r="GS234" s="208"/>
      <c r="GT234" s="208"/>
      <c r="GU234" s="213">
        <v>229</v>
      </c>
    </row>
    <row r="235" spans="1:203" s="7" customFormat="1">
      <c r="A235" s="77"/>
      <c r="B235">
        <v>0.63284725127322816</v>
      </c>
      <c r="C235">
        <v>9</v>
      </c>
      <c r="D235">
        <v>39646</v>
      </c>
      <c r="E235">
        <v>0</v>
      </c>
      <c r="F235">
        <v>0</v>
      </c>
      <c r="G235">
        <v>10.416666666666666</v>
      </c>
      <c r="H235">
        <v>20.833333333333332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97.374816339002464</v>
      </c>
      <c r="AO235">
        <v>15.102589499926868</v>
      </c>
      <c r="AP235">
        <v>92.334525053168434</v>
      </c>
      <c r="AQ235">
        <v>123.38506623608751</v>
      </c>
      <c r="AR235">
        <v>14.043086957637769</v>
      </c>
      <c r="AS235">
        <v>172.44385742535098</v>
      </c>
      <c r="AT235">
        <v>9.3565773998157358</v>
      </c>
      <c r="AU235">
        <v>43.984506213755232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 t="e">
        <f t="shared" si="359"/>
        <v>#DIV/0!</v>
      </c>
      <c r="DH235" s="205">
        <f>(LN(DG225/DG234))/(DE222-DE221)</f>
        <v>-0.12964219310016631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3">
        <v>230</v>
      </c>
      <c r="FZ235">
        <v>48.25731069637888</v>
      </c>
      <c r="GA235">
        <v>61.400279377247365</v>
      </c>
      <c r="GB235">
        <v>15.751521420357076</v>
      </c>
      <c r="GC235">
        <v>8.8696810629115213</v>
      </c>
      <c r="GD235">
        <v>2.3207939329677973</v>
      </c>
      <c r="GE235">
        <v>2.114609320227105</v>
      </c>
      <c r="GF235">
        <v>5.4669984029514449</v>
      </c>
      <c r="GG235">
        <v>5.5386775422860293</v>
      </c>
      <c r="GH235">
        <v>2.1611736260621592</v>
      </c>
      <c r="GI235">
        <v>13.759382424144789</v>
      </c>
      <c r="GJ235"/>
      <c r="GK235"/>
      <c r="GL235"/>
      <c r="GM235"/>
      <c r="GN235" s="208"/>
      <c r="GO235" s="208"/>
      <c r="GP235" s="208"/>
      <c r="GQ235" s="208"/>
      <c r="GR235" s="208"/>
      <c r="GS235" s="208"/>
      <c r="GT235" s="208"/>
      <c r="GU235" s="213">
        <v>230</v>
      </c>
    </row>
    <row r="236" spans="1:203" s="7" customFormat="1">
      <c r="A236" s="77"/>
      <c r="B236">
        <v>0.82498156975209658</v>
      </c>
      <c r="C236">
        <v>3</v>
      </c>
      <c r="D236">
        <v>39646</v>
      </c>
      <c r="E236">
        <v>0</v>
      </c>
      <c r="F236">
        <v>0</v>
      </c>
      <c r="G236">
        <v>31.25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98.215860908539668</v>
      </c>
      <c r="AO236">
        <v>18.273300821553779</v>
      </c>
      <c r="AP236">
        <v>152.99027960699681</v>
      </c>
      <c r="AQ236">
        <v>154.45679397740378</v>
      </c>
      <c r="AR236">
        <v>16.724598075896818</v>
      </c>
      <c r="AS236">
        <v>185.82241498631251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3">
        <v>231</v>
      </c>
      <c r="FZ236">
        <v>55.857172092958734</v>
      </c>
      <c r="GA236">
        <v>70.611163650382551</v>
      </c>
      <c r="GB236">
        <v>9.154437266907081</v>
      </c>
      <c r="GC236">
        <v>4.5974419688605588</v>
      </c>
      <c r="GD236">
        <v>1.7820800653574567</v>
      </c>
      <c r="GE236">
        <v>1.9849778518121397</v>
      </c>
      <c r="GF236">
        <v>3.3811362656644031</v>
      </c>
      <c r="GG236">
        <v>2.5320524725683029</v>
      </c>
      <c r="GH236">
        <v>0.60080431445180338</v>
      </c>
      <c r="GI236">
        <v>12.315598151743806</v>
      </c>
      <c r="GJ236"/>
      <c r="GK236"/>
      <c r="GL236"/>
      <c r="GM236"/>
      <c r="GN236" s="208"/>
      <c r="GO236" s="208"/>
      <c r="GP236" s="208"/>
      <c r="GQ236" s="208"/>
      <c r="GR236" s="208"/>
      <c r="GS236" s="208"/>
      <c r="GT236" s="208"/>
      <c r="GU236" s="213">
        <v>231</v>
      </c>
    </row>
    <row r="237" spans="1:203" s="7" customFormat="1">
      <c r="A237" s="77"/>
      <c r="B237">
        <v>0.19682188574575621</v>
      </c>
      <c r="C237">
        <v>7</v>
      </c>
      <c r="D237">
        <v>39646</v>
      </c>
      <c r="E237">
        <v>0</v>
      </c>
      <c r="F237">
        <v>0</v>
      </c>
      <c r="G237">
        <v>41.666666666666664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69.945636429859292</v>
      </c>
      <c r="AO237">
        <v>12.548452621688449</v>
      </c>
      <c r="AP237">
        <v>66.061575236202131</v>
      </c>
      <c r="AQ237">
        <v>95.541319486186438</v>
      </c>
      <c r="AR237">
        <v>11.478202589945107</v>
      </c>
      <c r="AS237">
        <v>135.07866768497246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3">
        <v>232</v>
      </c>
      <c r="FZ237">
        <v>25.386054672889085</v>
      </c>
      <c r="GA237">
        <v>27.386785159059954</v>
      </c>
      <c r="GB237">
        <v>6.7891141670784316</v>
      </c>
      <c r="GC237">
        <v>4.8479803305470961</v>
      </c>
      <c r="GD237">
        <v>1.7499482976445813</v>
      </c>
      <c r="GE237">
        <v>1.838108959877327</v>
      </c>
      <c r="GF237">
        <v>4.0447826622989762</v>
      </c>
      <c r="GG237">
        <v>3.4450144563016396</v>
      </c>
      <c r="GH237">
        <v>0</v>
      </c>
      <c r="GI237">
        <v>7.2226929241933995</v>
      </c>
      <c r="GJ237"/>
      <c r="GK237"/>
      <c r="GL237"/>
      <c r="GM237"/>
      <c r="GN237" s="208"/>
      <c r="GO237" s="208"/>
      <c r="GP237" s="208"/>
      <c r="GQ237" s="208"/>
      <c r="GR237" s="208"/>
      <c r="GS237" s="208"/>
      <c r="GT237" s="208"/>
      <c r="GU237" s="213">
        <v>232</v>
      </c>
    </row>
    <row r="238" spans="1:203" s="7" customFormat="1">
      <c r="A238" s="77"/>
      <c r="B238">
        <v>0.71609978137685903</v>
      </c>
      <c r="C238">
        <v>9</v>
      </c>
      <c r="D238">
        <v>39673</v>
      </c>
      <c r="E238">
        <v>0</v>
      </c>
      <c r="F238">
        <v>0</v>
      </c>
      <c r="G238">
        <v>10.416666666666666</v>
      </c>
      <c r="H238">
        <v>0</v>
      </c>
      <c r="I238">
        <v>52.083333333333336</v>
      </c>
      <c r="J238">
        <v>10.416666666666666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69.552128610064713</v>
      </c>
      <c r="AO238">
        <v>9.9427916491657591</v>
      </c>
      <c r="AP238">
        <v>84.427248711250897</v>
      </c>
      <c r="AQ238">
        <v>69.791812173470305</v>
      </c>
      <c r="AR238">
        <v>9.352809675098408</v>
      </c>
      <c r="AS238">
        <v>136.69956066733337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3">
        <v>233</v>
      </c>
      <c r="FZ238">
        <v>15.966827594267242</v>
      </c>
      <c r="GA238">
        <v>18.695682472078612</v>
      </c>
      <c r="GB238">
        <v>5.7665936621823262</v>
      </c>
      <c r="GC238">
        <v>4.3985759505843971</v>
      </c>
      <c r="GD238">
        <v>2.3841273495032644</v>
      </c>
      <c r="GE238">
        <v>1.970748841575277</v>
      </c>
      <c r="GF238">
        <v>4.2789496251386305</v>
      </c>
      <c r="GG238">
        <v>6.8543483187193983</v>
      </c>
      <c r="GH238">
        <v>4.6811079348310667</v>
      </c>
      <c r="GI238">
        <v>6.7714404716898278</v>
      </c>
      <c r="GJ238"/>
      <c r="GK238"/>
      <c r="GL238"/>
      <c r="GM238"/>
      <c r="GN238" s="208"/>
      <c r="GO238" s="208"/>
      <c r="GP238" s="208"/>
      <c r="GQ238" s="208"/>
      <c r="GR238" s="208"/>
      <c r="GS238" s="208"/>
      <c r="GT238" s="208"/>
      <c r="GU238" s="213">
        <v>233</v>
      </c>
    </row>
    <row r="239" spans="1:203" s="7" customFormat="1">
      <c r="A239" s="77" t="s">
        <v>61</v>
      </c>
      <c r="B239">
        <v>0.7431170009557484</v>
      </c>
      <c r="C239">
        <v>7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86.872656169379042</v>
      </c>
      <c r="AO239">
        <v>14.616396046711738</v>
      </c>
      <c r="AP239">
        <v>86.105101253873343</v>
      </c>
      <c r="AQ239">
        <v>117.5780953167756</v>
      </c>
      <c r="AR239">
        <v>13.460305872504717</v>
      </c>
      <c r="AS239">
        <v>145.78788344569162</v>
      </c>
      <c r="AT239">
        <v>9.1986667571619982</v>
      </c>
      <c r="AU239">
        <v>18.149762805168223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3">
        <v>234</v>
      </c>
      <c r="FZ239">
        <v>38.452857352561729</v>
      </c>
      <c r="GA239">
        <v>46.756476449325731</v>
      </c>
      <c r="GB239">
        <v>10.462930667712268</v>
      </c>
      <c r="GC239">
        <v>6.0274537005926065</v>
      </c>
      <c r="GD239">
        <v>1.6448586263407399</v>
      </c>
      <c r="GE239">
        <v>1.8033572035014003</v>
      </c>
      <c r="GF239">
        <v>3.5547344769223397</v>
      </c>
      <c r="GG239">
        <v>4.0323715192098204</v>
      </c>
      <c r="GH239">
        <v>2.1611736260621592</v>
      </c>
      <c r="GI239">
        <v>10.277196974177727</v>
      </c>
      <c r="GJ239"/>
      <c r="GK239"/>
      <c r="GL239"/>
      <c r="GM239"/>
      <c r="GN239" s="208"/>
      <c r="GO239" s="208"/>
      <c r="GP239" s="208"/>
      <c r="GQ239" s="208"/>
      <c r="GR239" s="208"/>
      <c r="GS239" s="208"/>
      <c r="GT239" s="208"/>
      <c r="GU239" s="213">
        <v>234</v>
      </c>
    </row>
    <row r="240" spans="1:203" s="7" customFormat="1">
      <c r="A240" s="77" t="s">
        <v>62</v>
      </c>
      <c r="B240">
        <v>0.51150324924633317</v>
      </c>
      <c r="C240">
        <v>4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83.630785192429471</v>
      </c>
      <c r="AO240">
        <v>10.970731797860434</v>
      </c>
      <c r="AP240">
        <v>43.891012227560637</v>
      </c>
      <c r="AQ240">
        <v>76.464566603421957</v>
      </c>
      <c r="AR240">
        <v>10.190065277931451</v>
      </c>
      <c r="AS240">
        <v>133.74504025252003</v>
      </c>
      <c r="AT240">
        <v>6.1793523851663084</v>
      </c>
      <c r="AU240">
        <v>6.3957409301219412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35.416666666666664</v>
      </c>
      <c r="DI240" s="182">
        <v>6.25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3">
        <v>235</v>
      </c>
      <c r="FZ240">
        <v>42.155681783921828</v>
      </c>
      <c r="GA240">
        <v>48.888950855583921</v>
      </c>
      <c r="GB240">
        <v>2.0644356596576618</v>
      </c>
      <c r="GC240">
        <v>2.5129606741212029</v>
      </c>
      <c r="GD240">
        <v>1.9531815878504628</v>
      </c>
      <c r="GE240">
        <v>1.7103825915481368</v>
      </c>
      <c r="GF240">
        <v>3.0711624220432832</v>
      </c>
      <c r="GG240">
        <v>2.6046663222765769</v>
      </c>
      <c r="GH240">
        <v>1.8024129433554106</v>
      </c>
      <c r="GI240">
        <v>8.737417866862593</v>
      </c>
      <c r="GJ240"/>
      <c r="GK240"/>
      <c r="GL240"/>
      <c r="GM240"/>
      <c r="GN240" s="208"/>
      <c r="GO240" s="208"/>
      <c r="GP240" s="208"/>
      <c r="GQ240" s="208"/>
      <c r="GR240" s="208"/>
      <c r="GS240" s="208"/>
      <c r="GT240" s="208"/>
      <c r="GU240" s="213">
        <v>235</v>
      </c>
    </row>
    <row r="241" spans="1:203" s="7" customFormat="1">
      <c r="A241" s="77"/>
      <c r="B241">
        <v>0.71719167335097445</v>
      </c>
      <c r="C241">
        <v>8</v>
      </c>
      <c r="D241">
        <v>39673</v>
      </c>
      <c r="E241">
        <v>0</v>
      </c>
      <c r="F241">
        <v>0</v>
      </c>
      <c r="G241">
        <v>0</v>
      </c>
      <c r="H241">
        <v>20.833333333333332</v>
      </c>
      <c r="I241">
        <v>20.833333333333332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87.98617540406967</v>
      </c>
      <c r="AO241">
        <v>9.832715704617522</v>
      </c>
      <c r="AP241">
        <v>61.80355045805161</v>
      </c>
      <c r="AQ241">
        <v>73.104401528553907</v>
      </c>
      <c r="AR241">
        <v>9.111255821445333</v>
      </c>
      <c r="AS241">
        <v>121.2169082415507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0</v>
      </c>
      <c r="DH241" s="185">
        <v>1.0416666666666665</v>
      </c>
      <c r="DI241" s="185">
        <v>67.4579831932773</v>
      </c>
      <c r="DJ241" s="185">
        <v>54.79166666666665</v>
      </c>
      <c r="DK241" s="185">
        <v>34.791666666666664</v>
      </c>
      <c r="DL241" s="185">
        <v>12.5</v>
      </c>
      <c r="DM241" s="185">
        <v>1.875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3">
        <v>236</v>
      </c>
      <c r="FZ241">
        <v>23.551299402263947</v>
      </c>
      <c r="GA241">
        <v>28.007390332667331</v>
      </c>
      <c r="GB241">
        <v>9.2102316423411725</v>
      </c>
      <c r="GC241">
        <v>6.628372958192676</v>
      </c>
      <c r="GD241">
        <v>2.8503803547197539</v>
      </c>
      <c r="GE241">
        <v>3.3846526477706078</v>
      </c>
      <c r="GF241">
        <v>5.14291561466624</v>
      </c>
      <c r="GG241">
        <v>4.0867609020953353</v>
      </c>
      <c r="GH241">
        <v>1.8024129433554106</v>
      </c>
      <c r="GI241">
        <v>8.6970519498389383</v>
      </c>
      <c r="GJ241"/>
      <c r="GK241"/>
      <c r="GL241"/>
      <c r="GM241"/>
      <c r="GN241" s="208"/>
      <c r="GO241" s="208"/>
      <c r="GP241" s="208"/>
      <c r="GQ241" s="208"/>
      <c r="GR241" s="208"/>
      <c r="GS241" s="208"/>
      <c r="GT241" s="208"/>
      <c r="GU241" s="213">
        <v>236</v>
      </c>
    </row>
    <row r="242" spans="1:203" s="7" customFormat="1">
      <c r="A242" s="1"/>
      <c r="B242">
        <v>0.55574058376034818</v>
      </c>
      <c r="C242">
        <v>3</v>
      </c>
      <c r="D242">
        <v>39673</v>
      </c>
      <c r="E242">
        <v>0</v>
      </c>
      <c r="F242">
        <v>0</v>
      </c>
      <c r="G242">
        <v>0</v>
      </c>
      <c r="H242">
        <v>214.46078431372547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108.81653838259442</v>
      </c>
      <c r="AO242">
        <v>16.301006821577104</v>
      </c>
      <c r="AP242">
        <v>102.03565327042202</v>
      </c>
      <c r="AQ242">
        <v>136.78247624446615</v>
      </c>
      <c r="AR242">
        <v>15.011310392658118</v>
      </c>
      <c r="AS242">
        <v>181.37367734088693</v>
      </c>
      <c r="AT242">
        <v>10.130272338330782</v>
      </c>
      <c r="AU242">
        <v>30.05959285448926</v>
      </c>
      <c r="AV242"/>
      <c r="AW242"/>
      <c r="BI242" s="162"/>
      <c r="DE242" s="187">
        <v>39714</v>
      </c>
      <c r="DF242" s="182">
        <v>0</v>
      </c>
      <c r="DG242" s="182">
        <v>8.928571428571427</v>
      </c>
      <c r="DH242" s="182">
        <v>8.928571428571427</v>
      </c>
      <c r="DI242" s="182">
        <v>3.125</v>
      </c>
      <c r="DJ242" s="182">
        <v>1.0416666666666665</v>
      </c>
      <c r="DK242" s="182">
        <v>0</v>
      </c>
      <c r="DL242" s="182">
        <v>1.0416666666666665</v>
      </c>
      <c r="DM242" s="182">
        <v>0</v>
      </c>
      <c r="DN242" s="182">
        <v>2.083333333333333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3">
        <v>237</v>
      </c>
      <c r="FZ242">
        <v>28.658348204738225</v>
      </c>
      <c r="GA242">
        <v>34.359172603830537</v>
      </c>
      <c r="GB242">
        <v>3.1936320204035078</v>
      </c>
      <c r="GC242">
        <v>2.2587765834290541</v>
      </c>
      <c r="GD242">
        <v>2.1478323040257106</v>
      </c>
      <c r="GE242">
        <v>2.5591783190189497</v>
      </c>
      <c r="GF242">
        <v>2.3979946910740217</v>
      </c>
      <c r="GG242">
        <v>1.7767717028910652</v>
      </c>
      <c r="GH242">
        <v>0.60080431445180338</v>
      </c>
      <c r="GI242">
        <v>6.8450073033415597</v>
      </c>
      <c r="GJ242"/>
      <c r="GK242"/>
      <c r="GL242"/>
      <c r="GM242"/>
      <c r="GN242" s="208"/>
      <c r="GO242" s="208"/>
      <c r="GP242" s="208"/>
      <c r="GQ242" s="208"/>
      <c r="GR242" s="208"/>
      <c r="GS242" s="208"/>
      <c r="GT242" s="208"/>
      <c r="GU242" s="213">
        <v>237</v>
      </c>
    </row>
    <row r="243" spans="1:203" s="7" customFormat="1">
      <c r="A243" s="1"/>
      <c r="B243">
        <v>0.17189673779366332</v>
      </c>
      <c r="C243">
        <v>4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80.6077293417367</v>
      </c>
      <c r="AO243">
        <v>10.33498897618518</v>
      </c>
      <c r="AP243">
        <v>34.239459625630374</v>
      </c>
      <c r="AQ243">
        <v>69.636255900455836</v>
      </c>
      <c r="AR243">
        <v>9.6339664821245012</v>
      </c>
      <c r="AS243">
        <v>137.8636609911035</v>
      </c>
      <c r="AT243">
        <v>5.7824253592289558</v>
      </c>
      <c r="AU243">
        <v>31.934903337758449</v>
      </c>
      <c r="AV243"/>
      <c r="AW243"/>
      <c r="DE243" s="187">
        <v>39747</v>
      </c>
      <c r="DF243" s="182">
        <v>0</v>
      </c>
      <c r="DG243" s="182">
        <v>70.045824625565984</v>
      </c>
      <c r="DH243" s="182">
        <v>165.65334210808351</v>
      </c>
      <c r="DI243" s="182">
        <v>33.921861184792213</v>
      </c>
      <c r="DJ243" s="182">
        <v>14.0625</v>
      </c>
      <c r="DK243" s="182">
        <v>2.8409090909090908</v>
      </c>
      <c r="DL243" s="182">
        <v>0</v>
      </c>
      <c r="DM243" s="182">
        <v>2.083333333333333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3">
        <v>238</v>
      </c>
      <c r="FZ243">
        <v>32.49004695711011</v>
      </c>
      <c r="GA243">
        <v>35.296622930714335</v>
      </c>
      <c r="GB243">
        <v>6.9623213574843259</v>
      </c>
      <c r="GC243">
        <v>5.5341948921847894</v>
      </c>
      <c r="GD243">
        <v>1.8981053968130002</v>
      </c>
      <c r="GE243">
        <v>1.3023139784845261</v>
      </c>
      <c r="GF243">
        <v>2.9131820078013533</v>
      </c>
      <c r="GG243">
        <v>3.34398810629488</v>
      </c>
      <c r="GH243">
        <v>1.5603693116103559</v>
      </c>
      <c r="GI243">
        <v>8.409733165229472</v>
      </c>
      <c r="GJ243"/>
      <c r="GK243"/>
      <c r="GL243"/>
      <c r="GM243"/>
      <c r="GN243" s="208"/>
      <c r="GO243" s="208"/>
      <c r="GP243" s="208"/>
      <c r="GQ243" s="208"/>
      <c r="GR243" s="208"/>
      <c r="GS243" s="208"/>
      <c r="GT243" s="208"/>
      <c r="GU243" s="213">
        <v>238</v>
      </c>
    </row>
    <row r="244" spans="1:203" s="7" customFormat="1">
      <c r="A244" s="1"/>
      <c r="B244">
        <v>0.27030224260899338</v>
      </c>
      <c r="C244">
        <v>7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101.77424974263208</v>
      </c>
      <c r="AO244">
        <v>21.369858961139649</v>
      </c>
      <c r="AP244">
        <v>143.70023653394074</v>
      </c>
      <c r="AQ244">
        <v>182.98894450631613</v>
      </c>
      <c r="AR244">
        <v>19.55325919664277</v>
      </c>
      <c r="AS244">
        <v>238.71629887963894</v>
      </c>
      <c r="AT244">
        <v>13.129135291538033</v>
      </c>
      <c r="AU244">
        <v>22.550668579144659</v>
      </c>
      <c r="AV244"/>
      <c r="AW244"/>
      <c r="DE244" s="187">
        <v>39775</v>
      </c>
      <c r="DF244" s="182">
        <v>0</v>
      </c>
      <c r="DG244" s="182">
        <v>7.2916666666666661</v>
      </c>
      <c r="DH244" s="182">
        <v>116.56926406926405</v>
      </c>
      <c r="DI244" s="182">
        <v>18.633207070707066</v>
      </c>
      <c r="DJ244" s="182">
        <v>1.4204545454545454</v>
      </c>
      <c r="DK244" s="182">
        <v>1.4204545454545454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3">
        <v>239</v>
      </c>
      <c r="FZ244">
        <v>14.605397449591807</v>
      </c>
      <c r="GA244">
        <v>22.460608279588961</v>
      </c>
      <c r="GB244">
        <v>10.521986335127878</v>
      </c>
      <c r="GC244">
        <v>5.7284901776911967</v>
      </c>
      <c r="GD244">
        <v>2.1835041452028521</v>
      </c>
      <c r="GE244">
        <v>2.3848180900970157</v>
      </c>
      <c r="GF244">
        <v>4.1037691635962892</v>
      </c>
      <c r="GG244">
        <v>4.3365279449282141</v>
      </c>
      <c r="GH244">
        <v>1.5603693116103559</v>
      </c>
      <c r="GI244">
        <v>7.0897959970967595</v>
      </c>
      <c r="GJ244"/>
      <c r="GK244"/>
      <c r="GL244"/>
      <c r="GM244"/>
      <c r="GN244" s="208"/>
      <c r="GO244" s="208"/>
      <c r="GP244" s="208"/>
      <c r="GQ244" s="208"/>
      <c r="GR244" s="208"/>
      <c r="GS244" s="208"/>
      <c r="GT244" s="208"/>
      <c r="GU244" s="213">
        <v>239</v>
      </c>
    </row>
    <row r="245" spans="1:203" s="7" customFormat="1">
      <c r="A245" s="1"/>
      <c r="B245">
        <v>0.39038019057148721</v>
      </c>
      <c r="C245">
        <v>1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135.41666666666666</v>
      </c>
      <c r="J245">
        <v>62.5</v>
      </c>
      <c r="K245">
        <v>31.25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97.377299415566426</v>
      </c>
      <c r="AO245">
        <v>11.748655225361334</v>
      </c>
      <c r="AP245">
        <v>63.864623118834771</v>
      </c>
      <c r="AQ245">
        <v>91.453227195110145</v>
      </c>
      <c r="AR245">
        <v>10.724595291074589</v>
      </c>
      <c r="AS245">
        <v>156.95851725741281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8.3333333333333321</v>
      </c>
      <c r="DH245" s="182">
        <v>50.077985739750446</v>
      </c>
      <c r="DI245" s="182">
        <v>13.690476190476193</v>
      </c>
      <c r="DJ245" s="182">
        <v>4.1666666666666661</v>
      </c>
      <c r="DK245" s="182">
        <v>0</v>
      </c>
      <c r="DL245" s="182">
        <v>1.0416666666666665</v>
      </c>
      <c r="DM245" s="182">
        <v>0</v>
      </c>
      <c r="DN245" s="182">
        <v>1.0416666666666665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3">
        <v>240</v>
      </c>
      <c r="FZ245">
        <v>19.156331468829272</v>
      </c>
      <c r="GA245">
        <v>26.542792210296057</v>
      </c>
      <c r="GB245">
        <v>9.2986212152821199</v>
      </c>
      <c r="GC245">
        <v>5.4263564542681717</v>
      </c>
      <c r="GD245">
        <v>2.8822449792916967</v>
      </c>
      <c r="GE245">
        <v>3.1231629190505434</v>
      </c>
      <c r="GF245">
        <v>2.6564778706124885</v>
      </c>
      <c r="GG245">
        <v>1.8533753457975972</v>
      </c>
      <c r="GH245">
        <v>0.60080431445180338</v>
      </c>
      <c r="GI245">
        <v>7.4572856953347904</v>
      </c>
      <c r="GJ245"/>
      <c r="GK245"/>
      <c r="GL245"/>
      <c r="GM245"/>
      <c r="GN245" s="208"/>
      <c r="GO245" s="208"/>
      <c r="GP245" s="208"/>
      <c r="GQ245" s="208"/>
      <c r="GR245" s="208"/>
      <c r="GS245" s="208"/>
      <c r="GT245" s="208"/>
      <c r="GU245" s="213">
        <v>240</v>
      </c>
    </row>
    <row r="246" spans="1:203" s="7" customFormat="1">
      <c r="A246" s="1"/>
      <c r="B246">
        <v>6.1133756619454527E-2</v>
      </c>
      <c r="C246">
        <v>5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136.51006202731608</v>
      </c>
      <c r="AO246">
        <v>20.689121023542182</v>
      </c>
      <c r="AP246">
        <v>98.74644166032688</v>
      </c>
      <c r="AQ246">
        <v>165.64042780553416</v>
      </c>
      <c r="AR246">
        <v>19.000405973582421</v>
      </c>
      <c r="AS246">
        <v>219.45039601843527</v>
      </c>
      <c r="AT246">
        <v>12.555084786144029</v>
      </c>
      <c r="AU246">
        <v>7.6040001994533712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2.083333333333333</v>
      </c>
      <c r="DJ246" s="182">
        <v>2.083333333333333</v>
      </c>
      <c r="DK246" s="182">
        <v>0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3">
        <v>241</v>
      </c>
      <c r="FZ246">
        <v>30.632218820130809</v>
      </c>
      <c r="GA246">
        <v>42.238494621562602</v>
      </c>
      <c r="GB246">
        <v>9.0407089387842596</v>
      </c>
      <c r="GC246">
        <v>5.7244581326983655</v>
      </c>
      <c r="GD246">
        <v>2.9506658669553469</v>
      </c>
      <c r="GE246">
        <v>2.2928187103521434</v>
      </c>
      <c r="GF246">
        <v>3.8449063162415631</v>
      </c>
      <c r="GG246">
        <v>4.3317882936051708</v>
      </c>
      <c r="GH246">
        <v>2.1611736260621592</v>
      </c>
      <c r="GI246">
        <v>9.5875258017161915</v>
      </c>
      <c r="GJ246"/>
      <c r="GK246"/>
      <c r="GL246"/>
      <c r="GM246"/>
      <c r="GN246" s="208"/>
      <c r="GO246" s="208"/>
      <c r="GP246" s="208"/>
      <c r="GQ246" s="208"/>
      <c r="GR246" s="208"/>
      <c r="GS246" s="208"/>
      <c r="GT246" s="208"/>
      <c r="GU246" s="213">
        <v>241</v>
      </c>
    </row>
    <row r="247" spans="1:203" s="7" customFormat="1">
      <c r="A247" s="77" t="s">
        <v>61</v>
      </c>
      <c r="B247">
        <v>0.39780154721016947</v>
      </c>
      <c r="C247">
        <v>9</v>
      </c>
      <c r="D247">
        <v>39673</v>
      </c>
      <c r="E247">
        <v>0</v>
      </c>
      <c r="F247">
        <v>0</v>
      </c>
      <c r="G247">
        <v>10.416666666666666</v>
      </c>
      <c r="H247">
        <v>0</v>
      </c>
      <c r="I247">
        <v>52.083333333333336</v>
      </c>
      <c r="J247">
        <v>10.416666666666666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92.200830398472391</v>
      </c>
      <c r="AO247">
        <v>18.652142096912726</v>
      </c>
      <c r="AP247">
        <v>125.09574542449727</v>
      </c>
      <c r="AQ247">
        <v>162.81686410070682</v>
      </c>
      <c r="AR247">
        <v>17.120076592492349</v>
      </c>
      <c r="AS247">
        <v>190.36441106774552</v>
      </c>
      <c r="AT247" t="e">
        <v>#DIV/0!</v>
      </c>
      <c r="AU247" t="e">
        <v>#DIV/0!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12.5</v>
      </c>
      <c r="DJ247" s="182">
        <v>14.646464646464645</v>
      </c>
      <c r="DK247" s="182">
        <v>3.4375</v>
      </c>
      <c r="DL247" s="182">
        <v>0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3">
        <v>242</v>
      </c>
      <c r="FZ247">
        <v>22.665145856916819</v>
      </c>
      <c r="GA247">
        <v>28.508211832951947</v>
      </c>
      <c r="GB247">
        <v>10.845374811170483</v>
      </c>
      <c r="GC247">
        <v>6.6458344933959843</v>
      </c>
      <c r="GD247">
        <v>1.9394333439574678</v>
      </c>
      <c r="GE247">
        <v>1.8053436652016503</v>
      </c>
      <c r="GF247">
        <v>0.6106231449727475</v>
      </c>
      <c r="GG247">
        <v>1.2715236991267145</v>
      </c>
      <c r="GH247">
        <v>1.5603693116103559</v>
      </c>
      <c r="GI247">
        <v>7.5589764950198379</v>
      </c>
      <c r="GJ247"/>
      <c r="GK247"/>
      <c r="GL247"/>
      <c r="GM247"/>
      <c r="GN247" s="208"/>
      <c r="GO247" s="208"/>
      <c r="GP247" s="208"/>
      <c r="GQ247" s="208"/>
      <c r="GR247" s="208"/>
      <c r="GS247" s="208"/>
      <c r="GT247" s="208"/>
      <c r="GU247" s="213">
        <v>242</v>
      </c>
    </row>
    <row r="248" spans="1:203" s="7" customFormat="1">
      <c r="A248" s="77" t="s">
        <v>62</v>
      </c>
      <c r="B248">
        <v>9.4333253116476001E-2</v>
      </c>
      <c r="C248">
        <v>4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69.272232484948006</v>
      </c>
      <c r="AO248">
        <v>10.7678935844253</v>
      </c>
      <c r="AP248">
        <v>187.0992974100034</v>
      </c>
      <c r="AQ248">
        <v>82.710481629890481</v>
      </c>
      <c r="AR248">
        <v>9.97624047253111</v>
      </c>
      <c r="AS248">
        <v>130.26347882399062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0</v>
      </c>
      <c r="DH248" s="182">
        <v>8.1018518518518512</v>
      </c>
      <c r="DI248" s="182">
        <v>0</v>
      </c>
      <c r="DJ248" s="182">
        <v>1.0416666666666665</v>
      </c>
      <c r="DK248" s="182">
        <v>0</v>
      </c>
      <c r="DL248" s="182">
        <v>3.125</v>
      </c>
      <c r="DM248" s="182">
        <v>0</v>
      </c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3">
        <v>243</v>
      </c>
      <c r="FZ248">
        <v>51.170471453891885</v>
      </c>
      <c r="GA248">
        <v>62.407850861157279</v>
      </c>
      <c r="GB248">
        <v>8.3887327860454519</v>
      </c>
      <c r="GC248">
        <v>4.6734300896361107</v>
      </c>
      <c r="GD248">
        <v>1.7313033734332421</v>
      </c>
      <c r="GE248">
        <v>2.0489530724252649</v>
      </c>
      <c r="GF248">
        <v>3.1470427007572308</v>
      </c>
      <c r="GG248">
        <v>2.4796602729192223</v>
      </c>
      <c r="GH248">
        <v>1.8024129433554106</v>
      </c>
      <c r="GI248">
        <v>11.506593641810612</v>
      </c>
      <c r="GJ248"/>
      <c r="GK248"/>
      <c r="GL248"/>
      <c r="GM248"/>
      <c r="GN248" s="208"/>
      <c r="GO248" s="208"/>
      <c r="GP248" s="208"/>
      <c r="GQ248" s="208"/>
      <c r="GR248" s="208"/>
      <c r="GS248" s="208"/>
      <c r="GT248" s="208"/>
      <c r="GU248" s="213">
        <v>243</v>
      </c>
    </row>
    <row r="249" spans="1:203" s="7" customFormat="1">
      <c r="A249" s="1"/>
      <c r="B249">
        <v>0.48941223565934355</v>
      </c>
      <c r="C249">
        <v>3</v>
      </c>
      <c r="D249">
        <v>39714</v>
      </c>
      <c r="E249">
        <v>0</v>
      </c>
      <c r="F249">
        <v>0</v>
      </c>
      <c r="G249">
        <v>0</v>
      </c>
      <c r="H249">
        <v>10.416666666666666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65.752599890530917</v>
      </c>
      <c r="AO249">
        <v>10.040495554691024</v>
      </c>
      <c r="AP249">
        <v>54.831047841769049</v>
      </c>
      <c r="AQ249">
        <v>71.768402220570039</v>
      </c>
      <c r="AR249">
        <v>9.3701177981803347</v>
      </c>
      <c r="AS249">
        <v>108.95962911109537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0</v>
      </c>
      <c r="DK249" s="182">
        <v>0</v>
      </c>
      <c r="DL249" s="182">
        <v>0</v>
      </c>
      <c r="DM249" s="182">
        <v>1.0416666666666665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3">
        <v>244</v>
      </c>
      <c r="FZ249">
        <v>42.103057016994867</v>
      </c>
      <c r="GA249">
        <v>54.59779438004113</v>
      </c>
      <c r="GB249">
        <v>7.1198785644793761</v>
      </c>
      <c r="GC249">
        <v>3.8380737771230176</v>
      </c>
      <c r="GD249">
        <v>2.2161821391581529</v>
      </c>
      <c r="GE249">
        <v>2.4741790629638927</v>
      </c>
      <c r="GF249">
        <v>4.9364995590918817</v>
      </c>
      <c r="GG249">
        <v>5.1207598091859454</v>
      </c>
      <c r="GH249">
        <v>2.1611736260621592</v>
      </c>
      <c r="GI249">
        <v>10.546064483780077</v>
      </c>
      <c r="GJ249"/>
      <c r="GK249"/>
      <c r="GL249"/>
      <c r="GM249"/>
      <c r="GN249" s="208"/>
      <c r="GO249" s="208"/>
      <c r="GP249" s="208"/>
      <c r="GQ249" s="208"/>
      <c r="GR249" s="208"/>
      <c r="GS249" s="208"/>
      <c r="GT249" s="208"/>
      <c r="GU249" s="213">
        <v>244</v>
      </c>
    </row>
    <row r="250" spans="1:203" s="7" customFormat="1">
      <c r="A250" s="1"/>
      <c r="B250">
        <v>0.30752869289201379</v>
      </c>
      <c r="C250">
        <v>9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80.049289408144631</v>
      </c>
      <c r="AO250">
        <v>15.494999675992773</v>
      </c>
      <c r="AP250">
        <v>116.14359208577162</v>
      </c>
      <c r="AQ250">
        <v>125.17341059640651</v>
      </c>
      <c r="AR250">
        <v>14.263107349171367</v>
      </c>
      <c r="AS250">
        <v>185.47930682087289</v>
      </c>
      <c r="AT250">
        <v>9.3626218837376687</v>
      </c>
      <c r="AU250">
        <v>7.2905670162468699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3">
        <v>245</v>
      </c>
      <c r="FZ250">
        <v>33.736214685186837</v>
      </c>
      <c r="GA250">
        <v>41.722741694091837</v>
      </c>
      <c r="GB250">
        <v>5.5242808257423635</v>
      </c>
      <c r="GC250">
        <v>3.7455023551859257</v>
      </c>
      <c r="GD250">
        <v>2.3380138279023881</v>
      </c>
      <c r="GE250">
        <v>2.4963615980841909</v>
      </c>
      <c r="GF250">
        <v>1.992008559326031</v>
      </c>
      <c r="GG250">
        <v>3.7546762982573307</v>
      </c>
      <c r="GH250">
        <v>3.7215429376725151</v>
      </c>
      <c r="GI250">
        <v>8.6684027957666778</v>
      </c>
      <c r="GJ250"/>
      <c r="GK250"/>
      <c r="GL250"/>
      <c r="GM250"/>
      <c r="GN250" s="208"/>
      <c r="GO250" s="208"/>
      <c r="GP250" s="208"/>
      <c r="GQ250" s="208"/>
      <c r="GR250" s="208"/>
      <c r="GS250" s="208"/>
      <c r="GT250" s="208"/>
      <c r="GU250" s="213">
        <v>245</v>
      </c>
    </row>
    <row r="251" spans="1:203" s="7" customFormat="1">
      <c r="A251" s="1"/>
      <c r="B251">
        <v>0.34345123382463805</v>
      </c>
      <c r="C251">
        <v>7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68.589692864325215</v>
      </c>
      <c r="AO251">
        <v>13.00951947818773</v>
      </c>
      <c r="AP251">
        <v>118.48437663356808</v>
      </c>
      <c r="AQ251">
        <v>115.50125270722108</v>
      </c>
      <c r="AR251">
        <v>12.101413966320321</v>
      </c>
      <c r="AS251">
        <v>131.63257332716341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3">
        <v>246</v>
      </c>
      <c r="FZ251">
        <v>30.049486542473453</v>
      </c>
      <c r="GA251">
        <v>34.912047901746703</v>
      </c>
      <c r="GB251">
        <v>3.8807024880597845</v>
      </c>
      <c r="GC251">
        <v>3.2609713746140532</v>
      </c>
      <c r="GD251">
        <v>1.8765433498575907</v>
      </c>
      <c r="GE251">
        <v>1.8234064726410872</v>
      </c>
      <c r="GF251">
        <v>1.0235286540539423</v>
      </c>
      <c r="GG251">
        <v>5.4321485380234531</v>
      </c>
      <c r="GH251">
        <v>6.2414772464414234</v>
      </c>
      <c r="GI251">
        <v>7.7147680431905608</v>
      </c>
      <c r="GJ251"/>
      <c r="GK251"/>
      <c r="GL251"/>
      <c r="GM251"/>
      <c r="GN251" s="208"/>
      <c r="GO251" s="208"/>
      <c r="GP251" s="208"/>
      <c r="GQ251" s="208"/>
      <c r="GR251" s="208"/>
      <c r="GS251" s="208"/>
      <c r="GT251" s="208"/>
      <c r="GU251" s="213">
        <v>246</v>
      </c>
    </row>
    <row r="252" spans="1:203" s="7" customFormat="1">
      <c r="A252" s="1"/>
      <c r="B252">
        <v>0.94052229546029675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94.456139385462421</v>
      </c>
      <c r="AO252">
        <v>12.965698054054247</v>
      </c>
      <c r="AP252">
        <v>108.96116251456792</v>
      </c>
      <c r="AQ252">
        <v>93.361468747911402</v>
      </c>
      <c r="AR252">
        <v>12.004317297984482</v>
      </c>
      <c r="AS252">
        <v>146.37457858383516</v>
      </c>
      <c r="AT252" t="e">
        <v>#DIV/0!</v>
      </c>
      <c r="AU252" t="e">
        <v>#DIV/0!</v>
      </c>
      <c r="AV252"/>
      <c r="AW252"/>
      <c r="FY252" s="213">
        <v>247</v>
      </c>
      <c r="FZ252">
        <v>31.740961549813527</v>
      </c>
      <c r="GA252">
        <v>36.134478311614615</v>
      </c>
      <c r="GB252">
        <v>3.6042857743091221</v>
      </c>
      <c r="GC252">
        <v>3.2628163095354243</v>
      </c>
      <c r="GD252">
        <v>2.2245667425141984</v>
      </c>
      <c r="GE252">
        <v>2.5440705362691607</v>
      </c>
      <c r="GF252">
        <v>4.1540572452107991</v>
      </c>
      <c r="GG252">
        <v>3.3684108133951076</v>
      </c>
      <c r="GH252">
        <v>0.60080431445180338</v>
      </c>
      <c r="GI252">
        <v>7.7632378603431365</v>
      </c>
      <c r="GJ252"/>
      <c r="GK252"/>
      <c r="GL252"/>
      <c r="GM252"/>
      <c r="GN252" s="208"/>
      <c r="GO252" s="208"/>
      <c r="GP252" s="208"/>
      <c r="GQ252" s="208"/>
      <c r="GR252" s="208"/>
      <c r="GS252" s="208"/>
      <c r="GT252" s="208"/>
      <c r="GU252" s="213">
        <v>247</v>
      </c>
    </row>
    <row r="253" spans="1:203" s="7" customFormat="1">
      <c r="A253" s="1"/>
      <c r="B253">
        <v>0.53705364254529275</v>
      </c>
      <c r="C253">
        <v>1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63.044947882999359</v>
      </c>
      <c r="AO253">
        <v>10.155956181466946</v>
      </c>
      <c r="AP253">
        <v>96.160768751878038</v>
      </c>
      <c r="AQ253">
        <v>84.797518047204449</v>
      </c>
      <c r="AR253">
        <v>9.4799498334671313</v>
      </c>
      <c r="AS253">
        <v>115.7044622465266</v>
      </c>
      <c r="AT253" t="e">
        <v>#DIV/0!</v>
      </c>
      <c r="AU253" t="e">
        <v>#DIV/0!</v>
      </c>
      <c r="AV253"/>
      <c r="AW253"/>
      <c r="FY253" s="213">
        <v>248</v>
      </c>
      <c r="FZ253">
        <v>5.6190188267394943</v>
      </c>
      <c r="GA253">
        <v>9.8064442676776178</v>
      </c>
      <c r="GB253">
        <v>14.524302523717477</v>
      </c>
      <c r="GC253">
        <v>8.6984790460411752</v>
      </c>
      <c r="GD253">
        <v>2.8253956550909769</v>
      </c>
      <c r="GE253">
        <v>3.2882816946799003</v>
      </c>
      <c r="GF253">
        <v>2.6633972479456922</v>
      </c>
      <c r="GG253">
        <v>1.9629198764828817</v>
      </c>
      <c r="GH253">
        <v>0.60080431445180338</v>
      </c>
      <c r="GI253">
        <v>6.7178304145199847</v>
      </c>
      <c r="GJ253"/>
      <c r="GK253"/>
      <c r="GL253"/>
      <c r="GM253"/>
      <c r="GN253" s="208"/>
      <c r="GO253" s="208"/>
      <c r="GP253" s="208"/>
      <c r="GQ253" s="208"/>
      <c r="GR253" s="208"/>
      <c r="GS253" s="208"/>
      <c r="GT253" s="208"/>
      <c r="GU253" s="213">
        <v>248</v>
      </c>
    </row>
    <row r="254" spans="1:203" s="7" customFormat="1">
      <c r="A254" s="1"/>
      <c r="B254">
        <v>0.32963342873150614</v>
      </c>
      <c r="C254">
        <v>9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74.826651220464598</v>
      </c>
      <c r="AO254">
        <v>12.448171309359511</v>
      </c>
      <c r="AP254">
        <v>79.148674931131254</v>
      </c>
      <c r="AQ254">
        <v>99.71087810372714</v>
      </c>
      <c r="AR254">
        <v>11.567852672507904</v>
      </c>
      <c r="AS254">
        <v>166.24422328464891</v>
      </c>
      <c r="AT254" t="e">
        <v>#DIV/0!</v>
      </c>
      <c r="AU254" t="e">
        <v>#DIV/0!</v>
      </c>
      <c r="AV254"/>
      <c r="AW254"/>
      <c r="FY254" s="213">
        <v>249</v>
      </c>
      <c r="FZ254">
        <v>30.751132680802939</v>
      </c>
      <c r="GA254">
        <v>38.48586356883726</v>
      </c>
      <c r="GB254">
        <v>5.4722195428254512</v>
      </c>
      <c r="GC254">
        <v>3.0870315888261257</v>
      </c>
      <c r="GD254">
        <v>1.8248012296355915</v>
      </c>
      <c r="GE254">
        <v>2.462660074836331</v>
      </c>
      <c r="GF254">
        <v>2.9474726245835958</v>
      </c>
      <c r="GG254">
        <v>4.476000598951023</v>
      </c>
      <c r="GH254">
        <v>3.1207386232207117</v>
      </c>
      <c r="GI254">
        <v>8.0022722365886629</v>
      </c>
      <c r="GJ254"/>
      <c r="GK254"/>
      <c r="GL254"/>
      <c r="GM254"/>
      <c r="GN254" s="208"/>
      <c r="GO254" s="208"/>
      <c r="GP254" s="208"/>
      <c r="GQ254" s="208"/>
      <c r="GR254" s="208"/>
      <c r="GS254" s="208"/>
      <c r="GT254" s="208"/>
      <c r="GU254" s="213">
        <v>249</v>
      </c>
    </row>
    <row r="255" spans="1:203" s="7" customFormat="1">
      <c r="A255" s="1"/>
      <c r="B255">
        <v>0.57991869693807563</v>
      </c>
      <c r="C255">
        <v>8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86.534416922899425</v>
      </c>
      <c r="AO255">
        <v>10.734353026561326</v>
      </c>
      <c r="AP255">
        <v>58.527236959938755</v>
      </c>
      <c r="AQ255">
        <v>74.97526689453133</v>
      </c>
      <c r="AR255">
        <v>9.811441116794434</v>
      </c>
      <c r="AS255">
        <v>139.81584722712512</v>
      </c>
      <c r="AT255" t="e">
        <v>#DIV/0!</v>
      </c>
      <c r="AU255" t="e">
        <v>#DIV/0!</v>
      </c>
      <c r="AV255"/>
      <c r="AW255"/>
      <c r="FY255" s="213">
        <v>250</v>
      </c>
      <c r="FZ255">
        <v>48.814840390882807</v>
      </c>
      <c r="GA255">
        <v>61.425837393489893</v>
      </c>
      <c r="GB255">
        <v>16.184222337122943</v>
      </c>
      <c r="GC255">
        <v>8.3600215399488711</v>
      </c>
      <c r="GD255">
        <v>1.6265082561530311</v>
      </c>
      <c r="GE255">
        <v>1.3737089865078469</v>
      </c>
      <c r="GF255">
        <v>0.86732728216161381</v>
      </c>
      <c r="GG255">
        <v>3.0839787578831412</v>
      </c>
      <c r="GH255">
        <v>3.7215429376725151</v>
      </c>
      <c r="GI255">
        <v>13.022638539098839</v>
      </c>
      <c r="GJ255"/>
      <c r="GK255"/>
      <c r="GL255"/>
      <c r="GM255"/>
      <c r="GN255" s="208"/>
      <c r="GO255" s="208"/>
      <c r="GP255" s="208"/>
      <c r="GQ255" s="208"/>
      <c r="GR255" s="208"/>
      <c r="GS255" s="208"/>
      <c r="GT255" s="208"/>
      <c r="GU255" s="213">
        <v>250</v>
      </c>
    </row>
    <row r="256" spans="1:203" s="7" customFormat="1">
      <c r="A256" s="1"/>
      <c r="B256">
        <v>0.70536106059411807</v>
      </c>
      <c r="C256">
        <v>8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71.721294451688721</v>
      </c>
      <c r="AO256">
        <v>11.112037176530784</v>
      </c>
      <c r="AP256">
        <v>53.805693884871381</v>
      </c>
      <c r="AQ256">
        <v>78.997452473214551</v>
      </c>
      <c r="AR256">
        <v>10.337965744318158</v>
      </c>
      <c r="AS256">
        <v>131.02152906465597</v>
      </c>
      <c r="AT256" t="e">
        <v>#DIV/0!</v>
      </c>
      <c r="AU256" t="e">
        <v>#DIV/0!</v>
      </c>
      <c r="AV256"/>
      <c r="AW256"/>
      <c r="FY256" s="213">
        <v>251</v>
      </c>
      <c r="FZ256">
        <v>74.754324471616457</v>
      </c>
      <c r="GA256">
        <v>89.144134437321057</v>
      </c>
      <c r="GB256">
        <v>9.9134792295216112</v>
      </c>
      <c r="GC256">
        <v>5.8929702616986228</v>
      </c>
      <c r="GD256">
        <v>1.9505411010434162</v>
      </c>
      <c r="GE256">
        <v>2.3012089691286728</v>
      </c>
      <c r="GF256">
        <v>3.4298420969945087</v>
      </c>
      <c r="GG256">
        <v>3.8714503700802485</v>
      </c>
      <c r="GH256">
        <v>1.5603693116103559</v>
      </c>
      <c r="GI256">
        <v>15.53372775352639</v>
      </c>
      <c r="GJ256"/>
      <c r="GK256"/>
      <c r="GL256"/>
      <c r="GM256"/>
      <c r="GN256" s="208"/>
      <c r="GO256" s="208"/>
      <c r="GP256" s="208"/>
      <c r="GQ256" s="208"/>
      <c r="GR256" s="208"/>
      <c r="GS256" s="208"/>
      <c r="GT256" s="208"/>
      <c r="GU256" s="213">
        <v>251</v>
      </c>
    </row>
    <row r="257" spans="1:203" s="7" customFormat="1">
      <c r="A257" s="1"/>
      <c r="B257">
        <v>0.62891158629561827</v>
      </c>
      <c r="C257">
        <v>2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94.428426672024528</v>
      </c>
      <c r="AO257">
        <v>14.502030866399732</v>
      </c>
      <c r="AP257">
        <v>86.13890083292047</v>
      </c>
      <c r="AQ257">
        <v>112.80475912810861</v>
      </c>
      <c r="AR257">
        <v>13.276729812706746</v>
      </c>
      <c r="AS257">
        <v>154.40046312071811</v>
      </c>
      <c r="AT257">
        <v>8.6739230015623701</v>
      </c>
      <c r="AU257">
        <v>13.450702694483946</v>
      </c>
      <c r="AV257"/>
      <c r="AW257"/>
      <c r="FY257" s="213">
        <v>252</v>
      </c>
      <c r="FZ257">
        <v>23.670256558196002</v>
      </c>
      <c r="GA257">
        <v>36.344380853513968</v>
      </c>
      <c r="GB257">
        <v>10.303567782397014</v>
      </c>
      <c r="GC257">
        <v>4.5322174693006447</v>
      </c>
      <c r="GD257">
        <v>1.739253037754084</v>
      </c>
      <c r="GE257">
        <v>1.7968088488659295</v>
      </c>
      <c r="GF257">
        <v>5.3857809971886974</v>
      </c>
      <c r="GG257">
        <v>5.4096612196663374</v>
      </c>
      <c r="GH257">
        <v>2.1611736260621592</v>
      </c>
      <c r="GI257">
        <v>8.4567232593632102</v>
      </c>
      <c r="GJ257"/>
      <c r="GK257"/>
      <c r="GL257"/>
      <c r="GM257"/>
      <c r="GN257" s="208"/>
      <c r="GO257" s="208"/>
      <c r="GP257" s="208"/>
      <c r="GQ257" s="208"/>
      <c r="GR257" s="208"/>
      <c r="GS257" s="208"/>
      <c r="GT257" s="208"/>
      <c r="GU257" s="213">
        <v>252</v>
      </c>
    </row>
    <row r="258" spans="1:203" s="7" customFormat="1">
      <c r="A258" s="1"/>
      <c r="B258">
        <v>0.58806988341066191</v>
      </c>
      <c r="C258">
        <v>5</v>
      </c>
      <c r="D258">
        <v>39747</v>
      </c>
      <c r="E258">
        <v>0</v>
      </c>
      <c r="F258">
        <v>110.47979797979797</v>
      </c>
      <c r="G258">
        <v>552.39898989898995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75.330350933108278</v>
      </c>
      <c r="AO258">
        <v>11.426042050196177</v>
      </c>
      <c r="AP258">
        <v>70.484791289520288</v>
      </c>
      <c r="AQ258">
        <v>83.410836654324001</v>
      </c>
      <c r="AR258">
        <v>10.484348099888908</v>
      </c>
      <c r="AS258">
        <v>133.62342989580438</v>
      </c>
      <c r="AT258" t="e">
        <v>#DIV/0!</v>
      </c>
      <c r="AU258" t="e">
        <v>#DIV/0!</v>
      </c>
      <c r="AV258"/>
      <c r="AW258"/>
      <c r="FY258" s="213">
        <v>253</v>
      </c>
      <c r="FZ258">
        <v>43.389398637584556</v>
      </c>
      <c r="GA258">
        <v>53.129718745011949</v>
      </c>
      <c r="GB258">
        <v>3.846547012653776</v>
      </c>
      <c r="GC258">
        <v>3.0609398211398617</v>
      </c>
      <c r="GD258">
        <v>2.5783324483262606</v>
      </c>
      <c r="GE258">
        <v>2.5328996043327958</v>
      </c>
      <c r="GF258">
        <v>0.80142140353109625</v>
      </c>
      <c r="GG258">
        <v>0.38001021050014044</v>
      </c>
      <c r="GH258">
        <v>0.60080431445180338</v>
      </c>
      <c r="GI258">
        <v>9.1000674755868474</v>
      </c>
      <c r="GJ258"/>
      <c r="GK258"/>
      <c r="GL258"/>
      <c r="GM258"/>
      <c r="GN258" s="208"/>
      <c r="GO258" s="208"/>
      <c r="GP258" s="208"/>
      <c r="GQ258" s="208"/>
      <c r="GR258" s="208"/>
      <c r="GS258" s="208"/>
      <c r="GT258" s="208"/>
      <c r="GU258" s="213">
        <v>253</v>
      </c>
    </row>
    <row r="259" spans="1:203" s="7" customFormat="1">
      <c r="A259" s="90"/>
      <c r="B259">
        <v>0.65759310741138233</v>
      </c>
      <c r="C259">
        <v>8</v>
      </c>
      <c r="D259">
        <v>39747</v>
      </c>
      <c r="E259">
        <v>0</v>
      </c>
      <c r="F259">
        <v>0</v>
      </c>
      <c r="G259">
        <v>210.33653846153848</v>
      </c>
      <c r="H259">
        <v>140.22435897435898</v>
      </c>
      <c r="I259">
        <v>10.416666666666666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95.252938359251729</v>
      </c>
      <c r="AO259">
        <v>17.169736210389903</v>
      </c>
      <c r="AP259">
        <v>126.91312408397096</v>
      </c>
      <c r="AQ259">
        <v>149.35645119543173</v>
      </c>
      <c r="AR259">
        <v>15.912058682429539</v>
      </c>
      <c r="AS259">
        <v>182.8070193615219</v>
      </c>
      <c r="AT259" t="e">
        <v>#DIV/0!</v>
      </c>
      <c r="AU259" t="e">
        <v>#DIV/0!</v>
      </c>
      <c r="AV259"/>
      <c r="AW259"/>
      <c r="FY259" s="213">
        <v>254</v>
      </c>
      <c r="FZ259">
        <v>31.107666621928299</v>
      </c>
      <c r="GA259">
        <v>38.17445839318988</v>
      </c>
      <c r="GB259">
        <v>13.614040773140101</v>
      </c>
      <c r="GC259">
        <v>7.9037093570444092</v>
      </c>
      <c r="GD259">
        <v>1.9473760186066724</v>
      </c>
      <c r="GE259">
        <v>2.2822126666497713</v>
      </c>
      <c r="GF259">
        <v>4.6277282979389076</v>
      </c>
      <c r="GG259">
        <v>4.7921262171300931</v>
      </c>
      <c r="GH259">
        <v>2.1611736260621592</v>
      </c>
      <c r="GI259">
        <v>10.306572849570534</v>
      </c>
      <c r="GJ259"/>
      <c r="GK259"/>
      <c r="GL259"/>
      <c r="GM259"/>
      <c r="GN259" s="208"/>
      <c r="GO259" s="208"/>
      <c r="GP259" s="208"/>
      <c r="GQ259" s="208"/>
      <c r="GR259" s="208"/>
      <c r="GS259" s="208"/>
      <c r="GT259" s="208"/>
      <c r="GU259" s="213">
        <v>254</v>
      </c>
    </row>
    <row r="260" spans="1:203" s="7" customFormat="1">
      <c r="A260" s="77" t="s">
        <v>61</v>
      </c>
      <c r="B260">
        <v>0.93219579447424605</v>
      </c>
      <c r="C260">
        <v>9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93.310159461294091</v>
      </c>
      <c r="AO260">
        <v>15.896380733878203</v>
      </c>
      <c r="AP260">
        <v>125.44093505714051</v>
      </c>
      <c r="AQ260">
        <v>135.11366241888049</v>
      </c>
      <c r="AR260">
        <v>14.581591395655133</v>
      </c>
      <c r="AS260">
        <v>170.72331334429208</v>
      </c>
      <c r="AT260">
        <v>10.484187836791572</v>
      </c>
      <c r="AU260">
        <v>-1.1489159230387049</v>
      </c>
      <c r="AV260"/>
      <c r="AW260"/>
      <c r="FY260" s="213">
        <v>255</v>
      </c>
      <c r="FZ260">
        <v>24.65079798676118</v>
      </c>
      <c r="GA260">
        <v>31.144007366968484</v>
      </c>
      <c r="GB260">
        <v>5.6591951586154874</v>
      </c>
      <c r="GC260">
        <v>4.1151608373906132</v>
      </c>
      <c r="GD260">
        <v>2.8338507473629169</v>
      </c>
      <c r="GE260">
        <v>3.128761636721344</v>
      </c>
      <c r="GF260">
        <v>2.4078956932249702</v>
      </c>
      <c r="GG260">
        <v>2.7818195154011818</v>
      </c>
      <c r="GH260">
        <v>2.7619779405139626</v>
      </c>
      <c r="GI260">
        <v>7.578484677778432</v>
      </c>
      <c r="GJ260"/>
      <c r="GK260"/>
      <c r="GL260"/>
      <c r="GM260"/>
      <c r="GN260" s="208"/>
      <c r="GO260" s="208"/>
      <c r="GP260" s="208"/>
      <c r="GQ260" s="208"/>
      <c r="GR260" s="208"/>
      <c r="GS260" s="208"/>
      <c r="GT260" s="208"/>
      <c r="GU260" s="213">
        <v>255</v>
      </c>
    </row>
    <row r="261" spans="1:203" s="7" customFormat="1">
      <c r="A261" s="77" t="s">
        <v>62</v>
      </c>
      <c r="B261">
        <v>0.72507809911300214</v>
      </c>
      <c r="C261">
        <v>9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90.854559601618433</v>
      </c>
      <c r="AO261">
        <v>12.987829446916388</v>
      </c>
      <c r="AP261">
        <v>83.212627451573269</v>
      </c>
      <c r="AQ261">
        <v>107.69974557721609</v>
      </c>
      <c r="AR261">
        <v>11.975022100789667</v>
      </c>
      <c r="AS261">
        <v>158.87370131901085</v>
      </c>
      <c r="AT261">
        <v>8.3168468052882307</v>
      </c>
      <c r="AU261">
        <v>25.009291972492729</v>
      </c>
      <c r="AV261"/>
      <c r="AW261"/>
      <c r="FY261" s="213">
        <v>256</v>
      </c>
      <c r="FZ261">
        <v>13.817057439491711</v>
      </c>
      <c r="GA261">
        <v>18.742121914968561</v>
      </c>
      <c r="GB261">
        <v>8.7715054408148649</v>
      </c>
      <c r="GC261">
        <v>5.3309038921490846</v>
      </c>
      <c r="GD261">
        <v>1.5551912826789873</v>
      </c>
      <c r="GE261">
        <v>1.1444493761217434</v>
      </c>
      <c r="GF261">
        <v>5.6231997748437745</v>
      </c>
      <c r="GG261">
        <v>5.9942758144879091</v>
      </c>
      <c r="GH261">
        <v>2.1611736260621592</v>
      </c>
      <c r="GI261">
        <v>6.5293790256877173</v>
      </c>
      <c r="GJ261"/>
      <c r="GK261"/>
      <c r="GL261"/>
      <c r="GM261"/>
      <c r="GN261" s="208"/>
      <c r="GO261" s="208"/>
      <c r="GP261" s="208"/>
      <c r="GQ261" s="208"/>
      <c r="GR261" s="208"/>
      <c r="GS261" s="208"/>
      <c r="GT261" s="208"/>
      <c r="GU261" s="213">
        <v>256</v>
      </c>
    </row>
    <row r="262" spans="1:203" s="7" customFormat="1" ht="12.75" customHeight="1">
      <c r="A262" s="77"/>
      <c r="B262">
        <v>0.25079628761668138</v>
      </c>
      <c r="C262">
        <v>4</v>
      </c>
      <c r="D262">
        <v>39747</v>
      </c>
      <c r="E262">
        <v>0</v>
      </c>
      <c r="F262">
        <v>251.43678160919538</v>
      </c>
      <c r="G262">
        <v>251.43678160919538</v>
      </c>
      <c r="H262">
        <v>188.57758620689654</v>
      </c>
      <c r="I262">
        <v>0</v>
      </c>
      <c r="J262">
        <v>28.409090909090907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72.532721560846568</v>
      </c>
      <c r="AO262">
        <v>11.71279056918387</v>
      </c>
      <c r="AP262">
        <v>76.380738081103843</v>
      </c>
      <c r="AQ262">
        <v>96.215080611102039</v>
      </c>
      <c r="AR262">
        <v>10.725139504129682</v>
      </c>
      <c r="AS262">
        <v>126.92434790696016</v>
      </c>
      <c r="AT262" t="e">
        <v>#DIV/0!</v>
      </c>
      <c r="AU262" t="e">
        <v>#DIV/0!</v>
      </c>
      <c r="AV262"/>
      <c r="AW262"/>
      <c r="FY262" s="213">
        <v>257</v>
      </c>
      <c r="FZ262">
        <v>18.976430263292194</v>
      </c>
      <c r="GA262">
        <v>22.541814366214055</v>
      </c>
      <c r="GB262">
        <v>7.4307502587472491</v>
      </c>
      <c r="GC262">
        <v>5.1050220103376569</v>
      </c>
      <c r="GD262">
        <v>2.3098262605615769</v>
      </c>
      <c r="GE262">
        <v>2.9736827323284665</v>
      </c>
      <c r="GF262">
        <v>3.3712352635134542</v>
      </c>
      <c r="GG262">
        <v>2.6376072100553292</v>
      </c>
      <c r="GH262">
        <v>0.60080431445180338</v>
      </c>
      <c r="GI262">
        <v>6.7596016044076315</v>
      </c>
      <c r="GJ262"/>
      <c r="GK262"/>
      <c r="GL262"/>
      <c r="GM262"/>
      <c r="GN262" s="208"/>
      <c r="GO262" s="208"/>
      <c r="GP262" s="208"/>
      <c r="GQ262" s="208"/>
      <c r="GR262" s="208"/>
      <c r="GS262" s="208"/>
      <c r="GT262" s="208"/>
      <c r="GU262" s="213">
        <v>257</v>
      </c>
    </row>
    <row r="263" spans="1:203" s="7" customFormat="1">
      <c r="A263" s="77"/>
      <c r="B263">
        <v>0.47693336893201899</v>
      </c>
      <c r="C263">
        <v>7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64.884074463118594</v>
      </c>
      <c r="AO263">
        <v>11.574207864238149</v>
      </c>
      <c r="AP263">
        <v>84.635436055596216</v>
      </c>
      <c r="AQ263">
        <v>95.397689457456877</v>
      </c>
      <c r="AR263">
        <v>10.703270097594523</v>
      </c>
      <c r="AS263">
        <v>125.1883087010342</v>
      </c>
      <c r="AT263" t="e">
        <v>#DIV/0!</v>
      </c>
      <c r="AU263" t="e">
        <v>#DIV/0!</v>
      </c>
      <c r="AV263"/>
      <c r="AW263"/>
      <c r="FY263" s="213">
        <v>258</v>
      </c>
      <c r="FZ263">
        <v>31.306402001572877</v>
      </c>
      <c r="GA263">
        <v>36.699568126911551</v>
      </c>
      <c r="GB263">
        <v>7.2717435739380853</v>
      </c>
      <c r="GC263">
        <v>5.7902541069008828</v>
      </c>
      <c r="GD263">
        <v>2.983063783867502</v>
      </c>
      <c r="GE263">
        <v>3.4185580973736878</v>
      </c>
      <c r="GF263">
        <v>4.9550989809256354</v>
      </c>
      <c r="GG263">
        <v>5.033640802364455</v>
      </c>
      <c r="GH263">
        <v>3.3627822549657664</v>
      </c>
      <c r="GI263">
        <v>9.6385663317670005</v>
      </c>
      <c r="GJ263"/>
      <c r="GK263"/>
      <c r="GL263"/>
      <c r="GM263"/>
      <c r="GN263" s="208"/>
      <c r="GO263" s="208"/>
      <c r="GP263" s="208"/>
      <c r="GQ263" s="208"/>
      <c r="GR263" s="208"/>
      <c r="GS263" s="208"/>
      <c r="GT263" s="208"/>
      <c r="GU263" s="213">
        <v>258</v>
      </c>
    </row>
    <row r="264" spans="1:203" s="7" customFormat="1">
      <c r="A264" s="77"/>
      <c r="B264">
        <v>0.99339771848575797</v>
      </c>
      <c r="C264">
        <v>7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85.206641314792961</v>
      </c>
      <c r="AO264">
        <v>10.086360555321964</v>
      </c>
      <c r="AP264">
        <v>27.308295238582232</v>
      </c>
      <c r="AQ264">
        <v>56.706873867347007</v>
      </c>
      <c r="AR264">
        <v>9.2756443056059315</v>
      </c>
      <c r="AS264">
        <v>128.85562831883294</v>
      </c>
      <c r="AT264" t="e">
        <v>#DIV/0!</v>
      </c>
      <c r="AU264" t="e">
        <v>#DIV/0!</v>
      </c>
      <c r="AV264"/>
      <c r="AW264"/>
      <c r="FY264" s="213">
        <v>259</v>
      </c>
      <c r="FZ264">
        <v>26.433795512163844</v>
      </c>
      <c r="GA264">
        <v>31.121493389268061</v>
      </c>
      <c r="GB264">
        <v>9.4429194479416818</v>
      </c>
      <c r="GC264">
        <v>6.5394545134203232</v>
      </c>
      <c r="GD264">
        <v>2.2834375408456054</v>
      </c>
      <c r="GE264">
        <v>2.3358175038301372</v>
      </c>
      <c r="GF264">
        <v>6.5763681529836315</v>
      </c>
      <c r="GG264">
        <v>5.5688554819140919</v>
      </c>
      <c r="GH264">
        <v>0</v>
      </c>
      <c r="GI264">
        <v>8.8061079803196982</v>
      </c>
      <c r="GJ264"/>
      <c r="GK264"/>
      <c r="GL264"/>
      <c r="GM264"/>
      <c r="GN264" s="208"/>
      <c r="GO264" s="208"/>
      <c r="GP264" s="208"/>
      <c r="GQ264" s="208"/>
      <c r="GR264" s="208"/>
      <c r="GS264" s="208"/>
      <c r="GT264" s="208"/>
      <c r="GU264" s="213">
        <v>259</v>
      </c>
    </row>
    <row r="265" spans="1:203" s="7" customFormat="1">
      <c r="A265" s="77"/>
      <c r="B265">
        <v>0.84559778189990964</v>
      </c>
      <c r="C265">
        <v>1</v>
      </c>
      <c r="D265">
        <v>39747</v>
      </c>
      <c r="E265">
        <v>0</v>
      </c>
      <c r="F265">
        <v>0</v>
      </c>
      <c r="G265">
        <v>173.61111111111111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81.030748669199468</v>
      </c>
      <c r="AO265">
        <v>12.000107986036994</v>
      </c>
      <c r="AP265">
        <v>58.689468280883958</v>
      </c>
      <c r="AQ265">
        <v>100.63019276910771</v>
      </c>
      <c r="AR265">
        <v>11.003917178849445</v>
      </c>
      <c r="AS265">
        <v>155.36566391414047</v>
      </c>
      <c r="AT265" t="e">
        <v>#DIV/0!</v>
      </c>
      <c r="AU265" t="e">
        <v>#DIV/0!</v>
      </c>
      <c r="AV265"/>
      <c r="AW265"/>
      <c r="FY265" s="213">
        <v>260</v>
      </c>
      <c r="FZ265">
        <v>55.077211134800621</v>
      </c>
      <c r="GA265">
        <v>72.689575576781138</v>
      </c>
      <c r="GB265">
        <v>6.0804859689651893</v>
      </c>
      <c r="GC265">
        <v>2.0701765308037547</v>
      </c>
      <c r="GD265">
        <v>2.3308363502335832</v>
      </c>
      <c r="GE265">
        <v>3.0472736663545827</v>
      </c>
      <c r="GF265">
        <v>2.7293031265762089</v>
      </c>
      <c r="GG265">
        <v>4.5059672747363102</v>
      </c>
      <c r="GH265">
        <v>3.7215429376725151</v>
      </c>
      <c r="GI265">
        <v>12.225659021626363</v>
      </c>
      <c r="GJ265"/>
      <c r="GK265"/>
      <c r="GL265"/>
      <c r="GM265"/>
      <c r="GN265" s="208"/>
      <c r="GO265" s="208"/>
      <c r="GP265" s="208"/>
      <c r="GQ265" s="208"/>
      <c r="GR265" s="208"/>
      <c r="GS265" s="208"/>
      <c r="GT265" s="208"/>
      <c r="GU265" s="213">
        <v>260</v>
      </c>
    </row>
    <row r="266" spans="1:203" s="7" customFormat="1">
      <c r="A266" s="1"/>
      <c r="B266">
        <v>0.40199701594572534</v>
      </c>
      <c r="C266">
        <v>8</v>
      </c>
      <c r="D266">
        <v>39747</v>
      </c>
      <c r="E266">
        <v>0</v>
      </c>
      <c r="F266">
        <v>0</v>
      </c>
      <c r="G266">
        <v>210.33653846153848</v>
      </c>
      <c r="H266">
        <v>140.22435897435898</v>
      </c>
      <c r="I266">
        <v>10.416666666666666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99.845196536100431</v>
      </c>
      <c r="AO266">
        <v>19.665178928658705</v>
      </c>
      <c r="AP266">
        <v>119.46845247039292</v>
      </c>
      <c r="AQ266">
        <v>158.48062642092151</v>
      </c>
      <c r="AR266">
        <v>18.129018430117263</v>
      </c>
      <c r="AS266">
        <v>189.42370102825456</v>
      </c>
      <c r="AT266" t="e">
        <v>#DIV/0!</v>
      </c>
      <c r="AU266" t="e">
        <v>#DIV/0!</v>
      </c>
      <c r="AV266"/>
      <c r="AW266"/>
      <c r="FY266" s="213">
        <v>261</v>
      </c>
      <c r="FZ266">
        <v>22.059056045400045</v>
      </c>
      <c r="GA266">
        <v>29.994807985730858</v>
      </c>
      <c r="GB266">
        <v>9.6197833034900313</v>
      </c>
      <c r="GC266">
        <v>4.960176084720703</v>
      </c>
      <c r="GD266">
        <v>1.8581659963135539</v>
      </c>
      <c r="GE266">
        <v>1.7383856940954527</v>
      </c>
      <c r="GF266">
        <v>4.3098789492868681</v>
      </c>
      <c r="GG266">
        <v>4.7873865658070507</v>
      </c>
      <c r="GH266">
        <v>1.5603693116103559</v>
      </c>
      <c r="GI266">
        <v>7.8261961783020668</v>
      </c>
      <c r="GJ266"/>
      <c r="GK266"/>
      <c r="GL266"/>
      <c r="GM266"/>
      <c r="GN266" s="208"/>
      <c r="GO266" s="208"/>
      <c r="GP266" s="208"/>
      <c r="GQ266" s="208"/>
      <c r="GR266" s="208"/>
      <c r="GS266" s="208"/>
      <c r="GT266" s="208"/>
      <c r="GU266" s="213">
        <v>261</v>
      </c>
    </row>
    <row r="267" spans="1:203" s="7" customFormat="1">
      <c r="A267" s="1"/>
      <c r="B267">
        <v>1.5037053445601245E-2</v>
      </c>
      <c r="C267">
        <v>3</v>
      </c>
      <c r="D267">
        <v>39747</v>
      </c>
      <c r="E267">
        <v>0</v>
      </c>
      <c r="F267">
        <v>0</v>
      </c>
      <c r="G267">
        <v>0</v>
      </c>
      <c r="H267">
        <v>10.416666666666666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116.55414603028066</v>
      </c>
      <c r="AO267">
        <v>23.563393292208744</v>
      </c>
      <c r="AP267">
        <v>217.86498475949639</v>
      </c>
      <c r="AQ267">
        <v>208.35204800254138</v>
      </c>
      <c r="AR267">
        <v>21.54251348666963</v>
      </c>
      <c r="AS267">
        <v>235.9982443287083</v>
      </c>
      <c r="AT267" t="e">
        <v>#DIV/0!</v>
      </c>
      <c r="AU267" t="e">
        <v>#DIV/0!</v>
      </c>
      <c r="AV267"/>
      <c r="AW267"/>
      <c r="FY267" s="213">
        <v>262</v>
      </c>
      <c r="FZ267">
        <v>6.0530707316330981</v>
      </c>
      <c r="GA267">
        <v>7.3030583560046463</v>
      </c>
      <c r="GB267">
        <v>7.0804317114583464</v>
      </c>
      <c r="GC267">
        <v>5.2035587988898344</v>
      </c>
      <c r="GD267">
        <v>2.0100100070390425</v>
      </c>
      <c r="GE267">
        <v>2.0337758476085273</v>
      </c>
      <c r="GF267">
        <v>3.9731599888033982</v>
      </c>
      <c r="GG267">
        <v>6.5878724321027997</v>
      </c>
      <c r="GH267">
        <v>4.6811079348310667</v>
      </c>
      <c r="GI267">
        <v>5.3195601149680636</v>
      </c>
      <c r="GJ267"/>
      <c r="GK267"/>
      <c r="GL267"/>
      <c r="GM267"/>
      <c r="GN267" s="208"/>
      <c r="GO267" s="208"/>
      <c r="GP267" s="208"/>
      <c r="GQ267" s="208"/>
      <c r="GR267" s="208"/>
      <c r="GS267" s="208"/>
      <c r="GT267" s="208"/>
      <c r="GU267" s="213">
        <v>262</v>
      </c>
    </row>
    <row r="268" spans="1:203" s="7" customFormat="1">
      <c r="A268" s="1"/>
      <c r="B268">
        <v>0.59140203234395328</v>
      </c>
      <c r="C268">
        <v>5</v>
      </c>
      <c r="D268">
        <v>39775</v>
      </c>
      <c r="E268">
        <v>0</v>
      </c>
      <c r="F268">
        <v>0</v>
      </c>
      <c r="G268">
        <v>178.57142857142856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76.336768758859279</v>
      </c>
      <c r="AO268">
        <v>12.766176319799502</v>
      </c>
      <c r="AP268">
        <v>62.074602934007885</v>
      </c>
      <c r="AQ268">
        <v>99.799823652308064</v>
      </c>
      <c r="AR268">
        <v>11.733840270958565</v>
      </c>
      <c r="AS268">
        <v>142.74568386935519</v>
      </c>
      <c r="AT268">
        <v>7.7514212526045414</v>
      </c>
      <c r="AU268">
        <v>3.6092084429119735</v>
      </c>
      <c r="AV268"/>
      <c r="AW268"/>
      <c r="FY268" s="213">
        <v>263</v>
      </c>
      <c r="FZ268">
        <v>6.5823307851758441</v>
      </c>
      <c r="GA268">
        <v>10.313681212011733</v>
      </c>
      <c r="GB268">
        <v>5.3142524922112493</v>
      </c>
      <c r="GC268">
        <v>3.666686072083571</v>
      </c>
      <c r="GD268">
        <v>2.3281426735870463</v>
      </c>
      <c r="GE268">
        <v>2.4058499075325157</v>
      </c>
      <c r="GF268">
        <v>6.4740863453374944</v>
      </c>
      <c r="GG268">
        <v>7.7308770884625888</v>
      </c>
      <c r="GH268">
        <v>3.1207386232207117</v>
      </c>
      <c r="GI268">
        <v>5.3931248874701057</v>
      </c>
      <c r="GJ268"/>
      <c r="GK268"/>
      <c r="GL268"/>
      <c r="GM268"/>
      <c r="GN268" s="208"/>
      <c r="GO268" s="208"/>
      <c r="GP268" s="208"/>
      <c r="GQ268" s="208"/>
      <c r="GR268" s="208"/>
      <c r="GS268" s="208"/>
      <c r="GT268" s="208"/>
      <c r="GU268" s="213">
        <v>263</v>
      </c>
    </row>
    <row r="269" spans="1:203" s="7" customFormat="1">
      <c r="A269" s="1"/>
      <c r="B269">
        <v>6.3931123017737956E-2</v>
      </c>
      <c r="C269">
        <v>4</v>
      </c>
      <c r="D269">
        <v>39775</v>
      </c>
      <c r="E269">
        <v>0</v>
      </c>
      <c r="F269">
        <v>0</v>
      </c>
      <c r="G269">
        <v>31.25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77.750167887667885</v>
      </c>
      <c r="AO269">
        <v>13.66030688503011</v>
      </c>
      <c r="AP269">
        <v>102.94066099546228</v>
      </c>
      <c r="AQ269">
        <v>119.42013967311911</v>
      </c>
      <c r="AR269">
        <v>12.588674270878711</v>
      </c>
      <c r="AS269">
        <v>156.71100284172326</v>
      </c>
      <c r="AT269" t="e">
        <v>#DIV/0!</v>
      </c>
      <c r="AU269" t="e">
        <v>#DIV/0!</v>
      </c>
      <c r="AV269"/>
      <c r="AW269"/>
      <c r="FY269" s="213">
        <v>264</v>
      </c>
      <c r="FZ269">
        <v>24.726096877334591</v>
      </c>
      <c r="GA269">
        <v>28.095541288612335</v>
      </c>
      <c r="GB269">
        <v>11.872172287727901</v>
      </c>
      <c r="GC269">
        <v>8.3764636469695546</v>
      </c>
      <c r="GD269">
        <v>2.6389864784154309</v>
      </c>
      <c r="GE269">
        <v>2.6101600336518143</v>
      </c>
      <c r="GF269">
        <v>4.3656136357687583</v>
      </c>
      <c r="GG269">
        <v>5.558613176335232</v>
      </c>
      <c r="GH269">
        <v>4.3223472521243185</v>
      </c>
      <c r="GI269">
        <v>9.7031953504108444</v>
      </c>
      <c r="GJ269"/>
      <c r="GK269"/>
      <c r="GL269"/>
      <c r="GM269"/>
      <c r="GN269" s="208"/>
      <c r="GO269" s="208"/>
      <c r="GP269" s="208"/>
      <c r="GQ269" s="208"/>
      <c r="GR269" s="208"/>
      <c r="GS269" s="208"/>
      <c r="GT269" s="208"/>
      <c r="GU269" s="213">
        <v>264</v>
      </c>
    </row>
    <row r="270" spans="1:203" s="7" customFormat="1">
      <c r="A270" s="1"/>
      <c r="B270">
        <v>0.47558456254537429</v>
      </c>
      <c r="C270">
        <v>4</v>
      </c>
      <c r="D270">
        <v>39775</v>
      </c>
      <c r="E270">
        <v>0</v>
      </c>
      <c r="F270">
        <v>0</v>
      </c>
      <c r="G270">
        <v>31.25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102.42928018871855</v>
      </c>
      <c r="AO270">
        <v>15.507779235327352</v>
      </c>
      <c r="AP270">
        <v>99.684032141585604</v>
      </c>
      <c r="AQ270">
        <v>116.91706482126082</v>
      </c>
      <c r="AR270">
        <v>14.270404485726994</v>
      </c>
      <c r="AS270">
        <v>181.03808747193642</v>
      </c>
      <c r="AT270">
        <v>9.0785868807882668</v>
      </c>
      <c r="AU270">
        <v>-41.819889767689425</v>
      </c>
      <c r="AV270"/>
      <c r="AW270"/>
      <c r="FY270" s="213">
        <v>265</v>
      </c>
      <c r="FZ270">
        <v>12.651170265661541</v>
      </c>
      <c r="GA270">
        <v>20.207946084780566</v>
      </c>
      <c r="GB270">
        <v>8.6521419112279219</v>
      </c>
      <c r="GC270">
        <v>4.8015687901530226</v>
      </c>
      <c r="GD270">
        <v>2.013036764019466</v>
      </c>
      <c r="GE270">
        <v>1.7578899979056013</v>
      </c>
      <c r="GF270">
        <v>4.6957928867352843</v>
      </c>
      <c r="GG270">
        <v>6.2293107167094215</v>
      </c>
      <c r="GH270">
        <v>3.7215429376725151</v>
      </c>
      <c r="GI270">
        <v>6.6537578999917013</v>
      </c>
      <c r="GJ270"/>
      <c r="GK270"/>
      <c r="GL270"/>
      <c r="GM270"/>
      <c r="GN270" s="208"/>
      <c r="GO270" s="208"/>
      <c r="GP270" s="208"/>
      <c r="GQ270" s="208"/>
      <c r="GR270" s="208"/>
      <c r="GS270" s="208"/>
      <c r="GT270" s="208"/>
      <c r="GU270" s="213">
        <v>265</v>
      </c>
    </row>
    <row r="271" spans="1:203" s="7" customFormat="1">
      <c r="A271" s="77"/>
      <c r="B271">
        <v>2.4495957285601833E-3</v>
      </c>
      <c r="C271">
        <v>7</v>
      </c>
      <c r="D271">
        <v>39775</v>
      </c>
      <c r="E271">
        <v>0</v>
      </c>
      <c r="F271">
        <v>14.204545454545453</v>
      </c>
      <c r="G271">
        <v>0</v>
      </c>
      <c r="H271">
        <v>56.818181818181813</v>
      </c>
      <c r="I271">
        <v>14.204545454545453</v>
      </c>
      <c r="J271">
        <v>14.204545454545453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84.123078120136938</v>
      </c>
      <c r="AO271">
        <v>11.281246420063116</v>
      </c>
      <c r="AP271">
        <v>56.752606989474032</v>
      </c>
      <c r="AQ271">
        <v>87.061951560738578</v>
      </c>
      <c r="AR271">
        <v>10.474660342646821</v>
      </c>
      <c r="AS271">
        <v>160.48558708062961</v>
      </c>
      <c r="AT271">
        <v>6.8811477663382226</v>
      </c>
      <c r="AU271">
        <v>18.927084474355159</v>
      </c>
      <c r="AV271"/>
      <c r="AW271"/>
      <c r="FY271" s="213">
        <v>266</v>
      </c>
      <c r="FZ271">
        <v>36.188906236609476</v>
      </c>
      <c r="GA271">
        <v>52.124117456582866</v>
      </c>
      <c r="GB271">
        <v>14.679782540310814</v>
      </c>
      <c r="GC271">
        <v>7.0869817111024913</v>
      </c>
      <c r="GD271">
        <v>2.8695594503045254</v>
      </c>
      <c r="GE271">
        <v>2.689849413248405</v>
      </c>
      <c r="GF271">
        <v>3.5464157250557951</v>
      </c>
      <c r="GG271">
        <v>2.7219247162783691</v>
      </c>
      <c r="GH271">
        <v>0</v>
      </c>
      <c r="GI271">
        <v>11.374674130477345</v>
      </c>
      <c r="GJ271"/>
      <c r="GK271"/>
      <c r="GL271"/>
      <c r="GM271"/>
      <c r="GN271" s="208"/>
      <c r="GO271" s="208"/>
      <c r="GP271" s="208"/>
      <c r="GQ271" s="208"/>
      <c r="GR271" s="208"/>
      <c r="GS271" s="208"/>
      <c r="GT271" s="208"/>
      <c r="GU271" s="213">
        <v>266</v>
      </c>
    </row>
    <row r="272" spans="1:203" s="7" customFormat="1">
      <c r="A272" s="77"/>
      <c r="B272">
        <v>0.19281707506937362</v>
      </c>
      <c r="C272">
        <v>5</v>
      </c>
      <c r="D272">
        <v>39775</v>
      </c>
      <c r="E272">
        <v>0</v>
      </c>
      <c r="F272">
        <v>0</v>
      </c>
      <c r="G272">
        <v>178.57142857142856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78.648793252564786</v>
      </c>
      <c r="AO272">
        <v>9.7689117419036489</v>
      </c>
      <c r="AP272">
        <v>38.409837943759854</v>
      </c>
      <c r="AQ272">
        <v>69.669257587306504</v>
      </c>
      <c r="AR272">
        <v>9.0047336463956196</v>
      </c>
      <c r="AS272">
        <v>129.6312468543349</v>
      </c>
      <c r="AT272">
        <v>5.8574112108038205</v>
      </c>
      <c r="AU272">
        <v>6.0335045986953393</v>
      </c>
      <c r="AV272"/>
      <c r="AW272"/>
      <c r="FY272" s="213">
        <v>267</v>
      </c>
      <c r="FZ272">
        <v>10.980052303938246</v>
      </c>
      <c r="GA272">
        <v>11.869364509378276</v>
      </c>
      <c r="GB272">
        <v>7.8037047013941798</v>
      </c>
      <c r="GC272">
        <v>6.3009119202663415</v>
      </c>
      <c r="GD272">
        <v>2.8951676200989542</v>
      </c>
      <c r="GE272">
        <v>2.7372701692133123</v>
      </c>
      <c r="GF272">
        <v>5.2852782318921605</v>
      </c>
      <c r="GG272">
        <v>5.4338726629237888</v>
      </c>
      <c r="GH272">
        <v>1.5603693116103559</v>
      </c>
      <c r="GI272">
        <v>6.5245091299154039</v>
      </c>
      <c r="GJ272"/>
      <c r="GK272"/>
      <c r="GL272"/>
      <c r="GM272"/>
      <c r="GN272" s="208"/>
      <c r="GO272" s="208"/>
      <c r="GP272" s="208"/>
      <c r="GQ272" s="208"/>
      <c r="GR272" s="208"/>
      <c r="GS272" s="208"/>
      <c r="GT272" s="208"/>
      <c r="GU272" s="213">
        <v>267</v>
      </c>
    </row>
    <row r="273" spans="1:203" s="7" customFormat="1">
      <c r="A273" s="1"/>
      <c r="B273">
        <v>0.5020979532297607</v>
      </c>
      <c r="C273">
        <v>6</v>
      </c>
      <c r="D273">
        <v>39775</v>
      </c>
      <c r="E273">
        <v>0</v>
      </c>
      <c r="F273">
        <v>10.416666666666666</v>
      </c>
      <c r="G273">
        <v>10.416666666666666</v>
      </c>
      <c r="H273">
        <v>20.833333333333332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81.999013872790485</v>
      </c>
      <c r="AO273">
        <v>10.10174674368422</v>
      </c>
      <c r="AP273">
        <v>54.830192678737589</v>
      </c>
      <c r="AQ273">
        <v>72.706774283909425</v>
      </c>
      <c r="AR273">
        <v>9.2961622906254959</v>
      </c>
      <c r="AS273">
        <v>135.77107599628118</v>
      </c>
      <c r="AT273" t="e">
        <v>#DIV/0!</v>
      </c>
      <c r="AU273" t="e">
        <v>#DIV/0!</v>
      </c>
      <c r="AV273"/>
      <c r="AW273"/>
      <c r="FY273" s="213">
        <v>268</v>
      </c>
      <c r="FZ273">
        <v>21.66807842498012</v>
      </c>
      <c r="GA273">
        <v>24.255751541723466</v>
      </c>
      <c r="GB273">
        <v>7.7878858985802273</v>
      </c>
      <c r="GC273">
        <v>5.839152034822999</v>
      </c>
      <c r="GD273">
        <v>2.7299101519484577</v>
      </c>
      <c r="GE273">
        <v>3.3972813078386501</v>
      </c>
      <c r="GF273">
        <v>4.2629521603063614</v>
      </c>
      <c r="GG273">
        <v>3.2541266313867805</v>
      </c>
      <c r="GH273">
        <v>1.2016086289036068</v>
      </c>
      <c r="GI273">
        <v>7.7723429196787315</v>
      </c>
      <c r="GJ273"/>
      <c r="GK273"/>
      <c r="GL273"/>
      <c r="GM273"/>
      <c r="GN273" s="208"/>
      <c r="GO273" s="208"/>
      <c r="GP273" s="208"/>
      <c r="GQ273" s="208"/>
      <c r="GR273" s="208"/>
      <c r="GS273" s="208"/>
      <c r="GT273" s="208"/>
      <c r="GU273" s="213">
        <v>268</v>
      </c>
    </row>
    <row r="274" spans="1:203" s="7" customFormat="1">
      <c r="A274" s="1"/>
      <c r="B274">
        <v>0.79467849764212906</v>
      </c>
      <c r="C274">
        <v>4</v>
      </c>
      <c r="D274">
        <v>39775</v>
      </c>
      <c r="E274">
        <v>0</v>
      </c>
      <c r="F274">
        <v>0</v>
      </c>
      <c r="G274">
        <v>31.25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98.918735361813447</v>
      </c>
      <c r="AO274">
        <v>14.347893756039692</v>
      </c>
      <c r="AP274">
        <v>85.591833447040955</v>
      </c>
      <c r="AQ274">
        <v>110.45967806058745</v>
      </c>
      <c r="AR274">
        <v>13.287278453864065</v>
      </c>
      <c r="AS274">
        <v>188.48958557136766</v>
      </c>
      <c r="AT274">
        <v>9.1046351847209692</v>
      </c>
      <c r="AU274">
        <v>19.411360008275331</v>
      </c>
      <c r="AV274"/>
      <c r="AW274"/>
      <c r="FY274" s="213">
        <v>269</v>
      </c>
      <c r="FZ274">
        <v>5.365034152015018</v>
      </c>
      <c r="GA274">
        <v>5.4317520805236654</v>
      </c>
      <c r="GB274">
        <v>7.7758444695847393</v>
      </c>
      <c r="GC274">
        <v>5.8267134731039461</v>
      </c>
      <c r="GD274">
        <v>1.9964478160745063</v>
      </c>
      <c r="GE274">
        <v>1.8130212787461297</v>
      </c>
      <c r="GF274">
        <v>3.621020023369117</v>
      </c>
      <c r="GG274">
        <v>6.2844658645091922</v>
      </c>
      <c r="GH274">
        <v>5.2819122492828701</v>
      </c>
      <c r="GI274">
        <v>5.3891647474051947</v>
      </c>
      <c r="GJ274"/>
      <c r="GK274"/>
      <c r="GL274"/>
      <c r="GM274"/>
      <c r="GN274" s="208"/>
      <c r="GO274" s="208"/>
      <c r="GP274" s="208"/>
      <c r="GQ274" s="208"/>
      <c r="GR274" s="208"/>
      <c r="GS274" s="208"/>
      <c r="GT274" s="208"/>
      <c r="GU274" s="213">
        <v>269</v>
      </c>
    </row>
    <row r="275" spans="1:203" s="7" customFormat="1">
      <c r="A275" s="1"/>
      <c r="B275">
        <v>0.9975385447778149</v>
      </c>
      <c r="C275">
        <v>7</v>
      </c>
      <c r="D275">
        <v>39775</v>
      </c>
      <c r="E275">
        <v>0</v>
      </c>
      <c r="F275">
        <v>14.204545454545453</v>
      </c>
      <c r="G275">
        <v>0</v>
      </c>
      <c r="H275">
        <v>56.818181818181813</v>
      </c>
      <c r="I275">
        <v>14.204545454545453</v>
      </c>
      <c r="J275">
        <v>14.204545454545453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86.920908012851456</v>
      </c>
      <c r="AO275">
        <v>13.274905470465029</v>
      </c>
      <c r="AP275">
        <v>73.27856701141215</v>
      </c>
      <c r="AQ275">
        <v>99.108249522687089</v>
      </c>
      <c r="AR275">
        <v>12.121034247615981</v>
      </c>
      <c r="AS275">
        <v>153.95864620756649</v>
      </c>
      <c r="AT275" t="e">
        <v>#DIV/0!</v>
      </c>
      <c r="AU275" t="e">
        <v>#DIV/0!</v>
      </c>
      <c r="AV275"/>
      <c r="AW275"/>
      <c r="FY275" s="213">
        <v>270</v>
      </c>
      <c r="FZ275">
        <v>10.960082222274988</v>
      </c>
      <c r="GA275">
        <v>11.493525722713754</v>
      </c>
      <c r="GB275">
        <v>7.1911346970180405</v>
      </c>
      <c r="GC275">
        <v>5.4146755965222004</v>
      </c>
      <c r="GD275">
        <v>1.8020374987831465</v>
      </c>
      <c r="GE275">
        <v>1.3373429067805298</v>
      </c>
      <c r="GF275">
        <v>1.724447292288501</v>
      </c>
      <c r="GG275">
        <v>2.5627304540306133</v>
      </c>
      <c r="GH275">
        <v>2.1611736260621592</v>
      </c>
      <c r="GI275">
        <v>5.086432000629399</v>
      </c>
      <c r="GJ275"/>
      <c r="GK275"/>
      <c r="GL275"/>
      <c r="GM275"/>
      <c r="GN275" s="208"/>
      <c r="GO275" s="208"/>
      <c r="GP275" s="208"/>
      <c r="GQ275" s="208"/>
      <c r="GR275" s="208"/>
      <c r="GS275" s="208"/>
      <c r="GT275" s="208"/>
      <c r="GU275" s="213">
        <v>270</v>
      </c>
    </row>
    <row r="276" spans="1:203" s="7" customFormat="1">
      <c r="A276" s="1"/>
      <c r="B276">
        <v>0.84263572144296139</v>
      </c>
      <c r="C276">
        <v>4</v>
      </c>
      <c r="D276">
        <v>39775</v>
      </c>
      <c r="E276">
        <v>0</v>
      </c>
      <c r="F276">
        <v>0</v>
      </c>
      <c r="G276">
        <v>31.25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88.049803532524109</v>
      </c>
      <c r="AO276">
        <v>18.59251088882899</v>
      </c>
      <c r="AP276">
        <v>133.20172750790863</v>
      </c>
      <c r="AQ276">
        <v>164.47803158855032</v>
      </c>
      <c r="AR276">
        <v>17.067878003451838</v>
      </c>
      <c r="AS276">
        <v>192.06247513208211</v>
      </c>
      <c r="AT276">
        <v>11.381468461087019</v>
      </c>
      <c r="AU276">
        <v>33.622570403067463</v>
      </c>
      <c r="AV276"/>
      <c r="AW276"/>
      <c r="FY276" s="213">
        <v>271</v>
      </c>
      <c r="FZ276">
        <v>30.043420974080458</v>
      </c>
      <c r="GA276">
        <v>34.748907837178486</v>
      </c>
      <c r="GB276">
        <v>4.5309378437779095</v>
      </c>
      <c r="GC276">
        <v>4.1415934977737114</v>
      </c>
      <c r="GD276">
        <v>2.7709327429194994</v>
      </c>
      <c r="GE276">
        <v>2.8209658339881538</v>
      </c>
      <c r="GF276">
        <v>3.1782782947892465</v>
      </c>
      <c r="GG276">
        <v>4.8472813649298629</v>
      </c>
      <c r="GH276">
        <v>3.7215429376725151</v>
      </c>
      <c r="GI276">
        <v>8.4507526869334981</v>
      </c>
      <c r="GJ276"/>
      <c r="GK276"/>
      <c r="GL276"/>
      <c r="GM276"/>
      <c r="GN276" s="208"/>
      <c r="GO276" s="208"/>
      <c r="GP276" s="208"/>
      <c r="GQ276" s="208"/>
      <c r="GR276" s="208"/>
      <c r="GS276" s="208"/>
      <c r="GT276" s="208"/>
      <c r="GU276" s="213">
        <v>271</v>
      </c>
    </row>
    <row r="277" spans="1:203" s="7" customFormat="1">
      <c r="A277" s="1"/>
      <c r="B277">
        <v>0.70325209865572003</v>
      </c>
      <c r="C277">
        <v>5</v>
      </c>
      <c r="D277">
        <v>39775</v>
      </c>
      <c r="E277">
        <v>0</v>
      </c>
      <c r="F277">
        <v>0</v>
      </c>
      <c r="G277">
        <v>178.57142857142856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72.353763631520991</v>
      </c>
      <c r="AO277">
        <v>11.741653847797135</v>
      </c>
      <c r="AP277">
        <v>46.738615552247268</v>
      </c>
      <c r="AQ277">
        <v>88.714206114757005</v>
      </c>
      <c r="AR277">
        <v>10.85052674175005</v>
      </c>
      <c r="AS277">
        <v>132.52682472809141</v>
      </c>
      <c r="AT277" t="e">
        <v>#DIV/0!</v>
      </c>
      <c r="AU277" t="e">
        <v>#DIV/0!</v>
      </c>
      <c r="AV277"/>
      <c r="AW277"/>
      <c r="FY277" s="213">
        <v>272</v>
      </c>
      <c r="FZ277">
        <v>29.432636618159282</v>
      </c>
      <c r="GA277">
        <v>34.320454995370646</v>
      </c>
      <c r="GB277">
        <v>5.4463876582491935</v>
      </c>
      <c r="GC277">
        <v>4.8061025055741249</v>
      </c>
      <c r="GD277">
        <v>2.3612697173131632</v>
      </c>
      <c r="GE277">
        <v>1.923008773534957</v>
      </c>
      <c r="GF277">
        <v>4.3939410029155122</v>
      </c>
      <c r="GG277">
        <v>4.9064103991384203</v>
      </c>
      <c r="GH277">
        <v>3.3627822549657664</v>
      </c>
      <c r="GI277">
        <v>8.388731060757836</v>
      </c>
      <c r="GJ277"/>
      <c r="GK277"/>
      <c r="GL277"/>
      <c r="GM277"/>
      <c r="GN277" s="208"/>
      <c r="GO277" s="208"/>
      <c r="GP277" s="208"/>
      <c r="GQ277" s="208"/>
      <c r="GR277" s="208"/>
      <c r="GS277" s="208"/>
      <c r="GT277" s="208"/>
      <c r="GU277" s="213">
        <v>272</v>
      </c>
    </row>
    <row r="278" spans="1:203" s="7" customFormat="1">
      <c r="A278" s="1"/>
      <c r="B278">
        <v>0.39903867320495578</v>
      </c>
      <c r="C278">
        <v>6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85.467759445732298</v>
      </c>
      <c r="AO278">
        <v>7.9975105000767623</v>
      </c>
      <c r="AP278">
        <v>31.666223770370756</v>
      </c>
      <c r="AQ278">
        <v>50.245605923338822</v>
      </c>
      <c r="AR278">
        <v>7.3080323297150649</v>
      </c>
      <c r="AS278">
        <v>106.65078813938919</v>
      </c>
      <c r="AT278" t="e">
        <v>#DIV/0!</v>
      </c>
      <c r="AU278" t="e">
        <v>#DIV/0!</v>
      </c>
      <c r="AV278"/>
      <c r="AW278"/>
      <c r="FY278" s="213">
        <v>273</v>
      </c>
      <c r="FZ278">
        <v>23.065132788208214</v>
      </c>
      <c r="GA278">
        <v>30.636843719437309</v>
      </c>
      <c r="GB278">
        <v>7.8007622813137072</v>
      </c>
      <c r="GC278">
        <v>4.6390771166846303</v>
      </c>
      <c r="GD278">
        <v>2.2202548784697713</v>
      </c>
      <c r="GE278">
        <v>2.5549345843931714</v>
      </c>
      <c r="GF278">
        <v>1.9989279366592347</v>
      </c>
      <c r="GG278">
        <v>2.6440737482601882</v>
      </c>
      <c r="GH278">
        <v>3.3627822549657664</v>
      </c>
      <c r="GI278">
        <v>7.6341152549163551</v>
      </c>
      <c r="GJ278"/>
      <c r="GK278"/>
      <c r="GL278"/>
      <c r="GM278"/>
      <c r="GN278" s="208"/>
      <c r="GO278" s="208"/>
      <c r="GP278" s="208"/>
      <c r="GQ278" s="208"/>
      <c r="GR278" s="208"/>
      <c r="GS278" s="208"/>
      <c r="GT278" s="208"/>
      <c r="GU278" s="213">
        <v>273</v>
      </c>
    </row>
    <row r="279" spans="1:203" s="7" customFormat="1">
      <c r="A279" s="1"/>
      <c r="B279">
        <v>0.90219263173129671</v>
      </c>
      <c r="C279">
        <v>6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77.287415919432902</v>
      </c>
      <c r="AO279">
        <v>8.1179035269256641</v>
      </c>
      <c r="AP279">
        <v>25.034126529427006</v>
      </c>
      <c r="AQ279">
        <v>53.329770087092868</v>
      </c>
      <c r="AR279">
        <v>7.441690248165183</v>
      </c>
      <c r="AS279">
        <v>117.7639606593431</v>
      </c>
      <c r="AT279" t="e">
        <v>#DIV/0!</v>
      </c>
      <c r="AU279" t="e">
        <v>#DIV/0!</v>
      </c>
      <c r="AV279"/>
      <c r="AW279"/>
      <c r="FY279" s="213">
        <v>274</v>
      </c>
      <c r="FZ279">
        <v>26.833860372077499</v>
      </c>
      <c r="GA279">
        <v>30.964934064754178</v>
      </c>
      <c r="GB279">
        <v>5.2613835756175851</v>
      </c>
      <c r="GC279">
        <v>4.5801620681240696</v>
      </c>
      <c r="GD279">
        <v>2.2787237956970507</v>
      </c>
      <c r="GE279">
        <v>2.4216738481038682</v>
      </c>
      <c r="GF279">
        <v>2.5917745744501151</v>
      </c>
      <c r="GG279">
        <v>3.943798683842612</v>
      </c>
      <c r="GH279">
        <v>3.7215429376725151</v>
      </c>
      <c r="GI279">
        <v>7.6337533227197536</v>
      </c>
      <c r="GJ279"/>
      <c r="GK279"/>
      <c r="GL279"/>
      <c r="GM279"/>
      <c r="GN279" s="208"/>
      <c r="GO279" s="208"/>
      <c r="GP279" s="208"/>
      <c r="GQ279" s="208"/>
      <c r="GR279" s="208"/>
      <c r="GS279" s="208"/>
      <c r="GT279" s="208"/>
      <c r="GU279" s="213">
        <v>274</v>
      </c>
    </row>
    <row r="280" spans="1:203" s="7" customFormat="1">
      <c r="A280" s="1"/>
      <c r="B280">
        <v>0.39500845265346474</v>
      </c>
      <c r="C280">
        <v>3</v>
      </c>
      <c r="D280">
        <v>39799</v>
      </c>
      <c r="E280">
        <v>0</v>
      </c>
      <c r="F280">
        <v>83.333333333333329</v>
      </c>
      <c r="G280">
        <v>166.66666666666666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104.11197863134348</v>
      </c>
      <c r="AO280">
        <v>14.439971185654366</v>
      </c>
      <c r="AP280">
        <v>84.002675040660321</v>
      </c>
      <c r="AQ280">
        <v>102.26919002735076</v>
      </c>
      <c r="AR280">
        <v>13.383796550102332</v>
      </c>
      <c r="AS280">
        <v>196.44067965928758</v>
      </c>
      <c r="AT280">
        <v>8.6723136613855552</v>
      </c>
      <c r="AU280">
        <v>30.86739444720325</v>
      </c>
      <c r="AV280"/>
      <c r="AW280"/>
      <c r="FY280" s="213">
        <v>275</v>
      </c>
      <c r="FZ280">
        <v>36.503558947603395</v>
      </c>
      <c r="GA280">
        <v>47.922099992684771</v>
      </c>
      <c r="GB280">
        <v>8.636017451260825</v>
      </c>
      <c r="GC280">
        <v>4.2472270517637929</v>
      </c>
      <c r="GD280">
        <v>2.0646027710206352</v>
      </c>
      <c r="GE280">
        <v>2.5776969885809597</v>
      </c>
      <c r="GF280">
        <v>5.3923941046381234</v>
      </c>
      <c r="GG280">
        <v>5.571618430064782</v>
      </c>
      <c r="GH280">
        <v>1.5603693116103559</v>
      </c>
      <c r="GI280">
        <v>9.9964975258956876</v>
      </c>
      <c r="GJ280"/>
      <c r="GK280"/>
      <c r="GL280"/>
      <c r="GM280"/>
      <c r="GN280" s="208"/>
      <c r="GO280" s="208"/>
      <c r="GP280" s="208"/>
      <c r="GQ280" s="208"/>
      <c r="GR280" s="208"/>
      <c r="GS280" s="208"/>
      <c r="GT280" s="208"/>
      <c r="GU280" s="213">
        <v>275</v>
      </c>
    </row>
    <row r="281" spans="1:203" s="7" customFormat="1">
      <c r="A281" s="1"/>
      <c r="B281">
        <v>0.90046086982148621</v>
      </c>
      <c r="C281">
        <v>3</v>
      </c>
      <c r="D281">
        <v>39799</v>
      </c>
      <c r="E281">
        <v>0</v>
      </c>
      <c r="F281">
        <v>83.333333333333329</v>
      </c>
      <c r="G281">
        <v>166.66666666666666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83.42130380372015</v>
      </c>
      <c r="AO281">
        <v>9.969172743768242</v>
      </c>
      <c r="AP281">
        <v>56.357124108466095</v>
      </c>
      <c r="AQ281">
        <v>71.384158254857041</v>
      </c>
      <c r="AR281">
        <v>9.1779495170511733</v>
      </c>
      <c r="AS281">
        <v>128.73117186152939</v>
      </c>
      <c r="AT281">
        <v>6.3405640680782254</v>
      </c>
      <c r="AU281">
        <v>-41.060361904108817</v>
      </c>
      <c r="AV281"/>
      <c r="AW281"/>
      <c r="FY281" s="213">
        <v>276</v>
      </c>
      <c r="FZ281">
        <v>63.601811319568881</v>
      </c>
      <c r="GA281">
        <v>75.173342347612731</v>
      </c>
      <c r="GB281">
        <v>6.3928860974196295</v>
      </c>
      <c r="GC281">
        <v>4.8042978578680744</v>
      </c>
      <c r="GD281">
        <v>2.8624933129975387</v>
      </c>
      <c r="GE281">
        <v>2.7059197787848999</v>
      </c>
      <c r="GF281">
        <v>3.0220769228969182</v>
      </c>
      <c r="GG281">
        <v>3.6097141347866932</v>
      </c>
      <c r="GH281">
        <v>2.1611736260621592</v>
      </c>
      <c r="GI281">
        <v>13.625398048034576</v>
      </c>
      <c r="GJ281"/>
      <c r="GK281"/>
      <c r="GL281"/>
      <c r="GM281"/>
      <c r="GN281" s="208"/>
      <c r="GO281" s="208"/>
      <c r="GP281" s="208"/>
      <c r="GQ281" s="208"/>
      <c r="GR281" s="208"/>
      <c r="GS281" s="208"/>
      <c r="GT281" s="208"/>
      <c r="GU281" s="213">
        <v>276</v>
      </c>
    </row>
    <row r="282" spans="1:203" s="7" customFormat="1">
      <c r="A282" s="1"/>
      <c r="B282">
        <v>0.66840619347365493</v>
      </c>
      <c r="C282">
        <v>7</v>
      </c>
      <c r="D282">
        <v>39799</v>
      </c>
      <c r="E282">
        <v>0</v>
      </c>
      <c r="F282">
        <v>0</v>
      </c>
      <c r="G282">
        <v>0</v>
      </c>
      <c r="H282">
        <v>52.083333333333336</v>
      </c>
      <c r="I282">
        <v>20.833333333333332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104.63694734525109</v>
      </c>
      <c r="AO282">
        <v>17.22737598368807</v>
      </c>
      <c r="AP282">
        <v>114.4398378109201</v>
      </c>
      <c r="AQ282">
        <v>133.28221137997008</v>
      </c>
      <c r="AR282">
        <v>15.837546865287267</v>
      </c>
      <c r="AS282">
        <v>191.35330108398517</v>
      </c>
      <c r="AT282" t="e">
        <v>#DIV/0!</v>
      </c>
      <c r="AU282" t="e">
        <v>#DIV/0!</v>
      </c>
      <c r="AV282"/>
      <c r="AW282"/>
      <c r="FY282" s="213">
        <v>277</v>
      </c>
      <c r="FZ282">
        <v>47.857917932694619</v>
      </c>
      <c r="GA282">
        <v>57.393712828477675</v>
      </c>
      <c r="GB282">
        <v>4.7221524603396352</v>
      </c>
      <c r="GC282">
        <v>2.7841828178281292</v>
      </c>
      <c r="GD282">
        <v>1.3611065167318244</v>
      </c>
      <c r="GE282">
        <v>1.1330680717213193</v>
      </c>
      <c r="GF282">
        <v>3.6800065246664317</v>
      </c>
      <c r="GG282">
        <v>5.3929523758826177</v>
      </c>
      <c r="GH282">
        <v>3.7215429376725151</v>
      </c>
      <c r="GI282">
        <v>10.336696509040932</v>
      </c>
      <c r="GJ282"/>
      <c r="GK282"/>
      <c r="GL282"/>
      <c r="GM282"/>
      <c r="GN282" s="208"/>
      <c r="GO282" s="208"/>
      <c r="GP282" s="208"/>
      <c r="GQ282" s="208"/>
      <c r="GR282" s="208"/>
      <c r="GS282" s="208"/>
      <c r="GT282" s="208"/>
      <c r="GU282" s="213">
        <v>277</v>
      </c>
    </row>
    <row r="283" spans="1:203" s="7" customFormat="1">
      <c r="A283" s="1"/>
      <c r="B283">
        <v>0.5840157412676461</v>
      </c>
      <c r="C283">
        <v>7</v>
      </c>
      <c r="D283">
        <v>39799</v>
      </c>
      <c r="E283">
        <v>0</v>
      </c>
      <c r="F283">
        <v>0</v>
      </c>
      <c r="G283">
        <v>0</v>
      </c>
      <c r="H283">
        <v>52.083333333333336</v>
      </c>
      <c r="I283">
        <v>20.833333333333332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77.997324072938923</v>
      </c>
      <c r="AO283">
        <v>9.7243694967299454</v>
      </c>
      <c r="AP283">
        <v>42.176332735140441</v>
      </c>
      <c r="AQ283">
        <v>61.390500560631025</v>
      </c>
      <c r="AR283">
        <v>8.9725330973534501</v>
      </c>
      <c r="AS283">
        <v>137.9008195732562</v>
      </c>
      <c r="AT283" t="e">
        <v>#DIV/0!</v>
      </c>
      <c r="AU283" t="e">
        <v>#DIV/0!</v>
      </c>
      <c r="AV283"/>
      <c r="AW283"/>
      <c r="FY283" s="213">
        <v>278</v>
      </c>
      <c r="FZ283">
        <v>32.591453648778412</v>
      </c>
      <c r="GA283">
        <v>37.647046504237181</v>
      </c>
      <c r="GB283">
        <v>11.870920437721686</v>
      </c>
      <c r="GC283">
        <v>8.3129247655458443</v>
      </c>
      <c r="GD283">
        <v>2.5717380352199068</v>
      </c>
      <c r="GE283">
        <v>2.5692299270938781</v>
      </c>
      <c r="GF283">
        <v>5.5285232822308776</v>
      </c>
      <c r="GG283">
        <v>6.5239878397817295</v>
      </c>
      <c r="GH283">
        <v>3.7215429376725151</v>
      </c>
      <c r="GI283">
        <v>10.872068927072702</v>
      </c>
      <c r="GJ283"/>
      <c r="GK283"/>
      <c r="GL283"/>
      <c r="GM283"/>
      <c r="GN283" s="208"/>
      <c r="GO283" s="208"/>
      <c r="GP283" s="208"/>
      <c r="GQ283" s="208"/>
      <c r="GR283" s="208"/>
      <c r="GS283" s="208"/>
      <c r="GT283" s="208"/>
      <c r="GU283" s="213">
        <v>278</v>
      </c>
    </row>
    <row r="284" spans="1:203" s="7" customFormat="1">
      <c r="A284" s="1"/>
      <c r="B284">
        <v>0.58685215040835748</v>
      </c>
      <c r="C284">
        <v>8</v>
      </c>
      <c r="D284">
        <v>39799</v>
      </c>
      <c r="E284">
        <v>0</v>
      </c>
      <c r="F284">
        <v>0</v>
      </c>
      <c r="G284">
        <v>0</v>
      </c>
      <c r="H284">
        <v>74.404761904761912</v>
      </c>
      <c r="I284">
        <v>20.833333333333332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81.99207538784745</v>
      </c>
      <c r="AO284">
        <v>11.553272889284514</v>
      </c>
      <c r="AP284">
        <v>66.856206596380417</v>
      </c>
      <c r="AQ284">
        <v>82.169089700169408</v>
      </c>
      <c r="AR284">
        <v>10.733105762964193</v>
      </c>
      <c r="AS284">
        <v>145.24882001547925</v>
      </c>
      <c r="AT284" t="e">
        <v>#DIV/0!</v>
      </c>
      <c r="AU284" t="e">
        <v>#DIV/0!</v>
      </c>
      <c r="AV284"/>
      <c r="AW284"/>
      <c r="FY284" s="213">
        <v>279</v>
      </c>
      <c r="FZ284">
        <v>40.440062667654104</v>
      </c>
      <c r="GA284">
        <v>49.353235523900025</v>
      </c>
      <c r="GB284">
        <v>6.6158719863976074</v>
      </c>
      <c r="GC284">
        <v>4.4052748979679146</v>
      </c>
      <c r="GD284">
        <v>2.4647594044907808</v>
      </c>
      <c r="GE284">
        <v>2.7708170852818403</v>
      </c>
      <c r="GF284">
        <v>4.4035357351826834</v>
      </c>
      <c r="GG284">
        <v>3.4722001115525556</v>
      </c>
      <c r="GH284">
        <v>0</v>
      </c>
      <c r="GI284">
        <v>9.9084538460583609</v>
      </c>
      <c r="GJ284"/>
      <c r="GK284"/>
      <c r="GL284"/>
      <c r="GM284"/>
      <c r="GN284" s="208"/>
      <c r="GO284" s="208"/>
      <c r="GP284" s="208"/>
      <c r="GQ284" s="208"/>
      <c r="GR284" s="208"/>
      <c r="GS284" s="208"/>
      <c r="GT284" s="208"/>
      <c r="GU284" s="213">
        <v>279</v>
      </c>
    </row>
    <row r="285" spans="1:203" s="7" customFormat="1">
      <c r="A285" s="1"/>
      <c r="B285">
        <v>0.11718130842017072</v>
      </c>
      <c r="C285">
        <v>9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10.416666666666666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83.843127479771752</v>
      </c>
      <c r="AO285">
        <v>7.9447636961802619</v>
      </c>
      <c r="AP285">
        <v>35.453815861537237</v>
      </c>
      <c r="AQ285">
        <v>48.785376154614383</v>
      </c>
      <c r="AR285">
        <v>7.3838863317938639</v>
      </c>
      <c r="AS285">
        <v>111.86346941449106</v>
      </c>
      <c r="AT285">
        <v>4.7326569468646715</v>
      </c>
      <c r="AU285">
        <v>39.103996273136218</v>
      </c>
      <c r="AV285"/>
      <c r="AW285"/>
      <c r="FY285" s="213">
        <v>280</v>
      </c>
      <c r="FZ285">
        <v>39.162720598638607</v>
      </c>
      <c r="GA285">
        <v>46.80291589221568</v>
      </c>
      <c r="GB285">
        <v>5.4726946892078914</v>
      </c>
      <c r="GC285">
        <v>3.6756342361349787</v>
      </c>
      <c r="GD285">
        <v>2.1532469204910489</v>
      </c>
      <c r="GE285">
        <v>2.0498368697482614</v>
      </c>
      <c r="GF285">
        <v>4.2443527384726094</v>
      </c>
      <c r="GG285">
        <v>4.8250671049088458</v>
      </c>
      <c r="GH285">
        <v>2.1611736260621592</v>
      </c>
      <c r="GI285">
        <v>9.5329919301433943</v>
      </c>
      <c r="GJ285"/>
      <c r="GK285"/>
      <c r="GL285"/>
      <c r="GM285"/>
      <c r="GN285" s="208"/>
      <c r="GO285" s="208"/>
      <c r="GP285" s="208"/>
      <c r="GQ285" s="208"/>
      <c r="GR285" s="208"/>
      <c r="GS285" s="208"/>
      <c r="GT285" s="208"/>
      <c r="GU285" s="213">
        <v>280</v>
      </c>
    </row>
    <row r="286" spans="1:203" s="7" customFormat="1">
      <c r="A286" s="1"/>
      <c r="B286">
        <v>0.26045017185632724</v>
      </c>
      <c r="C286">
        <v>1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72.255158619224289</v>
      </c>
      <c r="AO286">
        <v>7.4239483595103737</v>
      </c>
      <c r="AP286">
        <v>38.401694248424164</v>
      </c>
      <c r="AQ286">
        <v>49.733582017103323</v>
      </c>
      <c r="AR286">
        <v>6.9499976827748497</v>
      </c>
      <c r="AS286">
        <v>102.6637747840627</v>
      </c>
      <c r="AT286">
        <v>4.6437579524179133</v>
      </c>
      <c r="AU286">
        <v>19.244751013495211</v>
      </c>
      <c r="AV286"/>
      <c r="AW286"/>
      <c r="FY286" s="213">
        <v>281</v>
      </c>
      <c r="FZ286">
        <v>21.260276795119864</v>
      </c>
      <c r="GA286">
        <v>24.438740660513542</v>
      </c>
      <c r="GB286">
        <v>3.3479943573902302</v>
      </c>
      <c r="GC286">
        <v>3.8264737976670071</v>
      </c>
      <c r="GD286">
        <v>2.573314810639471</v>
      </c>
      <c r="GE286">
        <v>2.187975406996272</v>
      </c>
      <c r="GF286">
        <v>2.8629673241193268</v>
      </c>
      <c r="GG286">
        <v>2.4514590364635129</v>
      </c>
      <c r="GH286">
        <v>0.60080431445180338</v>
      </c>
      <c r="GI286">
        <v>6.1964623816207949</v>
      </c>
      <c r="GJ286"/>
      <c r="GK286"/>
      <c r="GL286"/>
      <c r="GM286"/>
      <c r="GN286" s="208"/>
      <c r="GO286" s="208"/>
      <c r="GP286" s="208"/>
      <c r="GQ286" s="208"/>
      <c r="GR286" s="208"/>
      <c r="GS286" s="208"/>
      <c r="GT286" s="208"/>
      <c r="GU286" s="213">
        <v>281</v>
      </c>
    </row>
    <row r="287" spans="1:203" s="7" customFormat="1">
      <c r="A287" s="1"/>
      <c r="B287">
        <v>0.47345291266919354</v>
      </c>
      <c r="C287">
        <v>9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10.416666666666666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77.727352372572966</v>
      </c>
      <c r="AO287">
        <v>12.698759365040186</v>
      </c>
      <c r="AP287">
        <v>88.018966757418852</v>
      </c>
      <c r="AQ287">
        <v>99.254614014043327</v>
      </c>
      <c r="AR287">
        <v>11.723379747381948</v>
      </c>
      <c r="AS287">
        <v>150.0420666631627</v>
      </c>
      <c r="AT287">
        <v>7.7858237719139725</v>
      </c>
      <c r="AU287">
        <v>22.273700068325653</v>
      </c>
      <c r="AV287"/>
      <c r="AW287"/>
      <c r="FY287" s="213">
        <v>282</v>
      </c>
      <c r="FZ287">
        <v>9.9729511002378537</v>
      </c>
      <c r="GA287">
        <v>11.225020574831337</v>
      </c>
      <c r="GB287">
        <v>8.7507137788672704</v>
      </c>
      <c r="GC287">
        <v>6.6449259650386381</v>
      </c>
      <c r="GD287">
        <v>2.8700341929955613</v>
      </c>
      <c r="GE287">
        <v>2.9762844197509581</v>
      </c>
      <c r="GF287">
        <v>2.7223837492430052</v>
      </c>
      <c r="GG287">
        <v>2.0724644071681659</v>
      </c>
      <c r="GH287">
        <v>0</v>
      </c>
      <c r="GI287">
        <v>5.8295161564108122</v>
      </c>
      <c r="GJ287"/>
      <c r="GK287"/>
      <c r="GL287"/>
      <c r="GM287"/>
      <c r="GN287" s="208"/>
      <c r="GO287" s="208"/>
      <c r="GP287" s="208"/>
      <c r="GQ287" s="208"/>
      <c r="GR287" s="208"/>
      <c r="GS287" s="208"/>
      <c r="GT287" s="208"/>
      <c r="GU287" s="213">
        <v>282</v>
      </c>
    </row>
    <row r="288" spans="1:203" s="7" customFormat="1">
      <c r="A288" s="1"/>
      <c r="B288">
        <v>0.42508197184322327</v>
      </c>
      <c r="C288">
        <v>5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98.860505274906899</v>
      </c>
      <c r="AO288">
        <v>12.431157394451155</v>
      </c>
      <c r="AP288">
        <v>71.917060654116554</v>
      </c>
      <c r="AQ288">
        <v>99.341724985978914</v>
      </c>
      <c r="AR288">
        <v>11.542580956023698</v>
      </c>
      <c r="AS288">
        <v>150.2576945356401</v>
      </c>
      <c r="AT288">
        <v>8.1590599427723713</v>
      </c>
      <c r="AU288">
        <v>20.735311458480176</v>
      </c>
      <c r="AV288"/>
      <c r="AW288"/>
      <c r="FY288" s="213">
        <v>283</v>
      </c>
      <c r="FZ288">
        <v>36.889450994683727</v>
      </c>
      <c r="GA288">
        <v>51.928656992776027</v>
      </c>
      <c r="GB288">
        <v>11.146305096603294</v>
      </c>
      <c r="GC288">
        <v>4.9652096083540105</v>
      </c>
      <c r="GD288">
        <v>2.1832999009099234</v>
      </c>
      <c r="GE288">
        <v>2.642970443489256</v>
      </c>
      <c r="GF288">
        <v>2.0054676461761796</v>
      </c>
      <c r="GG288">
        <v>2.7741056520846739</v>
      </c>
      <c r="GH288">
        <v>2.1611736260621592</v>
      </c>
      <c r="GI288">
        <v>10.317922414668818</v>
      </c>
      <c r="GJ288"/>
      <c r="GK288"/>
      <c r="GL288"/>
      <c r="GM288"/>
      <c r="GN288" s="208"/>
      <c r="GO288" s="208"/>
      <c r="GP288" s="208"/>
      <c r="GQ288" s="208"/>
      <c r="GR288" s="208"/>
      <c r="GS288" s="208"/>
      <c r="GT288" s="208"/>
      <c r="GU288" s="213">
        <v>283</v>
      </c>
    </row>
    <row r="289" spans="1:203" s="7" customFormat="1">
      <c r="A289" s="1"/>
      <c r="B289">
        <v>6.9771143598747809E-2</v>
      </c>
      <c r="C289">
        <v>8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69.118751135143128</v>
      </c>
      <c r="AO289">
        <v>11.463909693150086</v>
      </c>
      <c r="AP289">
        <v>63.170904063093111</v>
      </c>
      <c r="AQ289">
        <v>86.556904563308336</v>
      </c>
      <c r="AR289">
        <v>10.63684525531173</v>
      </c>
      <c r="AS289">
        <v>126.82959723772525</v>
      </c>
      <c r="AT289">
        <v>6.667813798010318</v>
      </c>
      <c r="AU289">
        <v>10.693301408930386</v>
      </c>
      <c r="AV289"/>
      <c r="AW289"/>
      <c r="FY289" s="213">
        <v>284</v>
      </c>
      <c r="FZ289">
        <v>28.047658259171211</v>
      </c>
      <c r="GA289">
        <v>33.768959384637967</v>
      </c>
      <c r="GB289">
        <v>9.6559213380030524</v>
      </c>
      <c r="GC289">
        <v>5.9894810604916664</v>
      </c>
      <c r="GD289">
        <v>2.4781059183585361</v>
      </c>
      <c r="GE289">
        <v>3.0011775819051008</v>
      </c>
      <c r="GF289">
        <v>3.4058321501794744</v>
      </c>
      <c r="GG289">
        <v>2.4524746176683059</v>
      </c>
      <c r="GH289">
        <v>0</v>
      </c>
      <c r="GI289">
        <v>8.6257513158808425</v>
      </c>
      <c r="GJ289"/>
      <c r="GK289"/>
      <c r="GL289"/>
      <c r="GM289"/>
      <c r="GN289" s="208"/>
      <c r="GO289" s="208"/>
      <c r="GP289" s="208"/>
      <c r="GQ289" s="208"/>
      <c r="GR289" s="208"/>
      <c r="GS289" s="208"/>
      <c r="GT289" s="208"/>
      <c r="GU289" s="213">
        <v>284</v>
      </c>
    </row>
    <row r="290" spans="1:203" s="7" customFormat="1">
      <c r="A290" s="1"/>
      <c r="B290">
        <v>0.7372845223665383</v>
      </c>
      <c r="C290">
        <v>6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78.21585027173262</v>
      </c>
      <c r="AO290">
        <v>11.448640027410317</v>
      </c>
      <c r="AP290">
        <v>64.546686800336261</v>
      </c>
      <c r="AQ290">
        <v>90.231607243059244</v>
      </c>
      <c r="AR290">
        <v>10.520610730376491</v>
      </c>
      <c r="AS290">
        <v>124.39380782029062</v>
      </c>
      <c r="AT290">
        <v>7.3338518303843721</v>
      </c>
      <c r="AU290">
        <v>24.883201189744526</v>
      </c>
      <c r="AV290"/>
      <c r="AW290"/>
      <c r="FY290" s="213">
        <v>285</v>
      </c>
      <c r="FZ290">
        <v>24.119762998773805</v>
      </c>
      <c r="GA290">
        <v>28.359831101306561</v>
      </c>
      <c r="GB290">
        <v>11.039803498246894</v>
      </c>
      <c r="GC290">
        <v>7.5935184439598418</v>
      </c>
      <c r="GD290">
        <v>2.5913702018930374</v>
      </c>
      <c r="GE290">
        <v>2.9317916280377969</v>
      </c>
      <c r="GF290">
        <v>4.4624488385475152</v>
      </c>
      <c r="GG290">
        <v>4.6022539734200265</v>
      </c>
      <c r="GH290">
        <v>2.7619779405139626</v>
      </c>
      <c r="GI290">
        <v>9.0819588801953461</v>
      </c>
      <c r="GJ290"/>
      <c r="GK290"/>
      <c r="GL290"/>
      <c r="GM290"/>
      <c r="GN290" s="208"/>
      <c r="GO290" s="208"/>
      <c r="GP290" s="208"/>
      <c r="GQ290" s="208"/>
      <c r="GR290" s="208"/>
      <c r="GS290" s="208"/>
      <c r="GT290" s="208"/>
      <c r="GU290" s="213">
        <v>285</v>
      </c>
    </row>
    <row r="291" spans="1:203" s="7" customFormat="1">
      <c r="A291" s="1"/>
      <c r="B291">
        <v>0.16267398012956935</v>
      </c>
      <c r="C291">
        <v>3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85.541068175354425</v>
      </c>
      <c r="AO291">
        <v>15.079812662981706</v>
      </c>
      <c r="AP291">
        <v>77.659945816260361</v>
      </c>
      <c r="AQ291">
        <v>124.47208257512334</v>
      </c>
      <c r="AR291">
        <v>13.816908081722117</v>
      </c>
      <c r="AS291">
        <v>166.91995295098832</v>
      </c>
      <c r="AT291" t="e">
        <v>#DIV/0!</v>
      </c>
      <c r="AU291" t="e">
        <v>#DIV/0!</v>
      </c>
      <c r="AV291"/>
      <c r="AW291"/>
      <c r="FY291" s="213">
        <v>286</v>
      </c>
      <c r="FZ291">
        <v>37.695261968675588</v>
      </c>
      <c r="GA291">
        <v>44.914669507320482</v>
      </c>
      <c r="GB291">
        <v>5.7246670986538488</v>
      </c>
      <c r="GC291">
        <v>3.1165003444114956</v>
      </c>
      <c r="GD291">
        <v>1.6645864546230524</v>
      </c>
      <c r="GE291">
        <v>2.5168669785156936</v>
      </c>
      <c r="GF291">
        <v>3.1000425138442429</v>
      </c>
      <c r="GG291">
        <v>2.2373753494959958</v>
      </c>
      <c r="GH291">
        <v>0</v>
      </c>
      <c r="GI291">
        <v>8.5549520864076474</v>
      </c>
      <c r="GJ291"/>
      <c r="GK291"/>
      <c r="GL291"/>
      <c r="GM291"/>
      <c r="GN291" s="208"/>
      <c r="GO291" s="208"/>
      <c r="GP291" s="208"/>
      <c r="GQ291" s="208"/>
      <c r="GR291" s="208"/>
      <c r="GS291" s="208"/>
      <c r="GT291" s="208"/>
      <c r="GU291" s="213">
        <v>286</v>
      </c>
    </row>
    <row r="292" spans="1:203" s="7" customFormat="1">
      <c r="A292" s="1"/>
      <c r="B292">
        <v>0.49552947597159847</v>
      </c>
      <c r="C292">
        <v>2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108.60183645260342</v>
      </c>
      <c r="AO292">
        <v>20.50227900669287</v>
      </c>
      <c r="AP292">
        <v>175.05041529861526</v>
      </c>
      <c r="AQ292">
        <v>177.95911344603209</v>
      </c>
      <c r="AR292">
        <v>18.907598524092521</v>
      </c>
      <c r="AS292">
        <v>223.40768935324607</v>
      </c>
      <c r="AT292">
        <v>12.901670761571616</v>
      </c>
      <c r="AU292">
        <v>32.537885344699809</v>
      </c>
      <c r="AV292"/>
      <c r="AW292"/>
      <c r="FY292" s="213">
        <v>287</v>
      </c>
      <c r="FZ292">
        <v>13.504623801692617</v>
      </c>
      <c r="GA292">
        <v>15.793276327114258</v>
      </c>
      <c r="GB292">
        <v>2.7629904218385106</v>
      </c>
      <c r="GC292">
        <v>2.64154050726694</v>
      </c>
      <c r="GD292">
        <v>2.1800928122078571</v>
      </c>
      <c r="GE292">
        <v>2.5214314476016795</v>
      </c>
      <c r="GF292">
        <v>4.8775130577945696</v>
      </c>
      <c r="GG292">
        <v>7.496094764513094</v>
      </c>
      <c r="GH292">
        <v>5.8827165637346734</v>
      </c>
      <c r="GI292">
        <v>5.8034346026859662</v>
      </c>
      <c r="GJ292"/>
      <c r="GK292"/>
      <c r="GL292"/>
      <c r="GM292"/>
      <c r="GN292" s="208"/>
      <c r="GO292" s="208"/>
      <c r="GP292" s="208"/>
      <c r="GQ292" s="208"/>
      <c r="GR292" s="208"/>
      <c r="GS292" s="208"/>
      <c r="GT292" s="208"/>
      <c r="GU292" s="213">
        <v>287</v>
      </c>
    </row>
    <row r="293" spans="1:203" s="7" customFormat="1">
      <c r="A293" s="1"/>
      <c r="B293">
        <v>0.93542067456501332</v>
      </c>
      <c r="C293">
        <v>3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81.649332352672872</v>
      </c>
      <c r="AO293">
        <v>15.515928833065505</v>
      </c>
      <c r="AP293">
        <v>110.32229021684189</v>
      </c>
      <c r="AQ293">
        <v>138.38333897505569</v>
      </c>
      <c r="AR293">
        <v>14.350541495749898</v>
      </c>
      <c r="AS293">
        <v>178.52525129476098</v>
      </c>
      <c r="AT293">
        <v>9.793965532839632</v>
      </c>
      <c r="AU293">
        <v>27.092765566977366</v>
      </c>
      <c r="AV293"/>
      <c r="AW293"/>
      <c r="FY293" s="213">
        <v>288</v>
      </c>
      <c r="FZ293">
        <v>33.493743648322123</v>
      </c>
      <c r="GA293">
        <v>43.866619874208858</v>
      </c>
      <c r="GB293">
        <v>11.666994145346067</v>
      </c>
      <c r="GC293">
        <v>6.8930315228981716</v>
      </c>
      <c r="GD293">
        <v>2.7790658780402309</v>
      </c>
      <c r="GE293">
        <v>2.592717919000056</v>
      </c>
      <c r="GF293">
        <v>4.6532470971058633</v>
      </c>
      <c r="GG293">
        <v>4.9822641839201669</v>
      </c>
      <c r="GH293">
        <v>2.7619779405139626</v>
      </c>
      <c r="GI293">
        <v>10.808560057419058</v>
      </c>
      <c r="GJ293"/>
      <c r="GK293"/>
      <c r="GL293"/>
      <c r="GM293"/>
      <c r="GN293" s="208"/>
      <c r="GO293" s="208"/>
      <c r="GP293" s="208"/>
      <c r="GQ293" s="208"/>
      <c r="GR293" s="208"/>
      <c r="GS293" s="208"/>
      <c r="GT293" s="208"/>
      <c r="GU293" s="213">
        <v>288</v>
      </c>
    </row>
    <row r="294" spans="1:203" s="7" customFormat="1">
      <c r="A294" s="1"/>
      <c r="B294">
        <v>7.0415347419079843E-2</v>
      </c>
      <c r="C294">
        <v>4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111.17339319716982</v>
      </c>
      <c r="AO294">
        <v>16.276188737263315</v>
      </c>
      <c r="AP294">
        <v>92.700917292369056</v>
      </c>
      <c r="AQ294">
        <v>122.20943630535471</v>
      </c>
      <c r="AR294">
        <v>14.968859430261189</v>
      </c>
      <c r="AS294">
        <v>194.99608169162735</v>
      </c>
      <c r="AT294">
        <v>9.9705155468923063</v>
      </c>
      <c r="AU294">
        <v>30.071498710770243</v>
      </c>
      <c r="AV294"/>
      <c r="AW294"/>
      <c r="FY294" s="213">
        <v>289</v>
      </c>
      <c r="FZ294">
        <v>36.515543600727113</v>
      </c>
      <c r="GA294">
        <v>42.824407192806731</v>
      </c>
      <c r="GB294">
        <v>6.3171477529462123</v>
      </c>
      <c r="GC294">
        <v>4.1635430992756142</v>
      </c>
      <c r="GD294">
        <v>2.267200312519619</v>
      </c>
      <c r="GE294">
        <v>2.7220128040942617</v>
      </c>
      <c r="GF294">
        <v>6.3924892717584889</v>
      </c>
      <c r="GG294">
        <v>6.080358760040526</v>
      </c>
      <c r="GH294">
        <v>2.7619779405139626</v>
      </c>
      <c r="GI294">
        <v>9.9607001430361155</v>
      </c>
      <c r="GJ294"/>
      <c r="GK294"/>
      <c r="GL294"/>
      <c r="GM294"/>
      <c r="GN294" s="208"/>
      <c r="GO294" s="208"/>
      <c r="GP294" s="208"/>
      <c r="GQ294" s="208"/>
      <c r="GR294" s="208"/>
      <c r="GS294" s="208"/>
      <c r="GT294" s="208"/>
      <c r="GU294" s="213">
        <v>289</v>
      </c>
    </row>
    <row r="295" spans="1:203" s="7" customFormat="1">
      <c r="A295" s="1"/>
      <c r="B295">
        <v>0.6398120167865029</v>
      </c>
      <c r="C295">
        <v>10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10.416666666666666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81.214507694103276</v>
      </c>
      <c r="AO295">
        <v>14.963999696002663</v>
      </c>
      <c r="AP295">
        <v>108.70864704617699</v>
      </c>
      <c r="AQ295">
        <v>123.83421125848587</v>
      </c>
      <c r="AR295">
        <v>13.704993877097886</v>
      </c>
      <c r="AS295">
        <v>153.77178942921074</v>
      </c>
      <c r="AT295" t="e">
        <v>#DIV/0!</v>
      </c>
      <c r="AU295" t="e">
        <v>#DIV/0!</v>
      </c>
      <c r="AV295"/>
      <c r="AW295"/>
      <c r="FY295" s="213">
        <v>290</v>
      </c>
      <c r="FZ295">
        <v>26.380778144551975</v>
      </c>
      <c r="GA295">
        <v>36.733489842237304</v>
      </c>
      <c r="GB295">
        <v>9.6660741563227681</v>
      </c>
      <c r="GC295">
        <v>5.6120808278804271</v>
      </c>
      <c r="GD295">
        <v>2.9288297200735802</v>
      </c>
      <c r="GE295">
        <v>2.9602668683640658</v>
      </c>
      <c r="GF295">
        <v>4.079073279081217</v>
      </c>
      <c r="GG295">
        <v>5.5780849682696401</v>
      </c>
      <c r="GH295">
        <v>3.1207386232207117</v>
      </c>
      <c r="GI295">
        <v>9.3205417506891184</v>
      </c>
      <c r="GJ295"/>
      <c r="GK295"/>
      <c r="GL295"/>
      <c r="GM295"/>
      <c r="GN295" s="208"/>
      <c r="GO295" s="208"/>
      <c r="GP295" s="208"/>
      <c r="GQ295" s="208"/>
      <c r="GR295" s="208"/>
      <c r="GS295" s="208"/>
      <c r="GT295" s="208"/>
      <c r="GU295" s="213">
        <v>290</v>
      </c>
    </row>
    <row r="296" spans="1:203" s="7" customFormat="1">
      <c r="A296" s="1"/>
      <c r="B296">
        <v>2.1626430807470953E-2</v>
      </c>
      <c r="C296">
        <v>4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98.542337332442557</v>
      </c>
      <c r="AO296">
        <v>14.2220446154363</v>
      </c>
      <c r="AP296">
        <v>83.057295164458424</v>
      </c>
      <c r="AQ296">
        <v>120.08063460602347</v>
      </c>
      <c r="AR296">
        <v>13.182924405402234</v>
      </c>
      <c r="AS296">
        <v>149.93171853157429</v>
      </c>
      <c r="AT296">
        <v>8.875157349910495</v>
      </c>
      <c r="AU296">
        <v>19.757109341105789</v>
      </c>
      <c r="AV296"/>
      <c r="AW296"/>
      <c r="FY296" s="213">
        <v>291</v>
      </c>
      <c r="FZ296">
        <v>31.136177270695629</v>
      </c>
      <c r="GA296">
        <v>43.802545323631229</v>
      </c>
      <c r="GB296">
        <v>7.3611729874708045</v>
      </c>
      <c r="GC296">
        <v>3.706369447741956</v>
      </c>
      <c r="GD296">
        <v>2.9812148489525341</v>
      </c>
      <c r="GE296">
        <v>3.1678986432253269</v>
      </c>
      <c r="GF296">
        <v>6.2450597174814444</v>
      </c>
      <c r="GG296">
        <v>6.2742207969488515</v>
      </c>
      <c r="GH296">
        <v>1.5603693116103559</v>
      </c>
      <c r="GI296">
        <v>9.6387445542823365</v>
      </c>
      <c r="GJ296"/>
      <c r="GK296"/>
      <c r="GL296"/>
      <c r="GM296"/>
      <c r="GN296" s="208"/>
      <c r="GO296" s="208"/>
      <c r="GP296" s="208"/>
      <c r="GQ296" s="208"/>
      <c r="GR296" s="208"/>
      <c r="GS296" s="208"/>
      <c r="GT296" s="208"/>
      <c r="GU296" s="213">
        <v>291</v>
      </c>
    </row>
    <row r="297" spans="1:203" s="7" customFormat="1">
      <c r="A297" s="1"/>
      <c r="B297">
        <v>4.3593641249730641E-2</v>
      </c>
      <c r="C297">
        <v>5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54.028335184648562</v>
      </c>
      <c r="AO297">
        <v>9.3122233895343847</v>
      </c>
      <c r="AP297">
        <v>127.23164823580021</v>
      </c>
      <c r="AQ297">
        <v>69.746468884981823</v>
      </c>
      <c r="AR297">
        <v>8.5739939940604231</v>
      </c>
      <c r="AS297">
        <v>98.880073141063804</v>
      </c>
      <c r="AT297" t="e">
        <v>#DIV/0!</v>
      </c>
      <c r="AU297" t="e">
        <v>#DIV/0!</v>
      </c>
      <c r="AV297"/>
      <c r="AW297"/>
      <c r="FY297" s="213">
        <v>292</v>
      </c>
      <c r="FZ297">
        <v>31.844147362425741</v>
      </c>
      <c r="GA297">
        <v>36.540726102214634</v>
      </c>
      <c r="GB297">
        <v>7.3106596926664835</v>
      </c>
      <c r="GC297">
        <v>6.2384239285345942</v>
      </c>
      <c r="GD297">
        <v>2.6718387976387579</v>
      </c>
      <c r="GE297">
        <v>1.9214563121950823</v>
      </c>
      <c r="GF297">
        <v>6.0503237064076378</v>
      </c>
      <c r="GG297">
        <v>8.6263803702874213</v>
      </c>
      <c r="GH297">
        <v>5.2819122492828701</v>
      </c>
      <c r="GI297">
        <v>10.00289719826894</v>
      </c>
      <c r="GJ297"/>
      <c r="GK297"/>
      <c r="GL297"/>
      <c r="GM297"/>
      <c r="GN297" s="208"/>
      <c r="GO297" s="208"/>
      <c r="GP297" s="208"/>
      <c r="GQ297" s="208"/>
      <c r="GR297" s="208"/>
      <c r="GS297" s="208"/>
      <c r="GT297" s="208"/>
      <c r="GU297" s="213">
        <v>292</v>
      </c>
    </row>
    <row r="298" spans="1:203" s="7" customFormat="1">
      <c r="A298" s="1"/>
      <c r="B298">
        <v>0.39763813046236973</v>
      </c>
      <c r="C298">
        <v>5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81.708561086901597</v>
      </c>
      <c r="AO298">
        <v>8.7146822947362228</v>
      </c>
      <c r="AP298">
        <v>29.689848310753405</v>
      </c>
      <c r="AQ298">
        <v>53.064294344543605</v>
      </c>
      <c r="AR298">
        <v>7.9950675864317358</v>
      </c>
      <c r="AS298">
        <v>126.23578646866055</v>
      </c>
      <c r="AT298" t="e">
        <v>#DIV/0!</v>
      </c>
      <c r="AU298" t="e">
        <v>#DIV/0!</v>
      </c>
      <c r="AV298"/>
      <c r="AW298"/>
      <c r="FY298" s="213">
        <v>293</v>
      </c>
      <c r="FZ298">
        <v>11.757888126757191</v>
      </c>
      <c r="GA298">
        <v>11.63515362004148</v>
      </c>
      <c r="GB298">
        <v>3.4226915356651708</v>
      </c>
      <c r="GC298">
        <v>3.7978200320668547</v>
      </c>
      <c r="GD298">
        <v>2.1589948709990519</v>
      </c>
      <c r="GE298">
        <v>1.5949788727889129</v>
      </c>
      <c r="GF298">
        <v>5.5350629917478233</v>
      </c>
      <c r="GG298">
        <v>4.6519037049824981</v>
      </c>
      <c r="GH298">
        <v>1.8024129433554106</v>
      </c>
      <c r="GI298">
        <v>5.1690958594946572</v>
      </c>
      <c r="GJ298"/>
      <c r="GK298"/>
      <c r="GL298"/>
      <c r="GM298"/>
      <c r="GN298" s="208"/>
      <c r="GO298" s="208"/>
      <c r="GP298" s="208"/>
      <c r="GQ298" s="208"/>
      <c r="GR298" s="208"/>
      <c r="GS298" s="208"/>
      <c r="GT298" s="208"/>
      <c r="GU298" s="213">
        <v>293</v>
      </c>
    </row>
    <row r="299" spans="1:203" s="7" customFormat="1">
      <c r="A299" s="1"/>
      <c r="B299">
        <v>0.78669114058191014</v>
      </c>
      <c r="C299">
        <v>8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80.077131091900341</v>
      </c>
      <c r="AO299">
        <v>15.7092631812381</v>
      </c>
      <c r="AP299">
        <v>132.32538289403055</v>
      </c>
      <c r="AQ299">
        <v>127.0145623758081</v>
      </c>
      <c r="AR299">
        <v>14.380843424475826</v>
      </c>
      <c r="AS299">
        <v>164.84939311024735</v>
      </c>
      <c r="AT299">
        <v>9.5753513273743778</v>
      </c>
      <c r="AU299">
        <v>-9.7879756454914002</v>
      </c>
      <c r="AV299"/>
      <c r="AW299"/>
      <c r="FY299" s="213">
        <v>294</v>
      </c>
      <c r="FZ299">
        <v>4.252170068122501</v>
      </c>
      <c r="GA299">
        <v>8.1975418246286136</v>
      </c>
      <c r="GB299">
        <v>11.12199671246746</v>
      </c>
      <c r="GC299">
        <v>6.7511638661670812</v>
      </c>
      <c r="GD299">
        <v>2.2013776164971599</v>
      </c>
      <c r="GE299">
        <v>2.0014502249717236</v>
      </c>
      <c r="GF299">
        <v>0.74243490223378261</v>
      </c>
      <c r="GG299">
        <v>5.0279268842658613</v>
      </c>
      <c r="GH299">
        <v>6.8422815608932268</v>
      </c>
      <c r="GI299">
        <v>5.9641004468884278</v>
      </c>
      <c r="GJ299"/>
      <c r="GK299"/>
      <c r="GL299"/>
      <c r="GM299"/>
      <c r="GN299" s="208"/>
      <c r="GO299" s="208"/>
      <c r="GP299" s="208"/>
      <c r="GQ299" s="208"/>
      <c r="GR299" s="208"/>
      <c r="GS299" s="208"/>
      <c r="GT299" s="208"/>
      <c r="GU299" s="213">
        <v>294</v>
      </c>
    </row>
    <row r="300" spans="1:203" s="7" customFormat="1">
      <c r="A300" s="1"/>
      <c r="B300">
        <v>0.99851138974482301</v>
      </c>
      <c r="C300">
        <v>8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99.11400458061209</v>
      </c>
      <c r="AO300">
        <v>12.813482418544009</v>
      </c>
      <c r="AP300">
        <v>62.623058498470023</v>
      </c>
      <c r="AQ300">
        <v>97.425361626296166</v>
      </c>
      <c r="AR300">
        <v>11.85354585653627</v>
      </c>
      <c r="AS300">
        <v>154.41856736497425</v>
      </c>
      <c r="AT300" t="e">
        <v>#DIV/0!</v>
      </c>
      <c r="AU300" t="e">
        <v>#DIV/0!</v>
      </c>
      <c r="AV300"/>
      <c r="AW300"/>
      <c r="FY300" s="213">
        <v>295</v>
      </c>
      <c r="FZ300">
        <v>38.09293553020769</v>
      </c>
      <c r="GA300">
        <v>44.704666411466675</v>
      </c>
      <c r="GB300">
        <v>9.3842734857925194</v>
      </c>
      <c r="GC300">
        <v>5.532146743592925</v>
      </c>
      <c r="GD300">
        <v>1.6657573093364062</v>
      </c>
      <c r="GE300">
        <v>1.54973056472818</v>
      </c>
      <c r="GF300">
        <v>2.7726718308575147</v>
      </c>
      <c r="GG300">
        <v>3.4796822309622075</v>
      </c>
      <c r="GH300">
        <v>2.1611736260621592</v>
      </c>
      <c r="GI300">
        <v>9.8375058154348789</v>
      </c>
      <c r="GJ300"/>
      <c r="GK300"/>
      <c r="GL300"/>
      <c r="GM300"/>
      <c r="GN300" s="208"/>
      <c r="GO300" s="208"/>
      <c r="GP300" s="208"/>
      <c r="GQ300" s="208"/>
      <c r="GR300" s="208"/>
      <c r="GS300" s="208"/>
      <c r="GT300" s="208"/>
      <c r="GU300" s="213">
        <v>295</v>
      </c>
    </row>
    <row r="301" spans="1:203" s="7" customFormat="1">
      <c r="A301" s="1"/>
      <c r="B301">
        <v>3.1118107116419047E-2</v>
      </c>
      <c r="C301">
        <v>1</v>
      </c>
      <c r="D301">
        <v>39910</v>
      </c>
      <c r="E301">
        <v>0</v>
      </c>
      <c r="F301">
        <v>0</v>
      </c>
      <c r="G301">
        <v>0</v>
      </c>
      <c r="H301">
        <v>10.416666666666666</v>
      </c>
      <c r="I301">
        <v>20.833333333333332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99.943624097148444</v>
      </c>
      <c r="AO301">
        <v>13.603831623125345</v>
      </c>
      <c r="AP301">
        <v>71.173387566553188</v>
      </c>
      <c r="AQ301">
        <v>97.544717504894777</v>
      </c>
      <c r="AR301">
        <v>12.535472115495825</v>
      </c>
      <c r="AS301">
        <v>152.68423030713123</v>
      </c>
      <c r="AT301">
        <v>7.964435144883546</v>
      </c>
      <c r="AU301">
        <v>17.370208615109895</v>
      </c>
      <c r="AV301"/>
      <c r="AW301"/>
      <c r="FY301" s="213">
        <v>296</v>
      </c>
      <c r="FZ301">
        <v>36.774314057182586</v>
      </c>
      <c r="GA301">
        <v>42.701383756251808</v>
      </c>
      <c r="GB301">
        <v>6.1665909283565599</v>
      </c>
      <c r="GC301">
        <v>4.4513909698643461</v>
      </c>
      <c r="GD301">
        <v>1.898955143120332</v>
      </c>
      <c r="GE301">
        <v>2.0843251309863318</v>
      </c>
      <c r="GF301">
        <v>4.120209875264182</v>
      </c>
      <c r="GG301">
        <v>4.5733028788395327</v>
      </c>
      <c r="GH301">
        <v>2.7619779405139626</v>
      </c>
      <c r="GI301">
        <v>9.2837326285739152</v>
      </c>
      <c r="GJ301"/>
      <c r="GK301"/>
      <c r="GL301"/>
      <c r="GM301"/>
      <c r="GN301" s="208"/>
      <c r="GO301" s="208"/>
      <c r="GP301" s="208"/>
      <c r="GQ301" s="208"/>
      <c r="GR301" s="208"/>
      <c r="GS301" s="208"/>
      <c r="GT301" s="208"/>
      <c r="GU301" s="213">
        <v>296</v>
      </c>
    </row>
    <row r="302" spans="1:203" s="7" customFormat="1">
      <c r="A302" s="1"/>
      <c r="B302">
        <v>0.40004941819113338</v>
      </c>
      <c r="C302">
        <v>2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62.441535813043174</v>
      </c>
      <c r="AO302">
        <v>12.825421486053179</v>
      </c>
      <c r="AP302">
        <v>106.1533355892701</v>
      </c>
      <c r="AQ302">
        <v>109.52492230194804</v>
      </c>
      <c r="AR302">
        <v>11.851239324029265</v>
      </c>
      <c r="AS302">
        <v>146.84144647808139</v>
      </c>
      <c r="AT302" t="e">
        <v>#DIV/0!</v>
      </c>
      <c r="AU302" t="e">
        <v>#DIV/0!</v>
      </c>
      <c r="AV302"/>
      <c r="AW302"/>
      <c r="FY302" s="213">
        <v>297</v>
      </c>
      <c r="FZ302">
        <v>28.542283789980097</v>
      </c>
      <c r="GA302">
        <v>33.026720010337606</v>
      </c>
      <c r="GB302">
        <v>7.1567003774307842</v>
      </c>
      <c r="GC302">
        <v>4.828679566802367</v>
      </c>
      <c r="GD302">
        <v>2.2386134532937927</v>
      </c>
      <c r="GE302">
        <v>2.8592023836849587</v>
      </c>
      <c r="GF302">
        <v>2.9466497099317119</v>
      </c>
      <c r="GG302">
        <v>3.5852369684492338</v>
      </c>
      <c r="GH302">
        <v>1.5603693116103559</v>
      </c>
      <c r="GI302">
        <v>8.0905668734300171</v>
      </c>
      <c r="GJ302"/>
      <c r="GK302"/>
      <c r="GL302"/>
      <c r="GM302"/>
      <c r="GN302" s="208"/>
      <c r="GO302" s="208"/>
      <c r="GP302" s="208"/>
      <c r="GQ302" s="208"/>
      <c r="GR302" s="208"/>
      <c r="GS302" s="208"/>
      <c r="GT302" s="208"/>
      <c r="GU302" s="213">
        <v>297</v>
      </c>
    </row>
    <row r="303" spans="1:203" s="7" customFormat="1">
      <c r="A303" s="1"/>
      <c r="B303">
        <v>0.52118919315217926</v>
      </c>
      <c r="C303">
        <v>6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61.388954652373776</v>
      </c>
      <c r="AO303">
        <v>8.5822655077933305</v>
      </c>
      <c r="AP303">
        <v>47.880186098374836</v>
      </c>
      <c r="AQ303">
        <v>63.463714306450164</v>
      </c>
      <c r="AR303">
        <v>8.0033621603224994</v>
      </c>
      <c r="AS303">
        <v>111.54724482879702</v>
      </c>
      <c r="AT303">
        <v>5.5852974264302526</v>
      </c>
      <c r="AU303">
        <v>25.081017453711762</v>
      </c>
      <c r="AV303"/>
      <c r="AW303"/>
      <c r="FY303" s="213">
        <v>298</v>
      </c>
      <c r="FZ303">
        <v>22.334152425792968</v>
      </c>
      <c r="GA303">
        <v>33.684973982906968</v>
      </c>
      <c r="GB303">
        <v>14.832869450579953</v>
      </c>
      <c r="GC303">
        <v>7.395777328433458</v>
      </c>
      <c r="GD303">
        <v>2.1989785235796782</v>
      </c>
      <c r="GE303">
        <v>2.113447552973363</v>
      </c>
      <c r="GF303">
        <v>4.2039656590090475</v>
      </c>
      <c r="GG303">
        <v>5.7971740296402094</v>
      </c>
      <c r="GH303">
        <v>4.9231515665761219</v>
      </c>
      <c r="GI303">
        <v>9.8918960910032574</v>
      </c>
      <c r="GJ303"/>
      <c r="GK303"/>
      <c r="GL303"/>
      <c r="GM303"/>
      <c r="GN303" s="208"/>
      <c r="GO303" s="208"/>
      <c r="GP303" s="208"/>
      <c r="GQ303" s="208"/>
      <c r="GR303" s="208"/>
      <c r="GS303" s="208"/>
      <c r="GT303" s="208"/>
      <c r="GU303" s="213">
        <v>298</v>
      </c>
    </row>
    <row r="304" spans="1:203" s="7" customFormat="1">
      <c r="A304" s="1"/>
      <c r="B304">
        <v>0.80664215118978877</v>
      </c>
      <c r="C304">
        <v>6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99.334615335597846</v>
      </c>
      <c r="AO304">
        <v>16.245614765442948</v>
      </c>
      <c r="AP304">
        <v>114.77487386686481</v>
      </c>
      <c r="AQ304">
        <v>124.49822226677453</v>
      </c>
      <c r="AR304">
        <v>15.00771069051139</v>
      </c>
      <c r="AS304">
        <v>185.26099011169254</v>
      </c>
      <c r="AT304">
        <v>9.9554712060083954</v>
      </c>
      <c r="AU304">
        <v>-16.747287997318587</v>
      </c>
      <c r="AV304"/>
      <c r="AW304"/>
      <c r="FY304" s="213">
        <v>299</v>
      </c>
      <c r="FZ304">
        <v>36.208256304597285</v>
      </c>
      <c r="GA304">
        <v>43.794017324537258</v>
      </c>
      <c r="GB304">
        <v>9.9384189389355715</v>
      </c>
      <c r="GC304">
        <v>5.8738075962585077</v>
      </c>
      <c r="GD304">
        <v>2.5789904769097634</v>
      </c>
      <c r="GE304">
        <v>3.1875411438998675</v>
      </c>
      <c r="GF304">
        <v>2.8502577539885809</v>
      </c>
      <c r="GG304">
        <v>4.7222548355084282</v>
      </c>
      <c r="GH304">
        <v>3.7215429376725151</v>
      </c>
      <c r="GI304">
        <v>10.474282669680772</v>
      </c>
      <c r="GJ304"/>
      <c r="GK304"/>
      <c r="GL304"/>
      <c r="GM304"/>
      <c r="GN304" s="208"/>
      <c r="GO304" s="208"/>
      <c r="GP304" s="208"/>
      <c r="GQ304" s="208"/>
      <c r="GR304" s="208"/>
      <c r="GS304" s="208"/>
      <c r="GT304" s="208"/>
      <c r="GU304" s="213">
        <v>299</v>
      </c>
    </row>
    <row r="305" spans="1:203" s="7" customFormat="1">
      <c r="A305" s="1"/>
      <c r="B305">
        <v>9.8548432307882017E-2</v>
      </c>
      <c r="C305">
        <v>7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86.686797875280391</v>
      </c>
      <c r="AO305">
        <v>14.745717197879358</v>
      </c>
      <c r="AP305">
        <v>87.636775024120254</v>
      </c>
      <c r="AQ305">
        <v>120.00538087771865</v>
      </c>
      <c r="AR305">
        <v>13.791734765145938</v>
      </c>
      <c r="AS305">
        <v>165.62403345217638</v>
      </c>
      <c r="AT305">
        <v>9.3950859475095374</v>
      </c>
      <c r="AU305">
        <v>28.268934854646862</v>
      </c>
      <c r="AV305"/>
      <c r="AW305"/>
      <c r="FY305" s="213">
        <v>300</v>
      </c>
      <c r="FZ305">
        <v>36.102956075346128</v>
      </c>
      <c r="GA305">
        <v>41.138490866129168</v>
      </c>
      <c r="GB305">
        <v>4.9580235718839525</v>
      </c>
      <c r="GC305">
        <v>4.3957450154538575</v>
      </c>
      <c r="GD305">
        <v>2.5544153538958878</v>
      </c>
      <c r="GE305">
        <v>2.7068469131295645</v>
      </c>
      <c r="GF305">
        <v>5.8838416645481004</v>
      </c>
      <c r="GG305">
        <v>7.2375982771589138</v>
      </c>
      <c r="GH305">
        <v>3.1207386232207117</v>
      </c>
      <c r="GI305">
        <v>9.6521204812136325</v>
      </c>
      <c r="GJ305"/>
      <c r="GK305"/>
      <c r="GL305"/>
      <c r="GM305"/>
      <c r="GN305" s="208"/>
      <c r="GO305" s="208"/>
      <c r="GP305" s="208"/>
      <c r="GQ305" s="208"/>
      <c r="GR305" s="208"/>
      <c r="GS305" s="208"/>
      <c r="GT305" s="208"/>
      <c r="GU305" s="213">
        <v>300</v>
      </c>
    </row>
    <row r="306" spans="1:203" s="7" customFormat="1">
      <c r="A306" s="1"/>
      <c r="B306">
        <v>0.65626943138905869</v>
      </c>
      <c r="C306">
        <v>7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104.14008714596949</v>
      </c>
      <c r="AO306">
        <v>14.195453813277709</v>
      </c>
      <c r="AP306">
        <v>65.283094506492148</v>
      </c>
      <c r="AQ306">
        <v>106.37995818069082</v>
      </c>
      <c r="AR306">
        <v>12.964526066634431</v>
      </c>
      <c r="AS306">
        <v>172.52098059912535</v>
      </c>
      <c r="AT306" t="e">
        <v>#DIV/0!</v>
      </c>
      <c r="AU306" t="e">
        <v>#DIV/0!</v>
      </c>
      <c r="AV306"/>
      <c r="AW306"/>
      <c r="FY306" s="213">
        <v>301</v>
      </c>
      <c r="FZ306">
        <v>4.83373353774601</v>
      </c>
      <c r="GA306">
        <v>4.5531846592268215</v>
      </c>
      <c r="GB306">
        <v>7.2082268729454899</v>
      </c>
      <c r="GC306">
        <v>5.4338171967880013</v>
      </c>
      <c r="GD306">
        <v>1.892428753430033</v>
      </c>
      <c r="GE306">
        <v>1.7990296586018428</v>
      </c>
      <c r="GF306">
        <v>3.3312278518661533</v>
      </c>
      <c r="GG306">
        <v>2.4854155054470577</v>
      </c>
      <c r="GH306">
        <v>0</v>
      </c>
      <c r="GI306">
        <v>4.2163076336582286</v>
      </c>
      <c r="GJ306"/>
      <c r="GK306"/>
      <c r="GL306"/>
      <c r="GM306"/>
      <c r="GN306" s="208"/>
      <c r="GO306" s="208"/>
      <c r="GP306" s="208"/>
      <c r="GQ306" s="208"/>
      <c r="GR306" s="208"/>
      <c r="GS306" s="208"/>
      <c r="GT306" s="208"/>
      <c r="GU306" s="213">
        <v>301</v>
      </c>
    </row>
    <row r="307" spans="1:203" s="7" customFormat="1">
      <c r="A307" s="1"/>
      <c r="B307">
        <v>6.7464064888078212E-2</v>
      </c>
      <c r="C307">
        <v>7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86.552322221623683</v>
      </c>
      <c r="AO307">
        <v>14.613709487432686</v>
      </c>
      <c r="AP307">
        <v>110.26478141499516</v>
      </c>
      <c r="AQ307">
        <v>115.87377290204049</v>
      </c>
      <c r="AR307">
        <v>13.421807427148437</v>
      </c>
      <c r="AS307">
        <v>163.67737834056078</v>
      </c>
      <c r="AT307" t="e">
        <v>#DIV/0!</v>
      </c>
      <c r="AU307" t="e">
        <v>#DIV/0!</v>
      </c>
      <c r="AV307"/>
      <c r="AW307"/>
      <c r="FY307" s="213">
        <v>302</v>
      </c>
      <c r="FZ307">
        <v>17.880322182501086</v>
      </c>
      <c r="GA307">
        <v>21.140079371014156</v>
      </c>
      <c r="GB307">
        <v>8.5515023443866731</v>
      </c>
      <c r="GC307">
        <v>5.3593502965167028</v>
      </c>
      <c r="GD307">
        <v>1.8937478513470922</v>
      </c>
      <c r="GE307">
        <v>2.5684906873300735</v>
      </c>
      <c r="GF307">
        <v>3.0497544322297339</v>
      </c>
      <c r="GG307">
        <v>5.9608376468563904</v>
      </c>
      <c r="GH307">
        <v>4.6811079348310667</v>
      </c>
      <c r="GI307">
        <v>7.1731768427201841</v>
      </c>
      <c r="GJ307"/>
      <c r="GK307"/>
      <c r="GL307"/>
      <c r="GM307"/>
      <c r="GN307" s="208"/>
      <c r="GO307" s="208"/>
      <c r="GP307" s="208"/>
      <c r="GQ307" s="208"/>
      <c r="GR307" s="208"/>
      <c r="GS307" s="208"/>
      <c r="GT307" s="208"/>
      <c r="GU307" s="213">
        <v>302</v>
      </c>
    </row>
    <row r="308" spans="1:203" s="7" customFormat="1">
      <c r="A308" s="1"/>
      <c r="B308">
        <v>0.33038670556105454</v>
      </c>
      <c r="C308">
        <v>8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102.89946613702951</v>
      </c>
      <c r="AO308">
        <v>14.957577834773232</v>
      </c>
      <c r="AP308">
        <v>80.598627971761047</v>
      </c>
      <c r="AQ308">
        <v>116.48876571992216</v>
      </c>
      <c r="AR308">
        <v>13.759072764198059</v>
      </c>
      <c r="AS308">
        <v>179.8489243601696</v>
      </c>
      <c r="AT308">
        <v>9.2517085215525547</v>
      </c>
      <c r="AU308">
        <v>32.628530575986204</v>
      </c>
      <c r="AV308"/>
      <c r="AW308"/>
      <c r="FY308" s="213">
        <v>303</v>
      </c>
      <c r="FZ308">
        <v>40.085909673594436</v>
      </c>
      <c r="GA308">
        <v>47.304396227780117</v>
      </c>
      <c r="GB308">
        <v>7.9228133763048572</v>
      </c>
      <c r="GC308">
        <v>5.7541335131794611</v>
      </c>
      <c r="GD308">
        <v>1.4888828098886895</v>
      </c>
      <c r="GE308">
        <v>0.7130362980149163</v>
      </c>
      <c r="GF308">
        <v>2.5385048680178612</v>
      </c>
      <c r="GG308">
        <v>4.2868782133657417</v>
      </c>
      <c r="GH308">
        <v>4.3223472521243185</v>
      </c>
      <c r="GI308">
        <v>9.8888780841939141</v>
      </c>
      <c r="GJ308"/>
      <c r="GK308"/>
      <c r="GL308"/>
      <c r="GM308"/>
      <c r="GN308" s="208"/>
      <c r="GO308" s="208"/>
      <c r="GP308" s="208"/>
      <c r="GQ308" s="208"/>
      <c r="GR308" s="208"/>
      <c r="GS308" s="208"/>
      <c r="GT308" s="208"/>
      <c r="GU308" s="213">
        <v>303</v>
      </c>
    </row>
    <row r="309" spans="1:203" s="7" customFormat="1">
      <c r="A309" s="1"/>
      <c r="B309">
        <v>0.93394943260702901</v>
      </c>
      <c r="C309">
        <v>3</v>
      </c>
      <c r="D309">
        <v>39949</v>
      </c>
      <c r="E309">
        <v>0</v>
      </c>
      <c r="F309">
        <v>0</v>
      </c>
      <c r="G309">
        <v>81.018518518518519</v>
      </c>
      <c r="H309">
        <v>0</v>
      </c>
      <c r="I309">
        <v>10.416666666666666</v>
      </c>
      <c r="J309">
        <v>0</v>
      </c>
      <c r="K309">
        <v>31.25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67.670149213531573</v>
      </c>
      <c r="AO309">
        <v>7.4095522096340307</v>
      </c>
      <c r="AP309">
        <v>129.54424875213692</v>
      </c>
      <c r="AQ309">
        <v>51.526002557899048</v>
      </c>
      <c r="AR309">
        <v>7.0987321908516288</v>
      </c>
      <c r="AS309">
        <v>100.12953564663191</v>
      </c>
      <c r="AT309" t="e">
        <v>#DIV/0!</v>
      </c>
      <c r="AU309" t="e">
        <v>#DIV/0!</v>
      </c>
      <c r="AV309"/>
      <c r="AW309"/>
      <c r="FY309" s="213">
        <v>304</v>
      </c>
      <c r="FZ309">
        <v>41.815167212080183</v>
      </c>
      <c r="GA309">
        <v>48.19162659457713</v>
      </c>
      <c r="GB309">
        <v>4.5815252933843453</v>
      </c>
      <c r="GC309">
        <v>3.3074957083944403</v>
      </c>
      <c r="GD309">
        <v>1.648088675195279</v>
      </c>
      <c r="GE309">
        <v>2.3207807671551426</v>
      </c>
      <c r="GF309">
        <v>3.8362078965587596</v>
      </c>
      <c r="GG309">
        <v>5.4171638191400691</v>
      </c>
      <c r="GH309">
        <v>3.7215429376725151</v>
      </c>
      <c r="GI309">
        <v>9.6211481459380952</v>
      </c>
      <c r="GJ309"/>
      <c r="GK309"/>
      <c r="GL309"/>
      <c r="GM309"/>
      <c r="GN309" s="208"/>
      <c r="GO309" s="208"/>
      <c r="GP309" s="208"/>
      <c r="GQ309" s="208"/>
      <c r="GR309" s="208"/>
      <c r="GS309" s="208"/>
      <c r="GT309" s="208"/>
      <c r="GU309" s="213">
        <v>304</v>
      </c>
    </row>
    <row r="310" spans="1:203" s="7" customFormat="1">
      <c r="A310" s="1"/>
      <c r="B310">
        <v>0.69449051865890254</v>
      </c>
      <c r="C310">
        <v>8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84.677869303851793</v>
      </c>
      <c r="AO310">
        <v>8.9775147413954191</v>
      </c>
      <c r="AP310">
        <v>22.504880677660829</v>
      </c>
      <c r="AQ310">
        <v>53.102444107135845</v>
      </c>
      <c r="AR310">
        <v>8.2829727832206608</v>
      </c>
      <c r="AS310">
        <v>113.2818933533535</v>
      </c>
      <c r="AT310">
        <v>4.441368143105918</v>
      </c>
      <c r="AU310">
        <v>38.480528904328814</v>
      </c>
      <c r="AV310"/>
      <c r="AW310"/>
      <c r="FY310" s="213">
        <v>305</v>
      </c>
      <c r="FZ310">
        <v>31.426931439234401</v>
      </c>
      <c r="GA310">
        <v>34.206210265680419</v>
      </c>
      <c r="GB310">
        <v>8.9808396397851968</v>
      </c>
      <c r="GC310">
        <v>6.0863893619730698</v>
      </c>
      <c r="GD310">
        <v>1.6445252825551311</v>
      </c>
      <c r="GE310">
        <v>1.6275121107062778</v>
      </c>
      <c r="GF310">
        <v>2.1147422290880025</v>
      </c>
      <c r="GG310">
        <v>4.9632924338200057</v>
      </c>
      <c r="GH310">
        <v>5.8827165637346734</v>
      </c>
      <c r="GI310">
        <v>9.1492575729808436</v>
      </c>
      <c r="GJ310"/>
      <c r="GK310"/>
      <c r="GL310"/>
      <c r="GM310"/>
      <c r="GN310" s="208"/>
      <c r="GO310" s="208"/>
      <c r="GP310" s="208"/>
      <c r="GQ310" s="208"/>
      <c r="GR310" s="208"/>
      <c r="GS310" s="208"/>
      <c r="GT310" s="208"/>
      <c r="GU310" s="213">
        <v>305</v>
      </c>
    </row>
    <row r="311" spans="1:203" s="7" customFormat="1">
      <c r="A311" s="1"/>
      <c r="B311">
        <v>0.63934894272648801</v>
      </c>
      <c r="C311">
        <v>3</v>
      </c>
      <c r="D311">
        <v>39949</v>
      </c>
      <c r="E311">
        <v>0</v>
      </c>
      <c r="F311">
        <v>0</v>
      </c>
      <c r="G311">
        <v>81.018518518518519</v>
      </c>
      <c r="H311">
        <v>0</v>
      </c>
      <c r="I311">
        <v>10.416666666666666</v>
      </c>
      <c r="J311">
        <v>0</v>
      </c>
      <c r="K311">
        <v>31.25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92.561093392558888</v>
      </c>
      <c r="AO311">
        <v>14.661773552544034</v>
      </c>
      <c r="AP311">
        <v>81.513285404833283</v>
      </c>
      <c r="AQ311">
        <v>119.18054354844116</v>
      </c>
      <c r="AR311">
        <v>13.646665831947363</v>
      </c>
      <c r="AS311">
        <v>179.89297132070908</v>
      </c>
      <c r="AT311">
        <v>8.8688565174150948</v>
      </c>
      <c r="AU311">
        <v>23.134804490619612</v>
      </c>
      <c r="AV311"/>
      <c r="AW311"/>
      <c r="FY311" s="213">
        <v>306</v>
      </c>
      <c r="FZ311">
        <v>31.377965261786564</v>
      </c>
      <c r="GA311">
        <v>36.927321107637262</v>
      </c>
      <c r="GB311">
        <v>11.685718314488568</v>
      </c>
      <c r="GC311">
        <v>7.8446487046091562</v>
      </c>
      <c r="GD311">
        <v>2.1966993453035113</v>
      </c>
      <c r="GE311">
        <v>1.9713012498933815</v>
      </c>
      <c r="GF311">
        <v>4.4434697488975026</v>
      </c>
      <c r="GG311">
        <v>3.7020110402721516</v>
      </c>
      <c r="GH311">
        <v>0.60080431445180338</v>
      </c>
      <c r="GI311">
        <v>9.7259966616572129</v>
      </c>
      <c r="GJ311"/>
      <c r="GK311"/>
      <c r="GL311"/>
      <c r="GM311"/>
      <c r="GN311" s="208"/>
      <c r="GO311" s="208"/>
      <c r="GP311" s="208"/>
      <c r="GQ311" s="208"/>
      <c r="GR311" s="208"/>
      <c r="GS311" s="208"/>
      <c r="GT311" s="208"/>
      <c r="GU311" s="213">
        <v>306</v>
      </c>
    </row>
    <row r="312" spans="1:203" s="7" customFormat="1">
      <c r="A312" s="1"/>
      <c r="B312">
        <v>0.47835336162036546</v>
      </c>
      <c r="C312">
        <v>4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85.033394334376837</v>
      </c>
      <c r="AO312">
        <v>13.884824041317737</v>
      </c>
      <c r="AP312">
        <v>92.352432329127822</v>
      </c>
      <c r="AQ312">
        <v>114.81618330895354</v>
      </c>
      <c r="AR312">
        <v>12.843858133773045</v>
      </c>
      <c r="AS312">
        <v>163.91759611584197</v>
      </c>
      <c r="AT312">
        <v>8.625569649146728</v>
      </c>
      <c r="AU312">
        <v>20.779266038757491</v>
      </c>
      <c r="AV312"/>
      <c r="AW312"/>
      <c r="FY312" s="213">
        <v>307</v>
      </c>
      <c r="FZ312">
        <v>27.566134529936985</v>
      </c>
      <c r="GA312">
        <v>31.065604118000557</v>
      </c>
      <c r="GB312">
        <v>7.2672108186503834</v>
      </c>
      <c r="GC312">
        <v>4.880047921897944</v>
      </c>
      <c r="GD312">
        <v>1.798899795613724</v>
      </c>
      <c r="GE312">
        <v>2.0169824314645415</v>
      </c>
      <c r="GF312">
        <v>6.1743931716835831</v>
      </c>
      <c r="GG312">
        <v>7.7356167397856312</v>
      </c>
      <c r="GH312">
        <v>3.1207386232207117</v>
      </c>
      <c r="GI312">
        <v>8.5685225887162009</v>
      </c>
      <c r="GJ312"/>
      <c r="GK312"/>
      <c r="GL312"/>
      <c r="GM312"/>
      <c r="GN312" s="208"/>
      <c r="GO312" s="208"/>
      <c r="GP312" s="208"/>
      <c r="GQ312" s="208"/>
      <c r="GR312" s="208"/>
      <c r="GS312" s="208"/>
      <c r="GT312" s="208"/>
      <c r="GU312" s="213">
        <v>307</v>
      </c>
    </row>
    <row r="313" spans="1:203" s="7" customFormat="1">
      <c r="A313" s="1"/>
      <c r="B313">
        <v>0.35676041011756876</v>
      </c>
      <c r="C313">
        <v>1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86.63207390235786</v>
      </c>
      <c r="AO313">
        <v>12.100400954697429</v>
      </c>
      <c r="AP313">
        <v>70.726385738164879</v>
      </c>
      <c r="AQ313">
        <v>94.835022444950923</v>
      </c>
      <c r="AR313">
        <v>11.112771776074359</v>
      </c>
      <c r="AS313">
        <v>159.70510368748668</v>
      </c>
      <c r="AT313" t="e">
        <v>#DIV/0!</v>
      </c>
      <c r="AU313" t="e">
        <v>#DIV/0!</v>
      </c>
      <c r="AV313"/>
      <c r="AW313"/>
      <c r="FY313" s="213">
        <v>308</v>
      </c>
      <c r="FZ313">
        <v>29.226826233001386</v>
      </c>
      <c r="GA313">
        <v>32.808120693942918</v>
      </c>
      <c r="GB313">
        <v>7.3322060803027886</v>
      </c>
      <c r="GC313">
        <v>5.8373526027265354</v>
      </c>
      <c r="GD313">
        <v>2.8899773984762627</v>
      </c>
      <c r="GE313">
        <v>2.883642796655328</v>
      </c>
      <c r="GF313">
        <v>2.564097065117299</v>
      </c>
      <c r="GG313">
        <v>6.7233552929273515</v>
      </c>
      <c r="GH313">
        <v>6.8422815608932268</v>
      </c>
      <c r="GI313">
        <v>9.3730959387040773</v>
      </c>
      <c r="GJ313"/>
      <c r="GK313"/>
      <c r="GL313"/>
      <c r="GM313"/>
      <c r="GN313" s="208"/>
      <c r="GO313" s="208"/>
      <c r="GP313" s="208"/>
      <c r="GQ313" s="208"/>
      <c r="GR313" s="208"/>
      <c r="GS313" s="208"/>
      <c r="GT313" s="208"/>
      <c r="GU313" s="213">
        <v>308</v>
      </c>
    </row>
    <row r="314" spans="1:203" s="7" customFormat="1">
      <c r="A314" s="1"/>
      <c r="B314">
        <v>0.17882652610686556</v>
      </c>
      <c r="C314">
        <v>10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101.07987790864945</v>
      </c>
      <c r="AO314">
        <v>14.746088274491637</v>
      </c>
      <c r="AP314">
        <v>87.439335010701683</v>
      </c>
      <c r="AQ314">
        <v>107.37638661049502</v>
      </c>
      <c r="AR314">
        <v>13.724211651841209</v>
      </c>
      <c r="AS314">
        <v>164.5995693133695</v>
      </c>
      <c r="AT314">
        <v>9.1881324556309423</v>
      </c>
      <c r="AU314">
        <v>-71.925788220534088</v>
      </c>
      <c r="AV314"/>
      <c r="AW314"/>
      <c r="FY314" s="213">
        <v>309</v>
      </c>
      <c r="FZ314">
        <v>31.317698076735287</v>
      </c>
      <c r="GA314">
        <v>35.951449066064392</v>
      </c>
      <c r="GB314">
        <v>7.9343331627496427</v>
      </c>
      <c r="GC314">
        <v>4.9399815368796069</v>
      </c>
      <c r="GD314">
        <v>1.3500883131255415</v>
      </c>
      <c r="GE314">
        <v>1.9574271460289903</v>
      </c>
      <c r="GF314">
        <v>2.890644833452142</v>
      </c>
      <c r="GG314">
        <v>3.1578399327030642</v>
      </c>
      <c r="GH314">
        <v>2.1611736260621592</v>
      </c>
      <c r="GI314">
        <v>8.271868250379212</v>
      </c>
      <c r="GJ314"/>
      <c r="GK314"/>
      <c r="GL314"/>
      <c r="GM314"/>
      <c r="GN314" s="208"/>
      <c r="GO314" s="208"/>
      <c r="GP314" s="208"/>
      <c r="GQ314" s="208"/>
      <c r="GR314" s="208"/>
      <c r="GS314" s="208"/>
      <c r="GT314" s="208"/>
      <c r="GU314" s="213">
        <v>309</v>
      </c>
    </row>
    <row r="315" spans="1:203" s="7" customFormat="1">
      <c r="A315" s="1"/>
      <c r="B315">
        <v>3.3801964274581042E-2</v>
      </c>
      <c r="C315">
        <v>7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84.457572377241476</v>
      </c>
      <c r="AO315">
        <v>15.706740277040049</v>
      </c>
      <c r="AP315">
        <v>87.781544234501538</v>
      </c>
      <c r="AQ315">
        <v>123.34936998198854</v>
      </c>
      <c r="AR315">
        <v>14.506228125512822</v>
      </c>
      <c r="AS315">
        <v>186.25608314785933</v>
      </c>
      <c r="AT315">
        <v>9.8540871420385781</v>
      </c>
      <c r="AU315">
        <v>26.1372675506165</v>
      </c>
      <c r="AV315"/>
      <c r="AW315"/>
      <c r="FY315" s="213">
        <v>310</v>
      </c>
      <c r="FZ315">
        <v>24.561240237323254</v>
      </c>
      <c r="GA315">
        <v>30.692586397098932</v>
      </c>
      <c r="GB315">
        <v>5.4671222997252276</v>
      </c>
      <c r="GC315">
        <v>3.6135442151920252</v>
      </c>
      <c r="GD315">
        <v>2.2622454366097138</v>
      </c>
      <c r="GE315">
        <v>2.4440454114850034</v>
      </c>
      <c r="GF315">
        <v>1.790353170919019</v>
      </c>
      <c r="GG315">
        <v>3.7247096224720435</v>
      </c>
      <c r="GH315">
        <v>4.3223472521243185</v>
      </c>
      <c r="GI315">
        <v>7.3485767296986833</v>
      </c>
      <c r="GJ315"/>
      <c r="GK315"/>
      <c r="GL315"/>
      <c r="GM315"/>
      <c r="GN315" s="208"/>
      <c r="GO315" s="208"/>
      <c r="GP315" s="208"/>
      <c r="GQ315" s="208"/>
      <c r="GR315" s="208"/>
      <c r="GS315" s="208"/>
      <c r="GT315" s="208"/>
      <c r="GU315" s="213">
        <v>310</v>
      </c>
    </row>
    <row r="316" spans="1:203" s="7" customFormat="1">
      <c r="A316" s="1"/>
      <c r="B316">
        <v>0.13595940179987021</v>
      </c>
      <c r="C316">
        <v>3</v>
      </c>
      <c r="D316">
        <v>39949</v>
      </c>
      <c r="E316">
        <v>0</v>
      </c>
      <c r="F316">
        <v>0</v>
      </c>
      <c r="G316">
        <v>81.018518518518519</v>
      </c>
      <c r="H316">
        <v>0</v>
      </c>
      <c r="I316">
        <v>10.416666666666666</v>
      </c>
      <c r="J316">
        <v>0</v>
      </c>
      <c r="K316">
        <v>31.25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93.485608433618069</v>
      </c>
      <c r="AO316">
        <v>14.549156259583821</v>
      </c>
      <c r="AP316">
        <v>82.774590006095636</v>
      </c>
      <c r="AQ316">
        <v>117.75077684197991</v>
      </c>
      <c r="AR316">
        <v>13.341122858730962</v>
      </c>
      <c r="AS316">
        <v>154.35065899829871</v>
      </c>
      <c r="AT316" t="e">
        <v>#DIV/0!</v>
      </c>
      <c r="AU316" t="e">
        <v>#DIV/0!</v>
      </c>
      <c r="AV316"/>
      <c r="AW316"/>
      <c r="FY316" s="213">
        <v>311</v>
      </c>
      <c r="FZ316">
        <v>9.8076745677847104</v>
      </c>
      <c r="GA316">
        <v>23.133978448517517</v>
      </c>
      <c r="GB316">
        <v>11.341220140706994</v>
      </c>
      <c r="GC316">
        <v>4.3463373982990285</v>
      </c>
      <c r="GD316">
        <v>2.4703342266794692</v>
      </c>
      <c r="GE316">
        <v>2.9317840034261811</v>
      </c>
      <c r="GF316">
        <v>2.9387742049007923</v>
      </c>
      <c r="GG316">
        <v>2.4554488296617705</v>
      </c>
      <c r="GH316">
        <v>1.2016086289036068</v>
      </c>
      <c r="GI316">
        <v>6.5875665831545653</v>
      </c>
      <c r="GJ316"/>
      <c r="GK316"/>
      <c r="GL316"/>
      <c r="GM316"/>
      <c r="GN316" s="208"/>
      <c r="GO316" s="208"/>
      <c r="GP316" s="208"/>
      <c r="GQ316" s="208"/>
      <c r="GR316" s="208"/>
      <c r="GS316" s="208"/>
      <c r="GT316" s="208"/>
      <c r="GU316" s="213">
        <v>311</v>
      </c>
    </row>
    <row r="317" spans="1:203" s="7" customFormat="1">
      <c r="A317" s="1"/>
      <c r="B317">
        <v>0.78197873312825994</v>
      </c>
      <c r="C317">
        <v>5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72.585268120289669</v>
      </c>
      <c r="AO317">
        <v>6.2007523030039122</v>
      </c>
      <c r="AP317">
        <v>14.624949349626608</v>
      </c>
      <c r="AQ317">
        <v>35.753371669709637</v>
      </c>
      <c r="AR317">
        <v>5.7450350271968516</v>
      </c>
      <c r="AS317">
        <v>97.10746976478697</v>
      </c>
      <c r="AT317" t="e">
        <v>#DIV/0!</v>
      </c>
      <c r="AU317" t="e">
        <v>#DIV/0!</v>
      </c>
      <c r="AV317"/>
      <c r="AW317"/>
      <c r="FY317" s="213">
        <v>312</v>
      </c>
      <c r="FZ317">
        <v>40.250744109548087</v>
      </c>
      <c r="GA317">
        <v>46.733889174822366</v>
      </c>
      <c r="GB317">
        <v>9.1342132637337006</v>
      </c>
      <c r="GC317">
        <v>6.8698697664181134</v>
      </c>
      <c r="GD317">
        <v>2.2132367533623256</v>
      </c>
      <c r="GE317">
        <v>1.5751715526457246</v>
      </c>
      <c r="GF317">
        <v>5.6825659439573482</v>
      </c>
      <c r="GG317">
        <v>6.0319563535897043</v>
      </c>
      <c r="GH317">
        <v>2.1611736260621592</v>
      </c>
      <c r="GI317">
        <v>10.869660803338501</v>
      </c>
      <c r="GJ317"/>
      <c r="GK317"/>
      <c r="GL317"/>
      <c r="GM317"/>
      <c r="GN317" s="208"/>
      <c r="GO317" s="208"/>
      <c r="GP317" s="208"/>
      <c r="GQ317" s="208"/>
      <c r="GR317" s="208"/>
      <c r="GS317" s="208"/>
      <c r="GT317" s="208"/>
      <c r="GU317" s="213">
        <v>312</v>
      </c>
    </row>
    <row r="318" spans="1:203" s="7" customFormat="1">
      <c r="A318" s="1"/>
      <c r="B318">
        <v>0.17044208277969375</v>
      </c>
      <c r="C318">
        <v>7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72.326803383820376</v>
      </c>
      <c r="AO318">
        <v>10.832389665064014</v>
      </c>
      <c r="AP318">
        <v>52.982373027327995</v>
      </c>
      <c r="AQ318">
        <v>78.258369589733149</v>
      </c>
      <c r="AR318">
        <v>9.9004661854801945</v>
      </c>
      <c r="AS318">
        <v>132.44862618684814</v>
      </c>
      <c r="AT318" t="e">
        <v>#DIV/0!</v>
      </c>
      <c r="AU318" t="e">
        <v>#DIV/0!</v>
      </c>
      <c r="AV318"/>
      <c r="AW318"/>
      <c r="FY318" s="213">
        <v>313</v>
      </c>
      <c r="FZ318">
        <v>40.149366281386385</v>
      </c>
      <c r="GA318">
        <v>45.144752940513833</v>
      </c>
      <c r="GB318">
        <v>5.187746204654049</v>
      </c>
      <c r="GC318">
        <v>3.9939437096917749</v>
      </c>
      <c r="GD318">
        <v>1.8513046815731704</v>
      </c>
      <c r="GE318">
        <v>2.0490467749372319</v>
      </c>
      <c r="GF318">
        <v>2.7879099600572634</v>
      </c>
      <c r="GG318">
        <v>4.5196633540788032</v>
      </c>
      <c r="GH318">
        <v>3.1207386232207117</v>
      </c>
      <c r="GI318">
        <v>9.3004862125738335</v>
      </c>
      <c r="GJ318"/>
      <c r="GK318"/>
      <c r="GL318"/>
      <c r="GM318"/>
      <c r="GN318" s="208"/>
      <c r="GO318" s="208"/>
      <c r="GP318" s="208"/>
      <c r="GQ318" s="208"/>
      <c r="GR318" s="208"/>
      <c r="GS318" s="208"/>
      <c r="GT318" s="208"/>
      <c r="GU318" s="213">
        <v>313</v>
      </c>
    </row>
    <row r="319" spans="1:203" s="7" customFormat="1">
      <c r="A319" s="1"/>
      <c r="B319">
        <v>0.19539674065138635</v>
      </c>
      <c r="C319">
        <v>6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88.713940661734796</v>
      </c>
      <c r="AO319">
        <v>14.883740187168669</v>
      </c>
      <c r="AP319">
        <v>111.86648165423111</v>
      </c>
      <c r="AQ319">
        <v>124.30578031646432</v>
      </c>
      <c r="AR319">
        <v>13.690284918085091</v>
      </c>
      <c r="AS319">
        <v>177.06301539320219</v>
      </c>
      <c r="AT319">
        <v>9.3046509751117306</v>
      </c>
      <c r="AU319">
        <v>14.325254584238726</v>
      </c>
      <c r="AV319"/>
      <c r="AW319"/>
      <c r="FY319" s="213">
        <v>314</v>
      </c>
      <c r="FZ319">
        <v>29.227391058873014</v>
      </c>
      <c r="GA319">
        <v>38.98007759007011</v>
      </c>
      <c r="GB319">
        <v>15.160857103883451</v>
      </c>
      <c r="GC319">
        <v>8.2108193293566707</v>
      </c>
      <c r="GD319">
        <v>1.6359986735363752</v>
      </c>
      <c r="GE319">
        <v>1.4466844857769403</v>
      </c>
      <c r="GF319">
        <v>4.4034623372502022</v>
      </c>
      <c r="GG319">
        <v>4.3317882936051708</v>
      </c>
      <c r="GH319">
        <v>2.7619779405139626</v>
      </c>
      <c r="GI319">
        <v>10.31817688625261</v>
      </c>
      <c r="GJ319"/>
      <c r="GK319"/>
      <c r="GL319"/>
      <c r="GM319"/>
      <c r="GN319" s="208"/>
      <c r="GO319" s="208"/>
      <c r="GP319" s="208"/>
      <c r="GQ319" s="208"/>
      <c r="GR319" s="208"/>
      <c r="GS319" s="208"/>
      <c r="GT319" s="208"/>
      <c r="GU319" s="213">
        <v>314</v>
      </c>
    </row>
    <row r="320" spans="1:203" s="7" customFormat="1">
      <c r="A320" s="1"/>
      <c r="B320">
        <v>0.50136021449779022</v>
      </c>
      <c r="C320">
        <v>9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75.573260160975678</v>
      </c>
      <c r="AO320">
        <v>14.472952523122084</v>
      </c>
      <c r="AP320">
        <v>96.35750323499505</v>
      </c>
      <c r="AQ320">
        <v>124.46074705009596</v>
      </c>
      <c r="AR320">
        <v>13.300924276025547</v>
      </c>
      <c r="AS320">
        <v>155.62383396453606</v>
      </c>
      <c r="AT320">
        <v>9.347370531350025</v>
      </c>
      <c r="AU320">
        <v>23.080610346506958</v>
      </c>
      <c r="AV320"/>
      <c r="AW320"/>
      <c r="FY320" s="213">
        <v>315</v>
      </c>
      <c r="FZ320">
        <v>26.343967949945018</v>
      </c>
      <c r="GA320">
        <v>33.752019275223759</v>
      </c>
      <c r="GB320">
        <v>6.2165750208717645</v>
      </c>
      <c r="GC320">
        <v>4.2167234651618202</v>
      </c>
      <c r="GD320">
        <v>2.5430620742946686</v>
      </c>
      <c r="GE320">
        <v>2.5655844073725795</v>
      </c>
      <c r="GF320">
        <v>2.3889166035749585</v>
      </c>
      <c r="GG320">
        <v>2.0424977313828783</v>
      </c>
      <c r="GH320">
        <v>0</v>
      </c>
      <c r="GI320">
        <v>7.4003845009598077</v>
      </c>
      <c r="GJ320"/>
      <c r="GK320"/>
      <c r="GL320"/>
      <c r="GM320"/>
      <c r="GN320" s="208"/>
      <c r="GO320" s="208"/>
      <c r="GP320" s="208"/>
      <c r="GQ320" s="208"/>
      <c r="GR320" s="208"/>
      <c r="GS320" s="208"/>
      <c r="GT320" s="208"/>
      <c r="GU320" s="213">
        <v>315</v>
      </c>
    </row>
    <row r="321" spans="1:203" s="7" customFormat="1">
      <c r="A321" s="1"/>
      <c r="B321">
        <v>7.9806526008024292E-2</v>
      </c>
      <c r="C321">
        <v>2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83.150932522655381</v>
      </c>
      <c r="AO321">
        <v>13.494215373687847</v>
      </c>
      <c r="AP321">
        <v>92.741282575824414</v>
      </c>
      <c r="AQ321">
        <v>106.08241689955804</v>
      </c>
      <c r="AR321">
        <v>12.634215914631397</v>
      </c>
      <c r="AS321">
        <v>156.73601673789599</v>
      </c>
      <c r="AT321">
        <v>8.3612239758109208</v>
      </c>
      <c r="AU321">
        <v>40.080882223886256</v>
      </c>
      <c r="AV321"/>
      <c r="AW321"/>
      <c r="FY321" s="213">
        <v>316</v>
      </c>
      <c r="FZ321">
        <v>27.122331962824589</v>
      </c>
      <c r="GA321">
        <v>31.132672926146093</v>
      </c>
      <c r="GB321">
        <v>3.9363086371876035</v>
      </c>
      <c r="GC321">
        <v>3.4807617593672044</v>
      </c>
      <c r="GD321">
        <v>2.3417986380338447</v>
      </c>
      <c r="GE321">
        <v>2.9476152600849548</v>
      </c>
      <c r="GF321">
        <v>1.9829304718269676</v>
      </c>
      <c r="GG321">
        <v>2.3688684171222891</v>
      </c>
      <c r="GH321">
        <v>1.5603693116103559</v>
      </c>
      <c r="GI321">
        <v>6.9721820805302217</v>
      </c>
      <c r="GJ321"/>
      <c r="GK321"/>
      <c r="GL321"/>
      <c r="GM321"/>
      <c r="GN321" s="208"/>
      <c r="GO321" s="208"/>
      <c r="GP321" s="208"/>
      <c r="GQ321" s="208"/>
      <c r="GR321" s="208"/>
      <c r="GS321" s="208"/>
      <c r="GT321" s="208"/>
      <c r="GU321" s="213">
        <v>316</v>
      </c>
    </row>
    <row r="322" spans="1:203" s="7" customFormat="1">
      <c r="A322" s="1"/>
      <c r="B322">
        <v>0.79271194435626957</v>
      </c>
      <c r="C322">
        <v>6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93.490603391002736</v>
      </c>
      <c r="AO322">
        <v>14.603715085913072</v>
      </c>
      <c r="AP322">
        <v>98.677724435672104</v>
      </c>
      <c r="AQ322">
        <v>110.47593574899713</v>
      </c>
      <c r="AR322">
        <v>13.400009413676912</v>
      </c>
      <c r="AS322">
        <v>176.41458639465728</v>
      </c>
      <c r="AT322" t="e">
        <v>#DIV/0!</v>
      </c>
      <c r="AU322" t="e">
        <v>#DIV/0!</v>
      </c>
      <c r="AV322"/>
      <c r="AW322"/>
      <c r="FY322" s="213">
        <v>317</v>
      </c>
      <c r="FZ322">
        <v>34.2103239267134</v>
      </c>
      <c r="GA322">
        <v>37.821366105683431</v>
      </c>
      <c r="GB322">
        <v>6.8582818011325317</v>
      </c>
      <c r="GC322">
        <v>4.5586516491745792</v>
      </c>
      <c r="GD322">
        <v>1.7457017579212233</v>
      </c>
      <c r="GE322">
        <v>2.5264904739222525</v>
      </c>
      <c r="GF322">
        <v>3.621020023369117</v>
      </c>
      <c r="GG322">
        <v>2.9080728898701853</v>
      </c>
      <c r="GH322">
        <v>1.2016086289036068</v>
      </c>
      <c r="GI322">
        <v>8.6680487461350637</v>
      </c>
      <c r="GJ322"/>
      <c r="GK322"/>
      <c r="GL322"/>
      <c r="GM322"/>
      <c r="GN322" s="208"/>
      <c r="GO322" s="208"/>
      <c r="GP322" s="208"/>
      <c r="GQ322" s="208"/>
      <c r="GR322" s="208"/>
      <c r="GS322" s="208"/>
      <c r="GT322" s="208"/>
      <c r="GU322" s="213">
        <v>317</v>
      </c>
    </row>
    <row r="323" spans="1:203" s="7" customFormat="1">
      <c r="A323" s="1"/>
      <c r="B323">
        <v>9.8567492909376497E-2</v>
      </c>
      <c r="C323">
        <v>8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10.416666666666666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86.365056721553913</v>
      </c>
      <c r="AO323">
        <v>12.809441607372637</v>
      </c>
      <c r="AP323">
        <v>160.6647883571334</v>
      </c>
      <c r="AQ323">
        <v>100.19415073897025</v>
      </c>
      <c r="AR323">
        <v>11.792514233667484</v>
      </c>
      <c r="AS323">
        <v>158.68486144769827</v>
      </c>
      <c r="AT323" t="e">
        <v>#DIV/0!</v>
      </c>
      <c r="AU323" t="e">
        <v>#DIV/0!</v>
      </c>
      <c r="AV323"/>
      <c r="AW323"/>
      <c r="FY323" s="213">
        <v>318</v>
      </c>
      <c r="FZ323">
        <v>35.905174413987702</v>
      </c>
      <c r="GA323">
        <v>50.681918894423063</v>
      </c>
      <c r="GB323">
        <v>10.388570649031633</v>
      </c>
      <c r="GC323">
        <v>4.8610033994046331</v>
      </c>
      <c r="GD323">
        <v>1.6152278225882797</v>
      </c>
      <c r="GE323">
        <v>1.1892206553246265</v>
      </c>
      <c r="GF323">
        <v>3.9137938196898254</v>
      </c>
      <c r="GG323">
        <v>2.903333238547142</v>
      </c>
      <c r="GH323">
        <v>0</v>
      </c>
      <c r="GI323">
        <v>9.5972553075728673</v>
      </c>
      <c r="GJ323"/>
      <c r="GK323"/>
      <c r="GL323"/>
      <c r="GM323"/>
      <c r="GN323" s="208"/>
      <c r="GO323" s="208"/>
      <c r="GP323" s="208"/>
      <c r="GQ323" s="208"/>
      <c r="GR323" s="208"/>
      <c r="GS323" s="208"/>
      <c r="GT323" s="208"/>
      <c r="GU323" s="213">
        <v>318</v>
      </c>
    </row>
    <row r="324" spans="1:203" s="7" customFormat="1">
      <c r="A324" s="1"/>
      <c r="B324">
        <v>3.542951757482049E-2</v>
      </c>
      <c r="C324">
        <v>10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102.35041703868401</v>
      </c>
      <c r="AO324">
        <v>13.965743595055594</v>
      </c>
      <c r="AP324">
        <v>94.760496901099771</v>
      </c>
      <c r="AQ324">
        <v>106.48095566274716</v>
      </c>
      <c r="AR324">
        <v>12.928022810090681</v>
      </c>
      <c r="AS324">
        <v>180.70153147109059</v>
      </c>
      <c r="AT324">
        <v>8.5005292666857795</v>
      </c>
      <c r="AU324">
        <v>48.308386579935174</v>
      </c>
      <c r="AV324"/>
      <c r="AW324"/>
      <c r="FY324" s="213">
        <v>319</v>
      </c>
      <c r="FZ324">
        <v>53.658477188522504</v>
      </c>
      <c r="GA324">
        <v>64.897603425686171</v>
      </c>
      <c r="GB324">
        <v>7.3766606285971541</v>
      </c>
      <c r="GC324">
        <v>4.5614394045699811</v>
      </c>
      <c r="GD324">
        <v>1.9226072356487702</v>
      </c>
      <c r="GE324">
        <v>2.2766131306532178</v>
      </c>
      <c r="GF324">
        <v>5.0956091578694735</v>
      </c>
      <c r="GG324">
        <v>3.787344127699984</v>
      </c>
      <c r="GH324">
        <v>0</v>
      </c>
      <c r="GI324">
        <v>11.838720457195265</v>
      </c>
      <c r="GJ324"/>
      <c r="GK324"/>
      <c r="GL324"/>
      <c r="GM324"/>
      <c r="GN324" s="208"/>
      <c r="GO324" s="208"/>
      <c r="GP324" s="208"/>
      <c r="GQ324" s="208"/>
      <c r="GR324" s="208"/>
      <c r="GS324" s="208"/>
      <c r="GT324" s="208"/>
      <c r="GU324" s="213">
        <v>319</v>
      </c>
    </row>
    <row r="325" spans="1:203" s="7" customFormat="1">
      <c r="A325" s="1"/>
      <c r="B325">
        <v>0.27520145737640922</v>
      </c>
      <c r="C325">
        <v>8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10.416666666666666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78.055159927218753</v>
      </c>
      <c r="AO325">
        <v>12.364614711761364</v>
      </c>
      <c r="AP325">
        <v>74.662458082466785</v>
      </c>
      <c r="AQ325">
        <v>99.932503944180056</v>
      </c>
      <c r="AR325">
        <v>11.41288304344123</v>
      </c>
      <c r="AS325">
        <v>144.70859577439919</v>
      </c>
      <c r="AT325">
        <v>7.7184575332882615</v>
      </c>
      <c r="AU325">
        <v>17.031203182885982</v>
      </c>
      <c r="AV325"/>
      <c r="AW325"/>
      <c r="FY325" s="213">
        <v>320</v>
      </c>
      <c r="FZ325">
        <v>44.977240044771378</v>
      </c>
      <c r="GA325">
        <v>58.49304787472493</v>
      </c>
      <c r="GB325">
        <v>9.4478854852071947</v>
      </c>
      <c r="GC325">
        <v>4.9734215388148284</v>
      </c>
      <c r="GD325">
        <v>2.165688000996064</v>
      </c>
      <c r="GE325">
        <v>2.4478377800428444</v>
      </c>
      <c r="GF325">
        <v>4.221742166190916</v>
      </c>
      <c r="GG325">
        <v>3.3354699256163558</v>
      </c>
      <c r="GH325">
        <v>2.4032172578072135</v>
      </c>
      <c r="GI325">
        <v>11.433498678844801</v>
      </c>
      <c r="GJ325"/>
      <c r="GK325"/>
      <c r="GL325"/>
      <c r="GM325"/>
      <c r="GN325" s="208"/>
      <c r="GO325" s="208"/>
      <c r="GP325" s="208"/>
      <c r="GQ325" s="208"/>
      <c r="GR325" s="208"/>
      <c r="GS325" s="208"/>
      <c r="GT325" s="208"/>
      <c r="GU325" s="213">
        <v>320</v>
      </c>
    </row>
    <row r="326" spans="1:203" s="7" customFormat="1">
      <c r="A326" s="1"/>
      <c r="B326">
        <v>0.54063393468808485</v>
      </c>
      <c r="C326">
        <v>2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76.351166323440665</v>
      </c>
      <c r="AO326">
        <v>10.933018883990719</v>
      </c>
      <c r="AP326">
        <v>63.307470954540591</v>
      </c>
      <c r="AQ326">
        <v>86.226770772648223</v>
      </c>
      <c r="AR326">
        <v>10.178078071009365</v>
      </c>
      <c r="AS326">
        <v>127.83690897585922</v>
      </c>
      <c r="AT326">
        <v>6.5362180980964029</v>
      </c>
      <c r="AU326">
        <v>27.384236276027874</v>
      </c>
      <c r="AV326"/>
      <c r="AW326"/>
      <c r="FY326" s="213">
        <v>321</v>
      </c>
      <c r="FZ326">
        <v>21.574770148658551</v>
      </c>
      <c r="GA326">
        <v>27.491495370860825</v>
      </c>
      <c r="GB326">
        <v>12.516262861662911</v>
      </c>
      <c r="GC326">
        <v>7.0100298059477728</v>
      </c>
      <c r="GD326">
        <v>2.1829125320989329</v>
      </c>
      <c r="GE326">
        <v>2.8125810659278416</v>
      </c>
      <c r="GF326">
        <v>3.5951215563859011</v>
      </c>
      <c r="GG326">
        <v>3.0602645944784559</v>
      </c>
      <c r="GH326">
        <v>2.4032172578072135</v>
      </c>
      <c r="GI326">
        <v>8.7050407473745484</v>
      </c>
      <c r="GJ326"/>
      <c r="GK326"/>
      <c r="GL326"/>
      <c r="GM326"/>
      <c r="GN326" s="208"/>
      <c r="GO326" s="208"/>
      <c r="GP326" s="208"/>
      <c r="GQ326" s="208"/>
      <c r="GR326" s="208"/>
      <c r="GS326" s="208"/>
      <c r="GT326" s="208"/>
      <c r="GU326" s="213">
        <v>321</v>
      </c>
    </row>
    <row r="327" spans="1:203" s="7" customFormat="1">
      <c r="A327" s="1"/>
      <c r="B327">
        <v>0.67398706796670282</v>
      </c>
      <c r="C327">
        <v>2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77.633933060403649</v>
      </c>
      <c r="AO327">
        <v>9.9614036679978266</v>
      </c>
      <c r="AP327">
        <v>63.592353638951465</v>
      </c>
      <c r="AQ327">
        <v>67.214727032034631</v>
      </c>
      <c r="AR327">
        <v>9.2463720865681402</v>
      </c>
      <c r="AS327">
        <v>116.35195809463302</v>
      </c>
      <c r="AT327" t="e">
        <v>#DIV/0!</v>
      </c>
      <c r="AU327" t="e">
        <v>#DIV/0!</v>
      </c>
      <c r="AV327"/>
      <c r="AW327"/>
      <c r="FY327" s="213">
        <v>322</v>
      </c>
      <c r="FZ327">
        <v>40.951743401154381</v>
      </c>
      <c r="GA327">
        <v>50.167926507694126</v>
      </c>
      <c r="GB327">
        <v>6.5529052783751887</v>
      </c>
      <c r="GC327">
        <v>4.2820646290574853</v>
      </c>
      <c r="GD327">
        <v>2.1023623594451601</v>
      </c>
      <c r="GE327">
        <v>2.3170221282541972</v>
      </c>
      <c r="GF327">
        <v>2.1581109333693083</v>
      </c>
      <c r="GG327">
        <v>2.5627304540306133</v>
      </c>
      <c r="GH327">
        <v>2.1611736260621592</v>
      </c>
      <c r="GI327">
        <v>9.6701423176758663</v>
      </c>
      <c r="GJ327"/>
      <c r="GK327"/>
      <c r="GL327"/>
      <c r="GM327"/>
      <c r="GN327" s="208"/>
      <c r="GO327" s="208"/>
      <c r="GP327" s="208"/>
      <c r="GQ327" s="208"/>
      <c r="GR327" s="208"/>
      <c r="GS327" s="208"/>
      <c r="GT327" s="208"/>
      <c r="GU327" s="213">
        <v>322</v>
      </c>
    </row>
    <row r="328" spans="1:203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111.97358300599933</v>
      </c>
      <c r="AO328">
        <v>16.353859195097453</v>
      </c>
      <c r="AP328">
        <v>75.615764864555757</v>
      </c>
      <c r="AQ328">
        <v>131.52248134747805</v>
      </c>
      <c r="AR328">
        <v>14.986530572008084</v>
      </c>
      <c r="AS328">
        <v>190.17227587407888</v>
      </c>
      <c r="AT328">
        <v>9.9784334263403647</v>
      </c>
      <c r="AU328">
        <v>10.351955242131432</v>
      </c>
      <c r="AV328"/>
      <c r="AW328"/>
      <c r="FY328" s="213">
        <v>323</v>
      </c>
      <c r="FZ328">
        <v>26.131337871585274</v>
      </c>
      <c r="GA328">
        <v>30.730143585535696</v>
      </c>
      <c r="GB328">
        <v>3.557143867007361</v>
      </c>
      <c r="GC328">
        <v>2.8409073522132</v>
      </c>
      <c r="GD328">
        <v>1.4403450477226061</v>
      </c>
      <c r="GE328">
        <v>1.5664456187099502</v>
      </c>
      <c r="GF328">
        <v>4.1099292052969743</v>
      </c>
      <c r="GG328">
        <v>4.4802559280951915</v>
      </c>
      <c r="GH328">
        <v>1.5603693116103559</v>
      </c>
      <c r="GI328">
        <v>6.6053313710205153</v>
      </c>
      <c r="GJ328"/>
      <c r="GK328"/>
      <c r="GL328"/>
      <c r="GM328"/>
      <c r="GN328" s="208"/>
      <c r="GO328" s="208"/>
      <c r="GP328" s="208"/>
      <c r="GQ328" s="208"/>
      <c r="GR328" s="208"/>
      <c r="GS328" s="208"/>
      <c r="GT328" s="208"/>
      <c r="GU328" s="213">
        <v>323</v>
      </c>
    </row>
    <row r="329" spans="1:203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78.5486321344777</v>
      </c>
      <c r="AO329">
        <v>13.93632614510129</v>
      </c>
      <c r="AP329">
        <v>91.352325846411404</v>
      </c>
      <c r="AQ329">
        <v>118.10495874268706</v>
      </c>
      <c r="AR329">
        <v>12.845782523797789</v>
      </c>
      <c r="AS329">
        <v>137.64761435630678</v>
      </c>
      <c r="AT329" t="e">
        <v>#DIV/0!</v>
      </c>
      <c r="AU329" t="e">
        <v>#DIV/0!</v>
      </c>
      <c r="AV329"/>
      <c r="AW329"/>
      <c r="FY329" s="213">
        <v>324</v>
      </c>
      <c r="FZ329">
        <v>30.538007940617341</v>
      </c>
      <c r="GA329">
        <v>35.51796046739053</v>
      </c>
      <c r="GB329">
        <v>5.7763191555162283</v>
      </c>
      <c r="GC329">
        <v>3.6813875661661419</v>
      </c>
      <c r="GD329">
        <v>2.3402666457310266</v>
      </c>
      <c r="GE329">
        <v>2.8651314431807391</v>
      </c>
      <c r="GF329">
        <v>4.2942611522708605</v>
      </c>
      <c r="GG329">
        <v>4.7107829229005178</v>
      </c>
      <c r="GH329">
        <v>3.3627822549657664</v>
      </c>
      <c r="GI329">
        <v>8.6964263663251735</v>
      </c>
      <c r="GJ329"/>
      <c r="GK329"/>
      <c r="GL329"/>
      <c r="GM329"/>
      <c r="GN329" s="208"/>
      <c r="GO329" s="208"/>
      <c r="GP329" s="208"/>
      <c r="GQ329" s="208"/>
      <c r="GR329" s="208"/>
      <c r="GS329" s="208"/>
      <c r="GT329" s="208"/>
      <c r="GU329" s="213">
        <v>324</v>
      </c>
    </row>
    <row r="330" spans="1:203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92.782542489439066</v>
      </c>
      <c r="AO330">
        <v>15.461248828839368</v>
      </c>
      <c r="AP330">
        <v>89.593481787309685</v>
      </c>
      <c r="AQ330">
        <v>116.4772336991185</v>
      </c>
      <c r="AR330">
        <v>14.305601081990861</v>
      </c>
      <c r="AS330">
        <v>176.73312591692678</v>
      </c>
      <c r="AT330">
        <v>9.3516256839545058</v>
      </c>
      <c r="AU330">
        <v>-46.379967698220533</v>
      </c>
      <c r="AV330"/>
      <c r="AW330"/>
      <c r="FY330" s="213">
        <v>325</v>
      </c>
      <c r="FZ330">
        <v>12.237358799700747</v>
      </c>
      <c r="GA330">
        <v>20.779628140003268</v>
      </c>
      <c r="GB330">
        <v>11.922891219462254</v>
      </c>
      <c r="GC330">
        <v>5.5502874952531132</v>
      </c>
      <c r="GD330">
        <v>2.0157719701402175</v>
      </c>
      <c r="GE330">
        <v>2.3742601442583702</v>
      </c>
      <c r="GF330">
        <v>4.2286615435241197</v>
      </c>
      <c r="GG330">
        <v>3.174548776486783</v>
      </c>
      <c r="GH330">
        <v>0</v>
      </c>
      <c r="GI330">
        <v>6.8015988130937055</v>
      </c>
      <c r="GJ330"/>
      <c r="GK330"/>
      <c r="GL330"/>
      <c r="GM330"/>
      <c r="GN330" s="208"/>
      <c r="GO330" s="208"/>
      <c r="GP330" s="208"/>
      <c r="GQ330" s="208"/>
      <c r="GR330" s="208"/>
      <c r="GS330" s="208"/>
      <c r="GT330" s="208"/>
      <c r="GU330" s="213">
        <v>325</v>
      </c>
    </row>
    <row r="331" spans="1:203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79.687732242543333</v>
      </c>
      <c r="AO331">
        <v>11.180571868504382</v>
      </c>
      <c r="AP331">
        <v>57.970868133673953</v>
      </c>
      <c r="AQ331">
        <v>87.469731028787251</v>
      </c>
      <c r="AR331">
        <v>10.214884713073694</v>
      </c>
      <c r="AS331">
        <v>141.76032029250649</v>
      </c>
      <c r="AT331" t="e">
        <v>#DIV/0!</v>
      </c>
      <c r="AU331" t="e">
        <v>#DIV/0!</v>
      </c>
      <c r="AV331"/>
      <c r="AW331"/>
      <c r="FY331" s="213">
        <v>326</v>
      </c>
      <c r="FZ331">
        <v>10.024460168945987</v>
      </c>
      <c r="GA331">
        <v>10.443591206881566</v>
      </c>
      <c r="GB331">
        <v>6.4429196506679798</v>
      </c>
      <c r="GC331">
        <v>4.8278583441275229</v>
      </c>
      <c r="GD331">
        <v>1.7733121572214456</v>
      </c>
      <c r="GE331">
        <v>1.742920412020204</v>
      </c>
      <c r="GF331">
        <v>2.7722921630412558</v>
      </c>
      <c r="GG331">
        <v>2.1191013742894103</v>
      </c>
      <c r="GH331">
        <v>0.60080431445180338</v>
      </c>
      <c r="GI331">
        <v>4.7018028960561145</v>
      </c>
      <c r="GJ331"/>
      <c r="GK331"/>
      <c r="GL331"/>
      <c r="GM331"/>
      <c r="GN331" s="208"/>
      <c r="GO331" s="208"/>
      <c r="GP331" s="208"/>
      <c r="GQ331" s="208"/>
      <c r="GR331" s="208"/>
      <c r="GS331" s="208"/>
      <c r="GT331" s="208"/>
      <c r="GU331" s="213">
        <v>326</v>
      </c>
    </row>
    <row r="332" spans="1:203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71.407044623404929</v>
      </c>
      <c r="AO332">
        <v>10.484742884107868</v>
      </c>
      <c r="AP332">
        <v>55.577202295746531</v>
      </c>
      <c r="AQ332">
        <v>83.845839464734112</v>
      </c>
      <c r="AR332">
        <v>9.6108432659583354</v>
      </c>
      <c r="AS332">
        <v>121.47711701637392</v>
      </c>
      <c r="AT332" t="e">
        <v>#DIV/0!</v>
      </c>
      <c r="AU332" t="e">
        <v>#DIV/0!</v>
      </c>
      <c r="AV332"/>
      <c r="AW332"/>
      <c r="FY332" s="213">
        <v>327</v>
      </c>
      <c r="FZ332">
        <v>20.967470170036915</v>
      </c>
      <c r="GA332">
        <v>25.817793561564031</v>
      </c>
      <c r="GB332">
        <v>8.0319028033656181</v>
      </c>
      <c r="GC332">
        <v>4.5160143276114626</v>
      </c>
      <c r="GD332">
        <v>1.7080745719423807</v>
      </c>
      <c r="GE332">
        <v>2.0038949265719639</v>
      </c>
      <c r="GF332">
        <v>2.9531894194486563</v>
      </c>
      <c r="GG332">
        <v>3.6571009600327233</v>
      </c>
      <c r="GH332">
        <v>1.5603693116103559</v>
      </c>
      <c r="GI332">
        <v>6.8885646091424295</v>
      </c>
      <c r="GJ332"/>
      <c r="GK332"/>
      <c r="GL332"/>
      <c r="GM332"/>
      <c r="GN332" s="208"/>
      <c r="GO332" s="208"/>
      <c r="GP332" s="208"/>
      <c r="GQ332" s="208"/>
      <c r="GR332" s="208"/>
      <c r="GS332" s="208"/>
      <c r="GT332" s="208"/>
      <c r="GU332" s="213">
        <v>327</v>
      </c>
    </row>
    <row r="333" spans="1:203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85.165229683827548</v>
      </c>
      <c r="AO333">
        <v>12.857047753156184</v>
      </c>
      <c r="AP333">
        <v>215.64475533711737</v>
      </c>
      <c r="AQ333">
        <v>104.11956600282539</v>
      </c>
      <c r="AR333">
        <v>11.997515316936569</v>
      </c>
      <c r="AS333">
        <v>147.04580177569571</v>
      </c>
      <c r="AT333" t="e">
        <v>#DIV/0!</v>
      </c>
      <c r="AU333" t="e">
        <v>#DIV/0!</v>
      </c>
      <c r="AV333"/>
      <c r="AW333"/>
      <c r="FY333" s="213">
        <v>328</v>
      </c>
      <c r="FZ333">
        <v>17.020943502036872</v>
      </c>
      <c r="GA333">
        <v>20.697363811206348</v>
      </c>
      <c r="GB333">
        <v>6.7356520431191225</v>
      </c>
      <c r="GC333">
        <v>4.7071338734468036</v>
      </c>
      <c r="GD333">
        <v>2.6596472352781864</v>
      </c>
      <c r="GE333">
        <v>2.8995186858194222</v>
      </c>
      <c r="GF333">
        <v>4.2876480448214336</v>
      </c>
      <c r="GG333">
        <v>6.9309519616259303</v>
      </c>
      <c r="GH333">
        <v>4.6811079348310667</v>
      </c>
      <c r="GI333">
        <v>7.3392578047408543</v>
      </c>
      <c r="GJ333"/>
      <c r="GK333"/>
      <c r="GL333"/>
      <c r="GM333"/>
      <c r="GN333" s="208"/>
      <c r="GO333" s="208"/>
      <c r="GP333" s="208"/>
      <c r="GQ333" s="208"/>
      <c r="GR333" s="208"/>
      <c r="GS333" s="208"/>
      <c r="GT333" s="208"/>
      <c r="GU333" s="213">
        <v>328</v>
      </c>
    </row>
    <row r="334" spans="1:203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73.221485805860794</v>
      </c>
      <c r="AO334">
        <v>14.655297711724936</v>
      </c>
      <c r="AP334">
        <v>91.920688210232356</v>
      </c>
      <c r="AQ334">
        <v>121.0554982005698</v>
      </c>
      <c r="AR334">
        <v>13.375936285124986</v>
      </c>
      <c r="AS334">
        <v>146.75433845465318</v>
      </c>
      <c r="AT334" t="e">
        <v>#DIV/0!</v>
      </c>
      <c r="AU334" t="e">
        <v>#DIV/0!</v>
      </c>
      <c r="AV334"/>
      <c r="AW334"/>
      <c r="FY334" s="213">
        <v>329</v>
      </c>
      <c r="FZ334">
        <v>45.61956290178064</v>
      </c>
      <c r="GA334">
        <v>59.043671913068422</v>
      </c>
      <c r="GB334">
        <v>10.014802574801248</v>
      </c>
      <c r="GC334">
        <v>5.1588444654500618</v>
      </c>
      <c r="GD334">
        <v>1.9373789096353731</v>
      </c>
      <c r="GE334">
        <v>2.1272302219523591</v>
      </c>
      <c r="GF334">
        <v>3.1214505036577922</v>
      </c>
      <c r="GG334">
        <v>2.5280626793700449</v>
      </c>
      <c r="GH334">
        <v>1.2016086289036068</v>
      </c>
      <c r="GI334">
        <v>11.189640766003031</v>
      </c>
      <c r="GJ334"/>
      <c r="GK334"/>
      <c r="GL334"/>
      <c r="GM334"/>
      <c r="GN334" s="208"/>
      <c r="GO334" s="208"/>
      <c r="GP334" s="208"/>
      <c r="GQ334" s="208"/>
      <c r="GR334" s="208"/>
      <c r="GS334" s="208"/>
      <c r="GT334" s="208"/>
      <c r="GU334" s="213">
        <v>329</v>
      </c>
    </row>
    <row r="335" spans="1:203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96.100047010404523</v>
      </c>
      <c r="AO335">
        <v>17.901492107235164</v>
      </c>
      <c r="AP335">
        <v>110.2291554356003</v>
      </c>
      <c r="AQ335">
        <v>155.41507475644249</v>
      </c>
      <c r="AR335">
        <v>16.386491005654118</v>
      </c>
      <c r="AS335">
        <v>179.99190433338453</v>
      </c>
      <c r="AT335" t="e">
        <v>#DIV/0!</v>
      </c>
      <c r="AU335" t="e">
        <v>#DIV/0!</v>
      </c>
      <c r="AV335"/>
      <c r="AW335"/>
      <c r="FY335" s="213">
        <v>330</v>
      </c>
      <c r="FZ335">
        <v>40.163461165597447</v>
      </c>
      <c r="GA335">
        <v>48.261677062877453</v>
      </c>
      <c r="GB335">
        <v>6.8286092074874665</v>
      </c>
      <c r="GC335">
        <v>4.3554929920498617</v>
      </c>
      <c r="GD335">
        <v>1.9650662700987584</v>
      </c>
      <c r="GE335">
        <v>2.0700131288014436</v>
      </c>
      <c r="GF335">
        <v>6.2585188043315938</v>
      </c>
      <c r="GG335">
        <v>4.9136399402760533</v>
      </c>
      <c r="GH335">
        <v>0</v>
      </c>
      <c r="GI335">
        <v>9.9256276241871415</v>
      </c>
      <c r="GJ335"/>
      <c r="GK335"/>
      <c r="GL335"/>
      <c r="GM335"/>
      <c r="GN335" s="208"/>
      <c r="GO335" s="208"/>
      <c r="GP335" s="208"/>
      <c r="GQ335" s="208"/>
      <c r="GR335" s="208"/>
      <c r="GS335" s="208"/>
      <c r="GT335" s="208"/>
      <c r="GU335" s="213">
        <v>330</v>
      </c>
    </row>
    <row r="336" spans="1:203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94.68148801629404</v>
      </c>
      <c r="AO336">
        <v>17.135222246135314</v>
      </c>
      <c r="AP336">
        <v>141.56449034891196</v>
      </c>
      <c r="AQ336">
        <v>143.89904875301656</v>
      </c>
      <c r="AR336">
        <v>15.883340284019637</v>
      </c>
      <c r="AS336">
        <v>169.37367322703099</v>
      </c>
      <c r="AT336" t="e">
        <v>#DIV/0!</v>
      </c>
      <c r="AU336" t="e">
        <v>#DIV/0!</v>
      </c>
      <c r="AV336"/>
      <c r="AW336"/>
      <c r="FY336" s="213">
        <v>331</v>
      </c>
      <c r="FZ336">
        <v>25.616220184012771</v>
      </c>
      <c r="GA336">
        <v>33.227305479792413</v>
      </c>
      <c r="GB336">
        <v>5.87577267945864</v>
      </c>
      <c r="GC336">
        <v>3.7572644893279494</v>
      </c>
      <c r="GD336">
        <v>1.9089542909420885</v>
      </c>
      <c r="GE336">
        <v>1.7113019438992327</v>
      </c>
      <c r="GF336">
        <v>3.4805098464252771</v>
      </c>
      <c r="GG336">
        <v>3.7743593540345151</v>
      </c>
      <c r="GH336">
        <v>2.7619779405139626</v>
      </c>
      <c r="GI336">
        <v>7.4681486727543733</v>
      </c>
      <c r="GJ336"/>
      <c r="GK336"/>
      <c r="GL336"/>
      <c r="GM336"/>
      <c r="GN336" s="208"/>
      <c r="GO336" s="208"/>
      <c r="GP336" s="208"/>
      <c r="GQ336" s="208"/>
      <c r="GR336" s="208"/>
      <c r="GS336" s="208"/>
      <c r="GT336" s="208"/>
      <c r="GU336" s="213">
        <v>331</v>
      </c>
    </row>
    <row r="337" spans="1:203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94.024245952801977</v>
      </c>
      <c r="AO337">
        <v>12.884415700334291</v>
      </c>
      <c r="AP337">
        <v>91.199748071709337</v>
      </c>
      <c r="AQ337">
        <v>91.351695941202962</v>
      </c>
      <c r="AR337">
        <v>12.080550351618092</v>
      </c>
      <c r="AS337">
        <v>148.61167224779712</v>
      </c>
      <c r="AT337" t="e">
        <v>#DIV/0!</v>
      </c>
      <c r="AU337" t="e">
        <v>#DIV/0!</v>
      </c>
      <c r="AV337"/>
      <c r="AW337"/>
      <c r="FY337" s="213">
        <v>332</v>
      </c>
      <c r="FZ337">
        <v>35.540947525931998</v>
      </c>
      <c r="GA337">
        <v>41.592092612490106</v>
      </c>
      <c r="GB337">
        <v>9.0543515964239205</v>
      </c>
      <c r="GC337">
        <v>6.1986087345932885</v>
      </c>
      <c r="GD337">
        <v>2.6139282916394446</v>
      </c>
      <c r="GE337">
        <v>2.1276788544875771</v>
      </c>
      <c r="GF337">
        <v>1.1415016566485696</v>
      </c>
      <c r="GG337">
        <v>0.94515301338730384</v>
      </c>
      <c r="GH337">
        <v>0.60080431445180338</v>
      </c>
      <c r="GI337">
        <v>9.3228383488785287</v>
      </c>
      <c r="GJ337"/>
      <c r="GK337"/>
      <c r="GL337"/>
      <c r="GM337"/>
      <c r="GN337" s="208"/>
      <c r="GO337" s="208"/>
      <c r="GP337" s="208"/>
      <c r="GQ337" s="208"/>
      <c r="GR337" s="208"/>
      <c r="GS337" s="208"/>
      <c r="GT337" s="208"/>
      <c r="GU337" s="213">
        <v>332</v>
      </c>
    </row>
    <row r="338" spans="1:203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73.92788979060532</v>
      </c>
      <c r="AO338">
        <v>14.622540666563799</v>
      </c>
      <c r="AP338">
        <v>127.73330729462374</v>
      </c>
      <c r="AQ338">
        <v>122.92618163511851</v>
      </c>
      <c r="AR338">
        <v>13.425864015354966</v>
      </c>
      <c r="AS338">
        <v>142.42468449503616</v>
      </c>
      <c r="AT338">
        <v>9.0646180697143368</v>
      </c>
      <c r="AU338">
        <v>31.755450756653033</v>
      </c>
      <c r="AV338"/>
      <c r="AW338"/>
      <c r="FY338" s="213">
        <v>333</v>
      </c>
      <c r="FZ338">
        <v>49.957210128909672</v>
      </c>
      <c r="GA338">
        <v>56.26946005525943</v>
      </c>
      <c r="GB338">
        <v>11.020610348809559</v>
      </c>
      <c r="GC338">
        <v>7.4856396807658481</v>
      </c>
      <c r="GD338">
        <v>2.0718344496775125</v>
      </c>
      <c r="GE338">
        <v>1.802478430988474</v>
      </c>
      <c r="GF338">
        <v>0.7355155249005787</v>
      </c>
      <c r="GG338">
        <v>1.5419893789415706</v>
      </c>
      <c r="GH338">
        <v>1.5603693116103559</v>
      </c>
      <c r="GI338">
        <v>11.690291955540642</v>
      </c>
      <c r="GJ338"/>
      <c r="GK338"/>
      <c r="GL338"/>
      <c r="GM338"/>
      <c r="GN338" s="208"/>
      <c r="GO338" s="208"/>
      <c r="GP338" s="208"/>
      <c r="GQ338" s="208"/>
      <c r="GR338" s="208"/>
      <c r="GS338" s="208"/>
      <c r="GT338" s="208"/>
      <c r="GU338" s="213">
        <v>333</v>
      </c>
    </row>
    <row r="339" spans="1:203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68.66943823469559</v>
      </c>
      <c r="AO339">
        <v>9.9481394448655855</v>
      </c>
      <c r="AP339">
        <v>56.358771858196924</v>
      </c>
      <c r="AQ339">
        <v>83.022209158797125</v>
      </c>
      <c r="AR339">
        <v>9.0877627633511811</v>
      </c>
      <c r="AS339">
        <v>118.28715578613412</v>
      </c>
      <c r="AT339" t="e">
        <v>#DIV/0!</v>
      </c>
      <c r="AU339" t="e">
        <v>#DIV/0!</v>
      </c>
      <c r="AV339"/>
      <c r="AW339"/>
      <c r="FY339" s="213">
        <v>334</v>
      </c>
      <c r="FZ339">
        <v>36.112137725194032</v>
      </c>
      <c r="GA339">
        <v>43.859483578255698</v>
      </c>
      <c r="GB339">
        <v>6.9411340271273163</v>
      </c>
      <c r="GC339">
        <v>4.7666976826552059</v>
      </c>
      <c r="GD339">
        <v>2.2643377666556672</v>
      </c>
      <c r="GE339">
        <v>2.2834271143219427</v>
      </c>
      <c r="GF339">
        <v>1.5248772161148669</v>
      </c>
      <c r="GG339">
        <v>1.9132701449204101</v>
      </c>
      <c r="GH339">
        <v>3.9635865694175694</v>
      </c>
      <c r="GI339">
        <v>9.2966935541411164</v>
      </c>
      <c r="GJ339"/>
      <c r="GK339"/>
      <c r="GL339"/>
      <c r="GM339"/>
      <c r="GN339" s="208"/>
      <c r="GO339" s="208"/>
      <c r="GP339" s="208"/>
      <c r="GQ339" s="208"/>
      <c r="GR339" s="208"/>
      <c r="GS339" s="208"/>
      <c r="GT339" s="208"/>
      <c r="GU339" s="213">
        <v>334</v>
      </c>
    </row>
    <row r="340" spans="1:203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79.083954395934612</v>
      </c>
      <c r="AO340">
        <v>12.780293288835594</v>
      </c>
      <c r="AP340">
        <v>101.38728754701332</v>
      </c>
      <c r="AQ340">
        <v>101.78332591506432</v>
      </c>
      <c r="AR340">
        <v>12.069322492480127</v>
      </c>
      <c r="AS340">
        <v>146.20939329543506</v>
      </c>
      <c r="AT340">
        <v>8.1157687223280401</v>
      </c>
      <c r="AU340">
        <v>29.718713051964222</v>
      </c>
      <c r="AV340"/>
      <c r="AW340"/>
      <c r="FY340" s="213">
        <v>335</v>
      </c>
      <c r="FZ340">
        <v>23.460268446178876</v>
      </c>
      <c r="GA340">
        <v>28.880662250204921</v>
      </c>
      <c r="GB340">
        <v>8.1712006940934536</v>
      </c>
      <c r="GC340">
        <v>4.8110635696748059</v>
      </c>
      <c r="GD340">
        <v>1.9116702846132956</v>
      </c>
      <c r="GE340">
        <v>2.2905330411039841</v>
      </c>
      <c r="GF340">
        <v>4.8862114774773735</v>
      </c>
      <c r="GG340">
        <v>4.9782743907219098</v>
      </c>
      <c r="GH340">
        <v>2.1611736260621592</v>
      </c>
      <c r="GI340">
        <v>7.8911298793440485</v>
      </c>
      <c r="GJ340"/>
      <c r="GK340"/>
      <c r="GL340"/>
      <c r="GM340"/>
      <c r="GN340" s="208"/>
      <c r="GO340" s="208"/>
      <c r="GP340" s="208"/>
      <c r="GQ340" s="208"/>
      <c r="GR340" s="208"/>
      <c r="GS340" s="208"/>
      <c r="GT340" s="208"/>
      <c r="GU340" s="213">
        <v>335</v>
      </c>
    </row>
    <row r="341" spans="1:203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71.277511008824405</v>
      </c>
      <c r="AO341">
        <v>10.179058424677573</v>
      </c>
      <c r="AP341">
        <v>50.503836571761518</v>
      </c>
      <c r="AQ341">
        <v>69.085006901922583</v>
      </c>
      <c r="AR341">
        <v>9.4519852638325883</v>
      </c>
      <c r="AS341">
        <v>120.44558332807038</v>
      </c>
      <c r="AT341" t="e">
        <v>#DIV/0!</v>
      </c>
      <c r="AU341" t="e">
        <v>#DIV/0!</v>
      </c>
      <c r="AV341"/>
      <c r="AW341"/>
      <c r="FY341" s="213">
        <v>336</v>
      </c>
      <c r="FZ341">
        <v>39.5582797348562</v>
      </c>
      <c r="GA341">
        <v>50.344287134145262</v>
      </c>
      <c r="GB341">
        <v>8.6829814910775145</v>
      </c>
      <c r="GC341">
        <v>4.7287057410576354</v>
      </c>
      <c r="GD341">
        <v>2.3439205121199209</v>
      </c>
      <c r="GE341">
        <v>2.7619858185817083</v>
      </c>
      <c r="GF341">
        <v>4.779918519383294</v>
      </c>
      <c r="GG341">
        <v>3.407333917199844</v>
      </c>
      <c r="GH341">
        <v>2.4032172578072135</v>
      </c>
      <c r="GI341">
        <v>10.66082126031899</v>
      </c>
      <c r="GJ341"/>
      <c r="GK341"/>
      <c r="GL341"/>
      <c r="GM341"/>
      <c r="GN341" s="208"/>
      <c r="GO341" s="208"/>
      <c r="GP341" s="208"/>
      <c r="GQ341" s="208"/>
      <c r="GR341" s="208"/>
      <c r="GS341" s="208"/>
      <c r="GT341" s="208"/>
      <c r="GU341" s="213">
        <v>336</v>
      </c>
    </row>
    <row r="342" spans="1:203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63.566637588943607</v>
      </c>
      <c r="AO342">
        <v>6.8877535535673502</v>
      </c>
      <c r="AP342">
        <v>37.531817634496718</v>
      </c>
      <c r="AQ342">
        <v>45.449062687703282</v>
      </c>
      <c r="AR342">
        <v>6.4427579397589314</v>
      </c>
      <c r="AS342">
        <v>92.339628902296198</v>
      </c>
      <c r="AT342" t="e">
        <v>#DIV/0!</v>
      </c>
      <c r="AU342" t="e">
        <v>#DIV/0!</v>
      </c>
      <c r="AV342"/>
      <c r="AW342"/>
      <c r="FY342" s="213">
        <v>337</v>
      </c>
      <c r="FZ342">
        <v>37.13024198568688</v>
      </c>
      <c r="GA342">
        <v>41.796722561209741</v>
      </c>
      <c r="GB342">
        <v>7.9385055351513349</v>
      </c>
      <c r="GC342">
        <v>5.5423125079973667</v>
      </c>
      <c r="GD342">
        <v>1.7360700309990458</v>
      </c>
      <c r="GE342">
        <v>1.8149817927830525</v>
      </c>
      <c r="GF342">
        <v>7.2586873693844396</v>
      </c>
      <c r="GG342">
        <v>7.2153840171378967</v>
      </c>
      <c r="GH342">
        <v>1.5603693116103559</v>
      </c>
      <c r="GI342">
        <v>10.058378986183213</v>
      </c>
      <c r="GJ342"/>
      <c r="GK342"/>
      <c r="GL342"/>
      <c r="GM342"/>
      <c r="GN342" s="208"/>
      <c r="GO342" s="208"/>
      <c r="GP342" s="208"/>
      <c r="GQ342" s="208"/>
      <c r="GR342" s="208"/>
      <c r="GS342" s="208"/>
      <c r="GT342" s="208"/>
      <c r="GU342" s="213">
        <v>337</v>
      </c>
    </row>
    <row r="343" spans="1:203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86.86068467137811</v>
      </c>
      <c r="AO343">
        <v>10.276927507226898</v>
      </c>
      <c r="AP343">
        <v>42.723331331103068</v>
      </c>
      <c r="AQ343">
        <v>78.10437466132656</v>
      </c>
      <c r="AR343">
        <v>9.5102169037815347</v>
      </c>
      <c r="AS343">
        <v>121.50347020031906</v>
      </c>
      <c r="AT343" t="e">
        <v>#DIV/0!</v>
      </c>
      <c r="AU343" t="e">
        <v>#DIV/0!</v>
      </c>
      <c r="AV343"/>
      <c r="AW343"/>
      <c r="FY343" s="213">
        <v>338</v>
      </c>
      <c r="FZ343">
        <v>18.741770865758493</v>
      </c>
      <c r="GA343">
        <v>24.602619811813661</v>
      </c>
      <c r="GB343">
        <v>10.785490967828036</v>
      </c>
      <c r="GC343">
        <v>6.4041724384449266</v>
      </c>
      <c r="GD343">
        <v>1.715974472109046</v>
      </c>
      <c r="GE343">
        <v>1.6296775064910429</v>
      </c>
      <c r="GF343">
        <v>5.6603350394919145</v>
      </c>
      <c r="GG343">
        <v>5.7420188818404396</v>
      </c>
      <c r="GH343">
        <v>2.1611736260621592</v>
      </c>
      <c r="GI343">
        <v>7.8305855601546321</v>
      </c>
      <c r="GJ343"/>
      <c r="GK343"/>
      <c r="GL343"/>
      <c r="GM343"/>
      <c r="GN343" s="208"/>
      <c r="GO343" s="208"/>
      <c r="GP343" s="208"/>
      <c r="GQ343" s="208"/>
      <c r="GR343" s="208"/>
      <c r="GS343" s="208"/>
      <c r="GT343" s="208"/>
      <c r="GU343" s="213">
        <v>338</v>
      </c>
    </row>
    <row r="344" spans="1:203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80.76538590016024</v>
      </c>
      <c r="AO344">
        <v>10.952622893659459</v>
      </c>
      <c r="AP344">
        <v>65.72127354979412</v>
      </c>
      <c r="AQ344">
        <v>77.959224896926031</v>
      </c>
      <c r="AR344">
        <v>10.135534918883277</v>
      </c>
      <c r="AS344">
        <v>134.88767255176725</v>
      </c>
      <c r="AT344" t="e">
        <v>#DIV/0!</v>
      </c>
      <c r="AU344" t="e">
        <v>#DIV/0!</v>
      </c>
      <c r="AV344"/>
      <c r="AW344"/>
      <c r="FY344" s="213">
        <v>339</v>
      </c>
      <c r="FZ344">
        <v>47.298963518098894</v>
      </c>
      <c r="GA344">
        <v>57.221775822216529</v>
      </c>
      <c r="GB344">
        <v>7.6864421453171197</v>
      </c>
      <c r="GC344">
        <v>5.2981476814014954</v>
      </c>
      <c r="GD344">
        <v>2.2946152052770596</v>
      </c>
      <c r="GE344">
        <v>1.6482709830211018</v>
      </c>
      <c r="GF344">
        <v>1.7556828863205172</v>
      </c>
      <c r="GG344">
        <v>3.8265402898408203</v>
      </c>
      <c r="GH344">
        <v>3.1207386232207117</v>
      </c>
      <c r="GI344">
        <v>11.144053816404739</v>
      </c>
      <c r="GJ344"/>
      <c r="GK344"/>
      <c r="GL344"/>
      <c r="GM344"/>
      <c r="GN344" s="208"/>
      <c r="GO344" s="208"/>
      <c r="GP344" s="208"/>
      <c r="GQ344" s="208"/>
      <c r="GR344" s="208"/>
      <c r="GS344" s="208"/>
      <c r="GT344" s="208"/>
      <c r="GU344" s="213">
        <v>339</v>
      </c>
    </row>
    <row r="345" spans="1:203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75.251297027431661</v>
      </c>
      <c r="AO345">
        <v>16.931244626303247</v>
      </c>
      <c r="AP345">
        <v>139.64060235839304</v>
      </c>
      <c r="AQ345">
        <v>141.9422535646226</v>
      </c>
      <c r="AR345">
        <v>15.560293879340865</v>
      </c>
      <c r="AS345">
        <v>175.54039287620429</v>
      </c>
      <c r="AT345" t="e">
        <v>#DIV/0!</v>
      </c>
      <c r="AU345" t="e">
        <v>#DIV/0!</v>
      </c>
      <c r="AV345"/>
      <c r="AW345"/>
      <c r="FY345" s="213">
        <v>340</v>
      </c>
      <c r="FZ345">
        <v>35.88540499031884</v>
      </c>
      <c r="GA345">
        <v>43.950860074886279</v>
      </c>
      <c r="GB345">
        <v>8.1372299080406467</v>
      </c>
      <c r="GC345">
        <v>5.2635371924044652</v>
      </c>
      <c r="GD345">
        <v>2.1751335493808064</v>
      </c>
      <c r="GE345">
        <v>2.1200759333385788</v>
      </c>
      <c r="GF345">
        <v>0.61754252230595152</v>
      </c>
      <c r="GG345">
        <v>0.27046567981485609</v>
      </c>
      <c r="GH345">
        <v>0.60080431445180338</v>
      </c>
      <c r="GI345">
        <v>8.8466609469835014</v>
      </c>
      <c r="GJ345"/>
      <c r="GK345"/>
      <c r="GL345"/>
      <c r="GM345"/>
      <c r="GN345" s="208"/>
      <c r="GO345" s="208"/>
      <c r="GP345" s="208"/>
      <c r="GQ345" s="208"/>
      <c r="GR345" s="208"/>
      <c r="GS345" s="208"/>
      <c r="GT345" s="208"/>
      <c r="GU345" s="213">
        <v>340</v>
      </c>
    </row>
    <row r="346" spans="1:203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94.974705461318038</v>
      </c>
      <c r="AO346">
        <v>14.864178516247398</v>
      </c>
      <c r="AP346">
        <v>81.992465069829876</v>
      </c>
      <c r="AQ346">
        <v>124.74210619570724</v>
      </c>
      <c r="AR346">
        <v>13.70013586509665</v>
      </c>
      <c r="AS346">
        <v>181.20617143694736</v>
      </c>
      <c r="AT346" t="e">
        <v>#DIV/0!</v>
      </c>
      <c r="AU346" t="e">
        <v>#DIV/0!</v>
      </c>
      <c r="AV346"/>
      <c r="AW346"/>
      <c r="FY346" s="213">
        <v>341</v>
      </c>
      <c r="FZ346">
        <v>29.271530040260981</v>
      </c>
      <c r="GA346">
        <v>39.374376195094548</v>
      </c>
      <c r="GB346">
        <v>9.959912457919204</v>
      </c>
      <c r="GC346">
        <v>5.4501095147825165</v>
      </c>
      <c r="GD346">
        <v>2.1551137805130649</v>
      </c>
      <c r="GE346">
        <v>2.1191944272929342</v>
      </c>
      <c r="GF346">
        <v>2.8472761291708366</v>
      </c>
      <c r="GG346">
        <v>2.2333855562977378</v>
      </c>
      <c r="GH346">
        <v>1.2016086289036068</v>
      </c>
      <c r="GI346">
        <v>8.8174838990744231</v>
      </c>
      <c r="GJ346"/>
      <c r="GK346"/>
      <c r="GL346"/>
      <c r="GM346"/>
      <c r="GN346" s="208"/>
      <c r="GO346" s="208"/>
      <c r="GP346" s="208"/>
      <c r="GQ346" s="208"/>
      <c r="GR346" s="208"/>
      <c r="GS346" s="208"/>
      <c r="GT346" s="208"/>
      <c r="GU346" s="213">
        <v>341</v>
      </c>
    </row>
    <row r="347" spans="1:203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69.928959126385593</v>
      </c>
      <c r="AO347">
        <v>11.174369889902268</v>
      </c>
      <c r="AP347">
        <v>52.412778498178355</v>
      </c>
      <c r="AQ347">
        <v>89.581814881161208</v>
      </c>
      <c r="AR347">
        <v>10.348870355666076</v>
      </c>
      <c r="AS347">
        <v>135.52226825641387</v>
      </c>
      <c r="AT347">
        <v>6.7286579566985765</v>
      </c>
      <c r="AU347">
        <v>8.8099707895463819</v>
      </c>
      <c r="AV347"/>
      <c r="AW347"/>
      <c r="FY347" s="213">
        <v>342</v>
      </c>
      <c r="FZ347">
        <v>9.1434427200141091</v>
      </c>
      <c r="GA347">
        <v>11.280879013857479</v>
      </c>
      <c r="GB347">
        <v>7.8535264516248908</v>
      </c>
      <c r="GC347">
        <v>5.9887115359461767</v>
      </c>
      <c r="GD347">
        <v>2.9133277782945721</v>
      </c>
      <c r="GE347">
        <v>2.1193417183848444</v>
      </c>
      <c r="GF347">
        <v>5.2852782318921605</v>
      </c>
      <c r="GG347">
        <v>6.8663175111800747</v>
      </c>
      <c r="GH347">
        <v>3.1207386232207117</v>
      </c>
      <c r="GI347">
        <v>6.5027760389121338</v>
      </c>
      <c r="GJ347"/>
      <c r="GK347"/>
      <c r="GL347"/>
      <c r="GM347"/>
      <c r="GN347" s="208"/>
      <c r="GO347" s="208"/>
      <c r="GP347" s="208"/>
      <c r="GQ347" s="208"/>
      <c r="GR347" s="208"/>
      <c r="GS347" s="208"/>
      <c r="GT347" s="208"/>
      <c r="GU347" s="213">
        <v>342</v>
      </c>
    </row>
    <row r="348" spans="1:203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92.247177332471452</v>
      </c>
      <c r="AO348">
        <v>13.781810542542036</v>
      </c>
      <c r="AP348">
        <v>103.98537032282425</v>
      </c>
      <c r="AQ348">
        <v>109.13790494893253</v>
      </c>
      <c r="AR348">
        <v>12.85563819293813</v>
      </c>
      <c r="AS348">
        <v>161.32966672361465</v>
      </c>
      <c r="AT348" t="e">
        <v>#DIV/0!</v>
      </c>
      <c r="AU348" t="e">
        <v>#DIV/0!</v>
      </c>
      <c r="AV348"/>
      <c r="AW348"/>
      <c r="FY348" s="213">
        <v>343</v>
      </c>
      <c r="FZ348">
        <v>37.514479777716097</v>
      </c>
      <c r="GA348">
        <v>44.413848007035874</v>
      </c>
      <c r="GB348">
        <v>4.3572090108213137</v>
      </c>
      <c r="GC348">
        <v>3.4353650052295199</v>
      </c>
      <c r="GD348">
        <v>1.8752868169798489</v>
      </c>
      <c r="GE348">
        <v>1.9285237484781697</v>
      </c>
      <c r="GF348">
        <v>3.0624640023604792</v>
      </c>
      <c r="GG348">
        <v>2.6889838284996168</v>
      </c>
      <c r="GH348">
        <v>1.2016086289036068</v>
      </c>
      <c r="GI348">
        <v>8.4341633831030034</v>
      </c>
      <c r="GJ348"/>
      <c r="GK348"/>
      <c r="GL348"/>
      <c r="GM348"/>
      <c r="GN348" s="208"/>
      <c r="GO348" s="208"/>
      <c r="GP348" s="208"/>
      <c r="GQ348" s="208"/>
      <c r="GR348" s="208"/>
      <c r="GS348" s="208"/>
      <c r="GT348" s="208"/>
      <c r="GU348" s="213">
        <v>343</v>
      </c>
    </row>
    <row r="349" spans="1:203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105.89007168480418</v>
      </c>
      <c r="AO349">
        <v>17.498362760756844</v>
      </c>
      <c r="AP349">
        <v>121.64286958320929</v>
      </c>
      <c r="AQ349">
        <v>144.13539926540363</v>
      </c>
      <c r="AR349">
        <v>16.143466535368123</v>
      </c>
      <c r="AS349">
        <v>215.63987898262167</v>
      </c>
      <c r="AT349" t="e">
        <v>#DIV/0!</v>
      </c>
      <c r="AU349" t="e">
        <v>#DIV/0!</v>
      </c>
      <c r="AV349"/>
      <c r="AW349"/>
      <c r="FY349" s="213">
        <v>344</v>
      </c>
      <c r="FZ349">
        <v>46.168119376735447</v>
      </c>
      <c r="GA349">
        <v>53.138416889244496</v>
      </c>
      <c r="GB349">
        <v>6.1515131308493602</v>
      </c>
      <c r="GC349">
        <v>4.8788528717878838</v>
      </c>
      <c r="GD349">
        <v>2.18630693664256</v>
      </c>
      <c r="GE349">
        <v>2.1624508727729599</v>
      </c>
      <c r="GF349">
        <v>2.3732254086264688</v>
      </c>
      <c r="GG349">
        <v>3.9874614389703913</v>
      </c>
      <c r="GH349">
        <v>4.3223472521243185</v>
      </c>
      <c r="GI349">
        <v>10.755585923618986</v>
      </c>
      <c r="GJ349"/>
      <c r="GK349"/>
      <c r="GL349"/>
      <c r="GM349"/>
      <c r="GN349" s="208"/>
      <c r="GO349" s="208"/>
      <c r="GP349" s="208"/>
      <c r="GQ349" s="208"/>
      <c r="GR349" s="208"/>
      <c r="GS349" s="208"/>
      <c r="GT349" s="208"/>
      <c r="GU349" s="213">
        <v>344</v>
      </c>
    </row>
    <row r="350" spans="1:203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87.449109686609688</v>
      </c>
      <c r="AO350">
        <v>13.773622832948368</v>
      </c>
      <c r="AP350">
        <v>115.1017391898171</v>
      </c>
      <c r="AQ350">
        <v>112.92564537880382</v>
      </c>
      <c r="AR350">
        <v>12.90227899868869</v>
      </c>
      <c r="AS350">
        <v>159.31951288703652</v>
      </c>
      <c r="AT350">
        <v>8.9033737609847403</v>
      </c>
      <c r="AU350">
        <v>-14.913292921013946</v>
      </c>
      <c r="AV350"/>
      <c r="AW350"/>
      <c r="FY350" s="213">
        <v>345</v>
      </c>
      <c r="FZ350">
        <v>46.026409804095501</v>
      </c>
      <c r="GA350">
        <v>56.361911659152888</v>
      </c>
      <c r="GB350">
        <v>10.31707521141662</v>
      </c>
      <c r="GC350">
        <v>5.8773244326566809</v>
      </c>
      <c r="GD350">
        <v>1.6091987172740236</v>
      </c>
      <c r="GE350">
        <v>1.6024757268776728</v>
      </c>
      <c r="GF350">
        <v>5.1760036489803376</v>
      </c>
      <c r="GG350">
        <v>4.3484971373888897</v>
      </c>
      <c r="GH350">
        <v>0.60080431445180338</v>
      </c>
      <c r="GI350">
        <v>11.348788013888933</v>
      </c>
      <c r="GJ350"/>
      <c r="GK350"/>
      <c r="GL350"/>
      <c r="GM350"/>
      <c r="GN350" s="208"/>
      <c r="GO350" s="208"/>
      <c r="GP350" s="208"/>
      <c r="GQ350" s="208"/>
      <c r="GR350" s="208"/>
      <c r="GS350" s="208"/>
      <c r="GT350" s="208"/>
      <c r="GU350" s="213">
        <v>345</v>
      </c>
    </row>
    <row r="351" spans="1:203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101.57507699882191</v>
      </c>
      <c r="AO351">
        <v>11.702128287581278</v>
      </c>
      <c r="AP351">
        <v>57.397186029640082</v>
      </c>
      <c r="AQ351">
        <v>89.442187659474826</v>
      </c>
      <c r="AR351">
        <v>10.88335094262937</v>
      </c>
      <c r="AS351">
        <v>151.66176121412434</v>
      </c>
      <c r="AT351">
        <v>7.2689063521293207</v>
      </c>
      <c r="AU351">
        <v>23.087934601096951</v>
      </c>
      <c r="AV351"/>
      <c r="AW351"/>
      <c r="FY351" s="213">
        <v>346</v>
      </c>
      <c r="FZ351">
        <v>32.811852615697894</v>
      </c>
      <c r="GA351">
        <v>42.058967168987017</v>
      </c>
      <c r="GB351">
        <v>10.005522527439471</v>
      </c>
      <c r="GC351">
        <v>5.5351339297049913</v>
      </c>
      <c r="GD351">
        <v>2.7187954512925865</v>
      </c>
      <c r="GE351">
        <v>2.9355748990324253</v>
      </c>
      <c r="GF351">
        <v>3.4892082661080819</v>
      </c>
      <c r="GG351">
        <v>3.9605075276263308</v>
      </c>
      <c r="GH351">
        <v>1.5603693116103559</v>
      </c>
      <c r="GI351">
        <v>9.8760480617231607</v>
      </c>
      <c r="GJ351"/>
      <c r="GK351"/>
      <c r="GL351"/>
      <c r="GM351"/>
      <c r="GN351" s="208"/>
      <c r="GO351" s="208"/>
      <c r="GP351" s="208"/>
      <c r="GQ351" s="208"/>
      <c r="GR351" s="208"/>
      <c r="GS351" s="208"/>
      <c r="GT351" s="208"/>
      <c r="GU351" s="213">
        <v>346</v>
      </c>
    </row>
    <row r="352" spans="1:203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90.341747119935505</v>
      </c>
      <c r="AO352">
        <v>15.754862094585661</v>
      </c>
      <c r="AP352">
        <v>125.99352948051012</v>
      </c>
      <c r="AQ352">
        <v>129.6714513865476</v>
      </c>
      <c r="AR352">
        <v>14.782664426037414</v>
      </c>
      <c r="AS352">
        <v>174.33044572558873</v>
      </c>
      <c r="AT352" t="e">
        <v>#DIV/0!</v>
      </c>
      <c r="AU352" t="e">
        <v>#DIV/0!</v>
      </c>
      <c r="AV352"/>
      <c r="AW352"/>
      <c r="FY352" s="213">
        <v>347</v>
      </c>
      <c r="FZ352">
        <v>10.594010121939181</v>
      </c>
      <c r="GA352">
        <v>15.434233664335228</v>
      </c>
      <c r="GB352">
        <v>7.7109030574422022</v>
      </c>
      <c r="GC352">
        <v>4.4679279860739163</v>
      </c>
      <c r="GD352">
        <v>2.1956277183689177</v>
      </c>
      <c r="GE352">
        <v>3.2533319941029735</v>
      </c>
      <c r="GF352">
        <v>4.9554786487418934</v>
      </c>
      <c r="GG352">
        <v>5.8019136809632528</v>
      </c>
      <c r="GH352">
        <v>3.1207386232207117</v>
      </c>
      <c r="GI352">
        <v>6.2496687762551852</v>
      </c>
      <c r="GJ352"/>
      <c r="GK352"/>
      <c r="GL352"/>
      <c r="GM352"/>
      <c r="GN352" s="208"/>
      <c r="GO352" s="208"/>
      <c r="GP352" s="208"/>
      <c r="GQ352" s="208"/>
      <c r="GR352" s="208"/>
      <c r="GS352" s="208"/>
      <c r="GT352" s="208"/>
      <c r="GU352" s="213">
        <v>347</v>
      </c>
    </row>
    <row r="353" spans="1:203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103.32360057491903</v>
      </c>
      <c r="AO353">
        <v>15.054283492041332</v>
      </c>
      <c r="AP353">
        <v>90.341466659124521</v>
      </c>
      <c r="AQ353">
        <v>122.05165409814332</v>
      </c>
      <c r="AR353">
        <v>13.848848006274888</v>
      </c>
      <c r="AS353">
        <v>205.35068467285544</v>
      </c>
      <c r="AT353" t="e">
        <v>#DIV/0!</v>
      </c>
      <c r="AU353" t="e">
        <v>#DIV/0!</v>
      </c>
      <c r="AV353"/>
      <c r="AW353"/>
      <c r="FY353" s="213">
        <v>348</v>
      </c>
      <c r="FZ353">
        <v>35.332905622818828</v>
      </c>
      <c r="GA353">
        <v>39.019225833062535</v>
      </c>
      <c r="GB353">
        <v>10.20170055797324</v>
      </c>
      <c r="GC353">
        <v>7.166144451882368</v>
      </c>
      <c r="GD353">
        <v>2.1938946306008686</v>
      </c>
      <c r="GE353">
        <v>2.191200394104635</v>
      </c>
      <c r="GF353">
        <v>3.2463428835856236</v>
      </c>
      <c r="GG353">
        <v>2.5280626793700449</v>
      </c>
      <c r="GH353">
        <v>0.60080431445180338</v>
      </c>
      <c r="GI353">
        <v>9.7495708767683151</v>
      </c>
      <c r="GJ353"/>
      <c r="GK353"/>
      <c r="GL353"/>
      <c r="GM353"/>
      <c r="GN353" s="208"/>
      <c r="GO353" s="208"/>
      <c r="GP353" s="208"/>
      <c r="GQ353" s="208"/>
      <c r="GR353" s="208"/>
      <c r="GS353" s="208"/>
      <c r="GT353" s="208"/>
      <c r="GU353" s="213">
        <v>348</v>
      </c>
    </row>
    <row r="354" spans="1:203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89.982426960247693</v>
      </c>
      <c r="AO354">
        <v>11.764740578618943</v>
      </c>
      <c r="AP354">
        <v>37.002701435935471</v>
      </c>
      <c r="AQ354">
        <v>85.273819169994354</v>
      </c>
      <c r="AR354">
        <v>10.812394660631371</v>
      </c>
      <c r="AS354">
        <v>131.48634045595514</v>
      </c>
      <c r="AT354">
        <v>6.7632109965662943</v>
      </c>
      <c r="AU354">
        <v>7.6686859605001327</v>
      </c>
      <c r="AV354"/>
      <c r="AW354"/>
      <c r="FY354" s="213">
        <v>349</v>
      </c>
      <c r="FZ354">
        <v>10.139973703629012</v>
      </c>
      <c r="GA354">
        <v>10.745903276789466</v>
      </c>
      <c r="GB354">
        <v>8.1557859433887572</v>
      </c>
      <c r="GC354">
        <v>6.5510335964814894</v>
      </c>
      <c r="GD354">
        <v>2.9718445019251938</v>
      </c>
      <c r="GE354">
        <v>3.2036923166930955</v>
      </c>
      <c r="GF354">
        <v>1.5092594190988591</v>
      </c>
      <c r="GG354">
        <v>1.9462110326991624</v>
      </c>
      <c r="GH354">
        <v>1.5603693116103559</v>
      </c>
      <c r="GI354">
        <v>5.7749501679250361</v>
      </c>
      <c r="GJ354"/>
      <c r="GK354"/>
      <c r="GL354"/>
      <c r="GM354"/>
      <c r="GN354" s="208"/>
      <c r="GO354" s="208"/>
      <c r="GP354" s="208"/>
      <c r="GQ354" s="208"/>
      <c r="GR354" s="208"/>
      <c r="GS354" s="208"/>
      <c r="GT354" s="208"/>
      <c r="GU354" s="213">
        <v>349</v>
      </c>
    </row>
    <row r="355" spans="1:203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86.105312627187615</v>
      </c>
      <c r="AO355">
        <v>16.909556565366415</v>
      </c>
      <c r="AP355">
        <v>101.2411783959991</v>
      </c>
      <c r="AQ355">
        <v>141.295230971119</v>
      </c>
      <c r="AR355">
        <v>15.500101548775934</v>
      </c>
      <c r="AS355">
        <v>173.63013091196788</v>
      </c>
      <c r="AT355" t="e">
        <v>#DIV/0!</v>
      </c>
      <c r="AU355" t="e">
        <v>#DIV/0!</v>
      </c>
      <c r="AV355"/>
      <c r="AW355"/>
      <c r="FY355" s="213">
        <v>350</v>
      </c>
      <c r="FZ355">
        <v>17.775742549824002</v>
      </c>
      <c r="GA355">
        <v>20.682257539336909</v>
      </c>
      <c r="GB355">
        <v>4.0745467206040349</v>
      </c>
      <c r="GC355">
        <v>3.657512616072808</v>
      </c>
      <c r="GD355">
        <v>2.3580250570646881</v>
      </c>
      <c r="GE355">
        <v>2.6663842324864269</v>
      </c>
      <c r="GF355">
        <v>4.4723498406984632</v>
      </c>
      <c r="GG355">
        <v>5.9291440841892875</v>
      </c>
      <c r="GH355">
        <v>3.1207386232207117</v>
      </c>
      <c r="GI355">
        <v>6.3172055815274613</v>
      </c>
      <c r="GJ355"/>
      <c r="GK355"/>
      <c r="GL355"/>
      <c r="GM355"/>
      <c r="GN355" s="208"/>
      <c r="GO355" s="208"/>
      <c r="GP355" s="208"/>
      <c r="GQ355" s="208"/>
      <c r="GR355" s="208"/>
      <c r="GS355" s="208"/>
      <c r="GT355" s="208"/>
      <c r="GU355" s="213">
        <v>350</v>
      </c>
    </row>
    <row r="356" spans="1:203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78.965276593617119</v>
      </c>
      <c r="AO356">
        <v>13.348011340906007</v>
      </c>
      <c r="AP356">
        <v>115.33515139516592</v>
      </c>
      <c r="AQ356">
        <v>107.86771511192575</v>
      </c>
      <c r="AR356">
        <v>12.293719748784657</v>
      </c>
      <c r="AS356">
        <v>138.56596886862829</v>
      </c>
      <c r="AT356" t="e">
        <v>#DIV/0!</v>
      </c>
      <c r="AU356" t="e">
        <v>#DIV/0!</v>
      </c>
      <c r="AV356"/>
      <c r="AW356"/>
      <c r="FY356" s="213">
        <v>351</v>
      </c>
      <c r="FZ356">
        <v>9.7809941132559697</v>
      </c>
      <c r="GA356">
        <v>13.513212729840124</v>
      </c>
      <c r="GB356">
        <v>8.2468901953983487</v>
      </c>
      <c r="GC356">
        <v>5.2763184744606875</v>
      </c>
      <c r="GD356">
        <v>1.5793798293361576</v>
      </c>
      <c r="GE356">
        <v>0.97257736410907414</v>
      </c>
      <c r="GF356">
        <v>1.9985482688429754</v>
      </c>
      <c r="GG356">
        <v>2.5550165907141054</v>
      </c>
      <c r="GH356">
        <v>2.1611736260621592</v>
      </c>
      <c r="GI356">
        <v>5.1320911955388393</v>
      </c>
      <c r="GJ356"/>
      <c r="GK356"/>
      <c r="GL356"/>
      <c r="GM356"/>
      <c r="GN356" s="208"/>
      <c r="GO356" s="208"/>
      <c r="GP356" s="208"/>
      <c r="GQ356" s="208"/>
      <c r="GR356" s="208"/>
      <c r="GS356" s="208"/>
      <c r="GT356" s="208"/>
      <c r="GU356" s="213">
        <v>351</v>
      </c>
    </row>
    <row r="357" spans="1:203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81.79535782703887</v>
      </c>
      <c r="AO357">
        <v>13.240732840207864</v>
      </c>
      <c r="AP357">
        <v>113.53507183385675</v>
      </c>
      <c r="AQ357">
        <v>103.42999062930984</v>
      </c>
      <c r="AR357">
        <v>12.247271196237381</v>
      </c>
      <c r="AS357">
        <v>149.84507187449108</v>
      </c>
      <c r="AT357" t="e">
        <v>#DIV/0!</v>
      </c>
      <c r="AU357" t="e">
        <v>#DIV/0!</v>
      </c>
      <c r="AV357"/>
      <c r="AW357"/>
      <c r="FY357" s="213">
        <v>352</v>
      </c>
      <c r="FZ357">
        <v>41.657396414854801</v>
      </c>
      <c r="GA357">
        <v>50.230240517529921</v>
      </c>
      <c r="GB357">
        <v>9.4013892384313369</v>
      </c>
      <c r="GC357">
        <v>6.134150563453697</v>
      </c>
      <c r="GD357">
        <v>2.150497969619876</v>
      </c>
      <c r="GE357">
        <v>1.7131609734306203</v>
      </c>
      <c r="GF357">
        <v>5.3610851126736261</v>
      </c>
      <c r="GG357">
        <v>4.5463489674954722</v>
      </c>
      <c r="GH357">
        <v>1.2016086289036068</v>
      </c>
      <c r="GI357">
        <v>10.99190918848984</v>
      </c>
      <c r="GJ357"/>
      <c r="GK357"/>
      <c r="GL357"/>
      <c r="GM357"/>
      <c r="GN357" s="208"/>
      <c r="GO357" s="208"/>
      <c r="GP357" s="208"/>
      <c r="GQ357" s="208"/>
      <c r="GR357" s="208"/>
      <c r="GS357" s="208"/>
      <c r="GT357" s="208"/>
      <c r="GU357" s="213">
        <v>352</v>
      </c>
    </row>
    <row r="358" spans="1:203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82.06794386779174</v>
      </c>
      <c r="AO358">
        <v>9.6491605257447262</v>
      </c>
      <c r="AP358">
        <v>39.871643499784724</v>
      </c>
      <c r="AQ358">
        <v>61.074339623327141</v>
      </c>
      <c r="AR358">
        <v>8.9681491529049868</v>
      </c>
      <c r="AS358">
        <v>131.59929805634005</v>
      </c>
      <c r="AT358" t="e">
        <v>#DIV/0!</v>
      </c>
      <c r="AU358" t="e">
        <v>#DIV/0!</v>
      </c>
      <c r="AV358"/>
      <c r="AW358"/>
      <c r="FY358" s="213">
        <v>353</v>
      </c>
      <c r="FZ358">
        <v>24.540205458745703</v>
      </c>
      <c r="GA358">
        <v>30.402559533297573</v>
      </c>
      <c r="GB358">
        <v>5.752840134561235</v>
      </c>
      <c r="GC358">
        <v>4.318400657697409</v>
      </c>
      <c r="GD358">
        <v>2.4595027805259821</v>
      </c>
      <c r="GE358">
        <v>2.0328771095864941</v>
      </c>
      <c r="GF358">
        <v>4.5374328046770964</v>
      </c>
      <c r="GG358">
        <v>3.82502466680178</v>
      </c>
      <c r="GH358">
        <v>0</v>
      </c>
      <c r="GI358">
        <v>7.4122069801740933</v>
      </c>
      <c r="GJ358"/>
      <c r="GK358"/>
      <c r="GL358"/>
      <c r="GM358"/>
      <c r="GN358" s="208"/>
      <c r="GO358" s="208"/>
      <c r="GP358" s="208"/>
      <c r="GQ358" s="208"/>
      <c r="GR358" s="208"/>
      <c r="GS358" s="208"/>
      <c r="GT358" s="208"/>
      <c r="GU358" s="213">
        <v>353</v>
      </c>
    </row>
    <row r="359" spans="1:203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85.426205227891316</v>
      </c>
      <c r="AO359">
        <v>12.625924204677563</v>
      </c>
      <c r="AP359">
        <v>153.02610106228269</v>
      </c>
      <c r="AQ359">
        <v>108.91193220912751</v>
      </c>
      <c r="AR359">
        <v>11.628885348417283</v>
      </c>
      <c r="AS359">
        <v>155.08095977085347</v>
      </c>
      <c r="AT359" t="e">
        <v>#DIV/0!</v>
      </c>
      <c r="AU359" t="e">
        <v>#DIV/0!</v>
      </c>
      <c r="AV359"/>
      <c r="AW359"/>
      <c r="FY359" s="213">
        <v>354</v>
      </c>
      <c r="FZ359">
        <v>37.177355709580588</v>
      </c>
      <c r="GA359">
        <v>46.278242223544481</v>
      </c>
      <c r="GB359">
        <v>7.7663171638752102</v>
      </c>
      <c r="GC359">
        <v>4.8587316077042084</v>
      </c>
      <c r="GD359">
        <v>1.8773920274760481</v>
      </c>
      <c r="GE359">
        <v>1.5941001002759867</v>
      </c>
      <c r="GF359">
        <v>4.5531239996255861</v>
      </c>
      <c r="GG359">
        <v>3.7726324671526994</v>
      </c>
      <c r="GH359">
        <v>0</v>
      </c>
      <c r="GI359">
        <v>9.3303396508553913</v>
      </c>
      <c r="GJ359"/>
      <c r="GK359"/>
      <c r="GL359"/>
      <c r="GM359"/>
      <c r="GN359" s="208"/>
      <c r="GO359" s="208"/>
      <c r="GP359" s="208"/>
      <c r="GQ359" s="208"/>
      <c r="GR359" s="208"/>
      <c r="GS359" s="208"/>
      <c r="GT359" s="208"/>
      <c r="GU359" s="213">
        <v>354</v>
      </c>
    </row>
    <row r="360" spans="1:203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93.208280002245516</v>
      </c>
      <c r="AO360">
        <v>16.109439539927294</v>
      </c>
      <c r="AP360">
        <v>111.76331103161839</v>
      </c>
      <c r="AQ360">
        <v>136.12428010137288</v>
      </c>
      <c r="AR360">
        <v>14.899186009455693</v>
      </c>
      <c r="AS360">
        <v>177.1395796679401</v>
      </c>
      <c r="AT360">
        <v>10.132840310117823</v>
      </c>
      <c r="AU360">
        <v>23.275041436275668</v>
      </c>
      <c r="AV360"/>
      <c r="AW360"/>
      <c r="FY360" s="213">
        <v>355</v>
      </c>
      <c r="FZ360">
        <v>34.085873800564372</v>
      </c>
      <c r="GA360">
        <v>44.890037027900163</v>
      </c>
      <c r="GB360">
        <v>5.8163500136857023</v>
      </c>
      <c r="GC360">
        <v>3.1059518920236342</v>
      </c>
      <c r="GD360">
        <v>2.1525407418808853</v>
      </c>
      <c r="GE360">
        <v>2.3021283214797688</v>
      </c>
      <c r="GF360">
        <v>1.8839365588823522</v>
      </c>
      <c r="GG360">
        <v>2.1653000940697309</v>
      </c>
      <c r="GH360">
        <v>1.5603693116103559</v>
      </c>
      <c r="GI360">
        <v>8.3610238442885532</v>
      </c>
      <c r="GJ360"/>
      <c r="GK360"/>
      <c r="GL360"/>
      <c r="GM360"/>
      <c r="GN360" s="208"/>
      <c r="GO360" s="208"/>
      <c r="GP360" s="208"/>
      <c r="GQ360" s="208"/>
      <c r="GR360" s="208"/>
      <c r="GS360" s="208"/>
      <c r="GT360" s="208"/>
      <c r="GU360" s="213">
        <v>355</v>
      </c>
    </row>
    <row r="361" spans="1:203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104.80691693786268</v>
      </c>
      <c r="AO361">
        <v>17.060772945196184</v>
      </c>
      <c r="AP361">
        <v>100.36664283736783</v>
      </c>
      <c r="AQ361">
        <v>143.26848866618334</v>
      </c>
      <c r="AR361">
        <v>15.677698008316758</v>
      </c>
      <c r="AS361">
        <v>192.80773621520581</v>
      </c>
      <c r="AT361" t="e">
        <v>#DIV/0!</v>
      </c>
      <c r="AU361" t="e">
        <v>#DIV/0!</v>
      </c>
      <c r="AV361"/>
      <c r="AW361"/>
      <c r="FY361" s="213">
        <v>356</v>
      </c>
      <c r="FZ361">
        <v>34.985491857403382</v>
      </c>
      <c r="GA361">
        <v>49.893818299297052</v>
      </c>
      <c r="GB361">
        <v>10.188333573553136</v>
      </c>
      <c r="GC361">
        <v>4.4223383351769838</v>
      </c>
      <c r="GD361">
        <v>2.1915456826555713</v>
      </c>
      <c r="GE361">
        <v>2.5752155273907542</v>
      </c>
      <c r="GF361">
        <v>4.5089959597117613</v>
      </c>
      <c r="GG361">
        <v>6.0978333687385007</v>
      </c>
      <c r="GH361">
        <v>3.1207386232207117</v>
      </c>
      <c r="GI361">
        <v>10.369958199706351</v>
      </c>
      <c r="GJ361"/>
      <c r="GK361"/>
      <c r="GL361"/>
      <c r="GM361"/>
      <c r="GN361" s="208"/>
      <c r="GO361" s="208"/>
      <c r="GP361" s="208"/>
      <c r="GQ361" s="208"/>
      <c r="GR361" s="208"/>
      <c r="GS361" s="208"/>
      <c r="GT361" s="208"/>
      <c r="GU361" s="213">
        <v>356</v>
      </c>
    </row>
    <row r="362" spans="1:203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97.521199259618399</v>
      </c>
      <c r="AO362">
        <v>14.820417956627267</v>
      </c>
      <c r="AP362">
        <v>77.605713082889579</v>
      </c>
      <c r="AQ362">
        <v>114.95197975922233</v>
      </c>
      <c r="AR362">
        <v>13.711082007148063</v>
      </c>
      <c r="AS362">
        <v>184.18712521493356</v>
      </c>
      <c r="AT362" t="e">
        <v>#DIV/0!</v>
      </c>
      <c r="AU362" t="e">
        <v>#DIV/0!</v>
      </c>
      <c r="AV362"/>
      <c r="AW362"/>
      <c r="FY362" s="213">
        <v>357</v>
      </c>
      <c r="FZ362">
        <v>28.525189430998104</v>
      </c>
      <c r="GA362">
        <v>42.195341624392562</v>
      </c>
      <c r="GB362">
        <v>11.861909189449769</v>
      </c>
      <c r="GC362">
        <v>5.3185026796934203</v>
      </c>
      <c r="GD362">
        <v>2.2221094901157579</v>
      </c>
      <c r="GE362">
        <v>2.893148309875845</v>
      </c>
      <c r="GF362">
        <v>4.272030247805426</v>
      </c>
      <c r="GG362">
        <v>5.5828246195926834</v>
      </c>
      <c r="GH362">
        <v>3.7215429376725151</v>
      </c>
      <c r="GI362">
        <v>9.9431197679505647</v>
      </c>
      <c r="GJ362"/>
      <c r="GK362"/>
      <c r="GL362"/>
      <c r="GM362"/>
      <c r="GN362" s="208"/>
      <c r="GO362" s="208"/>
      <c r="GP362" s="208"/>
      <c r="GQ362" s="208"/>
      <c r="GR362" s="208"/>
      <c r="GS362" s="208"/>
      <c r="GT362" s="208"/>
      <c r="GU362" s="213">
        <v>357</v>
      </c>
    </row>
    <row r="363" spans="1:203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75.425473326303688</v>
      </c>
      <c r="AO363">
        <v>9.4450066897661689</v>
      </c>
      <c r="AP363">
        <v>26.620145360005772</v>
      </c>
      <c r="AQ363">
        <v>63.78383427144346</v>
      </c>
      <c r="AR363">
        <v>8.6392089352094263</v>
      </c>
      <c r="AS363">
        <v>111.00035422173164</v>
      </c>
      <c r="AT363" t="e">
        <v>#DIV/0!</v>
      </c>
      <c r="AU363" t="e">
        <v>#DIV/0!</v>
      </c>
      <c r="AV363"/>
      <c r="AW363"/>
      <c r="FY363" s="213">
        <v>358</v>
      </c>
      <c r="FZ363">
        <v>30.002522361479873</v>
      </c>
      <c r="GA363">
        <v>38.150993650205308</v>
      </c>
      <c r="GB363">
        <v>5.2695517681889363</v>
      </c>
      <c r="GC363">
        <v>2.8600998759486131</v>
      </c>
      <c r="GD363">
        <v>1.788785017566046</v>
      </c>
      <c r="GE363">
        <v>2.4395746449109841</v>
      </c>
      <c r="GF363">
        <v>3.1560473903238124</v>
      </c>
      <c r="GG363">
        <v>3.5562858738687395</v>
      </c>
      <c r="GH363">
        <v>2.1611736260621592</v>
      </c>
      <c r="GI363">
        <v>7.7369101137928116</v>
      </c>
      <c r="GJ363"/>
      <c r="GK363"/>
      <c r="GL363"/>
      <c r="GM363"/>
      <c r="GN363" s="208"/>
      <c r="GO363" s="208"/>
      <c r="GP363" s="208"/>
      <c r="GQ363" s="208"/>
      <c r="GR363" s="208"/>
      <c r="GS363" s="208"/>
      <c r="GT363" s="208"/>
      <c r="GU363" s="213">
        <v>358</v>
      </c>
    </row>
    <row r="364" spans="1:203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94.435164324350438</v>
      </c>
      <c r="AO364">
        <v>14.534807602204324</v>
      </c>
      <c r="AP364">
        <v>279.6873248650428</v>
      </c>
      <c r="AQ364">
        <v>112.22985224461827</v>
      </c>
      <c r="AR364">
        <v>13.469563437904281</v>
      </c>
      <c r="AS364">
        <v>160.32165590796188</v>
      </c>
      <c r="AT364" t="e">
        <v>#DIV/0!</v>
      </c>
      <c r="AU364" t="e">
        <v>#DIV/0!</v>
      </c>
      <c r="AV364"/>
      <c r="AW364"/>
      <c r="FY364" s="213">
        <v>359</v>
      </c>
      <c r="FZ364">
        <v>34.393397918001071</v>
      </c>
      <c r="GA364">
        <v>42.519438509758736</v>
      </c>
      <c r="GB364">
        <v>12.412549521883621</v>
      </c>
      <c r="GC364">
        <v>7.741647064009884</v>
      </c>
      <c r="GD364">
        <v>2.1442213619675181</v>
      </c>
      <c r="GE364">
        <v>1.558154553161605</v>
      </c>
      <c r="GF364">
        <v>6.7980957356902199</v>
      </c>
      <c r="GG364">
        <v>6.9878312343260349</v>
      </c>
      <c r="GH364">
        <v>2.1611736260621592</v>
      </c>
      <c r="GI364">
        <v>11.012144883199378</v>
      </c>
      <c r="GJ364"/>
      <c r="GK364"/>
      <c r="GL364"/>
      <c r="GM364"/>
      <c r="GN364" s="208"/>
      <c r="GO364" s="208"/>
      <c r="GP364" s="208"/>
      <c r="GQ364" s="208"/>
      <c r="GR364" s="208"/>
      <c r="GS364" s="208"/>
      <c r="GT364" s="208"/>
      <c r="GU364" s="213">
        <v>359</v>
      </c>
    </row>
    <row r="365" spans="1:203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86.599184304210922</v>
      </c>
      <c r="AO365">
        <v>8.5894981551833851</v>
      </c>
      <c r="AP365">
        <v>181.15254788855191</v>
      </c>
      <c r="AQ365">
        <v>52.559023270240424</v>
      </c>
      <c r="AR365">
        <v>7.9009545944983666</v>
      </c>
      <c r="AS365">
        <v>122.92875429695873</v>
      </c>
      <c r="AT365" t="e">
        <v>#DIV/0!</v>
      </c>
      <c r="AU365" t="e">
        <v>#DIV/0!</v>
      </c>
      <c r="AV365"/>
      <c r="AW365"/>
      <c r="FY365" s="213">
        <v>360</v>
      </c>
      <c r="FZ365">
        <v>15.686456933616101</v>
      </c>
      <c r="GA365">
        <v>20.143190809059423</v>
      </c>
      <c r="GB365">
        <v>8.6888015882916427</v>
      </c>
      <c r="GC365">
        <v>5.5631963714283916</v>
      </c>
      <c r="GD365">
        <v>2.5037071048341111</v>
      </c>
      <c r="GE365">
        <v>3.1657597082411435</v>
      </c>
      <c r="GF365">
        <v>3.6622300174845632</v>
      </c>
      <c r="GG365">
        <v>2.44671938514047</v>
      </c>
      <c r="GH365">
        <v>0.60080431445180338</v>
      </c>
      <c r="GI365">
        <v>6.6966069561468275</v>
      </c>
      <c r="GJ365"/>
      <c r="GK365"/>
      <c r="GL365"/>
      <c r="GM365"/>
      <c r="GN365" s="208"/>
      <c r="GO365" s="208"/>
      <c r="GP365" s="208"/>
      <c r="GQ365" s="208"/>
      <c r="GR365" s="208"/>
      <c r="GS365" s="208"/>
      <c r="GT365" s="208"/>
      <c r="GU365" s="213">
        <v>360</v>
      </c>
    </row>
    <row r="366" spans="1:203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71.305131597658203</v>
      </c>
      <c r="AO366">
        <v>9.4721100293082312</v>
      </c>
      <c r="AP366">
        <v>51.488787876918025</v>
      </c>
      <c r="AQ366">
        <v>71.053906845024798</v>
      </c>
      <c r="AR366">
        <v>8.6574169418741107</v>
      </c>
      <c r="AS366">
        <v>117.21804864818445</v>
      </c>
      <c r="AT366" t="e">
        <v>#DIV/0!</v>
      </c>
      <c r="AU366" t="e">
        <v>#DIV/0!</v>
      </c>
      <c r="AV366"/>
      <c r="AW366"/>
      <c r="FY366" s="213">
        <v>361</v>
      </c>
      <c r="FZ366">
        <v>50.28294371152861</v>
      </c>
      <c r="GA366">
        <v>61.45157554213872</v>
      </c>
      <c r="GB366">
        <v>4.7305893821044478</v>
      </c>
      <c r="GC366">
        <v>3.4934168877095209</v>
      </c>
      <c r="GD366">
        <v>2.329921760720191</v>
      </c>
      <c r="GE366">
        <v>2.1682041077873309</v>
      </c>
      <c r="GF366">
        <v>3.0533859148614155</v>
      </c>
      <c r="GG366">
        <v>3.6853021964884323</v>
      </c>
      <c r="GH366">
        <v>2.1611736260621592</v>
      </c>
      <c r="GI366">
        <v>10.90785293815838</v>
      </c>
      <c r="GJ366"/>
      <c r="GK366"/>
      <c r="GL366"/>
      <c r="GM366"/>
      <c r="GN366" s="208"/>
      <c r="GO366" s="208"/>
      <c r="GP366" s="208"/>
      <c r="GQ366" s="208"/>
      <c r="GR366" s="208"/>
      <c r="GS366" s="208"/>
      <c r="GT366" s="208"/>
      <c r="GU366" s="213">
        <v>361</v>
      </c>
    </row>
    <row r="367" spans="1:203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75.577096139811673</v>
      </c>
      <c r="AO367">
        <v>7.6140536233814826</v>
      </c>
      <c r="AP367">
        <v>31.223389506330101</v>
      </c>
      <c r="AQ367">
        <v>51.216202387558432</v>
      </c>
      <c r="AR367">
        <v>7.0832408110677019</v>
      </c>
      <c r="AS367">
        <v>92.152667172086481</v>
      </c>
      <c r="AT367">
        <v>4.4617792922868542</v>
      </c>
      <c r="AU367">
        <v>12.626941108561724</v>
      </c>
      <c r="AV367"/>
      <c r="AW367"/>
      <c r="FY367" s="213">
        <v>362</v>
      </c>
      <c r="FZ367">
        <v>20.328416659111344</v>
      </c>
      <c r="GA367">
        <v>20.932019302225978</v>
      </c>
      <c r="GB367">
        <v>7.824149700837725</v>
      </c>
      <c r="GC367">
        <v>5.817952137655559</v>
      </c>
      <c r="GD367">
        <v>2.2185159145374849</v>
      </c>
      <c r="GE367">
        <v>2.1930981781029883</v>
      </c>
      <c r="GF367">
        <v>7.2652270789013826</v>
      </c>
      <c r="GG367">
        <v>8.4492271771628165</v>
      </c>
      <c r="GH367">
        <v>3.1207386232207117</v>
      </c>
      <c r="GI367">
        <v>8.0657991019494784</v>
      </c>
      <c r="GJ367"/>
      <c r="GK367"/>
      <c r="GL367"/>
      <c r="GM367"/>
      <c r="GN367" s="208"/>
      <c r="GO367" s="208"/>
      <c r="GP367" s="208"/>
      <c r="GQ367" s="208"/>
      <c r="GR367" s="208"/>
      <c r="GS367" s="208"/>
      <c r="GT367" s="208"/>
      <c r="GU367" s="213">
        <v>362</v>
      </c>
    </row>
    <row r="368" spans="1:203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79.307122594838106</v>
      </c>
      <c r="AO368">
        <v>16.515596009035225</v>
      </c>
      <c r="AP368">
        <v>146.31942269403186</v>
      </c>
      <c r="AQ368">
        <v>133.38778757488279</v>
      </c>
      <c r="AR368">
        <v>15.270728207721291</v>
      </c>
      <c r="AS368">
        <v>182.92128603388815</v>
      </c>
      <c r="AT368" t="e">
        <v>#DIV/0!</v>
      </c>
      <c r="AU368" t="e">
        <v>#DIV/0!</v>
      </c>
      <c r="AV368"/>
      <c r="AW368"/>
      <c r="FY368" s="213">
        <v>363</v>
      </c>
      <c r="FZ368">
        <v>51.081493440307788</v>
      </c>
      <c r="GA368">
        <v>60.955021519759754</v>
      </c>
      <c r="GB368">
        <v>5.7584125240438988</v>
      </c>
      <c r="GC368">
        <v>3.6514876522013071</v>
      </c>
      <c r="GD368">
        <v>2.2224207879017839</v>
      </c>
      <c r="GE368">
        <v>2.5958585469932127</v>
      </c>
      <c r="GF368">
        <v>3.5394963477225909</v>
      </c>
      <c r="GG368">
        <v>4.0448250338493708</v>
      </c>
      <c r="GH368">
        <v>2.1611736260621592</v>
      </c>
      <c r="GI368">
        <v>11.285018211012449</v>
      </c>
      <c r="GJ368"/>
      <c r="GK368"/>
      <c r="GL368"/>
      <c r="GM368"/>
      <c r="GN368" s="208"/>
      <c r="GO368" s="208"/>
      <c r="GP368" s="208"/>
      <c r="GQ368" s="208"/>
      <c r="GR368" s="208"/>
      <c r="GS368" s="208"/>
      <c r="GT368" s="208"/>
      <c r="GU368" s="213">
        <v>363</v>
      </c>
    </row>
    <row r="369" spans="1:203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64.142917070674415</v>
      </c>
      <c r="AO369">
        <v>11.198164051400791</v>
      </c>
      <c r="AP369">
        <v>89.135307229468623</v>
      </c>
      <c r="AQ369">
        <v>85.281050126067356</v>
      </c>
      <c r="AR369">
        <v>10.294865453972164</v>
      </c>
      <c r="AS369">
        <v>131.42110162532279</v>
      </c>
      <c r="AT369" t="e">
        <v>#DIV/0!</v>
      </c>
      <c r="AU369" t="e">
        <v>#DIV/0!</v>
      </c>
      <c r="AV369"/>
      <c r="AW369"/>
      <c r="FY369" s="213">
        <v>364</v>
      </c>
      <c r="FZ369">
        <v>41.743174237141723</v>
      </c>
      <c r="GA369">
        <v>57.667319713616465</v>
      </c>
      <c r="GB369">
        <v>12.447462087613433</v>
      </c>
      <c r="GC369">
        <v>6.6961132870024924</v>
      </c>
      <c r="GD369">
        <v>2.9022151752068956</v>
      </c>
      <c r="GE369">
        <v>2.5880862991244724</v>
      </c>
      <c r="GF369">
        <v>4.4034623372502022</v>
      </c>
      <c r="GG369">
        <v>3.4402748049785967</v>
      </c>
      <c r="GH369">
        <v>0</v>
      </c>
      <c r="GI369">
        <v>11.863684761674406</v>
      </c>
      <c r="GJ369"/>
      <c r="GK369"/>
      <c r="GL369"/>
      <c r="GM369"/>
      <c r="GN369" s="208"/>
      <c r="GO369" s="208"/>
      <c r="GP369" s="208"/>
      <c r="GQ369" s="208"/>
      <c r="GR369" s="208"/>
      <c r="GS369" s="208"/>
      <c r="GT369" s="208"/>
      <c r="GU369" s="213">
        <v>364</v>
      </c>
    </row>
    <row r="370" spans="1:203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103.51271608223306</v>
      </c>
      <c r="AO370">
        <v>14.077756785467447</v>
      </c>
      <c r="AP370">
        <v>77.158923432081494</v>
      </c>
      <c r="AQ370">
        <v>117.2082349500902</v>
      </c>
      <c r="AR370">
        <v>12.875108791660207</v>
      </c>
      <c r="AS370">
        <v>178.77012951812199</v>
      </c>
      <c r="AT370" t="e">
        <v>#DIV/0!</v>
      </c>
      <c r="AU370" t="e">
        <v>#DIV/0!</v>
      </c>
      <c r="AV370"/>
      <c r="AW370"/>
      <c r="FY370" s="213">
        <v>365</v>
      </c>
      <c r="FZ370">
        <v>40.376569431779039</v>
      </c>
      <c r="GA370">
        <v>49.801820845764873</v>
      </c>
      <c r="GB370">
        <v>5.8793960892483872</v>
      </c>
      <c r="GC370">
        <v>4.4541303609317682</v>
      </c>
      <c r="GD370">
        <v>2.8316805928737878</v>
      </c>
      <c r="GE370">
        <v>2.569741289667665</v>
      </c>
      <c r="GF370">
        <v>2.8039808228220133</v>
      </c>
      <c r="GG370">
        <v>3.6134382049049432</v>
      </c>
      <c r="GH370">
        <v>1.5603693116103559</v>
      </c>
      <c r="GI370">
        <v>9.8484333957395158</v>
      </c>
      <c r="GJ370"/>
      <c r="GK370"/>
      <c r="GL370"/>
      <c r="GM370"/>
      <c r="GN370" s="208"/>
      <c r="GO370" s="208"/>
      <c r="GP370" s="208"/>
      <c r="GQ370" s="208"/>
      <c r="GR370" s="208"/>
      <c r="GS370" s="208"/>
      <c r="GT370" s="208"/>
      <c r="GU370" s="213">
        <v>365</v>
      </c>
    </row>
    <row r="371" spans="1:203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84.122119723957951</v>
      </c>
      <c r="AO371">
        <v>12.610599198130803</v>
      </c>
      <c r="AP371">
        <v>80.453915984849857</v>
      </c>
      <c r="AQ371">
        <v>106.32351160638554</v>
      </c>
      <c r="AR371">
        <v>11.594366680318625</v>
      </c>
      <c r="AS371">
        <v>147.80820598092961</v>
      </c>
      <c r="AT371" t="e">
        <v>#DIV/0!</v>
      </c>
      <c r="AU371" t="e">
        <v>#DIV/0!</v>
      </c>
      <c r="AV371"/>
      <c r="AW371"/>
      <c r="FY371" s="213">
        <v>366</v>
      </c>
      <c r="FZ371">
        <v>24.21108125090305</v>
      </c>
      <c r="GA371">
        <v>31.370950572236513</v>
      </c>
      <c r="GB371">
        <v>9.0330103963339283</v>
      </c>
      <c r="GC371">
        <v>5.2840507928950418</v>
      </c>
      <c r="GD371">
        <v>1.8178027245014641</v>
      </c>
      <c r="GE371">
        <v>2.0765457244121235</v>
      </c>
      <c r="GF371">
        <v>3.355617466497447</v>
      </c>
      <c r="GG371">
        <v>3.8839038847197989</v>
      </c>
      <c r="GH371">
        <v>2.1611736260621592</v>
      </c>
      <c r="GI371">
        <v>7.9515500362282872</v>
      </c>
      <c r="GJ371"/>
      <c r="GK371"/>
      <c r="GL371"/>
      <c r="GM371"/>
      <c r="GN371" s="208"/>
      <c r="GO371" s="208"/>
      <c r="GP371" s="208"/>
      <c r="GQ371" s="208"/>
      <c r="GR371" s="208"/>
      <c r="GS371" s="208"/>
      <c r="GT371" s="208"/>
      <c r="GU371" s="213">
        <v>366</v>
      </c>
    </row>
    <row r="372" spans="1:203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1.1192378560128725E-3</v>
      </c>
      <c r="H372" s="59">
        <f t="shared" ref="H372:AK372" si="361">+H36</f>
        <v>7.2275999999999998E-3</v>
      </c>
      <c r="I372" s="59">
        <f t="shared" si="361"/>
        <v>4.6673011888725101E-2</v>
      </c>
      <c r="J372" s="59">
        <f t="shared" si="361"/>
        <v>0.13897203136197886</v>
      </c>
      <c r="K372" s="59">
        <f t="shared" si="361"/>
        <v>0.30139604277562043</v>
      </c>
      <c r="L372" s="59">
        <f t="shared" si="361"/>
        <v>0.54944267880487196</v>
      </c>
      <c r="M372" s="59">
        <f t="shared" si="361"/>
        <v>0.89742698433199364</v>
      </c>
      <c r="N372" s="59">
        <f t="shared" si="361"/>
        <v>1.3587918549382612</v>
      </c>
      <c r="O372" s="59">
        <f t="shared" si="361"/>
        <v>1.9462976766397186</v>
      </c>
      <c r="P372" s="59">
        <f t="shared" si="361"/>
        <v>2.6721491921073159</v>
      </c>
      <c r="Q372" s="59">
        <f t="shared" si="361"/>
        <v>3.5480857656805531</v>
      </c>
      <c r="R372" s="59">
        <f t="shared" si="361"/>
        <v>4.5854485507812486</v>
      </c>
      <c r="S372" s="59">
        <f t="shared" si="361"/>
        <v>5.7952322083388497</v>
      </c>
      <c r="T372" s="59">
        <f t="shared" si="361"/>
        <v>7.1881258189983859</v>
      </c>
      <c r="U372" s="59">
        <f t="shared" si="361"/>
        <v>8.7745459626758926</v>
      </c>
      <c r="V372" s="59">
        <f t="shared" si="361"/>
        <v>10.564663953522661</v>
      </c>
      <c r="W372" s="59">
        <f t="shared" si="361"/>
        <v>12.568428607117669</v>
      </c>
      <c r="X372" s="59">
        <f t="shared" si="361"/>
        <v>14.795585521883805</v>
      </c>
      <c r="Y372" s="59">
        <f t="shared" si="361"/>
        <v>17.255693592848509</v>
      </c>
      <c r="Z372" s="59">
        <f t="shared" si="361"/>
        <v>19.958139294316886</v>
      </c>
      <c r="AA372" s="59">
        <f t="shared" si="361"/>
        <v>22.912149139939221</v>
      </c>
      <c r="AB372" s="59">
        <f t="shared" si="361"/>
        <v>26.126800636294448</v>
      </c>
      <c r="AC372" s="59">
        <f t="shared" si="361"/>
        <v>29.611031978215532</v>
      </c>
      <c r="AD372" s="59">
        <f t="shared" si="361"/>
        <v>33.373650683313194</v>
      </c>
      <c r="AE372" s="59">
        <f t="shared" si="361"/>
        <v>37.423341324605943</v>
      </c>
      <c r="AF372" s="59">
        <f t="shared" si="361"/>
        <v>41.768672490491134</v>
      </c>
      <c r="AG372" s="59">
        <f t="shared" si="361"/>
        <v>46.418103078167533</v>
      </c>
      <c r="AH372" s="59">
        <f t="shared" si="361"/>
        <v>51.37998800838789</v>
      </c>
      <c r="AI372" s="59">
        <f t="shared" si="361"/>
        <v>56.662583434907432</v>
      </c>
      <c r="AJ372" s="59">
        <f t="shared" si="361"/>
        <v>62.274051510321357</v>
      </c>
      <c r="AK372" s="59">
        <f t="shared" si="361"/>
        <v>68.222464760522016</v>
      </c>
      <c r="AL372" s="78"/>
      <c r="AM372" s="43">
        <v>356</v>
      </c>
      <c r="AN372">
        <v>76.143010815437279</v>
      </c>
      <c r="AO372">
        <v>15.889685173181908</v>
      </c>
      <c r="AP372">
        <v>66.460416941470825</v>
      </c>
      <c r="AQ372">
        <v>128.35426942685422</v>
      </c>
      <c r="AR372">
        <v>14.475908592533996</v>
      </c>
      <c r="AS372">
        <v>156.64928870092032</v>
      </c>
      <c r="AT372" t="e">
        <v>#DIV/0!</v>
      </c>
      <c r="AU372" t="e">
        <v>#DIV/0!</v>
      </c>
      <c r="AV372"/>
      <c r="AW372"/>
      <c r="FY372" s="213">
        <v>367</v>
      </c>
      <c r="FZ372">
        <v>27.508156582126308</v>
      </c>
      <c r="GA372">
        <v>35.586874031496485</v>
      </c>
      <c r="GB372">
        <v>7.4088416062798492</v>
      </c>
      <c r="GC372">
        <v>3.8576102289303638</v>
      </c>
      <c r="GD372">
        <v>2.2635342819307951</v>
      </c>
      <c r="GE372">
        <v>2.3945380451990399</v>
      </c>
      <c r="GF372">
        <v>4.9867876407063934</v>
      </c>
      <c r="GG372">
        <v>4.204019296097127</v>
      </c>
      <c r="GH372">
        <v>0.60080431445180338</v>
      </c>
      <c r="GI372">
        <v>8.2777884687366576</v>
      </c>
      <c r="GJ372"/>
      <c r="GK372"/>
      <c r="GL372"/>
      <c r="GM372"/>
      <c r="GN372" s="208"/>
      <c r="GO372" s="208"/>
      <c r="GP372" s="208"/>
      <c r="GQ372" s="208"/>
      <c r="GR372" s="208"/>
      <c r="GS372" s="208"/>
      <c r="GT372" s="208"/>
      <c r="GU372" s="213">
        <v>367</v>
      </c>
    </row>
    <row r="373" spans="1:203" s="7" customFormat="1">
      <c r="A373" s="95"/>
      <c r="B373" s="71">
        <f t="shared" ref="B373:B378" si="362">+C4</f>
        <v>39646</v>
      </c>
      <c r="C373" s="18">
        <f t="shared" ref="C373:C382" si="363">+D70</f>
        <v>54.166666666666679</v>
      </c>
      <c r="D373" s="18">
        <f t="shared" ref="D373:D382" si="364">SUM(G373:AK373)</f>
        <v>3.4895695968190035</v>
      </c>
      <c r="E373" s="19">
        <f t="shared" ref="E373:E382" si="365">IF(C373&lt;1, 0.000001, D373/C373)</f>
        <v>6.4422823325889278E-2</v>
      </c>
      <c r="F373" s="19"/>
      <c r="G373" s="18">
        <f>AVERAGE(E228:E237)*G$372</f>
        <v>0</v>
      </c>
      <c r="H373" s="18">
        <f t="shared" ref="H373:AK373" si="366">AVERAGE(F228:F237)*H$372</f>
        <v>0</v>
      </c>
      <c r="I373" s="18">
        <f t="shared" si="366"/>
        <v>2.0419442701317236</v>
      </c>
      <c r="J373" s="18">
        <f t="shared" si="366"/>
        <v>1.4476253266872796</v>
      </c>
      <c r="K373" s="18">
        <f t="shared" si="366"/>
        <v>0</v>
      </c>
      <c r="L373" s="18">
        <f t="shared" si="366"/>
        <v>0</v>
      </c>
      <c r="M373" s="18">
        <f t="shared" si="366"/>
        <v>0</v>
      </c>
      <c r="N373" s="18">
        <f t="shared" si="366"/>
        <v>0</v>
      </c>
      <c r="O373" s="18">
        <f t="shared" si="366"/>
        <v>0</v>
      </c>
      <c r="P373" s="18">
        <f t="shared" si="366"/>
        <v>0</v>
      </c>
      <c r="Q373" s="18">
        <f t="shared" si="366"/>
        <v>0</v>
      </c>
      <c r="R373" s="18">
        <f t="shared" si="366"/>
        <v>0</v>
      </c>
      <c r="S373" s="18">
        <f t="shared" si="366"/>
        <v>0</v>
      </c>
      <c r="T373" s="18">
        <f t="shared" si="366"/>
        <v>0</v>
      </c>
      <c r="U373" s="18">
        <f t="shared" si="366"/>
        <v>0</v>
      </c>
      <c r="V373" s="18">
        <f t="shared" si="366"/>
        <v>0</v>
      </c>
      <c r="W373" s="18">
        <f t="shared" si="366"/>
        <v>0</v>
      </c>
      <c r="X373" s="18">
        <f t="shared" si="366"/>
        <v>0</v>
      </c>
      <c r="Y373" s="18">
        <f t="shared" si="366"/>
        <v>0</v>
      </c>
      <c r="Z373" s="18">
        <f t="shared" si="366"/>
        <v>0</v>
      </c>
      <c r="AA373" s="18">
        <f t="shared" si="366"/>
        <v>0</v>
      </c>
      <c r="AB373" s="18">
        <f t="shared" si="366"/>
        <v>0</v>
      </c>
      <c r="AC373" s="18">
        <f t="shared" si="366"/>
        <v>0</v>
      </c>
      <c r="AD373" s="18">
        <f t="shared" si="366"/>
        <v>0</v>
      </c>
      <c r="AE373" s="18">
        <f t="shared" si="366"/>
        <v>0</v>
      </c>
      <c r="AF373" s="18">
        <f t="shared" si="366"/>
        <v>0</v>
      </c>
      <c r="AG373" s="18">
        <f t="shared" si="366"/>
        <v>0</v>
      </c>
      <c r="AH373" s="18">
        <f t="shared" si="366"/>
        <v>0</v>
      </c>
      <c r="AI373" s="18">
        <f t="shared" si="366"/>
        <v>0</v>
      </c>
      <c r="AJ373" s="18">
        <f t="shared" si="366"/>
        <v>0</v>
      </c>
      <c r="AK373" s="18">
        <f t="shared" si="366"/>
        <v>0</v>
      </c>
      <c r="AL373" s="78"/>
      <c r="AM373" s="43">
        <v>357</v>
      </c>
      <c r="AN373">
        <v>84.251818408987518</v>
      </c>
      <c r="AO373">
        <v>15.093907674463614</v>
      </c>
      <c r="AP373">
        <v>84.159461552435758</v>
      </c>
      <c r="AQ373">
        <v>116.53571829754664</v>
      </c>
      <c r="AR373">
        <v>13.832379661254475</v>
      </c>
      <c r="AS373">
        <v>164.77241876781201</v>
      </c>
      <c r="AT373">
        <v>8.9801464396972346</v>
      </c>
      <c r="AU373">
        <v>10.418678752095396</v>
      </c>
      <c r="AV373"/>
      <c r="AW373"/>
      <c r="FY373" s="213">
        <v>368</v>
      </c>
      <c r="FZ373">
        <v>45.215625305639662</v>
      </c>
      <c r="GA373">
        <v>52.708586968330323</v>
      </c>
      <c r="GB373">
        <v>9.1293679107448593</v>
      </c>
      <c r="GC373">
        <v>5.8828749819478068</v>
      </c>
      <c r="GD373">
        <v>2.5424144724082627</v>
      </c>
      <c r="GE373">
        <v>2.6249667389263074</v>
      </c>
      <c r="GF373">
        <v>3.1717385852723026</v>
      </c>
      <c r="GG373">
        <v>3.6134382049049432</v>
      </c>
      <c r="GH373">
        <v>2.1611736260621592</v>
      </c>
      <c r="GI373">
        <v>11.390315155117293</v>
      </c>
      <c r="GJ373"/>
      <c r="GK373"/>
      <c r="GL373"/>
      <c r="GM373"/>
      <c r="GN373" s="208"/>
      <c r="GO373" s="208"/>
      <c r="GP373" s="208"/>
      <c r="GQ373" s="208"/>
      <c r="GR373" s="208"/>
      <c r="GS373" s="208"/>
      <c r="GT373" s="208"/>
      <c r="GU373" s="213">
        <v>368</v>
      </c>
    </row>
    <row r="374" spans="1:203" s="7" customFormat="1">
      <c r="A374" s="95"/>
      <c r="B374" s="71">
        <f t="shared" si="362"/>
        <v>39673</v>
      </c>
      <c r="C374" s="18">
        <f t="shared" si="363"/>
        <v>63.112745098039213</v>
      </c>
      <c r="D374" s="18">
        <f t="shared" si="364"/>
        <v>18.599169187821659</v>
      </c>
      <c r="E374" s="19">
        <f t="shared" si="365"/>
        <v>0.29469751567499952</v>
      </c>
      <c r="F374" s="19">
        <f>IF(F388&lt;0,0,F388)</f>
        <v>5.631412925550229E-2</v>
      </c>
      <c r="G374" s="18">
        <f>AVERAGE(E238:E247)*G$372</f>
        <v>0</v>
      </c>
      <c r="H374" s="18">
        <f t="shared" ref="H374:AK374" si="367">AVERAGE(F238:F247)*H$372</f>
        <v>0</v>
      </c>
      <c r="I374" s="18">
        <f t="shared" si="367"/>
        <v>9.7235441434843944E-2</v>
      </c>
      <c r="J374" s="18">
        <f t="shared" si="367"/>
        <v>3.2699301496936202</v>
      </c>
      <c r="K374" s="18">
        <f t="shared" si="367"/>
        <v>7.8488552806151146</v>
      </c>
      <c r="L374" s="18">
        <f t="shared" si="367"/>
        <v>4.5786889900406003</v>
      </c>
      <c r="M374" s="18">
        <f t="shared" si="367"/>
        <v>2.8044593260374802</v>
      </c>
      <c r="N374" s="18">
        <f t="shared" si="367"/>
        <v>0</v>
      </c>
      <c r="O374" s="18">
        <f t="shared" si="367"/>
        <v>0</v>
      </c>
      <c r="P374" s="18">
        <f t="shared" si="367"/>
        <v>0</v>
      </c>
      <c r="Q374" s="18">
        <f t="shared" si="367"/>
        <v>0</v>
      </c>
      <c r="R374" s="18">
        <f t="shared" si="367"/>
        <v>0</v>
      </c>
      <c r="S374" s="18">
        <f t="shared" si="367"/>
        <v>0</v>
      </c>
      <c r="T374" s="18">
        <f t="shared" si="367"/>
        <v>0</v>
      </c>
      <c r="U374" s="18">
        <f t="shared" si="367"/>
        <v>0</v>
      </c>
      <c r="V374" s="18">
        <f t="shared" si="367"/>
        <v>0</v>
      </c>
      <c r="W374" s="18">
        <f t="shared" si="367"/>
        <v>0</v>
      </c>
      <c r="X374" s="18">
        <f t="shared" si="367"/>
        <v>0</v>
      </c>
      <c r="Y374" s="18">
        <f t="shared" si="367"/>
        <v>0</v>
      </c>
      <c r="Z374" s="18">
        <f t="shared" si="367"/>
        <v>0</v>
      </c>
      <c r="AA374" s="18">
        <f t="shared" si="367"/>
        <v>0</v>
      </c>
      <c r="AB374" s="18">
        <f t="shared" si="367"/>
        <v>0</v>
      </c>
      <c r="AC374" s="18">
        <f t="shared" si="367"/>
        <v>0</v>
      </c>
      <c r="AD374" s="18">
        <f t="shared" si="367"/>
        <v>0</v>
      </c>
      <c r="AE374" s="18">
        <f t="shared" si="367"/>
        <v>0</v>
      </c>
      <c r="AF374" s="18">
        <f t="shared" si="367"/>
        <v>0</v>
      </c>
      <c r="AG374" s="18">
        <f t="shared" si="367"/>
        <v>0</v>
      </c>
      <c r="AH374" s="18">
        <f t="shared" si="367"/>
        <v>0</v>
      </c>
      <c r="AI374" s="18">
        <f t="shared" si="367"/>
        <v>0</v>
      </c>
      <c r="AJ374" s="18">
        <f t="shared" si="367"/>
        <v>0</v>
      </c>
      <c r="AK374" s="18">
        <f t="shared" si="367"/>
        <v>0</v>
      </c>
      <c r="AL374" s="78"/>
      <c r="AM374" s="43">
        <v>358</v>
      </c>
      <c r="AN374">
        <v>66.447427605731377</v>
      </c>
      <c r="AO374">
        <v>11.686305466075193</v>
      </c>
      <c r="AP374">
        <v>76.621820246045559</v>
      </c>
      <c r="AQ374">
        <v>97.121944322347289</v>
      </c>
      <c r="AR374">
        <v>10.747917998322796</v>
      </c>
      <c r="AS374">
        <v>121.21651430907053</v>
      </c>
      <c r="AT374">
        <v>7.0158530405464639</v>
      </c>
      <c r="AU374">
        <v>15.400022244198464</v>
      </c>
      <c r="AV374"/>
      <c r="AW374"/>
      <c r="FY374" s="213">
        <v>369</v>
      </c>
      <c r="FZ374">
        <v>28.212500353639541</v>
      </c>
      <c r="GA374">
        <v>35.716784026366312</v>
      </c>
      <c r="GB374">
        <v>13.000951245116182</v>
      </c>
      <c r="GC374">
        <v>7.9127003787959307</v>
      </c>
      <c r="GD374">
        <v>2.4501100553919009</v>
      </c>
      <c r="GE374">
        <v>2.7246007273689647</v>
      </c>
      <c r="GF374">
        <v>1.9498424375128698</v>
      </c>
      <c r="GG374">
        <v>1.2156186932021598</v>
      </c>
      <c r="GH374">
        <v>0.60080431445180338</v>
      </c>
      <c r="GI374">
        <v>9.3027772774716766</v>
      </c>
      <c r="GJ374"/>
      <c r="GK374"/>
      <c r="GL374"/>
      <c r="GM374"/>
      <c r="GN374" s="208"/>
      <c r="GO374" s="208"/>
      <c r="GP374" s="208"/>
      <c r="GQ374" s="208"/>
      <c r="GR374" s="208"/>
      <c r="GS374" s="208"/>
      <c r="GT374" s="208"/>
      <c r="GU374" s="213">
        <v>369</v>
      </c>
    </row>
    <row r="375" spans="1:203" s="7" customFormat="1">
      <c r="A375" s="95"/>
      <c r="B375" s="71">
        <f t="shared" si="362"/>
        <v>39714</v>
      </c>
      <c r="C375" s="18">
        <f t="shared" si="363"/>
        <v>1.0416666666666665</v>
      </c>
      <c r="D375" s="18">
        <f t="shared" si="364"/>
        <v>0.14476253266872796</v>
      </c>
      <c r="E375" s="19">
        <f t="shared" si="365"/>
        <v>0.13897203136197886</v>
      </c>
      <c r="F375" s="19">
        <f>IF(F389&lt;0,0,F389)</f>
        <v>0</v>
      </c>
      <c r="G375" s="18">
        <f>AVERAGE(E248:E257)*G$372</f>
        <v>0</v>
      </c>
      <c r="H375" s="18">
        <f t="shared" ref="H375:AK375" si="368">AVERAGE(F248:F257)*H$372</f>
        <v>0</v>
      </c>
      <c r="I375" s="18">
        <f t="shared" si="368"/>
        <v>0</v>
      </c>
      <c r="J375" s="18">
        <f t="shared" si="368"/>
        <v>0.14476253266872796</v>
      </c>
      <c r="K375" s="18">
        <f t="shared" si="368"/>
        <v>0</v>
      </c>
      <c r="L375" s="18">
        <f t="shared" si="368"/>
        <v>0</v>
      </c>
      <c r="M375" s="18">
        <f t="shared" si="368"/>
        <v>0</v>
      </c>
      <c r="N375" s="18">
        <f t="shared" si="368"/>
        <v>0</v>
      </c>
      <c r="O375" s="18">
        <f t="shared" si="368"/>
        <v>0</v>
      </c>
      <c r="P375" s="18">
        <f t="shared" si="368"/>
        <v>0</v>
      </c>
      <c r="Q375" s="18">
        <f t="shared" si="368"/>
        <v>0</v>
      </c>
      <c r="R375" s="18">
        <f t="shared" si="368"/>
        <v>0</v>
      </c>
      <c r="S375" s="18">
        <f t="shared" si="368"/>
        <v>0</v>
      </c>
      <c r="T375" s="18">
        <f t="shared" si="368"/>
        <v>0</v>
      </c>
      <c r="U375" s="18">
        <f t="shared" si="368"/>
        <v>0</v>
      </c>
      <c r="V375" s="18">
        <f t="shared" si="368"/>
        <v>0</v>
      </c>
      <c r="W375" s="18">
        <f t="shared" si="368"/>
        <v>0</v>
      </c>
      <c r="X375" s="18">
        <f t="shared" si="368"/>
        <v>0</v>
      </c>
      <c r="Y375" s="18">
        <f t="shared" si="368"/>
        <v>0</v>
      </c>
      <c r="Z375" s="18">
        <f t="shared" si="368"/>
        <v>0</v>
      </c>
      <c r="AA375" s="18">
        <f t="shared" si="368"/>
        <v>0</v>
      </c>
      <c r="AB375" s="18">
        <f t="shared" si="368"/>
        <v>0</v>
      </c>
      <c r="AC375" s="18">
        <f t="shared" si="368"/>
        <v>0</v>
      </c>
      <c r="AD375" s="18">
        <f t="shared" si="368"/>
        <v>0</v>
      </c>
      <c r="AE375" s="18">
        <f t="shared" si="368"/>
        <v>0</v>
      </c>
      <c r="AF375" s="18">
        <f t="shared" si="368"/>
        <v>0</v>
      </c>
      <c r="AG375" s="18">
        <f t="shared" si="368"/>
        <v>0</v>
      </c>
      <c r="AH375" s="18">
        <f t="shared" si="368"/>
        <v>0</v>
      </c>
      <c r="AI375" s="18">
        <f t="shared" si="368"/>
        <v>0</v>
      </c>
      <c r="AJ375" s="18">
        <f t="shared" si="368"/>
        <v>0</v>
      </c>
      <c r="AK375" s="18">
        <f t="shared" si="368"/>
        <v>0</v>
      </c>
      <c r="AL375" s="78"/>
      <c r="AM375" s="43">
        <v>359</v>
      </c>
      <c r="AN375">
        <v>103.55843271511374</v>
      </c>
      <c r="AO375">
        <v>16.462728173445473</v>
      </c>
      <c r="AP375">
        <v>77.865484082052873</v>
      </c>
      <c r="AQ375">
        <v>127.72865440806024</v>
      </c>
      <c r="AR375">
        <v>15.151799262393675</v>
      </c>
      <c r="AS375">
        <v>207.19724010745193</v>
      </c>
      <c r="AT375">
        <v>10.523976741670571</v>
      </c>
      <c r="AU375">
        <v>13.925894988924203</v>
      </c>
      <c r="AV375"/>
      <c r="AW375"/>
      <c r="FY375" s="213">
        <v>370</v>
      </c>
      <c r="FZ375">
        <v>38.439247907640024</v>
      </c>
      <c r="GA375">
        <v>46.19292691560419</v>
      </c>
      <c r="GB375">
        <v>7.3093723507400554</v>
      </c>
      <c r="GC375">
        <v>4.7615560649814661</v>
      </c>
      <c r="GD375">
        <v>2.2739935210746891</v>
      </c>
      <c r="GE375">
        <v>2.2632813854867906</v>
      </c>
      <c r="GF375">
        <v>4.603338683307614</v>
      </c>
      <c r="GG375">
        <v>3.7154801361164962</v>
      </c>
      <c r="GH375">
        <v>1.8024129433554106</v>
      </c>
      <c r="GI375">
        <v>9.9537869428795815</v>
      </c>
      <c r="GJ375"/>
      <c r="GK375"/>
      <c r="GL375"/>
      <c r="GM375"/>
      <c r="GN375" s="208"/>
      <c r="GO375" s="208"/>
      <c r="GP375" s="208"/>
      <c r="GQ375" s="208"/>
      <c r="GR375" s="208"/>
      <c r="GS375" s="208"/>
      <c r="GT375" s="208"/>
      <c r="GU375" s="213">
        <v>370</v>
      </c>
    </row>
    <row r="376" spans="1:203" s="7" customFormat="1">
      <c r="A376" s="95"/>
      <c r="B376" s="71">
        <f t="shared" si="362"/>
        <v>39747</v>
      </c>
      <c r="C376" s="18">
        <f t="shared" si="363"/>
        <v>228.87219341960724</v>
      </c>
      <c r="D376" s="18">
        <f t="shared" si="364"/>
        <v>15.638767257761099</v>
      </c>
      <c r="E376" s="19">
        <f t="shared" si="365"/>
        <v>6.8329695381952604E-2</v>
      </c>
      <c r="F376" s="19">
        <f>IF(F390&lt;0,0,F390)</f>
        <v>0</v>
      </c>
      <c r="G376" s="18">
        <f>AVERAGE(E258:E267)*G$372</f>
        <v>0</v>
      </c>
      <c r="H376" s="18">
        <f t="shared" ref="H376:AK376" si="369">AVERAGE(F258:F267)*H$372</f>
        <v>0.2615788270637408</v>
      </c>
      <c r="I376" s="18">
        <f t="shared" si="369"/>
        <v>6.5254469493585052</v>
      </c>
      <c r="J376" s="18">
        <f t="shared" si="369"/>
        <v>6.6629163577394372</v>
      </c>
      <c r="K376" s="18">
        <f t="shared" si="369"/>
        <v>0.62790842244920919</v>
      </c>
      <c r="L376" s="18">
        <f t="shared" si="369"/>
        <v>1.5609167011502043</v>
      </c>
      <c r="M376" s="18">
        <f t="shared" si="369"/>
        <v>0</v>
      </c>
      <c r="N376" s="18">
        <f t="shared" si="369"/>
        <v>0</v>
      </c>
      <c r="O376" s="18">
        <f t="shared" si="369"/>
        <v>0</v>
      </c>
      <c r="P376" s="18">
        <f t="shared" si="369"/>
        <v>0</v>
      </c>
      <c r="Q376" s="18">
        <f t="shared" si="369"/>
        <v>0</v>
      </c>
      <c r="R376" s="18">
        <f t="shared" si="369"/>
        <v>0</v>
      </c>
      <c r="S376" s="18">
        <f t="shared" si="369"/>
        <v>0</v>
      </c>
      <c r="T376" s="18">
        <f t="shared" si="369"/>
        <v>0</v>
      </c>
      <c r="U376" s="18">
        <f t="shared" si="369"/>
        <v>0</v>
      </c>
      <c r="V376" s="18">
        <f t="shared" si="369"/>
        <v>0</v>
      </c>
      <c r="W376" s="18">
        <f t="shared" si="369"/>
        <v>0</v>
      </c>
      <c r="X376" s="18">
        <f t="shared" si="369"/>
        <v>0</v>
      </c>
      <c r="Y376" s="18">
        <f t="shared" si="369"/>
        <v>0</v>
      </c>
      <c r="Z376" s="18">
        <f t="shared" si="369"/>
        <v>0</v>
      </c>
      <c r="AA376" s="18">
        <f t="shared" si="369"/>
        <v>0</v>
      </c>
      <c r="AB376" s="18">
        <f t="shared" si="369"/>
        <v>0</v>
      </c>
      <c r="AC376" s="18">
        <f t="shared" si="369"/>
        <v>0</v>
      </c>
      <c r="AD376" s="18">
        <f t="shared" si="369"/>
        <v>0</v>
      </c>
      <c r="AE376" s="18">
        <f t="shared" si="369"/>
        <v>0</v>
      </c>
      <c r="AF376" s="18">
        <f t="shared" si="369"/>
        <v>0</v>
      </c>
      <c r="AG376" s="18">
        <f t="shared" si="369"/>
        <v>0</v>
      </c>
      <c r="AH376" s="18">
        <f t="shared" si="369"/>
        <v>0</v>
      </c>
      <c r="AI376" s="18">
        <f t="shared" si="369"/>
        <v>0</v>
      </c>
      <c r="AJ376" s="18">
        <f t="shared" si="369"/>
        <v>0</v>
      </c>
      <c r="AK376" s="18">
        <f t="shared" si="369"/>
        <v>0</v>
      </c>
      <c r="AL376" s="78"/>
      <c r="AM376" s="43">
        <v>360</v>
      </c>
      <c r="AN376">
        <v>81.285714610778001</v>
      </c>
      <c r="AO376">
        <v>9.9200691743611671</v>
      </c>
      <c r="AP376">
        <v>63.217165576898658</v>
      </c>
      <c r="AQ376">
        <v>69.157473188694482</v>
      </c>
      <c r="AR376">
        <v>9.1949887113244522</v>
      </c>
      <c r="AS376">
        <v>121.13866203744584</v>
      </c>
      <c r="AT376" t="e">
        <v>#DIV/0!</v>
      </c>
      <c r="AU376" t="e">
        <v>#DIV/0!</v>
      </c>
      <c r="AV376"/>
      <c r="AW376"/>
      <c r="FY376" s="213">
        <v>371</v>
      </c>
      <c r="FZ376">
        <v>34.061962813348778</v>
      </c>
      <c r="GA376">
        <v>42.871879278397969</v>
      </c>
      <c r="GB376">
        <v>7.2727834145298536</v>
      </c>
      <c r="GC376">
        <v>5.0981676950148591</v>
      </c>
      <c r="GD376">
        <v>2.4650966433755319</v>
      </c>
      <c r="GE376">
        <v>2.0282158844046934</v>
      </c>
      <c r="GF376">
        <v>1.8718768465655442</v>
      </c>
      <c r="GG376">
        <v>1.5355228407367116</v>
      </c>
      <c r="GH376">
        <v>0.60080431445180338</v>
      </c>
      <c r="GI376">
        <v>8.6994725292447761</v>
      </c>
      <c r="GJ376"/>
      <c r="GK376"/>
      <c r="GL376"/>
      <c r="GM376"/>
      <c r="GN376" s="208"/>
      <c r="GO376" s="208"/>
      <c r="GP376" s="208"/>
      <c r="GQ376" s="208"/>
      <c r="GR376" s="208"/>
      <c r="GS376" s="208"/>
      <c r="GT376" s="208"/>
      <c r="GU376" s="213">
        <v>371</v>
      </c>
    </row>
    <row r="377" spans="1:203" s="7" customFormat="1">
      <c r="A377" s="95"/>
      <c r="B377" s="71">
        <f t="shared" si="362"/>
        <v>39775</v>
      </c>
      <c r="C377" s="18">
        <f t="shared" si="363"/>
        <v>90.124458874458853</v>
      </c>
      <c r="D377" s="18">
        <f t="shared" si="364"/>
        <v>7.4463401499685542</v>
      </c>
      <c r="E377" s="19">
        <f t="shared" si="365"/>
        <v>8.2622855581758581E-2</v>
      </c>
      <c r="F377" s="19">
        <f>IF(F391&lt;0,0,F391)</f>
        <v>6.7836390525050578E-3</v>
      </c>
      <c r="G377" s="18">
        <f>AVERAGE(E268:E277)*G$372</f>
        <v>0</v>
      </c>
      <c r="H377" s="18">
        <f t="shared" ref="H377:AK377" si="370">AVERAGE(F268:F277)*H$372</f>
        <v>2.8061704545454539E-2</v>
      </c>
      <c r="I377" s="18">
        <f t="shared" si="370"/>
        <v>3.1323702919367586</v>
      </c>
      <c r="J377" s="18">
        <f t="shared" si="370"/>
        <v>1.8687526944508517</v>
      </c>
      <c r="K377" s="18">
        <f t="shared" si="370"/>
        <v>0.85623875788528525</v>
      </c>
      <c r="L377" s="18">
        <f t="shared" si="370"/>
        <v>1.5609167011502043</v>
      </c>
      <c r="M377" s="18">
        <f t="shared" si="370"/>
        <v>0</v>
      </c>
      <c r="N377" s="18">
        <f t="shared" si="370"/>
        <v>0</v>
      </c>
      <c r="O377" s="18">
        <f t="shared" si="370"/>
        <v>0</v>
      </c>
      <c r="P377" s="18">
        <f t="shared" si="370"/>
        <v>0</v>
      </c>
      <c r="Q377" s="18">
        <f t="shared" si="370"/>
        <v>0</v>
      </c>
      <c r="R377" s="18">
        <f t="shared" si="370"/>
        <v>0</v>
      </c>
      <c r="S377" s="18">
        <f t="shared" si="370"/>
        <v>0</v>
      </c>
      <c r="T377" s="18">
        <f t="shared" si="370"/>
        <v>0</v>
      </c>
      <c r="U377" s="18">
        <f t="shared" si="370"/>
        <v>0</v>
      </c>
      <c r="V377" s="18">
        <f t="shared" si="370"/>
        <v>0</v>
      </c>
      <c r="W377" s="18">
        <f t="shared" si="370"/>
        <v>0</v>
      </c>
      <c r="X377" s="18">
        <f t="shared" si="370"/>
        <v>0</v>
      </c>
      <c r="Y377" s="18">
        <f t="shared" si="370"/>
        <v>0</v>
      </c>
      <c r="Z377" s="18">
        <f t="shared" si="370"/>
        <v>0</v>
      </c>
      <c r="AA377" s="18">
        <f t="shared" si="370"/>
        <v>0</v>
      </c>
      <c r="AB377" s="18">
        <f t="shared" si="370"/>
        <v>0</v>
      </c>
      <c r="AC377" s="18">
        <f t="shared" si="370"/>
        <v>0</v>
      </c>
      <c r="AD377" s="18">
        <f t="shared" si="370"/>
        <v>0</v>
      </c>
      <c r="AE377" s="18">
        <f t="shared" si="370"/>
        <v>0</v>
      </c>
      <c r="AF377" s="18">
        <f t="shared" si="370"/>
        <v>0</v>
      </c>
      <c r="AG377" s="18">
        <f t="shared" si="370"/>
        <v>0</v>
      </c>
      <c r="AH377" s="18">
        <f t="shared" si="370"/>
        <v>0</v>
      </c>
      <c r="AI377" s="18">
        <f t="shared" si="370"/>
        <v>0</v>
      </c>
      <c r="AJ377" s="18">
        <f t="shared" si="370"/>
        <v>0</v>
      </c>
      <c r="AK377" s="18">
        <f t="shared" si="370"/>
        <v>0</v>
      </c>
      <c r="AL377" s="78"/>
      <c r="AM377" s="43">
        <v>361</v>
      </c>
      <c r="AN377">
        <v>73.832412270463749</v>
      </c>
      <c r="AO377">
        <v>16.562710613995325</v>
      </c>
      <c r="AP377">
        <v>151.31508257672962</v>
      </c>
      <c r="AQ377">
        <v>144.26436606755919</v>
      </c>
      <c r="AR377">
        <v>15.169864957225005</v>
      </c>
      <c r="AS377">
        <v>166.97134875476053</v>
      </c>
      <c r="AT377">
        <v>10.2033763218051</v>
      </c>
      <c r="AU377">
        <v>56.209468576596926</v>
      </c>
      <c r="AV377"/>
      <c r="AW377"/>
      <c r="FY377" s="213">
        <v>372</v>
      </c>
      <c r="FZ377">
        <v>55.924135219122178</v>
      </c>
      <c r="GA377">
        <v>71.147899928192388</v>
      </c>
      <c r="GB377">
        <v>5.5449666240498736</v>
      </c>
      <c r="GC377">
        <v>2.5546669034201246</v>
      </c>
      <c r="GD377">
        <v>2.1334982005173369</v>
      </c>
      <c r="GE377">
        <v>2.6416767680980073</v>
      </c>
      <c r="GF377">
        <v>2.1238203165870657</v>
      </c>
      <c r="GG377">
        <v>1.5916391105040424</v>
      </c>
      <c r="GH377">
        <v>1.8024129433554106</v>
      </c>
      <c r="GI377">
        <v>11.58615544925366</v>
      </c>
      <c r="GJ377"/>
      <c r="GK377"/>
      <c r="GL377"/>
      <c r="GM377"/>
      <c r="GN377" s="208"/>
      <c r="GO377" s="208"/>
      <c r="GP377" s="208"/>
      <c r="GQ377" s="208"/>
      <c r="GR377" s="208"/>
      <c r="GS377" s="208"/>
      <c r="GT377" s="208"/>
      <c r="GU377" s="213">
        <v>372</v>
      </c>
    </row>
    <row r="378" spans="1:203" s="7" customFormat="1">
      <c r="A378" s="95"/>
      <c r="B378" s="71">
        <f t="shared" si="362"/>
        <v>39799</v>
      </c>
      <c r="C378" s="18">
        <f t="shared" si="363"/>
        <v>76.190476190476176</v>
      </c>
      <c r="D378" s="18">
        <f t="shared" si="364"/>
        <v>10.096382573816072</v>
      </c>
      <c r="E378" s="19">
        <f t="shared" si="365"/>
        <v>0.13251502128133597</v>
      </c>
      <c r="F378" s="19">
        <f t="shared" ref="F378:F382" si="371">IF(F392&lt;0,0,F392)</f>
        <v>1.9683735956303187E-2</v>
      </c>
      <c r="G378" s="18">
        <f>AVERAGE(E278:E287)*G$372</f>
        <v>0</v>
      </c>
      <c r="H378" s="18">
        <f t="shared" ref="H378:AK378" si="372">AVERAGE(F278:F287)*H$372</f>
        <v>0.12045999999999998</v>
      </c>
      <c r="I378" s="18">
        <f t="shared" si="372"/>
        <v>1.5557670629575031</v>
      </c>
      <c r="J378" s="18">
        <f t="shared" si="372"/>
        <v>2.4816434171781938</v>
      </c>
      <c r="K378" s="18">
        <f t="shared" si="372"/>
        <v>1.8837252673476277</v>
      </c>
      <c r="L378" s="18">
        <f t="shared" si="372"/>
        <v>0</v>
      </c>
      <c r="M378" s="18">
        <f t="shared" si="372"/>
        <v>0</v>
      </c>
      <c r="N378" s="18">
        <f t="shared" si="372"/>
        <v>0</v>
      </c>
      <c r="O378" s="18">
        <f t="shared" si="372"/>
        <v>4.0547868263327462</v>
      </c>
      <c r="P378" s="18">
        <f t="shared" si="372"/>
        <v>0</v>
      </c>
      <c r="Q378" s="18">
        <f t="shared" si="372"/>
        <v>0</v>
      </c>
      <c r="R378" s="18">
        <f t="shared" si="372"/>
        <v>0</v>
      </c>
      <c r="S378" s="18">
        <f t="shared" si="372"/>
        <v>0</v>
      </c>
      <c r="T378" s="18">
        <f t="shared" si="372"/>
        <v>0</v>
      </c>
      <c r="U378" s="18">
        <f t="shared" si="372"/>
        <v>0</v>
      </c>
      <c r="V378" s="18">
        <f t="shared" si="372"/>
        <v>0</v>
      </c>
      <c r="W378" s="18">
        <f t="shared" si="372"/>
        <v>0</v>
      </c>
      <c r="X378" s="18">
        <f t="shared" si="372"/>
        <v>0</v>
      </c>
      <c r="Y378" s="18">
        <f t="shared" si="372"/>
        <v>0</v>
      </c>
      <c r="Z378" s="18">
        <f t="shared" si="372"/>
        <v>0</v>
      </c>
      <c r="AA378" s="18">
        <f t="shared" si="372"/>
        <v>0</v>
      </c>
      <c r="AB378" s="18">
        <f t="shared" si="372"/>
        <v>0</v>
      </c>
      <c r="AC378" s="18">
        <f t="shared" si="372"/>
        <v>0</v>
      </c>
      <c r="AD378" s="18">
        <f t="shared" si="372"/>
        <v>0</v>
      </c>
      <c r="AE378" s="18">
        <f t="shared" si="372"/>
        <v>0</v>
      </c>
      <c r="AF378" s="18">
        <f t="shared" si="372"/>
        <v>0</v>
      </c>
      <c r="AG378" s="18">
        <f t="shared" si="372"/>
        <v>0</v>
      </c>
      <c r="AH378" s="18">
        <f t="shared" si="372"/>
        <v>0</v>
      </c>
      <c r="AI378" s="18">
        <f t="shared" si="372"/>
        <v>0</v>
      </c>
      <c r="AJ378" s="18">
        <f t="shared" si="372"/>
        <v>0</v>
      </c>
      <c r="AK378" s="18">
        <f t="shared" si="372"/>
        <v>0</v>
      </c>
      <c r="AL378" s="78"/>
      <c r="AM378" s="43">
        <v>362</v>
      </c>
      <c r="AN378">
        <v>95.1801024812371</v>
      </c>
      <c r="AO378">
        <v>11.915226706893106</v>
      </c>
      <c r="AP378">
        <v>60.633719624175527</v>
      </c>
      <c r="AQ378">
        <v>86.215143873705458</v>
      </c>
      <c r="AR378">
        <v>11.087678224014253</v>
      </c>
      <c r="AS378">
        <v>152.41142284992114</v>
      </c>
      <c r="AT378" t="e">
        <v>#DIV/0!</v>
      </c>
      <c r="AU378" t="e">
        <v>#DIV/0!</v>
      </c>
      <c r="AV378"/>
      <c r="AW378"/>
      <c r="FY378" s="213">
        <v>373</v>
      </c>
      <c r="FZ378">
        <v>28.017063175857395</v>
      </c>
      <c r="GA378">
        <v>35.461647878003106</v>
      </c>
      <c r="GB378">
        <v>5.5178593127560314</v>
      </c>
      <c r="GC378">
        <v>3.7141937114120163</v>
      </c>
      <c r="GD378">
        <v>1.6450733064865202</v>
      </c>
      <c r="GE378">
        <v>1.193907689151358</v>
      </c>
      <c r="GF378">
        <v>3.4233023874775643</v>
      </c>
      <c r="GG378">
        <v>2.6889838284996168</v>
      </c>
      <c r="GH378">
        <v>0.60080431445180338</v>
      </c>
      <c r="GI378">
        <v>7.1948848021808089</v>
      </c>
      <c r="GJ378"/>
      <c r="GK378"/>
      <c r="GL378"/>
      <c r="GM378"/>
      <c r="GN378" s="208"/>
      <c r="GO378" s="208"/>
      <c r="GP378" s="208"/>
      <c r="GQ378" s="208"/>
      <c r="GR378" s="208"/>
      <c r="GS378" s="208"/>
      <c r="GT378" s="208"/>
      <c r="GU378" s="213">
        <v>373</v>
      </c>
    </row>
    <row r="379" spans="1:203" s="7" customFormat="1">
      <c r="A379" s="77" t="s">
        <v>61</v>
      </c>
      <c r="B379" s="71">
        <f t="shared" ref="B379:B382" si="373">+C10</f>
        <v>39847</v>
      </c>
      <c r="C379" s="18">
        <f t="shared" si="363"/>
        <v>1.0416666666666665</v>
      </c>
      <c r="D379" s="18">
        <f t="shared" si="364"/>
        <v>0.3139542112246046</v>
      </c>
      <c r="E379" s="19">
        <f t="shared" si="365"/>
        <v>0.30139604277562043</v>
      </c>
      <c r="F379" s="19">
        <f t="shared" si="371"/>
        <v>1.7119357280573854E-2</v>
      </c>
      <c r="G379" s="18">
        <f>AVERAGE(E288:E297)*G$372</f>
        <v>0</v>
      </c>
      <c r="H379" s="18">
        <f t="shared" ref="H379:AK379" si="374">AVERAGE(F288:F297)*H$372</f>
        <v>0</v>
      </c>
      <c r="I379" s="18">
        <f t="shared" si="374"/>
        <v>0</v>
      </c>
      <c r="J379" s="18">
        <f t="shared" si="374"/>
        <v>0</v>
      </c>
      <c r="K379" s="18">
        <f t="shared" si="374"/>
        <v>0.3139542112246046</v>
      </c>
      <c r="L379" s="18">
        <f t="shared" si="374"/>
        <v>0</v>
      </c>
      <c r="M379" s="18">
        <f t="shared" si="374"/>
        <v>0</v>
      </c>
      <c r="N379" s="18">
        <f t="shared" si="374"/>
        <v>0</v>
      </c>
      <c r="O379" s="18">
        <f t="shared" si="374"/>
        <v>0</v>
      </c>
      <c r="P379" s="18">
        <f t="shared" si="374"/>
        <v>0</v>
      </c>
      <c r="Q379" s="18">
        <f t="shared" si="374"/>
        <v>0</v>
      </c>
      <c r="R379" s="18">
        <f t="shared" si="374"/>
        <v>0</v>
      </c>
      <c r="S379" s="18">
        <f t="shared" si="374"/>
        <v>0</v>
      </c>
      <c r="T379" s="18">
        <f t="shared" si="374"/>
        <v>0</v>
      </c>
      <c r="U379" s="18">
        <f t="shared" si="374"/>
        <v>0</v>
      </c>
      <c r="V379" s="18">
        <f t="shared" si="374"/>
        <v>0</v>
      </c>
      <c r="W379" s="18">
        <f t="shared" si="374"/>
        <v>0</v>
      </c>
      <c r="X379" s="18">
        <f t="shared" si="374"/>
        <v>0</v>
      </c>
      <c r="Y379" s="18">
        <f t="shared" si="374"/>
        <v>0</v>
      </c>
      <c r="Z379" s="18">
        <f t="shared" si="374"/>
        <v>0</v>
      </c>
      <c r="AA379" s="18">
        <f t="shared" si="374"/>
        <v>0</v>
      </c>
      <c r="AB379" s="18">
        <f t="shared" si="374"/>
        <v>0</v>
      </c>
      <c r="AC379" s="18">
        <f t="shared" si="374"/>
        <v>0</v>
      </c>
      <c r="AD379" s="18">
        <f t="shared" si="374"/>
        <v>0</v>
      </c>
      <c r="AE379" s="18">
        <f t="shared" si="374"/>
        <v>0</v>
      </c>
      <c r="AF379" s="18">
        <f t="shared" si="374"/>
        <v>0</v>
      </c>
      <c r="AG379" s="18">
        <f t="shared" si="374"/>
        <v>0</v>
      </c>
      <c r="AH379" s="18">
        <f t="shared" si="374"/>
        <v>0</v>
      </c>
      <c r="AI379" s="18">
        <f t="shared" si="374"/>
        <v>0</v>
      </c>
      <c r="AJ379" s="18">
        <f t="shared" si="374"/>
        <v>0</v>
      </c>
      <c r="AK379" s="18">
        <f t="shared" si="374"/>
        <v>0</v>
      </c>
      <c r="AL379" s="78"/>
      <c r="AM379" s="43">
        <v>363</v>
      </c>
      <c r="AN379">
        <v>90.609498521630897</v>
      </c>
      <c r="AO379">
        <v>16.980732161855897</v>
      </c>
      <c r="AP379">
        <v>145.17420490610664</v>
      </c>
      <c r="AQ379">
        <v>147.29520768985432</v>
      </c>
      <c r="AR379">
        <v>15.666711610785624</v>
      </c>
      <c r="AS379">
        <v>180.3996735552891</v>
      </c>
      <c r="AT379">
        <v>10.529673301542578</v>
      </c>
      <c r="AU379">
        <v>33.918932382170169</v>
      </c>
      <c r="AV379"/>
      <c r="AW379"/>
      <c r="FY379" s="213">
        <v>374</v>
      </c>
      <c r="FZ379">
        <v>49.098289905159255</v>
      </c>
      <c r="GA379">
        <v>56.364648509697219</v>
      </c>
      <c r="GB379">
        <v>4.9600521255139398</v>
      </c>
      <c r="GC379">
        <v>4.0024710410595752</v>
      </c>
      <c r="GD379">
        <v>2.4343919722761398</v>
      </c>
      <c r="GE379">
        <v>3.3562689760609077</v>
      </c>
      <c r="GF379">
        <v>2.8815667459530783</v>
      </c>
      <c r="GG379">
        <v>1.8815765822533066</v>
      </c>
      <c r="GH379">
        <v>0.60080431445180338</v>
      </c>
      <c r="GI379">
        <v>10.554692723137283</v>
      </c>
      <c r="GJ379"/>
      <c r="GK379"/>
      <c r="GL379"/>
      <c r="GM379"/>
      <c r="GN379" s="208"/>
      <c r="GO379" s="208"/>
      <c r="GP379" s="208"/>
      <c r="GQ379" s="208"/>
      <c r="GR379" s="208"/>
      <c r="GS379" s="208"/>
      <c r="GT379" s="208"/>
      <c r="GU379" s="213">
        <v>374</v>
      </c>
    </row>
    <row r="380" spans="1:203" s="7" customFormat="1">
      <c r="A380" s="77" t="s">
        <v>62</v>
      </c>
      <c r="B380" s="71">
        <f t="shared" si="373"/>
        <v>39910</v>
      </c>
      <c r="C380" s="18">
        <f t="shared" si="363"/>
        <v>3.1249999999999996</v>
      </c>
      <c r="D380" s="18">
        <f t="shared" si="364"/>
        <v>0.77267095511793715</v>
      </c>
      <c r="E380" s="19">
        <f t="shared" si="365"/>
        <v>0.24725470563773994</v>
      </c>
      <c r="F380" s="19">
        <f t="shared" si="371"/>
        <v>0</v>
      </c>
      <c r="G380" s="18">
        <f>AVERAGE(E298:E307)*G$372</f>
        <v>0</v>
      </c>
      <c r="H380" s="18">
        <f t="shared" ref="H380:AK380" si="375">AVERAGE(F298:F307)*H$372</f>
        <v>0</v>
      </c>
      <c r="I380" s="18">
        <f t="shared" si="375"/>
        <v>0</v>
      </c>
      <c r="J380" s="18">
        <f t="shared" si="375"/>
        <v>0.14476253266872796</v>
      </c>
      <c r="K380" s="18">
        <f t="shared" si="375"/>
        <v>0.62790842244920919</v>
      </c>
      <c r="L380" s="18">
        <f t="shared" si="375"/>
        <v>0</v>
      </c>
      <c r="M380" s="18">
        <f t="shared" si="375"/>
        <v>0</v>
      </c>
      <c r="N380" s="18">
        <f t="shared" si="375"/>
        <v>0</v>
      </c>
      <c r="O380" s="18">
        <f t="shared" si="375"/>
        <v>0</v>
      </c>
      <c r="P380" s="18">
        <f t="shared" si="375"/>
        <v>0</v>
      </c>
      <c r="Q380" s="18">
        <f t="shared" si="375"/>
        <v>0</v>
      </c>
      <c r="R380" s="18">
        <f t="shared" si="375"/>
        <v>0</v>
      </c>
      <c r="S380" s="18">
        <f t="shared" si="375"/>
        <v>0</v>
      </c>
      <c r="T380" s="18">
        <f t="shared" si="375"/>
        <v>0</v>
      </c>
      <c r="U380" s="18">
        <f t="shared" si="375"/>
        <v>0</v>
      </c>
      <c r="V380" s="18">
        <f t="shared" si="375"/>
        <v>0</v>
      </c>
      <c r="W380" s="18">
        <f t="shared" si="375"/>
        <v>0</v>
      </c>
      <c r="X380" s="18">
        <f t="shared" si="375"/>
        <v>0</v>
      </c>
      <c r="Y380" s="18">
        <f t="shared" si="375"/>
        <v>0</v>
      </c>
      <c r="Z380" s="18">
        <f t="shared" si="375"/>
        <v>0</v>
      </c>
      <c r="AA380" s="18">
        <f t="shared" si="375"/>
        <v>0</v>
      </c>
      <c r="AB380" s="18">
        <f t="shared" si="375"/>
        <v>0</v>
      </c>
      <c r="AC380" s="18">
        <f t="shared" si="375"/>
        <v>0</v>
      </c>
      <c r="AD380" s="18">
        <f t="shared" si="375"/>
        <v>0</v>
      </c>
      <c r="AE380" s="18">
        <f t="shared" si="375"/>
        <v>0</v>
      </c>
      <c r="AF380" s="18">
        <f t="shared" si="375"/>
        <v>0</v>
      </c>
      <c r="AG380" s="18">
        <f t="shared" si="375"/>
        <v>0</v>
      </c>
      <c r="AH380" s="18">
        <f t="shared" si="375"/>
        <v>0</v>
      </c>
      <c r="AI380" s="18">
        <f t="shared" si="375"/>
        <v>0</v>
      </c>
      <c r="AJ380" s="18">
        <f t="shared" si="375"/>
        <v>0</v>
      </c>
      <c r="AK380" s="18">
        <f t="shared" si="375"/>
        <v>0</v>
      </c>
      <c r="AL380" s="78"/>
      <c r="AM380" s="43">
        <v>364</v>
      </c>
      <c r="AN380">
        <v>105.35858285843074</v>
      </c>
      <c r="AO380">
        <v>18.133773431648709</v>
      </c>
      <c r="AP380">
        <v>108.56337131855923</v>
      </c>
      <c r="AQ380">
        <v>143.75179270360866</v>
      </c>
      <c r="AR380">
        <v>16.52934735401616</v>
      </c>
      <c r="AS380">
        <v>196.3042319086002</v>
      </c>
      <c r="AT380" t="e">
        <v>#DIV/0!</v>
      </c>
      <c r="AU380" t="e">
        <v>#DIV/0!</v>
      </c>
      <c r="AV380"/>
      <c r="AW380"/>
      <c r="FY380" s="213">
        <v>375</v>
      </c>
      <c r="FZ380">
        <v>29.322364962761124</v>
      </c>
      <c r="GA380">
        <v>37.544136215369349</v>
      </c>
      <c r="GB380">
        <v>12.658375411146142</v>
      </c>
      <c r="GC380">
        <v>7.7908616686914982</v>
      </c>
      <c r="GD380">
        <v>2.3624043329318347</v>
      </c>
      <c r="GE380">
        <v>2.2277530325280823</v>
      </c>
      <c r="GF380">
        <v>6.1439070943709702</v>
      </c>
      <c r="GG380">
        <v>4.9553102725761073</v>
      </c>
      <c r="GH380">
        <v>0</v>
      </c>
      <c r="GI380">
        <v>10.012694160256997</v>
      </c>
      <c r="GJ380"/>
      <c r="GK380"/>
      <c r="GL380"/>
      <c r="GM380"/>
      <c r="GN380" s="208"/>
      <c r="GO380" s="208"/>
      <c r="GP380" s="208"/>
      <c r="GQ380" s="208"/>
      <c r="GR380" s="208"/>
      <c r="GS380" s="208"/>
      <c r="GT380" s="208"/>
      <c r="GU380" s="213">
        <v>375</v>
      </c>
    </row>
    <row r="381" spans="1:203" s="7" customFormat="1">
      <c r="A381" s="1"/>
      <c r="B381" s="71">
        <f t="shared" si="373"/>
        <v>39949</v>
      </c>
      <c r="C381" s="18">
        <f t="shared" si="363"/>
        <v>36.805555555555557</v>
      </c>
      <c r="D381" s="18">
        <f t="shared" si="364"/>
        <v>10.489654095192765</v>
      </c>
      <c r="E381" s="19">
        <f t="shared" si="365"/>
        <v>0.28500192258636947</v>
      </c>
      <c r="F381" s="19">
        <f t="shared" si="371"/>
        <v>3.6429980497278266E-3</v>
      </c>
      <c r="G381" s="18">
        <f>AVERAGE(E308:E317)*G$372</f>
        <v>0</v>
      </c>
      <c r="H381" s="18">
        <f t="shared" ref="H381:AK381" si="376">AVERAGE(F308:F317)*H$372</f>
        <v>0</v>
      </c>
      <c r="I381" s="18">
        <f t="shared" si="376"/>
        <v>1.1344134834065127</v>
      </c>
      <c r="J381" s="18">
        <f t="shared" si="376"/>
        <v>0</v>
      </c>
      <c r="K381" s="18">
        <f t="shared" si="376"/>
        <v>0.94186263367381384</v>
      </c>
      <c r="L381" s="18">
        <f t="shared" si="376"/>
        <v>0</v>
      </c>
      <c r="M381" s="18">
        <f t="shared" si="376"/>
        <v>8.4133779781124396</v>
      </c>
      <c r="N381" s="18">
        <f t="shared" si="376"/>
        <v>0</v>
      </c>
      <c r="O381" s="18">
        <f t="shared" si="376"/>
        <v>0</v>
      </c>
      <c r="P381" s="18">
        <f t="shared" si="376"/>
        <v>0</v>
      </c>
      <c r="Q381" s="18">
        <f t="shared" si="376"/>
        <v>0</v>
      </c>
      <c r="R381" s="18">
        <f t="shared" si="376"/>
        <v>0</v>
      </c>
      <c r="S381" s="18">
        <f t="shared" si="376"/>
        <v>0</v>
      </c>
      <c r="T381" s="18">
        <f t="shared" si="376"/>
        <v>0</v>
      </c>
      <c r="U381" s="18">
        <f t="shared" si="376"/>
        <v>0</v>
      </c>
      <c r="V381" s="18">
        <f t="shared" si="376"/>
        <v>0</v>
      </c>
      <c r="W381" s="18">
        <f t="shared" si="376"/>
        <v>0</v>
      </c>
      <c r="X381" s="18">
        <f t="shared" si="376"/>
        <v>0</v>
      </c>
      <c r="Y381" s="18">
        <f t="shared" si="376"/>
        <v>0</v>
      </c>
      <c r="Z381" s="18">
        <f t="shared" si="376"/>
        <v>0</v>
      </c>
      <c r="AA381" s="18">
        <f t="shared" si="376"/>
        <v>0</v>
      </c>
      <c r="AB381" s="18">
        <f t="shared" si="376"/>
        <v>0</v>
      </c>
      <c r="AC381" s="18">
        <f t="shared" si="376"/>
        <v>0</v>
      </c>
      <c r="AD381" s="18">
        <f t="shared" si="376"/>
        <v>0</v>
      </c>
      <c r="AE381" s="18">
        <f t="shared" si="376"/>
        <v>0</v>
      </c>
      <c r="AF381" s="18">
        <f t="shared" si="376"/>
        <v>0</v>
      </c>
      <c r="AG381" s="18">
        <f t="shared" si="376"/>
        <v>0</v>
      </c>
      <c r="AH381" s="18">
        <f t="shared" si="376"/>
        <v>0</v>
      </c>
      <c r="AI381" s="18">
        <f t="shared" si="376"/>
        <v>0</v>
      </c>
      <c r="AJ381" s="18">
        <f t="shared" si="376"/>
        <v>0</v>
      </c>
      <c r="AK381" s="18">
        <f t="shared" si="376"/>
        <v>0</v>
      </c>
      <c r="AL381" s="78"/>
      <c r="AM381" s="43">
        <v>365</v>
      </c>
      <c r="AN381">
        <v>91.562296824860198</v>
      </c>
      <c r="AO381">
        <v>14.934854388399643</v>
      </c>
      <c r="AP381">
        <v>153.00501863163029</v>
      </c>
      <c r="AQ381">
        <v>123.73956034534235</v>
      </c>
      <c r="AR381">
        <v>13.634498511258121</v>
      </c>
      <c r="AS381">
        <v>167.30223964030165</v>
      </c>
      <c r="AT381" t="e">
        <v>#DIV/0!</v>
      </c>
      <c r="AU381" t="e">
        <v>#DIV/0!</v>
      </c>
      <c r="AV381"/>
      <c r="AW381"/>
      <c r="FY381" s="213">
        <v>376</v>
      </c>
      <c r="FZ381">
        <v>16.671849212530955</v>
      </c>
      <c r="GA381">
        <v>18.677676804079979</v>
      </c>
      <c r="GB381">
        <v>4.2098227007436302</v>
      </c>
      <c r="GC381">
        <v>3.39698102498952</v>
      </c>
      <c r="GD381">
        <v>1.4779682153382587</v>
      </c>
      <c r="GE381">
        <v>1.6690824805367392</v>
      </c>
      <c r="GF381">
        <v>6.2020706810163997</v>
      </c>
      <c r="GG381">
        <v>6.1180392991423203</v>
      </c>
      <c r="GH381">
        <v>2.1611736260621592</v>
      </c>
      <c r="GI381">
        <v>5.8335670638511141</v>
      </c>
      <c r="GJ381"/>
      <c r="GK381"/>
      <c r="GL381"/>
      <c r="GM381"/>
      <c r="GN381" s="208"/>
      <c r="GO381" s="208"/>
      <c r="GP381" s="208"/>
      <c r="GQ381" s="208"/>
      <c r="GR381" s="208"/>
      <c r="GS381" s="208"/>
      <c r="GT381" s="208"/>
      <c r="GU381" s="213">
        <v>376</v>
      </c>
    </row>
    <row r="382" spans="1:203" s="7" customFormat="1">
      <c r="A382" s="1"/>
      <c r="B382" s="71">
        <f t="shared" si="373"/>
        <v>39987</v>
      </c>
      <c r="C382" s="18">
        <f t="shared" si="363"/>
        <v>2.083333333333333</v>
      </c>
      <c r="D382" s="18">
        <f t="shared" si="364"/>
        <v>2.8308163644547104</v>
      </c>
      <c r="E382" s="19">
        <f t="shared" si="365"/>
        <v>1.3587918549382612</v>
      </c>
      <c r="F382" s="19">
        <f t="shared" si="371"/>
        <v>4.1101455678957975E-2</v>
      </c>
      <c r="G382" s="18">
        <f>AVERAGE(E318:E327)*G$372</f>
        <v>0</v>
      </c>
      <c r="H382" s="18">
        <f t="shared" ref="H382:AK382" si="377">AVERAGE(F318:F327)*H$372</f>
        <v>0</v>
      </c>
      <c r="I382" s="18">
        <f t="shared" si="377"/>
        <v>0</v>
      </c>
      <c r="J382" s="18">
        <f t="shared" si="377"/>
        <v>0</v>
      </c>
      <c r="K382" s="18">
        <f t="shared" si="377"/>
        <v>0</v>
      </c>
      <c r="L382" s="18">
        <f t="shared" si="377"/>
        <v>0</v>
      </c>
      <c r="M382" s="18">
        <f t="shared" si="377"/>
        <v>0</v>
      </c>
      <c r="N382" s="18">
        <f t="shared" si="377"/>
        <v>2.8308163644547104</v>
      </c>
      <c r="O382" s="18">
        <f t="shared" si="377"/>
        <v>0</v>
      </c>
      <c r="P382" s="18">
        <f t="shared" si="377"/>
        <v>0</v>
      </c>
      <c r="Q382" s="18">
        <f t="shared" si="377"/>
        <v>0</v>
      </c>
      <c r="R382" s="18">
        <f t="shared" si="377"/>
        <v>0</v>
      </c>
      <c r="S382" s="18">
        <f t="shared" si="377"/>
        <v>0</v>
      </c>
      <c r="T382" s="18">
        <f t="shared" si="377"/>
        <v>0</v>
      </c>
      <c r="U382" s="18">
        <f t="shared" si="377"/>
        <v>0</v>
      </c>
      <c r="V382" s="18">
        <f t="shared" si="377"/>
        <v>0</v>
      </c>
      <c r="W382" s="18">
        <f t="shared" si="377"/>
        <v>0</v>
      </c>
      <c r="X382" s="18">
        <f t="shared" si="377"/>
        <v>0</v>
      </c>
      <c r="Y382" s="18">
        <f t="shared" si="377"/>
        <v>0</v>
      </c>
      <c r="Z382" s="18">
        <f t="shared" si="377"/>
        <v>0</v>
      </c>
      <c r="AA382" s="18">
        <f t="shared" si="377"/>
        <v>0</v>
      </c>
      <c r="AB382" s="18">
        <f t="shared" si="377"/>
        <v>0</v>
      </c>
      <c r="AC382" s="18">
        <f t="shared" si="377"/>
        <v>0</v>
      </c>
      <c r="AD382" s="18">
        <f t="shared" si="377"/>
        <v>0</v>
      </c>
      <c r="AE382" s="18">
        <f t="shared" si="377"/>
        <v>0</v>
      </c>
      <c r="AF382" s="18">
        <f t="shared" si="377"/>
        <v>0</v>
      </c>
      <c r="AG382" s="18">
        <f t="shared" si="377"/>
        <v>0</v>
      </c>
      <c r="AH382" s="18">
        <f t="shared" si="377"/>
        <v>0</v>
      </c>
      <c r="AI382" s="18">
        <f t="shared" si="377"/>
        <v>0</v>
      </c>
      <c r="AJ382" s="18">
        <f t="shared" si="377"/>
        <v>0</v>
      </c>
      <c r="AK382" s="18">
        <f t="shared" si="377"/>
        <v>0</v>
      </c>
      <c r="AL382" s="78"/>
      <c r="AM382" s="43">
        <v>366</v>
      </c>
      <c r="AN382">
        <v>84.889670532964132</v>
      </c>
      <c r="AO382">
        <v>12.051161206001984</v>
      </c>
      <c r="AP382">
        <v>78.083263239628579</v>
      </c>
      <c r="AQ382">
        <v>91.145686474789812</v>
      </c>
      <c r="AR382">
        <v>11.044147544145073</v>
      </c>
      <c r="AS382">
        <v>147.13876791604466</v>
      </c>
      <c r="AT382">
        <v>6.9893444748703404</v>
      </c>
      <c r="AU382">
        <v>-34.011065597995099</v>
      </c>
      <c r="AV382"/>
      <c r="AW382"/>
      <c r="FY382" s="213">
        <v>377</v>
      </c>
      <c r="FZ382">
        <v>17.903240737630732</v>
      </c>
      <c r="GA382">
        <v>28.386583930023939</v>
      </c>
      <c r="GB382">
        <v>10.500764838457362</v>
      </c>
      <c r="GC382">
        <v>5.0415234088631493</v>
      </c>
      <c r="GD382">
        <v>2.3816498606841061</v>
      </c>
      <c r="GE382">
        <v>2.4226180841880822</v>
      </c>
      <c r="GF382">
        <v>3.1782782947892465</v>
      </c>
      <c r="GG382">
        <v>3.7948467271737165</v>
      </c>
      <c r="GH382">
        <v>2.7619779405139626</v>
      </c>
      <c r="GI382">
        <v>7.7687674649829379</v>
      </c>
      <c r="GJ382"/>
      <c r="GK382"/>
      <c r="GL382"/>
      <c r="GM382"/>
      <c r="GN382" s="208"/>
      <c r="GO382" s="208"/>
      <c r="GP382" s="208"/>
      <c r="GQ382" s="208"/>
      <c r="GR382" s="208"/>
      <c r="GS382" s="208"/>
      <c r="GT382" s="208"/>
      <c r="GU382" s="213">
        <v>377</v>
      </c>
    </row>
    <row r="383" spans="1:203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78.869850185874512</v>
      </c>
      <c r="AO383">
        <v>12.246886049988664</v>
      </c>
      <c r="AP383">
        <v>69.363009136304981</v>
      </c>
      <c r="AQ383">
        <v>97.088954495954837</v>
      </c>
      <c r="AR383">
        <v>11.449004512365917</v>
      </c>
      <c r="AS383">
        <v>139.47572998571701</v>
      </c>
      <c r="AT383" t="e">
        <v>#DIV/0!</v>
      </c>
      <c r="AU383" t="e">
        <v>#DIV/0!</v>
      </c>
      <c r="AV383"/>
      <c r="AW383"/>
      <c r="FY383" s="213">
        <v>378</v>
      </c>
      <c r="FZ383">
        <v>8.2276597684429618</v>
      </c>
      <c r="GA383">
        <v>14.333359706249784</v>
      </c>
      <c r="GB383">
        <v>11.714361413310586</v>
      </c>
      <c r="GC383">
        <v>6.4845739018044801</v>
      </c>
      <c r="GD383">
        <v>2.0690466589003398</v>
      </c>
      <c r="GE383">
        <v>1.6921139188957341</v>
      </c>
      <c r="GF383">
        <v>4.1194603585447789</v>
      </c>
      <c r="GG383">
        <v>4.7155225742235611</v>
      </c>
      <c r="GH383">
        <v>1.5603693116103559</v>
      </c>
      <c r="GI383">
        <v>6.343850147571227</v>
      </c>
      <c r="GJ383"/>
      <c r="GK383"/>
      <c r="GL383"/>
      <c r="GM383"/>
      <c r="GN383" s="208"/>
      <c r="GO383" s="208"/>
      <c r="GP383" s="208"/>
      <c r="GQ383" s="208"/>
      <c r="GR383" s="208"/>
      <c r="GS383" s="208"/>
      <c r="GT383" s="208"/>
      <c r="GU383" s="213">
        <v>378</v>
      </c>
    </row>
    <row r="384" spans="1:203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97.768182157552076</v>
      </c>
      <c r="AO384">
        <v>16.975651053975902</v>
      </c>
      <c r="AP384">
        <v>114.605176745336</v>
      </c>
      <c r="AQ384">
        <v>138.44050194935392</v>
      </c>
      <c r="AR384">
        <v>15.783140982923026</v>
      </c>
      <c r="AS384">
        <v>182.03966062823307</v>
      </c>
      <c r="AT384">
        <v>10.419964571034972</v>
      </c>
      <c r="AU384">
        <v>36.847199158648522</v>
      </c>
      <c r="AV384"/>
      <c r="AW384"/>
      <c r="FY384" s="213">
        <v>379</v>
      </c>
      <c r="FZ384">
        <v>19.485136254286726</v>
      </c>
      <c r="GA384">
        <v>28.444730356956136</v>
      </c>
      <c r="GB384">
        <v>7.7691748742892326</v>
      </c>
      <c r="GC384">
        <v>4.2223048968419343</v>
      </c>
      <c r="GD384">
        <v>2.1440192474877069</v>
      </c>
      <c r="GE384">
        <v>2.2213876813945754</v>
      </c>
      <c r="GF384">
        <v>1.8908559362155564</v>
      </c>
      <c r="GG384">
        <v>2.4357657738845866</v>
      </c>
      <c r="GH384">
        <v>2.1611736260621592</v>
      </c>
      <c r="GI384">
        <v>6.7823487763333725</v>
      </c>
      <c r="GJ384"/>
      <c r="GK384"/>
      <c r="GL384"/>
      <c r="GM384"/>
      <c r="GN384" s="208"/>
      <c r="GO384" s="208"/>
      <c r="GP384" s="208"/>
      <c r="GQ384" s="208"/>
      <c r="GR384" s="208"/>
      <c r="GS384" s="208"/>
      <c r="GT384" s="208"/>
      <c r="GU384" s="213">
        <v>379</v>
      </c>
    </row>
    <row r="385" spans="1:203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89.494352644904126</v>
      </c>
      <c r="AO385">
        <v>14.057180730966314</v>
      </c>
      <c r="AP385">
        <v>99.186574895987548</v>
      </c>
      <c r="AQ385">
        <v>103.08668950931735</v>
      </c>
      <c r="AR385">
        <v>12.887789873450096</v>
      </c>
      <c r="AS385">
        <v>146.14293993597622</v>
      </c>
      <c r="AT385" t="e">
        <v>#DIV/0!</v>
      </c>
      <c r="AU385" t="e">
        <v>#DIV/0!</v>
      </c>
      <c r="AV385"/>
      <c r="AW385"/>
      <c r="FY385" s="213">
        <v>380</v>
      </c>
      <c r="FZ385">
        <v>53.817192468039245</v>
      </c>
      <c r="GA385">
        <v>61.49032596766866</v>
      </c>
      <c r="GB385">
        <v>8.4642799117854857</v>
      </c>
      <c r="GC385">
        <v>6.7150706334674322</v>
      </c>
      <c r="GD385">
        <v>3.2234117947297936</v>
      </c>
      <c r="GE385">
        <v>3.232182497718401</v>
      </c>
      <c r="GF385">
        <v>2.2986211103131469</v>
      </c>
      <c r="GG385">
        <v>2.8584231583077138</v>
      </c>
      <c r="GH385">
        <v>2.1611736260621592</v>
      </c>
      <c r="GI385">
        <v>12.669376789504867</v>
      </c>
      <c r="GJ385"/>
      <c r="GK385"/>
      <c r="GL385"/>
      <c r="GM385"/>
      <c r="GN385" s="208"/>
      <c r="GO385" s="208"/>
      <c r="GP385" s="208"/>
      <c r="GQ385" s="208"/>
      <c r="GR385" s="208"/>
      <c r="GS385" s="208"/>
      <c r="GT385" s="208"/>
      <c r="GU385" s="213">
        <v>380</v>
      </c>
    </row>
    <row r="386" spans="1:203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87.504842358030743</v>
      </c>
      <c r="AO386">
        <v>14.724671696463441</v>
      </c>
      <c r="AP386">
        <v>112.21052908533855</v>
      </c>
      <c r="AQ386">
        <v>121.31539685118631</v>
      </c>
      <c r="AR386">
        <v>13.770840631069598</v>
      </c>
      <c r="AS386">
        <v>154.65150730141116</v>
      </c>
      <c r="AT386" t="e">
        <v>#DIV/0!</v>
      </c>
      <c r="AU386" t="e">
        <v>#DIV/0!</v>
      </c>
      <c r="AV386"/>
      <c r="AW386"/>
      <c r="FY386" s="213">
        <v>381</v>
      </c>
      <c r="FZ386">
        <v>13.993890960322373</v>
      </c>
      <c r="GA386">
        <v>20.631320705160817</v>
      </c>
      <c r="GB386">
        <v>13.748040209204508</v>
      </c>
      <c r="GC386">
        <v>7.00767984024563</v>
      </c>
      <c r="GD386">
        <v>1.9818196162454977</v>
      </c>
      <c r="GE386">
        <v>2.1828101353281055</v>
      </c>
      <c r="GF386">
        <v>2.7136853295602013</v>
      </c>
      <c r="GG386">
        <v>3.3187610818326356</v>
      </c>
      <c r="GH386">
        <v>3.3627822549657664</v>
      </c>
      <c r="GI386">
        <v>7.7604475375750113</v>
      </c>
      <c r="GJ386"/>
      <c r="GK386"/>
      <c r="GL386"/>
      <c r="GM386"/>
      <c r="GN386" s="208"/>
      <c r="GO386" s="208"/>
      <c r="GP386" s="208"/>
      <c r="GQ386" s="208"/>
      <c r="GR386" s="208"/>
      <c r="GS386" s="208"/>
      <c r="GT386" s="208"/>
      <c r="GU386" s="213">
        <v>381</v>
      </c>
    </row>
    <row r="387" spans="1:203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98.561842303234286</v>
      </c>
      <c r="AO387">
        <v>13.037180137638904</v>
      </c>
      <c r="AP387">
        <v>84.031982880817878</v>
      </c>
      <c r="AQ387">
        <v>106.50578226007053</v>
      </c>
      <c r="AR387">
        <v>11.958207562257698</v>
      </c>
      <c r="AS387">
        <v>132.62801009646819</v>
      </c>
      <c r="AT387" t="e">
        <v>#DIV/0!</v>
      </c>
      <c r="AU387" t="e">
        <v>#DIV/0!</v>
      </c>
      <c r="AV387"/>
      <c r="AW387"/>
      <c r="FY387" s="213">
        <v>382</v>
      </c>
      <c r="FZ387">
        <v>59.520879619401505</v>
      </c>
      <c r="GA387">
        <v>79.875561865429304</v>
      </c>
      <c r="GB387">
        <v>16.152534488834625</v>
      </c>
      <c r="GC387">
        <v>7.1195756344153498</v>
      </c>
      <c r="GD387">
        <v>2.0313957725169001</v>
      </c>
      <c r="GE387">
        <v>2.0411397788122079</v>
      </c>
      <c r="GF387">
        <v>4.3969226277332574</v>
      </c>
      <c r="GG387">
        <v>5.6923691502779672</v>
      </c>
      <c r="GH387">
        <v>3.7215429376725151</v>
      </c>
      <c r="GI387">
        <v>15.542391783384112</v>
      </c>
      <c r="GJ387"/>
      <c r="GK387"/>
      <c r="GL387"/>
      <c r="GM387"/>
      <c r="GN387" s="208"/>
      <c r="GO387" s="208"/>
      <c r="GP387" s="208"/>
      <c r="GQ387" s="208"/>
      <c r="GR387" s="208"/>
      <c r="GS387" s="208"/>
      <c r="GT387" s="208"/>
      <c r="GU387" s="213">
        <v>382</v>
      </c>
    </row>
    <row r="388" spans="1:203" s="7" customFormat="1">
      <c r="A388" s="1"/>
      <c r="B388" s="13"/>
      <c r="C388" s="21"/>
      <c r="D388" s="96"/>
      <c r="E388" s="3"/>
      <c r="F388" s="19">
        <f t="shared" ref="F388:F398" si="378">IF(C374&lt;1,0,LN(E374/E373)/E21)</f>
        <v>5.631412925550229E-2</v>
      </c>
      <c r="G388" s="13"/>
      <c r="H388" s="19">
        <f>IF(G406&lt;0,0,G406)</f>
        <v>1.7059057945519873E-2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69.853011204481803</v>
      </c>
      <c r="AO388">
        <v>17.469043687672844</v>
      </c>
      <c r="AP388">
        <v>149.50867941388302</v>
      </c>
      <c r="AQ388">
        <v>157.05087146310007</v>
      </c>
      <c r="AR388">
        <v>16.137946860998962</v>
      </c>
      <c r="AS388">
        <v>194.46309519028117</v>
      </c>
      <c r="AT388" t="e">
        <v>#DIV/0!</v>
      </c>
      <c r="AU388" t="e">
        <v>#DIV/0!</v>
      </c>
      <c r="AV388"/>
      <c r="AW388"/>
      <c r="FY388" s="213">
        <v>383</v>
      </c>
      <c r="FZ388">
        <v>63.213753195319015</v>
      </c>
      <c r="GA388">
        <v>76.602951229280976</v>
      </c>
      <c r="GB388">
        <v>15.215482551793984</v>
      </c>
      <c r="GC388">
        <v>9.1501699055499159</v>
      </c>
      <c r="GD388">
        <v>2.5648259746196271</v>
      </c>
      <c r="GE388">
        <v>2.6722739334562005</v>
      </c>
      <c r="GF388">
        <v>2.2483330286986378</v>
      </c>
      <c r="GG388">
        <v>1.553958571402247</v>
      </c>
      <c r="GH388">
        <v>0</v>
      </c>
      <c r="GI388">
        <v>15.055688251664433</v>
      </c>
      <c r="GJ388"/>
      <c r="GK388"/>
      <c r="GL388"/>
      <c r="GM388"/>
      <c r="GN388" s="208"/>
      <c r="GO388" s="208"/>
      <c r="GP388" s="208"/>
      <c r="GQ388" s="208"/>
      <c r="GR388" s="208"/>
      <c r="GS388" s="208"/>
      <c r="GT388" s="208"/>
      <c r="GU388" s="213">
        <v>383</v>
      </c>
    </row>
    <row r="389" spans="1:203" s="7" customFormat="1">
      <c r="A389" s="1"/>
      <c r="B389" s="13"/>
      <c r="C389" s="21"/>
      <c r="D389" s="96"/>
      <c r="E389" s="3"/>
      <c r="F389" s="19">
        <f t="shared" si="378"/>
        <v>-1.8333579513002924E-2</v>
      </c>
      <c r="G389" s="13"/>
      <c r="H389" s="19">
        <f t="shared" ref="H389:H398" si="379">IF(G407&lt;0,0,G407)</f>
        <v>4.7436437056852868E-4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73.288499408384041</v>
      </c>
      <c r="AO389">
        <v>10.805066480651959</v>
      </c>
      <c r="AP389">
        <v>66.241197646829178</v>
      </c>
      <c r="AQ389">
        <v>89.457720406276238</v>
      </c>
      <c r="AR389">
        <v>9.9421735588758153</v>
      </c>
      <c r="AS389">
        <v>116.86567041495394</v>
      </c>
      <c r="AT389" t="e">
        <v>#DIV/0!</v>
      </c>
      <c r="AU389" t="e">
        <v>#DIV/0!</v>
      </c>
      <c r="AV389"/>
      <c r="AW389"/>
      <c r="FY389" s="213">
        <v>384</v>
      </c>
      <c r="FZ389">
        <v>22.680694324726304</v>
      </c>
      <c r="GA389">
        <v>29.037910612269027</v>
      </c>
      <c r="GB389">
        <v>6.3085056436350815</v>
      </c>
      <c r="GC389">
        <v>4.4951079465365318</v>
      </c>
      <c r="GD389">
        <v>2.1312205512993896</v>
      </c>
      <c r="GE389">
        <v>1.684548491632581</v>
      </c>
      <c r="GF389">
        <v>1.7659635562877249</v>
      </c>
      <c r="GG389">
        <v>1.0033209256283004</v>
      </c>
      <c r="GH389">
        <v>0</v>
      </c>
      <c r="GI389">
        <v>6.4834426364907607</v>
      </c>
      <c r="GJ389"/>
      <c r="GK389"/>
      <c r="GL389"/>
      <c r="GM389"/>
      <c r="GN389" s="208"/>
      <c r="GO389" s="208"/>
      <c r="GP389" s="208"/>
      <c r="GQ389" s="208"/>
      <c r="GR389" s="208"/>
      <c r="GS389" s="208"/>
      <c r="GT389" s="208"/>
      <c r="GU389" s="213">
        <v>384</v>
      </c>
    </row>
    <row r="390" spans="1:203" s="7" customFormat="1">
      <c r="A390" s="1"/>
      <c r="B390" s="13"/>
      <c r="C390" s="21"/>
      <c r="D390" s="96"/>
      <c r="E390" s="3"/>
      <c r="F390" s="19">
        <f t="shared" si="378"/>
        <v>-2.1512977240037003E-2</v>
      </c>
      <c r="G390" s="13"/>
      <c r="H390" s="19">
        <f t="shared" si="379"/>
        <v>5.008639774304529E-3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99.570594233493566</v>
      </c>
      <c r="AO390">
        <v>15.843199377683565</v>
      </c>
      <c r="AP390">
        <v>116.67094732778119</v>
      </c>
      <c r="AQ390">
        <v>136.13476289556252</v>
      </c>
      <c r="AR390">
        <v>14.58638136985024</v>
      </c>
      <c r="AS390">
        <v>169.49068054206759</v>
      </c>
      <c r="AT390" t="e">
        <v>#DIV/0!</v>
      </c>
      <c r="AU390" t="e">
        <v>#DIV/0!</v>
      </c>
      <c r="AV390"/>
      <c r="AW390"/>
      <c r="FY390" s="213">
        <v>385</v>
      </c>
      <c r="FZ390">
        <v>3.2282700520175642</v>
      </c>
      <c r="GA390">
        <v>8.6299881263871399</v>
      </c>
      <c r="GB390">
        <v>7.1580797335817987</v>
      </c>
      <c r="GC390">
        <v>3.6510862453767197</v>
      </c>
      <c r="GD390">
        <v>2.4317584364551972</v>
      </c>
      <c r="GE390">
        <v>2.8334142477377315</v>
      </c>
      <c r="GF390">
        <v>6.8509221952868486</v>
      </c>
      <c r="GG390">
        <v>7.1145689309739124</v>
      </c>
      <c r="GH390">
        <v>2.7619779405139626</v>
      </c>
      <c r="GI390">
        <v>5.4761381165546341</v>
      </c>
      <c r="GJ390"/>
      <c r="GK390"/>
      <c r="GL390"/>
      <c r="GM390"/>
      <c r="GN390" s="208"/>
      <c r="GO390" s="208"/>
      <c r="GP390" s="208"/>
      <c r="GQ390" s="208"/>
      <c r="GR390" s="208"/>
      <c r="GS390" s="208"/>
      <c r="GT390" s="208"/>
      <c r="GU390" s="213">
        <v>385</v>
      </c>
    </row>
    <row r="391" spans="1:203" s="7" customFormat="1">
      <c r="A391" s="1"/>
      <c r="B391" s="13"/>
      <c r="C391" s="21"/>
      <c r="D391" s="96"/>
      <c r="E391" s="3"/>
      <c r="F391" s="19">
        <f t="shared" si="378"/>
        <v>6.7836390525050578E-3</v>
      </c>
      <c r="G391" s="13"/>
      <c r="H391" s="19">
        <f t="shared" si="379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101.25489045198096</v>
      </c>
      <c r="AO391">
        <v>15.176461862128907</v>
      </c>
      <c r="AP391">
        <v>65.37056976580773</v>
      </c>
      <c r="AQ391">
        <v>113.01780715063212</v>
      </c>
      <c r="AR391">
        <v>13.838672394420092</v>
      </c>
      <c r="AS391">
        <v>177.59467161852484</v>
      </c>
      <c r="AT391" t="e">
        <v>#DIV/0!</v>
      </c>
      <c r="AU391" t="e">
        <v>#DIV/0!</v>
      </c>
      <c r="AV391"/>
      <c r="AW391"/>
      <c r="FY391" s="213">
        <v>386</v>
      </c>
      <c r="FZ391">
        <v>10.268778346551805</v>
      </c>
      <c r="GA391">
        <v>12.891544605725475</v>
      </c>
      <c r="GB391">
        <v>7.1637017901944136</v>
      </c>
      <c r="GC391">
        <v>4.5845319086650003</v>
      </c>
      <c r="GD391">
        <v>2.0093646276868911</v>
      </c>
      <c r="GE391">
        <v>1.8769919168045521</v>
      </c>
      <c r="GF391">
        <v>3.7859198149442501</v>
      </c>
      <c r="GG391">
        <v>5.493767462046601</v>
      </c>
      <c r="GH391">
        <v>4.9231515665761219</v>
      </c>
      <c r="GI391">
        <v>5.9473918467335931</v>
      </c>
      <c r="GJ391"/>
      <c r="GK391"/>
      <c r="GL391"/>
      <c r="GM391"/>
      <c r="GN391" s="208"/>
      <c r="GO391" s="208"/>
      <c r="GP391" s="208"/>
      <c r="GQ391" s="208"/>
      <c r="GR391" s="208"/>
      <c r="GS391" s="208"/>
      <c r="GT391" s="208"/>
      <c r="GU391" s="213">
        <v>386</v>
      </c>
    </row>
    <row r="392" spans="1:203" s="7" customFormat="1">
      <c r="A392" s="1"/>
      <c r="B392" s="13"/>
      <c r="C392" s="21"/>
      <c r="D392" s="96"/>
      <c r="E392" s="3"/>
      <c r="F392" s="19">
        <f t="shared" si="378"/>
        <v>1.9683735956303187E-2</v>
      </c>
      <c r="G392" s="13"/>
      <c r="H392" s="19">
        <f t="shared" si="379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71.951414713394925</v>
      </c>
      <c r="AO392">
        <v>8.6199008102360075</v>
      </c>
      <c r="AP392">
        <v>41.598180481604118</v>
      </c>
      <c r="AQ392">
        <v>66.418231108291081</v>
      </c>
      <c r="AR392">
        <v>7.9799681734018435</v>
      </c>
      <c r="AS392">
        <v>123.30990659676188</v>
      </c>
      <c r="AT392">
        <v>5.7495440973369343</v>
      </c>
      <c r="AU392">
        <v>8.296421522453489</v>
      </c>
      <c r="AV392"/>
      <c r="AW392"/>
      <c r="FY392" s="213">
        <v>387</v>
      </c>
      <c r="FZ392">
        <v>37.448646895314496</v>
      </c>
      <c r="GA392">
        <v>44.939100168047077</v>
      </c>
      <c r="GB392">
        <v>7.5121882924513272</v>
      </c>
      <c r="GC392">
        <v>4.6654870615198769</v>
      </c>
      <c r="GD392">
        <v>1.8989449056653047</v>
      </c>
      <c r="GE392">
        <v>1.830459276749332</v>
      </c>
      <c r="GF392">
        <v>5.1426093447824623</v>
      </c>
      <c r="GG392">
        <v>7.6764877055770731</v>
      </c>
      <c r="GH392">
        <v>4.6811079348310667</v>
      </c>
      <c r="GI392">
        <v>10.266060147013185</v>
      </c>
      <c r="GJ392"/>
      <c r="GK392"/>
      <c r="GL392"/>
      <c r="GM392"/>
      <c r="GN392" s="208"/>
      <c r="GO392" s="208"/>
      <c r="GP392" s="208"/>
      <c r="GQ392" s="208"/>
      <c r="GR392" s="208"/>
      <c r="GS392" s="208"/>
      <c r="GT392" s="208"/>
      <c r="GU392" s="213">
        <v>387</v>
      </c>
    </row>
    <row r="393" spans="1:203" s="7" customFormat="1">
      <c r="A393" s="1"/>
      <c r="B393" s="13"/>
      <c r="C393" s="21"/>
      <c r="D393" s="96"/>
      <c r="E393" s="3"/>
      <c r="F393" s="19">
        <f t="shared" si="378"/>
        <v>1.7119357280573854E-2</v>
      </c>
      <c r="G393" s="13"/>
      <c r="H393" s="19">
        <f t="shared" si="379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80.655387618870122</v>
      </c>
      <c r="AO393">
        <v>11.605975940358363</v>
      </c>
      <c r="AP393">
        <v>73.725766799780331</v>
      </c>
      <c r="AQ393">
        <v>84.140251287307251</v>
      </c>
      <c r="AR393">
        <v>10.811857028989367</v>
      </c>
      <c r="AS393">
        <v>139.06468654063957</v>
      </c>
      <c r="AT393">
        <v>7.047863575253225</v>
      </c>
      <c r="AU393">
        <v>-38.698180678463878</v>
      </c>
      <c r="AV393"/>
      <c r="AW393"/>
      <c r="FY393" s="213">
        <v>388</v>
      </c>
      <c r="FZ393">
        <v>35.34085496003604</v>
      </c>
      <c r="GA393">
        <v>39.890016357954636</v>
      </c>
      <c r="GB393">
        <v>4.7799849973021491</v>
      </c>
      <c r="GC393">
        <v>4.5054423230402376</v>
      </c>
      <c r="GD393">
        <v>2.5064597070433234</v>
      </c>
      <c r="GE393">
        <v>2.0890990171437558</v>
      </c>
      <c r="GF393">
        <v>1.5648846277621684</v>
      </c>
      <c r="GG393">
        <v>1.2834928915873909</v>
      </c>
      <c r="GH393">
        <v>0.60080431445180338</v>
      </c>
      <c r="GI393">
        <v>8.2413485609949024</v>
      </c>
      <c r="GJ393"/>
      <c r="GK393"/>
      <c r="GL393"/>
      <c r="GM393"/>
      <c r="GN393" s="208"/>
      <c r="GO393" s="208"/>
      <c r="GP393" s="208"/>
      <c r="GQ393" s="208"/>
      <c r="GR393" s="208"/>
      <c r="GS393" s="208"/>
      <c r="GT393" s="208"/>
      <c r="GU393" s="213">
        <v>388</v>
      </c>
    </row>
    <row r="394" spans="1:203" s="7" customFormat="1">
      <c r="A394" s="1"/>
      <c r="B394" s="13"/>
      <c r="C394" s="21"/>
      <c r="D394" s="96"/>
      <c r="E394" s="3"/>
      <c r="F394" s="19">
        <f t="shared" si="378"/>
        <v>-3.1429548318343825E-3</v>
      </c>
      <c r="G394" s="13"/>
      <c r="H394" s="19">
        <f t="shared" si="379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83.365363692632954</v>
      </c>
      <c r="AO394">
        <v>9.5063288548677356</v>
      </c>
      <c r="AP394">
        <v>33.081271607614049</v>
      </c>
      <c r="AQ394">
        <v>61.260317759553814</v>
      </c>
      <c r="AR394">
        <v>8.7501046198003234</v>
      </c>
      <c r="AS394">
        <v>129.46271191293806</v>
      </c>
      <c r="AT394" t="e">
        <v>#DIV/0!</v>
      </c>
      <c r="AU394" t="e">
        <v>#DIV/0!</v>
      </c>
      <c r="AV394"/>
      <c r="AW394"/>
      <c r="FY394" s="213">
        <v>389</v>
      </c>
      <c r="FZ394">
        <v>44.093819338654292</v>
      </c>
      <c r="GA394">
        <v>59.378678295172008</v>
      </c>
      <c r="GB394">
        <v>8.4636238924383846</v>
      </c>
      <c r="GC394">
        <v>3.7383027626808873</v>
      </c>
      <c r="GD394">
        <v>2.3530223567769335</v>
      </c>
      <c r="GE394">
        <v>2.5416516433138501</v>
      </c>
      <c r="GF394">
        <v>3.8638854058915753</v>
      </c>
      <c r="GG394">
        <v>3.2299151881293291</v>
      </c>
      <c r="GH394">
        <v>0.60080431445180338</v>
      </c>
      <c r="GI394">
        <v>10.815919143143201</v>
      </c>
      <c r="GJ394"/>
      <c r="GK394"/>
      <c r="GL394"/>
      <c r="GM394"/>
      <c r="GN394" s="208"/>
      <c r="GO394" s="208"/>
      <c r="GP394" s="208"/>
      <c r="GQ394" s="208"/>
      <c r="GR394" s="208"/>
      <c r="GS394" s="208"/>
      <c r="GT394" s="208"/>
      <c r="GU394" s="213">
        <v>389</v>
      </c>
    </row>
    <row r="395" spans="1:203" s="7" customFormat="1">
      <c r="A395" s="1"/>
      <c r="B395" s="13"/>
      <c r="C395" s="21"/>
      <c r="D395" s="96"/>
      <c r="E395" s="3"/>
      <c r="F395" s="19">
        <f t="shared" si="378"/>
        <v>3.6429980497278266E-3</v>
      </c>
      <c r="G395" s="13"/>
      <c r="H395" s="19">
        <f t="shared" si="379"/>
        <v>1.6126737506775277E-2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88.868781660173653</v>
      </c>
      <c r="AO395">
        <v>10.184386558590253</v>
      </c>
      <c r="AP395">
        <v>72.802665653631891</v>
      </c>
      <c r="AQ395">
        <v>77.556897423751991</v>
      </c>
      <c r="AR395">
        <v>9.3713885432203927</v>
      </c>
      <c r="AS395">
        <v>150.01032665129199</v>
      </c>
      <c r="AT395">
        <v>6.5658577593355352</v>
      </c>
      <c r="AU395">
        <v>-34.858233619038522</v>
      </c>
      <c r="AV395"/>
      <c r="AW395"/>
      <c r="FY395" s="213">
        <v>390</v>
      </c>
      <c r="FZ395">
        <v>29.744611212956372</v>
      </c>
      <c r="GA395">
        <v>34.913577159370867</v>
      </c>
      <c r="GB395">
        <v>5.2200785203731916</v>
      </c>
      <c r="GC395">
        <v>4.8047969546400067</v>
      </c>
      <c r="GD395">
        <v>2.0652549565183875</v>
      </c>
      <c r="GE395">
        <v>1.1831187993289753</v>
      </c>
      <c r="GF395">
        <v>3.0121759207459697</v>
      </c>
      <c r="GG395">
        <v>2.4951217915912927</v>
      </c>
      <c r="GH395">
        <v>0.60080431445180338</v>
      </c>
      <c r="GI395">
        <v>7.5178542363817566</v>
      </c>
      <c r="GJ395"/>
      <c r="GK395"/>
      <c r="GL395"/>
      <c r="GM395"/>
      <c r="GN395" s="208"/>
      <c r="GO395" s="208"/>
      <c r="GP395" s="208"/>
      <c r="GQ395" s="208"/>
      <c r="GR395" s="208"/>
      <c r="GS395" s="208"/>
      <c r="GT395" s="208"/>
      <c r="GU395" s="213">
        <v>390</v>
      </c>
    </row>
    <row r="396" spans="1:203" s="7" customFormat="1">
      <c r="A396" s="1"/>
      <c r="B396" s="13"/>
      <c r="C396" s="21"/>
      <c r="D396" s="96"/>
      <c r="E396" s="3"/>
      <c r="F396" s="19">
        <f t="shared" si="378"/>
        <v>4.1101455678957975E-2</v>
      </c>
      <c r="G396" s="13"/>
      <c r="H396" s="19">
        <f t="shared" si="379"/>
        <v>0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120.05821775512445</v>
      </c>
      <c r="AO396">
        <v>18.929797243908901</v>
      </c>
      <c r="AP396">
        <v>120.04467826034885</v>
      </c>
      <c r="AQ396">
        <v>156.93005795759692</v>
      </c>
      <c r="AR396">
        <v>17.458279729403021</v>
      </c>
      <c r="AS396">
        <v>213.07643850220569</v>
      </c>
      <c r="AT396">
        <v>11.993086151604304</v>
      </c>
      <c r="AU396">
        <v>25.423897120991406</v>
      </c>
      <c r="AV396"/>
      <c r="AW396"/>
      <c r="FY396" s="213">
        <v>391</v>
      </c>
      <c r="FZ396">
        <v>29.315749000249816</v>
      </c>
      <c r="GA396">
        <v>42.13711359031894</v>
      </c>
      <c r="GB396">
        <v>9.0491103686288596</v>
      </c>
      <c r="GC396">
        <v>4.0799511992570423</v>
      </c>
      <c r="GD396">
        <v>2.4601330695714374</v>
      </c>
      <c r="GE396">
        <v>2.7917834391460516</v>
      </c>
      <c r="GF396">
        <v>4.8185265564972557</v>
      </c>
      <c r="GG396">
        <v>5.1721364276302335</v>
      </c>
      <c r="GH396">
        <v>2.1611736260621592</v>
      </c>
      <c r="GI396">
        <v>9.3296119659221404</v>
      </c>
      <c r="GJ396"/>
      <c r="GK396"/>
      <c r="GL396"/>
      <c r="GM396"/>
      <c r="GN396" s="208"/>
      <c r="GO396" s="208"/>
      <c r="GP396" s="208"/>
      <c r="GQ396" s="208"/>
      <c r="GR396" s="208"/>
      <c r="GS396" s="208"/>
      <c r="GT396" s="208"/>
      <c r="GU396" s="213">
        <v>391</v>
      </c>
    </row>
    <row r="397" spans="1:203" s="7" customFormat="1">
      <c r="A397" s="1"/>
      <c r="B397" s="13"/>
      <c r="C397" s="21"/>
      <c r="D397" s="96"/>
      <c r="E397" s="3"/>
      <c r="F397" s="19">
        <f t="shared" si="378"/>
        <v>0</v>
      </c>
      <c r="G397" s="13"/>
      <c r="H397" s="19">
        <f t="shared" si="379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77.57531901649547</v>
      </c>
      <c r="AO397">
        <v>11.472203198524593</v>
      </c>
      <c r="AP397">
        <v>35.827483980003734</v>
      </c>
      <c r="AQ397">
        <v>76.701237670440548</v>
      </c>
      <c r="AR397">
        <v>10.811940339227451</v>
      </c>
      <c r="AS397">
        <v>122.91429669676556</v>
      </c>
      <c r="AT397">
        <v>6.0921014088781744</v>
      </c>
      <c r="AU397">
        <v>20.994680807906221</v>
      </c>
      <c r="AV397"/>
      <c r="AW397"/>
      <c r="FY397" s="213">
        <v>392</v>
      </c>
      <c r="FZ397">
        <v>9.5939437011883317</v>
      </c>
      <c r="GA397">
        <v>13.209380950986514</v>
      </c>
      <c r="GB397">
        <v>10.718605918118767</v>
      </c>
      <c r="GC397">
        <v>6.1049847902421899</v>
      </c>
      <c r="GD397">
        <v>2.0082233838972599</v>
      </c>
      <c r="GE397">
        <v>2.5095799837537385</v>
      </c>
      <c r="GF397">
        <v>2.9405532472503921</v>
      </c>
      <c r="GG397">
        <v>5.747524298077737</v>
      </c>
      <c r="GH397">
        <v>6.4835208781864768</v>
      </c>
      <c r="GI397">
        <v>6.8470228272694298</v>
      </c>
      <c r="GJ397"/>
      <c r="GK397"/>
      <c r="GL397"/>
      <c r="GM397"/>
      <c r="GN397" s="208"/>
      <c r="GO397" s="208"/>
      <c r="GP397" s="208"/>
      <c r="GQ397" s="208"/>
      <c r="GR397" s="208"/>
      <c r="GS397" s="208"/>
      <c r="GT397" s="208"/>
      <c r="GU397" s="213">
        <v>392</v>
      </c>
    </row>
    <row r="398" spans="1:203" s="7" customFormat="1">
      <c r="A398" s="1"/>
      <c r="B398" s="13"/>
      <c r="C398" s="21"/>
      <c r="D398" s="96"/>
      <c r="E398" s="3"/>
      <c r="F398" s="19">
        <f t="shared" si="378"/>
        <v>0</v>
      </c>
      <c r="G398" s="13"/>
      <c r="H398" s="19">
        <f t="shared" si="379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121.94303425872265</v>
      </c>
      <c r="AO398">
        <v>23.577073683261212</v>
      </c>
      <c r="AP398">
        <v>138.96680337210597</v>
      </c>
      <c r="AQ398">
        <v>196.09431365847774</v>
      </c>
      <c r="AR398">
        <v>21.691916078035554</v>
      </c>
      <c r="AS398">
        <v>239.80271117879613</v>
      </c>
      <c r="AT398">
        <v>13.65253592294207</v>
      </c>
      <c r="AU398">
        <v>30.535429044797453</v>
      </c>
      <c r="AV398"/>
      <c r="AW398"/>
      <c r="FY398" s="213">
        <v>393</v>
      </c>
      <c r="FZ398">
        <v>80.179415896772184</v>
      </c>
      <c r="GA398">
        <v>100.08687786510086</v>
      </c>
      <c r="GB398">
        <v>11.631754452082955</v>
      </c>
      <c r="GC398">
        <v>6.3198295754923404</v>
      </c>
      <c r="GD398">
        <v>2.2506104777426366</v>
      </c>
      <c r="GE398">
        <v>2.2005104711384074</v>
      </c>
      <c r="GF398">
        <v>5.1793649416143417</v>
      </c>
      <c r="GG398">
        <v>4.1197017898740871</v>
      </c>
      <c r="GH398">
        <v>1.2016086289036068</v>
      </c>
      <c r="GI398">
        <v>17.206006691647861</v>
      </c>
      <c r="GJ398"/>
      <c r="GK398"/>
      <c r="GL398"/>
      <c r="GM398"/>
      <c r="GN398" s="208"/>
      <c r="GO398" s="208"/>
      <c r="GP398" s="208"/>
      <c r="GQ398" s="208"/>
      <c r="GR398" s="208"/>
      <c r="GS398" s="208"/>
      <c r="GT398" s="208"/>
      <c r="GU398" s="213">
        <v>393</v>
      </c>
    </row>
    <row r="399" spans="1:203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117.38448306046556</v>
      </c>
      <c r="AO399">
        <v>22.901982395863548</v>
      </c>
      <c r="AP399">
        <v>133.07823734360582</v>
      </c>
      <c r="AQ399">
        <v>188.27743664178504</v>
      </c>
      <c r="AR399">
        <v>20.912601348612203</v>
      </c>
      <c r="AS399">
        <v>220.18313504792195</v>
      </c>
      <c r="AT399" t="e">
        <v>#DIV/0!</v>
      </c>
      <c r="AU399" t="e">
        <v>#DIV/0!</v>
      </c>
      <c r="AV399"/>
      <c r="AW399"/>
      <c r="FY399" s="213">
        <v>394</v>
      </c>
      <c r="FZ399">
        <v>33.764527190708975</v>
      </c>
      <c r="GA399">
        <v>50.050073043890322</v>
      </c>
      <c r="GB399">
        <v>15.515636339999828</v>
      </c>
      <c r="GC399">
        <v>6.7944405551204445</v>
      </c>
      <c r="GD399">
        <v>2.2617336226777942</v>
      </c>
      <c r="GE399">
        <v>2.5577640616401132</v>
      </c>
      <c r="GF399">
        <v>3.0879828015274353</v>
      </c>
      <c r="GG399">
        <v>3.500169604101409</v>
      </c>
      <c r="GH399">
        <v>1.5603693116103559</v>
      </c>
      <c r="GI399">
        <v>11.092900935707409</v>
      </c>
      <c r="GJ399"/>
      <c r="GK399"/>
      <c r="GL399"/>
      <c r="GM399"/>
      <c r="GN399" s="208"/>
      <c r="GO399" s="208"/>
      <c r="GP399" s="208"/>
      <c r="GQ399" s="208"/>
      <c r="GR399" s="208"/>
      <c r="GS399" s="208"/>
      <c r="GT399" s="208"/>
      <c r="GU399" s="213">
        <v>394</v>
      </c>
    </row>
    <row r="400" spans="1:203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84.208105904828784</v>
      </c>
      <c r="AO400">
        <v>9.6926799235009948</v>
      </c>
      <c r="AP400">
        <v>48.580448220854763</v>
      </c>
      <c r="AQ400">
        <v>75.590714688505713</v>
      </c>
      <c r="AR400">
        <v>8.9041445555553409</v>
      </c>
      <c r="AS400">
        <v>120.72280461576445</v>
      </c>
      <c r="AT400" t="e">
        <v>#DIV/0!</v>
      </c>
      <c r="AU400" t="e">
        <v>#DIV/0!</v>
      </c>
      <c r="AV400"/>
      <c r="AW400"/>
      <c r="FY400" s="213">
        <v>395</v>
      </c>
      <c r="FZ400">
        <v>50.655791731577459</v>
      </c>
      <c r="GA400">
        <v>56.571985443732494</v>
      </c>
      <c r="GB400">
        <v>5.5389772927867247</v>
      </c>
      <c r="GC400">
        <v>4.6716864345598328</v>
      </c>
      <c r="GD400">
        <v>2.2662055745306025</v>
      </c>
      <c r="GE400">
        <v>2.306295013077762</v>
      </c>
      <c r="GF400">
        <v>1.6359308413762901</v>
      </c>
      <c r="GG400">
        <v>4.5076941616181267</v>
      </c>
      <c r="GH400">
        <v>4.6811079348310667</v>
      </c>
      <c r="GI400">
        <v>11.269881077325094</v>
      </c>
      <c r="GJ400"/>
      <c r="GK400"/>
      <c r="GL400"/>
      <c r="GM400"/>
      <c r="GN400" s="208"/>
      <c r="GO400" s="208"/>
      <c r="GP400" s="208"/>
      <c r="GQ400" s="208"/>
      <c r="GR400" s="208"/>
      <c r="GS400" s="208"/>
      <c r="GT400" s="208"/>
      <c r="GU400" s="213">
        <v>395</v>
      </c>
    </row>
    <row r="401" spans="1:203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60.276557911699896</v>
      </c>
      <c r="AO401">
        <v>8.1179776663665262</v>
      </c>
      <c r="AP401">
        <v>30.659373626522278</v>
      </c>
      <c r="AQ401">
        <v>50.136204024885515</v>
      </c>
      <c r="AR401">
        <v>7.6254802324048798</v>
      </c>
      <c r="AS401">
        <v>102.81617370211806</v>
      </c>
      <c r="AT401">
        <v>4.7621389429284831</v>
      </c>
      <c r="AU401">
        <v>8.273481116353345</v>
      </c>
      <c r="AV401"/>
      <c r="AW401"/>
      <c r="FY401" s="213">
        <v>396</v>
      </c>
      <c r="FZ401">
        <v>10.797401367926451</v>
      </c>
      <c r="GA401">
        <v>10.362857505445998</v>
      </c>
      <c r="GB401">
        <v>2.7001469078298692</v>
      </c>
      <c r="GC401">
        <v>3.1306384015441839</v>
      </c>
      <c r="GD401">
        <v>2.1025235563042615</v>
      </c>
      <c r="GE401">
        <v>1.8162127381357316</v>
      </c>
      <c r="GF401">
        <v>1.9239439705296539</v>
      </c>
      <c r="GG401">
        <v>1.477354928495715</v>
      </c>
      <c r="GH401">
        <v>0</v>
      </c>
      <c r="GI401">
        <v>3.8887569351770024</v>
      </c>
      <c r="GJ401"/>
      <c r="GK401"/>
      <c r="GL401"/>
      <c r="GM401"/>
      <c r="GN401" s="208"/>
      <c r="GO401" s="208"/>
      <c r="GP401" s="208"/>
      <c r="GQ401" s="208"/>
      <c r="GR401" s="208"/>
      <c r="GS401" s="208"/>
      <c r="GT401" s="208"/>
      <c r="GU401" s="213">
        <v>396</v>
      </c>
    </row>
    <row r="402" spans="1:203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78.650622197744397</v>
      </c>
      <c r="AO402">
        <v>8.5727362197654315</v>
      </c>
      <c r="AP402">
        <v>30.826689795563798</v>
      </c>
      <c r="AQ402">
        <v>58.945143885928701</v>
      </c>
      <c r="AR402">
        <v>8.1781720158895936</v>
      </c>
      <c r="AS402">
        <v>122.22259241184015</v>
      </c>
      <c r="AT402">
        <v>5.4175586456470306</v>
      </c>
      <c r="AU402">
        <v>23.527416859650046</v>
      </c>
      <c r="AV402"/>
      <c r="AW402"/>
      <c r="FY402" s="213">
        <v>397</v>
      </c>
      <c r="FZ402">
        <v>44.587920865901815</v>
      </c>
      <c r="GA402">
        <v>59.562973804342647</v>
      </c>
      <c r="GB402">
        <v>12.277500104172004</v>
      </c>
      <c r="GC402">
        <v>5.6574725789081874</v>
      </c>
      <c r="GD402">
        <v>2.0344109521722662</v>
      </c>
      <c r="GE402">
        <v>2.0976518513426887</v>
      </c>
      <c r="GF402">
        <v>3.6869259019996345</v>
      </c>
      <c r="GG402">
        <v>5.2320312267530458</v>
      </c>
      <c r="GH402">
        <v>4.3223472521243185</v>
      </c>
      <c r="GI402">
        <v>12.302171319044993</v>
      </c>
      <c r="GJ402"/>
      <c r="GK402"/>
      <c r="GL402"/>
      <c r="GM402"/>
      <c r="GN402" s="208"/>
      <c r="GO402" s="208"/>
      <c r="GP402" s="208"/>
      <c r="GQ402" s="208"/>
      <c r="GR402" s="208"/>
      <c r="GS402" s="208"/>
      <c r="GT402" s="208"/>
      <c r="GU402" s="213">
        <v>397</v>
      </c>
    </row>
    <row r="403" spans="1:203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86.491014581119813</v>
      </c>
      <c r="AO403">
        <v>15.429266547750682</v>
      </c>
      <c r="AP403">
        <v>74.019626329267012</v>
      </c>
      <c r="AQ403">
        <v>126.06109173195119</v>
      </c>
      <c r="AR403">
        <v>14.220481946561108</v>
      </c>
      <c r="AS403">
        <v>153.61513182652763</v>
      </c>
      <c r="AT403" t="e">
        <v>#DIV/0!</v>
      </c>
      <c r="AU403" t="e">
        <v>#DIV/0!</v>
      </c>
      <c r="AV403"/>
      <c r="AW403"/>
      <c r="FY403" s="213">
        <v>398</v>
      </c>
      <c r="FZ403">
        <v>65.508016285040213</v>
      </c>
      <c r="GA403">
        <v>78.343608423160219</v>
      </c>
      <c r="GB403">
        <v>12.489502935426433</v>
      </c>
      <c r="GC403">
        <v>7.7517300995968785</v>
      </c>
      <c r="GD403">
        <v>2.900183932151351</v>
      </c>
      <c r="GE403">
        <v>3.5614047520193353</v>
      </c>
      <c r="GF403">
        <v>3.5060286455922345</v>
      </c>
      <c r="GG403">
        <v>3.423565961194877</v>
      </c>
      <c r="GH403">
        <v>2.1611736260621592</v>
      </c>
      <c r="GI403">
        <v>15.552706468706559</v>
      </c>
      <c r="GJ403"/>
      <c r="GK403"/>
      <c r="GL403"/>
      <c r="GM403"/>
      <c r="GN403" s="208"/>
      <c r="GO403" s="208"/>
      <c r="GP403" s="208"/>
      <c r="GQ403" s="208"/>
      <c r="GR403" s="208"/>
      <c r="GS403" s="208"/>
      <c r="GT403" s="208"/>
      <c r="GU403" s="213">
        <v>398</v>
      </c>
    </row>
    <row r="404" spans="1:203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80.323691401848095</v>
      </c>
      <c r="AO404">
        <v>12.264427449316425</v>
      </c>
      <c r="AP404">
        <v>84.950607076075926</v>
      </c>
      <c r="AQ404">
        <v>100.80238775731641</v>
      </c>
      <c r="AR404">
        <v>11.361383552808531</v>
      </c>
      <c r="AS404">
        <v>133.56052163444042</v>
      </c>
      <c r="AT404" t="e">
        <v>#DIV/0!</v>
      </c>
      <c r="AU404" t="e">
        <v>#DIV/0!</v>
      </c>
      <c r="AV404"/>
      <c r="AW404"/>
      <c r="FY404" s="213">
        <v>399</v>
      </c>
      <c r="FZ404">
        <v>15.854218638044207</v>
      </c>
      <c r="GA404">
        <v>17.669304230862188</v>
      </c>
      <c r="GB404">
        <v>5.9329212315859587</v>
      </c>
      <c r="GC404">
        <v>4.96713195648337</v>
      </c>
      <c r="GD404">
        <v>2.0559808075426873</v>
      </c>
      <c r="GE404">
        <v>1.5492953999404016</v>
      </c>
      <c r="GF404">
        <v>6.8574619048037935</v>
      </c>
      <c r="GG404">
        <v>7.025511773427831</v>
      </c>
      <c r="GH404">
        <v>1.5603693116103559</v>
      </c>
      <c r="GI404">
        <v>6.4947670041156114</v>
      </c>
      <c r="GJ404"/>
      <c r="GK404"/>
      <c r="GL404"/>
      <c r="GM404"/>
      <c r="GN404" s="208"/>
      <c r="GO404" s="208"/>
      <c r="GP404" s="208"/>
      <c r="GQ404" s="208"/>
      <c r="GR404" s="208"/>
      <c r="GS404" s="208"/>
      <c r="GT404" s="208"/>
      <c r="GU404" s="213">
        <v>399</v>
      </c>
    </row>
    <row r="405" spans="1:203" s="7" customFormat="1">
      <c r="A405" s="189">
        <v>13.69</v>
      </c>
      <c r="B405" s="71">
        <f t="shared" ref="B405:B414" si="380">+C4</f>
        <v>39646</v>
      </c>
      <c r="C405" s="61">
        <v>0</v>
      </c>
      <c r="D405" s="61">
        <f t="shared" ref="D405:D414" si="381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2.1923076923076925</v>
      </c>
      <c r="E405" s="108">
        <f t="shared" ref="E405:E414" si="382">IF(D405=0,0.00000001,(1-$A$43/100)*($A$39*(D405^($A$41))))</f>
        <v>5.975304840152134E-2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95.303875045818501</v>
      </c>
      <c r="AO405">
        <v>16.314974799711074</v>
      </c>
      <c r="AP405">
        <v>110.12812829565942</v>
      </c>
      <c r="AQ405">
        <v>139.07962234065226</v>
      </c>
      <c r="AR405">
        <v>15.021699510066979</v>
      </c>
      <c r="AS405">
        <v>191.69307060687041</v>
      </c>
      <c r="AT405" t="e">
        <v>#DIV/0!</v>
      </c>
      <c r="AU405" t="e">
        <v>#DIV/0!</v>
      </c>
      <c r="AV405"/>
      <c r="AW405"/>
      <c r="FY405" s="213">
        <v>400</v>
      </c>
      <c r="FZ405">
        <v>31.859394580666624</v>
      </c>
      <c r="GA405">
        <v>42.863934576724297</v>
      </c>
      <c r="GB405">
        <v>9.7928281516114328</v>
      </c>
      <c r="GC405">
        <v>5.4222885804600063</v>
      </c>
      <c r="GD405">
        <v>2.2357361943083189</v>
      </c>
      <c r="GE405">
        <v>2.1819263380051095</v>
      </c>
      <c r="GF405">
        <v>3.6709284371673667</v>
      </c>
      <c r="GG405">
        <v>2.7937887078618582</v>
      </c>
      <c r="GH405">
        <v>0.60080431445180338</v>
      </c>
      <c r="GI405">
        <v>9.2351628438662079</v>
      </c>
      <c r="GJ405"/>
      <c r="GK405"/>
      <c r="GL405"/>
      <c r="GM405"/>
      <c r="GN405" s="208"/>
      <c r="GO405" s="208"/>
      <c r="GP405" s="208"/>
      <c r="GQ405" s="208"/>
      <c r="GR405" s="208"/>
      <c r="GS405" s="208"/>
      <c r="GT405" s="208"/>
      <c r="GU405" s="213">
        <v>400</v>
      </c>
    </row>
    <row r="406" spans="1:203" s="7" customFormat="1">
      <c r="A406" s="189">
        <v>9.4499999999999993</v>
      </c>
      <c r="B406" s="71">
        <f t="shared" si="380"/>
        <v>39673</v>
      </c>
      <c r="C406" s="61">
        <f>B406-B405</f>
        <v>27</v>
      </c>
      <c r="D406" s="61">
        <f t="shared" si="381"/>
        <v>3.7922330097087378</v>
      </c>
      <c r="E406" s="108">
        <f t="shared" si="382"/>
        <v>0.26109622490079604</v>
      </c>
      <c r="F406" s="19">
        <f t="shared" ref="F406:F414" si="383">IF(C374&lt;1,0,LN(E406/E405)/E21)</f>
        <v>5.4617363273187503E-2</v>
      </c>
      <c r="G406" s="19">
        <f t="shared" ref="G406:G414" si="384">IF(D406=0, 0, 0.051-(0.068*LN(D406))+(0.006*A406))</f>
        <v>1.7059057945519873E-2</v>
      </c>
      <c r="H406" s="19">
        <f t="shared" ref="H406:H414" si="385">+IF((G406&gt;0),G406,0)</f>
        <v>1.7059057945519873E-2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83.89510987308276</v>
      </c>
      <c r="AO406">
        <v>11.262580499330534</v>
      </c>
      <c r="AP406">
        <v>77.203577416956051</v>
      </c>
      <c r="AQ406">
        <v>91.557393866358623</v>
      </c>
      <c r="AR406">
        <v>10.333885681814309</v>
      </c>
      <c r="AS406">
        <v>130.08395383008175</v>
      </c>
      <c r="AT406" t="e">
        <v>#DIV/0!</v>
      </c>
      <c r="AU406" t="e">
        <v>#DIV/0!</v>
      </c>
      <c r="AV406"/>
      <c r="AW406"/>
      <c r="FY406" s="213">
        <v>401</v>
      </c>
      <c r="FZ406">
        <v>41.56936139607393</v>
      </c>
      <c r="GA406">
        <v>50.369585714674614</v>
      </c>
      <c r="GB406">
        <v>5.4631908131868716</v>
      </c>
      <c r="GC406">
        <v>3.9065730226453597</v>
      </c>
      <c r="GD406">
        <v>1.7918017115043261</v>
      </c>
      <c r="GE406">
        <v>1.233188320316212</v>
      </c>
      <c r="GF406">
        <v>1.1484210339817735</v>
      </c>
      <c r="GG406">
        <v>1.8366665020138782</v>
      </c>
      <c r="GH406">
        <v>1.5603693116103559</v>
      </c>
      <c r="GI406">
        <v>8.9992840294381597</v>
      </c>
      <c r="GJ406"/>
      <c r="GK406"/>
      <c r="GL406"/>
      <c r="GM406"/>
      <c r="GN406" s="208"/>
      <c r="GO406" s="208"/>
      <c r="GP406" s="208"/>
      <c r="GQ406" s="208"/>
      <c r="GR406" s="208"/>
      <c r="GS406" s="208"/>
      <c r="GT406" s="208"/>
      <c r="GU406" s="213">
        <v>401</v>
      </c>
    </row>
    <row r="407" spans="1:203" s="7" customFormat="1">
      <c r="A407" s="189">
        <v>4.03</v>
      </c>
      <c r="B407" s="71">
        <f t="shared" si="380"/>
        <v>39714</v>
      </c>
      <c r="C407" s="61">
        <f>B407-$B$405</f>
        <v>68</v>
      </c>
      <c r="D407" s="61">
        <f t="shared" si="381"/>
        <v>3</v>
      </c>
      <c r="E407" s="108">
        <f t="shared" si="382"/>
        <v>0.13897203136197886</v>
      </c>
      <c r="F407" s="19">
        <f t="shared" si="383"/>
        <v>-1.5380885792613314E-2</v>
      </c>
      <c r="G407" s="19">
        <f t="shared" si="384"/>
        <v>4.7436437056852868E-4</v>
      </c>
      <c r="H407" s="19">
        <f t="shared" si="385"/>
        <v>4.7436437056852868E-4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92.576104138236488</v>
      </c>
      <c r="AO407">
        <v>14.040456611077351</v>
      </c>
      <c r="AP407">
        <v>88.178139917795065</v>
      </c>
      <c r="AQ407">
        <v>111.31528924328396</v>
      </c>
      <c r="AR407">
        <v>12.949734205695384</v>
      </c>
      <c r="AS407">
        <v>161.11522726316787</v>
      </c>
      <c r="AT407">
        <v>8.7269257761946779</v>
      </c>
      <c r="AU407">
        <v>8.5693596445385083</v>
      </c>
      <c r="AV407"/>
      <c r="AW407"/>
      <c r="FY407" s="213">
        <v>402</v>
      </c>
      <c r="FZ407">
        <v>17.695720372857174</v>
      </c>
      <c r="GA407">
        <v>28.599072382289741</v>
      </c>
      <c r="GB407">
        <v>11.095188857501352</v>
      </c>
      <c r="GC407">
        <v>5.1291709213045484</v>
      </c>
      <c r="GD407">
        <v>2.3068441880662993</v>
      </c>
      <c r="GE407">
        <v>2.826035218453061</v>
      </c>
      <c r="GF407">
        <v>2.3419898145944531</v>
      </c>
      <c r="GG407">
        <v>2.5627304540306133</v>
      </c>
      <c r="GH407">
        <v>2.1611736260621592</v>
      </c>
      <c r="GI407">
        <v>7.583763418001654</v>
      </c>
      <c r="GJ407"/>
      <c r="GK407"/>
      <c r="GL407"/>
      <c r="GM407"/>
      <c r="GN407" s="208"/>
      <c r="GO407" s="208"/>
      <c r="GP407" s="208"/>
      <c r="GQ407" s="208"/>
      <c r="GR407" s="208"/>
      <c r="GS407" s="208"/>
      <c r="GT407" s="208"/>
      <c r="GU407" s="213">
        <v>402</v>
      </c>
    </row>
    <row r="408" spans="1:203" s="7" customFormat="1">
      <c r="A408" s="189">
        <v>0.78</v>
      </c>
      <c r="B408" s="71">
        <f t="shared" si="380"/>
        <v>39747</v>
      </c>
      <c r="C408" s="61">
        <f t="shared" ref="C408:C414" si="386">B408-$B$405</f>
        <v>101</v>
      </c>
      <c r="D408" s="61">
        <f t="shared" si="381"/>
        <v>2.1067933709968489</v>
      </c>
      <c r="E408" s="108">
        <f t="shared" si="382"/>
        <v>5.3685964309105737E-2</v>
      </c>
      <c r="F408" s="19">
        <f t="shared" si="383"/>
        <v>-2.8821851653945432E-2</v>
      </c>
      <c r="G408" s="19">
        <f t="shared" si="384"/>
        <v>5.008639774304529E-3</v>
      </c>
      <c r="H408" s="19">
        <f t="shared" si="385"/>
        <v>5.008639774304529E-3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91.223980368009279</v>
      </c>
      <c r="AO408">
        <v>10.065098310872528</v>
      </c>
      <c r="AP408">
        <v>39.609499385795601</v>
      </c>
      <c r="AQ408">
        <v>66.163339978970839</v>
      </c>
      <c r="AR408">
        <v>9.4688653785041623</v>
      </c>
      <c r="AS408">
        <v>128.03056049037576</v>
      </c>
      <c r="AT408">
        <v>5.6949204163369629</v>
      </c>
      <c r="AU408">
        <v>31.122205203760281</v>
      </c>
      <c r="AV408"/>
      <c r="AW408"/>
      <c r="FY408" s="213">
        <v>403</v>
      </c>
      <c r="FZ408">
        <v>25.149801902423679</v>
      </c>
      <c r="GA408">
        <v>32.6396708545537</v>
      </c>
      <c r="GB408">
        <v>10.916083730866479</v>
      </c>
      <c r="GC408">
        <v>6.4054137136808036</v>
      </c>
      <c r="GD408">
        <v>2.1228317433374824</v>
      </c>
      <c r="GE408">
        <v>2.2688645575340103</v>
      </c>
      <c r="GF408">
        <v>3.8729634933906389</v>
      </c>
      <c r="GG408">
        <v>3.1832782210080848</v>
      </c>
      <c r="GH408">
        <v>0</v>
      </c>
      <c r="GI408">
        <v>8.4125716757496516</v>
      </c>
      <c r="GJ408"/>
      <c r="GK408"/>
      <c r="GL408"/>
      <c r="GM408"/>
      <c r="GN408" s="208"/>
      <c r="GO408" s="208"/>
      <c r="GP408" s="208"/>
      <c r="GQ408" s="208"/>
      <c r="GR408" s="208"/>
      <c r="GS408" s="208"/>
      <c r="GT408" s="208"/>
      <c r="GU408" s="213">
        <v>403</v>
      </c>
    </row>
    <row r="409" spans="1:203" s="7" customFormat="1">
      <c r="A409" s="189">
        <v>0.14000000000000001</v>
      </c>
      <c r="B409" s="71">
        <f t="shared" si="380"/>
        <v>39775</v>
      </c>
      <c r="C409" s="61">
        <f t="shared" si="386"/>
        <v>129</v>
      </c>
      <c r="D409" s="61">
        <f t="shared" si="381"/>
        <v>2.263734614229961</v>
      </c>
      <c r="E409" s="108">
        <f t="shared" si="382"/>
        <v>6.5137271234688057E-2</v>
      </c>
      <c r="F409" s="19">
        <f t="shared" si="383"/>
        <v>6.9051897539612484E-3</v>
      </c>
      <c r="G409" s="19">
        <f t="shared" si="384"/>
        <v>-3.7170834852800903E-3</v>
      </c>
      <c r="H409" s="19">
        <f t="shared" si="385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117.87868387739711</v>
      </c>
      <c r="AO409">
        <v>26.156646774761491</v>
      </c>
      <c r="AP409">
        <v>180.44260235478856</v>
      </c>
      <c r="AQ409">
        <v>230.37568079036933</v>
      </c>
      <c r="AR409">
        <v>23.947122253346866</v>
      </c>
      <c r="AS409">
        <v>245.11323648384473</v>
      </c>
      <c r="AT409" t="e">
        <v>#DIV/0!</v>
      </c>
      <c r="AU409" t="e">
        <v>#DIV/0!</v>
      </c>
      <c r="AV409"/>
      <c r="AW409"/>
      <c r="FY409" s="213">
        <v>404</v>
      </c>
      <c r="FZ409">
        <v>23.40476118333202</v>
      </c>
      <c r="GA409">
        <v>29.411053772691051</v>
      </c>
      <c r="GB409">
        <v>9.9541699234267238</v>
      </c>
      <c r="GC409">
        <v>6.7627706502833176</v>
      </c>
      <c r="GD409">
        <v>2.8410928131764424</v>
      </c>
      <c r="GE409">
        <v>3.0100271277615316</v>
      </c>
      <c r="GF409">
        <v>4.7213116859022408</v>
      </c>
      <c r="GG409">
        <v>5.7689727931845001</v>
      </c>
      <c r="GH409">
        <v>3.7215429376725151</v>
      </c>
      <c r="GI409">
        <v>9.0773818481068282</v>
      </c>
      <c r="GJ409"/>
      <c r="GK409"/>
      <c r="GL409"/>
      <c r="GM409"/>
      <c r="GN409" s="208"/>
      <c r="GO409" s="208"/>
      <c r="GP409" s="208"/>
      <c r="GQ409" s="208"/>
      <c r="GR409" s="208"/>
      <c r="GS409" s="208"/>
      <c r="GT409" s="208"/>
      <c r="GU409" s="213">
        <v>404</v>
      </c>
    </row>
    <row r="410" spans="1:203" s="7" customFormat="1">
      <c r="A410" s="189">
        <v>0.21</v>
      </c>
      <c r="B410" s="71">
        <f t="shared" si="380"/>
        <v>39799</v>
      </c>
      <c r="C410" s="61">
        <f t="shared" si="386"/>
        <v>153</v>
      </c>
      <c r="D410" s="61">
        <f t="shared" si="381"/>
        <v>2.34375</v>
      </c>
      <c r="E410" s="108">
        <f t="shared" si="382"/>
        <v>7.1519649487234105E-2</v>
      </c>
      <c r="F410" s="19">
        <f t="shared" si="383"/>
        <v>3.894805073147857E-3</v>
      </c>
      <c r="G410" s="19">
        <f t="shared" si="384"/>
        <v>-5.6591503300877132E-3</v>
      </c>
      <c r="H410" s="19">
        <f t="shared" si="385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112.76536654854985</v>
      </c>
      <c r="AO410">
        <v>16.825889226513205</v>
      </c>
      <c r="AP410">
        <v>92.168509749560485</v>
      </c>
      <c r="AQ410">
        <v>130.18559746698409</v>
      </c>
      <c r="AR410">
        <v>15.439608754545239</v>
      </c>
      <c r="AS410">
        <v>192.48724679200657</v>
      </c>
      <c r="AT410" t="e">
        <v>#DIV/0!</v>
      </c>
      <c r="AU410" t="e">
        <v>#DIV/0!</v>
      </c>
      <c r="AV410"/>
      <c r="AW410"/>
      <c r="FY410" s="213">
        <v>405</v>
      </c>
      <c r="FZ410">
        <v>37.437264182102311</v>
      </c>
      <c r="GA410">
        <v>52.233325059669902</v>
      </c>
      <c r="GB410">
        <v>10.244342950828784</v>
      </c>
      <c r="GC410">
        <v>4.5747527008224607</v>
      </c>
      <c r="GD410">
        <v>1.9793316450767751</v>
      </c>
      <c r="GE410">
        <v>2.1323527290910631</v>
      </c>
      <c r="GF410">
        <v>2.4569811923713356</v>
      </c>
      <c r="GG410">
        <v>3.0482954020177795</v>
      </c>
      <c r="GH410">
        <v>2.1611736260621592</v>
      </c>
      <c r="GI410">
        <v>10.076957201813125</v>
      </c>
      <c r="GJ410"/>
      <c r="GK410"/>
      <c r="GL410"/>
      <c r="GM410"/>
      <c r="GN410" s="208"/>
      <c r="GO410" s="208"/>
      <c r="GP410" s="208"/>
      <c r="GQ410" s="208"/>
      <c r="GR410" s="208"/>
      <c r="GS410" s="208"/>
      <c r="GT410" s="208"/>
      <c r="GU410" s="213">
        <v>405</v>
      </c>
    </row>
    <row r="411" spans="1:203" s="7" customFormat="1">
      <c r="A411" s="189">
        <v>1.28</v>
      </c>
      <c r="B411" s="71">
        <f>+C10</f>
        <v>39847</v>
      </c>
      <c r="C411" s="61">
        <f t="shared" si="386"/>
        <v>201</v>
      </c>
      <c r="D411" s="61">
        <f t="shared" si="381"/>
        <v>4</v>
      </c>
      <c r="E411" s="108">
        <f t="shared" si="382"/>
        <v>0.30139604277562043</v>
      </c>
      <c r="F411" s="19">
        <f t="shared" si="383"/>
        <v>2.9967769305864127E-2</v>
      </c>
      <c r="G411" s="19">
        <f t="shared" si="384"/>
        <v>-3.5588016556152569E-2</v>
      </c>
      <c r="H411" s="19">
        <f t="shared" si="385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97.379265873015882</v>
      </c>
      <c r="AO411">
        <v>16.904983075678583</v>
      </c>
      <c r="AP411">
        <v>117.44611740325615</v>
      </c>
      <c r="AQ411">
        <v>144.10555550541545</v>
      </c>
      <c r="AR411">
        <v>15.606240354420493</v>
      </c>
      <c r="AS411">
        <v>194.04025629302851</v>
      </c>
      <c r="AT411" t="e">
        <v>#DIV/0!</v>
      </c>
      <c r="AU411" t="e">
        <v>#DIV/0!</v>
      </c>
      <c r="AV411"/>
      <c r="AW411"/>
      <c r="FY411" s="213">
        <v>406</v>
      </c>
      <c r="FZ411">
        <v>15.771276851117593</v>
      </c>
      <c r="GA411">
        <v>20.661753613601725</v>
      </c>
      <c r="GB411">
        <v>10.096580379244848</v>
      </c>
      <c r="GC411">
        <v>6.1040890208116396</v>
      </c>
      <c r="GD411">
        <v>1.8228637702851929</v>
      </c>
      <c r="GE411">
        <v>1.9122679815763015</v>
      </c>
      <c r="GF411">
        <v>1.9898498491601713</v>
      </c>
      <c r="GG411">
        <v>1.4259783100514274</v>
      </c>
      <c r="GH411">
        <v>0</v>
      </c>
      <c r="GI411">
        <v>6.2759489555381194</v>
      </c>
      <c r="GJ411"/>
      <c r="GK411"/>
      <c r="GL411"/>
      <c r="GM411"/>
      <c r="GN411" s="208"/>
      <c r="GO411" s="208"/>
      <c r="GP411" s="208"/>
      <c r="GQ411" s="208"/>
      <c r="GR411" s="208"/>
      <c r="GS411" s="208"/>
      <c r="GT411" s="208"/>
      <c r="GU411" s="213">
        <v>406</v>
      </c>
    </row>
    <row r="412" spans="1:203" s="7" customFormat="1">
      <c r="A412" s="189">
        <v>4</v>
      </c>
      <c r="B412" s="71">
        <f t="shared" si="380"/>
        <v>39910</v>
      </c>
      <c r="C412" s="61">
        <f t="shared" si="386"/>
        <v>264</v>
      </c>
      <c r="D412" s="61">
        <f t="shared" si="381"/>
        <v>3.666666666666667</v>
      </c>
      <c r="E412" s="108">
        <f t="shared" si="382"/>
        <v>0.23847811405521227</v>
      </c>
      <c r="F412" s="19">
        <f t="shared" si="383"/>
        <v>-3.7166288171284674E-3</v>
      </c>
      <c r="G412" s="19">
        <f t="shared" si="384"/>
        <v>-1.335124292085775E-2</v>
      </c>
      <c r="H412" s="19">
        <f t="shared" si="385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54.627983597285073</v>
      </c>
      <c r="AO412">
        <v>5.6630594004252135</v>
      </c>
      <c r="AP412">
        <v>26.843610999557711</v>
      </c>
      <c r="AQ412">
        <v>38.199836311388864</v>
      </c>
      <c r="AR412">
        <v>5.3421118126288611</v>
      </c>
      <c r="AS412">
        <v>83.260662118302307</v>
      </c>
      <c r="AT412" t="e">
        <v>#DIV/0!</v>
      </c>
      <c r="AU412" t="e">
        <v>#DIV/0!</v>
      </c>
      <c r="AV412"/>
      <c r="AW412"/>
      <c r="FY412" s="213">
        <v>407</v>
      </c>
      <c r="FZ412">
        <v>25.800873116478829</v>
      </c>
      <c r="GA412">
        <v>34.024551053099643</v>
      </c>
      <c r="GB412">
        <v>8.7406161938353222</v>
      </c>
      <c r="GC412">
        <v>5.0224453296221947</v>
      </c>
      <c r="GD412">
        <v>2.4902235647581934</v>
      </c>
      <c r="GE412">
        <v>2.3421878797737143</v>
      </c>
      <c r="GF412">
        <v>6.6670433140617043</v>
      </c>
      <c r="GG412">
        <v>6.9536477818443414</v>
      </c>
      <c r="GH412">
        <v>3.3627822549657664</v>
      </c>
      <c r="GI412">
        <v>9.2293753749815064</v>
      </c>
      <c r="GJ412"/>
      <c r="GK412"/>
      <c r="GL412"/>
      <c r="GM412"/>
      <c r="GN412" s="208"/>
      <c r="GO412" s="208"/>
      <c r="GP412" s="208"/>
      <c r="GQ412" s="208"/>
      <c r="GR412" s="208"/>
      <c r="GS412" s="208"/>
      <c r="GT412" s="208"/>
      <c r="GU412" s="213">
        <v>407</v>
      </c>
    </row>
    <row r="413" spans="1:203" s="7" customFormat="1">
      <c r="A413" s="190">
        <v>7.33</v>
      </c>
      <c r="B413" s="71">
        <f t="shared" si="380"/>
        <v>39949</v>
      </c>
      <c r="C413" s="61">
        <f t="shared" si="386"/>
        <v>303</v>
      </c>
      <c r="D413" s="61">
        <f t="shared" si="381"/>
        <v>3.1886792452830188</v>
      </c>
      <c r="E413" s="108">
        <f t="shared" si="382"/>
        <v>0.16376114501256953</v>
      </c>
      <c r="F413" s="19">
        <f t="shared" si="383"/>
        <v>-9.6376566103923301E-3</v>
      </c>
      <c r="G413" s="19">
        <f t="shared" si="384"/>
        <v>1.6126737506775277E-2</v>
      </c>
      <c r="H413" s="19">
        <f t="shared" si="385"/>
        <v>1.6126737506775277E-2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103.52218774482974</v>
      </c>
      <c r="AO413">
        <v>18.545783852873956</v>
      </c>
      <c r="AP413">
        <v>98.349304663554506</v>
      </c>
      <c r="AQ413">
        <v>151.7614058567616</v>
      </c>
      <c r="AR413">
        <v>17.166982841145895</v>
      </c>
      <c r="AS413">
        <v>196.25607663191073</v>
      </c>
      <c r="AT413">
        <v>10.563909220419005</v>
      </c>
      <c r="AU413">
        <v>21.911902184253016</v>
      </c>
      <c r="AV413"/>
      <c r="AW413"/>
      <c r="FY413" s="213">
        <v>408</v>
      </c>
      <c r="FZ413">
        <v>25.539371271025416</v>
      </c>
      <c r="GA413">
        <v>32.590875414677782</v>
      </c>
      <c r="GB413">
        <v>7.4529776360928341</v>
      </c>
      <c r="GC413">
        <v>4.3798888619257328</v>
      </c>
      <c r="GD413">
        <v>2.1112277158008861</v>
      </c>
      <c r="GE413">
        <v>2.693349530168736</v>
      </c>
      <c r="GF413">
        <v>4.4537504188647103</v>
      </c>
      <c r="GG413">
        <v>3.63413684188692</v>
      </c>
      <c r="GH413">
        <v>1.2016086289036068</v>
      </c>
      <c r="GI413">
        <v>7.8548650668728461</v>
      </c>
      <c r="GJ413"/>
      <c r="GK413"/>
      <c r="GL413"/>
      <c r="GM413"/>
      <c r="GN413" s="208"/>
      <c r="GO413" s="208"/>
      <c r="GP413" s="208"/>
      <c r="GQ413" s="208"/>
      <c r="GR413" s="208"/>
      <c r="GS413" s="208"/>
      <c r="GT413" s="208"/>
      <c r="GU413" s="213">
        <v>408</v>
      </c>
    </row>
    <row r="414" spans="1:203" s="7" customFormat="1">
      <c r="A414" s="189">
        <v>10.51</v>
      </c>
      <c r="B414" s="71">
        <f t="shared" si="380"/>
        <v>39987</v>
      </c>
      <c r="C414" s="61">
        <f t="shared" si="386"/>
        <v>341</v>
      </c>
      <c r="D414" s="61">
        <f t="shared" si="381"/>
        <v>7</v>
      </c>
      <c r="E414" s="108">
        <f t="shared" si="382"/>
        <v>1.3587918549382612</v>
      </c>
      <c r="F414" s="19">
        <f t="shared" si="383"/>
        <v>5.568269233206885E-2</v>
      </c>
      <c r="G414" s="19">
        <f t="shared" si="384"/>
        <v>-1.8261890135761322E-2</v>
      </c>
      <c r="H414" s="19">
        <f t="shared" si="385"/>
        <v>0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120.34130441927728</v>
      </c>
      <c r="AO414">
        <v>23.543432621039322</v>
      </c>
      <c r="AP414">
        <v>144.02032822324773</v>
      </c>
      <c r="AQ414">
        <v>195.19792112895024</v>
      </c>
      <c r="AR414">
        <v>21.628383144523518</v>
      </c>
      <c r="AS414">
        <v>258.71518853255697</v>
      </c>
      <c r="AT414">
        <v>13.919602421064814</v>
      </c>
      <c r="AU414">
        <v>29.45306075750171</v>
      </c>
      <c r="AV414"/>
      <c r="AW414"/>
      <c r="FY414" s="213">
        <v>409</v>
      </c>
      <c r="FZ414">
        <v>30.361275489589772</v>
      </c>
      <c r="GA414">
        <v>40.035163624132835</v>
      </c>
      <c r="GB414">
        <v>9.83206895490882</v>
      </c>
      <c r="GC414">
        <v>5.0786151237507307</v>
      </c>
      <c r="GD414">
        <v>2.3481939460194243</v>
      </c>
      <c r="GE414">
        <v>2.4804598530440591</v>
      </c>
      <c r="GF414">
        <v>1.2820118335924087</v>
      </c>
      <c r="GG414">
        <v>1.0217566562938358</v>
      </c>
      <c r="GH414">
        <v>0</v>
      </c>
      <c r="GI414">
        <v>8.5994727347739985</v>
      </c>
      <c r="GJ414"/>
      <c r="GK414"/>
      <c r="GL414"/>
      <c r="GM414"/>
      <c r="GN414" s="208"/>
      <c r="GO414" s="208"/>
      <c r="GP414" s="208"/>
      <c r="GQ414" s="208"/>
      <c r="GR414" s="208"/>
      <c r="GS414" s="208"/>
      <c r="GT414" s="208"/>
      <c r="GU414" s="213">
        <v>409</v>
      </c>
    </row>
    <row r="415" spans="1:203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84.240788125226516</v>
      </c>
      <c r="AO415">
        <v>9.6631089352654094</v>
      </c>
      <c r="AP415">
        <v>46.166964613351197</v>
      </c>
      <c r="AQ415">
        <v>69.966962258416416</v>
      </c>
      <c r="AR415">
        <v>8.8816816317700251</v>
      </c>
      <c r="AS415">
        <v>116.91516358900142</v>
      </c>
      <c r="AT415" t="e">
        <v>#DIV/0!</v>
      </c>
      <c r="AU415" t="e">
        <v>#DIV/0!</v>
      </c>
      <c r="AV415"/>
      <c r="AW415"/>
      <c r="FY415" s="213">
        <v>410</v>
      </c>
      <c r="FZ415">
        <v>49.61548592672392</v>
      </c>
      <c r="GA415">
        <v>55.144893153442112</v>
      </c>
      <c r="GB415">
        <v>3.5434200397965863</v>
      </c>
      <c r="GC415">
        <v>3.7652733082654604</v>
      </c>
      <c r="GD415">
        <v>1.9400195923266461</v>
      </c>
      <c r="GE415">
        <v>1.2412299581114608</v>
      </c>
      <c r="GF415">
        <v>2.1078228517547988</v>
      </c>
      <c r="GG415">
        <v>1.5868994591809993</v>
      </c>
      <c r="GH415">
        <v>0</v>
      </c>
      <c r="GI415">
        <v>9.7039778077961447</v>
      </c>
      <c r="GJ415"/>
      <c r="GK415"/>
      <c r="GL415"/>
      <c r="GM415"/>
      <c r="GN415" s="208"/>
      <c r="GO415" s="208"/>
      <c r="GP415" s="208"/>
      <c r="GQ415" s="208"/>
      <c r="GR415" s="208"/>
      <c r="GS415" s="208"/>
      <c r="GT415" s="208"/>
      <c r="GU415" s="213">
        <v>410</v>
      </c>
    </row>
    <row r="416" spans="1:203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80.883657375417002</v>
      </c>
      <c r="AO416">
        <v>13.938852602160546</v>
      </c>
      <c r="AP416">
        <v>70.508868678107376</v>
      </c>
      <c r="AQ416">
        <v>110.65679272512303</v>
      </c>
      <c r="AR416">
        <v>12.804230263217139</v>
      </c>
      <c r="AS416">
        <v>151.4358579799509</v>
      </c>
      <c r="AT416" t="e">
        <v>#DIV/0!</v>
      </c>
      <c r="AU416" t="e">
        <v>#DIV/0!</v>
      </c>
      <c r="AV416"/>
      <c r="AW416"/>
      <c r="FY416" s="213">
        <v>411</v>
      </c>
      <c r="FZ416">
        <v>29.711443247614231</v>
      </c>
      <c r="GA416">
        <v>37.407626666229362</v>
      </c>
      <c r="GB416">
        <v>8.9954067989897428</v>
      </c>
      <c r="GC416">
        <v>5.7953479833543087</v>
      </c>
      <c r="GD416">
        <v>2.8797050172308003</v>
      </c>
      <c r="GE416">
        <v>3.2998794682711714</v>
      </c>
      <c r="GF416">
        <v>3.0832221343600903</v>
      </c>
      <c r="GG416">
        <v>4.7182650423101702</v>
      </c>
      <c r="GH416">
        <v>3.7215429376725151</v>
      </c>
      <c r="GI416">
        <v>9.5416407165645793</v>
      </c>
      <c r="GJ416"/>
      <c r="GK416"/>
      <c r="GL416"/>
      <c r="GM416"/>
      <c r="GN416" s="208"/>
      <c r="GO416" s="208"/>
      <c r="GP416" s="208"/>
      <c r="GQ416" s="208"/>
      <c r="GR416" s="208"/>
      <c r="GS416" s="208"/>
      <c r="GT416" s="208"/>
      <c r="GU416" s="213">
        <v>411</v>
      </c>
    </row>
    <row r="417" spans="1:203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73.982711623184485</v>
      </c>
      <c r="AO417">
        <v>13.542603892981166</v>
      </c>
      <c r="AP417">
        <v>112.41960342428712</v>
      </c>
      <c r="AQ417">
        <v>117.87844185544549</v>
      </c>
      <c r="AR417">
        <v>12.430395897386171</v>
      </c>
      <c r="AS417">
        <v>145.57335297893988</v>
      </c>
      <c r="AT417" t="e">
        <v>#DIV/0!</v>
      </c>
      <c r="AU417" t="e">
        <v>#DIV/0!</v>
      </c>
      <c r="AV417"/>
      <c r="AW417"/>
      <c r="FY417" s="213">
        <v>412</v>
      </c>
      <c r="FZ417">
        <v>52.332639957323124</v>
      </c>
      <c r="GA417">
        <v>62.142002326414953</v>
      </c>
      <c r="GB417">
        <v>5.3492084543492062</v>
      </c>
      <c r="GC417">
        <v>4.0404660350294135</v>
      </c>
      <c r="GD417">
        <v>2.6099849734411267</v>
      </c>
      <c r="GE417">
        <v>2.6207106634030382</v>
      </c>
      <c r="GF417">
        <v>5.7848477516034844</v>
      </c>
      <c r="GG417">
        <v>5.8138828734239292</v>
      </c>
      <c r="GH417">
        <v>2.1611736260621592</v>
      </c>
      <c r="GI417">
        <v>12.081158593322446</v>
      </c>
      <c r="GJ417"/>
      <c r="GK417"/>
      <c r="GL417"/>
      <c r="GM417"/>
      <c r="GN417" s="208"/>
      <c r="GO417" s="208"/>
      <c r="GP417" s="208"/>
      <c r="GQ417" s="208"/>
      <c r="GR417" s="208"/>
      <c r="GS417" s="208"/>
      <c r="GT417" s="208"/>
      <c r="GU417" s="213">
        <v>412</v>
      </c>
    </row>
    <row r="418" spans="1:203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75.729719558763662</v>
      </c>
      <c r="AO418">
        <v>11.406381608748552</v>
      </c>
      <c r="AP418">
        <v>59.302879262218362</v>
      </c>
      <c r="AQ418">
        <v>82.301689253161058</v>
      </c>
      <c r="AR418">
        <v>10.552910670818411</v>
      </c>
      <c r="AS418">
        <v>135.08782997391882</v>
      </c>
      <c r="AT418">
        <v>6.8028231444747975</v>
      </c>
      <c r="AU418">
        <v>7.7953845099927923</v>
      </c>
      <c r="AV418"/>
      <c r="AW418"/>
      <c r="FY418" s="213">
        <v>413</v>
      </c>
      <c r="FZ418">
        <v>49.667680500697216</v>
      </c>
      <c r="GA418">
        <v>59.375618410186505</v>
      </c>
      <c r="GB418">
        <v>15.186906287738772</v>
      </c>
      <c r="GC418">
        <v>8.5724894863786663</v>
      </c>
      <c r="GD418">
        <v>2.0655982847394956</v>
      </c>
      <c r="GE418">
        <v>2.7790170244689847</v>
      </c>
      <c r="GF418">
        <v>2.9062626304681496</v>
      </c>
      <c r="GG418">
        <v>3.0153545142390277</v>
      </c>
      <c r="GH418">
        <v>1.5603693116103559</v>
      </c>
      <c r="GI418">
        <v>13.135912141758</v>
      </c>
      <c r="GJ418"/>
      <c r="GK418"/>
      <c r="GL418"/>
      <c r="GM418"/>
      <c r="GN418" s="208"/>
      <c r="GO418" s="208"/>
      <c r="GP418" s="208"/>
      <c r="GQ418" s="208"/>
      <c r="GR418" s="208"/>
      <c r="GS418" s="208"/>
      <c r="GT418" s="208"/>
      <c r="GU418" s="213">
        <v>413</v>
      </c>
    </row>
    <row r="419" spans="1:203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90.131887596992811</v>
      </c>
      <c r="AO419">
        <v>12.751213265158572</v>
      </c>
      <c r="AP419">
        <v>53.084892562402679</v>
      </c>
      <c r="AQ419">
        <v>94.971479892544522</v>
      </c>
      <c r="AR419">
        <v>11.629481149836385</v>
      </c>
      <c r="AS419">
        <v>146.19597772179182</v>
      </c>
      <c r="AT419" t="e">
        <v>#DIV/0!</v>
      </c>
      <c r="AU419" t="e">
        <v>#DIV/0!</v>
      </c>
      <c r="AV419"/>
      <c r="AW419"/>
      <c r="FY419" s="213">
        <v>414</v>
      </c>
      <c r="FZ419">
        <v>23.961711141982118</v>
      </c>
      <c r="GA419">
        <v>29.952444953808573</v>
      </c>
      <c r="GB419">
        <v>7.6231019618187563</v>
      </c>
      <c r="GC419">
        <v>4.8258819475783588</v>
      </c>
      <c r="GD419">
        <v>1.9701146153822873</v>
      </c>
      <c r="GE419">
        <v>2.0567094038872615</v>
      </c>
      <c r="GF419">
        <v>4.0543039966336636</v>
      </c>
      <c r="GG419">
        <v>3.0313134998979616</v>
      </c>
      <c r="GH419">
        <v>1.8024129433554106</v>
      </c>
      <c r="GI419">
        <v>7.6136386071580873</v>
      </c>
      <c r="GJ419"/>
      <c r="GK419"/>
      <c r="GL419"/>
      <c r="GM419"/>
      <c r="GN419" s="208"/>
      <c r="GO419" s="208"/>
      <c r="GP419" s="208"/>
      <c r="GQ419" s="208"/>
      <c r="GR419" s="208"/>
      <c r="GS419" s="208"/>
      <c r="GT419" s="208"/>
      <c r="GU419" s="213">
        <v>414</v>
      </c>
    </row>
    <row r="420" spans="1:203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91.882455888338242</v>
      </c>
      <c r="AO420">
        <v>13.661516743751568</v>
      </c>
      <c r="AP420">
        <v>87.285320801707698</v>
      </c>
      <c r="AQ420">
        <v>98.673084735537174</v>
      </c>
      <c r="AR420">
        <v>12.565465282084961</v>
      </c>
      <c r="AS420">
        <v>149.13085295762406</v>
      </c>
      <c r="AT420">
        <v>8.1768988178231563</v>
      </c>
      <c r="AU420">
        <v>-28.114248657646058</v>
      </c>
      <c r="AV420"/>
      <c r="AW420"/>
      <c r="FY420" s="213">
        <v>415</v>
      </c>
      <c r="FZ420">
        <v>15.671797223533412</v>
      </c>
      <c r="GA420">
        <v>19.147103441948165</v>
      </c>
      <c r="GB420">
        <v>7.0261797390237577</v>
      </c>
      <c r="GC420">
        <v>4.4768227185372664</v>
      </c>
      <c r="GD420">
        <v>1.9505932749218811</v>
      </c>
      <c r="GE420">
        <v>2.262366592039617</v>
      </c>
      <c r="GF420">
        <v>2.5014790811883039</v>
      </c>
      <c r="GG420">
        <v>3.9195872405851606</v>
      </c>
      <c r="GH420">
        <v>3.1207386232207117</v>
      </c>
      <c r="GI420">
        <v>6.166893858955274</v>
      </c>
      <c r="GJ420"/>
      <c r="GK420"/>
      <c r="GL420"/>
      <c r="GM420"/>
      <c r="GN420" s="208"/>
      <c r="GO420" s="208"/>
      <c r="GP420" s="208"/>
      <c r="GQ420" s="208"/>
      <c r="GR420" s="208"/>
      <c r="GS420" s="208"/>
      <c r="GT420" s="208"/>
      <c r="GU420" s="213">
        <v>415</v>
      </c>
    </row>
    <row r="421" spans="1:203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77.474814393779909</v>
      </c>
      <c r="AO421">
        <v>15.293783146295732</v>
      </c>
      <c r="AP421">
        <v>115.7709423240851</v>
      </c>
      <c r="AQ421">
        <v>126.34477668985569</v>
      </c>
      <c r="AR421">
        <v>14.027244865889921</v>
      </c>
      <c r="AS421">
        <v>174.27080107972469</v>
      </c>
      <c r="AT421">
        <v>9.5500392975768058</v>
      </c>
      <c r="AU421">
        <v>-0.70642333191641238</v>
      </c>
      <c r="AV421"/>
      <c r="AW421"/>
      <c r="FY421" s="213">
        <v>416</v>
      </c>
      <c r="FZ421">
        <v>18.124662564164595</v>
      </c>
      <c r="GA421">
        <v>23.402713509780419</v>
      </c>
      <c r="GB421">
        <v>9.0983005898834381</v>
      </c>
      <c r="GC421">
        <v>5.1977670769267164</v>
      </c>
      <c r="GD421">
        <v>1.9167708603199587</v>
      </c>
      <c r="GE421">
        <v>2.3088481367303801</v>
      </c>
      <c r="GF421">
        <v>4.712613266219436</v>
      </c>
      <c r="GG421">
        <v>3.748421023895248</v>
      </c>
      <c r="GH421">
        <v>0</v>
      </c>
      <c r="GI421">
        <v>6.9541215091715554</v>
      </c>
      <c r="GJ421"/>
      <c r="GK421"/>
      <c r="GL421"/>
      <c r="GM421"/>
      <c r="GN421" s="208"/>
      <c r="GO421" s="208"/>
      <c r="GP421" s="208"/>
      <c r="GQ421" s="208"/>
      <c r="GR421" s="208"/>
      <c r="GS421" s="208"/>
      <c r="GT421" s="208"/>
      <c r="GU421" s="213">
        <v>416</v>
      </c>
    </row>
    <row r="422" spans="1:203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1.1192378560128725E-3</v>
      </c>
      <c r="H422" s="44">
        <f t="shared" ref="H422:AK422" si="387">H372</f>
        <v>7.2275999999999998E-3</v>
      </c>
      <c r="I422" s="44">
        <f t="shared" si="387"/>
        <v>4.6673011888725101E-2</v>
      </c>
      <c r="J422" s="44">
        <f t="shared" si="387"/>
        <v>0.13897203136197886</v>
      </c>
      <c r="K422" s="44">
        <f t="shared" si="387"/>
        <v>0.30139604277562043</v>
      </c>
      <c r="L422" s="44">
        <f t="shared" si="387"/>
        <v>0.54944267880487196</v>
      </c>
      <c r="M422" s="44">
        <f t="shared" si="387"/>
        <v>0.89742698433199364</v>
      </c>
      <c r="N422" s="44">
        <f t="shared" si="387"/>
        <v>1.3587918549382612</v>
      </c>
      <c r="O422" s="44">
        <f t="shared" si="387"/>
        <v>1.9462976766397186</v>
      </c>
      <c r="P422" s="44">
        <f t="shared" si="387"/>
        <v>2.6721491921073159</v>
      </c>
      <c r="Q422" s="44">
        <f t="shared" si="387"/>
        <v>3.5480857656805531</v>
      </c>
      <c r="R422" s="44">
        <f t="shared" si="387"/>
        <v>4.5854485507812486</v>
      </c>
      <c r="S422" s="44">
        <f t="shared" si="387"/>
        <v>5.7952322083388497</v>
      </c>
      <c r="T422" s="44">
        <f t="shared" si="387"/>
        <v>7.1881258189983859</v>
      </c>
      <c r="U422" s="44">
        <f t="shared" si="387"/>
        <v>8.7745459626758926</v>
      </c>
      <c r="V422" s="44">
        <f t="shared" si="387"/>
        <v>10.564663953522661</v>
      </c>
      <c r="W422" s="44">
        <f t="shared" si="387"/>
        <v>12.568428607117669</v>
      </c>
      <c r="X422" s="44">
        <f t="shared" si="387"/>
        <v>14.795585521883805</v>
      </c>
      <c r="Y422" s="44">
        <f t="shared" si="387"/>
        <v>17.255693592848509</v>
      </c>
      <c r="Z422" s="44">
        <f t="shared" si="387"/>
        <v>19.958139294316886</v>
      </c>
      <c r="AA422" s="44">
        <f t="shared" si="387"/>
        <v>22.912149139939221</v>
      </c>
      <c r="AB422" s="44">
        <f t="shared" si="387"/>
        <v>26.126800636294448</v>
      </c>
      <c r="AC422" s="44">
        <f t="shared" si="387"/>
        <v>29.611031978215532</v>
      </c>
      <c r="AD422" s="44">
        <f t="shared" si="387"/>
        <v>33.373650683313194</v>
      </c>
      <c r="AE422" s="44">
        <f t="shared" si="387"/>
        <v>37.423341324605943</v>
      </c>
      <c r="AF422" s="44">
        <f t="shared" si="387"/>
        <v>41.768672490491134</v>
      </c>
      <c r="AG422" s="44">
        <f t="shared" si="387"/>
        <v>46.418103078167533</v>
      </c>
      <c r="AH422" s="44">
        <f t="shared" si="387"/>
        <v>51.37998800838789</v>
      </c>
      <c r="AI422" s="44">
        <f t="shared" si="387"/>
        <v>56.662583434907432</v>
      </c>
      <c r="AJ422" s="44">
        <f t="shared" si="387"/>
        <v>62.274051510321357</v>
      </c>
      <c r="AK422" s="44">
        <f t="shared" si="387"/>
        <v>68.222464760522016</v>
      </c>
      <c r="AL422" s="4"/>
      <c r="AM422" s="43">
        <v>406</v>
      </c>
      <c r="AN422">
        <v>89.657559023830586</v>
      </c>
      <c r="AO422">
        <v>9.4551262174996769</v>
      </c>
      <c r="AP422">
        <v>52.510401850321166</v>
      </c>
      <c r="AQ422">
        <v>66.06060873138702</v>
      </c>
      <c r="AR422">
        <v>8.6594579878574827</v>
      </c>
      <c r="AS422">
        <v>124.85543433011006</v>
      </c>
      <c r="AT422" t="e">
        <v>#DIV/0!</v>
      </c>
      <c r="AU422" t="e">
        <v>#DIV/0!</v>
      </c>
      <c r="AV422"/>
      <c r="AW422"/>
      <c r="FY422" s="213">
        <v>417</v>
      </c>
      <c r="FZ422">
        <v>29.980842892219549</v>
      </c>
      <c r="GA422">
        <v>35.854640092646989</v>
      </c>
      <c r="GB422">
        <v>7.7277900458233351</v>
      </c>
      <c r="GC422">
        <v>4.5931484616844331</v>
      </c>
      <c r="GD422">
        <v>2.3365962211695046</v>
      </c>
      <c r="GE422">
        <v>3.1396307096554246</v>
      </c>
      <c r="GF422">
        <v>3.1127520839749891</v>
      </c>
      <c r="GG422">
        <v>3.6134382049049432</v>
      </c>
      <c r="GH422">
        <v>2.1611736260621592</v>
      </c>
      <c r="GI422">
        <v>8.6702233910860311</v>
      </c>
      <c r="GJ422"/>
      <c r="GK422"/>
      <c r="GL422"/>
      <c r="GM422"/>
      <c r="GN422" s="208"/>
      <c r="GO422" s="208"/>
      <c r="GP422" s="208"/>
      <c r="GQ422" s="208"/>
      <c r="GR422" s="208"/>
      <c r="GS422" s="208"/>
      <c r="GT422" s="208"/>
      <c r="GU422" s="213">
        <v>417</v>
      </c>
    </row>
    <row r="423" spans="1:203" s="7" customFormat="1">
      <c r="A423" s="4"/>
      <c r="B423" s="48" t="s">
        <v>38</v>
      </c>
      <c r="C423" s="107">
        <f t="shared" ref="C423:C432" si="388">SUM(G423:AK423)</f>
        <v>10.890279464752624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9">(($A$453+$A$455*(H$422)+($A$457*$D423))*($E21*H37))</f>
        <v>0</v>
      </c>
      <c r="I423" s="107">
        <f t="shared" si="389"/>
        <v>1.0722605396404934</v>
      </c>
      <c r="J423" s="107">
        <f t="shared" si="389"/>
        <v>2.3535616522344944</v>
      </c>
      <c r="K423" s="107">
        <f t="shared" si="389"/>
        <v>3.8832337919308695</v>
      </c>
      <c r="L423" s="107">
        <f t="shared" si="389"/>
        <v>2.2363463750107946</v>
      </c>
      <c r="M423" s="107">
        <f t="shared" si="389"/>
        <v>1.3448771059359721</v>
      </c>
      <c r="N423" s="107">
        <f t="shared" si="389"/>
        <v>0</v>
      </c>
      <c r="O423" s="107">
        <f t="shared" si="389"/>
        <v>0</v>
      </c>
      <c r="P423" s="107">
        <f t="shared" si="389"/>
        <v>0</v>
      </c>
      <c r="Q423" s="107">
        <f t="shared" si="389"/>
        <v>0</v>
      </c>
      <c r="R423" s="107">
        <f t="shared" si="389"/>
        <v>0</v>
      </c>
      <c r="S423" s="107">
        <f t="shared" si="389"/>
        <v>0</v>
      </c>
      <c r="T423" s="107">
        <f t="shared" si="389"/>
        <v>0</v>
      </c>
      <c r="U423" s="107">
        <f t="shared" si="389"/>
        <v>0</v>
      </c>
      <c r="V423" s="107">
        <f t="shared" si="389"/>
        <v>0</v>
      </c>
      <c r="W423" s="107">
        <f t="shared" si="389"/>
        <v>0</v>
      </c>
      <c r="X423" s="107">
        <f t="shared" si="389"/>
        <v>0</v>
      </c>
      <c r="Y423" s="107">
        <f t="shared" si="389"/>
        <v>0</v>
      </c>
      <c r="Z423" s="107">
        <f t="shared" si="389"/>
        <v>0</v>
      </c>
      <c r="AA423" s="107">
        <f t="shared" si="389"/>
        <v>0</v>
      </c>
      <c r="AB423" s="107">
        <f t="shared" si="389"/>
        <v>0</v>
      </c>
      <c r="AC423" s="107">
        <f t="shared" si="389"/>
        <v>0</v>
      </c>
      <c r="AD423" s="107">
        <f t="shared" si="389"/>
        <v>0</v>
      </c>
      <c r="AE423" s="107">
        <f t="shared" si="389"/>
        <v>0</v>
      </c>
      <c r="AF423" s="107">
        <f t="shared" si="389"/>
        <v>0</v>
      </c>
      <c r="AG423" s="107">
        <f t="shared" si="389"/>
        <v>0</v>
      </c>
      <c r="AH423" s="107">
        <f t="shared" si="389"/>
        <v>0</v>
      </c>
      <c r="AI423" s="107">
        <f t="shared" si="389"/>
        <v>0</v>
      </c>
      <c r="AJ423" s="107">
        <f t="shared" si="389"/>
        <v>0</v>
      </c>
      <c r="AK423" s="107">
        <f t="shared" si="389"/>
        <v>0</v>
      </c>
      <c r="AL423" s="4"/>
      <c r="AM423" s="43">
        <v>407</v>
      </c>
      <c r="AN423">
        <v>102.65863943241604</v>
      </c>
      <c r="AO423">
        <v>13.651282942537318</v>
      </c>
      <c r="AP423">
        <v>95.02743964856117</v>
      </c>
      <c r="AQ423">
        <v>104.63374586342121</v>
      </c>
      <c r="AR423">
        <v>12.777452649919841</v>
      </c>
      <c r="AS423">
        <v>176.29927033503566</v>
      </c>
      <c r="AT423">
        <v>8.8111433118104383</v>
      </c>
      <c r="AU423">
        <v>-39.890766426716972</v>
      </c>
      <c r="AV423"/>
      <c r="AW423"/>
      <c r="FY423" s="213">
        <v>418</v>
      </c>
      <c r="FZ423">
        <v>49.688659554710192</v>
      </c>
      <c r="GA423">
        <v>57.525921729669207</v>
      </c>
      <c r="GB423">
        <v>3.1895224599832721</v>
      </c>
      <c r="GC423">
        <v>2.5518093245354305</v>
      </c>
      <c r="GD423">
        <v>1.7567650224809679</v>
      </c>
      <c r="GE423">
        <v>2.3378553100640871</v>
      </c>
      <c r="GF423">
        <v>7.4651034249587962</v>
      </c>
      <c r="GG423">
        <v>7.2919876600444278</v>
      </c>
      <c r="GH423">
        <v>1.5603693116103559</v>
      </c>
      <c r="GI423">
        <v>10.78480087118419</v>
      </c>
      <c r="GJ423"/>
      <c r="GK423"/>
      <c r="GL423"/>
      <c r="GM423"/>
      <c r="GN423" s="208"/>
      <c r="GO423" s="208"/>
      <c r="GP423" s="208"/>
      <c r="GQ423" s="208"/>
      <c r="GR423" s="208"/>
      <c r="GS423" s="208"/>
      <c r="GT423" s="208"/>
      <c r="GU423" s="213">
        <v>418</v>
      </c>
    </row>
    <row r="424" spans="1:203" s="7" customFormat="1">
      <c r="A424" s="4"/>
      <c r="B424" s="48" t="s">
        <v>39</v>
      </c>
      <c r="C424" s="107">
        <f t="shared" si="388"/>
        <v>10.842471418410737</v>
      </c>
      <c r="D424" s="191">
        <f>$A$406</f>
        <v>9.4499999999999993</v>
      </c>
      <c r="E424" s="8"/>
      <c r="F424" s="124"/>
      <c r="G424" s="107">
        <f t="shared" ref="G424:V432" si="390">(($A$453+$A$455*(G$422)+($A$457*$D424))*($E22*G38))</f>
        <v>0</v>
      </c>
      <c r="H424" s="107">
        <f t="shared" si="390"/>
        <v>0</v>
      </c>
      <c r="I424" s="107">
        <f t="shared" si="390"/>
        <v>5.7652975174825469E-2</v>
      </c>
      <c r="J424" s="107">
        <f t="shared" si="390"/>
        <v>2.0124375578858413</v>
      </c>
      <c r="K424" s="107">
        <f t="shared" si="390"/>
        <v>4.5763207741157048</v>
      </c>
      <c r="L424" s="107">
        <f t="shared" si="390"/>
        <v>2.6256437774794175</v>
      </c>
      <c r="M424" s="107">
        <f t="shared" si="390"/>
        <v>1.5704163337549466</v>
      </c>
      <c r="N424" s="107">
        <f t="shared" si="390"/>
        <v>0</v>
      </c>
      <c r="O424" s="107">
        <f t="shared" si="390"/>
        <v>0</v>
      </c>
      <c r="P424" s="107">
        <f t="shared" si="390"/>
        <v>0</v>
      </c>
      <c r="Q424" s="107">
        <f t="shared" si="390"/>
        <v>0</v>
      </c>
      <c r="R424" s="107">
        <f t="shared" si="390"/>
        <v>0</v>
      </c>
      <c r="S424" s="107">
        <f t="shared" si="390"/>
        <v>0</v>
      </c>
      <c r="T424" s="107">
        <f t="shared" si="390"/>
        <v>0</v>
      </c>
      <c r="U424" s="107">
        <f t="shared" si="390"/>
        <v>0</v>
      </c>
      <c r="V424" s="107">
        <f t="shared" si="390"/>
        <v>0</v>
      </c>
      <c r="W424" s="107">
        <f t="shared" si="389"/>
        <v>0</v>
      </c>
      <c r="X424" s="107">
        <f t="shared" si="389"/>
        <v>0</v>
      </c>
      <c r="Y424" s="107">
        <f t="shared" si="389"/>
        <v>0</v>
      </c>
      <c r="Z424" s="107">
        <f t="shared" si="389"/>
        <v>0</v>
      </c>
      <c r="AA424" s="107">
        <f t="shared" si="389"/>
        <v>0</v>
      </c>
      <c r="AB424" s="107">
        <f t="shared" si="389"/>
        <v>0</v>
      </c>
      <c r="AC424" s="107">
        <f t="shared" si="389"/>
        <v>0</v>
      </c>
      <c r="AD424" s="107">
        <f t="shared" si="389"/>
        <v>0</v>
      </c>
      <c r="AE424" s="107">
        <f t="shared" si="389"/>
        <v>0</v>
      </c>
      <c r="AF424" s="107">
        <f t="shared" si="389"/>
        <v>0</v>
      </c>
      <c r="AG424" s="107">
        <f t="shared" si="389"/>
        <v>0</v>
      </c>
      <c r="AH424" s="107">
        <f t="shared" si="389"/>
        <v>0</v>
      </c>
      <c r="AI424" s="107">
        <f t="shared" si="389"/>
        <v>0</v>
      </c>
      <c r="AJ424" s="107">
        <f t="shared" si="389"/>
        <v>0</v>
      </c>
      <c r="AK424" s="107">
        <f t="shared" si="389"/>
        <v>0</v>
      </c>
      <c r="AL424" s="4"/>
      <c r="AM424" s="43">
        <v>408</v>
      </c>
      <c r="AN424">
        <v>94.472684911718872</v>
      </c>
      <c r="AO424">
        <v>11.646679872018217</v>
      </c>
      <c r="AP424">
        <v>71.121452267612042</v>
      </c>
      <c r="AQ424">
        <v>91.91205138621946</v>
      </c>
      <c r="AR424">
        <v>10.780552111211692</v>
      </c>
      <c r="AS424">
        <v>153.91531841800665</v>
      </c>
      <c r="AT424" t="e">
        <v>#DIV/0!</v>
      </c>
      <c r="AU424" t="e">
        <v>#DIV/0!</v>
      </c>
      <c r="AV424"/>
      <c r="AW424"/>
      <c r="FY424" s="213">
        <v>419</v>
      </c>
      <c r="FZ424">
        <v>47.215324253645193</v>
      </c>
      <c r="GA424">
        <v>58.328022927436152</v>
      </c>
      <c r="GB424">
        <v>3.9901522980065542</v>
      </c>
      <c r="GC424">
        <v>2.5650227347087617</v>
      </c>
      <c r="GD424">
        <v>1.8564078784538998</v>
      </c>
      <c r="GE424">
        <v>2.1313820794373743</v>
      </c>
      <c r="GF424">
        <v>4.9361198912756237</v>
      </c>
      <c r="GG424">
        <v>5.1344558885284375</v>
      </c>
      <c r="GH424">
        <v>2.1611736260621592</v>
      </c>
      <c r="GI424">
        <v>10.30235745621512</v>
      </c>
      <c r="GJ424"/>
      <c r="GK424"/>
      <c r="GL424"/>
      <c r="GM424"/>
      <c r="GN424" s="208"/>
      <c r="GO424" s="208"/>
      <c r="GP424" s="208"/>
      <c r="GQ424" s="208"/>
      <c r="GR424" s="208"/>
      <c r="GS424" s="208"/>
      <c r="GT424" s="208"/>
      <c r="GU424" s="213">
        <v>419</v>
      </c>
    </row>
    <row r="425" spans="1:203" s="7" customFormat="1">
      <c r="A425" s="4"/>
      <c r="B425" s="48" t="s">
        <v>40</v>
      </c>
      <c r="C425" s="107">
        <f t="shared" si="388"/>
        <v>4.7516496191102675</v>
      </c>
      <c r="D425" s="191">
        <f>A$407</f>
        <v>4.03</v>
      </c>
      <c r="E425" s="8"/>
      <c r="F425" s="124"/>
      <c r="G425" s="107">
        <f t="shared" si="390"/>
        <v>0</v>
      </c>
      <c r="H425" s="107">
        <f t="shared" si="389"/>
        <v>7.9877623629499669E-2</v>
      </c>
      <c r="I425" s="107">
        <f t="shared" si="389"/>
        <v>1.9846341897601185</v>
      </c>
      <c r="J425" s="107">
        <f t="shared" si="389"/>
        <v>2.0508839623162078</v>
      </c>
      <c r="K425" s="107">
        <f t="shared" si="389"/>
        <v>0.18598463372100957</v>
      </c>
      <c r="L425" s="107">
        <f t="shared" si="389"/>
        <v>0.45026920968343231</v>
      </c>
      <c r="M425" s="107">
        <f t="shared" si="389"/>
        <v>0</v>
      </c>
      <c r="N425" s="107">
        <f t="shared" si="389"/>
        <v>0</v>
      </c>
      <c r="O425" s="107">
        <f t="shared" si="389"/>
        <v>0</v>
      </c>
      <c r="P425" s="107">
        <f t="shared" si="389"/>
        <v>0</v>
      </c>
      <c r="Q425" s="107">
        <f t="shared" si="389"/>
        <v>0</v>
      </c>
      <c r="R425" s="107">
        <f t="shared" si="389"/>
        <v>0</v>
      </c>
      <c r="S425" s="107">
        <f t="shared" si="389"/>
        <v>0</v>
      </c>
      <c r="T425" s="107">
        <f t="shared" si="389"/>
        <v>0</v>
      </c>
      <c r="U425" s="107">
        <f t="shared" si="389"/>
        <v>0</v>
      </c>
      <c r="V425" s="107">
        <f t="shared" si="389"/>
        <v>0</v>
      </c>
      <c r="W425" s="107">
        <f t="shared" si="389"/>
        <v>0</v>
      </c>
      <c r="X425" s="107">
        <f t="shared" si="389"/>
        <v>0</v>
      </c>
      <c r="Y425" s="107">
        <f t="shared" si="389"/>
        <v>0</v>
      </c>
      <c r="Z425" s="107">
        <f t="shared" si="389"/>
        <v>0</v>
      </c>
      <c r="AA425" s="107">
        <f t="shared" si="389"/>
        <v>0</v>
      </c>
      <c r="AB425" s="107">
        <f t="shared" si="389"/>
        <v>0</v>
      </c>
      <c r="AC425" s="107">
        <f t="shared" si="389"/>
        <v>0</v>
      </c>
      <c r="AD425" s="107">
        <f t="shared" si="389"/>
        <v>0</v>
      </c>
      <c r="AE425" s="107">
        <f t="shared" si="389"/>
        <v>0</v>
      </c>
      <c r="AF425" s="107">
        <f t="shared" si="389"/>
        <v>0</v>
      </c>
      <c r="AG425" s="107">
        <f t="shared" si="389"/>
        <v>0</v>
      </c>
      <c r="AH425" s="107">
        <f t="shared" si="389"/>
        <v>0</v>
      </c>
      <c r="AI425" s="107">
        <f t="shared" si="389"/>
        <v>0</v>
      </c>
      <c r="AJ425" s="107">
        <f t="shared" si="389"/>
        <v>0</v>
      </c>
      <c r="AK425" s="107">
        <f t="shared" si="389"/>
        <v>0</v>
      </c>
      <c r="AL425" s="4"/>
      <c r="AM425" s="43">
        <v>409</v>
      </c>
      <c r="AN425">
        <v>74.513639464406452</v>
      </c>
      <c r="AO425">
        <v>12.940419033242687</v>
      </c>
      <c r="AP425">
        <v>62.184506864352358</v>
      </c>
      <c r="AQ425">
        <v>101.03901821610587</v>
      </c>
      <c r="AR425">
        <v>11.951362755954513</v>
      </c>
      <c r="AS425">
        <v>155.12196646473265</v>
      </c>
      <c r="AT425" t="e">
        <v>#DIV/0!</v>
      </c>
      <c r="AU425" t="e">
        <v>#DIV/0!</v>
      </c>
      <c r="AV425"/>
      <c r="AW425"/>
      <c r="FY425" s="213">
        <v>420</v>
      </c>
      <c r="FZ425">
        <v>30.727907684809288</v>
      </c>
      <c r="GA425">
        <v>35.393117775532666</v>
      </c>
      <c r="GB425">
        <v>9.2099657834168571</v>
      </c>
      <c r="GC425">
        <v>7.2120904890923878</v>
      </c>
      <c r="GD425">
        <v>2.37896094124567</v>
      </c>
      <c r="GE425">
        <v>1.7793833936983541</v>
      </c>
      <c r="GF425">
        <v>5.4192486993190556</v>
      </c>
      <c r="GG425">
        <v>5.548156844932115</v>
      </c>
      <c r="GH425">
        <v>1.5603693116103559</v>
      </c>
      <c r="GI425">
        <v>9.462692778731892</v>
      </c>
      <c r="GJ425"/>
      <c r="GK425"/>
      <c r="GL425"/>
      <c r="GM425"/>
      <c r="GN425" s="208"/>
      <c r="GO425" s="208"/>
      <c r="GP425" s="208"/>
      <c r="GQ425" s="208"/>
      <c r="GR425" s="208"/>
      <c r="GS425" s="208"/>
      <c r="GT425" s="208"/>
      <c r="GU425" s="213">
        <v>420</v>
      </c>
    </row>
    <row r="426" spans="1:203" s="7" customFormat="1">
      <c r="A426" s="128" t="s">
        <v>92</v>
      </c>
      <c r="B426" s="48" t="s">
        <v>41</v>
      </c>
      <c r="C426" s="107">
        <f t="shared" si="388"/>
        <v>3.852218258702425</v>
      </c>
      <c r="D426" s="191">
        <f>A$408</f>
        <v>0.78</v>
      </c>
      <c r="E426" s="8"/>
      <c r="F426" s="124"/>
      <c r="G426" s="107">
        <f t="shared" si="390"/>
        <v>0</v>
      </c>
      <c r="H426" s="107">
        <f t="shared" si="389"/>
        <v>4.95384622545273E-2</v>
      </c>
      <c r="I426" s="107">
        <f t="shared" si="389"/>
        <v>1.6417415229543386</v>
      </c>
      <c r="J426" s="107">
        <f t="shared" si="389"/>
        <v>1.4294779245194134</v>
      </c>
      <c r="K426" s="107">
        <f t="shared" si="389"/>
        <v>0.24229218369480238</v>
      </c>
      <c r="L426" s="107">
        <f t="shared" si="389"/>
        <v>0.48916816527934281</v>
      </c>
      <c r="M426" s="107">
        <f t="shared" si="389"/>
        <v>0</v>
      </c>
      <c r="N426" s="107">
        <f t="shared" si="389"/>
        <v>0</v>
      </c>
      <c r="O426" s="107">
        <f t="shared" si="389"/>
        <v>0</v>
      </c>
      <c r="P426" s="107">
        <f t="shared" si="389"/>
        <v>0</v>
      </c>
      <c r="Q426" s="107">
        <f t="shared" si="389"/>
        <v>0</v>
      </c>
      <c r="R426" s="107">
        <f t="shared" si="389"/>
        <v>0</v>
      </c>
      <c r="S426" s="107">
        <f t="shared" si="389"/>
        <v>0</v>
      </c>
      <c r="T426" s="107">
        <f t="shared" si="389"/>
        <v>0</v>
      </c>
      <c r="U426" s="107">
        <f t="shared" si="389"/>
        <v>0</v>
      </c>
      <c r="V426" s="107">
        <f t="shared" si="389"/>
        <v>0</v>
      </c>
      <c r="W426" s="107">
        <f t="shared" si="389"/>
        <v>0</v>
      </c>
      <c r="X426" s="107">
        <f t="shared" si="389"/>
        <v>0</v>
      </c>
      <c r="Y426" s="107">
        <f t="shared" si="389"/>
        <v>0</v>
      </c>
      <c r="Z426" s="107">
        <f t="shared" si="389"/>
        <v>0</v>
      </c>
      <c r="AA426" s="107">
        <f t="shared" si="389"/>
        <v>0</v>
      </c>
      <c r="AB426" s="107">
        <f t="shared" si="389"/>
        <v>0</v>
      </c>
      <c r="AC426" s="107">
        <f t="shared" si="389"/>
        <v>0</v>
      </c>
      <c r="AD426" s="107">
        <f t="shared" si="389"/>
        <v>0</v>
      </c>
      <c r="AE426" s="107">
        <f t="shared" si="389"/>
        <v>0</v>
      </c>
      <c r="AF426" s="107">
        <f t="shared" si="389"/>
        <v>0</v>
      </c>
      <c r="AG426" s="107">
        <f t="shared" si="389"/>
        <v>0</v>
      </c>
      <c r="AH426" s="107">
        <f t="shared" si="389"/>
        <v>0</v>
      </c>
      <c r="AI426" s="107">
        <f t="shared" si="389"/>
        <v>0</v>
      </c>
      <c r="AJ426" s="107">
        <f t="shared" si="389"/>
        <v>0</v>
      </c>
      <c r="AK426" s="107">
        <f t="shared" si="389"/>
        <v>0</v>
      </c>
      <c r="AL426" s="4"/>
      <c r="AM426" s="43">
        <v>410</v>
      </c>
      <c r="AN426">
        <v>81.469033029878617</v>
      </c>
      <c r="AO426">
        <v>14.46528114129794</v>
      </c>
      <c r="AP426">
        <v>93.938586888094719</v>
      </c>
      <c r="AQ426">
        <v>128.64902209739813</v>
      </c>
      <c r="AR426">
        <v>13.39706994243366</v>
      </c>
      <c r="AS426">
        <v>164.46259465426954</v>
      </c>
      <c r="AT426" t="e">
        <v>#DIV/0!</v>
      </c>
      <c r="AU426" t="e">
        <v>#DIV/0!</v>
      </c>
      <c r="AV426"/>
      <c r="AW426"/>
      <c r="FY426" s="213">
        <v>421</v>
      </c>
      <c r="FZ426">
        <v>24.237387372018564</v>
      </c>
      <c r="GA426">
        <v>25.231422862144289</v>
      </c>
      <c r="GB426">
        <v>4.4307076162117243</v>
      </c>
      <c r="GC426">
        <v>3.7720467137647944</v>
      </c>
      <c r="GD426">
        <v>2.2408988286393936</v>
      </c>
      <c r="GE426">
        <v>2.7615019834379977</v>
      </c>
      <c r="GF426">
        <v>4.0477642871167197</v>
      </c>
      <c r="GG426">
        <v>3.0689940389997572</v>
      </c>
      <c r="GH426">
        <v>0.60080431445180338</v>
      </c>
      <c r="GI426">
        <v>6.9050460464521999</v>
      </c>
      <c r="GJ426"/>
      <c r="GK426"/>
      <c r="GL426"/>
      <c r="GM426"/>
      <c r="GN426" s="208"/>
      <c r="GO426" s="208"/>
      <c r="GP426" s="208"/>
      <c r="GQ426" s="208"/>
      <c r="GR426" s="208"/>
      <c r="GS426" s="208"/>
      <c r="GT426" s="208"/>
      <c r="GU426" s="213">
        <v>421</v>
      </c>
    </row>
    <row r="427" spans="1:203" s="7" customFormat="1">
      <c r="A427" s="128" t="s">
        <v>93</v>
      </c>
      <c r="B427" s="48" t="s">
        <v>42</v>
      </c>
      <c r="C427" s="107">
        <f t="shared" si="388"/>
        <v>2.0781071498289978</v>
      </c>
      <c r="D427" s="191">
        <f>A$409</f>
        <v>0.14000000000000001</v>
      </c>
      <c r="E427" s="8"/>
      <c r="F427" s="124"/>
      <c r="G427" s="107">
        <f t="shared" si="390"/>
        <v>0</v>
      </c>
      <c r="H427" s="107">
        <f t="shared" si="389"/>
        <v>1.9565681817339788E-2</v>
      </c>
      <c r="I427" s="107">
        <f t="shared" si="389"/>
        <v>0.61340474339120576</v>
      </c>
      <c r="J427" s="107">
        <f t="shared" si="389"/>
        <v>0.56011054847147046</v>
      </c>
      <c r="K427" s="107">
        <f t="shared" si="389"/>
        <v>0.34267883271296784</v>
      </c>
      <c r="L427" s="107">
        <f t="shared" si="389"/>
        <v>0.1864410345728473</v>
      </c>
      <c r="M427" s="107">
        <f t="shared" si="389"/>
        <v>0</v>
      </c>
      <c r="N427" s="107">
        <f t="shared" si="389"/>
        <v>0</v>
      </c>
      <c r="O427" s="107">
        <f t="shared" si="389"/>
        <v>0.35590630886316682</v>
      </c>
      <c r="P427" s="107">
        <f t="shared" si="389"/>
        <v>0</v>
      </c>
      <c r="Q427" s="107">
        <f t="shared" si="389"/>
        <v>0</v>
      </c>
      <c r="R427" s="107">
        <f t="shared" si="389"/>
        <v>0</v>
      </c>
      <c r="S427" s="107">
        <f t="shared" si="389"/>
        <v>0</v>
      </c>
      <c r="T427" s="107">
        <f t="shared" si="389"/>
        <v>0</v>
      </c>
      <c r="U427" s="107">
        <f t="shared" si="389"/>
        <v>0</v>
      </c>
      <c r="V427" s="107">
        <f t="shared" si="389"/>
        <v>0</v>
      </c>
      <c r="W427" s="107">
        <f t="shared" si="389"/>
        <v>0</v>
      </c>
      <c r="X427" s="107">
        <f t="shared" si="389"/>
        <v>0</v>
      </c>
      <c r="Y427" s="107">
        <f t="shared" si="389"/>
        <v>0</v>
      </c>
      <c r="Z427" s="107">
        <f t="shared" si="389"/>
        <v>0</v>
      </c>
      <c r="AA427" s="107">
        <f t="shared" si="389"/>
        <v>0</v>
      </c>
      <c r="AB427" s="107">
        <f t="shared" si="389"/>
        <v>0</v>
      </c>
      <c r="AC427" s="107">
        <f t="shared" si="389"/>
        <v>0</v>
      </c>
      <c r="AD427" s="107">
        <f t="shared" si="389"/>
        <v>0</v>
      </c>
      <c r="AE427" s="107">
        <f t="shared" si="389"/>
        <v>0</v>
      </c>
      <c r="AF427" s="107">
        <f t="shared" si="389"/>
        <v>0</v>
      </c>
      <c r="AG427" s="107">
        <f t="shared" si="389"/>
        <v>0</v>
      </c>
      <c r="AH427" s="107">
        <f t="shared" si="389"/>
        <v>0</v>
      </c>
      <c r="AI427" s="107">
        <f t="shared" si="389"/>
        <v>0</v>
      </c>
      <c r="AJ427" s="107">
        <f t="shared" si="389"/>
        <v>0</v>
      </c>
      <c r="AK427" s="107">
        <f t="shared" si="389"/>
        <v>0</v>
      </c>
      <c r="AL427" s="4"/>
      <c r="AM427" s="43">
        <v>411</v>
      </c>
      <c r="AN427">
        <v>82.56150302443406</v>
      </c>
      <c r="AO427">
        <v>14.365613660619767</v>
      </c>
      <c r="AP427">
        <v>85.571892581021885</v>
      </c>
      <c r="AQ427">
        <v>109.15408001259695</v>
      </c>
      <c r="AR427">
        <v>13.212183077517517</v>
      </c>
      <c r="AS427">
        <v>157.25028150849229</v>
      </c>
      <c r="AT427">
        <v>9.0736263545700151</v>
      </c>
      <c r="AU427">
        <v>27.751830333022923</v>
      </c>
      <c r="AV427"/>
      <c r="AW427"/>
      <c r="FY427" s="213">
        <v>422</v>
      </c>
      <c r="FZ427">
        <v>12.894228810684462</v>
      </c>
      <c r="GA427">
        <v>15.039396693730929</v>
      </c>
      <c r="GB427">
        <v>5.5050338267951613</v>
      </c>
      <c r="GC427">
        <v>4.4339424145252346</v>
      </c>
      <c r="GD427">
        <v>1.7462526921995458</v>
      </c>
      <c r="GE427">
        <v>1.5144471838690099</v>
      </c>
      <c r="GF427">
        <v>4.7522410100504793</v>
      </c>
      <c r="GG427">
        <v>6.1355139078402967</v>
      </c>
      <c r="GH427">
        <v>3.1207386232207117</v>
      </c>
      <c r="GI427">
        <v>5.6714821904458983</v>
      </c>
      <c r="GJ427"/>
      <c r="GK427"/>
      <c r="GL427"/>
      <c r="GM427"/>
      <c r="GN427" s="208"/>
      <c r="GO427" s="208"/>
      <c r="GP427" s="208"/>
      <c r="GQ427" s="208"/>
      <c r="GR427" s="208"/>
      <c r="GS427" s="208"/>
      <c r="GT427" s="208"/>
      <c r="GU427" s="213">
        <v>422</v>
      </c>
    </row>
    <row r="428" spans="1:203" s="7" customFormat="1">
      <c r="A428" s="138" t="s">
        <v>95</v>
      </c>
      <c r="B428" s="48" t="s">
        <v>118</v>
      </c>
      <c r="C428" s="107">
        <f t="shared" si="388"/>
        <v>2.373253939576581</v>
      </c>
      <c r="D428" s="191">
        <f>A$410</f>
        <v>0.21</v>
      </c>
      <c r="E428" s="8"/>
      <c r="F428" s="124"/>
      <c r="G428" s="107">
        <f t="shared" si="390"/>
        <v>0</v>
      </c>
      <c r="H428" s="107">
        <f t="shared" si="389"/>
        <v>3.2129572737365927E-2</v>
      </c>
      <c r="I428" s="107">
        <f t="shared" si="389"/>
        <v>0.41217779447075836</v>
      </c>
      <c r="J428" s="107">
        <f t="shared" si="389"/>
        <v>0.64708922429605586</v>
      </c>
      <c r="K428" s="107">
        <f t="shared" si="389"/>
        <v>0.55686002331009055</v>
      </c>
      <c r="L428" s="107">
        <f t="shared" si="389"/>
        <v>0</v>
      </c>
      <c r="M428" s="107">
        <f t="shared" si="389"/>
        <v>0</v>
      </c>
      <c r="N428" s="107">
        <f t="shared" si="389"/>
        <v>0</v>
      </c>
      <c r="O428" s="107">
        <f t="shared" si="389"/>
        <v>0.72499732476231027</v>
      </c>
      <c r="P428" s="107">
        <f t="shared" si="389"/>
        <v>0</v>
      </c>
      <c r="Q428" s="107">
        <f t="shared" si="389"/>
        <v>0</v>
      </c>
      <c r="R428" s="107">
        <f t="shared" si="389"/>
        <v>0</v>
      </c>
      <c r="S428" s="107">
        <f t="shared" si="389"/>
        <v>0</v>
      </c>
      <c r="T428" s="107">
        <f t="shared" si="389"/>
        <v>0</v>
      </c>
      <c r="U428" s="107">
        <f t="shared" si="389"/>
        <v>0</v>
      </c>
      <c r="V428" s="107">
        <f t="shared" si="389"/>
        <v>0</v>
      </c>
      <c r="W428" s="107">
        <f t="shared" si="389"/>
        <v>0</v>
      </c>
      <c r="X428" s="107">
        <f t="shared" si="389"/>
        <v>0</v>
      </c>
      <c r="Y428" s="107">
        <f t="shared" si="389"/>
        <v>0</v>
      </c>
      <c r="Z428" s="107">
        <f t="shared" si="389"/>
        <v>0</v>
      </c>
      <c r="AA428" s="107">
        <f t="shared" si="389"/>
        <v>0</v>
      </c>
      <c r="AB428" s="107">
        <f t="shared" si="389"/>
        <v>0</v>
      </c>
      <c r="AC428" s="107">
        <f t="shared" si="389"/>
        <v>0</v>
      </c>
      <c r="AD428" s="107">
        <f t="shared" si="389"/>
        <v>0</v>
      </c>
      <c r="AE428" s="107">
        <f t="shared" si="389"/>
        <v>0</v>
      </c>
      <c r="AF428" s="107">
        <f t="shared" si="389"/>
        <v>0</v>
      </c>
      <c r="AG428" s="107">
        <f t="shared" si="389"/>
        <v>0</v>
      </c>
      <c r="AH428" s="107">
        <f t="shared" si="389"/>
        <v>0</v>
      </c>
      <c r="AI428" s="107">
        <f t="shared" si="389"/>
        <v>0</v>
      </c>
      <c r="AJ428" s="107">
        <f t="shared" si="389"/>
        <v>0</v>
      </c>
      <c r="AK428" s="107">
        <f t="shared" si="389"/>
        <v>0</v>
      </c>
      <c r="AL428" s="4"/>
      <c r="AM428" s="43">
        <v>412</v>
      </c>
      <c r="AN428">
        <v>81.715119840671306</v>
      </c>
      <c r="AO428">
        <v>18.221786824096785</v>
      </c>
      <c r="AP428">
        <v>157.63190853784954</v>
      </c>
      <c r="AQ428">
        <v>154.93607525437287</v>
      </c>
      <c r="AR428">
        <v>16.810412396687429</v>
      </c>
      <c r="AS428">
        <v>177.56255609905799</v>
      </c>
      <c r="AT428">
        <v>11.249855810329036</v>
      </c>
      <c r="AU428">
        <v>60.475856578988314</v>
      </c>
      <c r="AV428"/>
      <c r="AW428"/>
      <c r="FY428" s="213">
        <v>423</v>
      </c>
      <c r="FZ428">
        <v>21.637333798766154</v>
      </c>
      <c r="GA428">
        <v>28.715832333620646</v>
      </c>
      <c r="GB428">
        <v>10.345608630210013</v>
      </c>
      <c r="GC428">
        <v>6.0824234571550395</v>
      </c>
      <c r="GD428">
        <v>2.283401938302891</v>
      </c>
      <c r="GE428">
        <v>2.7026085118380507</v>
      </c>
      <c r="GF428">
        <v>2.8316583321548285</v>
      </c>
      <c r="GG428">
        <v>2.1567819133912058</v>
      </c>
      <c r="GH428">
        <v>0.60080431445180338</v>
      </c>
      <c r="GI428">
        <v>7.7461122755690637</v>
      </c>
      <c r="GJ428"/>
      <c r="GK428"/>
      <c r="GL428"/>
      <c r="GM428"/>
      <c r="GN428" s="208"/>
      <c r="GO428" s="208"/>
      <c r="GP428" s="208"/>
      <c r="GQ428" s="208"/>
      <c r="GR428" s="208"/>
      <c r="GS428" s="208"/>
      <c r="GT428" s="208"/>
      <c r="GU428" s="213">
        <v>423</v>
      </c>
    </row>
    <row r="429" spans="1:203" s="7" customFormat="1">
      <c r="A429" s="138" t="s">
        <v>94</v>
      </c>
      <c r="B429" s="48" t="s">
        <v>119</v>
      </c>
      <c r="C429" s="107">
        <f t="shared" si="388"/>
        <v>0.43366364108080679</v>
      </c>
      <c r="D429" s="191">
        <f>A$411</f>
        <v>1.28</v>
      </c>
      <c r="E429" s="8"/>
      <c r="F429" s="124"/>
      <c r="G429" s="107">
        <f t="shared" si="390"/>
        <v>0</v>
      </c>
      <c r="H429" s="107">
        <f t="shared" si="389"/>
        <v>0</v>
      </c>
      <c r="I429" s="107">
        <f t="shared" si="389"/>
        <v>0</v>
      </c>
      <c r="J429" s="107">
        <f t="shared" si="389"/>
        <v>5.8986501297313559E-2</v>
      </c>
      <c r="K429" s="107">
        <f t="shared" si="389"/>
        <v>0.37467713978349326</v>
      </c>
      <c r="L429" s="107">
        <f t="shared" si="389"/>
        <v>0</v>
      </c>
      <c r="M429" s="107">
        <f t="shared" si="389"/>
        <v>0</v>
      </c>
      <c r="N429" s="107">
        <f t="shared" si="389"/>
        <v>0</v>
      </c>
      <c r="O429" s="107">
        <f t="shared" si="389"/>
        <v>0</v>
      </c>
      <c r="P429" s="107">
        <f t="shared" si="389"/>
        <v>0</v>
      </c>
      <c r="Q429" s="107">
        <f t="shared" si="389"/>
        <v>0</v>
      </c>
      <c r="R429" s="107">
        <f t="shared" si="389"/>
        <v>0</v>
      </c>
      <c r="S429" s="107">
        <f t="shared" si="389"/>
        <v>0</v>
      </c>
      <c r="T429" s="107">
        <f t="shared" si="389"/>
        <v>0</v>
      </c>
      <c r="U429" s="107">
        <f t="shared" si="389"/>
        <v>0</v>
      </c>
      <c r="V429" s="107">
        <f t="shared" si="389"/>
        <v>0</v>
      </c>
      <c r="W429" s="107">
        <f t="shared" si="389"/>
        <v>0</v>
      </c>
      <c r="X429" s="107">
        <f t="shared" si="389"/>
        <v>0</v>
      </c>
      <c r="Y429" s="107">
        <f t="shared" si="389"/>
        <v>0</v>
      </c>
      <c r="Z429" s="107">
        <f t="shared" si="389"/>
        <v>0</v>
      </c>
      <c r="AA429" s="107">
        <f t="shared" si="389"/>
        <v>0</v>
      </c>
      <c r="AB429" s="107">
        <f t="shared" si="389"/>
        <v>0</v>
      </c>
      <c r="AC429" s="107">
        <f t="shared" si="389"/>
        <v>0</v>
      </c>
      <c r="AD429" s="107">
        <f t="shared" si="389"/>
        <v>0</v>
      </c>
      <c r="AE429" s="107">
        <f t="shared" si="389"/>
        <v>0</v>
      </c>
      <c r="AF429" s="107">
        <f t="shared" si="389"/>
        <v>0</v>
      </c>
      <c r="AG429" s="107">
        <f t="shared" si="389"/>
        <v>0</v>
      </c>
      <c r="AH429" s="107">
        <f t="shared" si="389"/>
        <v>0</v>
      </c>
      <c r="AI429" s="107">
        <f t="shared" si="389"/>
        <v>0</v>
      </c>
      <c r="AJ429" s="107">
        <f t="shared" si="389"/>
        <v>0</v>
      </c>
      <c r="AK429" s="107">
        <f t="shared" si="389"/>
        <v>0</v>
      </c>
      <c r="AL429" s="4"/>
      <c r="AM429" s="43">
        <v>413</v>
      </c>
      <c r="AN429">
        <v>107.73861148312847</v>
      </c>
      <c r="AO429">
        <v>19.856963109195028</v>
      </c>
      <c r="AP429">
        <v>99.700869798237548</v>
      </c>
      <c r="AQ429">
        <v>158.26520859228518</v>
      </c>
      <c r="AR429">
        <v>18.241339994125614</v>
      </c>
      <c r="AS429">
        <v>210.41183647604109</v>
      </c>
      <c r="AT429" t="e">
        <v>#DIV/0!</v>
      </c>
      <c r="AU429" t="e">
        <v>#DIV/0!</v>
      </c>
      <c r="AV429"/>
      <c r="AW429"/>
      <c r="FY429" s="213">
        <v>424</v>
      </c>
      <c r="FZ429">
        <v>7.3403827525726166</v>
      </c>
      <c r="GA429">
        <v>9.320869061024661</v>
      </c>
      <c r="GB429">
        <v>13.824020263502687</v>
      </c>
      <c r="GC429">
        <v>8.3261010926719532</v>
      </c>
      <c r="GD429">
        <v>2.5467441431755007</v>
      </c>
      <c r="GE429">
        <v>2.7616371976004288</v>
      </c>
      <c r="GF429">
        <v>5.401472192137188</v>
      </c>
      <c r="GG429">
        <v>5.7372792305173972</v>
      </c>
      <c r="GH429">
        <v>2.1611736260621592</v>
      </c>
      <c r="GI429">
        <v>7.3605887576822902</v>
      </c>
      <c r="GJ429"/>
      <c r="GK429"/>
      <c r="GL429"/>
      <c r="GM429"/>
      <c r="GN429" s="208"/>
      <c r="GO429" s="208"/>
      <c r="GP429" s="208"/>
      <c r="GQ429" s="208"/>
      <c r="GR429" s="208"/>
      <c r="GS429" s="208"/>
      <c r="GT429" s="208"/>
      <c r="GU429" s="213">
        <v>424</v>
      </c>
    </row>
    <row r="430" spans="1:203" s="7" customFormat="1">
      <c r="A430" s="128" t="s">
        <v>18</v>
      </c>
      <c r="B430" s="48" t="s">
        <v>120</v>
      </c>
      <c r="C430" s="107">
        <f t="shared" si="388"/>
        <v>3.7564031851391464</v>
      </c>
      <c r="D430" s="191">
        <f>A$412</f>
        <v>4</v>
      </c>
      <c r="E430" s="8"/>
      <c r="F430" s="124"/>
      <c r="G430" s="107">
        <f t="shared" si="390"/>
        <v>0</v>
      </c>
      <c r="H430" s="107">
        <f t="shared" si="389"/>
        <v>0</v>
      </c>
      <c r="I430" s="107">
        <f t="shared" si="389"/>
        <v>0.40646392817509924</v>
      </c>
      <c r="J430" s="107">
        <f t="shared" si="389"/>
        <v>5.1376618444287578E-2</v>
      </c>
      <c r="K430" s="107">
        <f t="shared" si="389"/>
        <v>0.54772265342642124</v>
      </c>
      <c r="L430" s="107">
        <f t="shared" si="389"/>
        <v>0</v>
      </c>
      <c r="M430" s="107">
        <f t="shared" si="389"/>
        <v>2.7508399850933385</v>
      </c>
      <c r="N430" s="107">
        <f t="shared" si="389"/>
        <v>0</v>
      </c>
      <c r="O430" s="107">
        <f t="shared" si="389"/>
        <v>0</v>
      </c>
      <c r="P430" s="107">
        <f t="shared" si="389"/>
        <v>0</v>
      </c>
      <c r="Q430" s="107">
        <f t="shared" si="389"/>
        <v>0</v>
      </c>
      <c r="R430" s="107">
        <f t="shared" si="389"/>
        <v>0</v>
      </c>
      <c r="S430" s="107">
        <f t="shared" si="389"/>
        <v>0</v>
      </c>
      <c r="T430" s="107">
        <f t="shared" si="389"/>
        <v>0</v>
      </c>
      <c r="U430" s="107">
        <f t="shared" si="389"/>
        <v>0</v>
      </c>
      <c r="V430" s="107">
        <f t="shared" si="389"/>
        <v>0</v>
      </c>
      <c r="W430" s="107">
        <f t="shared" si="389"/>
        <v>0</v>
      </c>
      <c r="X430" s="107">
        <f t="shared" si="389"/>
        <v>0</v>
      </c>
      <c r="Y430" s="107">
        <f t="shared" si="389"/>
        <v>0</v>
      </c>
      <c r="Z430" s="107">
        <f t="shared" si="389"/>
        <v>0</v>
      </c>
      <c r="AA430" s="107">
        <f t="shared" si="389"/>
        <v>0</v>
      </c>
      <c r="AB430" s="107">
        <f t="shared" si="389"/>
        <v>0</v>
      </c>
      <c r="AC430" s="107">
        <f t="shared" si="389"/>
        <v>0</v>
      </c>
      <c r="AD430" s="107">
        <f t="shared" si="389"/>
        <v>0</v>
      </c>
      <c r="AE430" s="107">
        <f t="shared" si="389"/>
        <v>0</v>
      </c>
      <c r="AF430" s="107">
        <f t="shared" si="389"/>
        <v>0</v>
      </c>
      <c r="AG430" s="107">
        <f t="shared" si="389"/>
        <v>0</v>
      </c>
      <c r="AH430" s="107">
        <f t="shared" si="389"/>
        <v>0</v>
      </c>
      <c r="AI430" s="107">
        <f t="shared" si="389"/>
        <v>0</v>
      </c>
      <c r="AJ430" s="107">
        <f t="shared" si="389"/>
        <v>0</v>
      </c>
      <c r="AK430" s="107">
        <f t="shared" si="389"/>
        <v>0</v>
      </c>
      <c r="AL430" s="4"/>
      <c r="AM430" s="43">
        <v>414</v>
      </c>
      <c r="AN430">
        <v>81.280506277444658</v>
      </c>
      <c r="AO430">
        <v>11.226883682003844</v>
      </c>
      <c r="AP430">
        <v>78.454077276595825</v>
      </c>
      <c r="AQ430">
        <v>86.891633071502469</v>
      </c>
      <c r="AR430">
        <v>10.518305060390839</v>
      </c>
      <c r="AS430">
        <v>123.6771207256878</v>
      </c>
      <c r="AT430" t="e">
        <v>#DIV/0!</v>
      </c>
      <c r="AU430" t="e">
        <v>#DIV/0!</v>
      </c>
      <c r="AV430"/>
      <c r="AW430"/>
      <c r="FY430" s="213">
        <v>425</v>
      </c>
      <c r="FZ430">
        <v>31.830523485750721</v>
      </c>
      <c r="GA430">
        <v>38.507375736077748</v>
      </c>
      <c r="GB430">
        <v>6.8666480343053946</v>
      </c>
      <c r="GC430">
        <v>4.3492150867922241</v>
      </c>
      <c r="GD430">
        <v>2.0379355659330245</v>
      </c>
      <c r="GE430">
        <v>2.0173442116690667</v>
      </c>
      <c r="GF430">
        <v>4.2282818757078608</v>
      </c>
      <c r="GG430">
        <v>7.002815953209419</v>
      </c>
      <c r="GH430">
        <v>5.8827165637346734</v>
      </c>
      <c r="GI430">
        <v>9.3371481897132806</v>
      </c>
      <c r="GJ430"/>
      <c r="GK430"/>
      <c r="GL430"/>
      <c r="GM430"/>
      <c r="GN430" s="208"/>
      <c r="GO430" s="208"/>
      <c r="GP430" s="208"/>
      <c r="GQ430" s="208"/>
      <c r="GR430" s="208"/>
      <c r="GS430" s="208"/>
      <c r="GT430" s="208"/>
      <c r="GU430" s="213">
        <v>425</v>
      </c>
    </row>
    <row r="431" spans="1:203" s="7" customFormat="1">
      <c r="A431" s="128" t="s">
        <v>17</v>
      </c>
      <c r="B431" s="48" t="s">
        <v>121</v>
      </c>
      <c r="C431" s="107">
        <f t="shared" si="388"/>
        <v>5.8827165637346734</v>
      </c>
      <c r="D431" s="191">
        <f>A$413</f>
        <v>7.33</v>
      </c>
      <c r="E431" s="8"/>
      <c r="F431" s="124"/>
      <c r="G431" s="107">
        <f t="shared" si="390"/>
        <v>0</v>
      </c>
      <c r="H431" s="107">
        <f t="shared" si="389"/>
        <v>0</v>
      </c>
      <c r="I431" s="107">
        <f t="shared" si="389"/>
        <v>0.53496101336023372</v>
      </c>
      <c r="J431" s="107">
        <f t="shared" si="389"/>
        <v>0</v>
      </c>
      <c r="K431" s="107">
        <f t="shared" si="389"/>
        <v>0.43554672601083183</v>
      </c>
      <c r="L431" s="107">
        <f t="shared" si="389"/>
        <v>0</v>
      </c>
      <c r="M431" s="107">
        <f t="shared" si="389"/>
        <v>3.710600195460001</v>
      </c>
      <c r="N431" s="107">
        <f t="shared" si="389"/>
        <v>1.2016086289036068</v>
      </c>
      <c r="O431" s="107">
        <f t="shared" si="389"/>
        <v>0</v>
      </c>
      <c r="P431" s="107">
        <f t="shared" si="389"/>
        <v>0</v>
      </c>
      <c r="Q431" s="107">
        <f t="shared" si="389"/>
        <v>0</v>
      </c>
      <c r="R431" s="107">
        <f t="shared" si="389"/>
        <v>0</v>
      </c>
      <c r="S431" s="107">
        <f t="shared" si="389"/>
        <v>0</v>
      </c>
      <c r="T431" s="107">
        <f t="shared" si="389"/>
        <v>0</v>
      </c>
      <c r="U431" s="107">
        <f t="shared" si="389"/>
        <v>0</v>
      </c>
      <c r="V431" s="107">
        <f t="shared" si="389"/>
        <v>0</v>
      </c>
      <c r="W431" s="107">
        <f t="shared" si="389"/>
        <v>0</v>
      </c>
      <c r="X431" s="107">
        <f t="shared" si="389"/>
        <v>0</v>
      </c>
      <c r="Y431" s="107">
        <f t="shared" si="389"/>
        <v>0</v>
      </c>
      <c r="Z431" s="107">
        <f t="shared" si="389"/>
        <v>0</v>
      </c>
      <c r="AA431" s="107">
        <f t="shared" si="389"/>
        <v>0</v>
      </c>
      <c r="AB431" s="107">
        <f t="shared" si="389"/>
        <v>0</v>
      </c>
      <c r="AC431" s="107">
        <f t="shared" si="389"/>
        <v>0</v>
      </c>
      <c r="AD431" s="107">
        <f t="shared" si="389"/>
        <v>0</v>
      </c>
      <c r="AE431" s="107">
        <f t="shared" si="389"/>
        <v>0</v>
      </c>
      <c r="AF431" s="107">
        <f t="shared" si="389"/>
        <v>0</v>
      </c>
      <c r="AG431" s="107">
        <f t="shared" si="389"/>
        <v>0</v>
      </c>
      <c r="AH431" s="107">
        <f t="shared" si="389"/>
        <v>0</v>
      </c>
      <c r="AI431" s="107">
        <f t="shared" si="389"/>
        <v>0</v>
      </c>
      <c r="AJ431" s="107">
        <f t="shared" si="389"/>
        <v>0</v>
      </c>
      <c r="AK431" s="107">
        <f t="shared" si="389"/>
        <v>0</v>
      </c>
      <c r="AL431" s="4"/>
      <c r="AM431" s="43">
        <v>415</v>
      </c>
      <c r="AN431">
        <v>91.577420991974719</v>
      </c>
      <c r="AO431">
        <v>9.15654906859241</v>
      </c>
      <c r="AP431">
        <v>56.43501864754829</v>
      </c>
      <c r="AQ431">
        <v>66.243561793953546</v>
      </c>
      <c r="AR431">
        <v>8.4983207396661946</v>
      </c>
      <c r="AS431">
        <v>122.82952589379531</v>
      </c>
      <c r="AT431" t="e">
        <v>#DIV/0!</v>
      </c>
      <c r="AU431" t="e">
        <v>#DIV/0!</v>
      </c>
      <c r="AV431"/>
      <c r="AW431"/>
      <c r="FY431" s="213">
        <v>426</v>
      </c>
      <c r="FZ431">
        <v>34.589390099371862</v>
      </c>
      <c r="GA431">
        <v>40.277433465972337</v>
      </c>
      <c r="GB431">
        <v>5.9999544483699845</v>
      </c>
      <c r="GC431">
        <v>4.6498339793666306</v>
      </c>
      <c r="GD431">
        <v>1.9443615945106014</v>
      </c>
      <c r="GE431">
        <v>1.9427606797269974</v>
      </c>
      <c r="GF431">
        <v>4.6879173817043647</v>
      </c>
      <c r="GG431">
        <v>4.9899780472366748</v>
      </c>
      <c r="GH431">
        <v>2.7619779405139626</v>
      </c>
      <c r="GI431">
        <v>9.0160056163534268</v>
      </c>
      <c r="GJ431"/>
      <c r="GK431"/>
      <c r="GL431"/>
      <c r="GM431"/>
      <c r="GN431" s="208"/>
      <c r="GO431" s="208"/>
      <c r="GP431" s="208"/>
      <c r="GQ431" s="208"/>
      <c r="GR431" s="208"/>
      <c r="GS431" s="208"/>
      <c r="GT431" s="208"/>
      <c r="GU431" s="213">
        <v>426</v>
      </c>
    </row>
    <row r="432" spans="1:203" s="7" customFormat="1">
      <c r="A432" s="4"/>
      <c r="B432" s="48" t="s">
        <v>122</v>
      </c>
      <c r="C432" s="107">
        <f t="shared" si="388"/>
        <v>5.0561519397960382</v>
      </c>
      <c r="D432" s="191">
        <f>A$414</f>
        <v>10.51</v>
      </c>
      <c r="E432" s="8"/>
      <c r="F432" s="124"/>
      <c r="G432" s="107">
        <f t="shared" si="390"/>
        <v>0</v>
      </c>
      <c r="H432" s="107">
        <f t="shared" ref="H432:AK432" si="391">(($A$453+$A$455*(H$422)+($A$457*$D432))*($E30*H46))</f>
        <v>3.0559854907402373E-2</v>
      </c>
      <c r="I432" s="107">
        <f t="shared" si="391"/>
        <v>1.0769637604284401</v>
      </c>
      <c r="J432" s="107">
        <f t="shared" si="391"/>
        <v>1.1842368767976139</v>
      </c>
      <c r="K432" s="107">
        <f t="shared" si="391"/>
        <v>0.9587449393099573</v>
      </c>
      <c r="L432" s="107">
        <f t="shared" si="391"/>
        <v>0.5548948929291545</v>
      </c>
      <c r="M432" s="107">
        <f t="shared" si="391"/>
        <v>0.79065012196217033</v>
      </c>
      <c r="N432" s="107">
        <f t="shared" si="391"/>
        <v>0.19359821459855511</v>
      </c>
      <c r="O432" s="107">
        <f t="shared" si="391"/>
        <v>0.26650327886274405</v>
      </c>
      <c r="P432" s="107">
        <f t="shared" si="391"/>
        <v>0</v>
      </c>
      <c r="Q432" s="107">
        <f t="shared" si="391"/>
        <v>0</v>
      </c>
      <c r="R432" s="107">
        <f t="shared" si="391"/>
        <v>0</v>
      </c>
      <c r="S432" s="107">
        <f t="shared" si="391"/>
        <v>0</v>
      </c>
      <c r="T432" s="107">
        <f t="shared" si="391"/>
        <v>0</v>
      </c>
      <c r="U432" s="107">
        <f t="shared" si="391"/>
        <v>0</v>
      </c>
      <c r="V432" s="107">
        <f t="shared" si="391"/>
        <v>0</v>
      </c>
      <c r="W432" s="107">
        <f t="shared" si="391"/>
        <v>0</v>
      </c>
      <c r="X432" s="107">
        <f t="shared" si="391"/>
        <v>0</v>
      </c>
      <c r="Y432" s="107">
        <f t="shared" si="391"/>
        <v>0</v>
      </c>
      <c r="Z432" s="107">
        <f t="shared" si="391"/>
        <v>0</v>
      </c>
      <c r="AA432" s="107">
        <f t="shared" si="391"/>
        <v>0</v>
      </c>
      <c r="AB432" s="107">
        <f t="shared" si="391"/>
        <v>0</v>
      </c>
      <c r="AC432" s="107">
        <f t="shared" si="391"/>
        <v>0</v>
      </c>
      <c r="AD432" s="107">
        <f t="shared" si="391"/>
        <v>0</v>
      </c>
      <c r="AE432" s="107">
        <f t="shared" si="391"/>
        <v>0</v>
      </c>
      <c r="AF432" s="107">
        <f t="shared" si="391"/>
        <v>0</v>
      </c>
      <c r="AG432" s="107">
        <f t="shared" si="391"/>
        <v>0</v>
      </c>
      <c r="AH432" s="107">
        <f t="shared" si="391"/>
        <v>0</v>
      </c>
      <c r="AI432" s="107">
        <f t="shared" si="391"/>
        <v>0</v>
      </c>
      <c r="AJ432" s="107">
        <f t="shared" si="391"/>
        <v>0</v>
      </c>
      <c r="AK432" s="107">
        <f t="shared" si="391"/>
        <v>0</v>
      </c>
      <c r="AL432" s="4"/>
      <c r="AM432" s="43">
        <v>416</v>
      </c>
      <c r="AN432">
        <v>78.844848676650145</v>
      </c>
      <c r="AO432">
        <v>10.406235959159758</v>
      </c>
      <c r="AP432">
        <v>38.555886264247661</v>
      </c>
      <c r="AQ432">
        <v>75.464218537091753</v>
      </c>
      <c r="AR432">
        <v>9.5814613657160042</v>
      </c>
      <c r="AS432">
        <v>145.47458830806255</v>
      </c>
      <c r="AT432" t="e">
        <v>#DIV/0!</v>
      </c>
      <c r="AU432" t="e">
        <v>#DIV/0!</v>
      </c>
      <c r="AV432"/>
      <c r="AW432"/>
      <c r="FY432" s="213">
        <v>427</v>
      </c>
      <c r="FZ432">
        <v>29.260180969073261</v>
      </c>
      <c r="GA432">
        <v>31.358736054855751</v>
      </c>
      <c r="GB432">
        <v>5.4973462885928788</v>
      </c>
      <c r="GC432">
        <v>4.5087026508191519</v>
      </c>
      <c r="GD432">
        <v>1.8234364663494638</v>
      </c>
      <c r="GE432">
        <v>1.4536586618034284</v>
      </c>
      <c r="GF432">
        <v>3.2063354719383224</v>
      </c>
      <c r="GG432">
        <v>3.6987712923327765</v>
      </c>
      <c r="GH432">
        <v>1.5603693116103559</v>
      </c>
      <c r="GI432">
        <v>7.557241691593557</v>
      </c>
      <c r="GJ432"/>
      <c r="GK432"/>
      <c r="GL432"/>
      <c r="GM432"/>
      <c r="GN432" s="208"/>
      <c r="GO432" s="208"/>
      <c r="GP432" s="208"/>
      <c r="GQ432" s="208"/>
      <c r="GR432" s="208"/>
      <c r="GS432" s="208"/>
      <c r="GT432" s="208"/>
      <c r="GU432" s="213">
        <v>427</v>
      </c>
    </row>
    <row r="433" spans="1:203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91.697309321238066</v>
      </c>
      <c r="AO433">
        <v>12.930609010860934</v>
      </c>
      <c r="AP433">
        <v>96.232110954654274</v>
      </c>
      <c r="AQ433">
        <v>101.19023572922735</v>
      </c>
      <c r="AR433">
        <v>12.006781289345072</v>
      </c>
      <c r="AS433">
        <v>161.46726913278101</v>
      </c>
      <c r="AT433">
        <v>8.155732652682115</v>
      </c>
      <c r="AU433">
        <v>-3.9125629537360411</v>
      </c>
      <c r="AV433"/>
      <c r="AW433"/>
      <c r="FY433" s="213">
        <v>428</v>
      </c>
      <c r="FZ433">
        <v>47.189824565953955</v>
      </c>
      <c r="GA433">
        <v>61.017233605903904</v>
      </c>
      <c r="GB433">
        <v>7.6020417248129357</v>
      </c>
      <c r="GC433">
        <v>4.1990879639693244</v>
      </c>
      <c r="GD433">
        <v>2.30325050386437</v>
      </c>
      <c r="GE433">
        <v>2.2067332920220624</v>
      </c>
      <c r="GF433">
        <v>3.4124452576289013</v>
      </c>
      <c r="GG433">
        <v>2.7171850649553262</v>
      </c>
      <c r="GH433">
        <v>1.2016086289036068</v>
      </c>
      <c r="GI433">
        <v>11.134894178427544</v>
      </c>
      <c r="GJ433"/>
      <c r="GK433"/>
      <c r="GL433"/>
      <c r="GM433"/>
      <c r="GN433" s="208"/>
      <c r="GO433" s="208"/>
      <c r="GP433" s="208"/>
      <c r="GQ433" s="208"/>
      <c r="GR433" s="208"/>
      <c r="GS433" s="208"/>
      <c r="GT433" s="208"/>
      <c r="GU433" s="213">
        <v>428</v>
      </c>
    </row>
    <row r="434" spans="1:203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80.397042513586626</v>
      </c>
      <c r="AO434">
        <v>16.241196183114717</v>
      </c>
      <c r="AP434">
        <v>112.55207753767631</v>
      </c>
      <c r="AQ434">
        <v>144.1527946692409</v>
      </c>
      <c r="AR434">
        <v>14.88606980835538</v>
      </c>
      <c r="AS434">
        <v>166.49781994533541</v>
      </c>
      <c r="AT434" t="e">
        <v>#DIV/0!</v>
      </c>
      <c r="AU434" t="e">
        <v>#DIV/0!</v>
      </c>
      <c r="AV434"/>
      <c r="AW434"/>
      <c r="FY434" s="213">
        <v>429</v>
      </c>
      <c r="FZ434">
        <v>12.334621940829461</v>
      </c>
      <c r="GA434">
        <v>16.177274503754784</v>
      </c>
      <c r="GB434">
        <v>10.036411774419015</v>
      </c>
      <c r="GC434">
        <v>5.7208720269378945</v>
      </c>
      <c r="GD434">
        <v>2.12036187948013</v>
      </c>
      <c r="GE434">
        <v>2.3695296343915735</v>
      </c>
      <c r="GF434">
        <v>2.4704402792214841</v>
      </c>
      <c r="GG434">
        <v>3.3392484549718375</v>
      </c>
      <c r="GH434">
        <v>1.5603693116103559</v>
      </c>
      <c r="GI434">
        <v>6.2870570678285009</v>
      </c>
      <c r="GJ434"/>
      <c r="GK434"/>
      <c r="GL434"/>
      <c r="GM434"/>
      <c r="GN434" s="208"/>
      <c r="GO434" s="208"/>
      <c r="GP434" s="208"/>
      <c r="GQ434" s="208"/>
      <c r="GR434" s="208"/>
      <c r="GS434" s="208"/>
      <c r="GT434" s="208"/>
      <c r="GU434" s="213">
        <v>429</v>
      </c>
    </row>
    <row r="435" spans="1:203" s="7" customFormat="1">
      <c r="A435" s="4"/>
      <c r="B435" s="52" t="s">
        <v>53</v>
      </c>
      <c r="C435" s="53">
        <f>SUM(C423:C434)</f>
        <v>49.9169151801323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77.781290475591945</v>
      </c>
      <c r="AO435">
        <v>15.600484434660194</v>
      </c>
      <c r="AP435">
        <v>113.69270617286801</v>
      </c>
      <c r="AQ435">
        <v>138.62041903376928</v>
      </c>
      <c r="AR435">
        <v>14.275323965670808</v>
      </c>
      <c r="AS435">
        <v>175.44563704354249</v>
      </c>
      <c r="AT435">
        <v>9.9570199671322452</v>
      </c>
      <c r="AU435">
        <v>14.95414060284847</v>
      </c>
      <c r="AV435"/>
      <c r="AW435"/>
      <c r="FY435" s="213">
        <v>430</v>
      </c>
      <c r="FZ435">
        <v>8.7273853043447467</v>
      </c>
      <c r="GA435">
        <v>8.7539550623969973</v>
      </c>
      <c r="GB435">
        <v>6.9232428964714341</v>
      </c>
      <c r="GC435">
        <v>4.4500499131030926</v>
      </c>
      <c r="GD435">
        <v>1.678922454332751</v>
      </c>
      <c r="GE435">
        <v>2.4519265989650969</v>
      </c>
      <c r="GF435">
        <v>3.2029741793043183</v>
      </c>
      <c r="GG435">
        <v>2.6046663222765769</v>
      </c>
      <c r="GH435">
        <v>1.2016086289036068</v>
      </c>
      <c r="GI435">
        <v>4.7727238057905899</v>
      </c>
      <c r="GJ435"/>
      <c r="GK435"/>
      <c r="GL435"/>
      <c r="GM435"/>
      <c r="GN435" s="208"/>
      <c r="GO435" s="208"/>
      <c r="GP435" s="208"/>
      <c r="GQ435" s="208"/>
      <c r="GR435" s="208"/>
      <c r="GS435" s="208"/>
      <c r="GT435" s="208"/>
      <c r="GU435" s="213">
        <v>430</v>
      </c>
    </row>
    <row r="436" spans="1:203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101.47442940225014</v>
      </c>
      <c r="AO436">
        <v>14.262372619118372</v>
      </c>
      <c r="AP436">
        <v>231.84462926597703</v>
      </c>
      <c r="AQ436">
        <v>108.69189370238864</v>
      </c>
      <c r="AR436">
        <v>13.020842403744034</v>
      </c>
      <c r="AS436">
        <v>183.10211184826949</v>
      </c>
      <c r="AT436" t="e">
        <v>#DIV/0!</v>
      </c>
      <c r="AU436" t="e">
        <v>#DIV/0!</v>
      </c>
      <c r="AV436"/>
      <c r="AW436"/>
      <c r="FY436" s="213">
        <v>431</v>
      </c>
      <c r="FZ436">
        <v>26.320597597550488</v>
      </c>
      <c r="GA436">
        <v>32.050197819634711</v>
      </c>
      <c r="GB436">
        <v>9.8726469736593909</v>
      </c>
      <c r="GC436">
        <v>5.8636334917598791</v>
      </c>
      <c r="GD436">
        <v>1.9774763243319728</v>
      </c>
      <c r="GE436">
        <v>2.1942760007818705</v>
      </c>
      <c r="GF436">
        <v>2.5414864928356051</v>
      </c>
      <c r="GG436">
        <v>1.747820608310571</v>
      </c>
      <c r="GH436">
        <v>0.60080431445180338</v>
      </c>
      <c r="GI436">
        <v>8.0728556604955468</v>
      </c>
      <c r="GJ436"/>
      <c r="GK436"/>
      <c r="GL436"/>
      <c r="GM436"/>
      <c r="GN436" s="208"/>
      <c r="GO436" s="208"/>
      <c r="GP436" s="208"/>
      <c r="GQ436" s="208"/>
      <c r="GR436" s="208"/>
      <c r="GS436" s="208"/>
      <c r="GT436" s="208"/>
      <c r="GU436" s="213">
        <v>431</v>
      </c>
    </row>
    <row r="437" spans="1:203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63.027577956469955</v>
      </c>
      <c r="AO437">
        <v>10.126358172073905</v>
      </c>
      <c r="AP437">
        <v>61.829628823966999</v>
      </c>
      <c r="AQ437">
        <v>77.296574063237244</v>
      </c>
      <c r="AR437">
        <v>9.5300914816647548</v>
      </c>
      <c r="AS437">
        <v>120.3957037547556</v>
      </c>
      <c r="AT437" t="e">
        <v>#DIV/0!</v>
      </c>
      <c r="AU437" t="e">
        <v>#DIV/0!</v>
      </c>
      <c r="AV437"/>
      <c r="AW437"/>
      <c r="FY437" s="213">
        <v>432</v>
      </c>
      <c r="FZ437">
        <v>22.558201731658304</v>
      </c>
      <c r="GA437">
        <v>32.541146173421843</v>
      </c>
      <c r="GB437">
        <v>8.2643208565268136</v>
      </c>
      <c r="GC437">
        <v>4.7922021975061302</v>
      </c>
      <c r="GD437">
        <v>2.2361963011241515</v>
      </c>
      <c r="GE437">
        <v>2.0719154717037198</v>
      </c>
      <c r="GF437">
        <v>3.7459124032969475</v>
      </c>
      <c r="GG437">
        <v>7.2855238838210497</v>
      </c>
      <c r="GH437">
        <v>6.8422815608932268</v>
      </c>
      <c r="GI437">
        <v>8.4855466475581967</v>
      </c>
      <c r="GJ437"/>
      <c r="GK437"/>
      <c r="GL437"/>
      <c r="GM437"/>
      <c r="GN437" s="208"/>
      <c r="GO437" s="208"/>
      <c r="GP437" s="208"/>
      <c r="GQ437" s="208"/>
      <c r="GR437" s="208"/>
      <c r="GS437" s="208"/>
      <c r="GT437" s="208"/>
      <c r="GU437" s="213">
        <v>432</v>
      </c>
    </row>
    <row r="438" spans="1:203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70.233538342761207</v>
      </c>
      <c r="AO438">
        <v>8.532762699208142</v>
      </c>
      <c r="AP438">
        <v>44.433635438161659</v>
      </c>
      <c r="AQ438">
        <v>60.813277353361727</v>
      </c>
      <c r="AR438">
        <v>7.7946252380163195</v>
      </c>
      <c r="AS438">
        <v>101.76095852452892</v>
      </c>
      <c r="AT438" t="e">
        <v>#DIV/0!</v>
      </c>
      <c r="AU438" t="e">
        <v>#DIV/0!</v>
      </c>
      <c r="AV438"/>
      <c r="AW438"/>
      <c r="FY438" s="213">
        <v>433</v>
      </c>
      <c r="FZ438">
        <v>15.497696541932795</v>
      </c>
      <c r="GA438">
        <v>18.154605419560163</v>
      </c>
      <c r="GB438">
        <v>6.8358082480589974</v>
      </c>
      <c r="GC438">
        <v>5.1937039425307141</v>
      </c>
      <c r="GD438">
        <v>2.1910058526257079</v>
      </c>
      <c r="GE438">
        <v>2.233003129217602</v>
      </c>
      <c r="GF438">
        <v>6.2672172240143968</v>
      </c>
      <c r="GG438">
        <v>6.4226884314388721</v>
      </c>
      <c r="GH438">
        <v>2.1611736260621592</v>
      </c>
      <c r="GI438">
        <v>6.7561719210685407</v>
      </c>
      <c r="GJ438"/>
      <c r="GK438"/>
      <c r="GL438"/>
      <c r="GM438"/>
      <c r="GN438" s="208"/>
      <c r="GO438" s="208"/>
      <c r="GP438" s="208"/>
      <c r="GQ438" s="208"/>
      <c r="GR438" s="208"/>
      <c r="GS438" s="208"/>
      <c r="GT438" s="208"/>
      <c r="GU438" s="213">
        <v>433</v>
      </c>
    </row>
    <row r="439" spans="1:203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85.682005881486106</v>
      </c>
      <c r="AO439">
        <v>11.662685592313714</v>
      </c>
      <c r="AP439">
        <v>64.316370921061321</v>
      </c>
      <c r="AQ439">
        <v>85.102565505459694</v>
      </c>
      <c r="AR439">
        <v>10.695506836264917</v>
      </c>
      <c r="AS439">
        <v>130.77802803536306</v>
      </c>
      <c r="AT439" t="e">
        <v>#DIV/0!</v>
      </c>
      <c r="AU439" t="e">
        <v>#DIV/0!</v>
      </c>
      <c r="AV439"/>
      <c r="AW439"/>
      <c r="FY439" s="213">
        <v>434</v>
      </c>
      <c r="FZ439">
        <v>17.141030787941059</v>
      </c>
      <c r="GA439">
        <v>18.022850668729919</v>
      </c>
      <c r="GB439">
        <v>3.6359519313092452</v>
      </c>
      <c r="GC439">
        <v>3.1189556920391146</v>
      </c>
      <c r="GD439">
        <v>1.7509814755714814</v>
      </c>
      <c r="GE439">
        <v>2.1271026324015438</v>
      </c>
      <c r="GF439">
        <v>3.2059558041220626</v>
      </c>
      <c r="GG439">
        <v>4.7135253909871269</v>
      </c>
      <c r="GH439">
        <v>3.7215429376725151</v>
      </c>
      <c r="GI439">
        <v>5.6666132577997583</v>
      </c>
      <c r="GJ439"/>
      <c r="GK439"/>
      <c r="GL439"/>
      <c r="GM439"/>
      <c r="GN439" s="208"/>
      <c r="GO439" s="208"/>
      <c r="GP439" s="208"/>
      <c r="GQ439" s="208"/>
      <c r="GR439" s="208"/>
      <c r="GS439" s="208"/>
      <c r="GT439" s="208"/>
      <c r="GU439" s="213">
        <v>434</v>
      </c>
    </row>
    <row r="440" spans="1:203" s="7" customFormat="1">
      <c r="A440" s="1">
        <v>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83.71472446258197</v>
      </c>
      <c r="AO440">
        <v>10.897289653362179</v>
      </c>
      <c r="AP440">
        <v>38.253218047556331</v>
      </c>
      <c r="AQ440">
        <v>64.780268316946888</v>
      </c>
      <c r="AR440">
        <v>10.156099249768136</v>
      </c>
      <c r="AS440">
        <v>139.88223086328011</v>
      </c>
      <c r="AT440">
        <v>6.3078818539230745</v>
      </c>
      <c r="AU440">
        <v>-45.754638010885955</v>
      </c>
      <c r="AV440"/>
      <c r="AW440"/>
      <c r="FY440" s="213">
        <v>435</v>
      </c>
      <c r="FZ440">
        <v>47.801323882665486</v>
      </c>
      <c r="GA440">
        <v>59.3046960583169</v>
      </c>
      <c r="GB440">
        <v>11.793252193698324</v>
      </c>
      <c r="GC440">
        <v>5.8825139873470782</v>
      </c>
      <c r="GD440">
        <v>1.7210404238474515</v>
      </c>
      <c r="GE440">
        <v>2.1910989095990994</v>
      </c>
      <c r="GF440">
        <v>6.50176385467031</v>
      </c>
      <c r="GG440">
        <v>5.1122416285074204</v>
      </c>
      <c r="GH440">
        <v>0.60080431445180338</v>
      </c>
      <c r="GI440">
        <v>12.394181206844488</v>
      </c>
      <c r="GJ440"/>
      <c r="GK440"/>
      <c r="GL440"/>
      <c r="GM440"/>
      <c r="GN440" s="208"/>
      <c r="GO440" s="208"/>
      <c r="GP440" s="208"/>
      <c r="GQ440" s="208"/>
      <c r="GR440" s="208"/>
      <c r="GS440" s="208"/>
      <c r="GT440" s="208"/>
      <c r="GU440" s="213">
        <v>435</v>
      </c>
    </row>
    <row r="441" spans="1:203" s="7" customFormat="1">
      <c r="A441" s="21" t="s">
        <v>97</v>
      </c>
      <c r="B441" s="48" t="s">
        <v>38</v>
      </c>
      <c r="C441" s="107">
        <f t="shared" ref="C441:C450" si="392">SUM(G441:AK441)</f>
        <v>10.890279464752624</v>
      </c>
      <c r="D441" s="191">
        <f>$A$405</f>
        <v>13.69</v>
      </c>
      <c r="E441" s="8"/>
      <c r="F441" s="124"/>
      <c r="G441" s="107" t="str">
        <f t="shared" ref="G441:G450" si="393">IF(G423&lt;=0, "0.000", G423)</f>
        <v>0.000</v>
      </c>
      <c r="H441" s="107" t="str">
        <f t="shared" ref="H441:AK441" si="394">IF(H423&lt;=0, "0.000", H423)</f>
        <v>0.000</v>
      </c>
      <c r="I441" s="107">
        <f t="shared" si="394"/>
        <v>1.0722605396404934</v>
      </c>
      <c r="J441" s="107">
        <f t="shared" si="394"/>
        <v>2.3535616522344944</v>
      </c>
      <c r="K441" s="107">
        <f t="shared" si="394"/>
        <v>3.8832337919308695</v>
      </c>
      <c r="L441" s="107">
        <f t="shared" si="394"/>
        <v>2.2363463750107946</v>
      </c>
      <c r="M441" s="107">
        <f t="shared" si="394"/>
        <v>1.3448771059359721</v>
      </c>
      <c r="N441" s="107" t="str">
        <f t="shared" si="394"/>
        <v>0.000</v>
      </c>
      <c r="O441" s="107" t="str">
        <f t="shared" si="394"/>
        <v>0.000</v>
      </c>
      <c r="P441" s="107" t="str">
        <f t="shared" si="394"/>
        <v>0.000</v>
      </c>
      <c r="Q441" s="107" t="str">
        <f t="shared" si="394"/>
        <v>0.000</v>
      </c>
      <c r="R441" s="107" t="str">
        <f t="shared" si="394"/>
        <v>0.000</v>
      </c>
      <c r="S441" s="107" t="str">
        <f t="shared" si="394"/>
        <v>0.000</v>
      </c>
      <c r="T441" s="107" t="str">
        <f t="shared" si="394"/>
        <v>0.000</v>
      </c>
      <c r="U441" s="107" t="str">
        <f t="shared" si="394"/>
        <v>0.000</v>
      </c>
      <c r="V441" s="107" t="str">
        <f t="shared" si="394"/>
        <v>0.000</v>
      </c>
      <c r="W441" s="107" t="str">
        <f t="shared" si="394"/>
        <v>0.000</v>
      </c>
      <c r="X441" s="107" t="str">
        <f t="shared" si="394"/>
        <v>0.000</v>
      </c>
      <c r="Y441" s="107" t="str">
        <f t="shared" si="394"/>
        <v>0.000</v>
      </c>
      <c r="Z441" s="107" t="str">
        <f t="shared" si="394"/>
        <v>0.000</v>
      </c>
      <c r="AA441" s="107" t="str">
        <f t="shared" si="394"/>
        <v>0.000</v>
      </c>
      <c r="AB441" s="107" t="str">
        <f t="shared" si="394"/>
        <v>0.000</v>
      </c>
      <c r="AC441" s="107" t="str">
        <f t="shared" si="394"/>
        <v>0.000</v>
      </c>
      <c r="AD441" s="107" t="str">
        <f t="shared" si="394"/>
        <v>0.000</v>
      </c>
      <c r="AE441" s="107" t="str">
        <f t="shared" si="394"/>
        <v>0.000</v>
      </c>
      <c r="AF441" s="107" t="str">
        <f t="shared" si="394"/>
        <v>0.000</v>
      </c>
      <c r="AG441" s="107" t="str">
        <f t="shared" si="394"/>
        <v>0.000</v>
      </c>
      <c r="AH441" s="107" t="str">
        <f t="shared" si="394"/>
        <v>0.000</v>
      </c>
      <c r="AI441" s="107" t="str">
        <f t="shared" si="394"/>
        <v>0.000</v>
      </c>
      <c r="AJ441" s="107" t="str">
        <f t="shared" si="394"/>
        <v>0.000</v>
      </c>
      <c r="AK441" s="107" t="str">
        <f t="shared" si="394"/>
        <v>0.000</v>
      </c>
      <c r="AL441" s="4"/>
      <c r="AM441" s="43">
        <v>425</v>
      </c>
      <c r="AN441">
        <v>87.689964385400486</v>
      </c>
      <c r="AO441">
        <v>13.862138438414181</v>
      </c>
      <c r="AP441">
        <v>76.189114218218236</v>
      </c>
      <c r="AQ441">
        <v>112.06000470289342</v>
      </c>
      <c r="AR441">
        <v>12.911333269851436</v>
      </c>
      <c r="AS441">
        <v>152.16711932657296</v>
      </c>
      <c r="AT441">
        <v>8.7349401523956818</v>
      </c>
      <c r="AU441">
        <v>31.334376079876574</v>
      </c>
      <c r="AV441"/>
      <c r="AW441"/>
      <c r="FY441" s="213">
        <v>436</v>
      </c>
      <c r="FZ441">
        <v>46.378329293207024</v>
      </c>
      <c r="GA441">
        <v>57.416409546661569</v>
      </c>
      <c r="GB441">
        <v>9.8048230844386595</v>
      </c>
      <c r="GC441">
        <v>5.3485892593875812</v>
      </c>
      <c r="GD441">
        <v>2.4576005219440447</v>
      </c>
      <c r="GE441">
        <v>2.8826991646301554</v>
      </c>
      <c r="GF441">
        <v>3.140049925491545</v>
      </c>
      <c r="GG441">
        <v>3.5515462225456966</v>
      </c>
      <c r="GH441">
        <v>2.7619779405139626</v>
      </c>
      <c r="GI441">
        <v>11.800643657376948</v>
      </c>
      <c r="GJ441"/>
      <c r="GK441"/>
      <c r="GL441"/>
      <c r="GM441"/>
      <c r="GN441" s="208"/>
      <c r="GO441" s="208"/>
      <c r="GP441" s="208"/>
      <c r="GQ441" s="208"/>
      <c r="GR441" s="208"/>
      <c r="GS441" s="208"/>
      <c r="GT441" s="208"/>
      <c r="GU441" s="213">
        <v>436</v>
      </c>
    </row>
    <row r="442" spans="1:203" s="7" customFormat="1">
      <c r="A442" s="1">
        <v>200</v>
      </c>
      <c r="B442" s="48" t="s">
        <v>39</v>
      </c>
      <c r="C442" s="107">
        <f t="shared" si="392"/>
        <v>10.842471418410737</v>
      </c>
      <c r="D442" s="191">
        <f>$A$406</f>
        <v>9.4499999999999993</v>
      </c>
      <c r="E442" s="8"/>
      <c r="F442" s="124"/>
      <c r="G442" s="173" t="str">
        <f t="shared" si="393"/>
        <v>0.000</v>
      </c>
      <c r="H442" s="173" t="str">
        <f t="shared" ref="H442:V442" si="395">IF(H424&lt;=0, "0.000", H424)</f>
        <v>0.000</v>
      </c>
      <c r="I442" s="173">
        <f t="shared" si="395"/>
        <v>5.7652975174825469E-2</v>
      </c>
      <c r="J442" s="173">
        <f t="shared" si="395"/>
        <v>2.0124375578858413</v>
      </c>
      <c r="K442" s="173">
        <f t="shared" si="395"/>
        <v>4.5763207741157048</v>
      </c>
      <c r="L442" s="173">
        <f t="shared" si="395"/>
        <v>2.6256437774794175</v>
      </c>
      <c r="M442" s="173">
        <f t="shared" si="395"/>
        <v>1.5704163337549466</v>
      </c>
      <c r="N442" s="173" t="str">
        <f t="shared" si="395"/>
        <v>0.000</v>
      </c>
      <c r="O442" s="173" t="str">
        <f t="shared" si="395"/>
        <v>0.000</v>
      </c>
      <c r="P442" s="173" t="str">
        <f t="shared" si="395"/>
        <v>0.000</v>
      </c>
      <c r="Q442" s="173" t="str">
        <f t="shared" si="395"/>
        <v>0.000</v>
      </c>
      <c r="R442" s="173" t="str">
        <f t="shared" si="395"/>
        <v>0.000</v>
      </c>
      <c r="S442" s="173" t="str">
        <f t="shared" si="395"/>
        <v>0.000</v>
      </c>
      <c r="T442" s="173" t="str">
        <f t="shared" si="395"/>
        <v>0.000</v>
      </c>
      <c r="U442" s="173" t="str">
        <f t="shared" si="395"/>
        <v>0.000</v>
      </c>
      <c r="V442" s="173" t="str">
        <f t="shared" si="395"/>
        <v>0.000</v>
      </c>
      <c r="W442" s="173" t="str">
        <f t="shared" ref="W442:AK442" si="396">IF(W424&lt;=0, "0.000", W424)</f>
        <v>0.000</v>
      </c>
      <c r="X442" s="173" t="str">
        <f t="shared" si="396"/>
        <v>0.000</v>
      </c>
      <c r="Y442" s="173" t="str">
        <f t="shared" si="396"/>
        <v>0.000</v>
      </c>
      <c r="Z442" s="173" t="str">
        <f t="shared" si="396"/>
        <v>0.000</v>
      </c>
      <c r="AA442" s="173" t="str">
        <f t="shared" si="396"/>
        <v>0.000</v>
      </c>
      <c r="AB442" s="173" t="str">
        <f t="shared" si="396"/>
        <v>0.000</v>
      </c>
      <c r="AC442" s="173" t="str">
        <f t="shared" si="396"/>
        <v>0.000</v>
      </c>
      <c r="AD442" s="173" t="str">
        <f t="shared" si="396"/>
        <v>0.000</v>
      </c>
      <c r="AE442" s="173" t="str">
        <f t="shared" si="396"/>
        <v>0.000</v>
      </c>
      <c r="AF442" s="173" t="str">
        <f t="shared" si="396"/>
        <v>0.000</v>
      </c>
      <c r="AG442" s="173" t="str">
        <f t="shared" si="396"/>
        <v>0.000</v>
      </c>
      <c r="AH442" s="173" t="str">
        <f t="shared" si="396"/>
        <v>0.000</v>
      </c>
      <c r="AI442" s="173" t="str">
        <f t="shared" si="396"/>
        <v>0.000</v>
      </c>
      <c r="AJ442" s="173" t="str">
        <f t="shared" si="396"/>
        <v>0.000</v>
      </c>
      <c r="AK442" s="173" t="str">
        <f t="shared" si="396"/>
        <v>0.000</v>
      </c>
      <c r="AL442" s="4"/>
      <c r="AM442" s="43">
        <v>426</v>
      </c>
      <c r="AN442">
        <v>69.990577940577936</v>
      </c>
      <c r="AO442">
        <v>13.547919866410698</v>
      </c>
      <c r="AP442">
        <v>88.207440126312022</v>
      </c>
      <c r="AQ442">
        <v>110.85961325312684</v>
      </c>
      <c r="AR442">
        <v>12.475902808305118</v>
      </c>
      <c r="AS442">
        <v>143.03541775375331</v>
      </c>
      <c r="AT442">
        <v>8.4310876221431883</v>
      </c>
      <c r="AU442">
        <v>15.8304248161123</v>
      </c>
      <c r="AV442"/>
      <c r="AW442"/>
      <c r="FY442" s="213">
        <v>437</v>
      </c>
      <c r="FZ442">
        <v>42.412962673515857</v>
      </c>
      <c r="GA442">
        <v>53.240896543579794</v>
      </c>
      <c r="GB442">
        <v>7.9814176804461985</v>
      </c>
      <c r="GC442">
        <v>4.6172137998686971</v>
      </c>
      <c r="GD442">
        <v>2.1794174655450504</v>
      </c>
      <c r="GE442">
        <v>1.488106343203329</v>
      </c>
      <c r="GF442">
        <v>5.2921976092253651</v>
      </c>
      <c r="GG442">
        <v>6.8663175111800747</v>
      </c>
      <c r="GH442">
        <v>3.7215429376725151</v>
      </c>
      <c r="GI442">
        <v>11.14398652234007</v>
      </c>
      <c r="GJ442"/>
      <c r="GK442"/>
      <c r="GL442"/>
      <c r="GM442"/>
      <c r="GN442" s="208"/>
      <c r="GO442" s="208"/>
      <c r="GP442" s="208"/>
      <c r="GQ442" s="208"/>
      <c r="GR442" s="208"/>
      <c r="GS442" s="208"/>
      <c r="GT442" s="208"/>
      <c r="GU442" s="213">
        <v>437</v>
      </c>
    </row>
    <row r="443" spans="1:203" s="7" customFormat="1">
      <c r="A443" s="103" t="s">
        <v>98</v>
      </c>
      <c r="B443" s="48" t="s">
        <v>40</v>
      </c>
      <c r="C443" s="107">
        <f t="shared" si="392"/>
        <v>4.7516496191102675</v>
      </c>
      <c r="D443" s="191">
        <f>A$407</f>
        <v>4.03</v>
      </c>
      <c r="E443" s="8"/>
      <c r="F443" s="124"/>
      <c r="G443" s="173" t="str">
        <f t="shared" si="393"/>
        <v>0.000</v>
      </c>
      <c r="H443" s="173">
        <f t="shared" ref="H443:V443" si="397">IF(H425&lt;=0, "0.000", H425)</f>
        <v>7.9877623629499669E-2</v>
      </c>
      <c r="I443" s="173">
        <f t="shared" si="397"/>
        <v>1.9846341897601185</v>
      </c>
      <c r="J443" s="173">
        <f t="shared" si="397"/>
        <v>2.0508839623162078</v>
      </c>
      <c r="K443" s="173">
        <f t="shared" si="397"/>
        <v>0.18598463372100957</v>
      </c>
      <c r="L443" s="173">
        <f t="shared" si="397"/>
        <v>0.45026920968343231</v>
      </c>
      <c r="M443" s="173" t="str">
        <f t="shared" si="397"/>
        <v>0.000</v>
      </c>
      <c r="N443" s="173" t="str">
        <f t="shared" si="397"/>
        <v>0.000</v>
      </c>
      <c r="O443" s="173" t="str">
        <f t="shared" si="397"/>
        <v>0.000</v>
      </c>
      <c r="P443" s="173" t="str">
        <f t="shared" si="397"/>
        <v>0.000</v>
      </c>
      <c r="Q443" s="173" t="str">
        <f t="shared" si="397"/>
        <v>0.000</v>
      </c>
      <c r="R443" s="173" t="str">
        <f t="shared" si="397"/>
        <v>0.000</v>
      </c>
      <c r="S443" s="173" t="str">
        <f t="shared" si="397"/>
        <v>0.000</v>
      </c>
      <c r="T443" s="173" t="str">
        <f t="shared" si="397"/>
        <v>0.000</v>
      </c>
      <c r="U443" s="173" t="str">
        <f t="shared" si="397"/>
        <v>0.000</v>
      </c>
      <c r="V443" s="173" t="str">
        <f t="shared" si="397"/>
        <v>0.000</v>
      </c>
      <c r="W443" s="173" t="str">
        <f t="shared" ref="W443:AK443" si="398">IF(W425&lt;=0, "0.000", W425)</f>
        <v>0.000</v>
      </c>
      <c r="X443" s="173" t="str">
        <f t="shared" si="398"/>
        <v>0.000</v>
      </c>
      <c r="Y443" s="173" t="str">
        <f t="shared" si="398"/>
        <v>0.000</v>
      </c>
      <c r="Z443" s="173" t="str">
        <f t="shared" si="398"/>
        <v>0.000</v>
      </c>
      <c r="AA443" s="173" t="str">
        <f t="shared" si="398"/>
        <v>0.000</v>
      </c>
      <c r="AB443" s="173" t="str">
        <f t="shared" si="398"/>
        <v>0.000</v>
      </c>
      <c r="AC443" s="173" t="str">
        <f t="shared" si="398"/>
        <v>0.000</v>
      </c>
      <c r="AD443" s="173" t="str">
        <f t="shared" si="398"/>
        <v>0.000</v>
      </c>
      <c r="AE443" s="173" t="str">
        <f t="shared" si="398"/>
        <v>0.000</v>
      </c>
      <c r="AF443" s="173" t="str">
        <f t="shared" si="398"/>
        <v>0.000</v>
      </c>
      <c r="AG443" s="173" t="str">
        <f t="shared" si="398"/>
        <v>0.000</v>
      </c>
      <c r="AH443" s="173" t="str">
        <f t="shared" si="398"/>
        <v>0.000</v>
      </c>
      <c r="AI443" s="173" t="str">
        <f t="shared" si="398"/>
        <v>0.000</v>
      </c>
      <c r="AJ443" s="173" t="str">
        <f t="shared" si="398"/>
        <v>0.000</v>
      </c>
      <c r="AK443" s="173" t="str">
        <f t="shared" si="398"/>
        <v>0.000</v>
      </c>
      <c r="AL443" s="4"/>
      <c r="AM443" s="43">
        <v>427</v>
      </c>
      <c r="AN443">
        <v>75.803085285469905</v>
      </c>
      <c r="AO443">
        <v>11.165009835624666</v>
      </c>
      <c r="AP443">
        <v>59.484964378470636</v>
      </c>
      <c r="AQ443">
        <v>89.924778858968949</v>
      </c>
      <c r="AR443">
        <v>10.401243093704997</v>
      </c>
      <c r="AS443">
        <v>139.97295211996601</v>
      </c>
      <c r="AT443" t="e">
        <v>#DIV/0!</v>
      </c>
      <c r="AU443" t="e">
        <v>#DIV/0!</v>
      </c>
      <c r="AV443"/>
      <c r="AW443"/>
      <c r="FY443" s="213">
        <v>438</v>
      </c>
      <c r="FZ443">
        <v>30.383870112864251</v>
      </c>
      <c r="GA443">
        <v>37.337609056791749</v>
      </c>
      <c r="GB443">
        <v>9.0380432710650478</v>
      </c>
      <c r="GC443">
        <v>5.8576829950011255</v>
      </c>
      <c r="GD443">
        <v>2.2537780134345637</v>
      </c>
      <c r="GE443">
        <v>2.2619466643512252</v>
      </c>
      <c r="GF443">
        <v>4.1158288759130972</v>
      </c>
      <c r="GG443">
        <v>7.3416401535883811</v>
      </c>
      <c r="GH443">
        <v>6.2414772464414234</v>
      </c>
      <c r="GI443">
        <v>9.7818655403553159</v>
      </c>
      <c r="GJ443"/>
      <c r="GK443"/>
      <c r="GL443"/>
      <c r="GM443"/>
      <c r="GN443" s="208"/>
      <c r="GO443" s="208"/>
      <c r="GP443" s="208"/>
      <c r="GQ443" s="208"/>
      <c r="GR443" s="208"/>
      <c r="GS443" s="208"/>
      <c r="GT443" s="208"/>
      <c r="GU443" s="213">
        <v>438</v>
      </c>
    </row>
    <row r="444" spans="1:203" s="7" customFormat="1">
      <c r="A444" s="1">
        <v>160</v>
      </c>
      <c r="B444" s="48" t="s">
        <v>41</v>
      </c>
      <c r="C444" s="107">
        <f t="shared" si="392"/>
        <v>3.852218258702425</v>
      </c>
      <c r="D444" s="191">
        <f>A$408</f>
        <v>0.78</v>
      </c>
      <c r="E444" s="8"/>
      <c r="F444" s="124"/>
      <c r="G444" s="173" t="str">
        <f t="shared" si="393"/>
        <v>0.000</v>
      </c>
      <c r="H444" s="173">
        <f t="shared" ref="H444:V444" si="399">IF(H426&lt;=0, "0.000", H426)</f>
        <v>4.95384622545273E-2</v>
      </c>
      <c r="I444" s="173">
        <f t="shared" si="399"/>
        <v>1.6417415229543386</v>
      </c>
      <c r="J444" s="173">
        <f t="shared" si="399"/>
        <v>1.4294779245194134</v>
      </c>
      <c r="K444" s="173">
        <f t="shared" si="399"/>
        <v>0.24229218369480238</v>
      </c>
      <c r="L444" s="173">
        <f t="shared" si="399"/>
        <v>0.48916816527934281</v>
      </c>
      <c r="M444" s="173" t="str">
        <f t="shared" si="399"/>
        <v>0.000</v>
      </c>
      <c r="N444" s="173" t="str">
        <f t="shared" si="399"/>
        <v>0.000</v>
      </c>
      <c r="O444" s="173" t="str">
        <f t="shared" si="399"/>
        <v>0.000</v>
      </c>
      <c r="P444" s="173" t="str">
        <f t="shared" si="399"/>
        <v>0.000</v>
      </c>
      <c r="Q444" s="173" t="str">
        <f t="shared" si="399"/>
        <v>0.000</v>
      </c>
      <c r="R444" s="173" t="str">
        <f t="shared" si="399"/>
        <v>0.000</v>
      </c>
      <c r="S444" s="173" t="str">
        <f t="shared" si="399"/>
        <v>0.000</v>
      </c>
      <c r="T444" s="173" t="str">
        <f t="shared" si="399"/>
        <v>0.000</v>
      </c>
      <c r="U444" s="173" t="str">
        <f t="shared" si="399"/>
        <v>0.000</v>
      </c>
      <c r="V444" s="173" t="str">
        <f t="shared" si="399"/>
        <v>0.000</v>
      </c>
      <c r="W444" s="173" t="str">
        <f t="shared" ref="W444:AK444" si="400">IF(W426&lt;=0, "0.000", W426)</f>
        <v>0.000</v>
      </c>
      <c r="X444" s="173" t="str">
        <f t="shared" si="400"/>
        <v>0.000</v>
      </c>
      <c r="Y444" s="173" t="str">
        <f t="shared" si="400"/>
        <v>0.000</v>
      </c>
      <c r="Z444" s="173" t="str">
        <f t="shared" si="400"/>
        <v>0.000</v>
      </c>
      <c r="AA444" s="173" t="str">
        <f t="shared" si="400"/>
        <v>0.000</v>
      </c>
      <c r="AB444" s="173" t="str">
        <f t="shared" si="400"/>
        <v>0.000</v>
      </c>
      <c r="AC444" s="173" t="str">
        <f t="shared" si="400"/>
        <v>0.000</v>
      </c>
      <c r="AD444" s="173" t="str">
        <f t="shared" si="400"/>
        <v>0.000</v>
      </c>
      <c r="AE444" s="173" t="str">
        <f t="shared" si="400"/>
        <v>0.000</v>
      </c>
      <c r="AF444" s="173" t="str">
        <f t="shared" si="400"/>
        <v>0.000</v>
      </c>
      <c r="AG444" s="173" t="str">
        <f t="shared" si="400"/>
        <v>0.000</v>
      </c>
      <c r="AH444" s="173" t="str">
        <f t="shared" si="400"/>
        <v>0.000</v>
      </c>
      <c r="AI444" s="173" t="str">
        <f t="shared" si="400"/>
        <v>0.000</v>
      </c>
      <c r="AJ444" s="173" t="str">
        <f t="shared" si="400"/>
        <v>0.000</v>
      </c>
      <c r="AK444" s="173" t="str">
        <f t="shared" si="400"/>
        <v>0.000</v>
      </c>
      <c r="AL444" s="4"/>
      <c r="AM444" s="43">
        <v>428</v>
      </c>
      <c r="AN444">
        <v>82.377828890176758</v>
      </c>
      <c r="AO444">
        <v>16.835238034807709</v>
      </c>
      <c r="AP444">
        <v>125.98741179719187</v>
      </c>
      <c r="AQ444">
        <v>142.98430478644192</v>
      </c>
      <c r="AR444">
        <v>15.493003375500553</v>
      </c>
      <c r="AS444">
        <v>169.53403653561296</v>
      </c>
      <c r="AT444" t="e">
        <v>#DIV/0!</v>
      </c>
      <c r="AU444" t="e">
        <v>#DIV/0!</v>
      </c>
      <c r="AV444"/>
      <c r="AW444"/>
      <c r="FY444" s="213">
        <v>439</v>
      </c>
      <c r="FZ444">
        <v>10.569654995973384</v>
      </c>
      <c r="GA444">
        <v>12.103514699325244</v>
      </c>
      <c r="GB444">
        <v>3.6913600398355513</v>
      </c>
      <c r="GC444">
        <v>3.7041991046593199</v>
      </c>
      <c r="GD444">
        <v>2.4595516158061796</v>
      </c>
      <c r="GE444">
        <v>2.6908170208451812</v>
      </c>
      <c r="GF444">
        <v>2.5068896061695853</v>
      </c>
      <c r="GG444">
        <v>2.9340112200094524</v>
      </c>
      <c r="GH444">
        <v>2.1611736260621592</v>
      </c>
      <c r="GI444">
        <v>4.7762837111704464</v>
      </c>
      <c r="GJ444"/>
      <c r="GK444"/>
      <c r="GL444"/>
      <c r="GM444"/>
      <c r="GN444" s="208"/>
      <c r="GO444" s="208"/>
      <c r="GP444" s="208"/>
      <c r="GQ444" s="208"/>
      <c r="GR444" s="208"/>
      <c r="GS444" s="208"/>
      <c r="GT444" s="208"/>
      <c r="GU444" s="213">
        <v>439</v>
      </c>
    </row>
    <row r="445" spans="1:203" s="7" customFormat="1">
      <c r="A445" s="4"/>
      <c r="B445" s="48" t="s">
        <v>42</v>
      </c>
      <c r="C445" s="107">
        <f t="shared" si="392"/>
        <v>2.0781071498289978</v>
      </c>
      <c r="D445" s="191">
        <f>A$409</f>
        <v>0.14000000000000001</v>
      </c>
      <c r="E445" s="8"/>
      <c r="F445" s="124"/>
      <c r="G445" s="173" t="str">
        <f t="shared" si="393"/>
        <v>0.000</v>
      </c>
      <c r="H445" s="173">
        <f t="shared" ref="H445:V445" si="401">IF(H427&lt;=0, "0.000", H427)</f>
        <v>1.9565681817339788E-2</v>
      </c>
      <c r="I445" s="173">
        <f t="shared" si="401"/>
        <v>0.61340474339120576</v>
      </c>
      <c r="J445" s="173">
        <f t="shared" si="401"/>
        <v>0.56011054847147046</v>
      </c>
      <c r="K445" s="173">
        <f t="shared" si="401"/>
        <v>0.34267883271296784</v>
      </c>
      <c r="L445" s="173">
        <f t="shared" si="401"/>
        <v>0.1864410345728473</v>
      </c>
      <c r="M445" s="173" t="str">
        <f t="shared" si="401"/>
        <v>0.000</v>
      </c>
      <c r="N445" s="173" t="str">
        <f t="shared" si="401"/>
        <v>0.000</v>
      </c>
      <c r="O445" s="173">
        <f t="shared" si="401"/>
        <v>0.35590630886316682</v>
      </c>
      <c r="P445" s="173" t="str">
        <f t="shared" si="401"/>
        <v>0.000</v>
      </c>
      <c r="Q445" s="173" t="str">
        <f t="shared" si="401"/>
        <v>0.000</v>
      </c>
      <c r="R445" s="173" t="str">
        <f t="shared" si="401"/>
        <v>0.000</v>
      </c>
      <c r="S445" s="173" t="str">
        <f t="shared" si="401"/>
        <v>0.000</v>
      </c>
      <c r="T445" s="173" t="str">
        <f t="shared" si="401"/>
        <v>0.000</v>
      </c>
      <c r="U445" s="173" t="str">
        <f t="shared" si="401"/>
        <v>0.000</v>
      </c>
      <c r="V445" s="173" t="str">
        <f t="shared" si="401"/>
        <v>0.000</v>
      </c>
      <c r="W445" s="173" t="str">
        <f t="shared" ref="W445:AK445" si="402">IF(W427&lt;=0, "0.000", W427)</f>
        <v>0.000</v>
      </c>
      <c r="X445" s="173" t="str">
        <f t="shared" si="402"/>
        <v>0.000</v>
      </c>
      <c r="Y445" s="173" t="str">
        <f t="shared" si="402"/>
        <v>0.000</v>
      </c>
      <c r="Z445" s="173" t="str">
        <f t="shared" si="402"/>
        <v>0.000</v>
      </c>
      <c r="AA445" s="173" t="str">
        <f t="shared" si="402"/>
        <v>0.000</v>
      </c>
      <c r="AB445" s="173" t="str">
        <f t="shared" si="402"/>
        <v>0.000</v>
      </c>
      <c r="AC445" s="173" t="str">
        <f t="shared" si="402"/>
        <v>0.000</v>
      </c>
      <c r="AD445" s="173" t="str">
        <f t="shared" si="402"/>
        <v>0.000</v>
      </c>
      <c r="AE445" s="173" t="str">
        <f t="shared" si="402"/>
        <v>0.000</v>
      </c>
      <c r="AF445" s="173" t="str">
        <f t="shared" si="402"/>
        <v>0.000</v>
      </c>
      <c r="AG445" s="173" t="str">
        <f t="shared" si="402"/>
        <v>0.000</v>
      </c>
      <c r="AH445" s="173" t="str">
        <f t="shared" si="402"/>
        <v>0.000</v>
      </c>
      <c r="AI445" s="173" t="str">
        <f t="shared" si="402"/>
        <v>0.000</v>
      </c>
      <c r="AJ445" s="173" t="str">
        <f t="shared" si="402"/>
        <v>0.000</v>
      </c>
      <c r="AK445" s="173" t="str">
        <f t="shared" si="402"/>
        <v>0.000</v>
      </c>
      <c r="AL445" s="4"/>
      <c r="AM445" s="43">
        <v>429</v>
      </c>
      <c r="AN445">
        <v>91.866943649328277</v>
      </c>
      <c r="AO445">
        <v>9.3420607357941279</v>
      </c>
      <c r="AP445">
        <v>64.078195862027329</v>
      </c>
      <c r="AQ445">
        <v>62.416186873445042</v>
      </c>
      <c r="AR445">
        <v>8.6668685617147041</v>
      </c>
      <c r="AS445">
        <v>136.39430121097871</v>
      </c>
      <c r="AT445" t="e">
        <v>#DIV/0!</v>
      </c>
      <c r="AU445" t="e">
        <v>#DIV/0!</v>
      </c>
      <c r="AV445"/>
      <c r="AW445"/>
      <c r="FY445" s="213">
        <v>440</v>
      </c>
      <c r="FZ445">
        <v>11.836034299476312</v>
      </c>
      <c r="GA445">
        <v>13.965924138111227</v>
      </c>
      <c r="GB445">
        <v>4.0980317394657311</v>
      </c>
      <c r="GC445">
        <v>3.6479110860202932</v>
      </c>
      <c r="GD445">
        <v>1.7976694793395664</v>
      </c>
      <c r="GE445">
        <v>1.4754670758217094</v>
      </c>
      <c r="GF445">
        <v>3.0220769228969182</v>
      </c>
      <c r="GG445">
        <v>4.8230699216724116</v>
      </c>
      <c r="GH445">
        <v>3.7215429376725151</v>
      </c>
      <c r="GI445">
        <v>4.9478126447869482</v>
      </c>
      <c r="GJ445"/>
      <c r="GK445"/>
      <c r="GL445"/>
      <c r="GM445"/>
      <c r="GN445" s="208"/>
      <c r="GO445" s="208"/>
      <c r="GP445" s="208"/>
      <c r="GQ445" s="208"/>
      <c r="GR445" s="208"/>
      <c r="GS445" s="208"/>
      <c r="GT445" s="208"/>
      <c r="GU445" s="213">
        <v>440</v>
      </c>
    </row>
    <row r="446" spans="1:203" s="7" customFormat="1">
      <c r="A446" s="4"/>
      <c r="B446" s="48" t="s">
        <v>118</v>
      </c>
      <c r="C446" s="107">
        <f t="shared" si="392"/>
        <v>2.373253939576581</v>
      </c>
      <c r="D446" s="191">
        <f>A$410</f>
        <v>0.21</v>
      </c>
      <c r="E446" s="8"/>
      <c r="F446" s="124"/>
      <c r="G446" s="173" t="str">
        <f t="shared" si="393"/>
        <v>0.000</v>
      </c>
      <c r="H446" s="173">
        <f t="shared" ref="H446:V446" si="403">IF(H428&lt;=0, "0.000", H428)</f>
        <v>3.2129572737365927E-2</v>
      </c>
      <c r="I446" s="173">
        <f t="shared" si="403"/>
        <v>0.41217779447075836</v>
      </c>
      <c r="J446" s="173">
        <f t="shared" si="403"/>
        <v>0.64708922429605586</v>
      </c>
      <c r="K446" s="173">
        <f t="shared" si="403"/>
        <v>0.55686002331009055</v>
      </c>
      <c r="L446" s="173" t="str">
        <f t="shared" si="403"/>
        <v>0.000</v>
      </c>
      <c r="M446" s="173" t="str">
        <f t="shared" si="403"/>
        <v>0.000</v>
      </c>
      <c r="N446" s="173" t="str">
        <f t="shared" si="403"/>
        <v>0.000</v>
      </c>
      <c r="O446" s="173">
        <f t="shared" si="403"/>
        <v>0.72499732476231027</v>
      </c>
      <c r="P446" s="173" t="str">
        <f t="shared" si="403"/>
        <v>0.000</v>
      </c>
      <c r="Q446" s="173" t="str">
        <f t="shared" si="403"/>
        <v>0.000</v>
      </c>
      <c r="R446" s="173" t="str">
        <f t="shared" si="403"/>
        <v>0.000</v>
      </c>
      <c r="S446" s="173" t="str">
        <f t="shared" si="403"/>
        <v>0.000</v>
      </c>
      <c r="T446" s="173" t="str">
        <f t="shared" si="403"/>
        <v>0.000</v>
      </c>
      <c r="U446" s="173" t="str">
        <f t="shared" si="403"/>
        <v>0.000</v>
      </c>
      <c r="V446" s="173" t="str">
        <f t="shared" si="403"/>
        <v>0.000</v>
      </c>
      <c r="W446" s="173" t="str">
        <f t="shared" ref="W446:AK446" si="404">IF(W428&lt;=0, "0.000", W428)</f>
        <v>0.000</v>
      </c>
      <c r="X446" s="173" t="str">
        <f t="shared" si="404"/>
        <v>0.000</v>
      </c>
      <c r="Y446" s="173" t="str">
        <f t="shared" si="404"/>
        <v>0.000</v>
      </c>
      <c r="Z446" s="173" t="str">
        <f t="shared" si="404"/>
        <v>0.000</v>
      </c>
      <c r="AA446" s="173" t="str">
        <f t="shared" si="404"/>
        <v>0.000</v>
      </c>
      <c r="AB446" s="173" t="str">
        <f t="shared" si="404"/>
        <v>0.000</v>
      </c>
      <c r="AC446" s="173" t="str">
        <f t="shared" si="404"/>
        <v>0.000</v>
      </c>
      <c r="AD446" s="173" t="str">
        <f t="shared" si="404"/>
        <v>0.000</v>
      </c>
      <c r="AE446" s="173" t="str">
        <f t="shared" si="404"/>
        <v>0.000</v>
      </c>
      <c r="AF446" s="173" t="str">
        <f t="shared" si="404"/>
        <v>0.000</v>
      </c>
      <c r="AG446" s="173" t="str">
        <f t="shared" si="404"/>
        <v>0.000</v>
      </c>
      <c r="AH446" s="173" t="str">
        <f t="shared" si="404"/>
        <v>0.000</v>
      </c>
      <c r="AI446" s="173" t="str">
        <f t="shared" si="404"/>
        <v>0.000</v>
      </c>
      <c r="AJ446" s="173" t="str">
        <f t="shared" si="404"/>
        <v>0.000</v>
      </c>
      <c r="AK446" s="173" t="str">
        <f t="shared" si="404"/>
        <v>0.000</v>
      </c>
      <c r="AL446" s="4"/>
      <c r="AM446" s="43">
        <v>430</v>
      </c>
      <c r="AN446">
        <v>64.233697040929556</v>
      </c>
      <c r="AO446">
        <v>6.8950912529563926</v>
      </c>
      <c r="AP446">
        <v>53.073935201841294</v>
      </c>
      <c r="AQ446">
        <v>44.76745516588921</v>
      </c>
      <c r="AR446">
        <v>6.5422956680044111</v>
      </c>
      <c r="AS446">
        <v>95.45775711244994</v>
      </c>
      <c r="AT446" t="e">
        <v>#DIV/0!</v>
      </c>
      <c r="AU446" t="e">
        <v>#DIV/0!</v>
      </c>
      <c r="AV446"/>
      <c r="AW446"/>
      <c r="FY446" s="213">
        <v>441</v>
      </c>
      <c r="FZ446">
        <v>23.600038517702149</v>
      </c>
      <c r="GA446">
        <v>27.551314459490111</v>
      </c>
      <c r="GB446">
        <v>2.7157605230975062</v>
      </c>
      <c r="GC446">
        <v>2.3623601436925368</v>
      </c>
      <c r="GD446">
        <v>1.8419697948060316</v>
      </c>
      <c r="GE446">
        <v>2.7588735869111836</v>
      </c>
      <c r="GF446">
        <v>2.5327880731528016</v>
      </c>
      <c r="GG446">
        <v>1.5102958162744673</v>
      </c>
      <c r="GH446">
        <v>0</v>
      </c>
      <c r="GI446">
        <v>5.6979668321829342</v>
      </c>
      <c r="GJ446"/>
      <c r="GK446"/>
      <c r="GL446"/>
      <c r="GM446"/>
      <c r="GN446" s="208"/>
      <c r="GO446" s="208"/>
      <c r="GP446" s="208"/>
      <c r="GQ446" s="208"/>
      <c r="GR446" s="208"/>
      <c r="GS446" s="208"/>
      <c r="GT446" s="208"/>
      <c r="GU446" s="213">
        <v>441</v>
      </c>
    </row>
    <row r="447" spans="1:203" s="7" customFormat="1">
      <c r="A447" s="4"/>
      <c r="B447" s="48" t="s">
        <v>119</v>
      </c>
      <c r="C447" s="107">
        <f t="shared" si="392"/>
        <v>0.43366364108080679</v>
      </c>
      <c r="D447" s="191">
        <f>A$411</f>
        <v>1.28</v>
      </c>
      <c r="E447" s="8"/>
      <c r="F447" s="124"/>
      <c r="G447" s="173" t="str">
        <f t="shared" si="393"/>
        <v>0.000</v>
      </c>
      <c r="H447" s="173" t="str">
        <f t="shared" ref="H447:V447" si="405">IF(H429&lt;=0, "0.000", H429)</f>
        <v>0.000</v>
      </c>
      <c r="I447" s="173" t="str">
        <f t="shared" si="405"/>
        <v>0.000</v>
      </c>
      <c r="J447" s="173">
        <f t="shared" si="405"/>
        <v>5.8986501297313559E-2</v>
      </c>
      <c r="K447" s="173">
        <f t="shared" si="405"/>
        <v>0.37467713978349326</v>
      </c>
      <c r="L447" s="173" t="str">
        <f t="shared" si="405"/>
        <v>0.000</v>
      </c>
      <c r="M447" s="173" t="str">
        <f t="shared" si="405"/>
        <v>0.000</v>
      </c>
      <c r="N447" s="173" t="str">
        <f t="shared" si="405"/>
        <v>0.000</v>
      </c>
      <c r="O447" s="173" t="str">
        <f t="shared" si="405"/>
        <v>0.000</v>
      </c>
      <c r="P447" s="173" t="str">
        <f t="shared" si="405"/>
        <v>0.000</v>
      </c>
      <c r="Q447" s="173" t="str">
        <f t="shared" si="405"/>
        <v>0.000</v>
      </c>
      <c r="R447" s="173" t="str">
        <f t="shared" si="405"/>
        <v>0.000</v>
      </c>
      <c r="S447" s="173" t="str">
        <f t="shared" si="405"/>
        <v>0.000</v>
      </c>
      <c r="T447" s="173" t="str">
        <f t="shared" si="405"/>
        <v>0.000</v>
      </c>
      <c r="U447" s="173" t="str">
        <f t="shared" si="405"/>
        <v>0.000</v>
      </c>
      <c r="V447" s="173" t="str">
        <f t="shared" si="405"/>
        <v>0.000</v>
      </c>
      <c r="W447" s="173" t="str">
        <f t="shared" ref="W447:AK447" si="406">IF(W429&lt;=0, "0.000", W429)</f>
        <v>0.000</v>
      </c>
      <c r="X447" s="173" t="str">
        <f t="shared" si="406"/>
        <v>0.000</v>
      </c>
      <c r="Y447" s="173" t="str">
        <f t="shared" si="406"/>
        <v>0.000</v>
      </c>
      <c r="Z447" s="173" t="str">
        <f t="shared" si="406"/>
        <v>0.000</v>
      </c>
      <c r="AA447" s="173" t="str">
        <f t="shared" si="406"/>
        <v>0.000</v>
      </c>
      <c r="AB447" s="173" t="str">
        <f t="shared" si="406"/>
        <v>0.000</v>
      </c>
      <c r="AC447" s="173" t="str">
        <f t="shared" si="406"/>
        <v>0.000</v>
      </c>
      <c r="AD447" s="173" t="str">
        <f t="shared" si="406"/>
        <v>0.000</v>
      </c>
      <c r="AE447" s="173" t="str">
        <f t="shared" si="406"/>
        <v>0.000</v>
      </c>
      <c r="AF447" s="173" t="str">
        <f t="shared" si="406"/>
        <v>0.000</v>
      </c>
      <c r="AG447" s="173" t="str">
        <f t="shared" si="406"/>
        <v>0.000</v>
      </c>
      <c r="AH447" s="173" t="str">
        <f t="shared" si="406"/>
        <v>0.000</v>
      </c>
      <c r="AI447" s="173" t="str">
        <f t="shared" si="406"/>
        <v>0.000</v>
      </c>
      <c r="AJ447" s="173" t="str">
        <f t="shared" si="406"/>
        <v>0.000</v>
      </c>
      <c r="AK447" s="173" t="str">
        <f t="shared" si="406"/>
        <v>0.000</v>
      </c>
      <c r="AL447" s="4"/>
      <c r="AM447" s="43">
        <v>431</v>
      </c>
      <c r="AN447">
        <v>74.54592529540551</v>
      </c>
      <c r="AO447">
        <v>12.034304153449742</v>
      </c>
      <c r="AP447">
        <v>59.593805585133985</v>
      </c>
      <c r="AQ447">
        <v>91.241795283811854</v>
      </c>
      <c r="AR447">
        <v>11.176588565059676</v>
      </c>
      <c r="AS447">
        <v>134.5302876094313</v>
      </c>
      <c r="AT447" t="e">
        <v>#DIV/0!</v>
      </c>
      <c r="AU447" t="e">
        <v>#DIV/0!</v>
      </c>
      <c r="AV447"/>
      <c r="AW447"/>
      <c r="FY447" s="213">
        <v>442</v>
      </c>
      <c r="FZ447">
        <v>27.164745082611471</v>
      </c>
      <c r="GA447">
        <v>33.497892606705825</v>
      </c>
      <c r="GB447">
        <v>4.290912232032742</v>
      </c>
      <c r="GC447">
        <v>2.4093740323722197</v>
      </c>
      <c r="GD447">
        <v>1.950167805964037</v>
      </c>
      <c r="GE447">
        <v>2.3829789194886759</v>
      </c>
      <c r="GF447">
        <v>4.6867147992362215</v>
      </c>
      <c r="GG447">
        <v>4.0101572591888033</v>
      </c>
      <c r="GH447">
        <v>0.60080431445180338</v>
      </c>
      <c r="GI447">
        <v>7.228695431539486</v>
      </c>
      <c r="GJ447"/>
      <c r="GK447"/>
      <c r="GL447"/>
      <c r="GM447"/>
      <c r="GN447" s="208"/>
      <c r="GO447" s="208"/>
      <c r="GP447" s="208"/>
      <c r="GQ447" s="208"/>
      <c r="GR447" s="208"/>
      <c r="GS447" s="208"/>
      <c r="GT447" s="208"/>
      <c r="GU447" s="213">
        <v>442</v>
      </c>
    </row>
    <row r="448" spans="1:203" s="7" customFormat="1">
      <c r="A448" s="4"/>
      <c r="B448" s="48" t="s">
        <v>120</v>
      </c>
      <c r="C448" s="107">
        <f t="shared" si="392"/>
        <v>3.7564031851391464</v>
      </c>
      <c r="D448" s="191">
        <f>A$412</f>
        <v>4</v>
      </c>
      <c r="E448" s="8"/>
      <c r="F448" s="124"/>
      <c r="G448" s="173" t="str">
        <f t="shared" si="393"/>
        <v>0.000</v>
      </c>
      <c r="H448" s="173" t="str">
        <f t="shared" ref="H448:V448" si="407">IF(H430&lt;=0, "0.000", H430)</f>
        <v>0.000</v>
      </c>
      <c r="I448" s="173">
        <f t="shared" si="407"/>
        <v>0.40646392817509924</v>
      </c>
      <c r="J448" s="173">
        <f t="shared" si="407"/>
        <v>5.1376618444287578E-2</v>
      </c>
      <c r="K448" s="173">
        <f t="shared" si="407"/>
        <v>0.54772265342642124</v>
      </c>
      <c r="L448" s="173" t="str">
        <f t="shared" si="407"/>
        <v>0.000</v>
      </c>
      <c r="M448" s="173">
        <f t="shared" si="407"/>
        <v>2.7508399850933385</v>
      </c>
      <c r="N448" s="173" t="str">
        <f t="shared" si="407"/>
        <v>0.000</v>
      </c>
      <c r="O448" s="173" t="str">
        <f t="shared" si="407"/>
        <v>0.000</v>
      </c>
      <c r="P448" s="173" t="str">
        <f t="shared" si="407"/>
        <v>0.000</v>
      </c>
      <c r="Q448" s="173" t="str">
        <f t="shared" si="407"/>
        <v>0.000</v>
      </c>
      <c r="R448" s="173" t="str">
        <f t="shared" si="407"/>
        <v>0.000</v>
      </c>
      <c r="S448" s="173" t="str">
        <f t="shared" si="407"/>
        <v>0.000</v>
      </c>
      <c r="T448" s="173" t="str">
        <f t="shared" si="407"/>
        <v>0.000</v>
      </c>
      <c r="U448" s="173" t="str">
        <f t="shared" si="407"/>
        <v>0.000</v>
      </c>
      <c r="V448" s="173" t="str">
        <f t="shared" si="407"/>
        <v>0.000</v>
      </c>
      <c r="W448" s="173" t="str">
        <f t="shared" ref="W448:AK448" si="408">IF(W430&lt;=0, "0.000", W430)</f>
        <v>0.000</v>
      </c>
      <c r="X448" s="173" t="str">
        <f t="shared" si="408"/>
        <v>0.000</v>
      </c>
      <c r="Y448" s="173" t="str">
        <f t="shared" si="408"/>
        <v>0.000</v>
      </c>
      <c r="Z448" s="173" t="str">
        <f t="shared" si="408"/>
        <v>0.000</v>
      </c>
      <c r="AA448" s="173" t="str">
        <f t="shared" si="408"/>
        <v>0.000</v>
      </c>
      <c r="AB448" s="173" t="str">
        <f t="shared" si="408"/>
        <v>0.000</v>
      </c>
      <c r="AC448" s="173" t="str">
        <f t="shared" si="408"/>
        <v>0.000</v>
      </c>
      <c r="AD448" s="173" t="str">
        <f t="shared" si="408"/>
        <v>0.000</v>
      </c>
      <c r="AE448" s="173" t="str">
        <f t="shared" si="408"/>
        <v>0.000</v>
      </c>
      <c r="AF448" s="173" t="str">
        <f t="shared" si="408"/>
        <v>0.000</v>
      </c>
      <c r="AG448" s="173" t="str">
        <f t="shared" si="408"/>
        <v>0.000</v>
      </c>
      <c r="AH448" s="173" t="str">
        <f t="shared" si="408"/>
        <v>0.000</v>
      </c>
      <c r="AI448" s="173" t="str">
        <f t="shared" si="408"/>
        <v>0.000</v>
      </c>
      <c r="AJ448" s="173" t="str">
        <f t="shared" si="408"/>
        <v>0.000</v>
      </c>
      <c r="AK448" s="173" t="str">
        <f t="shared" si="408"/>
        <v>0.000</v>
      </c>
      <c r="AL448" s="4"/>
      <c r="AM448" s="43">
        <v>432</v>
      </c>
      <c r="AN448">
        <v>90.827586397806982</v>
      </c>
      <c r="AO448">
        <v>12.849623964055883</v>
      </c>
      <c r="AP448">
        <v>77.31819073894475</v>
      </c>
      <c r="AQ448">
        <v>98.823247227510393</v>
      </c>
      <c r="AR448">
        <v>11.767912030478143</v>
      </c>
      <c r="AS448">
        <v>151.74111381063037</v>
      </c>
      <c r="AT448">
        <v>7.549219886740258</v>
      </c>
      <c r="AU448">
        <v>28.265612791212195</v>
      </c>
      <c r="AV448"/>
      <c r="AW448"/>
      <c r="FY448" s="213">
        <v>443</v>
      </c>
      <c r="FZ448">
        <v>16.084840732678536</v>
      </c>
      <c r="GA448">
        <v>16.66523924619414</v>
      </c>
      <c r="GB448">
        <v>7.7690972416711892</v>
      </c>
      <c r="GC448">
        <v>6.0011229417535441</v>
      </c>
      <c r="GD448">
        <v>2.3155360029900733</v>
      </c>
      <c r="GE448">
        <v>2.2804694898307494</v>
      </c>
      <c r="GF448">
        <v>4.4971191231460166</v>
      </c>
      <c r="GG448">
        <v>5.8814915358632485</v>
      </c>
      <c r="GH448">
        <v>4.9231515665761219</v>
      </c>
      <c r="GI448">
        <v>7.2595604708228221</v>
      </c>
      <c r="GJ448"/>
      <c r="GK448"/>
      <c r="GL448"/>
      <c r="GM448"/>
      <c r="GN448" s="208"/>
      <c r="GO448" s="208"/>
      <c r="GP448" s="208"/>
      <c r="GQ448" s="208"/>
      <c r="GR448" s="208"/>
      <c r="GS448" s="208"/>
      <c r="GT448" s="208"/>
      <c r="GU448" s="213">
        <v>443</v>
      </c>
    </row>
    <row r="449" spans="1:203" s="7" customFormat="1">
      <c r="A449" s="4"/>
      <c r="B449" s="48" t="s">
        <v>121</v>
      </c>
      <c r="C449" s="107">
        <f t="shared" si="392"/>
        <v>5.8827165637346734</v>
      </c>
      <c r="D449" s="191">
        <f>A$413</f>
        <v>7.33</v>
      </c>
      <c r="E449" s="8"/>
      <c r="F449" s="124"/>
      <c r="G449" s="173" t="str">
        <f t="shared" si="393"/>
        <v>0.000</v>
      </c>
      <c r="H449" s="173" t="str">
        <f t="shared" ref="H449:V449" si="409">IF(H431&lt;=0, "0.000", H431)</f>
        <v>0.000</v>
      </c>
      <c r="I449" s="173">
        <f t="shared" si="409"/>
        <v>0.53496101336023372</v>
      </c>
      <c r="J449" s="173" t="str">
        <f t="shared" si="409"/>
        <v>0.000</v>
      </c>
      <c r="K449" s="173">
        <f t="shared" si="409"/>
        <v>0.43554672601083183</v>
      </c>
      <c r="L449" s="173" t="str">
        <f t="shared" si="409"/>
        <v>0.000</v>
      </c>
      <c r="M449" s="173">
        <f t="shared" si="409"/>
        <v>3.710600195460001</v>
      </c>
      <c r="N449" s="173">
        <f t="shared" si="409"/>
        <v>1.2016086289036068</v>
      </c>
      <c r="O449" s="173" t="str">
        <f t="shared" si="409"/>
        <v>0.000</v>
      </c>
      <c r="P449" s="173" t="str">
        <f t="shared" si="409"/>
        <v>0.000</v>
      </c>
      <c r="Q449" s="173" t="str">
        <f t="shared" si="409"/>
        <v>0.000</v>
      </c>
      <c r="R449" s="173" t="str">
        <f t="shared" si="409"/>
        <v>0.000</v>
      </c>
      <c r="S449" s="173" t="str">
        <f t="shared" si="409"/>
        <v>0.000</v>
      </c>
      <c r="T449" s="173" t="str">
        <f t="shared" si="409"/>
        <v>0.000</v>
      </c>
      <c r="U449" s="173" t="str">
        <f t="shared" si="409"/>
        <v>0.000</v>
      </c>
      <c r="V449" s="173" t="str">
        <f t="shared" si="409"/>
        <v>0.000</v>
      </c>
      <c r="W449" s="173" t="str">
        <f t="shared" ref="W449:AK449" si="410">IF(W431&lt;=0, "0.000", W431)</f>
        <v>0.000</v>
      </c>
      <c r="X449" s="173" t="str">
        <f t="shared" si="410"/>
        <v>0.000</v>
      </c>
      <c r="Y449" s="173" t="str">
        <f t="shared" si="410"/>
        <v>0.000</v>
      </c>
      <c r="Z449" s="173" t="str">
        <f t="shared" si="410"/>
        <v>0.000</v>
      </c>
      <c r="AA449" s="173" t="str">
        <f t="shared" si="410"/>
        <v>0.000</v>
      </c>
      <c r="AB449" s="173" t="str">
        <f t="shared" si="410"/>
        <v>0.000</v>
      </c>
      <c r="AC449" s="173" t="str">
        <f t="shared" si="410"/>
        <v>0.000</v>
      </c>
      <c r="AD449" s="173" t="str">
        <f t="shared" si="410"/>
        <v>0.000</v>
      </c>
      <c r="AE449" s="173" t="str">
        <f t="shared" si="410"/>
        <v>0.000</v>
      </c>
      <c r="AF449" s="173" t="str">
        <f t="shared" si="410"/>
        <v>0.000</v>
      </c>
      <c r="AG449" s="173" t="str">
        <f t="shared" si="410"/>
        <v>0.000</v>
      </c>
      <c r="AH449" s="173" t="str">
        <f t="shared" si="410"/>
        <v>0.000</v>
      </c>
      <c r="AI449" s="173" t="str">
        <f t="shared" si="410"/>
        <v>0.000</v>
      </c>
      <c r="AJ449" s="173" t="str">
        <f t="shared" si="410"/>
        <v>0.000</v>
      </c>
      <c r="AK449" s="173" t="str">
        <f t="shared" si="410"/>
        <v>0.000</v>
      </c>
      <c r="AL449" s="4"/>
      <c r="AM449" s="43">
        <v>433</v>
      </c>
      <c r="AN449">
        <v>75.980401983590355</v>
      </c>
      <c r="AO449">
        <v>10.086735817052979</v>
      </c>
      <c r="AP449">
        <v>50.470084013660276</v>
      </c>
      <c r="AQ449">
        <v>71.713074336509948</v>
      </c>
      <c r="AR449">
        <v>9.2693557634453914</v>
      </c>
      <c r="AS449">
        <v>127.79289930520075</v>
      </c>
      <c r="AT449">
        <v>6.3295437884601133</v>
      </c>
      <c r="AU449">
        <v>15.167441224325044</v>
      </c>
      <c r="AV449"/>
      <c r="AW449"/>
      <c r="FY449" s="213">
        <v>444</v>
      </c>
      <c r="FZ449">
        <v>39.551003944100493</v>
      </c>
      <c r="GA449">
        <v>55.158328133351667</v>
      </c>
      <c r="GB449">
        <v>12.71988664344774</v>
      </c>
      <c r="GC449">
        <v>6.2922652544026247</v>
      </c>
      <c r="GD449">
        <v>2.4171337184478201</v>
      </c>
      <c r="GE449">
        <v>2.5628284212949506</v>
      </c>
      <c r="GF449">
        <v>7.0326423663461322</v>
      </c>
      <c r="GG449">
        <v>5.677384431394584</v>
      </c>
      <c r="GH449">
        <v>0</v>
      </c>
      <c r="GI449">
        <v>11.744048081723152</v>
      </c>
      <c r="GJ449"/>
      <c r="GK449"/>
      <c r="GL449"/>
      <c r="GM449"/>
      <c r="GN449" s="208"/>
      <c r="GO449" s="208"/>
      <c r="GP449" s="208"/>
      <c r="GQ449" s="208"/>
      <c r="GR449" s="208"/>
      <c r="GS449" s="208"/>
      <c r="GT449" s="208"/>
      <c r="GU449" s="213">
        <v>444</v>
      </c>
    </row>
    <row r="450" spans="1:203" s="7" customFormat="1">
      <c r="A450" s="13" t="s">
        <v>12</v>
      </c>
      <c r="B450" s="48" t="s">
        <v>122</v>
      </c>
      <c r="C450" s="107">
        <f t="shared" si="392"/>
        <v>5.0561519397960382</v>
      </c>
      <c r="D450" s="191">
        <f>A$414</f>
        <v>10.51</v>
      </c>
      <c r="E450" s="8"/>
      <c r="F450" s="124"/>
      <c r="G450" s="173" t="str">
        <f t="shared" si="393"/>
        <v>0.000</v>
      </c>
      <c r="H450" s="173">
        <f t="shared" ref="H450:V450" si="411">IF(H432&lt;=0, "0.000", H432)</f>
        <v>3.0559854907402373E-2</v>
      </c>
      <c r="I450" s="173">
        <f t="shared" si="411"/>
        <v>1.0769637604284401</v>
      </c>
      <c r="J450" s="173">
        <f t="shared" si="411"/>
        <v>1.1842368767976139</v>
      </c>
      <c r="K450" s="173">
        <f t="shared" si="411"/>
        <v>0.9587449393099573</v>
      </c>
      <c r="L450" s="173">
        <f t="shared" si="411"/>
        <v>0.5548948929291545</v>
      </c>
      <c r="M450" s="173">
        <f t="shared" si="411"/>
        <v>0.79065012196217033</v>
      </c>
      <c r="N450" s="173">
        <f t="shared" si="411"/>
        <v>0.19359821459855511</v>
      </c>
      <c r="O450" s="173">
        <f t="shared" si="411"/>
        <v>0.26650327886274405</v>
      </c>
      <c r="P450" s="173" t="str">
        <f t="shared" si="411"/>
        <v>0.000</v>
      </c>
      <c r="Q450" s="173" t="str">
        <f t="shared" si="411"/>
        <v>0.000</v>
      </c>
      <c r="R450" s="173" t="str">
        <f t="shared" si="411"/>
        <v>0.000</v>
      </c>
      <c r="S450" s="173" t="str">
        <f t="shared" si="411"/>
        <v>0.000</v>
      </c>
      <c r="T450" s="173" t="str">
        <f t="shared" si="411"/>
        <v>0.000</v>
      </c>
      <c r="U450" s="173" t="str">
        <f t="shared" si="411"/>
        <v>0.000</v>
      </c>
      <c r="V450" s="173" t="str">
        <f t="shared" si="411"/>
        <v>0.000</v>
      </c>
      <c r="W450" s="173" t="str">
        <f t="shared" ref="W450:AK450" si="412">IF(W432&lt;=0, "0.000", W432)</f>
        <v>0.000</v>
      </c>
      <c r="X450" s="173" t="str">
        <f t="shared" si="412"/>
        <v>0.000</v>
      </c>
      <c r="Y450" s="173" t="str">
        <f t="shared" si="412"/>
        <v>0.000</v>
      </c>
      <c r="Z450" s="173" t="str">
        <f t="shared" si="412"/>
        <v>0.000</v>
      </c>
      <c r="AA450" s="173" t="str">
        <f t="shared" si="412"/>
        <v>0.000</v>
      </c>
      <c r="AB450" s="173" t="str">
        <f t="shared" si="412"/>
        <v>0.000</v>
      </c>
      <c r="AC450" s="173" t="str">
        <f t="shared" si="412"/>
        <v>0.000</v>
      </c>
      <c r="AD450" s="173" t="str">
        <f t="shared" si="412"/>
        <v>0.000</v>
      </c>
      <c r="AE450" s="173" t="str">
        <f t="shared" si="412"/>
        <v>0.000</v>
      </c>
      <c r="AF450" s="173" t="str">
        <f t="shared" si="412"/>
        <v>0.000</v>
      </c>
      <c r="AG450" s="173" t="str">
        <f t="shared" si="412"/>
        <v>0.000</v>
      </c>
      <c r="AH450" s="173" t="str">
        <f t="shared" si="412"/>
        <v>0.000</v>
      </c>
      <c r="AI450" s="173" t="str">
        <f t="shared" si="412"/>
        <v>0.000</v>
      </c>
      <c r="AJ450" s="173" t="str">
        <f t="shared" si="412"/>
        <v>0.000</v>
      </c>
      <c r="AK450" s="173" t="str">
        <f t="shared" si="412"/>
        <v>0.000</v>
      </c>
      <c r="AL450" s="4"/>
      <c r="AM450" s="43">
        <v>434</v>
      </c>
      <c r="AN450">
        <v>58.522268159400504</v>
      </c>
      <c r="AO450">
        <v>8.3181734458711336</v>
      </c>
      <c r="AP450">
        <v>45.516063980887857</v>
      </c>
      <c r="AQ450">
        <v>63.10451057857383</v>
      </c>
      <c r="AR450">
        <v>7.7982879218063923</v>
      </c>
      <c r="AS450">
        <v>107.57459330268512</v>
      </c>
      <c r="AT450">
        <v>5.3813943421012835</v>
      </c>
      <c r="AU450">
        <v>25.598440116771684</v>
      </c>
      <c r="AV450"/>
      <c r="AW450"/>
      <c r="FY450" s="213">
        <v>445</v>
      </c>
      <c r="FZ450">
        <v>11.396959326774198</v>
      </c>
      <c r="GA450">
        <v>14.305894931470863</v>
      </c>
      <c r="GB450">
        <v>10.865564026987641</v>
      </c>
      <c r="GC450">
        <v>7.4167141214526007</v>
      </c>
      <c r="GD450">
        <v>2.5010168271365836</v>
      </c>
      <c r="GE450">
        <v>1.8120946103076117</v>
      </c>
      <c r="GF450">
        <v>2.0509950606233449</v>
      </c>
      <c r="GG450">
        <v>3.6451317675720469</v>
      </c>
      <c r="GH450">
        <v>3.7215429376725151</v>
      </c>
      <c r="GI450">
        <v>6.8233181463471508</v>
      </c>
      <c r="GJ450"/>
      <c r="GK450"/>
      <c r="GL450"/>
      <c r="GM450"/>
      <c r="GN450" s="208"/>
      <c r="GO450" s="208"/>
      <c r="GP450" s="208"/>
      <c r="GQ450" s="208"/>
      <c r="GR450" s="208"/>
      <c r="GS450" s="208"/>
      <c r="GT450" s="208"/>
      <c r="GU450" s="213">
        <v>445</v>
      </c>
    </row>
    <row r="451" spans="1:203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80.222102591036418</v>
      </c>
      <c r="AO451">
        <v>18.639426189416998</v>
      </c>
      <c r="AP451">
        <v>147.13767081317238</v>
      </c>
      <c r="AQ451">
        <v>153.30291645994836</v>
      </c>
      <c r="AR451">
        <v>17.240713867822461</v>
      </c>
      <c r="AS451">
        <v>177.59843503882414</v>
      </c>
      <c r="AT451" t="e">
        <v>#DIV/0!</v>
      </c>
      <c r="AU451" t="e">
        <v>#DIV/0!</v>
      </c>
      <c r="AV451"/>
      <c r="AW451"/>
      <c r="FY451" s="213">
        <v>446</v>
      </c>
      <c r="FZ451">
        <v>21.207630310091989</v>
      </c>
      <c r="GA451">
        <v>23.628855625740556</v>
      </c>
      <c r="GB451">
        <v>3.8729387532789246</v>
      </c>
      <c r="GC451">
        <v>3.4482580332328228</v>
      </c>
      <c r="GD451">
        <v>2.2679201632164161</v>
      </c>
      <c r="GE451">
        <v>2.4108805375304572</v>
      </c>
      <c r="GF451">
        <v>3.371235263513455</v>
      </c>
      <c r="GG451">
        <v>2.5280626793700449</v>
      </c>
      <c r="GH451">
        <v>0.60080431445180338</v>
      </c>
      <c r="GI451">
        <v>6.171597236550741</v>
      </c>
      <c r="GJ451"/>
      <c r="GK451"/>
      <c r="GL451"/>
      <c r="GM451"/>
      <c r="GN451" s="208"/>
      <c r="GO451" s="208"/>
      <c r="GP451" s="208"/>
      <c r="GQ451" s="208"/>
      <c r="GR451" s="208"/>
      <c r="GS451" s="208"/>
      <c r="GT451" s="208"/>
      <c r="GU451" s="213">
        <v>446</v>
      </c>
    </row>
    <row r="452" spans="1:203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100.97449343206189</v>
      </c>
      <c r="AO452">
        <v>17.619750526333501</v>
      </c>
      <c r="AP452">
        <v>146.57610053829379</v>
      </c>
      <c r="AQ452">
        <v>145.54266861619718</v>
      </c>
      <c r="AR452">
        <v>16.380282624244042</v>
      </c>
      <c r="AS452">
        <v>186.43202359183212</v>
      </c>
      <c r="AT452">
        <v>10.988792687231708</v>
      </c>
      <c r="AU452">
        <v>7.8680408512390025</v>
      </c>
      <c r="AV452"/>
      <c r="AW452"/>
      <c r="FY452" s="213">
        <v>447</v>
      </c>
      <c r="FZ452">
        <v>19.503372702044512</v>
      </c>
      <c r="GA452">
        <v>26.592807485464292</v>
      </c>
      <c r="GB452">
        <v>12.93486668213886</v>
      </c>
      <c r="GC452">
        <v>6.4040116719897755</v>
      </c>
      <c r="GD452">
        <v>1.3172194312641492</v>
      </c>
      <c r="GE452">
        <v>1.2545516536577477</v>
      </c>
      <c r="GF452">
        <v>5.301275696724427</v>
      </c>
      <c r="GG452">
        <v>5.709077994061686</v>
      </c>
      <c r="GH452">
        <v>1.5603693116103559</v>
      </c>
      <c r="GI452">
        <v>8.1510460996607179</v>
      </c>
      <c r="GJ452"/>
      <c r="GK452"/>
      <c r="GL452"/>
      <c r="GM452"/>
      <c r="GN452" s="208"/>
      <c r="GO452" s="208"/>
      <c r="GP452" s="208"/>
      <c r="GQ452" s="208"/>
      <c r="GR452" s="208"/>
      <c r="GS452" s="208"/>
      <c r="GT452" s="208"/>
      <c r="GU452" s="213">
        <v>447</v>
      </c>
    </row>
    <row r="453" spans="1:203" s="7" customFormat="1">
      <c r="A453" s="1">
        <v>1.07207E-2</v>
      </c>
      <c r="B453" s="52" t="s">
        <v>53</v>
      </c>
      <c r="C453" s="53">
        <f>SUM(C441:C452)</f>
        <v>49.9169151801323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88.978309422059411</v>
      </c>
      <c r="AO453">
        <v>16.721740728612353</v>
      </c>
      <c r="AP453">
        <v>92.345634327517431</v>
      </c>
      <c r="AQ453">
        <v>138.94405908657694</v>
      </c>
      <c r="AR453">
        <v>15.495153552512901</v>
      </c>
      <c r="AS453">
        <v>179.48169113766966</v>
      </c>
      <c r="AT453">
        <v>10.191143557243993</v>
      </c>
      <c r="AU453">
        <v>29.207438859903903</v>
      </c>
      <c r="AV453"/>
      <c r="AW453"/>
      <c r="FY453" s="213">
        <v>448</v>
      </c>
      <c r="FZ453">
        <v>4.4166114251623583</v>
      </c>
      <c r="GA453">
        <v>5.180387763207503</v>
      </c>
      <c r="GB453">
        <v>7.7272253516140061</v>
      </c>
      <c r="GC453">
        <v>5.1736892867682833</v>
      </c>
      <c r="GD453">
        <v>1.5100317339039064</v>
      </c>
      <c r="GE453">
        <v>1.8161522993745134</v>
      </c>
      <c r="GF453">
        <v>5.061391939019714</v>
      </c>
      <c r="GG453">
        <v>5.1207598091859454</v>
      </c>
      <c r="GH453">
        <v>1.5603693116103559</v>
      </c>
      <c r="GI453">
        <v>4.6399765926598269</v>
      </c>
      <c r="GJ453"/>
      <c r="GK453"/>
      <c r="GL453"/>
      <c r="GM453"/>
      <c r="GN453" s="208"/>
      <c r="GO453" s="208"/>
      <c r="GP453" s="208"/>
      <c r="GQ453" s="208"/>
      <c r="GR453" s="208"/>
      <c r="GS453" s="208"/>
      <c r="GT453" s="208"/>
      <c r="GU453" s="213">
        <v>448</v>
      </c>
    </row>
    <row r="454" spans="1:203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108.19560989588881</v>
      </c>
      <c r="AO454">
        <v>14.640970867270861</v>
      </c>
      <c r="AP454">
        <v>63.052187466585572</v>
      </c>
      <c r="AQ454">
        <v>114.61374192980618</v>
      </c>
      <c r="AR454">
        <v>13.48626948672616</v>
      </c>
      <c r="AS454">
        <v>171.29324712441544</v>
      </c>
      <c r="AT454" t="e">
        <v>#DIV/0!</v>
      </c>
      <c r="AU454" t="e">
        <v>#DIV/0!</v>
      </c>
      <c r="AV454"/>
      <c r="AW454"/>
      <c r="FY454" s="213">
        <v>449</v>
      </c>
      <c r="FZ454">
        <v>40.773772577793679</v>
      </c>
      <c r="GA454">
        <v>50.323797790651888</v>
      </c>
      <c r="GB454">
        <v>7.4430208647940335</v>
      </c>
      <c r="GC454">
        <v>4.4839911197048314</v>
      </c>
      <c r="GD454">
        <v>2.2931296453119079</v>
      </c>
      <c r="GE454">
        <v>1.6557170057134165</v>
      </c>
      <c r="GF454">
        <v>3.9887777858194067</v>
      </c>
      <c r="GG454">
        <v>4.501438887256044</v>
      </c>
      <c r="GH454">
        <v>1.5603693116103559</v>
      </c>
      <c r="GI454">
        <v>10.242612357377688</v>
      </c>
      <c r="GJ454"/>
      <c r="GK454"/>
      <c r="GL454"/>
      <c r="GM454"/>
      <c r="GN454" s="208"/>
      <c r="GO454" s="208"/>
      <c r="GP454" s="208"/>
      <c r="GQ454" s="208"/>
      <c r="GR454" s="208"/>
      <c r="GS454" s="208"/>
      <c r="GT454" s="208"/>
      <c r="GU454" s="213">
        <v>449</v>
      </c>
    </row>
    <row r="455" spans="1:203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5"/>
      <c r="P455" s="225"/>
      <c r="Q455" s="225"/>
      <c r="R455" s="225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70.461338266149383</v>
      </c>
      <c r="AO455">
        <v>7.1329940504785956</v>
      </c>
      <c r="AP455">
        <v>34.192094456013415</v>
      </c>
      <c r="AQ455">
        <v>47.597455639856506</v>
      </c>
      <c r="AR455">
        <v>6.5819260792542513</v>
      </c>
      <c r="AS455">
        <v>92.006854761119939</v>
      </c>
      <c r="AT455">
        <v>4.3428764944702349</v>
      </c>
      <c r="AU455">
        <v>9.1887399789063142</v>
      </c>
      <c r="AV455"/>
      <c r="AW455"/>
      <c r="FY455" s="213">
        <v>450</v>
      </c>
      <c r="FZ455">
        <v>25.407850748833376</v>
      </c>
      <c r="GA455">
        <v>32.70935244346034</v>
      </c>
      <c r="GB455">
        <v>7.3292636602223205</v>
      </c>
      <c r="GC455">
        <v>4.3595021599846211</v>
      </c>
      <c r="GD455">
        <v>2.0811992319917412</v>
      </c>
      <c r="GE455">
        <v>2.619429064941269</v>
      </c>
      <c r="GF455">
        <v>4.580421841142142</v>
      </c>
      <c r="GG455">
        <v>3.330730274293312</v>
      </c>
      <c r="GH455">
        <v>0.60080431445180338</v>
      </c>
      <c r="GI455">
        <v>7.8533497545351674</v>
      </c>
      <c r="GJ455"/>
      <c r="GK455"/>
      <c r="GL455"/>
      <c r="GM455"/>
      <c r="GN455" s="208"/>
      <c r="GO455" s="208"/>
      <c r="GP455" s="208"/>
      <c r="GQ455" s="208"/>
      <c r="GR455" s="208"/>
      <c r="GS455" s="208"/>
      <c r="GT455" s="208"/>
      <c r="GU455" s="213">
        <v>450</v>
      </c>
    </row>
    <row r="456" spans="1:203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56.718346590773066</v>
      </c>
      <c r="AO456">
        <v>7.3788206365752202</v>
      </c>
      <c r="AP456">
        <v>38.453922681333218</v>
      </c>
      <c r="AQ456">
        <v>53.335540245263637</v>
      </c>
      <c r="AR456">
        <v>6.7965652083025612</v>
      </c>
      <c r="AS456">
        <v>92.825579139778597</v>
      </c>
      <c r="AT456">
        <v>4.7335813081923108</v>
      </c>
      <c r="AU456">
        <v>20.967280403206612</v>
      </c>
      <c r="AV456"/>
      <c r="AW456"/>
      <c r="FY456" s="213">
        <v>451</v>
      </c>
      <c r="FZ456">
        <v>57.622791493074082</v>
      </c>
      <c r="GA456">
        <v>70.477424121829685</v>
      </c>
      <c r="GB456">
        <v>8.1470941669476744</v>
      </c>
      <c r="GC456">
        <v>5.5021857785869672</v>
      </c>
      <c r="GD456">
        <v>3.0859906017314436</v>
      </c>
      <c r="GE456">
        <v>3.6009910972819159</v>
      </c>
      <c r="GF456">
        <v>3.0567472074954196</v>
      </c>
      <c r="GG456">
        <v>3.3983389367326322</v>
      </c>
      <c r="GH456">
        <v>2.1611736260621592</v>
      </c>
      <c r="GI456">
        <v>13.212914345513626</v>
      </c>
      <c r="GJ456"/>
      <c r="GK456"/>
      <c r="GL456"/>
      <c r="GM456"/>
      <c r="GN456" s="208"/>
      <c r="GO456" s="208"/>
      <c r="GP456" s="208"/>
      <c r="GQ456" s="208"/>
      <c r="GR456" s="208"/>
      <c r="GS456" s="208"/>
      <c r="GT456" s="208"/>
      <c r="GU456" s="213">
        <v>451</v>
      </c>
    </row>
    <row r="457" spans="1:203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1.1192378560128725E-3</v>
      </c>
      <c r="F457" s="102">
        <f>+D457-D459</f>
        <v>-5.6740900383141755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60.523122486173961</v>
      </c>
      <c r="AO457">
        <v>8.5761189675098244</v>
      </c>
      <c r="AP457">
        <v>54.206798557560077</v>
      </c>
      <c r="AQ457">
        <v>70.571367747309722</v>
      </c>
      <c r="AR457">
        <v>7.8383606720391077</v>
      </c>
      <c r="AS457">
        <v>96.131271799488019</v>
      </c>
      <c r="AT457" t="e">
        <v>#DIV/0!</v>
      </c>
      <c r="AU457" t="e">
        <v>#DIV/0!</v>
      </c>
      <c r="AV457"/>
      <c r="AW457"/>
      <c r="FY457" s="213">
        <v>452</v>
      </c>
      <c r="FZ457">
        <v>18.169516506342923</v>
      </c>
      <c r="GA457">
        <v>19.785303596483086</v>
      </c>
      <c r="GB457">
        <v>2.5838373664740084</v>
      </c>
      <c r="GC457">
        <v>2.2190945373023525</v>
      </c>
      <c r="GD457">
        <v>1.8410434080972302</v>
      </c>
      <c r="GE457">
        <v>2.4175897454674917</v>
      </c>
      <c r="GF457">
        <v>4.5024562501948164</v>
      </c>
      <c r="GG457">
        <v>3.7020110402721516</v>
      </c>
      <c r="GH457">
        <v>1.2016086289036068</v>
      </c>
      <c r="GI457">
        <v>5.463720976531425</v>
      </c>
      <c r="GJ457"/>
      <c r="GK457"/>
      <c r="GL457"/>
      <c r="GM457"/>
      <c r="GN457" s="208"/>
      <c r="GO457" s="208"/>
      <c r="GP457" s="208"/>
      <c r="GQ457" s="208"/>
      <c r="GR457" s="208"/>
      <c r="GS457" s="208"/>
      <c r="GT457" s="208"/>
      <c r="GU457" s="213">
        <v>452</v>
      </c>
    </row>
    <row r="458" spans="1:203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2.8441876745599324E-3</v>
      </c>
      <c r="I458" s="101">
        <f>+H458*F457</f>
        <v>-1.6138176951316474E-2</v>
      </c>
      <c r="J458" s="101">
        <f>+I458*$A$440</f>
        <v>-0.12910541561053179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65.103479567114192</v>
      </c>
      <c r="AO458">
        <v>10.780576553052047</v>
      </c>
      <c r="AP458">
        <v>73.142524919290622</v>
      </c>
      <c r="AQ458">
        <v>88.222442483591294</v>
      </c>
      <c r="AR458">
        <v>10.034626304665522</v>
      </c>
      <c r="AS458">
        <v>127.45138941622854</v>
      </c>
      <c r="AT458" t="e">
        <v>#DIV/0!</v>
      </c>
      <c r="AU458" t="e">
        <v>#DIV/0!</v>
      </c>
      <c r="AV458"/>
      <c r="AW458"/>
      <c r="FY458" s="213">
        <v>453</v>
      </c>
      <c r="FZ458">
        <v>37.14145808224842</v>
      </c>
      <c r="GA458">
        <v>48.085240057253003</v>
      </c>
      <c r="GB458">
        <v>7.4908044534963176</v>
      </c>
      <c r="GC458">
        <v>4.0419967575222504</v>
      </c>
      <c r="GD458">
        <v>2.1895520010749383</v>
      </c>
      <c r="GE458">
        <v>2.1129763672513375</v>
      </c>
      <c r="GF458">
        <v>3.6367112183176067</v>
      </c>
      <c r="GG458">
        <v>3.1261463700359604</v>
      </c>
      <c r="GH458">
        <v>0.60080431445180338</v>
      </c>
      <c r="GI458">
        <v>9.4219356919425561</v>
      </c>
      <c r="GJ458"/>
      <c r="GK458"/>
      <c r="GL458"/>
      <c r="GM458"/>
      <c r="GN458" s="208"/>
      <c r="GO458" s="208"/>
      <c r="GP458" s="208"/>
      <c r="GQ458" s="208"/>
      <c r="GR458" s="208"/>
      <c r="GS458" s="208"/>
      <c r="GT458" s="208"/>
      <c r="GU458" s="213">
        <v>453</v>
      </c>
    </row>
    <row r="459" spans="1:203" s="7" customFormat="1">
      <c r="A459" s="4"/>
      <c r="B459" s="4"/>
      <c r="C459" s="63">
        <v>1</v>
      </c>
      <c r="D459" s="101">
        <f>SUM($F$228:$F$347)/$A$438</f>
        <v>5.6740900383141755</v>
      </c>
      <c r="E459" s="97">
        <f>+H36</f>
        <v>7.2275999999999998E-3</v>
      </c>
      <c r="F459" s="102">
        <f>+D459-D461</f>
        <v>-25.365641303141306</v>
      </c>
      <c r="G459" s="101">
        <f>+D459*E459</f>
        <v>4.1010053160919532E-2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108.06401056591218</v>
      </c>
      <c r="AO459">
        <v>10.535760314300719</v>
      </c>
      <c r="AP459">
        <v>52.969287546058325</v>
      </c>
      <c r="AQ459">
        <v>73.677628351526437</v>
      </c>
      <c r="AR459">
        <v>9.9583195817655419</v>
      </c>
      <c r="AS459">
        <v>156.67374467513196</v>
      </c>
      <c r="AT459">
        <v>6.8682777217437261</v>
      </c>
      <c r="AU459">
        <v>16.622092561212813</v>
      </c>
      <c r="AV459"/>
      <c r="AW459"/>
      <c r="FY459" s="213">
        <v>454</v>
      </c>
      <c r="FZ459">
        <v>16.061253563528407</v>
      </c>
      <c r="GA459">
        <v>21.811091919059891</v>
      </c>
      <c r="GB459">
        <v>10.789247019491963</v>
      </c>
      <c r="GC459">
        <v>6.321041547112257</v>
      </c>
      <c r="GD459">
        <v>2.1212606037225989</v>
      </c>
      <c r="GE459">
        <v>2.4479243238493424</v>
      </c>
      <c r="GF459">
        <v>3.1557411204400347</v>
      </c>
      <c r="GG459">
        <v>3.7696197027114717</v>
      </c>
      <c r="GH459">
        <v>2.7619779405139626</v>
      </c>
      <c r="GI459">
        <v>7.3646353876143857</v>
      </c>
      <c r="GJ459"/>
      <c r="GK459"/>
      <c r="GL459"/>
      <c r="GM459"/>
      <c r="GN459" s="208"/>
      <c r="GO459" s="208"/>
      <c r="GP459" s="208"/>
      <c r="GQ459" s="208"/>
      <c r="GR459" s="208"/>
      <c r="GS459" s="208"/>
      <c r="GT459" s="208"/>
      <c r="GU459" s="213">
        <v>454</v>
      </c>
    </row>
    <row r="460" spans="1:203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1.8366650775983887E-2</v>
      </c>
      <c r="I460" s="101">
        <f>+H460*F459</f>
        <v>-0.46588187552366916</v>
      </c>
      <c r="J460" s="101">
        <f>+I460*$A$440</f>
        <v>-3.7270550041893533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101.48173311433327</v>
      </c>
      <c r="AO460">
        <v>17.906064779253121</v>
      </c>
      <c r="AP460">
        <v>95.384869947206852</v>
      </c>
      <c r="AQ460">
        <v>143.15552099450915</v>
      </c>
      <c r="AR460">
        <v>16.315709799013252</v>
      </c>
      <c r="AS460">
        <v>193.71321103133695</v>
      </c>
      <c r="AT460" t="e">
        <v>#DIV/0!</v>
      </c>
      <c r="AU460" t="e">
        <v>#DIV/0!</v>
      </c>
      <c r="AV460"/>
      <c r="AW460"/>
      <c r="FY460" s="213">
        <v>455</v>
      </c>
      <c r="FZ460">
        <v>28.842289172666039</v>
      </c>
      <c r="GA460">
        <v>39.340122063309074</v>
      </c>
      <c r="GB460">
        <v>8.1441814472775196</v>
      </c>
      <c r="GC460">
        <v>4.2420227629546856</v>
      </c>
      <c r="GD460">
        <v>1.6171189569376521</v>
      </c>
      <c r="GE460">
        <v>1.72970765608527</v>
      </c>
      <c r="GF460">
        <v>4.962091756191322</v>
      </c>
      <c r="GG460">
        <v>4.7437238106792705</v>
      </c>
      <c r="GH460">
        <v>2.1611736260621592</v>
      </c>
      <c r="GI460">
        <v>8.5045386536837775</v>
      </c>
      <c r="GJ460"/>
      <c r="GK460"/>
      <c r="GL460"/>
      <c r="GM460"/>
      <c r="GN460" s="208"/>
      <c r="GO460" s="208"/>
      <c r="GP460" s="208"/>
      <c r="GQ460" s="208"/>
      <c r="GR460" s="208"/>
      <c r="GS460" s="208"/>
      <c r="GT460" s="208"/>
      <c r="GU460" s="213">
        <v>455</v>
      </c>
    </row>
    <row r="461" spans="1:203" s="7" customFormat="1">
      <c r="A461" s="4"/>
      <c r="B461" s="4"/>
      <c r="C461" s="63">
        <v>2</v>
      </c>
      <c r="D461" s="101">
        <f>SUM($G$228:$G$347)/$A$438</f>
        <v>31.039731341455482</v>
      </c>
      <c r="E461" s="97">
        <f>+I36</f>
        <v>4.6673011888725101E-2</v>
      </c>
      <c r="F461" s="102">
        <f>+D461-D463</f>
        <v>19.511949201350824</v>
      </c>
      <c r="G461" s="101">
        <f>+D461*E461</f>
        <v>1.448717749922585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101.62976843957446</v>
      </c>
      <c r="AO461">
        <v>10.060275449781454</v>
      </c>
      <c r="AP461">
        <v>35.192700601555465</v>
      </c>
      <c r="AQ461">
        <v>64.539231756344549</v>
      </c>
      <c r="AR461">
        <v>9.3994978911705562</v>
      </c>
      <c r="AS461">
        <v>158.18472203583656</v>
      </c>
      <c r="AT461">
        <v>5.8884274854879601</v>
      </c>
      <c r="AU461">
        <v>21.53274195139651</v>
      </c>
      <c r="AV461"/>
      <c r="AW461"/>
      <c r="FY461" s="213">
        <v>456</v>
      </c>
      <c r="FZ461">
        <v>43.158762111196914</v>
      </c>
      <c r="GA461">
        <v>50.812797889405289</v>
      </c>
      <c r="GB461">
        <v>7.8058056749040619</v>
      </c>
      <c r="GC461">
        <v>5.6364518425921686</v>
      </c>
      <c r="GD461">
        <v>2.28288021276704</v>
      </c>
      <c r="GE461">
        <v>2.4951527329155261</v>
      </c>
      <c r="GF461">
        <v>5.6755731686916606</v>
      </c>
      <c r="GG461">
        <v>7.0524656847718896</v>
      </c>
      <c r="GH461">
        <v>4.3223472521243185</v>
      </c>
      <c r="GI461">
        <v>11.356128386854426</v>
      </c>
      <c r="GJ461"/>
      <c r="GK461"/>
      <c r="GL461"/>
      <c r="GM461"/>
      <c r="GN461" s="208"/>
      <c r="GO461" s="208"/>
      <c r="GP461" s="208"/>
      <c r="GQ461" s="208"/>
      <c r="GR461" s="208"/>
      <c r="GS461" s="208"/>
      <c r="GT461" s="208"/>
      <c r="GU461" s="213">
        <v>456</v>
      </c>
    </row>
    <row r="462" spans="1:203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8.0537216688670824E-2</v>
      </c>
      <c r="I462" s="101">
        <f>+H462*F461</f>
        <v>1.5714380808475288</v>
      </c>
      <c r="J462" s="101">
        <f>+I462*$A$440</f>
        <v>12.57150464678023</v>
      </c>
      <c r="K462" s="61">
        <f>IF(AND(J462&lt;0, J460&lt;0), 0, J462)</f>
        <v>12.57150464678023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78.099285355167709</v>
      </c>
      <c r="AO462">
        <v>9.085532452965186</v>
      </c>
      <c r="AP462">
        <v>60.440796762834559</v>
      </c>
      <c r="AQ462">
        <v>69.508182916977205</v>
      </c>
      <c r="AR462">
        <v>8.5089481012723684</v>
      </c>
      <c r="AS462">
        <v>112.08648442809751</v>
      </c>
      <c r="AT462" t="e">
        <v>#DIV/0!</v>
      </c>
      <c r="AU462" t="e">
        <v>#DIV/0!</v>
      </c>
      <c r="AV462"/>
      <c r="AW462"/>
      <c r="FY462" s="213">
        <v>457</v>
      </c>
      <c r="FZ462">
        <v>29.980601398456606</v>
      </c>
      <c r="GA462">
        <v>41.650523975792922</v>
      </c>
      <c r="GB462">
        <v>7.3563902400666139</v>
      </c>
      <c r="GC462">
        <v>3.9827786395084583</v>
      </c>
      <c r="GD462">
        <v>2.5751201529530703</v>
      </c>
      <c r="GE462">
        <v>2.6469371635769097</v>
      </c>
      <c r="GF462">
        <v>1.630790506392686</v>
      </c>
      <c r="GG462">
        <v>3.6074512284702518</v>
      </c>
      <c r="GH462">
        <v>4.3223472521243185</v>
      </c>
      <c r="GI462">
        <v>8.81451996026777</v>
      </c>
      <c r="GJ462"/>
      <c r="GK462"/>
      <c r="GL462"/>
      <c r="GM462"/>
      <c r="GN462" s="208"/>
      <c r="GO462" s="208"/>
      <c r="GP462" s="208"/>
      <c r="GQ462" s="208"/>
      <c r="GR462" s="208"/>
      <c r="GS462" s="208"/>
      <c r="GT462" s="208"/>
      <c r="GU462" s="213">
        <v>457</v>
      </c>
    </row>
    <row r="463" spans="1:203" s="7" customFormat="1">
      <c r="A463" s="4"/>
      <c r="B463" s="4"/>
      <c r="C463" s="63">
        <v>3</v>
      </c>
      <c r="D463" s="101">
        <f>SUM($H$228:$H$347)/$A$438</f>
        <v>11.527782140104657</v>
      </c>
      <c r="E463" s="97">
        <f>+J36</f>
        <v>0.13897203136197886</v>
      </c>
      <c r="F463" s="102">
        <f>+D463-D465</f>
        <v>7.1811912310137478</v>
      </c>
      <c r="G463" s="101">
        <f>+D463*E463</f>
        <v>1.6020393011086842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73.441488529172346</v>
      </c>
      <c r="AO463">
        <v>12.25414838811162</v>
      </c>
      <c r="AP463">
        <v>61.638628166983217</v>
      </c>
      <c r="AQ463">
        <v>88.728598728616532</v>
      </c>
      <c r="AR463">
        <v>11.32969024768615</v>
      </c>
      <c r="AS463">
        <v>123.89926421580729</v>
      </c>
      <c r="AT463" t="e">
        <v>#DIV/0!</v>
      </c>
      <c r="AU463" t="e">
        <v>#DIV/0!</v>
      </c>
      <c r="AV463"/>
      <c r="AW463"/>
      <c r="FY463" s="213">
        <v>458</v>
      </c>
      <c r="FZ463">
        <v>28.973580173357071</v>
      </c>
      <c r="GA463">
        <v>42.377151777151184</v>
      </c>
      <c r="GB463">
        <v>7.7114915347597073</v>
      </c>
      <c r="GC463">
        <v>3.5067794976973774</v>
      </c>
      <c r="GD463">
        <v>2.7569142442455372</v>
      </c>
      <c r="GE463">
        <v>3.2331093680950538</v>
      </c>
      <c r="GF463">
        <v>3.6956977196149206</v>
      </c>
      <c r="GG463">
        <v>5.3405601762335371</v>
      </c>
      <c r="GH463">
        <v>3.7215429376725151</v>
      </c>
      <c r="GI463">
        <v>9.1681432137816827</v>
      </c>
      <c r="GJ463"/>
      <c r="GK463"/>
      <c r="GL463"/>
      <c r="GM463"/>
      <c r="GN463" s="208"/>
      <c r="GO463" s="208"/>
      <c r="GP463" s="208"/>
      <c r="GQ463" s="208"/>
      <c r="GR463" s="208"/>
      <c r="GS463" s="208"/>
      <c r="GT463" s="208"/>
      <c r="GU463" s="213">
        <v>458</v>
      </c>
    </row>
    <row r="464" spans="1:203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0.20465976719665702</v>
      </c>
      <c r="I464" s="101">
        <f>+H464*F463</f>
        <v>1.4697009255339484</v>
      </c>
      <c r="J464" s="101">
        <f>+I464*$A$440</f>
        <v>11.757607404271587</v>
      </c>
      <c r="K464" s="61">
        <f>IF(AND(J464&lt;0, J462&lt;0), 0, J464)</f>
        <v>11.757607404271587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66.587365506178884</v>
      </c>
      <c r="AO464">
        <v>6.9585678697542237</v>
      </c>
      <c r="AP464">
        <v>26.329851467309503</v>
      </c>
      <c r="AQ464">
        <v>42.206595512506418</v>
      </c>
      <c r="AR464">
        <v>6.3568101920982407</v>
      </c>
      <c r="AS464">
        <v>91.45676238113991</v>
      </c>
      <c r="AT464" t="e">
        <v>#DIV/0!</v>
      </c>
      <c r="AU464" t="e">
        <v>#DIV/0!</v>
      </c>
      <c r="AV464"/>
      <c r="AW464"/>
      <c r="FY464" s="213">
        <v>459</v>
      </c>
      <c r="FZ464">
        <v>22.259348683002191</v>
      </c>
      <c r="GA464">
        <v>29.348713164656122</v>
      </c>
      <c r="GB464">
        <v>8.3255740353282253</v>
      </c>
      <c r="GC464">
        <v>5.0874925442481658</v>
      </c>
      <c r="GD464">
        <v>2.3504134317739651</v>
      </c>
      <c r="GE464">
        <v>2.3779098435479624</v>
      </c>
      <c r="GF464">
        <v>2.564097065117299</v>
      </c>
      <c r="GG464">
        <v>2.1849831498469148</v>
      </c>
      <c r="GH464">
        <v>0</v>
      </c>
      <c r="GI464">
        <v>7.2233790332942815</v>
      </c>
      <c r="GJ464"/>
      <c r="GK464"/>
      <c r="GL464"/>
      <c r="GM464"/>
      <c r="GN464" s="208"/>
      <c r="GO464" s="208"/>
      <c r="GP464" s="208"/>
      <c r="GQ464" s="208"/>
      <c r="GR464" s="208"/>
      <c r="GS464" s="208"/>
      <c r="GT464" s="208"/>
      <c r="GU464" s="213">
        <v>459</v>
      </c>
    </row>
    <row r="465" spans="1:203" s="7" customFormat="1">
      <c r="A465" s="4"/>
      <c r="B465" s="4"/>
      <c r="C465" s="63">
        <v>4</v>
      </c>
      <c r="D465" s="101">
        <f>SUM($I$228:$I$347)/$A$438</f>
        <v>4.3465909090909092</v>
      </c>
      <c r="E465" s="97">
        <f>+K36</f>
        <v>0.30139604277562043</v>
      </c>
      <c r="F465" s="102">
        <f>+D465-D467</f>
        <v>2.9450757575757578</v>
      </c>
      <c r="G465" s="101">
        <f>+D465*E465</f>
        <v>1.3100452995644865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72.887868844118842</v>
      </c>
      <c r="AO465">
        <v>15.320264384633962</v>
      </c>
      <c r="AP465">
        <v>122.84467130126137</v>
      </c>
      <c r="AQ465">
        <v>127.26662734603323</v>
      </c>
      <c r="AR465">
        <v>14.207376734184328</v>
      </c>
      <c r="AS465">
        <v>152.59911883446284</v>
      </c>
      <c r="AT465" t="e">
        <v>#DIV/0!</v>
      </c>
      <c r="AU465" t="e">
        <v>#DIV/0!</v>
      </c>
      <c r="AV465"/>
      <c r="AW465"/>
      <c r="FY465" s="213">
        <v>460</v>
      </c>
      <c r="FZ465">
        <v>38.418800151263895</v>
      </c>
      <c r="GA465">
        <v>45.29944922120665</v>
      </c>
      <c r="GB465">
        <v>7.5884764234981157</v>
      </c>
      <c r="GC465">
        <v>5.261980801756251</v>
      </c>
      <c r="GD465">
        <v>1.716636600761976</v>
      </c>
      <c r="GE465">
        <v>1.3989598122179596</v>
      </c>
      <c r="GF465">
        <v>2.5138089835027895</v>
      </c>
      <c r="GG465">
        <v>5.6379797673924532</v>
      </c>
      <c r="GH465">
        <v>5.8827165637346734</v>
      </c>
      <c r="GI465">
        <v>9.9760968026229584</v>
      </c>
      <c r="GJ465"/>
      <c r="GK465"/>
      <c r="GL465"/>
      <c r="GM465"/>
      <c r="GN465" s="208"/>
      <c r="GO465" s="208"/>
      <c r="GP465" s="208"/>
      <c r="GQ465" s="208"/>
      <c r="GR465" s="208"/>
      <c r="GS465" s="208"/>
      <c r="GT465" s="208"/>
      <c r="GU465" s="213">
        <v>460</v>
      </c>
    </row>
    <row r="466" spans="1:203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0.40693961360848696</v>
      </c>
      <c r="I466" s="101">
        <f>+H466*F465</f>
        <v>1.1984679908356008</v>
      </c>
      <c r="J466" s="101">
        <f>+I466*$A$440</f>
        <v>9.5877439266848068</v>
      </c>
      <c r="K466" s="61">
        <f>IF(AND(J466&lt;0, J464&lt;0), 0, J466)</f>
        <v>9.5877439266848068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70.905185215111686</v>
      </c>
      <c r="AO466">
        <v>11.850926881557163</v>
      </c>
      <c r="AP466">
        <v>66.361427762132394</v>
      </c>
      <c r="AQ466">
        <v>90.871903493856109</v>
      </c>
      <c r="AR466">
        <v>10.914955557344506</v>
      </c>
      <c r="AS466">
        <v>116.6558951608974</v>
      </c>
      <c r="AT466" t="e">
        <v>#DIV/0!</v>
      </c>
      <c r="AU466" t="e">
        <v>#DIV/0!</v>
      </c>
      <c r="AV466"/>
      <c r="AW466"/>
      <c r="FY466" s="213">
        <v>461</v>
      </c>
      <c r="FZ466">
        <v>44.123138766547548</v>
      </c>
      <c r="GA466">
        <v>56.40288545521323</v>
      </c>
      <c r="GB466">
        <v>6.285006655960454</v>
      </c>
      <c r="GC466">
        <v>3.2263570905957404</v>
      </c>
      <c r="GD466">
        <v>2.0982889812562457</v>
      </c>
      <c r="GE466">
        <v>2.3502626780693472</v>
      </c>
      <c r="GF466">
        <v>2.8069624476397572</v>
      </c>
      <c r="GG466">
        <v>5.7222972736154922</v>
      </c>
      <c r="GH466">
        <v>5.2819122492828701</v>
      </c>
      <c r="GI466">
        <v>10.734377392283385</v>
      </c>
      <c r="GJ466"/>
      <c r="GK466"/>
      <c r="GL466"/>
      <c r="GM466"/>
      <c r="GN466" s="208"/>
      <c r="GO466" s="208"/>
      <c r="GP466" s="208"/>
      <c r="GQ466" s="208"/>
      <c r="GR466" s="208"/>
      <c r="GS466" s="208"/>
      <c r="GT466" s="208"/>
      <c r="GU466" s="213">
        <v>461</v>
      </c>
    </row>
    <row r="467" spans="1:203" s="7" customFormat="1">
      <c r="A467" s="4"/>
      <c r="B467" s="4"/>
      <c r="C467" s="63">
        <v>5</v>
      </c>
      <c r="D467" s="101">
        <f>SUM($J$228:$J$347)/$A$438</f>
        <v>1.4015151515151516</v>
      </c>
      <c r="E467" s="97">
        <f>L36</f>
        <v>0.54944267880487196</v>
      </c>
      <c r="F467" s="102">
        <f>+D467-D469</f>
        <v>0.1515151515151516</v>
      </c>
      <c r="G467" s="101">
        <f>+D467*E467</f>
        <v>0.77005223923410093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116.5797354946252</v>
      </c>
      <c r="AO467">
        <v>20.018799095391181</v>
      </c>
      <c r="AP467">
        <v>141.14543794808398</v>
      </c>
      <c r="AQ467">
        <v>170.26565137525563</v>
      </c>
      <c r="AR467">
        <v>18.300813242829413</v>
      </c>
      <c r="AS467">
        <v>222.84473635549125</v>
      </c>
      <c r="AT467">
        <v>12.300368347475185</v>
      </c>
      <c r="AU467">
        <v>24.736349063331431</v>
      </c>
      <c r="AV467"/>
      <c r="AW467"/>
      <c r="FY467" s="213">
        <v>462</v>
      </c>
      <c r="FZ467">
        <v>52.333321389878705</v>
      </c>
      <c r="GA467">
        <v>60.14969478130724</v>
      </c>
      <c r="GB467">
        <v>6.9505963834932247</v>
      </c>
      <c r="GC467">
        <v>5.3757242509412375</v>
      </c>
      <c r="GD467">
        <v>2.1327988178084083</v>
      </c>
      <c r="GE467">
        <v>1.8517484071818608</v>
      </c>
      <c r="GF467">
        <v>1.6064742896938742</v>
      </c>
      <c r="GG467">
        <v>1.2398301364596112</v>
      </c>
      <c r="GH467">
        <v>0</v>
      </c>
      <c r="GI467">
        <v>11.007217575394654</v>
      </c>
      <c r="GJ467"/>
      <c r="GK467"/>
      <c r="GL467"/>
      <c r="GM467"/>
      <c r="GN467" s="208"/>
      <c r="GO467" s="208"/>
      <c r="GP467" s="208"/>
      <c r="GQ467" s="208"/>
      <c r="GR467" s="208"/>
      <c r="GS467" s="208"/>
      <c r="GT467" s="208"/>
      <c r="GU467" s="213">
        <v>462</v>
      </c>
    </row>
    <row r="468" spans="1:203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0.70219989056047882</v>
      </c>
      <c r="I468" s="101">
        <f>+H468*F467</f>
        <v>0.10639392281219383</v>
      </c>
      <c r="J468" s="101">
        <f>+I468*$A$440</f>
        <v>0.85115138249755062</v>
      </c>
      <c r="K468" s="61">
        <f>IF(AND(J468&lt;0, J466&lt;0), 0, J468)</f>
        <v>0.85115138249755062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54.758348146951086</v>
      </c>
      <c r="AO468">
        <v>7.9396166697740682</v>
      </c>
      <c r="AP468">
        <v>63.063083022067211</v>
      </c>
      <c r="AQ468">
        <v>61.886182056069096</v>
      </c>
      <c r="AR468">
        <v>7.5205928818989563</v>
      </c>
      <c r="AS468">
        <v>101.37050649406579</v>
      </c>
      <c r="AT468" t="e">
        <v>#DIV/0!</v>
      </c>
      <c r="AU468" t="e">
        <v>#DIV/0!</v>
      </c>
      <c r="AV468"/>
      <c r="AW468"/>
      <c r="FY468" s="213">
        <v>463</v>
      </c>
      <c r="FZ468">
        <v>53.830974138147681</v>
      </c>
      <c r="GA468">
        <v>62.533746241990961</v>
      </c>
      <c r="GB468">
        <v>7.0551660530949318</v>
      </c>
      <c r="GC468">
        <v>5.306565395747266</v>
      </c>
      <c r="GD468">
        <v>2.151853051484423</v>
      </c>
      <c r="GE468">
        <v>2.2466916297784842</v>
      </c>
      <c r="GF468">
        <v>2.3546259867927164</v>
      </c>
      <c r="GG468">
        <v>1.9629198764828817</v>
      </c>
      <c r="GH468">
        <v>0</v>
      </c>
      <c r="GI468">
        <v>11.376983440229774</v>
      </c>
      <c r="GJ468"/>
      <c r="GK468"/>
      <c r="GL468"/>
      <c r="GM468"/>
      <c r="GN468" s="208"/>
      <c r="GO468" s="208"/>
      <c r="GP468" s="208"/>
      <c r="GQ468" s="208"/>
      <c r="GR468" s="208"/>
      <c r="GS468" s="208"/>
      <c r="GT468" s="208"/>
      <c r="GU468" s="213">
        <v>463</v>
      </c>
    </row>
    <row r="469" spans="1:203" s="7" customFormat="1">
      <c r="A469" s="4"/>
      <c r="B469" s="4"/>
      <c r="C469" s="63">
        <v>6</v>
      </c>
      <c r="D469" s="101">
        <f>SUM($K$228:$K$347)/$A$438</f>
        <v>1.25</v>
      </c>
      <c r="E469" s="97">
        <f>M36</f>
        <v>0.89742698433199364</v>
      </c>
      <c r="F469" s="102">
        <f>+D469-D471</f>
        <v>1.0416666666666667</v>
      </c>
      <c r="G469" s="101">
        <f>+D469*E469</f>
        <v>1.121783730414992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85.785781558423551</v>
      </c>
      <c r="AO469">
        <v>14.169785812547229</v>
      </c>
      <c r="AP469">
        <v>116.925184565314</v>
      </c>
      <c r="AQ469">
        <v>117.84762531359419</v>
      </c>
      <c r="AR469">
        <v>13.073737599950638</v>
      </c>
      <c r="AS469">
        <v>149.2097076329535</v>
      </c>
      <c r="AT469" t="e">
        <v>#DIV/0!</v>
      </c>
      <c r="AU469" t="e">
        <v>#DIV/0!</v>
      </c>
      <c r="AV469"/>
      <c r="AW469"/>
      <c r="FY469" s="213">
        <v>464</v>
      </c>
      <c r="FZ469">
        <v>20.037150774515965</v>
      </c>
      <c r="GA469">
        <v>28.490064130617576</v>
      </c>
      <c r="GB469">
        <v>10.022893341151361</v>
      </c>
      <c r="GC469">
        <v>4.7135404052333199</v>
      </c>
      <c r="GD469">
        <v>1.7038408823811244</v>
      </c>
      <c r="GE469">
        <v>2.5657191556288632</v>
      </c>
      <c r="GF469">
        <v>3.3243084745329492</v>
      </c>
      <c r="GG469">
        <v>3.5378501432032046</v>
      </c>
      <c r="GH469">
        <v>1.5603693116103559</v>
      </c>
      <c r="GI469">
        <v>7.3081941489076696</v>
      </c>
      <c r="GJ469"/>
      <c r="GK469"/>
      <c r="GL469"/>
      <c r="GM469"/>
      <c r="GN469" s="208"/>
      <c r="GO469" s="208"/>
      <c r="GP469" s="208"/>
      <c r="GQ469" s="208"/>
      <c r="GR469" s="208"/>
      <c r="GS469" s="208"/>
      <c r="GT469" s="208"/>
      <c r="GU469" s="213">
        <v>464</v>
      </c>
    </row>
    <row r="470" spans="1:203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1.1042719215447432</v>
      </c>
      <c r="I470" s="101">
        <f>+H470*F469</f>
        <v>1.1502832516091075</v>
      </c>
      <c r="J470" s="101">
        <f>+I470*$A$440</f>
        <v>9.2022660128728599</v>
      </c>
      <c r="K470" s="61">
        <f>IF(AND(J470&lt;0, J468&lt;0), 0, J470)</f>
        <v>9.2022660128728599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90.152758650616164</v>
      </c>
      <c r="AO470">
        <v>11.028297796642107</v>
      </c>
      <c r="AP470">
        <v>46.847162772680576</v>
      </c>
      <c r="AQ470">
        <v>76.603793128044316</v>
      </c>
      <c r="AR470">
        <v>10.187547186729919</v>
      </c>
      <c r="AS470">
        <v>144.11167340881619</v>
      </c>
      <c r="AT470">
        <v>6.3380514980468972</v>
      </c>
      <c r="AU470">
        <v>7.3039163419785487</v>
      </c>
      <c r="AV470"/>
      <c r="AW470"/>
      <c r="FY470" s="213">
        <v>465</v>
      </c>
      <c r="FZ470">
        <v>22.451818301029984</v>
      </c>
      <c r="GA470">
        <v>26.383003741025341</v>
      </c>
      <c r="GB470">
        <v>6.1902679899130657</v>
      </c>
      <c r="GC470">
        <v>5.6403400487778326</v>
      </c>
      <c r="GD470">
        <v>2.7948084058199854</v>
      </c>
      <c r="GE470">
        <v>2.1497452729274973</v>
      </c>
      <c r="GF470">
        <v>1.2663940365764008</v>
      </c>
      <c r="GG470">
        <v>2.1071321818287339</v>
      </c>
      <c r="GH470">
        <v>1.5603693116103559</v>
      </c>
      <c r="GI470">
        <v>6.9594857243900652</v>
      </c>
      <c r="GJ470"/>
      <c r="GK470"/>
      <c r="GL470"/>
      <c r="GM470"/>
      <c r="GN470" s="208"/>
      <c r="GO470" s="208"/>
      <c r="GP470" s="208"/>
      <c r="GQ470" s="208"/>
      <c r="GR470" s="208"/>
      <c r="GS470" s="208"/>
      <c r="GT470" s="208"/>
      <c r="GU470" s="213">
        <v>465</v>
      </c>
    </row>
    <row r="471" spans="1:203" s="7" customFormat="1">
      <c r="A471" s="4"/>
      <c r="B471" s="4"/>
      <c r="C471" s="63">
        <v>7</v>
      </c>
      <c r="D471" s="101">
        <f>SUM($L$228:$L$347)/$A$438</f>
        <v>0.20833333333333331</v>
      </c>
      <c r="E471" s="97">
        <f>+N36</f>
        <v>1.3587918549382612</v>
      </c>
      <c r="F471" s="102">
        <f>+D471-D473</f>
        <v>0</v>
      </c>
      <c r="G471" s="101">
        <f>+D471*E471</f>
        <v>0.28308163644547107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70.723769809279446</v>
      </c>
      <c r="AO471">
        <v>12.855181497407131</v>
      </c>
      <c r="AP471">
        <v>103.08046741234268</v>
      </c>
      <c r="AQ471">
        <v>104.28696990584677</v>
      </c>
      <c r="AR471">
        <v>11.790643504694707</v>
      </c>
      <c r="AS471">
        <v>140.35849811524412</v>
      </c>
      <c r="AT471">
        <v>8.2618531584287709</v>
      </c>
      <c r="AU471">
        <v>-3.6481405979898316</v>
      </c>
      <c r="AV471"/>
      <c r="AW471"/>
      <c r="FY471" s="213">
        <v>466</v>
      </c>
      <c r="FZ471">
        <v>63.216592826677939</v>
      </c>
      <c r="GA471">
        <v>78.417356768820468</v>
      </c>
      <c r="GB471">
        <v>10.019335330088948</v>
      </c>
      <c r="GC471">
        <v>5.8301945579882624</v>
      </c>
      <c r="GD471">
        <v>2.1937628439762173</v>
      </c>
      <c r="GE471">
        <v>1.7030081448181691</v>
      </c>
      <c r="GF471">
        <v>5.7193215407892275</v>
      </c>
      <c r="GG471">
        <v>4.7409608625285813</v>
      </c>
      <c r="GH471">
        <v>0</v>
      </c>
      <c r="GI471">
        <v>14.164195149859422</v>
      </c>
      <c r="GJ471"/>
      <c r="GK471"/>
      <c r="GL471"/>
      <c r="GM471"/>
      <c r="GN471" s="208"/>
      <c r="GO471" s="208"/>
      <c r="GP471" s="208"/>
      <c r="GQ471" s="208"/>
      <c r="GR471" s="208"/>
      <c r="GS471" s="208"/>
      <c r="GT471" s="208"/>
      <c r="GU471" s="213">
        <v>466</v>
      </c>
    </row>
    <row r="472" spans="1:203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1.6262267462759648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100.90903437450723</v>
      </c>
      <c r="AO472">
        <v>17.071960161569926</v>
      </c>
      <c r="AP472">
        <v>123.48868660118468</v>
      </c>
      <c r="AQ472">
        <v>140.59836495622332</v>
      </c>
      <c r="AR472">
        <v>15.681785700300665</v>
      </c>
      <c r="AS472">
        <v>192.4500922731323</v>
      </c>
      <c r="AT472">
        <v>10.801624078111507</v>
      </c>
      <c r="AU472">
        <v>20.702912102106087</v>
      </c>
      <c r="AV472"/>
      <c r="AW472"/>
      <c r="FY472" s="213">
        <v>467</v>
      </c>
      <c r="FZ472">
        <v>38.779408078629572</v>
      </c>
      <c r="GA472">
        <v>50.739892129550249</v>
      </c>
      <c r="GB472">
        <v>5.7727387973851085</v>
      </c>
      <c r="GC472">
        <v>3.1324698744548645</v>
      </c>
      <c r="GD472">
        <v>2.1808594498043656</v>
      </c>
      <c r="GE472">
        <v>2.0885585074677753</v>
      </c>
      <c r="GF472">
        <v>4.4781400334960049</v>
      </c>
      <c r="GG472">
        <v>3.5488037544590876</v>
      </c>
      <c r="GH472">
        <v>1.8024129433554106</v>
      </c>
      <c r="GI472">
        <v>9.6188248329281105</v>
      </c>
      <c r="GJ472"/>
      <c r="GK472"/>
      <c r="GL472"/>
      <c r="GM472"/>
      <c r="GN472" s="208"/>
      <c r="GO472" s="208"/>
      <c r="GP472" s="208"/>
      <c r="GQ472" s="208"/>
      <c r="GR472" s="208"/>
      <c r="GS472" s="208"/>
      <c r="GT472" s="208"/>
      <c r="GU472" s="213">
        <v>467</v>
      </c>
    </row>
    <row r="473" spans="1:203" s="7" customFormat="1">
      <c r="A473" s="4"/>
      <c r="B473" s="16"/>
      <c r="C473" s="63">
        <v>8</v>
      </c>
      <c r="D473" s="101">
        <f>SUM($M$228:$M$347)/$A$438</f>
        <v>0.20833333333333331</v>
      </c>
      <c r="E473" s="97">
        <f>O36</f>
        <v>1.9462976766397186</v>
      </c>
      <c r="F473" s="102">
        <f>+D473-D475</f>
        <v>0.20833333333333331</v>
      </c>
      <c r="G473" s="101">
        <f>+D473*E473</f>
        <v>0.40547868263327469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95.283240499264835</v>
      </c>
      <c r="AO473">
        <v>13.304539797146319</v>
      </c>
      <c r="AP473">
        <v>70.036492693155225</v>
      </c>
      <c r="AQ473">
        <v>106.56746051760962</v>
      </c>
      <c r="AR473">
        <v>12.254549051748084</v>
      </c>
      <c r="AS473">
        <v>175.57252491714172</v>
      </c>
      <c r="AT473">
        <v>7.8130049532725634</v>
      </c>
      <c r="AU473">
        <v>13.871257279415419</v>
      </c>
      <c r="AV473"/>
      <c r="AW473"/>
      <c r="FY473" s="213">
        <v>468</v>
      </c>
      <c r="FZ473">
        <v>34.422374269219318</v>
      </c>
      <c r="GA473">
        <v>41.132628369901333</v>
      </c>
      <c r="GB473">
        <v>8.0785837394946771</v>
      </c>
      <c r="GC473">
        <v>5.2285634382728006</v>
      </c>
      <c r="GD473">
        <v>1.9022125944428225</v>
      </c>
      <c r="GE473">
        <v>1.5999664297331981</v>
      </c>
      <c r="GF473">
        <v>2.9878597040471577</v>
      </c>
      <c r="GG473">
        <v>4.6658728426610896</v>
      </c>
      <c r="GH473">
        <v>3.7215429376725151</v>
      </c>
      <c r="GI473">
        <v>9.3459873547733157</v>
      </c>
      <c r="GJ473"/>
      <c r="GK473"/>
      <c r="GL473"/>
      <c r="GM473"/>
      <c r="GN473" s="208"/>
      <c r="GO473" s="208"/>
      <c r="GP473" s="208"/>
      <c r="GQ473" s="208"/>
      <c r="GR473" s="208"/>
      <c r="GS473" s="208"/>
      <c r="GT473" s="208"/>
      <c r="GU473" s="213">
        <v>468</v>
      </c>
    </row>
    <row r="474" spans="1:203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2.280525764869402</v>
      </c>
      <c r="I474" s="101">
        <f>+H474*F473</f>
        <v>0.47510953434779202</v>
      </c>
      <c r="J474" s="101">
        <f>+I474*$A$440</f>
        <v>3.8008762747823361</v>
      </c>
      <c r="K474" s="61">
        <f>IF(AND(J474&lt;0, J472&lt;0), 0, J474)</f>
        <v>3.8008762747823361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82.909207873393967</v>
      </c>
      <c r="AO474">
        <v>13.888241698171219</v>
      </c>
      <c r="AP474">
        <v>111.77004089393209</v>
      </c>
      <c r="AQ474">
        <v>110.48497064260857</v>
      </c>
      <c r="AR474">
        <v>12.740739475599336</v>
      </c>
      <c r="AS474">
        <v>143.53737929808892</v>
      </c>
      <c r="AT474">
        <v>8.8180540101029923</v>
      </c>
      <c r="AU474">
        <v>22.590206743059451</v>
      </c>
      <c r="AV474"/>
      <c r="AW474"/>
      <c r="FY474" s="213">
        <v>469</v>
      </c>
      <c r="FZ474">
        <v>44.501089719216061</v>
      </c>
      <c r="GA474">
        <v>52.133319532150885</v>
      </c>
      <c r="GB474">
        <v>5.5328940586046027</v>
      </c>
      <c r="GC474">
        <v>4.9962418492905307</v>
      </c>
      <c r="GD474">
        <v>2.738676324704485</v>
      </c>
      <c r="GE474">
        <v>2.4912033785354337</v>
      </c>
      <c r="GF474">
        <v>5.4604586934345001</v>
      </c>
      <c r="GG474">
        <v>4.4143789129463933</v>
      </c>
      <c r="GH474">
        <v>1.2016086289036068</v>
      </c>
      <c r="GI474">
        <v>10.724428652338476</v>
      </c>
      <c r="GJ474"/>
      <c r="GK474"/>
      <c r="GL474"/>
      <c r="GM474"/>
      <c r="GN474" s="208"/>
      <c r="GO474" s="208"/>
      <c r="GP474" s="208"/>
      <c r="GQ474" s="208"/>
      <c r="GR474" s="208"/>
      <c r="GS474" s="208"/>
      <c r="GT474" s="208"/>
      <c r="GU474" s="213">
        <v>469</v>
      </c>
    </row>
    <row r="475" spans="1:203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2.6721491921073159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85.792172961138476</v>
      </c>
      <c r="AO475">
        <v>10.922843501060971</v>
      </c>
      <c r="AP475">
        <v>52.392028116251709</v>
      </c>
      <c r="AQ475">
        <v>81.721910950815115</v>
      </c>
      <c r="AR475">
        <v>9.9850059900085384</v>
      </c>
      <c r="AS475">
        <v>141.35457115388576</v>
      </c>
      <c r="AT475" t="e">
        <v>#DIV/0!</v>
      </c>
      <c r="AU475" t="e">
        <v>#DIV/0!</v>
      </c>
      <c r="AV475"/>
      <c r="AW475"/>
      <c r="FY475" s="213">
        <v>470</v>
      </c>
      <c r="FZ475">
        <v>31.836872163688621</v>
      </c>
      <c r="GA475">
        <v>41.745712430230711</v>
      </c>
      <c r="GB475">
        <v>13.704105390954725</v>
      </c>
      <c r="GC475">
        <v>7.828440860792421</v>
      </c>
      <c r="GD475">
        <v>2.128859483683279</v>
      </c>
      <c r="GE475">
        <v>1.4302691569020547</v>
      </c>
      <c r="GF475">
        <v>5.0020257699061403</v>
      </c>
      <c r="GG475">
        <v>5.353544949899006</v>
      </c>
      <c r="GH475">
        <v>2.7619779405139626</v>
      </c>
      <c r="GI475">
        <v>10.801487055720564</v>
      </c>
      <c r="GJ475"/>
      <c r="GK475"/>
      <c r="GL475"/>
      <c r="GM475"/>
      <c r="GN475" s="208"/>
      <c r="GO475" s="208"/>
      <c r="GP475" s="208"/>
      <c r="GQ475" s="208"/>
      <c r="GR475" s="208"/>
      <c r="GS475" s="208"/>
      <c r="GT475" s="208"/>
      <c r="GU475" s="213">
        <v>470</v>
      </c>
    </row>
    <row r="476" spans="1:203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3.079125608397741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81.683938834154347</v>
      </c>
      <c r="AO476">
        <v>14.99725959012309</v>
      </c>
      <c r="AP476">
        <v>103.56735410584419</v>
      </c>
      <c r="AQ476">
        <v>123.69490512795772</v>
      </c>
      <c r="AR476">
        <v>13.815385043009112</v>
      </c>
      <c r="AS476">
        <v>177.07177156329664</v>
      </c>
      <c r="AT476">
        <v>9.283895323757152</v>
      </c>
      <c r="AU476">
        <v>20.571586871260259</v>
      </c>
      <c r="AV476"/>
      <c r="AW476"/>
      <c r="FY476" s="213">
        <v>471</v>
      </c>
      <c r="FZ476">
        <v>31.377197304970895</v>
      </c>
      <c r="GA476">
        <v>43.309932618485504</v>
      </c>
      <c r="GB476">
        <v>13.528239511593519</v>
      </c>
      <c r="GC476">
        <v>6.7475805289238542</v>
      </c>
      <c r="GD476">
        <v>2.3899203978781318</v>
      </c>
      <c r="GE476">
        <v>2.5475683619121399</v>
      </c>
      <c r="GF476">
        <v>4.5717234214593381</v>
      </c>
      <c r="GG476">
        <v>4.7961160103283511</v>
      </c>
      <c r="GH476">
        <v>1.5603693116103559</v>
      </c>
      <c r="GI476">
        <v>10.537588504654071</v>
      </c>
      <c r="GJ476"/>
      <c r="GK476"/>
      <c r="GL476"/>
      <c r="GM476"/>
      <c r="GN476" s="208"/>
      <c r="GO476" s="208"/>
      <c r="GP476" s="208"/>
      <c r="GQ476" s="208"/>
      <c r="GR476" s="208"/>
      <c r="GS476" s="208"/>
      <c r="GT476" s="208"/>
      <c r="GU476" s="213">
        <v>471</v>
      </c>
    </row>
    <row r="477" spans="1:203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3.5480857656805531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82.513353516694025</v>
      </c>
      <c r="AO477">
        <v>16.2550455844327</v>
      </c>
      <c r="AP477">
        <v>145.22331171520389</v>
      </c>
      <c r="AQ477">
        <v>139.03148899046408</v>
      </c>
      <c r="AR477">
        <v>14.947329337702239</v>
      </c>
      <c r="AS477">
        <v>173.4645431313337</v>
      </c>
      <c r="AT477">
        <v>10.001733016015844</v>
      </c>
      <c r="AU477">
        <v>34.250389917958692</v>
      </c>
      <c r="AV477"/>
      <c r="AW477"/>
      <c r="FY477" s="213">
        <v>472</v>
      </c>
      <c r="FZ477">
        <v>21.463160397760088</v>
      </c>
      <c r="GA477">
        <v>29.787644243500587</v>
      </c>
      <c r="GB477">
        <v>9.1559300027766302</v>
      </c>
      <c r="GC477">
        <v>4.6442473533298898</v>
      </c>
      <c r="GD477">
        <v>1.6402093642474769</v>
      </c>
      <c r="GE477">
        <v>1.8047251883877147</v>
      </c>
      <c r="GF477">
        <v>2.4981177885542998</v>
      </c>
      <c r="GG477">
        <v>5.2589851380971062</v>
      </c>
      <c r="GH477">
        <v>5.2819122492828701</v>
      </c>
      <c r="GI477">
        <v>7.7213128140256471</v>
      </c>
      <c r="GJ477"/>
      <c r="GK477"/>
      <c r="GL477"/>
      <c r="GM477"/>
      <c r="GN477" s="208"/>
      <c r="GO477" s="208"/>
      <c r="GP477" s="208"/>
      <c r="GQ477" s="208"/>
      <c r="GR477" s="208"/>
      <c r="GS477" s="208"/>
      <c r="GT477" s="208"/>
      <c r="GU477" s="213">
        <v>472</v>
      </c>
    </row>
    <row r="478" spans="1:203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4.0335548505366168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85.505182297277884</v>
      </c>
      <c r="AO478">
        <v>16.574229901458985</v>
      </c>
      <c r="AP478">
        <v>120.25207493936357</v>
      </c>
      <c r="AQ478">
        <v>142.64740603215878</v>
      </c>
      <c r="AR478">
        <v>15.193148378780522</v>
      </c>
      <c r="AS478">
        <v>177.7975931688465</v>
      </c>
      <c r="AT478" t="e">
        <v>#DIV/0!</v>
      </c>
      <c r="AU478" t="e">
        <v>#DIV/0!</v>
      </c>
      <c r="AV478"/>
      <c r="AW478"/>
      <c r="FY478" s="213">
        <v>473</v>
      </c>
      <c r="FZ478">
        <v>3.3621963043444607</v>
      </c>
      <c r="GA478">
        <v>3.7079616992556925</v>
      </c>
      <c r="GB478">
        <v>4.8448179166700625</v>
      </c>
      <c r="GC478">
        <v>3.9587990439940972</v>
      </c>
      <c r="GD478">
        <v>1.9349738614711498</v>
      </c>
      <c r="GE478">
        <v>1.989656308970329</v>
      </c>
      <c r="GF478">
        <v>3.147348970641008</v>
      </c>
      <c r="GG478">
        <v>6.022729629215636</v>
      </c>
      <c r="GH478">
        <v>5.2819122492828701</v>
      </c>
      <c r="GI478">
        <v>4.2671026456560339</v>
      </c>
      <c r="GJ478"/>
      <c r="GK478"/>
      <c r="GL478"/>
      <c r="GM478"/>
      <c r="GN478" s="208"/>
      <c r="GO478" s="208"/>
      <c r="GP478" s="208"/>
      <c r="GQ478" s="208"/>
      <c r="GR478" s="208"/>
      <c r="GS478" s="208"/>
      <c r="GT478" s="208"/>
      <c r="GU478" s="213">
        <v>473</v>
      </c>
    </row>
    <row r="479" spans="1:203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4.5854485507812486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101.51413431199181</v>
      </c>
      <c r="AO479">
        <v>17.239357690000375</v>
      </c>
      <c r="AP479">
        <v>125.88597409368052</v>
      </c>
      <c r="AQ479">
        <v>148.8195258137491</v>
      </c>
      <c r="AR479">
        <v>15.727390764451954</v>
      </c>
      <c r="AS479">
        <v>190.89670572348123</v>
      </c>
      <c r="AT479" t="e">
        <v>#DIV/0!</v>
      </c>
      <c r="AU479" t="e">
        <v>#DIV/0!</v>
      </c>
      <c r="AV479"/>
      <c r="AW479"/>
      <c r="FY479" s="213">
        <v>474</v>
      </c>
      <c r="FZ479">
        <v>26.577910391967592</v>
      </c>
      <c r="GA479">
        <v>36.81561277953481</v>
      </c>
      <c r="GB479">
        <v>11.075846304234227</v>
      </c>
      <c r="GC479">
        <v>5.5544751888399126</v>
      </c>
      <c r="GD479">
        <v>2.0336144250163555</v>
      </c>
      <c r="GE479">
        <v>2.0517364791178192</v>
      </c>
      <c r="GF479">
        <v>3.961100276486591</v>
      </c>
      <c r="GG479">
        <v>5.6876294989549248</v>
      </c>
      <c r="GH479">
        <v>3.1207386232207117</v>
      </c>
      <c r="GI479">
        <v>9.1383223603300525</v>
      </c>
      <c r="GJ479"/>
      <c r="GK479"/>
      <c r="GL479"/>
      <c r="GM479"/>
      <c r="GN479" s="208"/>
      <c r="GO479" s="208"/>
      <c r="GP479" s="208"/>
      <c r="GQ479" s="208"/>
      <c r="GR479" s="208"/>
      <c r="GS479" s="208"/>
      <c r="GT479" s="208"/>
      <c r="GU479" s="213">
        <v>474</v>
      </c>
    </row>
    <row r="480" spans="1:203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5.1549722725896592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93.765340349962543</v>
      </c>
      <c r="AO480">
        <v>10.956999137739452</v>
      </c>
      <c r="AP480">
        <v>49.029529428411401</v>
      </c>
      <c r="AQ480">
        <v>83.263930767782398</v>
      </c>
      <c r="AR480">
        <v>10.064575141389716</v>
      </c>
      <c r="AS480">
        <v>141.13968869761598</v>
      </c>
      <c r="AT480" t="e">
        <v>#DIV/0!</v>
      </c>
      <c r="AU480" t="e">
        <v>#DIV/0!</v>
      </c>
      <c r="AV480"/>
      <c r="AW480"/>
      <c r="FY480" s="213">
        <v>475</v>
      </c>
      <c r="FZ480">
        <v>15.788035427500077</v>
      </c>
      <c r="GA480">
        <v>24.02431094516929</v>
      </c>
      <c r="GB480">
        <v>6.4929420674924767</v>
      </c>
      <c r="GC480">
        <v>2.7200067882533476</v>
      </c>
      <c r="GD480">
        <v>1.7956192395650659</v>
      </c>
      <c r="GE480">
        <v>2.6428666677063695</v>
      </c>
      <c r="GF480">
        <v>2.7344434615598137</v>
      </c>
      <c r="GG480">
        <v>2.9145394280750443</v>
      </c>
      <c r="GH480">
        <v>2.1611736260621592</v>
      </c>
      <c r="GI480">
        <v>5.9426235765582778</v>
      </c>
      <c r="GJ480"/>
      <c r="GK480"/>
      <c r="GL480"/>
      <c r="GM480"/>
      <c r="GN480" s="208"/>
      <c r="GO480" s="208"/>
      <c r="GP480" s="208"/>
      <c r="GQ480" s="208"/>
      <c r="GR480" s="208"/>
      <c r="GS480" s="208"/>
      <c r="GT480" s="208"/>
      <c r="GU480" s="213">
        <v>475</v>
      </c>
    </row>
    <row r="481" spans="1:203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5.7952322083388497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83.15745344520063</v>
      </c>
      <c r="AO481">
        <v>10.447279021886633</v>
      </c>
      <c r="AP481">
        <v>58.948656115100391</v>
      </c>
      <c r="AQ481">
        <v>77.503365013899256</v>
      </c>
      <c r="AR481">
        <v>9.5350946222694901</v>
      </c>
      <c r="AS481">
        <v>132.32466957450566</v>
      </c>
      <c r="AT481" t="e">
        <v>#DIV/0!</v>
      </c>
      <c r="AU481" t="e">
        <v>#DIV/0!</v>
      </c>
      <c r="AV481"/>
      <c r="AW481"/>
      <c r="FY481" s="213">
        <v>476</v>
      </c>
      <c r="FZ481">
        <v>25.505613224243998</v>
      </c>
      <c r="GA481">
        <v>34.789610223361009</v>
      </c>
      <c r="GB481">
        <v>7.8857451812286925</v>
      </c>
      <c r="GC481">
        <v>4.4359803028761577</v>
      </c>
      <c r="GD481">
        <v>2.7979228864972283</v>
      </c>
      <c r="GE481">
        <v>3.3470867971021443</v>
      </c>
      <c r="GF481">
        <v>2.6754569602625002</v>
      </c>
      <c r="GG481">
        <v>2.8631628096307566</v>
      </c>
      <c r="GH481">
        <v>1.5603693116103559</v>
      </c>
      <c r="GI481">
        <v>8.1247031967919376</v>
      </c>
      <c r="GJ481"/>
      <c r="GK481"/>
      <c r="GL481"/>
      <c r="GM481"/>
      <c r="GN481" s="208"/>
      <c r="GO481" s="208"/>
      <c r="GP481" s="208"/>
      <c r="GQ481" s="208"/>
      <c r="GR481" s="208"/>
      <c r="GS481" s="208"/>
      <c r="GT481" s="208"/>
      <c r="GU481" s="213">
        <v>476</v>
      </c>
    </row>
    <row r="482" spans="1:203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6.4542124433467105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99.550494847585369</v>
      </c>
      <c r="AO482">
        <v>21.48795407347416</v>
      </c>
      <c r="AP482">
        <v>184.54430226517022</v>
      </c>
      <c r="AQ482">
        <v>186.00472802554722</v>
      </c>
      <c r="AR482">
        <v>19.666700894393646</v>
      </c>
      <c r="AS482">
        <v>217.15639924276127</v>
      </c>
      <c r="AT482" t="e">
        <v>#DIV/0!</v>
      </c>
      <c r="AU482" t="e">
        <v>#DIV/0!</v>
      </c>
      <c r="AV482"/>
      <c r="AW482"/>
      <c r="FY482" s="213">
        <v>477</v>
      </c>
      <c r="FZ482">
        <v>49.104905867670574</v>
      </c>
      <c r="GA482">
        <v>57.19627960290552</v>
      </c>
      <c r="GB482">
        <v>9.9937012797173956</v>
      </c>
      <c r="GC482">
        <v>6.7495642340121611</v>
      </c>
      <c r="GD482">
        <v>1.9577926054764212</v>
      </c>
      <c r="GE482">
        <v>2.0668442618676082</v>
      </c>
      <c r="GF482">
        <v>2.663017580129432</v>
      </c>
      <c r="GG482">
        <v>3.3576841856373725</v>
      </c>
      <c r="GH482">
        <v>1.5603693116103559</v>
      </c>
      <c r="GI482">
        <v>11.628455561687078</v>
      </c>
      <c r="GJ482"/>
      <c r="GK482"/>
      <c r="GL482"/>
      <c r="GM482"/>
      <c r="GN482" s="208"/>
      <c r="GO482" s="208"/>
      <c r="GP482" s="208"/>
      <c r="GQ482" s="208"/>
      <c r="GR482" s="208"/>
      <c r="GS482" s="208"/>
      <c r="GT482" s="208"/>
      <c r="GU482" s="213">
        <v>477</v>
      </c>
    </row>
    <row r="483" spans="1:203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7.1881258189983859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82.956555025856488</v>
      </c>
      <c r="AO483">
        <v>14.391565426034607</v>
      </c>
      <c r="AP483">
        <v>119.08696240795418</v>
      </c>
      <c r="AQ483">
        <v>122.14210840153055</v>
      </c>
      <c r="AR483">
        <v>13.379918337416314</v>
      </c>
      <c r="AS483">
        <v>141.58830004187178</v>
      </c>
      <c r="AT483" t="e">
        <v>#DIV/0!</v>
      </c>
      <c r="AU483" t="e">
        <v>#DIV/0!</v>
      </c>
      <c r="AV483"/>
      <c r="AW483"/>
      <c r="FY483" s="213">
        <v>478</v>
      </c>
      <c r="FZ483">
        <v>18.954480922719092</v>
      </c>
      <c r="GA483">
        <v>23.429727486844158</v>
      </c>
      <c r="GB483">
        <v>10.594342979636307</v>
      </c>
      <c r="GC483">
        <v>6.0813904518296189</v>
      </c>
      <c r="GD483">
        <v>1.6438897658234246</v>
      </c>
      <c r="GE483">
        <v>1.7361909894048202</v>
      </c>
      <c r="GF483">
        <v>4.5374328046770964</v>
      </c>
      <c r="GG483">
        <v>3.7154801361164962</v>
      </c>
      <c r="GH483">
        <v>1.2016086289036068</v>
      </c>
      <c r="GI483">
        <v>7.4255866581724268</v>
      </c>
      <c r="GJ483"/>
      <c r="GK483"/>
      <c r="GL483"/>
      <c r="GM483"/>
      <c r="GN483" s="208"/>
      <c r="GO483" s="208"/>
      <c r="GP483" s="208"/>
      <c r="GQ483" s="208"/>
      <c r="GR483" s="208"/>
      <c r="GS483" s="208"/>
      <c r="GT483" s="208"/>
      <c r="GU483" s="213">
        <v>478</v>
      </c>
    </row>
    <row r="484" spans="1:203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7.9418222332345509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87.561830944063445</v>
      </c>
      <c r="AO484">
        <v>13.927272458278315</v>
      </c>
      <c r="AP484">
        <v>108.11417578923663</v>
      </c>
      <c r="AQ484">
        <v>113.08559168021822</v>
      </c>
      <c r="AR484">
        <v>12.903999383230429</v>
      </c>
      <c r="AS484">
        <v>156.40227784774902</v>
      </c>
      <c r="AT484">
        <v>8.6850674272405524</v>
      </c>
      <c r="AU484">
        <v>11.236154388769862</v>
      </c>
      <c r="AV484"/>
      <c r="AW484"/>
      <c r="FY484" s="213">
        <v>479</v>
      </c>
      <c r="FZ484">
        <v>24.886529794981687</v>
      </c>
      <c r="GA484">
        <v>32.947729984552822</v>
      </c>
      <c r="GB484">
        <v>9.856835524187046</v>
      </c>
      <c r="GC484">
        <v>5.280010085528998</v>
      </c>
      <c r="GD484">
        <v>2.104968241983646</v>
      </c>
      <c r="GE484">
        <v>2.2523894508417071</v>
      </c>
      <c r="GF484">
        <v>3.2740203929184393</v>
      </c>
      <c r="GG484">
        <v>4.827809572995454</v>
      </c>
      <c r="GH484">
        <v>3.1207386232207117</v>
      </c>
      <c r="GI484">
        <v>8.4789407337909513</v>
      </c>
      <c r="GJ484"/>
      <c r="GK484"/>
      <c r="GL484"/>
      <c r="GM484"/>
      <c r="GN484" s="208"/>
      <c r="GO484" s="208"/>
      <c r="GP484" s="208"/>
      <c r="GQ484" s="208"/>
      <c r="GR484" s="208"/>
      <c r="GS484" s="208"/>
      <c r="GT484" s="208"/>
      <c r="GU484" s="213">
        <v>479</v>
      </c>
    </row>
    <row r="485" spans="1:203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8.7745459626758926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89.774502559644546</v>
      </c>
      <c r="AO485">
        <v>16.106392781867179</v>
      </c>
      <c r="AP485">
        <v>131.59041307860684</v>
      </c>
      <c r="AQ485">
        <v>134.19429975012497</v>
      </c>
      <c r="AR485">
        <v>14.828206885522011</v>
      </c>
      <c r="AS485">
        <v>184.1379880535934</v>
      </c>
      <c r="AT485" t="e">
        <v>#DIV/0!</v>
      </c>
      <c r="AU485" t="e">
        <v>#DIV/0!</v>
      </c>
      <c r="AV485"/>
      <c r="AW485"/>
      <c r="FY485" s="213">
        <v>480</v>
      </c>
      <c r="FZ485">
        <v>35.637159915942945</v>
      </c>
      <c r="GA485">
        <v>44.344031324394791</v>
      </c>
      <c r="GB485">
        <v>9.5728082594252957</v>
      </c>
      <c r="GC485">
        <v>6.4196623386419729</v>
      </c>
      <c r="GD485">
        <v>2.5908579348790659</v>
      </c>
      <c r="GE485">
        <v>2.6136475605054108</v>
      </c>
      <c r="GF485">
        <v>3.4822888887748782</v>
      </c>
      <c r="GG485">
        <v>2.4185181486847607</v>
      </c>
      <c r="GH485">
        <v>0.60080431445180338</v>
      </c>
      <c r="GI485">
        <v>9.8810945644858084</v>
      </c>
      <c r="GJ485"/>
      <c r="GK485"/>
      <c r="GL485"/>
      <c r="GM485"/>
      <c r="GN485" s="208"/>
      <c r="GO485" s="208"/>
      <c r="GP485" s="208"/>
      <c r="GQ485" s="208"/>
      <c r="GR485" s="208"/>
      <c r="GS485" s="208"/>
      <c r="GT485" s="208"/>
      <c r="GU485" s="213">
        <v>480</v>
      </c>
    </row>
    <row r="486" spans="1:203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9.6280906435497275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103.80597708321466</v>
      </c>
      <c r="AO486">
        <v>16.19894071204428</v>
      </c>
      <c r="AP486">
        <v>89.022598342824153</v>
      </c>
      <c r="AQ486">
        <v>122.5932952022915</v>
      </c>
      <c r="AR486">
        <v>15.00264967534269</v>
      </c>
      <c r="AS486">
        <v>190.92662752978117</v>
      </c>
      <c r="AT486">
        <v>9.4804331962948893</v>
      </c>
      <c r="AU486">
        <v>26.827195665457744</v>
      </c>
      <c r="AV486"/>
      <c r="AW486"/>
      <c r="FY486" s="213">
        <v>481</v>
      </c>
      <c r="FZ486">
        <v>39.804307300059087</v>
      </c>
      <c r="GA486">
        <v>47.749288600312809</v>
      </c>
      <c r="GB486">
        <v>10.401214779337833</v>
      </c>
      <c r="GC486">
        <v>6.293217884600109</v>
      </c>
      <c r="GD486">
        <v>2.3460385040777139</v>
      </c>
      <c r="GE486">
        <v>2.4825328585508073</v>
      </c>
      <c r="GF486">
        <v>3.9697986961693945</v>
      </c>
      <c r="GG486">
        <v>3.4402748049785967</v>
      </c>
      <c r="GH486">
        <v>0</v>
      </c>
      <c r="GI486">
        <v>10.619890332946861</v>
      </c>
      <c r="GJ486"/>
      <c r="GK486"/>
      <c r="GL486"/>
      <c r="GM486"/>
      <c r="GN486" s="208"/>
      <c r="GO486" s="208"/>
      <c r="GP486" s="208"/>
      <c r="GQ486" s="208"/>
      <c r="GR486" s="208"/>
      <c r="GS486" s="208"/>
      <c r="GT486" s="208"/>
      <c r="GU486" s="213">
        <v>481</v>
      </c>
    </row>
    <row r="487" spans="1:203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10.564663953522661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114.82355382766136</v>
      </c>
      <c r="AO487">
        <v>15.853338113899429</v>
      </c>
      <c r="AP487">
        <v>104.58054456993594</v>
      </c>
      <c r="AQ487">
        <v>121.36623597181615</v>
      </c>
      <c r="AR487">
        <v>14.606100700285742</v>
      </c>
      <c r="AS487">
        <v>199.00590046427931</v>
      </c>
      <c r="AT487" t="e">
        <v>#DIV/0!</v>
      </c>
      <c r="AU487" t="e">
        <v>#DIV/0!</v>
      </c>
      <c r="AV487"/>
      <c r="AW487"/>
      <c r="FY487" s="213">
        <v>482</v>
      </c>
      <c r="FZ487">
        <v>23.388297675298094</v>
      </c>
      <c r="GA487">
        <v>29.563297867014665</v>
      </c>
      <c r="GB487">
        <v>9.2449887399161881</v>
      </c>
      <c r="GC487">
        <v>5.8354871510837576</v>
      </c>
      <c r="GD487">
        <v>1.8747843659927728</v>
      </c>
      <c r="GE487">
        <v>1.3714350540981373</v>
      </c>
      <c r="GF487">
        <v>3.3868530605294631</v>
      </c>
      <c r="GG487">
        <v>3.7666454907180071</v>
      </c>
      <c r="GH487">
        <v>1.5603693116103559</v>
      </c>
      <c r="GI487">
        <v>7.7116279682171749</v>
      </c>
      <c r="GJ487"/>
      <c r="GK487"/>
      <c r="GL487"/>
      <c r="GM487"/>
      <c r="GN487" s="208"/>
      <c r="GO487" s="208"/>
      <c r="GP487" s="208"/>
      <c r="GQ487" s="208"/>
      <c r="GR487" s="208"/>
      <c r="GS487" s="208"/>
      <c r="GT487" s="208"/>
      <c r="GU487" s="213">
        <v>482</v>
      </c>
    </row>
    <row r="488" spans="1:203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11.523073576873449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77.267548177538032</v>
      </c>
      <c r="AO488">
        <v>11.578285293890243</v>
      </c>
      <c r="AP488">
        <v>77.076926037274291</v>
      </c>
      <c r="AQ488">
        <v>89.25624453996231</v>
      </c>
      <c r="AR488">
        <v>10.704568659157722</v>
      </c>
      <c r="AS488">
        <v>129.81983701040531</v>
      </c>
      <c r="AT488">
        <v>7.0308222259869204</v>
      </c>
      <c r="AU488">
        <v>-16.025069476173389</v>
      </c>
      <c r="AV488"/>
      <c r="AW488"/>
      <c r="FY488" s="213">
        <v>483</v>
      </c>
      <c r="FZ488">
        <v>8.4079998076451172</v>
      </c>
      <c r="GA488">
        <v>9.8846232796647495</v>
      </c>
      <c r="GB488">
        <v>2.9565795933096886</v>
      </c>
      <c r="GC488">
        <v>2.763202720862961</v>
      </c>
      <c r="GD488">
        <v>2.0252326021932383</v>
      </c>
      <c r="GE488">
        <v>2.4004962517970143</v>
      </c>
      <c r="GF488">
        <v>3.5481947674053957</v>
      </c>
      <c r="GG488">
        <v>3.6900418478114752</v>
      </c>
      <c r="GH488">
        <v>2.7619779405139626</v>
      </c>
      <c r="GI488">
        <v>4.2374301053177046</v>
      </c>
      <c r="GJ488"/>
      <c r="GK488"/>
      <c r="GL488"/>
      <c r="GM488"/>
      <c r="GN488" s="208"/>
      <c r="GO488" s="208"/>
      <c r="GP488" s="208"/>
      <c r="GQ488" s="208"/>
      <c r="GR488" s="208"/>
      <c r="GS488" s="208"/>
      <c r="GT488" s="208"/>
      <c r="GU488" s="213">
        <v>483</v>
      </c>
    </row>
    <row r="489" spans="1:203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12.568428607117669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63.588979341736682</v>
      </c>
      <c r="AO489">
        <v>6.3586727043117302</v>
      </c>
      <c r="AP489">
        <v>26.91452122352613</v>
      </c>
      <c r="AQ489">
        <v>38.51749862950134</v>
      </c>
      <c r="AR489">
        <v>5.8780967308737866</v>
      </c>
      <c r="AS489">
        <v>92.001230548658313</v>
      </c>
      <c r="AT489">
        <v>3.7266846996681742</v>
      </c>
      <c r="AU489">
        <v>19.951273617162911</v>
      </c>
      <c r="AV489"/>
      <c r="AW489"/>
      <c r="FY489" s="213">
        <v>484</v>
      </c>
      <c r="FZ489">
        <v>21.163042517497765</v>
      </c>
      <c r="GA489">
        <v>28.187609430870296</v>
      </c>
      <c r="GB489">
        <v>10.607127760938814</v>
      </c>
      <c r="GC489">
        <v>6.4293078588442949</v>
      </c>
      <c r="GD489">
        <v>2.1200768337925959</v>
      </c>
      <c r="GE489">
        <v>2.2657161711980645</v>
      </c>
      <c r="GF489">
        <v>2.7813702505403191</v>
      </c>
      <c r="GG489">
        <v>3.1248990449243115</v>
      </c>
      <c r="GH489">
        <v>3.9635865694175694</v>
      </c>
      <c r="GI489">
        <v>8.1598162222320134</v>
      </c>
      <c r="GJ489"/>
      <c r="GK489"/>
      <c r="GL489"/>
      <c r="GM489"/>
      <c r="GN489" s="208"/>
      <c r="GO489" s="208"/>
      <c r="GP489" s="208"/>
      <c r="GQ489" s="208"/>
      <c r="GR489" s="208"/>
      <c r="GS489" s="208"/>
      <c r="GT489" s="208"/>
      <c r="GU489" s="213">
        <v>484</v>
      </c>
    </row>
    <row r="490" spans="1:203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13.636614694721723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91.388189307921806</v>
      </c>
      <c r="AO490">
        <v>13.774631174968892</v>
      </c>
      <c r="AP490">
        <v>60.87375910292301</v>
      </c>
      <c r="AQ490">
        <v>106.01698632770299</v>
      </c>
      <c r="AR490">
        <v>12.64815777556076</v>
      </c>
      <c r="AS490">
        <v>169.00527743394287</v>
      </c>
      <c r="AT490" t="e">
        <v>#DIV/0!</v>
      </c>
      <c r="AU490" t="e">
        <v>#DIV/0!</v>
      </c>
      <c r="AV490"/>
      <c r="AW490"/>
      <c r="FY490" s="213">
        <v>485</v>
      </c>
      <c r="FZ490">
        <v>15.524355336892492</v>
      </c>
      <c r="GA490">
        <v>17.203355211187482</v>
      </c>
      <c r="GB490">
        <v>5.9637179661737294</v>
      </c>
      <c r="GC490">
        <v>4.483986664648822</v>
      </c>
      <c r="GD490">
        <v>2.2659850845807372</v>
      </c>
      <c r="GE490">
        <v>2.7054306729975712</v>
      </c>
      <c r="GF490">
        <v>1.7313666696217054</v>
      </c>
      <c r="GG490">
        <v>2.2922647742157571</v>
      </c>
      <c r="GH490">
        <v>1.5603693116103559</v>
      </c>
      <c r="GI490">
        <v>5.6449098429795788</v>
      </c>
      <c r="GJ490"/>
      <c r="GK490"/>
      <c r="GL490"/>
      <c r="GM490"/>
      <c r="GN490" s="208"/>
      <c r="GO490" s="208"/>
      <c r="GP490" s="208"/>
      <c r="GQ490" s="208"/>
      <c r="GR490" s="208"/>
      <c r="GS490" s="208"/>
      <c r="GT490" s="208"/>
      <c r="GU490" s="213">
        <v>485</v>
      </c>
    </row>
    <row r="491" spans="1:203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14.795585521883805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66.25988098230745</v>
      </c>
      <c r="AO491">
        <v>8.91912531618466</v>
      </c>
      <c r="AP491">
        <v>42.489599357868279</v>
      </c>
      <c r="AQ491">
        <v>67.216561227941924</v>
      </c>
      <c r="AR491">
        <v>8.278509208291938</v>
      </c>
      <c r="AS491">
        <v>105.91002106552638</v>
      </c>
      <c r="AT491">
        <v>5.1179904641903473</v>
      </c>
      <c r="AU491">
        <v>12.626754978095782</v>
      </c>
      <c r="AV491"/>
      <c r="AW491"/>
      <c r="FY491" s="213">
        <v>486</v>
      </c>
      <c r="FZ491">
        <v>38.838720536135448</v>
      </c>
      <c r="GA491">
        <v>48.416473238572344</v>
      </c>
      <c r="GB491">
        <v>7.5988462372399885</v>
      </c>
      <c r="GC491">
        <v>5.1906260086271123</v>
      </c>
      <c r="GD491">
        <v>2.1605913875999523</v>
      </c>
      <c r="GE491">
        <v>1.4412661279111458</v>
      </c>
      <c r="GF491">
        <v>4.6554058072717233</v>
      </c>
      <c r="GG491">
        <v>3.9859458159313519</v>
      </c>
      <c r="GH491">
        <v>0</v>
      </c>
      <c r="GI491">
        <v>9.7680835376331423</v>
      </c>
      <c r="GJ491"/>
      <c r="GK491"/>
      <c r="GL491"/>
      <c r="GM491"/>
      <c r="GN491" s="208"/>
      <c r="GO491" s="208"/>
      <c r="GP491" s="208"/>
      <c r="GQ491" s="208"/>
      <c r="GR491" s="208"/>
      <c r="GS491" s="208"/>
      <c r="GT491" s="208"/>
      <c r="GU491" s="213">
        <v>486</v>
      </c>
    </row>
    <row r="492" spans="1:203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15.978363191904624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76.399607227580091</v>
      </c>
      <c r="AO492">
        <v>12.255121423064745</v>
      </c>
      <c r="AP492">
        <v>62.632081847903834</v>
      </c>
      <c r="AQ492">
        <v>93.985650893604799</v>
      </c>
      <c r="AR492">
        <v>11.257846540109867</v>
      </c>
      <c r="AS492">
        <v>136.55321560959408</v>
      </c>
      <c r="AT492" t="e">
        <v>#DIV/0!</v>
      </c>
      <c r="AU492" t="e">
        <v>#DIV/0!</v>
      </c>
      <c r="AV492"/>
      <c r="AW492"/>
      <c r="FY492" s="213">
        <v>487</v>
      </c>
      <c r="FZ492">
        <v>35.139497033501002</v>
      </c>
      <c r="GA492">
        <v>41.769836008495105</v>
      </c>
      <c r="GB492">
        <v>9.5409419838354399</v>
      </c>
      <c r="GC492">
        <v>6.3550083488298981</v>
      </c>
      <c r="GD492">
        <v>2.3039314534592683</v>
      </c>
      <c r="GE492">
        <v>2.960201404792778</v>
      </c>
      <c r="GF492">
        <v>5.1338375271671755</v>
      </c>
      <c r="GG492">
        <v>5.353544949899006</v>
      </c>
      <c r="GH492">
        <v>1.5603693116103559</v>
      </c>
      <c r="GI492">
        <v>10.083878785991567</v>
      </c>
      <c r="GJ492"/>
      <c r="GK492"/>
      <c r="GL492"/>
      <c r="GM492"/>
      <c r="GN492" s="208"/>
      <c r="GO492" s="208"/>
      <c r="GP492" s="208"/>
      <c r="GQ492" s="208"/>
      <c r="GR492" s="208"/>
      <c r="GS492" s="208"/>
      <c r="GT492" s="208"/>
      <c r="GU492" s="213">
        <v>487</v>
      </c>
    </row>
    <row r="493" spans="1:203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17.255693592848509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94.234504682362171</v>
      </c>
      <c r="AO493">
        <v>17.677579650326663</v>
      </c>
      <c r="AP493">
        <v>99.469977932533354</v>
      </c>
      <c r="AQ493">
        <v>146.27861449071389</v>
      </c>
      <c r="AR493">
        <v>16.110205941839993</v>
      </c>
      <c r="AS493">
        <v>184.52707608209346</v>
      </c>
      <c r="AT493" t="e">
        <v>#DIV/0!</v>
      </c>
      <c r="AU493" t="e">
        <v>#DIV/0!</v>
      </c>
      <c r="AV493"/>
      <c r="AW493"/>
      <c r="FY493" s="213">
        <v>488</v>
      </c>
      <c r="FZ493">
        <v>28.21913086169387</v>
      </c>
      <c r="GA493">
        <v>34.842231219105621</v>
      </c>
      <c r="GB493">
        <v>5.4728927298094048</v>
      </c>
      <c r="GC493">
        <v>3.536895847205427</v>
      </c>
      <c r="GD493">
        <v>2.1092020845608643</v>
      </c>
      <c r="GE493">
        <v>2.5123029516850743</v>
      </c>
      <c r="GF493">
        <v>2.192707820035328</v>
      </c>
      <c r="GG493">
        <v>1.4860843730170159</v>
      </c>
      <c r="GH493">
        <v>0.60080431445180338</v>
      </c>
      <c r="GI493">
        <v>7.2732962061517146</v>
      </c>
      <c r="GJ493"/>
      <c r="GK493"/>
      <c r="GL493"/>
      <c r="GM493"/>
      <c r="GN493" s="208"/>
      <c r="GO493" s="208"/>
      <c r="GP493" s="208"/>
      <c r="GQ493" s="208"/>
      <c r="GR493" s="208"/>
      <c r="GS493" s="208"/>
      <c r="GT493" s="208"/>
      <c r="GU493" s="213">
        <v>488</v>
      </c>
    </row>
    <row r="494" spans="1:203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18.557789101779392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78.461422073250162</v>
      </c>
      <c r="AO494">
        <v>10.937304072834451</v>
      </c>
      <c r="AP494">
        <v>56.436034681914002</v>
      </c>
      <c r="AQ494">
        <v>79.320130824127034</v>
      </c>
      <c r="AR494">
        <v>10.237022810867368</v>
      </c>
      <c r="AS494">
        <v>141.94868648335239</v>
      </c>
      <c r="AT494" t="e">
        <v>#DIV/0!</v>
      </c>
      <c r="AU494" t="e">
        <v>#DIV/0!</v>
      </c>
      <c r="AV494"/>
      <c r="AW494"/>
      <c r="FY494" s="213">
        <v>489</v>
      </c>
      <c r="FZ494">
        <v>20.833744520446569</v>
      </c>
      <c r="GA494">
        <v>24.025972688450736</v>
      </c>
      <c r="GB494">
        <v>10.50142085780446</v>
      </c>
      <c r="GC494">
        <v>7.0153720003198936</v>
      </c>
      <c r="GD494">
        <v>2.692400456444616</v>
      </c>
      <c r="GE494">
        <v>3.6115774839993757</v>
      </c>
      <c r="GF494">
        <v>3.0468462053444716</v>
      </c>
      <c r="GG494">
        <v>2.3419145057782287</v>
      </c>
      <c r="GH494">
        <v>0.60080431445180338</v>
      </c>
      <c r="GI494">
        <v>7.9184653967825662</v>
      </c>
      <c r="GJ494"/>
      <c r="GK494"/>
      <c r="GL494"/>
      <c r="GM494"/>
      <c r="GN494" s="208"/>
      <c r="GO494" s="208"/>
      <c r="GP494" s="208"/>
      <c r="GQ494" s="208"/>
      <c r="GR494" s="208"/>
      <c r="GS494" s="208"/>
      <c r="GT494" s="208"/>
      <c r="GU494" s="213">
        <v>489</v>
      </c>
    </row>
    <row r="495" spans="1:203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19.958139294316886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80.958395144456247</v>
      </c>
      <c r="AO495">
        <v>12.747085679690812</v>
      </c>
      <c r="AP495">
        <v>81.126990561330416</v>
      </c>
      <c r="AQ495">
        <v>97.029972405001459</v>
      </c>
      <c r="AR495">
        <v>11.762444931573832</v>
      </c>
      <c r="AS495">
        <v>141.06386034425489</v>
      </c>
      <c r="AT495" t="e">
        <v>#DIV/0!</v>
      </c>
      <c r="AU495" t="e">
        <v>#DIV/0!</v>
      </c>
      <c r="AV495"/>
      <c r="AW495"/>
      <c r="FY495" s="213">
        <v>490</v>
      </c>
      <c r="FZ495">
        <v>29.056468850468672</v>
      </c>
      <c r="GA495">
        <v>35.477482318188812</v>
      </c>
      <c r="GB495">
        <v>9.2725831128013159</v>
      </c>
      <c r="GC495">
        <v>5.7532581077069045</v>
      </c>
      <c r="GD495">
        <v>1.7997973555924631</v>
      </c>
      <c r="GE495">
        <v>1.372736045576807</v>
      </c>
      <c r="GF495">
        <v>2.1828068178843791</v>
      </c>
      <c r="GG495">
        <v>3.9155974473869026</v>
      </c>
      <c r="GH495">
        <v>4.3223472521243185</v>
      </c>
      <c r="GI495">
        <v>8.7914816743480415</v>
      </c>
      <c r="GJ495"/>
      <c r="GK495"/>
      <c r="GL495"/>
      <c r="GM495"/>
      <c r="GN495" s="208"/>
      <c r="GO495" s="208"/>
      <c r="GP495" s="208"/>
      <c r="GQ495" s="208"/>
      <c r="GR495" s="208"/>
      <c r="GS495" s="208"/>
      <c r="GT495" s="208"/>
      <c r="GU495" s="213">
        <v>490</v>
      </c>
    </row>
    <row r="496" spans="1:203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21.384196596249993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104.10844873869087</v>
      </c>
      <c r="AO496">
        <v>14.80710715215678</v>
      </c>
      <c r="AP496">
        <v>114.74775756471567</v>
      </c>
      <c r="AQ496">
        <v>117.56087325018673</v>
      </c>
      <c r="AR496">
        <v>13.58270139568404</v>
      </c>
      <c r="AS496">
        <v>170.05113248645</v>
      </c>
      <c r="AT496" t="e">
        <v>#DIV/0!</v>
      </c>
      <c r="AU496" t="e">
        <v>#DIV/0!</v>
      </c>
      <c r="AV496"/>
      <c r="AW496"/>
      <c r="FY496" s="213">
        <v>491</v>
      </c>
      <c r="FZ496">
        <v>9.5724137748281422</v>
      </c>
      <c r="GA496">
        <v>9.6286773558438572</v>
      </c>
      <c r="GB496">
        <v>7.9999306641356798</v>
      </c>
      <c r="GC496">
        <v>5.7741105497812732</v>
      </c>
      <c r="GD496">
        <v>2.1977499652136343</v>
      </c>
      <c r="GE496">
        <v>2.3662870796375142</v>
      </c>
      <c r="GF496">
        <v>4.5964193059744094</v>
      </c>
      <c r="GG496">
        <v>3.4450144563016396</v>
      </c>
      <c r="GH496">
        <v>0.60080431445180338</v>
      </c>
      <c r="GI496">
        <v>5.6941433835489823</v>
      </c>
      <c r="GJ496"/>
      <c r="GK496"/>
      <c r="GL496"/>
      <c r="GM496"/>
      <c r="GN496" s="208"/>
      <c r="GO496" s="208"/>
      <c r="GP496" s="208"/>
      <c r="GQ496" s="208"/>
      <c r="GR496" s="208"/>
      <c r="GS496" s="208"/>
      <c r="GT496" s="208"/>
      <c r="GU496" s="213">
        <v>491</v>
      </c>
    </row>
    <row r="497" spans="1:203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22.912149139939221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102.31766472835818</v>
      </c>
      <c r="AO497">
        <v>15.992083264631342</v>
      </c>
      <c r="AP497">
        <v>80.218656529342056</v>
      </c>
      <c r="AQ497">
        <v>127.10656376103323</v>
      </c>
      <c r="AR497">
        <v>14.718973277119098</v>
      </c>
      <c r="AS497">
        <v>194.18698287663133</v>
      </c>
      <c r="AT497" t="e">
        <v>#DIV/0!</v>
      </c>
      <c r="AU497" t="e">
        <v>#DIV/0!</v>
      </c>
      <c r="AV497"/>
      <c r="AW497"/>
      <c r="FY497" s="213">
        <v>492</v>
      </c>
      <c r="FZ497">
        <v>33.211211210790424</v>
      </c>
      <c r="GA497">
        <v>40.996078694001213</v>
      </c>
      <c r="GB497">
        <v>6.3192487264560935</v>
      </c>
      <c r="GC497">
        <v>3.6866503055726216</v>
      </c>
      <c r="GD497">
        <v>1.4868535650819659</v>
      </c>
      <c r="GE497">
        <v>1.8893072502870976</v>
      </c>
      <c r="GF497">
        <v>5.9778047203276934</v>
      </c>
      <c r="GG497">
        <v>8.0330363309445474</v>
      </c>
      <c r="GH497">
        <v>4.6811079348310667</v>
      </c>
      <c r="GI497">
        <v>9.1926307602419186</v>
      </c>
      <c r="GJ497"/>
      <c r="GK497"/>
      <c r="GL497"/>
      <c r="GM497"/>
      <c r="GN497" s="208"/>
      <c r="GO497" s="208"/>
      <c r="GP497" s="208"/>
      <c r="GQ497" s="208"/>
      <c r="GR497" s="208"/>
      <c r="GS497" s="208"/>
      <c r="GT497" s="208"/>
      <c r="GU497" s="213">
        <v>492</v>
      </c>
    </row>
    <row r="498" spans="1:203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24.466735636946694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90.388437759792964</v>
      </c>
      <c r="AO498">
        <v>11.565412563961733</v>
      </c>
      <c r="AP498">
        <v>52.350680447185269</v>
      </c>
      <c r="AQ498">
        <v>87.703786684478615</v>
      </c>
      <c r="AR498">
        <v>10.639777220099706</v>
      </c>
      <c r="AS498">
        <v>138.12372258152129</v>
      </c>
      <c r="AT498" t="e">
        <v>#DIV/0!</v>
      </c>
      <c r="AU498" t="e">
        <v>#DIV/0!</v>
      </c>
      <c r="AV498"/>
      <c r="AW498"/>
      <c r="FY498" s="213">
        <v>493</v>
      </c>
      <c r="FZ498">
        <v>13.37641789110476</v>
      </c>
      <c r="GA498">
        <v>18.747086983108797</v>
      </c>
      <c r="GB498">
        <v>4.4059412533303046</v>
      </c>
      <c r="GC498">
        <v>2.942568584917074</v>
      </c>
      <c r="GD498">
        <v>1.690166324866156</v>
      </c>
      <c r="GE498">
        <v>1.4512843148533725</v>
      </c>
      <c r="GF498">
        <v>3.2150338916211254</v>
      </c>
      <c r="GG498">
        <v>2.5038512361125935</v>
      </c>
      <c r="GH498">
        <v>1.8024129433554106</v>
      </c>
      <c r="GI498">
        <v>4.9436789344638061</v>
      </c>
      <c r="GJ498"/>
      <c r="GK498"/>
      <c r="GL498"/>
      <c r="GM498"/>
      <c r="GN498" s="208"/>
      <c r="GO498" s="208"/>
      <c r="GP498" s="208"/>
      <c r="GQ498" s="208"/>
      <c r="GR498" s="208"/>
      <c r="GS498" s="208"/>
      <c r="GT498" s="208"/>
      <c r="GU498" s="213">
        <v>493</v>
      </c>
    </row>
    <row r="499" spans="1:203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26.126800636294448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54.78113134142545</v>
      </c>
      <c r="AO499">
        <v>6.2076807698790644</v>
      </c>
      <c r="AP499">
        <v>37.260120087911616</v>
      </c>
      <c r="AQ499">
        <v>42.67577891652131</v>
      </c>
      <c r="AR499">
        <v>5.829377783714631</v>
      </c>
      <c r="AS499">
        <v>80.59318075948805</v>
      </c>
      <c r="AT499">
        <v>3.9966254897831455</v>
      </c>
      <c r="AU499">
        <v>12.381255428445877</v>
      </c>
      <c r="AV499"/>
      <c r="AW499"/>
      <c r="FY499" s="213">
        <v>494</v>
      </c>
      <c r="FZ499">
        <v>43.527695502460681</v>
      </c>
      <c r="GA499">
        <v>57.561606593813963</v>
      </c>
      <c r="GB499">
        <v>9.7958753179743869</v>
      </c>
      <c r="GC499">
        <v>4.6162380346970666</v>
      </c>
      <c r="GD499">
        <v>2.1628380247863368</v>
      </c>
      <c r="GE499">
        <v>2.7192561065060294</v>
      </c>
      <c r="GF499">
        <v>3.2150338916211263</v>
      </c>
      <c r="GG499">
        <v>6.1507098905664561</v>
      </c>
      <c r="GH499">
        <v>5.2819122492828701</v>
      </c>
      <c r="GI499">
        <v>11.677426207062515</v>
      </c>
      <c r="GJ499"/>
      <c r="GK499"/>
      <c r="GL499"/>
      <c r="GM499"/>
      <c r="GN499" s="208"/>
      <c r="GO499" s="208"/>
      <c r="GP499" s="208"/>
      <c r="GQ499" s="208"/>
      <c r="GR499" s="208"/>
      <c r="GS499" s="208"/>
      <c r="GT499" s="208"/>
      <c r="GU499" s="213">
        <v>494</v>
      </c>
    </row>
    <row r="500" spans="1:203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27.81441225569537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96.481316836711102</v>
      </c>
      <c r="AO500">
        <v>12.095596389901797</v>
      </c>
      <c r="AP500">
        <v>60.849837765847433</v>
      </c>
      <c r="AQ500">
        <v>88.80255266025604</v>
      </c>
      <c r="AR500">
        <v>11.273232727881915</v>
      </c>
      <c r="AS500">
        <v>153.77111375239252</v>
      </c>
      <c r="AT500">
        <v>7.5910485529450265</v>
      </c>
      <c r="AU500">
        <v>11.100569323293772</v>
      </c>
      <c r="AV500"/>
      <c r="AW500"/>
      <c r="FY500" s="213">
        <v>495</v>
      </c>
      <c r="FZ500">
        <v>36.3585661416151</v>
      </c>
      <c r="GA500">
        <v>46.741717116402896</v>
      </c>
      <c r="GB500">
        <v>6.8583594337505751</v>
      </c>
      <c r="GC500">
        <v>3.5879313747710548</v>
      </c>
      <c r="GD500">
        <v>1.9832526119248557</v>
      </c>
      <c r="GE500">
        <v>2.4308276307399992</v>
      </c>
      <c r="GF500">
        <v>3.249324508403368</v>
      </c>
      <c r="GG500">
        <v>5.5284352367071685</v>
      </c>
      <c r="GH500">
        <v>7.0843251926382802</v>
      </c>
      <c r="GI500">
        <v>10.025670527537134</v>
      </c>
      <c r="GJ500"/>
      <c r="GK500"/>
      <c r="GL500"/>
      <c r="GM500"/>
      <c r="GN500" s="208"/>
      <c r="GO500" s="208"/>
      <c r="GP500" s="208"/>
      <c r="GQ500" s="208"/>
      <c r="GR500" s="208"/>
      <c r="GS500" s="208"/>
      <c r="GT500" s="208"/>
      <c r="GU500" s="213">
        <v>495</v>
      </c>
    </row>
    <row r="501" spans="1:203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29.611031978215532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68.590315559984674</v>
      </c>
      <c r="AO501">
        <v>8.3621564418597973</v>
      </c>
      <c r="AP501">
        <v>48.37067045875574</v>
      </c>
      <c r="AQ501">
        <v>59.375741534908244</v>
      </c>
      <c r="AR501">
        <v>7.7340584447911755</v>
      </c>
      <c r="AS501">
        <v>114.33789462308023</v>
      </c>
      <c r="AT501" t="e">
        <v>#DIV/0!</v>
      </c>
      <c r="AU501" t="e">
        <v>#DIV/0!</v>
      </c>
      <c r="AV501"/>
      <c r="AW501"/>
      <c r="FY501" s="213">
        <v>496</v>
      </c>
      <c r="FZ501">
        <v>25.286516726273081</v>
      </c>
      <c r="GA501">
        <v>32.434623278161666</v>
      </c>
      <c r="GB501">
        <v>8.1410537780273753</v>
      </c>
      <c r="GC501">
        <v>4.815999634260141</v>
      </c>
      <c r="GD501">
        <v>1.7299950325525231</v>
      </c>
      <c r="GE501">
        <v>1.5731704587706319</v>
      </c>
      <c r="GF501">
        <v>2.1737287303853163</v>
      </c>
      <c r="GG501">
        <v>2.7488786276224295</v>
      </c>
      <c r="GH501">
        <v>1.5603693116103559</v>
      </c>
      <c r="GI501">
        <v>7.4282994617529532</v>
      </c>
      <c r="GJ501"/>
      <c r="GK501"/>
      <c r="GL501"/>
      <c r="GM501"/>
      <c r="GN501" s="208"/>
      <c r="GO501" s="208"/>
      <c r="GP501" s="208"/>
      <c r="GQ501" s="208"/>
      <c r="GR501" s="208"/>
      <c r="GS501" s="208"/>
      <c r="GT501" s="208"/>
      <c r="GU501" s="213">
        <v>496</v>
      </c>
    </row>
    <row r="502" spans="1:203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31.436097684244807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85.055605545710748</v>
      </c>
      <c r="AO502">
        <v>14.7865099887974</v>
      </c>
      <c r="AP502">
        <v>86.24014673716583</v>
      </c>
      <c r="AQ502">
        <v>122.0559586969222</v>
      </c>
      <c r="AR502">
        <v>13.50405975895767</v>
      </c>
      <c r="AS502">
        <v>154.467910708852</v>
      </c>
      <c r="AT502" t="e">
        <v>#DIV/0!</v>
      </c>
      <c r="AU502" t="e">
        <v>#DIV/0!</v>
      </c>
      <c r="AV502"/>
      <c r="AW502"/>
      <c r="FY502" s="213">
        <v>497</v>
      </c>
      <c r="FZ502">
        <v>45.772024278152848</v>
      </c>
      <c r="GA502">
        <v>58.071226133333184</v>
      </c>
      <c r="GB502">
        <v>15.193562895078539</v>
      </c>
      <c r="GC502">
        <v>8.646182518731294</v>
      </c>
      <c r="GD502">
        <v>2.3559768959601</v>
      </c>
      <c r="GE502">
        <v>2.0641720860637589</v>
      </c>
      <c r="GF502">
        <v>3.9108121948720811</v>
      </c>
      <c r="GG502">
        <v>4.222243762919887</v>
      </c>
      <c r="GH502">
        <v>1.5603693116103559</v>
      </c>
      <c r="GI502">
        <v>12.923276463269968</v>
      </c>
      <c r="GJ502"/>
      <c r="GK502"/>
      <c r="GL502"/>
      <c r="GM502"/>
      <c r="GN502" s="208"/>
      <c r="GO502" s="208"/>
      <c r="GP502" s="208"/>
      <c r="GQ502" s="208"/>
      <c r="GR502" s="208"/>
      <c r="GS502" s="208"/>
      <c r="GT502" s="208"/>
      <c r="GU502" s="213">
        <v>497</v>
      </c>
    </row>
    <row r="503" spans="1:203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33.373650683313194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110.686531106327</v>
      </c>
      <c r="AO503">
        <v>15.235064206875833</v>
      </c>
      <c r="AP503">
        <v>94.865189297058095</v>
      </c>
      <c r="AQ503">
        <v>120.2010468075816</v>
      </c>
      <c r="AR503">
        <v>13.863317748264601</v>
      </c>
      <c r="AS503">
        <v>176.33955932490301</v>
      </c>
      <c r="AT503" t="e">
        <v>#DIV/0!</v>
      </c>
      <c r="AU503" t="e">
        <v>#DIV/0!</v>
      </c>
      <c r="AV503"/>
      <c r="AW503"/>
      <c r="FY503" s="213">
        <v>498</v>
      </c>
      <c r="FZ503">
        <v>28.64178090855544</v>
      </c>
      <c r="GA503">
        <v>41.202730194557532</v>
      </c>
      <c r="GB503">
        <v>9.2147019390670799</v>
      </c>
      <c r="GC503">
        <v>4.5872243535240029</v>
      </c>
      <c r="GD503">
        <v>2.3253573499988938</v>
      </c>
      <c r="GE503">
        <v>1.969877385149772</v>
      </c>
      <c r="GF503">
        <v>7.6811142128003222</v>
      </c>
      <c r="GG503">
        <v>6.3143912258652364</v>
      </c>
      <c r="GH503">
        <v>0</v>
      </c>
      <c r="GI503">
        <v>9.3663618807704516</v>
      </c>
      <c r="GJ503"/>
      <c r="GK503"/>
      <c r="GL503"/>
      <c r="GM503"/>
      <c r="GN503" s="208"/>
      <c r="GO503" s="208"/>
      <c r="GP503" s="208"/>
      <c r="GQ503" s="208"/>
      <c r="GR503" s="208"/>
      <c r="GS503" s="208"/>
      <c r="GT503" s="208"/>
      <c r="GU503" s="213">
        <v>498</v>
      </c>
    </row>
    <row r="504" spans="1:203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35.340536509365528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77.01144688644689</v>
      </c>
      <c r="AO504">
        <v>10.812587898686235</v>
      </c>
      <c r="AP504">
        <v>89.999225260179657</v>
      </c>
      <c r="AQ504">
        <v>88.245548407716129</v>
      </c>
      <c r="AR504">
        <v>10.010690014459412</v>
      </c>
      <c r="AS504">
        <v>126.85091420066784</v>
      </c>
      <c r="AT504" t="e">
        <v>#DIV/0!</v>
      </c>
      <c r="AU504" t="e">
        <v>#DIV/0!</v>
      </c>
      <c r="AV504"/>
      <c r="AW504"/>
      <c r="FY504" s="213">
        <v>499</v>
      </c>
      <c r="FZ504">
        <v>37.014820325422633</v>
      </c>
      <c r="GA504">
        <v>45.637130656923055</v>
      </c>
      <c r="GB504">
        <v>8.5148426673229523</v>
      </c>
      <c r="GC504">
        <v>5.1849231133795444</v>
      </c>
      <c r="GD504">
        <v>1.5959269461451362</v>
      </c>
      <c r="GE504">
        <v>0.92327365825879115</v>
      </c>
      <c r="GF504">
        <v>1.7400650893045093</v>
      </c>
      <c r="GG504">
        <v>1.477354928495715</v>
      </c>
      <c r="GH504">
        <v>0</v>
      </c>
      <c r="GI504">
        <v>8.8782213275993644</v>
      </c>
      <c r="GJ504"/>
      <c r="GK504"/>
      <c r="GL504"/>
      <c r="GM504"/>
      <c r="GN504" s="208"/>
      <c r="GO504" s="208"/>
      <c r="GP504" s="208"/>
      <c r="GQ504" s="208"/>
      <c r="GR504" s="208"/>
      <c r="GS504" s="208"/>
      <c r="GT504" s="208"/>
      <c r="GU504" s="213">
        <v>499</v>
      </c>
    </row>
    <row r="505" spans="1:203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37.423341324605943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82.089393999200041</v>
      </c>
      <c r="AO505">
        <v>11.881140662948731</v>
      </c>
      <c r="AP505">
        <v>79.373366262954534</v>
      </c>
      <c r="AQ505">
        <v>82.588518429822713</v>
      </c>
      <c r="AR505">
        <v>10.920422815509244</v>
      </c>
      <c r="AS505">
        <v>139.56115711512643</v>
      </c>
      <c r="AT505" t="e">
        <v>#DIV/0!</v>
      </c>
      <c r="AU505" t="e">
        <v>#DIV/0!</v>
      </c>
      <c r="AV505"/>
      <c r="AW505"/>
      <c r="FY505" s="213">
        <v>500</v>
      </c>
      <c r="FZ505">
        <v>34.370887882797774</v>
      </c>
      <c r="GA505">
        <v>44.193353056164895</v>
      </c>
      <c r="GB505">
        <v>13.01556124958255</v>
      </c>
      <c r="GC505">
        <v>7.9101357438862907</v>
      </c>
      <c r="GD505">
        <v>2.5502501834146631</v>
      </c>
      <c r="GE505">
        <v>1.6460524645625396</v>
      </c>
      <c r="GF505">
        <v>2.1581109333693083</v>
      </c>
      <c r="GG505">
        <v>2.6722749847158975</v>
      </c>
      <c r="GH505">
        <v>2.1611736260621592</v>
      </c>
      <c r="GI505">
        <v>10.599313890405236</v>
      </c>
      <c r="GJ505"/>
      <c r="GK505"/>
      <c r="GL505"/>
      <c r="GM505"/>
      <c r="GN505" s="208"/>
      <c r="GO505" s="208"/>
      <c r="GP505" s="208"/>
      <c r="GQ505" s="208"/>
      <c r="GR505" s="208"/>
      <c r="GS505" s="208"/>
      <c r="GT505" s="208"/>
      <c r="GU505" s="213">
        <v>500</v>
      </c>
    </row>
    <row r="506" spans="1:203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39.53635399587737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91.947871926548402</v>
      </c>
      <c r="AO506">
        <v>13.109000580383945</v>
      </c>
      <c r="AP506">
        <v>70.242003775840288</v>
      </c>
      <c r="AQ506">
        <v>101.9445589820786</v>
      </c>
      <c r="AR506">
        <v>12.213502259581336</v>
      </c>
      <c r="AS506">
        <v>161.62011993268632</v>
      </c>
      <c r="AT506">
        <v>7.8437269257614668</v>
      </c>
      <c r="AU506">
        <v>21.497370660022906</v>
      </c>
      <c r="AV506"/>
      <c r="AW506"/>
      <c r="FY506" s="213">
        <v>501</v>
      </c>
      <c r="FZ506">
        <v>25.903946500230781</v>
      </c>
      <c r="GA506">
        <v>33.249082978838096</v>
      </c>
      <c r="GB506">
        <v>9.9279536699375743</v>
      </c>
      <c r="GC506">
        <v>5.2521593961680839</v>
      </c>
      <c r="GD506">
        <v>1.981106483144885</v>
      </c>
      <c r="GE506">
        <v>1.8466770399637964</v>
      </c>
      <c r="GF506">
        <v>1.9395617675456618</v>
      </c>
      <c r="GG506">
        <v>1.3930374222726751</v>
      </c>
      <c r="GH506">
        <v>0.60080431445180338</v>
      </c>
      <c r="GI506">
        <v>7.9341283024877347</v>
      </c>
      <c r="GJ506"/>
      <c r="GK506"/>
      <c r="GL506"/>
      <c r="GM506"/>
      <c r="GN506" s="208"/>
      <c r="GO506" s="208"/>
      <c r="GP506" s="208"/>
      <c r="GQ506" s="208"/>
      <c r="GR506" s="208"/>
      <c r="GS506" s="208"/>
      <c r="GT506" s="208"/>
      <c r="GU506" s="213">
        <v>501</v>
      </c>
    </row>
    <row r="507" spans="1:203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41.768672490491134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51.751903998778985</v>
      </c>
      <c r="AO507">
        <v>8.4057616579597187</v>
      </c>
      <c r="AP507">
        <v>64.056038228349735</v>
      </c>
      <c r="AQ507">
        <v>51.875550849716937</v>
      </c>
      <c r="AR507">
        <v>7.8822342138172763</v>
      </c>
      <c r="AS507">
        <v>101.79412563446276</v>
      </c>
      <c r="AT507" t="e">
        <v>#DIV/0!</v>
      </c>
      <c r="AU507" t="e">
        <v>#DIV/0!</v>
      </c>
      <c r="AV507"/>
      <c r="AW507"/>
      <c r="FY507" s="213">
        <v>502</v>
      </c>
      <c r="FZ507">
        <v>35.285281727370574</v>
      </c>
      <c r="GA507">
        <v>49.298749455644774</v>
      </c>
      <c r="GB507">
        <v>11.059082664002108</v>
      </c>
      <c r="GC507">
        <v>5.0200526289278287</v>
      </c>
      <c r="GD507">
        <v>2.0891664717878733</v>
      </c>
      <c r="GE507">
        <v>2.3194979597097882</v>
      </c>
      <c r="GF507">
        <v>6.4650082578384325</v>
      </c>
      <c r="GG507">
        <v>6.6737027993833999</v>
      </c>
      <c r="GH507">
        <v>2.1611736260621592</v>
      </c>
      <c r="GI507">
        <v>10.743836479042603</v>
      </c>
      <c r="GJ507"/>
      <c r="GK507"/>
      <c r="GL507"/>
      <c r="GM507"/>
      <c r="GN507" s="208"/>
      <c r="GO507" s="208"/>
      <c r="GP507" s="208"/>
      <c r="GQ507" s="208"/>
      <c r="GR507" s="208"/>
      <c r="GS507" s="208"/>
      <c r="GT507" s="208"/>
      <c r="GU507" s="213">
        <v>502</v>
      </c>
    </row>
    <row r="508" spans="1:203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44.032062694153204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84.522630881486094</v>
      </c>
      <c r="AO508">
        <v>13.835923316198299</v>
      </c>
      <c r="AP508">
        <v>68.7007422811742</v>
      </c>
      <c r="AQ508">
        <v>115.47392949853466</v>
      </c>
      <c r="AR508">
        <v>12.679569043592418</v>
      </c>
      <c r="AS508">
        <v>161.95301518977294</v>
      </c>
      <c r="AT508" t="e">
        <v>#DIV/0!</v>
      </c>
      <c r="AU508" t="e">
        <v>#DIV/0!</v>
      </c>
      <c r="AV508"/>
      <c r="AW508"/>
      <c r="FY508" s="213">
        <v>503</v>
      </c>
      <c r="FZ508">
        <v>30.693249029556732</v>
      </c>
      <c r="GA508">
        <v>35.569782981904417</v>
      </c>
      <c r="GB508">
        <v>5.214191794789067</v>
      </c>
      <c r="GC508">
        <v>4.4246977483938386</v>
      </c>
      <c r="GD508">
        <v>2.5288535616317973</v>
      </c>
      <c r="GE508">
        <v>2.4477536612448709</v>
      </c>
      <c r="GF508">
        <v>3.3803133510125187</v>
      </c>
      <c r="GG508">
        <v>5.0176818167055206</v>
      </c>
      <c r="GH508">
        <v>4.3223472521243185</v>
      </c>
      <c r="GI508">
        <v>8.6258771504001537</v>
      </c>
      <c r="GJ508"/>
      <c r="GK508"/>
      <c r="GL508"/>
      <c r="GM508"/>
      <c r="GN508" s="208"/>
      <c r="GO508" s="208"/>
      <c r="GP508" s="208"/>
      <c r="GQ508" s="208"/>
      <c r="GR508" s="208"/>
      <c r="GS508" s="208"/>
      <c r="GT508" s="208"/>
      <c r="GU508" s="213">
        <v>503</v>
      </c>
    </row>
    <row r="509" spans="1:203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46.418103078167533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64.055261078790494</v>
      </c>
      <c r="AO509">
        <v>7.2331855554809792</v>
      </c>
      <c r="AP509">
        <v>58.954356659308814</v>
      </c>
      <c r="AQ509">
        <v>55.078442357733408</v>
      </c>
      <c r="AR509">
        <v>6.803991781262746</v>
      </c>
      <c r="AS509">
        <v>103.96631228754912</v>
      </c>
      <c r="AT509" t="e">
        <v>#DIV/0!</v>
      </c>
      <c r="AU509" t="e">
        <v>#DIV/0!</v>
      </c>
      <c r="AV509"/>
      <c r="AW509"/>
      <c r="FY509" s="213">
        <v>504</v>
      </c>
      <c r="FZ509">
        <v>44.240437536187088</v>
      </c>
      <c r="GA509">
        <v>52.723781119244506</v>
      </c>
      <c r="GB509">
        <v>9.4927411981723928</v>
      </c>
      <c r="GC509">
        <v>6.3221537577558422</v>
      </c>
      <c r="GD509">
        <v>2.6706809397686215</v>
      </c>
      <c r="GE509">
        <v>2.880199049078767</v>
      </c>
      <c r="GF509">
        <v>3.2150338916211263</v>
      </c>
      <c r="GG509">
        <v>2.2333855562977378</v>
      </c>
      <c r="GH509">
        <v>0</v>
      </c>
      <c r="GI509">
        <v>11.105237117946958</v>
      </c>
      <c r="GJ509"/>
      <c r="GK509"/>
      <c r="GL509"/>
      <c r="GM509"/>
      <c r="GN509" s="208"/>
      <c r="GO509" s="208"/>
      <c r="GP509" s="208"/>
      <c r="GQ509" s="208"/>
      <c r="GR509" s="208"/>
      <c r="GS509" s="208"/>
      <c r="GT509" s="208"/>
      <c r="GU509" s="213">
        <v>504</v>
      </c>
    </row>
    <row r="510" spans="1:203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48.836068428246357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104.26217773028748</v>
      </c>
      <c r="AO510">
        <v>17.749863959225635</v>
      </c>
      <c r="AP510">
        <v>108.54108201382085</v>
      </c>
      <c r="AQ510">
        <v>146.70859181877145</v>
      </c>
      <c r="AR510">
        <v>16.264564545844461</v>
      </c>
      <c r="AS510">
        <v>195.32878864550048</v>
      </c>
      <c r="AT510">
        <v>10.309457059964499</v>
      </c>
      <c r="AU510">
        <v>20.06027504262466</v>
      </c>
      <c r="AV510"/>
      <c r="AW510"/>
      <c r="FY510" s="213">
        <v>505</v>
      </c>
      <c r="FZ510">
        <v>28.724181200929529</v>
      </c>
      <c r="GA510">
        <v>31.819249860189057</v>
      </c>
      <c r="GB510">
        <v>8.666531365684234</v>
      </c>
      <c r="GC510">
        <v>5.5328174256621523</v>
      </c>
      <c r="GD510">
        <v>1.3753535492697628</v>
      </c>
      <c r="GE510">
        <v>1.5999664297331981</v>
      </c>
      <c r="GF510">
        <v>3.4215233451279641</v>
      </c>
      <c r="GG510">
        <v>2.7219247162783691</v>
      </c>
      <c r="GH510">
        <v>0</v>
      </c>
      <c r="GI510">
        <v>7.8114843893972274</v>
      </c>
      <c r="GJ510"/>
      <c r="GK510"/>
      <c r="GL510"/>
      <c r="GM510"/>
      <c r="GN510" s="208"/>
      <c r="GO510" s="208"/>
      <c r="GP510" s="208"/>
      <c r="GQ510" s="208"/>
      <c r="GR510" s="208"/>
      <c r="GS510" s="208"/>
      <c r="GT510" s="208"/>
      <c r="GU510" s="213">
        <v>505</v>
      </c>
    </row>
    <row r="511" spans="1:203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51.37998800838789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78.231527194210997</v>
      </c>
      <c r="AO511">
        <v>14.913056817789149</v>
      </c>
      <c r="AP511">
        <v>126.88447778727621</v>
      </c>
      <c r="AQ511">
        <v>123.84840977449042</v>
      </c>
      <c r="AR511">
        <v>13.964547684436761</v>
      </c>
      <c r="AS511">
        <v>157.99017081356834</v>
      </c>
      <c r="AT511">
        <v>9.3540584922696688</v>
      </c>
      <c r="AU511">
        <v>39.785180332293123</v>
      </c>
      <c r="AV511"/>
      <c r="AW511"/>
      <c r="FY511" s="213">
        <v>506</v>
      </c>
      <c r="FZ511">
        <v>33.80413571613569</v>
      </c>
      <c r="GA511">
        <v>39.316843143178339</v>
      </c>
      <c r="GB511">
        <v>4.1565095678205033</v>
      </c>
      <c r="GC511">
        <v>4.1638612478900017</v>
      </c>
      <c r="GD511">
        <v>2.21353787950112</v>
      </c>
      <c r="GE511">
        <v>1.7886547162651605</v>
      </c>
      <c r="GF511">
        <v>3.3053293848829375</v>
      </c>
      <c r="GG511">
        <v>6.1235447153796194</v>
      </c>
      <c r="GH511">
        <v>5.2819122492828701</v>
      </c>
      <c r="GI511">
        <v>8.8086838825775615</v>
      </c>
      <c r="GJ511"/>
      <c r="GK511"/>
      <c r="GL511"/>
      <c r="GM511"/>
      <c r="GN511" s="208"/>
      <c r="GO511" s="208"/>
      <c r="GP511" s="208"/>
      <c r="GQ511" s="208"/>
      <c r="GR511" s="208"/>
      <c r="GS511" s="208"/>
      <c r="GT511" s="208"/>
      <c r="GU511" s="213">
        <v>506</v>
      </c>
    </row>
    <row r="512" spans="1:203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53.956675744617755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83.20468727684117</v>
      </c>
      <c r="AO512">
        <v>11.170423971584322</v>
      </c>
      <c r="AP512">
        <v>51.713261500058771</v>
      </c>
      <c r="AQ512">
        <v>87.892635039416476</v>
      </c>
      <c r="AR512">
        <v>10.254177924819833</v>
      </c>
      <c r="AS512">
        <v>139.52049942091463</v>
      </c>
      <c r="AT512" t="e">
        <v>#DIV/0!</v>
      </c>
      <c r="AU512" t="e">
        <v>#DIV/0!</v>
      </c>
      <c r="AV512"/>
      <c r="AW512"/>
      <c r="FY512" s="213">
        <v>507</v>
      </c>
      <c r="FZ512">
        <v>25.729539377766148</v>
      </c>
      <c r="GA512">
        <v>31.156365869877966</v>
      </c>
      <c r="GB512">
        <v>9.3818417040147004</v>
      </c>
      <c r="GC512">
        <v>5.5175900374184712</v>
      </c>
      <c r="GD512">
        <v>2.022506336790391</v>
      </c>
      <c r="GE512">
        <v>2.3203840483101357</v>
      </c>
      <c r="GF512">
        <v>4.7370028808507314</v>
      </c>
      <c r="GG512">
        <v>5.0955327847237015</v>
      </c>
      <c r="GH512">
        <v>2.7619779405139626</v>
      </c>
      <c r="GI512">
        <v>8.6550768929127813</v>
      </c>
      <c r="GJ512"/>
      <c r="GK512"/>
      <c r="GL512"/>
      <c r="GM512"/>
      <c r="GN512" s="208"/>
      <c r="GO512" s="208"/>
      <c r="GP512" s="208"/>
      <c r="GQ512" s="208"/>
      <c r="GR512" s="208"/>
      <c r="GS512" s="208"/>
      <c r="GT512" s="208"/>
      <c r="GU512" s="213">
        <v>507</v>
      </c>
    </row>
    <row r="513" spans="1:203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56.662583434907432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111.9146166652632</v>
      </c>
      <c r="AO513">
        <v>19.593685994280285</v>
      </c>
      <c r="AP513">
        <v>134.94213192999541</v>
      </c>
      <c r="AQ513">
        <v>154.71984653999198</v>
      </c>
      <c r="AR513">
        <v>17.94905879700989</v>
      </c>
      <c r="AS513">
        <v>233.80300510678387</v>
      </c>
      <c r="AT513" t="e">
        <v>#DIV/0!</v>
      </c>
      <c r="AU513" t="e">
        <v>#DIV/0!</v>
      </c>
      <c r="AV513"/>
      <c r="AW513"/>
      <c r="FY513" s="213">
        <v>508</v>
      </c>
      <c r="FZ513">
        <v>26.71644097830228</v>
      </c>
      <c r="GA513">
        <v>31.508879935320124</v>
      </c>
      <c r="GB513">
        <v>8.5071146308591121</v>
      </c>
      <c r="GC513">
        <v>5.965959045863916</v>
      </c>
      <c r="GD513">
        <v>2.3286568523240403</v>
      </c>
      <c r="GE513">
        <v>1.5857148663095275</v>
      </c>
      <c r="GF513">
        <v>3.0654456271782236</v>
      </c>
      <c r="GG513">
        <v>2.3129634111977344</v>
      </c>
      <c r="GH513">
        <v>0.60080431445180338</v>
      </c>
      <c r="GI513">
        <v>8.0833064659184704</v>
      </c>
      <c r="GJ513"/>
      <c r="GK513"/>
      <c r="GL513"/>
      <c r="GM513"/>
      <c r="GN513" s="208"/>
      <c r="GO513" s="208"/>
      <c r="GP513" s="208"/>
      <c r="GQ513" s="208"/>
      <c r="GR513" s="208"/>
      <c r="GS513" s="208"/>
      <c r="GT513" s="208"/>
      <c r="GU513" s="213">
        <v>508</v>
      </c>
    </row>
    <row r="514" spans="1:203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59.402092888494316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86.516819965165553</v>
      </c>
      <c r="AO514">
        <v>14.143646295877641</v>
      </c>
      <c r="AP514">
        <v>76.093670915129238</v>
      </c>
      <c r="AQ514">
        <v>111.30353945028875</v>
      </c>
      <c r="AR514">
        <v>12.990255756484729</v>
      </c>
      <c r="AS514">
        <v>141.03082519843323</v>
      </c>
      <c r="AT514" t="e">
        <v>#DIV/0!</v>
      </c>
      <c r="AU514" t="e">
        <v>#DIV/0!</v>
      </c>
      <c r="AV514"/>
      <c r="AW514"/>
      <c r="FY514" s="213">
        <v>509</v>
      </c>
      <c r="FZ514">
        <v>17.290582905669336</v>
      </c>
      <c r="GA514">
        <v>19.720974246959027</v>
      </c>
      <c r="GB514">
        <v>4.787359731406486</v>
      </c>
      <c r="GC514">
        <v>4.0008862648428076</v>
      </c>
      <c r="GD514">
        <v>1.9446196454370683</v>
      </c>
      <c r="GE514">
        <v>1.6338824866498551</v>
      </c>
      <c r="GF514">
        <v>2.2487126965148976</v>
      </c>
      <c r="GG514">
        <v>2.9145394280750443</v>
      </c>
      <c r="GH514">
        <v>2.7619779405139626</v>
      </c>
      <c r="GI514">
        <v>5.7171095382934887</v>
      </c>
      <c r="GJ514"/>
      <c r="GK514"/>
      <c r="GL514"/>
      <c r="GM514"/>
      <c r="GN514" s="208"/>
      <c r="GO514" s="208"/>
      <c r="GP514" s="208"/>
      <c r="GQ514" s="208"/>
      <c r="GR514" s="208"/>
      <c r="GS514" s="208"/>
      <c r="GT514" s="208"/>
      <c r="GU514" s="213">
        <v>509</v>
      </c>
    </row>
    <row r="515" spans="1:203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62.274051510321357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76.305209842557701</v>
      </c>
      <c r="AO515">
        <v>13.39080011946702</v>
      </c>
      <c r="AP515">
        <v>71.331545562244003</v>
      </c>
      <c r="AQ515">
        <v>110.96655871285169</v>
      </c>
      <c r="AR515">
        <v>12.290182570522516</v>
      </c>
      <c r="AS515">
        <v>144.59205573369738</v>
      </c>
      <c r="AT515" t="e">
        <v>#DIV/0!</v>
      </c>
      <c r="AU515" t="e">
        <v>#DIV/0!</v>
      </c>
      <c r="AV515"/>
      <c r="AW515"/>
      <c r="FY515" s="213">
        <v>510</v>
      </c>
      <c r="FZ515">
        <v>32.621539038766585</v>
      </c>
      <c r="GA515">
        <v>42.718474805843876</v>
      </c>
      <c r="GB515">
        <v>12.471336983374648</v>
      </c>
      <c r="GC515">
        <v>6.5900447200591987</v>
      </c>
      <c r="GD515">
        <v>1.5118462034964419</v>
      </c>
      <c r="GE515">
        <v>1.1435655787987469</v>
      </c>
      <c r="GF515">
        <v>6.449390460822424</v>
      </c>
      <c r="GG515">
        <v>7.6495337942330144</v>
      </c>
      <c r="GH515">
        <v>4.3223472521243185</v>
      </c>
      <c r="GI515">
        <v>10.709530699449983</v>
      </c>
      <c r="GJ515"/>
      <c r="GK515"/>
      <c r="GL515"/>
      <c r="GM515"/>
      <c r="GN515" s="208"/>
      <c r="GO515" s="208"/>
      <c r="GP515" s="208"/>
      <c r="GQ515" s="208"/>
      <c r="GR515" s="208"/>
      <c r="GS515" s="208"/>
      <c r="GT515" s="208"/>
      <c r="GU515" s="213">
        <v>510</v>
      </c>
    </row>
    <row r="516" spans="1:203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65.180436364432481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117.00343687283342</v>
      </c>
      <c r="AO516">
        <v>15.875219698071353</v>
      </c>
      <c r="AP516">
        <v>89.506124662575118</v>
      </c>
      <c r="AQ516">
        <v>121.27711401496133</v>
      </c>
      <c r="AR516">
        <v>14.696860326142607</v>
      </c>
      <c r="AS516">
        <v>192.10424353055137</v>
      </c>
      <c r="AT516">
        <v>9.5201677859724647</v>
      </c>
      <c r="AU516">
        <v>25.083903588776472</v>
      </c>
      <c r="AV516"/>
      <c r="AW516"/>
      <c r="FY516" s="213">
        <v>511</v>
      </c>
      <c r="FZ516">
        <v>5.5645763160647652</v>
      </c>
      <c r="GA516">
        <v>13.592650959310777</v>
      </c>
      <c r="GB516">
        <v>10.909252875906279</v>
      </c>
      <c r="GC516">
        <v>5.7468799693519843</v>
      </c>
      <c r="GD516">
        <v>2.4822753261158428</v>
      </c>
      <c r="GE516">
        <v>1.6988636034205746</v>
      </c>
      <c r="GF516">
        <v>4.6277282979389076</v>
      </c>
      <c r="GG516">
        <v>3.9006127285035186</v>
      </c>
      <c r="GH516">
        <v>0.60080431445180338</v>
      </c>
      <c r="GI516">
        <v>5.9865272055090593</v>
      </c>
      <c r="GJ516"/>
      <c r="GK516"/>
      <c r="GL516"/>
      <c r="GM516"/>
      <c r="GN516" s="208"/>
      <c r="GO516" s="208"/>
      <c r="GP516" s="208"/>
      <c r="GQ516" s="208"/>
      <c r="GR516" s="208"/>
      <c r="GS516" s="208"/>
      <c r="GT516" s="208"/>
      <c r="GU516" s="213">
        <v>511</v>
      </c>
    </row>
    <row r="517" spans="1:203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68.222464760522016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81.920531674208149</v>
      </c>
      <c r="AO517">
        <v>11.705325434300644</v>
      </c>
      <c r="AP517">
        <v>64.701314838965004</v>
      </c>
      <c r="AQ517">
        <v>90.028457875041084</v>
      </c>
      <c r="AR517">
        <v>10.998664711450942</v>
      </c>
      <c r="AS517">
        <v>155.26929883494995</v>
      </c>
      <c r="AT517" t="e">
        <v>#DIV/0!</v>
      </c>
      <c r="AU517" t="e">
        <v>#DIV/0!</v>
      </c>
      <c r="AV517"/>
      <c r="AW517"/>
      <c r="FY517" s="213">
        <v>512</v>
      </c>
      <c r="FZ517">
        <v>44.900045003599047</v>
      </c>
      <c r="GA517">
        <v>60.798280034149997</v>
      </c>
      <c r="GB517">
        <v>12.304770875107945</v>
      </c>
      <c r="GC517">
        <v>5.3971074534837031</v>
      </c>
      <c r="GD517">
        <v>1.3925466384603062</v>
      </c>
      <c r="GE517">
        <v>1.4177731111948972</v>
      </c>
      <c r="GF517">
        <v>3.5641922322376631</v>
      </c>
      <c r="GG517">
        <v>4.0747917096346589</v>
      </c>
      <c r="GH517">
        <v>1.5603693116103559</v>
      </c>
      <c r="GI517">
        <v>11.469427195833248</v>
      </c>
      <c r="GJ517"/>
      <c r="GK517"/>
      <c r="GL517"/>
      <c r="GM517"/>
      <c r="GN517" s="208"/>
      <c r="GO517" s="208"/>
      <c r="GP517" s="208"/>
      <c r="GQ517" s="208"/>
      <c r="GR517" s="208"/>
      <c r="GS517" s="208"/>
      <c r="GT517" s="208"/>
      <c r="GU517" s="213">
        <v>512</v>
      </c>
    </row>
    <row r="518" spans="1:203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68.222464760522016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95.526535853805129</v>
      </c>
      <c r="AO518">
        <v>16.22602410209122</v>
      </c>
      <c r="AP518">
        <v>118.1520474773104</v>
      </c>
      <c r="AQ518">
        <v>131.11555206976956</v>
      </c>
      <c r="AR518">
        <v>14.901255400640776</v>
      </c>
      <c r="AS518">
        <v>185.62811636403913</v>
      </c>
      <c r="AT518">
        <v>10.277837435377053</v>
      </c>
      <c r="AU518">
        <v>-14.449189592914003</v>
      </c>
      <c r="AV518"/>
      <c r="AW518"/>
      <c r="FY518" s="213">
        <v>513</v>
      </c>
      <c r="FZ518">
        <v>17.749545061634969</v>
      </c>
      <c r="GA518">
        <v>17.913997321002103</v>
      </c>
      <c r="GB518">
        <v>3.9791195731530538</v>
      </c>
      <c r="GC518">
        <v>3.7218820368186982</v>
      </c>
      <c r="GD518">
        <v>2.558132309640293</v>
      </c>
      <c r="GE518">
        <v>2.8371382565223899</v>
      </c>
      <c r="GF518">
        <v>4.8549758834453574</v>
      </c>
      <c r="GG518">
        <v>6.25751195316513</v>
      </c>
      <c r="GH518">
        <v>3.1207386232207117</v>
      </c>
      <c r="GI518">
        <v>6.4539532768059775</v>
      </c>
      <c r="GJ518"/>
      <c r="GK518"/>
      <c r="GL518"/>
      <c r="GM518"/>
      <c r="GN518" s="208"/>
      <c r="GO518" s="208"/>
      <c r="GP518" s="208"/>
      <c r="GQ518" s="208"/>
      <c r="GR518" s="208"/>
      <c r="GS518" s="208"/>
      <c r="GT518" s="208"/>
      <c r="GU518" s="213">
        <v>513</v>
      </c>
    </row>
    <row r="519" spans="1:203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95.653870992841561</v>
      </c>
      <c r="AO519">
        <v>12.831575225475007</v>
      </c>
      <c r="AP519">
        <v>81.088391152597652</v>
      </c>
      <c r="AQ519">
        <v>102.22474834776324</v>
      </c>
      <c r="AR519">
        <v>11.910668070638366</v>
      </c>
      <c r="AS519">
        <v>146.23385719810165</v>
      </c>
      <c r="AT519">
        <v>8.0873042260955152</v>
      </c>
      <c r="AU519">
        <v>28.476384652744077</v>
      </c>
      <c r="AV519"/>
      <c r="AW519"/>
      <c r="FY519" s="213">
        <v>514</v>
      </c>
      <c r="FZ519">
        <v>12.682250196246128</v>
      </c>
      <c r="GA519">
        <v>14.682187868496671</v>
      </c>
      <c r="GB519">
        <v>5.6321114240330141</v>
      </c>
      <c r="GC519">
        <v>4.498167390909197</v>
      </c>
      <c r="GD519">
        <v>1.7523414385865967</v>
      </c>
      <c r="GE519">
        <v>1.5193909615362591</v>
      </c>
      <c r="GF519">
        <v>3.6210200233691161</v>
      </c>
      <c r="GG519">
        <v>3.9091309091820436</v>
      </c>
      <c r="GH519">
        <v>2.1611736260621592</v>
      </c>
      <c r="GI519">
        <v>5.3508224260463253</v>
      </c>
      <c r="GJ519"/>
      <c r="GK519"/>
      <c r="GL519"/>
      <c r="GM519"/>
      <c r="GN519" s="208"/>
      <c r="GO519" s="208"/>
      <c r="GP519" s="208"/>
      <c r="GQ519" s="208"/>
      <c r="GR519" s="208"/>
      <c r="GS519" s="208"/>
      <c r="GT519" s="208"/>
      <c r="GU519" s="213">
        <v>514</v>
      </c>
    </row>
    <row r="520" spans="1:203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6.9822086924845133</v>
      </c>
      <c r="H520" s="63" t="s">
        <v>30</v>
      </c>
      <c r="I520" s="101">
        <f>SUM(K458:K518)</f>
        <v>47.771149647889374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95.166774850966036</v>
      </c>
      <c r="AO520">
        <v>16.704145367405449</v>
      </c>
      <c r="AP520">
        <v>128.54553821535089</v>
      </c>
      <c r="AQ520">
        <v>134.88365016607304</v>
      </c>
      <c r="AR520">
        <v>15.35967277227045</v>
      </c>
      <c r="AS520">
        <v>183.78795742870091</v>
      </c>
      <c r="AT520" t="e">
        <v>#DIV/0!</v>
      </c>
      <c r="AU520" t="e">
        <v>#DIV/0!</v>
      </c>
      <c r="AV520"/>
      <c r="AW520"/>
      <c r="FY520" s="213">
        <v>515</v>
      </c>
      <c r="FZ520">
        <v>26.090533669338861</v>
      </c>
      <c r="GA520">
        <v>41.94831808178499</v>
      </c>
      <c r="GB520">
        <v>13.677663983199627</v>
      </c>
      <c r="GC520">
        <v>5.8387683597443303</v>
      </c>
      <c r="GD520">
        <v>2.3511503109229652</v>
      </c>
      <c r="GE520">
        <v>2.6816348418864182</v>
      </c>
      <c r="GF520">
        <v>3.5481947674053949</v>
      </c>
      <c r="GG520">
        <v>3.850962996941047</v>
      </c>
      <c r="GH520">
        <v>1.5603693116103559</v>
      </c>
      <c r="GI520">
        <v>9.6185244513621644</v>
      </c>
      <c r="GJ520"/>
      <c r="GK520"/>
      <c r="GL520"/>
      <c r="GM520"/>
      <c r="GN520" s="208"/>
      <c r="GO520" s="208"/>
      <c r="GP520" s="208"/>
      <c r="GQ520" s="208"/>
      <c r="GR520" s="208"/>
      <c r="GS520" s="208"/>
      <c r="GT520" s="208"/>
      <c r="GU520" s="213">
        <v>515</v>
      </c>
    </row>
    <row r="521" spans="1:203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78.884817388493857</v>
      </c>
      <c r="AO521">
        <v>11.585924745070464</v>
      </c>
      <c r="AP521">
        <v>71.612572399238928</v>
      </c>
      <c r="AQ521">
        <v>91.673032282271478</v>
      </c>
      <c r="AR521">
        <v>10.713374622972841</v>
      </c>
      <c r="AS521">
        <v>154.02830753609879</v>
      </c>
      <c r="AT521" t="e">
        <v>#DIV/0!</v>
      </c>
      <c r="AU521" t="e">
        <v>#DIV/0!</v>
      </c>
      <c r="AV521"/>
      <c r="AW521"/>
      <c r="FY521" s="213">
        <v>516</v>
      </c>
      <c r="FZ521">
        <v>10.312335542107352</v>
      </c>
      <c r="GA521">
        <v>13.899533717307769</v>
      </c>
      <c r="GB521">
        <v>6.7092953450304735</v>
      </c>
      <c r="GC521">
        <v>4.9644266377999449</v>
      </c>
      <c r="GD521">
        <v>2.4538036798733489</v>
      </c>
      <c r="GE521">
        <v>2.1213061872666481</v>
      </c>
      <c r="GF521">
        <v>2.8659489489370715</v>
      </c>
      <c r="GG521">
        <v>3.2374177876030608</v>
      </c>
      <c r="GH521">
        <v>2.1611736260621592</v>
      </c>
      <c r="GI521">
        <v>5.4648795476741974</v>
      </c>
      <c r="GJ521"/>
      <c r="GK521"/>
      <c r="GL521"/>
      <c r="GM521"/>
      <c r="GN521" s="208"/>
      <c r="GO521" s="208"/>
      <c r="GP521" s="208"/>
      <c r="GQ521" s="208"/>
      <c r="GR521" s="208"/>
      <c r="GS521" s="208"/>
      <c r="GT521" s="208"/>
      <c r="GU521" s="213">
        <v>516</v>
      </c>
    </row>
    <row r="522" spans="1:203" s="7" customFormat="1">
      <c r="A522" s="4"/>
      <c r="B522" s="4"/>
      <c r="C522" s="63"/>
      <c r="D522" s="63"/>
      <c r="E522" s="63" t="s">
        <v>100</v>
      </c>
      <c r="F522" s="101">
        <f>+I520/G520</f>
        <v>6.8418392734822042</v>
      </c>
      <c r="G522" s="63"/>
      <c r="H522" s="63" t="s">
        <v>101</v>
      </c>
      <c r="I522">
        <v>169.82888793945312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76.93035140780448</v>
      </c>
      <c r="AO522">
        <v>13.273782912412377</v>
      </c>
      <c r="AP522">
        <v>151.57832807136157</v>
      </c>
      <c r="AQ522">
        <v>108.96301250291378</v>
      </c>
      <c r="AR522">
        <v>12.164461408284962</v>
      </c>
      <c r="AS522">
        <v>157.17277142477516</v>
      </c>
      <c r="AT522" t="e">
        <v>#DIV/0!</v>
      </c>
      <c r="AU522" t="e">
        <v>#DIV/0!</v>
      </c>
      <c r="AV522"/>
      <c r="AW522"/>
      <c r="FY522" s="213">
        <v>517</v>
      </c>
      <c r="FZ522">
        <v>92.486181371101495</v>
      </c>
      <c r="GA522">
        <v>108.89607040962241</v>
      </c>
      <c r="GB522">
        <v>9.4934822034791484</v>
      </c>
      <c r="GC522">
        <v>5.4416087950974763</v>
      </c>
      <c r="GD522">
        <v>1.849020675045294</v>
      </c>
      <c r="GE522">
        <v>1.8844646486011896</v>
      </c>
      <c r="GF522">
        <v>5.8252348310670454</v>
      </c>
      <c r="GG522">
        <v>5.0608650100631332</v>
      </c>
      <c r="GH522">
        <v>1.2016086289036068</v>
      </c>
      <c r="GI522">
        <v>18.376554402062141</v>
      </c>
      <c r="GJ522"/>
      <c r="GK522"/>
      <c r="GL522"/>
      <c r="GM522"/>
      <c r="GN522" s="208"/>
      <c r="GO522" s="208"/>
      <c r="GP522" s="208"/>
      <c r="GQ522" s="208"/>
      <c r="GR522" s="208"/>
      <c r="GS522" s="208"/>
      <c r="GT522" s="208"/>
      <c r="GU522" s="213">
        <v>517</v>
      </c>
    </row>
    <row r="523" spans="1:203" s="7" customFormat="1">
      <c r="A523" s="4"/>
      <c r="B523" s="4"/>
      <c r="C523" s="63"/>
      <c r="D523" s="63"/>
      <c r="E523" s="63" t="s">
        <v>102</v>
      </c>
      <c r="F523" s="101">
        <f>+I523/G520</f>
        <v>14.704632204335722</v>
      </c>
      <c r="G523" s="63"/>
      <c r="H523" s="63" t="s">
        <v>103</v>
      </c>
      <c r="I523" s="123">
        <f>+I520*(365/I522)</f>
        <v>102.67081079690058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85.167696287916883</v>
      </c>
      <c r="AO523">
        <v>12.836114496008943</v>
      </c>
      <c r="AP523">
        <v>59.556273528906729</v>
      </c>
      <c r="AQ523">
        <v>97.377817873178969</v>
      </c>
      <c r="AR523">
        <v>11.978683379436088</v>
      </c>
      <c r="AS523">
        <v>156.57049647027077</v>
      </c>
      <c r="AT523">
        <v>7.7645801824511116</v>
      </c>
      <c r="AU523">
        <v>21.728541280180465</v>
      </c>
      <c r="AV523"/>
      <c r="AW523"/>
      <c r="FY523" s="213">
        <v>518</v>
      </c>
      <c r="FZ523">
        <v>52.007908566087394</v>
      </c>
      <c r="GA523">
        <v>66.227673423993977</v>
      </c>
      <c r="GB523">
        <v>6.5544457400556615</v>
      </c>
      <c r="GC523">
        <v>3.7335573822757957</v>
      </c>
      <c r="GD523">
        <v>2.9186683404219735</v>
      </c>
      <c r="GE523">
        <v>3.3013669082951251</v>
      </c>
      <c r="GF523">
        <v>3.3243084745329492</v>
      </c>
      <c r="GG523">
        <v>4.751205930088922</v>
      </c>
      <c r="GH523">
        <v>3.7215429376725151</v>
      </c>
      <c r="GI523">
        <v>12.291142637010424</v>
      </c>
      <c r="GJ523"/>
      <c r="GK523"/>
      <c r="GL523"/>
      <c r="GM523"/>
      <c r="GN523" s="208"/>
      <c r="GO523" s="208"/>
      <c r="GP523" s="208"/>
      <c r="GQ523" s="208"/>
      <c r="GR523" s="208"/>
      <c r="GS523" s="208"/>
      <c r="GT523" s="208"/>
      <c r="GU523" s="213">
        <v>518</v>
      </c>
    </row>
    <row r="524" spans="1:203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84.515620959922416</v>
      </c>
      <c r="AO524">
        <v>11.915755950583309</v>
      </c>
      <c r="AP524">
        <v>68.798444094887117</v>
      </c>
      <c r="AQ524">
        <v>90.675286127725229</v>
      </c>
      <c r="AR524">
        <v>11.152496090197497</v>
      </c>
      <c r="AS524">
        <v>147.15162518615483</v>
      </c>
      <c r="AT524" t="e">
        <v>#DIV/0!</v>
      </c>
      <c r="AU524" t="e">
        <v>#DIV/0!</v>
      </c>
      <c r="AV524"/>
      <c r="AW524"/>
      <c r="FY524" s="213">
        <v>519</v>
      </c>
      <c r="FZ524">
        <v>32.060583227463084</v>
      </c>
      <c r="GA524">
        <v>37.993071828826913</v>
      </c>
      <c r="GB524">
        <v>7.335063790716811</v>
      </c>
      <c r="GC524">
        <v>5.0223982897306421</v>
      </c>
      <c r="GD524">
        <v>2.1797201701236473</v>
      </c>
      <c r="GE524">
        <v>1.9251184914005626</v>
      </c>
      <c r="GF524">
        <v>3.5737135665723518</v>
      </c>
      <c r="GG524">
        <v>2.660032733919123</v>
      </c>
      <c r="GH524">
        <v>1.2016086289036068</v>
      </c>
      <c r="GI524">
        <v>8.7373161269346085</v>
      </c>
      <c r="GJ524"/>
      <c r="GK524"/>
      <c r="GL524"/>
      <c r="GM524"/>
      <c r="GN524" s="208"/>
      <c r="GO524" s="208"/>
      <c r="GP524" s="208"/>
      <c r="GQ524" s="208"/>
      <c r="GR524" s="208"/>
      <c r="GS524" s="208"/>
      <c r="GT524" s="208"/>
      <c r="GU524" s="213">
        <v>519</v>
      </c>
    </row>
    <row r="525" spans="1:203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72.206048457918399</v>
      </c>
      <c r="AO525">
        <v>8.3513277463896607</v>
      </c>
      <c r="AP525">
        <v>41.331717741300977</v>
      </c>
      <c r="AQ525">
        <v>63.020644884361971</v>
      </c>
      <c r="AR525">
        <v>7.8353076242584354</v>
      </c>
      <c r="AS525">
        <v>107.90197577373293</v>
      </c>
      <c r="AT525">
        <v>5.3664328731059205</v>
      </c>
      <c r="AU525">
        <v>16.534236987800089</v>
      </c>
      <c r="AV525"/>
      <c r="AW525"/>
      <c r="FY525" s="213">
        <v>520</v>
      </c>
      <c r="FZ525">
        <v>24.136989531182376</v>
      </c>
      <c r="GA525">
        <v>35.678132398296761</v>
      </c>
      <c r="GB525">
        <v>8.0120462812395772</v>
      </c>
      <c r="GC525">
        <v>3.9140173457071152</v>
      </c>
      <c r="GD525">
        <v>2.0045892062231352</v>
      </c>
      <c r="GE525">
        <v>1.4100419090704746</v>
      </c>
      <c r="GF525">
        <v>2.6387013634306209</v>
      </c>
      <c r="GG525">
        <v>3.043555750694737</v>
      </c>
      <c r="GH525">
        <v>2.7619779405139626</v>
      </c>
      <c r="GI525">
        <v>7.7200836498054679</v>
      </c>
      <c r="GJ525"/>
      <c r="GK525"/>
      <c r="GL525"/>
      <c r="GM525"/>
      <c r="GN525" s="208"/>
      <c r="GO525" s="208"/>
      <c r="GP525" s="208"/>
      <c r="GQ525" s="208"/>
      <c r="GR525" s="208"/>
      <c r="GS525" s="208"/>
      <c r="GT525" s="208"/>
      <c r="GU525" s="213">
        <v>520</v>
      </c>
    </row>
    <row r="526" spans="1:203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78.567389479369709</v>
      </c>
      <c r="AO526">
        <v>16.10253702656177</v>
      </c>
      <c r="AP526">
        <v>107.96635214108322</v>
      </c>
      <c r="AQ526">
        <v>126.18760953696923</v>
      </c>
      <c r="AR526">
        <v>14.893010145440089</v>
      </c>
      <c r="AS526">
        <v>167.79205347642954</v>
      </c>
      <c r="AT526">
        <v>9.6178859623271808</v>
      </c>
      <c r="AU526">
        <v>11.379348735598121</v>
      </c>
      <c r="AV526"/>
      <c r="AW526"/>
      <c r="FY526" s="213">
        <v>521</v>
      </c>
      <c r="FZ526">
        <v>24.001235557566545</v>
      </c>
      <c r="GA526">
        <v>36.880947645137645</v>
      </c>
      <c r="GB526">
        <v>10.944208838044236</v>
      </c>
      <c r="GC526">
        <v>5.0000062723670595</v>
      </c>
      <c r="GD526">
        <v>2.1337078726513692</v>
      </c>
      <c r="GE526">
        <v>2.3061747396143679</v>
      </c>
      <c r="GF526">
        <v>3.7612239304291788</v>
      </c>
      <c r="GG526">
        <v>4.2504449993755964</v>
      </c>
      <c r="GH526">
        <v>1.5603693116103559</v>
      </c>
      <c r="GI526">
        <v>8.5850681235326824</v>
      </c>
      <c r="GJ526"/>
      <c r="GK526"/>
      <c r="GL526"/>
      <c r="GM526"/>
      <c r="GN526" s="208"/>
      <c r="GO526" s="208"/>
      <c r="GP526" s="208"/>
      <c r="GQ526" s="208"/>
      <c r="GR526" s="208"/>
      <c r="GS526" s="208"/>
      <c r="GT526" s="208"/>
      <c r="GU526" s="213">
        <v>521</v>
      </c>
    </row>
    <row r="527" spans="1:203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82.500811320328324</v>
      </c>
      <c r="AO527">
        <v>8.8810412007455692</v>
      </c>
      <c r="AP527">
        <v>40.327912762093518</v>
      </c>
      <c r="AQ527">
        <v>55.110171596573522</v>
      </c>
      <c r="AR527">
        <v>8.314405673575644</v>
      </c>
      <c r="AS527">
        <v>121.12420469353442</v>
      </c>
      <c r="AT527" t="e">
        <v>#DIV/0!</v>
      </c>
      <c r="AU527" t="e">
        <v>#DIV/0!</v>
      </c>
      <c r="AV527"/>
      <c r="AW527"/>
      <c r="FY527" s="213">
        <v>522</v>
      </c>
      <c r="FZ527">
        <v>57.175588177001522</v>
      </c>
      <c r="GA527">
        <v>69.966524790129029</v>
      </c>
      <c r="GB527">
        <v>7.189003146874847</v>
      </c>
      <c r="GC527">
        <v>4.7218721079707349</v>
      </c>
      <c r="GD527">
        <v>2.4024685849359555</v>
      </c>
      <c r="GE527">
        <v>2.405185576901097</v>
      </c>
      <c r="GF527">
        <v>2.7566743660252477</v>
      </c>
      <c r="GG527">
        <v>4.5855451296363068</v>
      </c>
      <c r="GH527">
        <v>3.7215429376725151</v>
      </c>
      <c r="GI527">
        <v>12.711215921820925</v>
      </c>
      <c r="GJ527"/>
      <c r="GK527"/>
      <c r="GL527"/>
      <c r="GM527"/>
      <c r="GN527" s="208"/>
      <c r="GO527" s="208"/>
      <c r="GP527" s="208"/>
      <c r="GQ527" s="208"/>
      <c r="GR527" s="208"/>
      <c r="GS527" s="208"/>
      <c r="GT527" s="208"/>
      <c r="GU527" s="213">
        <v>522</v>
      </c>
    </row>
    <row r="528" spans="1:203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95.177859265574781</v>
      </c>
      <c r="AO528">
        <v>17.514622787709193</v>
      </c>
      <c r="AP528">
        <v>135.32633241128696</v>
      </c>
      <c r="AQ528">
        <v>146.87930356531183</v>
      </c>
      <c r="AR528">
        <v>15.992902740873054</v>
      </c>
      <c r="AS528">
        <v>181.02280036540353</v>
      </c>
      <c r="AT528" t="e">
        <v>#DIV/0!</v>
      </c>
      <c r="AU528" t="e">
        <v>#DIV/0!</v>
      </c>
      <c r="AV528"/>
      <c r="AW528"/>
      <c r="FY528" s="213">
        <v>523</v>
      </c>
      <c r="FZ528">
        <v>25.170828916424735</v>
      </c>
      <c r="GA528">
        <v>31.9504277586922</v>
      </c>
      <c r="GB528">
        <v>7.7744055832250591</v>
      </c>
      <c r="GC528">
        <v>4.6563466322558691</v>
      </c>
      <c r="GD528">
        <v>1.7388234678159109</v>
      </c>
      <c r="GE528">
        <v>1.5644736318025898</v>
      </c>
      <c r="GF528">
        <v>4.5633312716603109</v>
      </c>
      <c r="GG528">
        <v>3.5632884315082243</v>
      </c>
      <c r="GH528">
        <v>1.2016086289036068</v>
      </c>
      <c r="GI528">
        <v>7.6899489739611848</v>
      </c>
      <c r="GJ528"/>
      <c r="GK528"/>
      <c r="GL528"/>
      <c r="GM528"/>
      <c r="GN528" s="208"/>
      <c r="GO528" s="208"/>
      <c r="GP528" s="208"/>
      <c r="GQ528" s="208"/>
      <c r="GR528" s="208"/>
      <c r="GS528" s="208"/>
      <c r="GT528" s="208"/>
      <c r="GU528" s="213">
        <v>523</v>
      </c>
    </row>
    <row r="529" spans="1:203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95.184922580143166</v>
      </c>
      <c r="AO529">
        <v>9.3906746167733601</v>
      </c>
      <c r="AP529">
        <v>46.391397975502919</v>
      </c>
      <c r="AQ529">
        <v>69.446994295408686</v>
      </c>
      <c r="AR529">
        <v>8.8080009959987962</v>
      </c>
      <c r="AS529">
        <v>136.46960243773103</v>
      </c>
      <c r="AT529" t="e">
        <v>#DIV/0!</v>
      </c>
      <c r="AU529" t="e">
        <v>#DIV/0!</v>
      </c>
      <c r="AV529"/>
      <c r="AW529"/>
      <c r="FY529" s="213">
        <v>524</v>
      </c>
      <c r="FZ529">
        <v>57.81640692160633</v>
      </c>
      <c r="GA529">
        <v>68.546639484517613</v>
      </c>
      <c r="GB529">
        <v>3.9641084040158514</v>
      </c>
      <c r="GC529">
        <v>3.3291612845463607</v>
      </c>
      <c r="GD529">
        <v>2.5229759157841531</v>
      </c>
      <c r="GE529">
        <v>2.2467857981965982</v>
      </c>
      <c r="GF529">
        <v>5.0453944741874466</v>
      </c>
      <c r="GG529">
        <v>4.1663387569953318</v>
      </c>
      <c r="GH529">
        <v>1.8024129433554106</v>
      </c>
      <c r="GI529">
        <v>12.197771112833506</v>
      </c>
      <c r="GJ529"/>
      <c r="GK529"/>
      <c r="GL529"/>
      <c r="GM529"/>
      <c r="GN529" s="208"/>
      <c r="GO529" s="208"/>
      <c r="GP529" s="208"/>
      <c r="GQ529" s="208"/>
      <c r="GR529" s="208"/>
      <c r="GS529" s="208"/>
      <c r="GT529" s="208"/>
      <c r="GU529" s="213">
        <v>524</v>
      </c>
    </row>
    <row r="530" spans="1:203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65.221404792760012</v>
      </c>
      <c r="AO530">
        <v>7.981745373667354</v>
      </c>
      <c r="AP530">
        <v>44.152805254675641</v>
      </c>
      <c r="AQ530">
        <v>55.808596264467518</v>
      </c>
      <c r="AR530">
        <v>7.3689874660177574</v>
      </c>
      <c r="AS530">
        <v>109.04268344193812</v>
      </c>
      <c r="AT530">
        <v>4.8756509363000733</v>
      </c>
      <c r="AU530">
        <v>22.542750113213597</v>
      </c>
      <c r="AV530"/>
      <c r="AW530"/>
      <c r="FY530" s="213">
        <v>525</v>
      </c>
      <c r="FZ530">
        <v>43.11405830393732</v>
      </c>
      <c r="GA530">
        <v>55.29270658143885</v>
      </c>
      <c r="GB530">
        <v>13.323463410105514</v>
      </c>
      <c r="GC530">
        <v>7.3372973067291953</v>
      </c>
      <c r="GD530">
        <v>2.6317498279968441</v>
      </c>
      <c r="GE530">
        <v>2.877572074936749</v>
      </c>
      <c r="GF530">
        <v>1.8805752662483481</v>
      </c>
      <c r="GG530">
        <v>1.3930374222726751</v>
      </c>
      <c r="GH530">
        <v>1.8024129433554106</v>
      </c>
      <c r="GI530">
        <v>11.935022655998472</v>
      </c>
      <c r="GJ530"/>
      <c r="GK530"/>
      <c r="GL530"/>
      <c r="GM530"/>
      <c r="GN530" s="208"/>
      <c r="GO530" s="208"/>
      <c r="GP530" s="208"/>
      <c r="GQ530" s="208"/>
      <c r="GR530" s="208"/>
      <c r="GS530" s="208"/>
      <c r="GT530" s="208"/>
      <c r="GU530" s="213">
        <v>525</v>
      </c>
    </row>
    <row r="531" spans="1:203" s="7" customFormat="1">
      <c r="A531" s="4"/>
      <c r="B531" s="4"/>
      <c r="C531" s="116">
        <f>C4</f>
        <v>39646</v>
      </c>
      <c r="D531" s="101">
        <f>D70</f>
        <v>54.166666666666679</v>
      </c>
      <c r="E531" s="108">
        <f>E405</f>
        <v>5.975304840152134E-2</v>
      </c>
      <c r="F531" s="102"/>
      <c r="G531" s="101">
        <f>D531*E531</f>
        <v>3.2366234550824067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83.963213148507265</v>
      </c>
      <c r="AO531">
        <v>14.673605134311311</v>
      </c>
      <c r="AP531">
        <v>92.587182572467498</v>
      </c>
      <c r="AQ531">
        <v>111.16612077419614</v>
      </c>
      <c r="AR531">
        <v>13.40362887854838</v>
      </c>
      <c r="AS531">
        <v>155.39902879073344</v>
      </c>
      <c r="AT531" t="e">
        <v>#DIV/0!</v>
      </c>
      <c r="AU531" t="e">
        <v>#DIV/0!</v>
      </c>
      <c r="AV531"/>
      <c r="AW531"/>
      <c r="FY531" s="213">
        <v>526</v>
      </c>
      <c r="FZ531">
        <v>39.592264729857547</v>
      </c>
      <c r="GA531">
        <v>56.046850308287404</v>
      </c>
      <c r="GB531">
        <v>10.314113031013317</v>
      </c>
      <c r="GC531">
        <v>4.2808002768817888</v>
      </c>
      <c r="GD531">
        <v>2.0955358954274508</v>
      </c>
      <c r="GE531">
        <v>1.7867979780111241</v>
      </c>
      <c r="GF531">
        <v>3.1305285911568568</v>
      </c>
      <c r="GG531">
        <v>3.5852369684492338</v>
      </c>
      <c r="GH531">
        <v>2.1611736260621592</v>
      </c>
      <c r="GI531">
        <v>10.625888719783745</v>
      </c>
      <c r="GJ531"/>
      <c r="GK531"/>
      <c r="GL531"/>
      <c r="GM531"/>
      <c r="GN531" s="208"/>
      <c r="GO531" s="208"/>
      <c r="GP531" s="208"/>
      <c r="GQ531" s="208"/>
      <c r="GR531" s="208"/>
      <c r="GS531" s="208"/>
      <c r="GT531" s="208"/>
      <c r="GU531" s="213">
        <v>526</v>
      </c>
    </row>
    <row r="532" spans="1:203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0.20134317649927469</v>
      </c>
      <c r="I532" s="101">
        <f>AVERAGE(D531:D533)</f>
        <v>58.639705882352942</v>
      </c>
      <c r="J532" s="101">
        <f>I532*H532</f>
        <v>11.806704651336144</v>
      </c>
      <c r="K532" s="61">
        <f>J532/(C533-C531)</f>
        <v>0.43728535745689423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87.416171770063755</v>
      </c>
      <c r="AO532">
        <v>8.0580816910177617</v>
      </c>
      <c r="AP532">
        <v>44.036319336383919</v>
      </c>
      <c r="AQ532">
        <v>54.190121019662016</v>
      </c>
      <c r="AR532">
        <v>7.4845936462059308</v>
      </c>
      <c r="AS532">
        <v>135.93389518461132</v>
      </c>
      <c r="AT532">
        <v>5.3251829938737982</v>
      </c>
      <c r="AU532">
        <v>-59.242382407565799</v>
      </c>
      <c r="AV532"/>
      <c r="AW532"/>
      <c r="FY532" s="213">
        <v>527</v>
      </c>
      <c r="FZ532">
        <v>9.6211528902663463</v>
      </c>
      <c r="GA532">
        <v>15.22391643988235</v>
      </c>
      <c r="GB532">
        <v>7.7370049008545845</v>
      </c>
      <c r="GC532">
        <v>4.1817941920112762</v>
      </c>
      <c r="GD532">
        <v>1.9362044740909021</v>
      </c>
      <c r="GE532">
        <v>1.5283313373535412</v>
      </c>
      <c r="GF532">
        <v>1.724447292288501</v>
      </c>
      <c r="GG532">
        <v>2.5627304540306133</v>
      </c>
      <c r="GH532">
        <v>2.7619779405139626</v>
      </c>
      <c r="GI532">
        <v>5.2521099548947783</v>
      </c>
      <c r="GJ532"/>
      <c r="GK532"/>
      <c r="GL532"/>
      <c r="GM532"/>
      <c r="GN532" s="208"/>
      <c r="GO532" s="208"/>
      <c r="GP532" s="208"/>
      <c r="GQ532" s="208"/>
      <c r="GR532" s="208"/>
      <c r="GS532" s="208"/>
      <c r="GT532" s="208"/>
      <c r="GU532" s="213">
        <v>527</v>
      </c>
    </row>
    <row r="533" spans="1:203" s="7" customFormat="1">
      <c r="A533" s="4"/>
      <c r="B533" s="4"/>
      <c r="C533" s="117">
        <f>C5</f>
        <v>39673</v>
      </c>
      <c r="D533" s="101">
        <f>D71</f>
        <v>63.112745098039213</v>
      </c>
      <c r="E533" s="108">
        <f>E406</f>
        <v>0.26109622490079604</v>
      </c>
      <c r="F533" s="102"/>
      <c r="G533" s="101">
        <f>D533*E533</f>
        <v>16.478499488224259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122.60695627831151</v>
      </c>
      <c r="AO533">
        <v>27.671943149737338</v>
      </c>
      <c r="AP533">
        <v>197.70076922825751</v>
      </c>
      <c r="AQ533">
        <v>250.51509097504291</v>
      </c>
      <c r="AR533">
        <v>25.536219577646271</v>
      </c>
      <c r="AS533">
        <v>315.23951045260321</v>
      </c>
      <c r="AT533" t="e">
        <v>#DIV/0!</v>
      </c>
      <c r="AU533" t="e">
        <v>#DIV/0!</v>
      </c>
      <c r="AV533"/>
      <c r="AW533"/>
      <c r="FY533" s="213">
        <v>528</v>
      </c>
      <c r="FZ533">
        <v>32.962512188839625</v>
      </c>
      <c r="GA533">
        <v>48.732433606954942</v>
      </c>
      <c r="GB533">
        <v>11.430332361365043</v>
      </c>
      <c r="GC533">
        <v>4.77476329950139</v>
      </c>
      <c r="GD533">
        <v>2.1727427013655443</v>
      </c>
      <c r="GE533">
        <v>1.9129328813642306</v>
      </c>
      <c r="GF533">
        <v>5.5416027012647673</v>
      </c>
      <c r="GG533">
        <v>5.885746865007417</v>
      </c>
      <c r="GH533">
        <v>1.5603693116103559</v>
      </c>
      <c r="GI533">
        <v>10.318311217565251</v>
      </c>
      <c r="GJ533"/>
      <c r="GK533"/>
      <c r="GL533"/>
      <c r="GM533"/>
      <c r="GN533" s="208"/>
      <c r="GO533" s="208"/>
      <c r="GP533" s="208"/>
      <c r="GQ533" s="208"/>
      <c r="GR533" s="208"/>
      <c r="GS533" s="208"/>
      <c r="GT533" s="208"/>
      <c r="GU533" s="213">
        <v>528</v>
      </c>
    </row>
    <row r="534" spans="1:203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-0.12212419353881718</v>
      </c>
      <c r="I534" s="101">
        <f>AVERAGE(D533:D535)</f>
        <v>32.077205882352942</v>
      </c>
      <c r="J534" s="101">
        <f>I534*H534</f>
        <v>-3.9174028993609555</v>
      </c>
      <c r="K534" s="61">
        <f>J534/(C535-C533)</f>
        <v>-9.5546412179535495E-2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83.043881901051023</v>
      </c>
      <c r="AO534">
        <v>18.621187731969364</v>
      </c>
      <c r="AP534">
        <v>119.42379644381748</v>
      </c>
      <c r="AQ534">
        <v>158.83182034043477</v>
      </c>
      <c r="AR534">
        <v>17.105096490968275</v>
      </c>
      <c r="AS534">
        <v>186.50381776675277</v>
      </c>
      <c r="AT534">
        <v>11.41239322855173</v>
      </c>
      <c r="AU534">
        <v>24.379127701508573</v>
      </c>
      <c r="AV534"/>
      <c r="AW534"/>
      <c r="FY534" s="213">
        <v>529</v>
      </c>
      <c r="FZ534">
        <v>35.904259373763253</v>
      </c>
      <c r="GA534">
        <v>40.931820033202932</v>
      </c>
      <c r="GB534">
        <v>7.4694622725491318</v>
      </c>
      <c r="GC534">
        <v>5.747568594383389</v>
      </c>
      <c r="GD534">
        <v>2.5496065495216738</v>
      </c>
      <c r="GE534">
        <v>2.7749158200930593</v>
      </c>
      <c r="GF534">
        <v>6.1661379988364029</v>
      </c>
      <c r="GG534">
        <v>7.3501170198376631</v>
      </c>
      <c r="GH534">
        <v>4.3223472521243185</v>
      </c>
      <c r="GI534">
        <v>10.438306648636752</v>
      </c>
      <c r="GJ534"/>
      <c r="GK534"/>
      <c r="GL534"/>
      <c r="GM534"/>
      <c r="GN534" s="208"/>
      <c r="GO534" s="208"/>
      <c r="GP534" s="208"/>
      <c r="GQ534" s="208"/>
      <c r="GR534" s="208"/>
      <c r="GS534" s="208"/>
      <c r="GT534" s="208"/>
      <c r="GU534" s="213">
        <v>529</v>
      </c>
    </row>
    <row r="535" spans="1:203" s="7" customFormat="1">
      <c r="A535" s="4"/>
      <c r="B535" s="4"/>
      <c r="C535" s="117">
        <f>C6</f>
        <v>39714</v>
      </c>
      <c r="D535" s="101">
        <f>D72</f>
        <v>1.0416666666666665</v>
      </c>
      <c r="E535" s="108">
        <f>E407</f>
        <v>0.13897203136197886</v>
      </c>
      <c r="F535" s="102"/>
      <c r="G535" s="101">
        <f>D535*E535</f>
        <v>0.14476253266872796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84.269803500533712</v>
      </c>
      <c r="AO535">
        <v>12.941972734713937</v>
      </c>
      <c r="AP535">
        <v>108.70852765529567</v>
      </c>
      <c r="AQ535">
        <v>102.68862685459138</v>
      </c>
      <c r="AR535">
        <v>12.112188936226756</v>
      </c>
      <c r="AS535">
        <v>155.83966359815548</v>
      </c>
      <c r="AT535" t="e">
        <v>#DIV/0!</v>
      </c>
      <c r="AU535" t="e">
        <v>#DIV/0!</v>
      </c>
      <c r="AV535"/>
      <c r="AW535"/>
      <c r="FY535" s="213">
        <v>530</v>
      </c>
      <c r="FZ535">
        <v>23.09726298395378</v>
      </c>
      <c r="GA535">
        <v>26.672820334996203</v>
      </c>
      <c r="GB535">
        <v>7.9897412712759479</v>
      </c>
      <c r="GC535">
        <v>5.3798219138106296</v>
      </c>
      <c r="GD535">
        <v>1.9719343853535176</v>
      </c>
      <c r="GE535">
        <v>2.4948149282826044</v>
      </c>
      <c r="GF535">
        <v>6.5694487756504287</v>
      </c>
      <c r="GG535">
        <v>7.7832692881116703</v>
      </c>
      <c r="GH535">
        <v>4.9231515665761219</v>
      </c>
      <c r="GI535">
        <v>8.6355743492794979</v>
      </c>
      <c r="GJ535"/>
      <c r="GK535"/>
      <c r="GL535"/>
      <c r="GM535"/>
      <c r="GN535" s="208"/>
      <c r="GO535" s="208"/>
      <c r="GP535" s="208"/>
      <c r="GQ535" s="208"/>
      <c r="GR535" s="208"/>
      <c r="GS535" s="208"/>
      <c r="GT535" s="208"/>
      <c r="GU535" s="213">
        <v>530</v>
      </c>
    </row>
    <row r="536" spans="1:203" s="7" customFormat="1">
      <c r="A536" s="4"/>
      <c r="B536" s="4"/>
      <c r="C536" s="63"/>
      <c r="D536" s="101"/>
      <c r="E536" s="63"/>
      <c r="F536" s="63"/>
      <c r="G536" s="101"/>
      <c r="H536" s="101">
        <f>E537-E535</f>
        <v>-8.5286067052873116E-2</v>
      </c>
      <c r="I536" s="101">
        <f>AVERAGE(D535:D537)</f>
        <v>114.95693004313695</v>
      </c>
      <c r="J536" s="101">
        <f>I536*H536</f>
        <v>-9.804224443851421</v>
      </c>
      <c r="K536" s="61">
        <f>J536/(C537-C535)</f>
        <v>-0.29709771041974004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56.05073783787018</v>
      </c>
      <c r="AO536">
        <v>11.574211976103715</v>
      </c>
      <c r="AP536">
        <v>86.084304146755088</v>
      </c>
      <c r="AQ536">
        <v>91.320135376164217</v>
      </c>
      <c r="AR536">
        <v>10.782782401579045</v>
      </c>
      <c r="AS536">
        <v>111.70094864960828</v>
      </c>
      <c r="AT536">
        <v>7.1298184017946156</v>
      </c>
      <c r="AU536">
        <v>28.360363334936849</v>
      </c>
      <c r="AV536"/>
      <c r="AW536"/>
      <c r="FY536" s="213">
        <v>531</v>
      </c>
      <c r="FZ536">
        <v>44.642791096580574</v>
      </c>
      <c r="GA536">
        <v>50.11001260221957</v>
      </c>
      <c r="GB536">
        <v>5.5606507737742232</v>
      </c>
      <c r="GC536">
        <v>4.5739343124534741</v>
      </c>
      <c r="GD536">
        <v>2.261316886899468</v>
      </c>
      <c r="GE536">
        <v>2.1128748827458024</v>
      </c>
      <c r="GF536">
        <v>3.1717385852723026</v>
      </c>
      <c r="GG536">
        <v>4.7754173733463734</v>
      </c>
      <c r="GH536">
        <v>4.3223472521243185</v>
      </c>
      <c r="GI536">
        <v>10.611011596329979</v>
      </c>
      <c r="GJ536"/>
      <c r="GK536"/>
      <c r="GL536"/>
      <c r="GM536"/>
      <c r="GN536" s="208"/>
      <c r="GO536" s="208"/>
      <c r="GP536" s="208"/>
      <c r="GQ536" s="208"/>
      <c r="GR536" s="208"/>
      <c r="GS536" s="208"/>
      <c r="GT536" s="208"/>
      <c r="GU536" s="213">
        <v>531</v>
      </c>
    </row>
    <row r="537" spans="1:203" s="7" customFormat="1">
      <c r="A537" s="4"/>
      <c r="B537" s="4"/>
      <c r="C537" s="117">
        <f>C7</f>
        <v>39747</v>
      </c>
      <c r="D537" s="101">
        <f>D73</f>
        <v>228.87219341960724</v>
      </c>
      <c r="E537" s="108">
        <f>E408</f>
        <v>5.3685964309105737E-2</v>
      </c>
      <c r="F537" s="102"/>
      <c r="G537" s="101">
        <f>D537*E537</f>
        <v>12.287224407271779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59.099706495846192</v>
      </c>
      <c r="AO537">
        <v>13.186508511406831</v>
      </c>
      <c r="AP537">
        <v>98.94921001268871</v>
      </c>
      <c r="AQ537">
        <v>99.423387290329046</v>
      </c>
      <c r="AR537">
        <v>12.014253767124805</v>
      </c>
      <c r="AS537">
        <v>141.65560798415143</v>
      </c>
      <c r="AT537" t="e">
        <v>#DIV/0!</v>
      </c>
      <c r="AU537" t="e">
        <v>#DIV/0!</v>
      </c>
      <c r="AV537"/>
      <c r="AW537"/>
      <c r="FY537" s="213">
        <v>532</v>
      </c>
      <c r="FZ537">
        <v>18.119632715389574</v>
      </c>
      <c r="GA537">
        <v>21.027067734901539</v>
      </c>
      <c r="GB537">
        <v>2.5721552377447283</v>
      </c>
      <c r="GC537">
        <v>2.2202923238903787</v>
      </c>
      <c r="GD537">
        <v>1.2808409480365446</v>
      </c>
      <c r="GE537">
        <v>1.4296894345550848</v>
      </c>
      <c r="GF537">
        <v>5.0111038574052049</v>
      </c>
      <c r="GG537">
        <v>3.977216371410051</v>
      </c>
      <c r="GH537">
        <v>0</v>
      </c>
      <c r="GI537">
        <v>4.9621109355492194</v>
      </c>
      <c r="GJ537"/>
      <c r="GK537"/>
      <c r="GL537"/>
      <c r="GM537"/>
      <c r="GN537" s="208"/>
      <c r="GO537" s="208"/>
      <c r="GP537" s="208"/>
      <c r="GQ537" s="208"/>
      <c r="GR537" s="208"/>
      <c r="GS537" s="208"/>
      <c r="GT537" s="208"/>
      <c r="GU537" s="213">
        <v>532</v>
      </c>
    </row>
    <row r="538" spans="1:203" s="7" customFormat="1">
      <c r="A538" s="4"/>
      <c r="B538" s="4"/>
      <c r="C538" s="63"/>
      <c r="D538" s="101"/>
      <c r="E538" s="63"/>
      <c r="F538" s="63"/>
      <c r="G538" s="101"/>
      <c r="H538" s="101">
        <f>E539-E537</f>
        <v>1.145130692558232E-2</v>
      </c>
      <c r="I538" s="101">
        <f>AVERAGE(D537:D539)</f>
        <v>159.49832614703305</v>
      </c>
      <c r="J538" s="101">
        <f>I538*H538</f>
        <v>1.8264642868263072</v>
      </c>
      <c r="K538" s="61">
        <f>J538/(C539-C537)</f>
        <v>6.5230867386653832E-2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115.34111422346719</v>
      </c>
      <c r="AO538">
        <v>19.244123509856887</v>
      </c>
      <c r="AP538">
        <v>117.94901077809116</v>
      </c>
      <c r="AQ538">
        <v>167.63562073896816</v>
      </c>
      <c r="AR538">
        <v>17.598673458786891</v>
      </c>
      <c r="AS538">
        <v>201.51319673168419</v>
      </c>
      <c r="AT538">
        <v>11.899196671935265</v>
      </c>
      <c r="AU538">
        <v>20.657523290902251</v>
      </c>
      <c r="AV538"/>
      <c r="AW538"/>
      <c r="FY538" s="213">
        <v>533</v>
      </c>
      <c r="FZ538">
        <v>63.817167463920036</v>
      </c>
      <c r="GA538">
        <v>77.692057503934322</v>
      </c>
      <c r="GB538">
        <v>8.8521001425251722</v>
      </c>
      <c r="GC538">
        <v>5.5449654469525482</v>
      </c>
      <c r="GD538">
        <v>2.1001844117771675</v>
      </c>
      <c r="GE538">
        <v>2.1069619283764616</v>
      </c>
      <c r="GF538">
        <v>4.5218150076610879</v>
      </c>
      <c r="GG538">
        <v>7.0152694678489693</v>
      </c>
      <c r="GH538">
        <v>5.2819122492828701</v>
      </c>
      <c r="GI538">
        <v>14.540936359678147</v>
      </c>
      <c r="GJ538"/>
      <c r="GK538"/>
      <c r="GL538"/>
      <c r="GM538"/>
      <c r="GN538" s="208"/>
      <c r="GO538" s="208"/>
      <c r="GP538" s="208"/>
      <c r="GQ538" s="208"/>
      <c r="GR538" s="208"/>
      <c r="GS538" s="208"/>
      <c r="GT538" s="208"/>
      <c r="GU538" s="213">
        <v>533</v>
      </c>
    </row>
    <row r="539" spans="1:203" s="7" customFormat="1">
      <c r="A539" s="4"/>
      <c r="B539" s="4"/>
      <c r="C539" s="117">
        <f>C8</f>
        <v>39775</v>
      </c>
      <c r="D539" s="101">
        <f>D74</f>
        <v>90.124458874458853</v>
      </c>
      <c r="E539" s="108">
        <f>E409</f>
        <v>6.5137271234688057E-2</v>
      </c>
      <c r="F539" s="102"/>
      <c r="G539" s="101">
        <f>D539*E539</f>
        <v>5.8704613225851157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83.323485806789549</v>
      </c>
      <c r="AO539">
        <v>11.402866325689523</v>
      </c>
      <c r="AP539">
        <v>70.894955653025875</v>
      </c>
      <c r="AQ539">
        <v>89.873483296249702</v>
      </c>
      <c r="AR539">
        <v>10.620582235556226</v>
      </c>
      <c r="AS539">
        <v>134.62974885354598</v>
      </c>
      <c r="AT539" t="e">
        <v>#DIV/0!</v>
      </c>
      <c r="AU539" t="e">
        <v>#DIV/0!</v>
      </c>
      <c r="AV539"/>
      <c r="AW539"/>
      <c r="FY539" s="213">
        <v>534</v>
      </c>
      <c r="FZ539">
        <v>12.4125458377847</v>
      </c>
      <c r="GA539">
        <v>14.419329885703409</v>
      </c>
      <c r="GB539">
        <v>6.8187021033186159</v>
      </c>
      <c r="GC539">
        <v>4.3527451929249956</v>
      </c>
      <c r="GD539">
        <v>2.0719127922493108</v>
      </c>
      <c r="GE539">
        <v>2.0739020907859231</v>
      </c>
      <c r="GF539">
        <v>3.3209471818989451</v>
      </c>
      <c r="GG539">
        <v>2.7655874714061488</v>
      </c>
      <c r="GH539">
        <v>0.60080431445180338</v>
      </c>
      <c r="GI539">
        <v>5.4776716428002059</v>
      </c>
      <c r="GJ539"/>
      <c r="GK539"/>
      <c r="GL539"/>
      <c r="GM539"/>
      <c r="GN539" s="208"/>
      <c r="GO539" s="208"/>
      <c r="GP539" s="208"/>
      <c r="GQ539" s="208"/>
      <c r="GR539" s="208"/>
      <c r="GS539" s="208"/>
      <c r="GT539" s="208"/>
      <c r="GU539" s="213">
        <v>534</v>
      </c>
    </row>
    <row r="540" spans="1:203" s="7" customFormat="1">
      <c r="A540" s="4"/>
      <c r="B540" s="4"/>
      <c r="C540" s="63"/>
      <c r="D540" s="101"/>
      <c r="E540" s="63"/>
      <c r="F540" s="63"/>
      <c r="G540" s="101"/>
      <c r="H540" s="101">
        <f>E541-E539</f>
        <v>6.3823782525460476E-3</v>
      </c>
      <c r="I540" s="101">
        <f>AVERAGE(D539:D541)</f>
        <v>83.157467532467507</v>
      </c>
      <c r="J540" s="101">
        <f>I540*H540</f>
        <v>0.5307424123160247</v>
      </c>
      <c r="K540" s="61">
        <f>J540/(C541-C539)</f>
        <v>2.2114267179834363E-2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106.0922502334267</v>
      </c>
      <c r="AO540">
        <v>18.153895625570669</v>
      </c>
      <c r="AP540">
        <v>186.07135137923109</v>
      </c>
      <c r="AQ540">
        <v>161.63799509603862</v>
      </c>
      <c r="AR540">
        <v>16.888217782123125</v>
      </c>
      <c r="AS540">
        <v>187.55916925989413</v>
      </c>
      <c r="AT540" t="e">
        <v>#DIV/0!</v>
      </c>
      <c r="AU540" t="e">
        <v>#DIV/0!</v>
      </c>
      <c r="AV540"/>
      <c r="AW540"/>
      <c r="FY540" s="213">
        <v>535</v>
      </c>
      <c r="FZ540">
        <v>25.145314796980188</v>
      </c>
      <c r="GA540">
        <v>30.491816158471089</v>
      </c>
      <c r="GB540">
        <v>8.182135819609277</v>
      </c>
      <c r="GC540">
        <v>5.7756521236971174</v>
      </c>
      <c r="GD540">
        <v>2.3918989027716111</v>
      </c>
      <c r="GE540">
        <v>1.7260648698966907</v>
      </c>
      <c r="GF540">
        <v>8.0302725534168591</v>
      </c>
      <c r="GG540">
        <v>9.2082320169583038</v>
      </c>
      <c r="GH540">
        <v>3.7215429376725151</v>
      </c>
      <c r="GI540">
        <v>9.2298730001793903</v>
      </c>
      <c r="GJ540"/>
      <c r="GK540"/>
      <c r="GL540"/>
      <c r="GM540"/>
      <c r="GN540" s="208"/>
      <c r="GO540" s="208"/>
      <c r="GP540" s="208"/>
      <c r="GQ540" s="208"/>
      <c r="GR540" s="208"/>
      <c r="GS540" s="208"/>
      <c r="GT540" s="208"/>
      <c r="GU540" s="213">
        <v>535</v>
      </c>
    </row>
    <row r="541" spans="1:203" s="7" customFormat="1">
      <c r="A541" s="4"/>
      <c r="B541" s="4"/>
      <c r="C541" s="117">
        <f>C9</f>
        <v>39799</v>
      </c>
      <c r="D541" s="101">
        <f>D75</f>
        <v>76.190476190476176</v>
      </c>
      <c r="E541" s="108">
        <f>E410</f>
        <v>7.1519649487234105E-2</v>
      </c>
      <c r="F541" s="102"/>
      <c r="G541" s="101">
        <f>D541*E541</f>
        <v>5.4491161514083117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99.755062604175194</v>
      </c>
      <c r="AO541">
        <v>17.946574443347306</v>
      </c>
      <c r="AP541">
        <v>160.46799248191002</v>
      </c>
      <c r="AQ541">
        <v>141.58789579301936</v>
      </c>
      <c r="AR541">
        <v>16.62721399156522</v>
      </c>
      <c r="AS541">
        <v>192.43404629609071</v>
      </c>
      <c r="AT541" t="e">
        <v>#DIV/0!</v>
      </c>
      <c r="AU541" t="e">
        <v>#DIV/0!</v>
      </c>
      <c r="AV541"/>
      <c r="AW541"/>
      <c r="FY541" s="213">
        <v>536</v>
      </c>
      <c r="FZ541">
        <v>11.666098859364004</v>
      </c>
      <c r="GA541">
        <v>16.660090336040764</v>
      </c>
      <c r="GB541">
        <v>5.2819201764921075</v>
      </c>
      <c r="GC541">
        <v>3.3127456214689408</v>
      </c>
      <c r="GD541">
        <v>1.7726520738703315</v>
      </c>
      <c r="GE541">
        <v>1.7043428659537345</v>
      </c>
      <c r="GF541">
        <v>3.7616035982454381</v>
      </c>
      <c r="GG541">
        <v>3.1261463700359604</v>
      </c>
      <c r="GH541">
        <v>1.2016086289036068</v>
      </c>
      <c r="GI541">
        <v>4.9583747084456924</v>
      </c>
      <c r="GJ541"/>
      <c r="GK541"/>
      <c r="GL541"/>
      <c r="GM541"/>
      <c r="GN541" s="208"/>
      <c r="GO541" s="208"/>
      <c r="GP541" s="208"/>
      <c r="GQ541" s="208"/>
      <c r="GR541" s="208"/>
      <c r="GS541" s="208"/>
      <c r="GT541" s="208"/>
      <c r="GU541" s="213">
        <v>536</v>
      </c>
    </row>
    <row r="542" spans="1:203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0.22987639328838633</v>
      </c>
      <c r="I542" s="101">
        <f>AVERAGE(D541:D543)</f>
        <v>38.616071428571423</v>
      </c>
      <c r="J542" s="101">
        <f>I542*H542</f>
        <v>8.8769232229667026</v>
      </c>
      <c r="K542" s="61">
        <f>J542/(C543-C541)</f>
        <v>0.18493590047847297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88.328333301342923</v>
      </c>
      <c r="AO542">
        <v>16.057051351948054</v>
      </c>
      <c r="AP542">
        <v>132.37348749450493</v>
      </c>
      <c r="AQ542">
        <v>133.61919012493064</v>
      </c>
      <c r="AR542">
        <v>14.842371910235531</v>
      </c>
      <c r="AS542">
        <v>162.39529717789708</v>
      </c>
      <c r="AT542">
        <v>10.165125616404074</v>
      </c>
      <c r="AU542">
        <v>-8.4675675945198154</v>
      </c>
      <c r="AV542"/>
      <c r="AW542"/>
      <c r="FY542" s="213">
        <v>537</v>
      </c>
      <c r="FZ542">
        <v>23.788299038342792</v>
      </c>
      <c r="GA542">
        <v>33.756319923172207</v>
      </c>
      <c r="GB542">
        <v>10.466380186000059</v>
      </c>
      <c r="GC542">
        <v>5.7332040126486827</v>
      </c>
      <c r="GD542">
        <v>2.6166622049506376</v>
      </c>
      <c r="GE542">
        <v>2.7290074999875991</v>
      </c>
      <c r="GF542">
        <v>1.7400650893045093</v>
      </c>
      <c r="GG542">
        <v>1.477354928495715</v>
      </c>
      <c r="GH542">
        <v>0.60080431445180338</v>
      </c>
      <c r="GI542">
        <v>8.1211446410810222</v>
      </c>
      <c r="GJ542"/>
      <c r="GK542"/>
      <c r="GL542"/>
      <c r="GM542"/>
      <c r="GN542" s="208"/>
      <c r="GO542" s="208"/>
      <c r="GP542" s="208"/>
      <c r="GQ542" s="208"/>
      <c r="GR542" s="208"/>
      <c r="GS542" s="208"/>
      <c r="GT542" s="208"/>
      <c r="GU542" s="213">
        <v>537</v>
      </c>
    </row>
    <row r="543" spans="1:203" s="7" customFormat="1">
      <c r="A543" s="4"/>
      <c r="B543" s="4"/>
      <c r="C543" s="117">
        <f>C10</f>
        <v>39847</v>
      </c>
      <c r="D543" s="101">
        <f>D76</f>
        <v>1.0416666666666665</v>
      </c>
      <c r="E543" s="108">
        <f>E411</f>
        <v>0.30139604277562043</v>
      </c>
      <c r="F543" s="102"/>
      <c r="G543" s="101">
        <f>D543*E543</f>
        <v>0.3139542112246046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65.995185200148441</v>
      </c>
      <c r="AO543">
        <v>7.6806764659081299</v>
      </c>
      <c r="AP543">
        <v>29.342502272522555</v>
      </c>
      <c r="AQ543">
        <v>52.529669876186858</v>
      </c>
      <c r="AR543">
        <v>7.2918223857550259</v>
      </c>
      <c r="AS543">
        <v>100.38513103861472</v>
      </c>
      <c r="AT543">
        <v>4.5691811054723779</v>
      </c>
      <c r="AU543">
        <v>11.458784452449759</v>
      </c>
      <c r="AV543"/>
      <c r="AW543"/>
      <c r="FY543" s="213">
        <v>538</v>
      </c>
      <c r="FZ543">
        <v>27.214442102835097</v>
      </c>
      <c r="GA543">
        <v>32.655605189741472</v>
      </c>
      <c r="GB543">
        <v>6.1804024053993301</v>
      </c>
      <c r="GC543">
        <v>4.400554355357758</v>
      </c>
      <c r="GD543">
        <v>2.3683837200847924</v>
      </c>
      <c r="GE543">
        <v>2.3043468399383302</v>
      </c>
      <c r="GF543">
        <v>2.9474726245835958</v>
      </c>
      <c r="GG543">
        <v>3.423565961194877</v>
      </c>
      <c r="GH543">
        <v>1.5603693116103559</v>
      </c>
      <c r="GI543">
        <v>7.7721587303429702</v>
      </c>
      <c r="GJ543"/>
      <c r="GK543"/>
      <c r="GL543"/>
      <c r="GM543"/>
      <c r="GN543" s="208"/>
      <c r="GO543" s="208"/>
      <c r="GP543" s="208"/>
      <c r="GQ543" s="208"/>
      <c r="GR543" s="208"/>
      <c r="GS543" s="208"/>
      <c r="GT543" s="208"/>
      <c r="GU543" s="213">
        <v>538</v>
      </c>
    </row>
    <row r="544" spans="1:203" s="7" customFormat="1">
      <c r="A544" s="4"/>
      <c r="B544" s="4"/>
      <c r="C544" s="63"/>
      <c r="D544" s="101"/>
      <c r="E544" s="63"/>
      <c r="F544" s="63"/>
      <c r="G544" s="101"/>
      <c r="H544" s="101">
        <f>E545-E543</f>
        <v>-6.2917928720408162E-2</v>
      </c>
      <c r="I544" s="101">
        <f>AVERAGE(D543:D545)</f>
        <v>2.083333333333333</v>
      </c>
      <c r="J544" s="101">
        <f>I544*H544</f>
        <v>-0.13107901816751699</v>
      </c>
      <c r="K544" s="61">
        <f>J544/(C545-C543)</f>
        <v>-2.080619335992333E-3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81.500126439464665</v>
      </c>
      <c r="AO544">
        <v>15.697740333535673</v>
      </c>
      <c r="AP544">
        <v>106.74729596802565</v>
      </c>
      <c r="AQ544">
        <v>125.29174713483857</v>
      </c>
      <c r="AR544">
        <v>14.416129600099774</v>
      </c>
      <c r="AS544">
        <v>176.28710547611027</v>
      </c>
      <c r="AT544" t="e">
        <v>#DIV/0!</v>
      </c>
      <c r="AU544" t="e">
        <v>#DIV/0!</v>
      </c>
      <c r="AV544"/>
      <c r="AW544"/>
      <c r="FY544" s="213">
        <v>539</v>
      </c>
      <c r="FZ544">
        <v>40.922759277631734</v>
      </c>
      <c r="GA544">
        <v>51.221706151376296</v>
      </c>
      <c r="GB544">
        <v>5.8951578715907811</v>
      </c>
      <c r="GC544">
        <v>3.7022225871762808</v>
      </c>
      <c r="GD544">
        <v>1.8077863361920528</v>
      </c>
      <c r="GE544">
        <v>1.8130212787461297</v>
      </c>
      <c r="GF544">
        <v>3.556316727206744</v>
      </c>
      <c r="GG544">
        <v>2.7259145094766271</v>
      </c>
      <c r="GH544">
        <v>1.2016086289036068</v>
      </c>
      <c r="GI544">
        <v>9.4322752303530741</v>
      </c>
      <c r="GJ544"/>
      <c r="GK544"/>
      <c r="GL544"/>
      <c r="GM544"/>
      <c r="GN544" s="208"/>
      <c r="GO544" s="208"/>
      <c r="GP544" s="208"/>
      <c r="GQ544" s="208"/>
      <c r="GR544" s="208"/>
      <c r="GS544" s="208"/>
      <c r="GT544" s="208"/>
      <c r="GU544" s="213">
        <v>539</v>
      </c>
    </row>
    <row r="545" spans="1:203" s="7" customFormat="1">
      <c r="A545" s="4"/>
      <c r="B545" s="4"/>
      <c r="C545" s="117">
        <f>C11</f>
        <v>39910</v>
      </c>
      <c r="D545" s="101">
        <f>D77</f>
        <v>3.1249999999999996</v>
      </c>
      <c r="E545" s="108">
        <f>E412</f>
        <v>0.23847811405521227</v>
      </c>
      <c r="F545" s="102"/>
      <c r="G545" s="101">
        <f>D545*E545</f>
        <v>0.74524410642253824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96.764404759840872</v>
      </c>
      <c r="AO545">
        <v>15.530670829828583</v>
      </c>
      <c r="AP545">
        <v>97.305333917192868</v>
      </c>
      <c r="AQ545">
        <v>123.65454156294858</v>
      </c>
      <c r="AR545">
        <v>14.366502095584814</v>
      </c>
      <c r="AS545">
        <v>200.73294161384641</v>
      </c>
      <c r="AT545">
        <v>9.9374181635934189</v>
      </c>
      <c r="AU545">
        <v>30.625370706291601</v>
      </c>
      <c r="AV545"/>
      <c r="AW545"/>
      <c r="FY545" s="213">
        <v>540</v>
      </c>
      <c r="FZ545">
        <v>67.654403586896393</v>
      </c>
      <c r="GA545">
        <v>82.253782050803224</v>
      </c>
      <c r="GB545">
        <v>6.4307268836360469</v>
      </c>
      <c r="GC545">
        <v>4.0123675895883961</v>
      </c>
      <c r="GD545">
        <v>2.1039275643846844</v>
      </c>
      <c r="GE545">
        <v>2.2500870155233068</v>
      </c>
      <c r="GF545">
        <v>4.9954860603891964</v>
      </c>
      <c r="GG545">
        <v>4.280622939003659</v>
      </c>
      <c r="GH545">
        <v>0</v>
      </c>
      <c r="GI545">
        <v>13.773731635261369</v>
      </c>
      <c r="GJ545"/>
      <c r="GK545"/>
      <c r="GL545"/>
      <c r="GM545"/>
      <c r="GN545" s="208"/>
      <c r="GO545" s="208"/>
      <c r="GP545" s="208"/>
      <c r="GQ545" s="208"/>
      <c r="GR545" s="208"/>
      <c r="GS545" s="208"/>
      <c r="GT545" s="208"/>
      <c r="GU545" s="213">
        <v>540</v>
      </c>
    </row>
    <row r="546" spans="1:203" s="7" customFormat="1">
      <c r="A546" s="4"/>
      <c r="B546" s="4"/>
      <c r="C546" s="63"/>
      <c r="D546" s="101"/>
      <c r="E546" s="63"/>
      <c r="F546" s="63"/>
      <c r="G546" s="101"/>
      <c r="H546" s="101">
        <f>E547-E545</f>
        <v>-7.4716969042642745E-2</v>
      </c>
      <c r="I546" s="101">
        <f>AVERAGE(D545:D547)</f>
        <v>19.965277777777779</v>
      </c>
      <c r="J546" s="101">
        <f>I546*H546</f>
        <v>-1.4917450416499853</v>
      </c>
      <c r="K546" s="61">
        <f>J546/(C547-C545)</f>
        <v>-3.8249872862820139E-2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78.877953384418902</v>
      </c>
      <c r="AO546">
        <v>12.915472995727171</v>
      </c>
      <c r="AP546">
        <v>82.976725601989997</v>
      </c>
      <c r="AQ546">
        <v>95.517839797290407</v>
      </c>
      <c r="AR546">
        <v>11.998138844778614</v>
      </c>
      <c r="AS546">
        <v>132.31014829831875</v>
      </c>
      <c r="AT546">
        <v>7.9186896091469015</v>
      </c>
      <c r="AU546">
        <v>37.666533291723916</v>
      </c>
      <c r="AV546"/>
      <c r="AW546"/>
      <c r="FY546" s="213">
        <v>541</v>
      </c>
      <c r="FZ546">
        <v>43.163912639365471</v>
      </c>
      <c r="GA546">
        <v>53.584414931005689</v>
      </c>
      <c r="GB546">
        <v>7.6864849905789416</v>
      </c>
      <c r="GC546">
        <v>4.5930562618105863</v>
      </c>
      <c r="GD546">
        <v>1.9505110920552839</v>
      </c>
      <c r="GE546">
        <v>2.2855024111060422</v>
      </c>
      <c r="GF546">
        <v>4.162755664893603</v>
      </c>
      <c r="GG546">
        <v>5.6594282624992154</v>
      </c>
      <c r="GH546">
        <v>4.3223472521243185</v>
      </c>
      <c r="GI546">
        <v>10.904437163371696</v>
      </c>
      <c r="GJ546"/>
      <c r="GK546"/>
      <c r="GL546"/>
      <c r="GM546"/>
      <c r="GN546" s="208"/>
      <c r="GO546" s="208"/>
      <c r="GP546" s="208"/>
      <c r="GQ546" s="208"/>
      <c r="GR546" s="208"/>
      <c r="GS546" s="208"/>
      <c r="GT546" s="208"/>
      <c r="GU546" s="213">
        <v>541</v>
      </c>
    </row>
    <row r="547" spans="1:203" s="7" customFormat="1">
      <c r="A547" s="4"/>
      <c r="B547" s="4"/>
      <c r="C547" s="117">
        <f>C12</f>
        <v>39949</v>
      </c>
      <c r="D547" s="101">
        <f>D78</f>
        <v>36.805555555555557</v>
      </c>
      <c r="E547" s="108">
        <f>E413</f>
        <v>0.16376114501256953</v>
      </c>
      <c r="F547" s="102"/>
      <c r="G547" s="101">
        <f>D547*E547</f>
        <v>6.0273199206015171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84.388590297229996</v>
      </c>
      <c r="AO547">
        <v>15.791503113160761</v>
      </c>
      <c r="AP547">
        <v>111.25993989401408</v>
      </c>
      <c r="AQ547">
        <v>132.14209536174607</v>
      </c>
      <c r="AR547">
        <v>14.713819728567243</v>
      </c>
      <c r="AS547">
        <v>156.37447189356979</v>
      </c>
      <c r="AT547">
        <v>9.6845072388084219</v>
      </c>
      <c r="AU547">
        <v>27.899701460096693</v>
      </c>
      <c r="AV547"/>
      <c r="AW547"/>
      <c r="FY547" s="213">
        <v>542</v>
      </c>
      <c r="FZ547">
        <v>34.17233049231929</v>
      </c>
      <c r="GA547">
        <v>39.988145688902883</v>
      </c>
      <c r="GB547">
        <v>7.1521678285398895</v>
      </c>
      <c r="GC547">
        <v>4.0558110399956835</v>
      </c>
      <c r="GD547">
        <v>1.7117407411469554</v>
      </c>
      <c r="GE547">
        <v>2.1601660218505545</v>
      </c>
      <c r="GF547">
        <v>4.2130437465081121</v>
      </c>
      <c r="GG547">
        <v>4.420845451151254</v>
      </c>
      <c r="GH547">
        <v>3.3627822549657664</v>
      </c>
      <c r="GI547">
        <v>9.1639984967125443</v>
      </c>
      <c r="GJ547"/>
      <c r="GK547"/>
      <c r="GL547"/>
      <c r="GM547"/>
      <c r="GN547" s="208"/>
      <c r="GO547" s="208"/>
      <c r="GP547" s="208"/>
      <c r="GQ547" s="208"/>
      <c r="GR547" s="208"/>
      <c r="GS547" s="208"/>
      <c r="GT547" s="208"/>
      <c r="GU547" s="213">
        <v>542</v>
      </c>
    </row>
    <row r="548" spans="1:203" s="7" customFormat="1">
      <c r="A548" s="4"/>
      <c r="B548" s="4"/>
      <c r="C548" s="63"/>
      <c r="D548" s="101"/>
      <c r="E548" s="63"/>
      <c r="F548" s="63"/>
      <c r="G548" s="101"/>
      <c r="H548" s="101">
        <f>E549-E547</f>
        <v>1.1950307099256916</v>
      </c>
      <c r="I548" s="101">
        <f>AVERAGE(D547:D549)</f>
        <v>19.444444444444446</v>
      </c>
      <c r="J548" s="101">
        <f>I548*H548</f>
        <v>23.236708248555118</v>
      </c>
      <c r="K548" s="61">
        <f>J548/(C549-C547)</f>
        <v>0.61149232233039785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60.701685161243994</v>
      </c>
      <c r="AO548">
        <v>7.4183270132831165</v>
      </c>
      <c r="AP548">
        <v>37.518094611410937</v>
      </c>
      <c r="AQ548">
        <v>60.600109558882323</v>
      </c>
      <c r="AR548">
        <v>6.8078223476606112</v>
      </c>
      <c r="AS548">
        <v>96.547792952657488</v>
      </c>
      <c r="AT548" t="e">
        <v>#DIV/0!</v>
      </c>
      <c r="AU548" t="e">
        <v>#DIV/0!</v>
      </c>
      <c r="AV548"/>
      <c r="AW548"/>
      <c r="FY548" s="213">
        <v>543</v>
      </c>
      <c r="FZ548">
        <v>27.732228092049333</v>
      </c>
      <c r="GA548">
        <v>39.852966045972202</v>
      </c>
      <c r="GB548">
        <v>10.017885645878025</v>
      </c>
      <c r="GC548">
        <v>4.2770613730404436</v>
      </c>
      <c r="GD548">
        <v>2.0255704612462657</v>
      </c>
      <c r="GE548">
        <v>2.5173279519484031</v>
      </c>
      <c r="GF548">
        <v>1.9989279366592347</v>
      </c>
      <c r="GG548">
        <v>5.077576615828332</v>
      </c>
      <c r="GH548">
        <v>5.2819122492828701</v>
      </c>
      <c r="GI548">
        <v>9.0047932033346409</v>
      </c>
      <c r="GJ548"/>
      <c r="GK548"/>
      <c r="GL548"/>
      <c r="GM548"/>
      <c r="GN548" s="208"/>
      <c r="GO548" s="208"/>
      <c r="GP548" s="208"/>
      <c r="GQ548" s="208"/>
      <c r="GR548" s="208"/>
      <c r="GS548" s="208"/>
      <c r="GT548" s="208"/>
      <c r="GU548" s="213">
        <v>543</v>
      </c>
    </row>
    <row r="549" spans="1:203" s="7" customFormat="1">
      <c r="A549" s="4"/>
      <c r="B549" s="4"/>
      <c r="C549" s="117">
        <f>C13</f>
        <v>39987</v>
      </c>
      <c r="D549" s="101">
        <f>D79</f>
        <v>2.083333333333333</v>
      </c>
      <c r="E549" s="108">
        <f>E414</f>
        <v>1.3587918549382612</v>
      </c>
      <c r="F549" s="102"/>
      <c r="G549" s="101">
        <f>D549*E549</f>
        <v>2.8308163644547104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113.65671409810609</v>
      </c>
      <c r="AO549">
        <v>22.084419319507035</v>
      </c>
      <c r="AP549">
        <v>153.3632208931854</v>
      </c>
      <c r="AQ549">
        <v>191.47336998195675</v>
      </c>
      <c r="AR549">
        <v>20.189699292188699</v>
      </c>
      <c r="AS549">
        <v>262.11972850267233</v>
      </c>
      <c r="AT549">
        <v>13.337983773313953</v>
      </c>
      <c r="AU549">
        <v>29.779194832042329</v>
      </c>
      <c r="AV549"/>
      <c r="AW549"/>
      <c r="FY549" s="213">
        <v>544</v>
      </c>
      <c r="FZ549">
        <v>55.855397158514108</v>
      </c>
      <c r="GA549">
        <v>70.525848342442245</v>
      </c>
      <c r="GB549">
        <v>11.3868058547309</v>
      </c>
      <c r="GC549">
        <v>5.9928645443825745</v>
      </c>
      <c r="GD549">
        <v>2.0735641316029145</v>
      </c>
      <c r="GE549">
        <v>2.2058545195091357</v>
      </c>
      <c r="GF549">
        <v>3.9207131970230296</v>
      </c>
      <c r="GG549">
        <v>4.3357780868034288</v>
      </c>
      <c r="GH549">
        <v>2.1611736260621592</v>
      </c>
      <c r="GI549">
        <v>13.429606075119629</v>
      </c>
      <c r="GJ549"/>
      <c r="GK549"/>
      <c r="GL549"/>
      <c r="GM549"/>
      <c r="GN549" s="208"/>
      <c r="GO549" s="208"/>
      <c r="GP549" s="208"/>
      <c r="GQ549" s="208"/>
      <c r="GR549" s="208"/>
      <c r="GS549" s="208"/>
      <c r="GT549" s="208"/>
      <c r="GU549" s="213">
        <v>544</v>
      </c>
    </row>
    <row r="550" spans="1:203" s="7" customFormat="1">
      <c r="A550" s="4"/>
      <c r="B550" s="4"/>
      <c r="C550" s="63"/>
      <c r="D550" s="101"/>
      <c r="E550" s="63"/>
      <c r="F550" s="63"/>
      <c r="G550" s="101"/>
      <c r="H550" s="101">
        <f>E551-E549</f>
        <v>-1.3587918549382612</v>
      </c>
      <c r="I550" s="101">
        <f>AVERAGE(D549:D551)</f>
        <v>1.0416666666666665</v>
      </c>
      <c r="J550" s="101">
        <f>I550*H550</f>
        <v>-1.4154081822273552</v>
      </c>
      <c r="K550" s="61">
        <f>J550/(C551-C549)</f>
        <v>3.5396708485941814E-5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67.479239836960431</v>
      </c>
      <c r="AO550">
        <v>7.9582207927444886</v>
      </c>
      <c r="AP550">
        <v>51.206236813651337</v>
      </c>
      <c r="AQ550">
        <v>54.314148513324056</v>
      </c>
      <c r="AR550">
        <v>7.5569467521948166</v>
      </c>
      <c r="AS550">
        <v>106.31421222664373</v>
      </c>
      <c r="AT550" t="e">
        <v>#DIV/0!</v>
      </c>
      <c r="AU550" t="e">
        <v>#DIV/0!</v>
      </c>
      <c r="AV550"/>
      <c r="AW550"/>
      <c r="FY550" s="213">
        <v>545</v>
      </c>
      <c r="FZ550">
        <v>2.957394149255137</v>
      </c>
      <c r="GA550">
        <v>6.0643283316385208</v>
      </c>
      <c r="GB550">
        <v>7.1799744172362665</v>
      </c>
      <c r="GC550">
        <v>4.6860952685026032</v>
      </c>
      <c r="GD550">
        <v>1.7904683182343653</v>
      </c>
      <c r="GE550">
        <v>1.4127328738321832</v>
      </c>
      <c r="GF550">
        <v>3.4401227669617169</v>
      </c>
      <c r="GG550">
        <v>3.9644973208245897</v>
      </c>
      <c r="GH550">
        <v>3.3627822549657664</v>
      </c>
      <c r="GI550">
        <v>4.4588542344663189</v>
      </c>
      <c r="GJ550"/>
      <c r="GK550"/>
      <c r="GL550"/>
      <c r="GM550"/>
      <c r="GN550" s="208"/>
      <c r="GO550" s="208"/>
      <c r="GP550" s="208"/>
      <c r="GQ550" s="208"/>
      <c r="GR550" s="208"/>
      <c r="GS550" s="208"/>
      <c r="GT550" s="208"/>
      <c r="GU550" s="213">
        <v>545</v>
      </c>
    </row>
    <row r="551" spans="1:203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107.39943749530464</v>
      </c>
      <c r="AO551">
        <v>13.70104500054109</v>
      </c>
      <c r="AP551">
        <v>79.8000185788583</v>
      </c>
      <c r="AQ551">
        <v>103.90280317965305</v>
      </c>
      <c r="AR551">
        <v>12.693918265222276</v>
      </c>
      <c r="AS551">
        <v>177.91679520562269</v>
      </c>
      <c r="AT551">
        <v>8.8031900804645158</v>
      </c>
      <c r="AU551">
        <v>-21.441206655726013</v>
      </c>
      <c r="AV551"/>
      <c r="AW551"/>
      <c r="FY551" s="213">
        <v>546</v>
      </c>
      <c r="FZ551">
        <v>17.208544308222827</v>
      </c>
      <c r="GA551">
        <v>25.07926298303925</v>
      </c>
      <c r="GB551">
        <v>11.509075937900391</v>
      </c>
      <c r="GC551">
        <v>5.941086712429489</v>
      </c>
      <c r="GD551">
        <v>2.0624236134435603</v>
      </c>
      <c r="GE551">
        <v>2.6411114139578689</v>
      </c>
      <c r="GF551">
        <v>6.3088068859461028</v>
      </c>
      <c r="GG551">
        <v>7.4314603140672375</v>
      </c>
      <c r="GH551">
        <v>3.1207386232207117</v>
      </c>
      <c r="GI551">
        <v>8.2985528695942179</v>
      </c>
      <c r="GJ551"/>
      <c r="GK551"/>
      <c r="GL551"/>
      <c r="GM551"/>
      <c r="GN551" s="208"/>
      <c r="GO551" s="208"/>
      <c r="GP551" s="208"/>
      <c r="GQ551" s="208"/>
      <c r="GR551" s="208"/>
      <c r="GS551" s="208"/>
      <c r="GT551" s="208"/>
      <c r="GU551" s="213">
        <v>546</v>
      </c>
    </row>
    <row r="552" spans="1:203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59.27989320728291</v>
      </c>
      <c r="AO552">
        <v>7.3529968186414294</v>
      </c>
      <c r="AP552">
        <v>44.768415485240709</v>
      </c>
      <c r="AQ552">
        <v>53.445583238820575</v>
      </c>
      <c r="AR552">
        <v>6.8396356421329676</v>
      </c>
      <c r="AS552">
        <v>96.17374363801801</v>
      </c>
      <c r="AT552" t="e">
        <v>#DIV/0!</v>
      </c>
      <c r="AU552" t="e">
        <v>#DIV/0!</v>
      </c>
      <c r="AV552"/>
      <c r="AW552"/>
      <c r="FY552" s="213">
        <v>547</v>
      </c>
      <c r="FZ552">
        <v>21.368816866591153</v>
      </c>
      <c r="GA552">
        <v>25.426330604544297</v>
      </c>
      <c r="GB552">
        <v>10.770413170320836</v>
      </c>
      <c r="GC552">
        <v>6.2150527961079609</v>
      </c>
      <c r="GD552">
        <v>1.9649906378121003</v>
      </c>
      <c r="GE552">
        <v>2.28678171829046</v>
      </c>
      <c r="GF552">
        <v>4.8462040658300722</v>
      </c>
      <c r="GG552">
        <v>7.4718833212556426</v>
      </c>
      <c r="GH552">
        <v>5.2819122492828701</v>
      </c>
      <c r="GI552">
        <v>8.737789515899868</v>
      </c>
      <c r="GJ552"/>
      <c r="GK552"/>
      <c r="GL552"/>
      <c r="GM552"/>
      <c r="GN552" s="208"/>
      <c r="GO552" s="208"/>
      <c r="GP552" s="208"/>
      <c r="GQ552" s="208"/>
      <c r="GR552" s="208"/>
      <c r="GS552" s="208"/>
      <c r="GT552" s="208"/>
      <c r="GU552" s="213">
        <v>547</v>
      </c>
    </row>
    <row r="553" spans="1:203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87.538004885862378</v>
      </c>
      <c r="AO553">
        <v>12.292564543275107</v>
      </c>
      <c r="AP553">
        <v>74.321008906784755</v>
      </c>
      <c r="AQ553">
        <v>91.029241838435041</v>
      </c>
      <c r="AR553">
        <v>11.285803235581605</v>
      </c>
      <c r="AS553">
        <v>153.26396299029011</v>
      </c>
      <c r="AT553" t="e">
        <v>#DIV/0!</v>
      </c>
      <c r="AU553" t="e">
        <v>#DIV/0!</v>
      </c>
      <c r="AV553"/>
      <c r="AW553"/>
      <c r="FY553" s="213">
        <v>548</v>
      </c>
      <c r="FZ553">
        <v>28.784581037636272</v>
      </c>
      <c r="GA553">
        <v>37.714312680888661</v>
      </c>
      <c r="GB553">
        <v>4.5344111451738733</v>
      </c>
      <c r="GC553">
        <v>2.04676364775219</v>
      </c>
      <c r="GD553">
        <v>1.6907784015062248</v>
      </c>
      <c r="GE553">
        <v>1.3510217999766394</v>
      </c>
      <c r="GF553">
        <v>4.3848629154164493</v>
      </c>
      <c r="GG553">
        <v>7.2256290846982374</v>
      </c>
      <c r="GH553">
        <v>5.2819122492828701</v>
      </c>
      <c r="GI553">
        <v>8.05976273184082</v>
      </c>
      <c r="GJ553"/>
      <c r="GK553"/>
      <c r="GL553"/>
      <c r="GM553"/>
      <c r="GN553" s="208"/>
      <c r="GO553" s="208"/>
      <c r="GP553" s="208"/>
      <c r="GQ553" s="208"/>
      <c r="GR553" s="208"/>
      <c r="GS553" s="208"/>
      <c r="GT553" s="208"/>
      <c r="GU553" s="213">
        <v>548</v>
      </c>
    </row>
    <row r="554" spans="1:203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96.336230306298759</v>
      </c>
      <c r="AO554">
        <v>11.614412603690777</v>
      </c>
      <c r="AP554">
        <v>89.745780601946109</v>
      </c>
      <c r="AQ554">
        <v>90.827301241088591</v>
      </c>
      <c r="AR554">
        <v>10.736963631732921</v>
      </c>
      <c r="AS554">
        <v>155.96669496502571</v>
      </c>
      <c r="AT554" t="e">
        <v>#DIV/0!</v>
      </c>
      <c r="AU554" t="e">
        <v>#DIV/0!</v>
      </c>
      <c r="AV554"/>
      <c r="AW554"/>
      <c r="FY554" s="213">
        <v>549</v>
      </c>
      <c r="FZ554">
        <v>33.780583188075809</v>
      </c>
      <c r="GA554">
        <v>45.413108412419994</v>
      </c>
      <c r="GB554">
        <v>10.455101285418607</v>
      </c>
      <c r="GC554">
        <v>5.6830620427421152</v>
      </c>
      <c r="GD554">
        <v>1.5627217998470588</v>
      </c>
      <c r="GE554">
        <v>0.86582739926423569</v>
      </c>
      <c r="GF554">
        <v>2.6408600735964805</v>
      </c>
      <c r="GG554">
        <v>2.0472373827059211</v>
      </c>
      <c r="GH554">
        <v>0.60080431445180338</v>
      </c>
      <c r="GI554">
        <v>9.0764788908571639</v>
      </c>
      <c r="GJ554"/>
      <c r="GK554"/>
      <c r="GL554"/>
      <c r="GM554"/>
      <c r="GN554" s="208"/>
      <c r="GO554" s="208"/>
      <c r="GP554" s="208"/>
      <c r="GQ554" s="208"/>
      <c r="GR554" s="208"/>
      <c r="GS554" s="208"/>
      <c r="GT554" s="208"/>
      <c r="GU554" s="213">
        <v>549</v>
      </c>
    </row>
    <row r="555" spans="1:203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70.011106784667874</v>
      </c>
      <c r="AO555">
        <v>14.251204282976961</v>
      </c>
      <c r="AP555">
        <v>110.78138956232534</v>
      </c>
      <c r="AQ555">
        <v>122.27876859865333</v>
      </c>
      <c r="AR555">
        <v>13.097573106740837</v>
      </c>
      <c r="AS555">
        <v>155.13395761658921</v>
      </c>
      <c r="AT555" t="e">
        <v>#DIV/0!</v>
      </c>
      <c r="AU555" t="e">
        <v>#DIV/0!</v>
      </c>
      <c r="AV555"/>
      <c r="AW555"/>
      <c r="FY555" s="213">
        <v>550</v>
      </c>
      <c r="FZ555">
        <v>17.713299579109925</v>
      </c>
      <c r="GA555">
        <v>29.715043063566178</v>
      </c>
      <c r="GB555">
        <v>15.881441202808373</v>
      </c>
      <c r="GC555">
        <v>8.3808258469789649</v>
      </c>
      <c r="GD555">
        <v>2.9210610835807969</v>
      </c>
      <c r="GE555">
        <v>2.8461424567892593</v>
      </c>
      <c r="GF555">
        <v>2.8138818249729618</v>
      </c>
      <c r="GG555">
        <v>2.075438619161631</v>
      </c>
      <c r="GH555">
        <v>1.2016086289036068</v>
      </c>
      <c r="GI555">
        <v>9.020733994742832</v>
      </c>
      <c r="GJ555"/>
      <c r="GK555"/>
      <c r="GL555"/>
      <c r="GM555"/>
      <c r="GN555" s="208"/>
      <c r="GO555" s="208"/>
      <c r="GP555" s="208"/>
      <c r="GQ555" s="208"/>
      <c r="GR555" s="208"/>
      <c r="GS555" s="208"/>
      <c r="GT555" s="208"/>
      <c r="GU555" s="213">
        <v>550</v>
      </c>
    </row>
    <row r="556" spans="1:203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4.4486684966619974</v>
      </c>
      <c r="H556" s="63" t="s">
        <v>103</v>
      </c>
      <c r="I556" s="123">
        <f>SUM(J532:J552)+G531</f>
        <v>32.754306691825469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100.37228359734698</v>
      </c>
      <c r="AO556">
        <v>20.996532744230219</v>
      </c>
      <c r="AP556">
        <v>139.19697653994251</v>
      </c>
      <c r="AQ556">
        <v>187.75513532548626</v>
      </c>
      <c r="AR556">
        <v>19.125226130810614</v>
      </c>
      <c r="AS556">
        <v>223.70419071994911</v>
      </c>
      <c r="AT556" t="e">
        <v>#DIV/0!</v>
      </c>
      <c r="AU556" t="e">
        <v>#DIV/0!</v>
      </c>
      <c r="AV556"/>
      <c r="AW556"/>
      <c r="FY556" s="213">
        <v>551</v>
      </c>
      <c r="FZ556">
        <v>35.586675207795608</v>
      </c>
      <c r="GA556">
        <v>43.645282337532649</v>
      </c>
      <c r="GB556">
        <v>9.4225752431816368</v>
      </c>
      <c r="GC556">
        <v>5.5125205327422444</v>
      </c>
      <c r="GD556">
        <v>1.7902775482358741</v>
      </c>
      <c r="GE556">
        <v>1.8814594839397056</v>
      </c>
      <c r="GF556">
        <v>4.8775130577945696</v>
      </c>
      <c r="GG556">
        <v>4.0101572591888033</v>
      </c>
      <c r="GH556">
        <v>0</v>
      </c>
      <c r="GI556">
        <v>9.5684325688239973</v>
      </c>
      <c r="GJ556"/>
      <c r="GK556"/>
      <c r="GL556"/>
      <c r="GM556"/>
      <c r="GN556" s="208"/>
      <c r="GO556" s="208"/>
      <c r="GP556" s="208"/>
      <c r="GQ556" s="208"/>
      <c r="GR556" s="208"/>
      <c r="GS556" s="208"/>
      <c r="GT556" s="208"/>
      <c r="GU556" s="213">
        <v>551</v>
      </c>
    </row>
    <row r="557" spans="1:203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96.096900388507905</v>
      </c>
      <c r="AO557">
        <v>16.437001482901429</v>
      </c>
      <c r="AP557">
        <v>109.2203635686147</v>
      </c>
      <c r="AQ557">
        <v>138.31285066881085</v>
      </c>
      <c r="AR557">
        <v>15.106760434271001</v>
      </c>
      <c r="AS557">
        <v>182.13262139404586</v>
      </c>
      <c r="AT557">
        <v>10.202333655435224</v>
      </c>
      <c r="AU557">
        <v>18.796887852915678</v>
      </c>
      <c r="AV557"/>
      <c r="AW557"/>
      <c r="FY557" s="213">
        <v>552</v>
      </c>
      <c r="FZ557">
        <v>37.460037267041379</v>
      </c>
      <c r="GA557">
        <v>44.931609616734697</v>
      </c>
      <c r="GB557">
        <v>8.662041662055163</v>
      </c>
      <c r="GC557">
        <v>5.1686736498695263</v>
      </c>
      <c r="GD557">
        <v>2.2999262948265331</v>
      </c>
      <c r="GE557">
        <v>3.3292555805148716</v>
      </c>
      <c r="GF557">
        <v>4.181355086727355</v>
      </c>
      <c r="GG557">
        <v>5.199090338974294</v>
      </c>
      <c r="GH557">
        <v>3.7215429376725151</v>
      </c>
      <c r="GI557">
        <v>10.421833193106576</v>
      </c>
      <c r="GJ557"/>
      <c r="GK557"/>
      <c r="GL557"/>
      <c r="GM557"/>
      <c r="GN557" s="208"/>
      <c r="GO557" s="208"/>
      <c r="GP557" s="208"/>
      <c r="GQ557" s="208"/>
      <c r="GR557" s="208"/>
      <c r="GS557" s="208"/>
      <c r="GT557" s="208"/>
      <c r="GU557" s="213">
        <v>552</v>
      </c>
    </row>
    <row r="558" spans="1:203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82.436988943086789</v>
      </c>
      <c r="AO558">
        <v>13.47450833291702</v>
      </c>
      <c r="AP558">
        <v>73.405322546204516</v>
      </c>
      <c r="AQ558">
        <v>110.40103176209294</v>
      </c>
      <c r="AR558">
        <v>12.717907952908934</v>
      </c>
      <c r="AS558">
        <v>165.31928527367688</v>
      </c>
      <c r="AT558">
        <v>8.3164350565804934</v>
      </c>
      <c r="AU558">
        <v>23.701651039982234</v>
      </c>
      <c r="AV558"/>
      <c r="AW558"/>
      <c r="FY558" s="213">
        <v>553</v>
      </c>
      <c r="FZ558">
        <v>29.151442754356793</v>
      </c>
      <c r="GA558">
        <v>45.317334419505329</v>
      </c>
      <c r="GB558">
        <v>16.276367961727811</v>
      </c>
      <c r="GC558">
        <v>7.0233960669147617</v>
      </c>
      <c r="GD558">
        <v>1.6262420794060224</v>
      </c>
      <c r="GE558">
        <v>1.2798505772315869</v>
      </c>
      <c r="GF558">
        <v>5.7749467494525373</v>
      </c>
      <c r="GG558">
        <v>7.3518824591672409</v>
      </c>
      <c r="GH558">
        <v>3.7215429376725151</v>
      </c>
      <c r="GI558">
        <v>11.052954489709322</v>
      </c>
      <c r="GJ558"/>
      <c r="GK558"/>
      <c r="GL558"/>
      <c r="GM558"/>
      <c r="GN558" s="208"/>
      <c r="GO558" s="208"/>
      <c r="GP558" s="208"/>
      <c r="GQ558" s="208"/>
      <c r="GR558" s="208"/>
      <c r="GS558" s="208"/>
      <c r="GT558" s="208"/>
      <c r="GU558" s="213">
        <v>553</v>
      </c>
    </row>
    <row r="559" spans="1:203" s="7" customFormat="1">
      <c r="A559" s="4"/>
      <c r="B559" s="4"/>
      <c r="C559" s="63"/>
      <c r="D559" s="63"/>
      <c r="E559" s="63" t="s">
        <v>102</v>
      </c>
      <c r="F559" s="101">
        <f>I556/G556</f>
        <v>7.3627213887486231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85.495875916679651</v>
      </c>
      <c r="AO559">
        <v>13.565850255174078</v>
      </c>
      <c r="AP559">
        <v>100.7146416034681</v>
      </c>
      <c r="AQ559">
        <v>107.78624957523974</v>
      </c>
      <c r="AR559">
        <v>12.524804423200823</v>
      </c>
      <c r="AS559">
        <v>176.42764556487029</v>
      </c>
      <c r="AT559">
        <v>8.5035575621142829</v>
      </c>
      <c r="AU559">
        <v>-14.746798474237995</v>
      </c>
      <c r="AV559"/>
      <c r="AW559"/>
      <c r="FY559" s="213">
        <v>554</v>
      </c>
      <c r="FZ559">
        <v>18.28442440057195</v>
      </c>
      <c r="GA559">
        <v>22.156124981868128</v>
      </c>
      <c r="GB559">
        <v>7.3271377136514575</v>
      </c>
      <c r="GC559">
        <v>5.8259625871440912</v>
      </c>
      <c r="GD559">
        <v>3.1195661046727863</v>
      </c>
      <c r="GE559">
        <v>2.3568903670099544</v>
      </c>
      <c r="GF559">
        <v>2.6630175801294325</v>
      </c>
      <c r="GG559">
        <v>3.4672287163226567</v>
      </c>
      <c r="GH559">
        <v>2.1611736260621592</v>
      </c>
      <c r="GI559">
        <v>7.1659208002441757</v>
      </c>
      <c r="GJ559"/>
      <c r="GK559"/>
      <c r="GL559"/>
      <c r="GM559"/>
      <c r="GN559" s="208"/>
      <c r="GO559" s="208"/>
      <c r="GP559" s="208"/>
      <c r="GQ559" s="208"/>
      <c r="GR559" s="208"/>
      <c r="GS559" s="208"/>
      <c r="GT559" s="208"/>
      <c r="GU559" s="213">
        <v>554</v>
      </c>
    </row>
    <row r="560" spans="1:203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111.66681661133362</v>
      </c>
      <c r="AO560">
        <v>20.383431432060341</v>
      </c>
      <c r="AP560">
        <v>119.87763348521274</v>
      </c>
      <c r="AQ560">
        <v>171.88760553619011</v>
      </c>
      <c r="AR560">
        <v>18.693876839946221</v>
      </c>
      <c r="AS560">
        <v>230.72013304933427</v>
      </c>
      <c r="AT560">
        <v>11.932001626877655</v>
      </c>
      <c r="AU560">
        <v>12.363307449306022</v>
      </c>
      <c r="AV560"/>
      <c r="AW560"/>
      <c r="FY560" s="213">
        <v>555</v>
      </c>
      <c r="FZ560">
        <v>28.492564087469894</v>
      </c>
      <c r="GA560">
        <v>33.519428904866579</v>
      </c>
      <c r="GB560">
        <v>4.2064401768172175</v>
      </c>
      <c r="GC560">
        <v>3.8021996265137972</v>
      </c>
      <c r="GD560">
        <v>3.0535877773550415</v>
      </c>
      <c r="GE560">
        <v>3.7038590604743948</v>
      </c>
      <c r="GF560">
        <v>5.6530359943424511</v>
      </c>
      <c r="GG560">
        <v>5.923427404109213</v>
      </c>
      <c r="GH560">
        <v>1.5603693116103559</v>
      </c>
      <c r="GI560">
        <v>8.3148951226875951</v>
      </c>
      <c r="GJ560"/>
      <c r="GK560"/>
      <c r="GL560"/>
      <c r="GM560"/>
      <c r="GN560" s="208"/>
      <c r="GO560" s="208"/>
      <c r="GP560" s="208"/>
      <c r="GQ560" s="208"/>
      <c r="GR560" s="208"/>
      <c r="GS560" s="208"/>
      <c r="GT560" s="208"/>
      <c r="GU560" s="213">
        <v>555</v>
      </c>
    </row>
    <row r="561" spans="1:203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63.570210113960101</v>
      </c>
      <c r="AO561">
        <v>6.5509390228860056</v>
      </c>
      <c r="AP561">
        <v>25.544042787710222</v>
      </c>
      <c r="AQ561">
        <v>39.317249935917474</v>
      </c>
      <c r="AR561">
        <v>6.1793478679293683</v>
      </c>
      <c r="AS561">
        <v>87.856002978023156</v>
      </c>
      <c r="AT561">
        <v>4.0697623089837052</v>
      </c>
      <c r="AU561">
        <v>-58.782545572153182</v>
      </c>
      <c r="AV561"/>
      <c r="AW561"/>
      <c r="FY561" s="213">
        <v>556</v>
      </c>
      <c r="FZ561">
        <v>32.082677979694893</v>
      </c>
      <c r="GA561">
        <v>42.380122518890325</v>
      </c>
      <c r="GB561">
        <v>10.872040419842076</v>
      </c>
      <c r="GC561">
        <v>5.4828038717287857</v>
      </c>
      <c r="GD561">
        <v>1.9548224656560058</v>
      </c>
      <c r="GE561">
        <v>2.2519605198475845</v>
      </c>
      <c r="GF561">
        <v>2.5887929496323707</v>
      </c>
      <c r="GG561">
        <v>5.6427194187154956</v>
      </c>
      <c r="GH561">
        <v>5.2819122492828701</v>
      </c>
      <c r="GI561">
        <v>9.9630282732069784</v>
      </c>
      <c r="GJ561"/>
      <c r="GK561"/>
      <c r="GL561"/>
      <c r="GM561"/>
      <c r="GN561" s="208"/>
      <c r="GO561" s="208"/>
      <c r="GP561" s="208"/>
      <c r="GQ561" s="208"/>
      <c r="GR561" s="208"/>
      <c r="GS561" s="208"/>
      <c r="GT561" s="208"/>
      <c r="GU561" s="213">
        <v>556</v>
      </c>
    </row>
    <row r="562" spans="1:203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103.8409509873062</v>
      </c>
      <c r="AO562">
        <v>12.496653936963073</v>
      </c>
      <c r="AP562">
        <v>62.456707397252366</v>
      </c>
      <c r="AQ562">
        <v>89.601063661821655</v>
      </c>
      <c r="AR562">
        <v>11.455421736917112</v>
      </c>
      <c r="AS562">
        <v>157.62419337281975</v>
      </c>
      <c r="AT562" t="e">
        <v>#DIV/0!</v>
      </c>
      <c r="AU562" t="e">
        <v>#DIV/0!</v>
      </c>
      <c r="AV562"/>
      <c r="AW562"/>
      <c r="FY562" s="213">
        <v>557</v>
      </c>
      <c r="FZ562">
        <v>7.4207402339100703</v>
      </c>
      <c r="GA562">
        <v>14.255908862578915</v>
      </c>
      <c r="GB562">
        <v>13.427551307980551</v>
      </c>
      <c r="GC562">
        <v>7.8072525859764026</v>
      </c>
      <c r="GD562">
        <v>2.7539125859804789</v>
      </c>
      <c r="GE562">
        <v>2.4707953118931822</v>
      </c>
      <c r="GF562">
        <v>3.9697986961693945</v>
      </c>
      <c r="GG562">
        <v>3.1698091251637406</v>
      </c>
      <c r="GH562">
        <v>0.60080431445180338</v>
      </c>
      <c r="GI562">
        <v>6.9636099359304255</v>
      </c>
      <c r="GJ562"/>
      <c r="GK562"/>
      <c r="GL562"/>
      <c r="GM562"/>
      <c r="GN562" s="208"/>
      <c r="GO562" s="208"/>
      <c r="GP562" s="208"/>
      <c r="GQ562" s="208"/>
      <c r="GR562" s="208"/>
      <c r="GS562" s="208"/>
      <c r="GT562" s="208"/>
      <c r="GU562" s="213">
        <v>557</v>
      </c>
    </row>
    <row r="563" spans="1:203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85.407917592324281</v>
      </c>
      <c r="AO563">
        <v>12.947159949955639</v>
      </c>
      <c r="AP563">
        <v>48.951162310635752</v>
      </c>
      <c r="AQ563">
        <v>94.370174945935261</v>
      </c>
      <c r="AR563">
        <v>12.065926377403049</v>
      </c>
      <c r="AS563">
        <v>150.31688792685679</v>
      </c>
      <c r="AT563">
        <v>7.5295388363438107</v>
      </c>
      <c r="AU563">
        <v>34.790424527591043</v>
      </c>
      <c r="AV563"/>
      <c r="AW563"/>
      <c r="FY563" s="213">
        <v>558</v>
      </c>
      <c r="FZ563">
        <v>45.921828121439816</v>
      </c>
      <c r="GA563">
        <v>62.594653307491733</v>
      </c>
      <c r="GB563">
        <v>8.7649553425420308</v>
      </c>
      <c r="GC563">
        <v>3.8133917020981376</v>
      </c>
      <c r="GD563">
        <v>1.7109734617293988</v>
      </c>
      <c r="GE563">
        <v>1.3786915186420621</v>
      </c>
      <c r="GF563">
        <v>2.1147422290880025</v>
      </c>
      <c r="GG563">
        <v>3.9108577960638593</v>
      </c>
      <c r="GH563">
        <v>3.1207386232207117</v>
      </c>
      <c r="GI563">
        <v>10.917338796292999</v>
      </c>
      <c r="GJ563"/>
      <c r="GK563"/>
      <c r="GL563"/>
      <c r="GM563"/>
      <c r="GN563" s="208"/>
      <c r="GO563" s="208"/>
      <c r="GP563" s="208"/>
      <c r="GQ563" s="208"/>
      <c r="GR563" s="208"/>
      <c r="GS563" s="208"/>
      <c r="GT563" s="208"/>
      <c r="GU563" s="213">
        <v>558</v>
      </c>
    </row>
    <row r="564" spans="1:203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70.229163748832846</v>
      </c>
      <c r="AO564">
        <v>12.011118080993288</v>
      </c>
      <c r="AP564">
        <v>68.93263068138765</v>
      </c>
      <c r="AQ564">
        <v>101.07403569417222</v>
      </c>
      <c r="AR564">
        <v>11.21488007566604</v>
      </c>
      <c r="AS564">
        <v>139.32032954912586</v>
      </c>
      <c r="AT564">
        <v>7.3533386484331267</v>
      </c>
      <c r="AU564">
        <v>34.250135496274289</v>
      </c>
      <c r="AV564"/>
      <c r="AW564"/>
      <c r="FY564" s="213">
        <v>559</v>
      </c>
      <c r="FZ564">
        <v>24.945098964951338</v>
      </c>
      <c r="GA564">
        <v>31.553939691026585</v>
      </c>
      <c r="GB564">
        <v>12.263583880846756</v>
      </c>
      <c r="GC564">
        <v>7.3455718399174295</v>
      </c>
      <c r="GD564">
        <v>2.120763565615654</v>
      </c>
      <c r="GE564">
        <v>2.1846187757184157</v>
      </c>
      <c r="GF564">
        <v>4.6788392942053019</v>
      </c>
      <c r="GG564">
        <v>4.9852383959136324</v>
      </c>
      <c r="GH564">
        <v>2.7619779405139626</v>
      </c>
      <c r="GI564">
        <v>9.3017138013834284</v>
      </c>
      <c r="GJ564"/>
      <c r="GK564"/>
      <c r="GL564"/>
      <c r="GM564"/>
      <c r="GN564" s="208"/>
      <c r="GO564" s="208"/>
      <c r="GP564" s="208"/>
      <c r="GQ564" s="208"/>
      <c r="GR564" s="208"/>
      <c r="GS564" s="208"/>
      <c r="GT564" s="208"/>
      <c r="GU564" s="213">
        <v>559</v>
      </c>
    </row>
    <row r="565" spans="1:203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98.652601399755298</v>
      </c>
      <c r="AO565">
        <v>13.678688189802731</v>
      </c>
      <c r="AP565">
        <v>84.59980321348138</v>
      </c>
      <c r="AQ565">
        <v>112.12578478937918</v>
      </c>
      <c r="AR565">
        <v>12.552545330704548</v>
      </c>
      <c r="AS565">
        <v>161.53936944208471</v>
      </c>
      <c r="AT565" t="e">
        <v>#DIV/0!</v>
      </c>
      <c r="AU565" t="e">
        <v>#DIV/0!</v>
      </c>
      <c r="AV565"/>
      <c r="AW565"/>
      <c r="FY565" s="213">
        <v>560</v>
      </c>
      <c r="FZ565">
        <v>12.098337265540978</v>
      </c>
      <c r="GA565">
        <v>11.470484297849104</v>
      </c>
      <c r="GB565">
        <v>5.5576737727343355</v>
      </c>
      <c r="GC565">
        <v>4.5024534460445045</v>
      </c>
      <c r="GD565">
        <v>1.9878770129265426</v>
      </c>
      <c r="GE565">
        <v>1.81528313422636</v>
      </c>
      <c r="GF565">
        <v>4.079073279081217</v>
      </c>
      <c r="GG565">
        <v>3.2541266313867805</v>
      </c>
      <c r="GH565">
        <v>0</v>
      </c>
      <c r="GI565">
        <v>5.0347254193088373</v>
      </c>
      <c r="GJ565"/>
      <c r="GK565"/>
      <c r="GL565"/>
      <c r="GM565"/>
      <c r="GN565" s="208"/>
      <c r="GO565" s="208"/>
      <c r="GP565" s="208"/>
      <c r="GQ565" s="208"/>
      <c r="GR565" s="208"/>
      <c r="GS565" s="208"/>
      <c r="GT565" s="208"/>
      <c r="GU565" s="213">
        <v>560</v>
      </c>
    </row>
    <row r="566" spans="1:203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114.94186685173626</v>
      </c>
      <c r="AO566">
        <v>13.583944382557913</v>
      </c>
      <c r="AP566">
        <v>60.115463132807193</v>
      </c>
      <c r="AQ566">
        <v>92.569476300614539</v>
      </c>
      <c r="AR566">
        <v>12.52402249507781</v>
      </c>
      <c r="AS566">
        <v>157.75294457912716</v>
      </c>
      <c r="AT566" t="e">
        <v>#DIV/0!</v>
      </c>
      <c r="AU566" t="e">
        <v>#DIV/0!</v>
      </c>
      <c r="AV566"/>
      <c r="AW566"/>
      <c r="FY566" s="213">
        <v>561</v>
      </c>
      <c r="FZ566">
        <v>13.57519457128849</v>
      </c>
      <c r="GA566">
        <v>17.285913752837956</v>
      </c>
      <c r="GB566">
        <v>7.3019547713738966</v>
      </c>
      <c r="GC566">
        <v>4.4267968159568705</v>
      </c>
      <c r="GD566">
        <v>1.7948729390957241</v>
      </c>
      <c r="GE566">
        <v>1.792289581441775</v>
      </c>
      <c r="GF566">
        <v>5.7658686619534727</v>
      </c>
      <c r="GG566">
        <v>6.0756191087174836</v>
      </c>
      <c r="GH566">
        <v>2.1611736260621592</v>
      </c>
      <c r="GI566">
        <v>6.2928720714441955</v>
      </c>
      <c r="GJ566"/>
      <c r="GK566"/>
      <c r="GL566"/>
      <c r="GM566"/>
      <c r="GN566" s="208"/>
      <c r="GO566" s="208"/>
      <c r="GP566" s="208"/>
      <c r="GQ566" s="208"/>
      <c r="GR566" s="208"/>
      <c r="GS566" s="208"/>
      <c r="GT566" s="208"/>
      <c r="GU566" s="213">
        <v>561</v>
      </c>
    </row>
    <row r="567" spans="1:203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88.232389464406452</v>
      </c>
      <c r="AO567">
        <v>14.434180827579231</v>
      </c>
      <c r="AP567">
        <v>69.741972673102751</v>
      </c>
      <c r="AQ567">
        <v>116.29489323923509</v>
      </c>
      <c r="AR567">
        <v>13.238710486988165</v>
      </c>
      <c r="AS567">
        <v>153.10637493260077</v>
      </c>
      <c r="AT567" t="e">
        <v>#DIV/0!</v>
      </c>
      <c r="AU567" t="e">
        <v>#DIV/0!</v>
      </c>
      <c r="AV567"/>
      <c r="AW567"/>
      <c r="FY567" s="213">
        <v>562</v>
      </c>
      <c r="FZ567">
        <v>23.625137467964926</v>
      </c>
      <c r="GA567">
        <v>35.268200074238663</v>
      </c>
      <c r="GB567">
        <v>12.504856406153189</v>
      </c>
      <c r="GC567">
        <v>5.611036555802559</v>
      </c>
      <c r="GD567">
        <v>1.8963889872068085</v>
      </c>
      <c r="GE567">
        <v>2.2520253793598308</v>
      </c>
      <c r="GF567">
        <v>5.210673933578839</v>
      </c>
      <c r="GG567">
        <v>4.1952898515758257</v>
      </c>
      <c r="GH567">
        <v>1.8024129433554106</v>
      </c>
      <c r="GI567">
        <v>8.9973736801376276</v>
      </c>
      <c r="GJ567"/>
      <c r="GK567"/>
      <c r="GL567"/>
      <c r="GM567"/>
      <c r="GN567" s="208"/>
      <c r="GO567" s="208"/>
      <c r="GP567" s="208"/>
      <c r="GQ567" s="208"/>
      <c r="GR567" s="208"/>
      <c r="GS567" s="208"/>
      <c r="GT567" s="208"/>
      <c r="GU567" s="213">
        <v>562</v>
      </c>
    </row>
    <row r="568" spans="1:203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99.759604698790795</v>
      </c>
      <c r="AO568">
        <v>15.629513396219298</v>
      </c>
      <c r="AP568">
        <v>118.50780860278083</v>
      </c>
      <c r="AQ568">
        <v>125.3753656275229</v>
      </c>
      <c r="AR568">
        <v>14.442750707544839</v>
      </c>
      <c r="AS568">
        <v>194.4753264563405</v>
      </c>
      <c r="AT568">
        <v>9.6817247517922382</v>
      </c>
      <c r="AU568">
        <v>1.2243481096193358</v>
      </c>
      <c r="AV568"/>
      <c r="AW568"/>
      <c r="FY568" s="213">
        <v>563</v>
      </c>
      <c r="FZ568">
        <v>21.120448949053419</v>
      </c>
      <c r="GA568">
        <v>27.250613254347787</v>
      </c>
      <c r="GB568">
        <v>6.763408758288743</v>
      </c>
      <c r="GC568">
        <v>4.5909800332742083</v>
      </c>
      <c r="GD568">
        <v>2.1159922338118076</v>
      </c>
      <c r="GE568">
        <v>2.065456418058246</v>
      </c>
      <c r="GF568">
        <v>0.98530028475624076</v>
      </c>
      <c r="GG568">
        <v>2.5944240166977166</v>
      </c>
      <c r="GH568">
        <v>4.3223472521243185</v>
      </c>
      <c r="GI568">
        <v>6.9048945965921522</v>
      </c>
      <c r="GJ568"/>
      <c r="GK568"/>
      <c r="GL568"/>
      <c r="GM568"/>
      <c r="GN568" s="208"/>
      <c r="GO568" s="208"/>
      <c r="GP568" s="208"/>
      <c r="GQ568" s="208"/>
      <c r="GR568" s="208"/>
      <c r="GS568" s="208"/>
      <c r="GT568" s="208"/>
      <c r="GU568" s="213">
        <v>563</v>
      </c>
    </row>
    <row r="569" spans="1:203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89.095254954693345</v>
      </c>
      <c r="AO569">
        <v>16.793141590484531</v>
      </c>
      <c r="AP569">
        <v>91.058171262726361</v>
      </c>
      <c r="AQ569">
        <v>128.57596049514393</v>
      </c>
      <c r="AR569">
        <v>15.419026650121852</v>
      </c>
      <c r="AS569">
        <v>175.3772490466784</v>
      </c>
      <c r="AT569">
        <v>9.5972410907162189</v>
      </c>
      <c r="AU569">
        <v>0.31896996112449516</v>
      </c>
      <c r="AV569"/>
      <c r="AW569"/>
      <c r="FY569" s="213">
        <v>564</v>
      </c>
      <c r="FZ569">
        <v>17.143126595003</v>
      </c>
      <c r="GA569">
        <v>24.856164905621206</v>
      </c>
      <c r="GB569">
        <v>12.962248116659422</v>
      </c>
      <c r="GC569">
        <v>6.6091034712756427</v>
      </c>
      <c r="GD569">
        <v>1.8778449406416819</v>
      </c>
      <c r="GE569">
        <v>2.04679270145057</v>
      </c>
      <c r="GF569">
        <v>4.4438494167137623</v>
      </c>
      <c r="GG569">
        <v>3.8492361100592305</v>
      </c>
      <c r="GH569">
        <v>1.2016086289036068</v>
      </c>
      <c r="GI569">
        <v>7.8755641044454041</v>
      </c>
      <c r="GJ569"/>
      <c r="GK569"/>
      <c r="GL569"/>
      <c r="GM569"/>
      <c r="GN569" s="208"/>
      <c r="GO569" s="208"/>
      <c r="GP569" s="208"/>
      <c r="GQ569" s="208"/>
      <c r="GR569" s="208"/>
      <c r="GS569" s="208"/>
      <c r="GT569" s="208"/>
      <c r="GU569" s="213">
        <v>564</v>
      </c>
    </row>
    <row r="570" spans="1:203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99.289682328133125</v>
      </c>
      <c r="AO570">
        <v>10.546250419663664</v>
      </c>
      <c r="AP570">
        <v>64.805499504628528</v>
      </c>
      <c r="AQ570">
        <v>74.527446877676809</v>
      </c>
      <c r="AR570">
        <v>9.839083421939959</v>
      </c>
      <c r="AS570">
        <v>143.050005430759</v>
      </c>
      <c r="AT570">
        <v>6.7754912468337158</v>
      </c>
      <c r="AU570">
        <v>-40.239097094162091</v>
      </c>
      <c r="AV570"/>
      <c r="AW570"/>
      <c r="FY570" s="213">
        <v>565</v>
      </c>
      <c r="FZ570">
        <v>37.780769978181603</v>
      </c>
      <c r="GA570">
        <v>44.499163314976173</v>
      </c>
      <c r="GB570">
        <v>7.6486153279136353</v>
      </c>
      <c r="GC570">
        <v>6.0735129037582656</v>
      </c>
      <c r="GD570">
        <v>2.7137027317624041</v>
      </c>
      <c r="GE570">
        <v>2.9533102207143149</v>
      </c>
      <c r="GF570">
        <v>3.8139769920933255</v>
      </c>
      <c r="GG570">
        <v>2.5328023306930874</v>
      </c>
      <c r="GH570">
        <v>0.60080431445180338</v>
      </c>
      <c r="GI570">
        <v>9.9281032038468382</v>
      </c>
      <c r="GJ570"/>
      <c r="GK570"/>
      <c r="GL570"/>
      <c r="GM570"/>
      <c r="GN570" s="208"/>
      <c r="GO570" s="208"/>
      <c r="GP570" s="208"/>
      <c r="GQ570" s="208"/>
      <c r="GR570" s="208"/>
      <c r="GS570" s="208"/>
      <c r="GT570" s="208"/>
      <c r="GU570" s="213">
        <v>565</v>
      </c>
    </row>
    <row r="571" spans="1:203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101.83485606849578</v>
      </c>
      <c r="AO571">
        <v>12.459917915234824</v>
      </c>
      <c r="AP571">
        <v>66.346806961768877</v>
      </c>
      <c r="AQ571">
        <v>98.229807466246541</v>
      </c>
      <c r="AR571">
        <v>11.391086803980345</v>
      </c>
      <c r="AS571">
        <v>162.31963106429544</v>
      </c>
      <c r="AT571" t="e">
        <v>#DIV/0!</v>
      </c>
      <c r="AU571" t="e">
        <v>#DIV/0!</v>
      </c>
      <c r="AV571"/>
      <c r="AW571"/>
      <c r="FY571" s="213">
        <v>566</v>
      </c>
      <c r="FZ571">
        <v>11.916719899168204</v>
      </c>
      <c r="GA571">
        <v>19.631837326997498</v>
      </c>
      <c r="GB571">
        <v>7.2655491250250179</v>
      </c>
      <c r="GC571">
        <v>3.9374168527952844</v>
      </c>
      <c r="GD571">
        <v>2.4543955738913099</v>
      </c>
      <c r="GE571">
        <v>2.6870272520888854</v>
      </c>
      <c r="GF571">
        <v>5.4851545779495723</v>
      </c>
      <c r="GG571">
        <v>5.6577013756173997</v>
      </c>
      <c r="GH571">
        <v>1.5603693116103559</v>
      </c>
      <c r="GI571">
        <v>6.2967157980080106</v>
      </c>
      <c r="GJ571"/>
      <c r="GK571"/>
      <c r="GL571"/>
      <c r="GM571"/>
      <c r="GN571" s="208"/>
      <c r="GO571" s="208"/>
      <c r="GP571" s="208"/>
      <c r="GQ571" s="208"/>
      <c r="GR571" s="208"/>
      <c r="GS571" s="208"/>
      <c r="GT571" s="208"/>
      <c r="GU571" s="213">
        <v>566</v>
      </c>
    </row>
    <row r="572" spans="1:203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92.845833433948286</v>
      </c>
      <c r="AO572">
        <v>15.014403220343127</v>
      </c>
      <c r="AP572">
        <v>83.666414873166872</v>
      </c>
      <c r="AQ572">
        <v>118.50088066649739</v>
      </c>
      <c r="AR572">
        <v>13.835041065983946</v>
      </c>
      <c r="AS572">
        <v>171.32627409323365</v>
      </c>
      <c r="AT572">
        <v>8.6747142716529186</v>
      </c>
      <c r="AU572">
        <v>23.950090578237766</v>
      </c>
      <c r="AV572"/>
      <c r="AW572"/>
      <c r="FY572" s="213">
        <v>567</v>
      </c>
      <c r="FZ572">
        <v>18.5774239190728</v>
      </c>
      <c r="GA572">
        <v>22.877156768848604</v>
      </c>
      <c r="GB572">
        <v>8.8404180137958921</v>
      </c>
      <c r="GC572">
        <v>5.3773785237248894</v>
      </c>
      <c r="GD572">
        <v>1.8800498343706424</v>
      </c>
      <c r="GE572">
        <v>1.7513083795193816</v>
      </c>
      <c r="GF572">
        <v>5.061391939019714</v>
      </c>
      <c r="GG572">
        <v>4.280622939003659</v>
      </c>
      <c r="GH572">
        <v>1.2016086289036068</v>
      </c>
      <c r="GI572">
        <v>7.1507974606682403</v>
      </c>
      <c r="GJ572"/>
      <c r="GK572"/>
      <c r="GL572"/>
      <c r="GM572"/>
      <c r="GN572" s="208"/>
      <c r="GO572" s="208"/>
      <c r="GP572" s="208"/>
      <c r="GQ572" s="208"/>
      <c r="GR572" s="208"/>
      <c r="GS572" s="208"/>
      <c r="GT572" s="208"/>
      <c r="GU572" s="213">
        <v>567</v>
      </c>
    </row>
    <row r="573" spans="1:203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83.69168433620132</v>
      </c>
      <c r="AO573">
        <v>10.509331067987496</v>
      </c>
      <c r="AP573">
        <v>37.153325442094861</v>
      </c>
      <c r="AQ573">
        <v>62.840182960034959</v>
      </c>
      <c r="AR573">
        <v>9.6820636211764199</v>
      </c>
      <c r="AS573">
        <v>127.13178286056475</v>
      </c>
      <c r="AT573" t="e">
        <v>#DIV/0!</v>
      </c>
      <c r="AU573" t="e">
        <v>#DIV/0!</v>
      </c>
      <c r="AV573"/>
      <c r="AW573"/>
      <c r="FY573" s="213">
        <v>568</v>
      </c>
      <c r="FZ573">
        <v>30.352290311236999</v>
      </c>
      <c r="GA573">
        <v>34.462082892698369</v>
      </c>
      <c r="GB573">
        <v>4.4647141005815509</v>
      </c>
      <c r="GC573">
        <v>3.4372261442777718</v>
      </c>
      <c r="GD573">
        <v>1.7175508477413739</v>
      </c>
      <c r="GE573">
        <v>2.2172046940542094</v>
      </c>
      <c r="GF573">
        <v>4.0859926564144207</v>
      </c>
      <c r="GG573">
        <v>3.2027500129424924</v>
      </c>
      <c r="GH573">
        <v>0</v>
      </c>
      <c r="GI573">
        <v>7.3546574204969142</v>
      </c>
      <c r="GJ573"/>
      <c r="GK573"/>
      <c r="GL573"/>
      <c r="GM573"/>
      <c r="GN573" s="208"/>
      <c r="GO573" s="208"/>
      <c r="GP573" s="208"/>
      <c r="GQ573" s="208"/>
      <c r="GR573" s="208"/>
      <c r="GS573" s="208"/>
      <c r="GT573" s="208"/>
      <c r="GU573" s="213">
        <v>568</v>
      </c>
    </row>
    <row r="574" spans="1:203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76.682525691900679</v>
      </c>
      <c r="AO574">
        <v>16.710175191599891</v>
      </c>
      <c r="AP574">
        <v>118.95208416178041</v>
      </c>
      <c r="AQ574">
        <v>144.24817089860875</v>
      </c>
      <c r="AR574">
        <v>15.239686076717325</v>
      </c>
      <c r="AS574">
        <v>189.15979948762117</v>
      </c>
      <c r="AT574" t="e">
        <v>#DIV/0!</v>
      </c>
      <c r="AU574" t="e">
        <v>#DIV/0!</v>
      </c>
      <c r="AV574"/>
      <c r="AW574"/>
      <c r="FY574" s="213">
        <v>569</v>
      </c>
      <c r="FZ574">
        <v>25.261932078806279</v>
      </c>
      <c r="GA574">
        <v>28.931967306890538</v>
      </c>
      <c r="GB574">
        <v>4.4352403714994244</v>
      </c>
      <c r="GC574">
        <v>4.3221676177812034</v>
      </c>
      <c r="GD574">
        <v>2.5141126825610094</v>
      </c>
      <c r="GE574">
        <v>2.4413732356811537</v>
      </c>
      <c r="GF574">
        <v>2.972168509098668</v>
      </c>
      <c r="GG574">
        <v>4.5573438931805983</v>
      </c>
      <c r="GH574">
        <v>3.7215429376725151</v>
      </c>
      <c r="GI574">
        <v>7.4434505457955407</v>
      </c>
      <c r="GJ574"/>
      <c r="GK574"/>
      <c r="GL574"/>
      <c r="GM574"/>
      <c r="GN574" s="208"/>
      <c r="GO574" s="208"/>
      <c r="GP574" s="208"/>
      <c r="GQ574" s="208"/>
      <c r="GR574" s="208"/>
      <c r="GS574" s="208"/>
      <c r="GT574" s="208"/>
      <c r="GU574" s="213">
        <v>569</v>
      </c>
    </row>
    <row r="575" spans="1:203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91.32297772962707</v>
      </c>
      <c r="AO575">
        <v>13.949286754001736</v>
      </c>
      <c r="AP575">
        <v>75.003618139901931</v>
      </c>
      <c r="AQ575">
        <v>102.1413461500925</v>
      </c>
      <c r="AR575">
        <v>12.880262487752075</v>
      </c>
      <c r="AS575">
        <v>157.77558143189452</v>
      </c>
      <c r="AT575">
        <v>8.3455836413202285</v>
      </c>
      <c r="AU575">
        <v>-15.794369336472318</v>
      </c>
      <c r="AV575"/>
      <c r="AW575"/>
      <c r="FY575" s="213">
        <v>570</v>
      </c>
      <c r="FZ575">
        <v>27.435823638089051</v>
      </c>
      <c r="GA575">
        <v>34.020250405151188</v>
      </c>
      <c r="GB575">
        <v>9.6758423478956317</v>
      </c>
      <c r="GC575">
        <v>6.4077496590108636</v>
      </c>
      <c r="GD575">
        <v>2.1426352122281238</v>
      </c>
      <c r="GE575">
        <v>1.9522639016701628</v>
      </c>
      <c r="GF575">
        <v>4.3965429599169967</v>
      </c>
      <c r="GG575">
        <v>5.3842229313613164</v>
      </c>
      <c r="GH575">
        <v>3.1207386232207117</v>
      </c>
      <c r="GI575">
        <v>9.0510206275434921</v>
      </c>
      <c r="GJ575"/>
      <c r="GK575"/>
      <c r="GL575"/>
      <c r="GM575"/>
      <c r="GN575" s="208"/>
      <c r="GO575" s="208"/>
      <c r="GP575" s="208"/>
      <c r="GQ575" s="208"/>
      <c r="GR575" s="208"/>
      <c r="GS575" s="208"/>
      <c r="GT575" s="208"/>
      <c r="GU575" s="213">
        <v>570</v>
      </c>
    </row>
    <row r="576" spans="1:203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94.876186149747255</v>
      </c>
      <c r="AO576">
        <v>7.2407235917812285</v>
      </c>
      <c r="AP576">
        <v>30.514458299895615</v>
      </c>
      <c r="AQ576">
        <v>49.800034259098659</v>
      </c>
      <c r="AR576">
        <v>6.8401415376754207</v>
      </c>
      <c r="AS576">
        <v>123.70755846906988</v>
      </c>
      <c r="AT576" t="e">
        <v>#DIV/0!</v>
      </c>
      <c r="AU576" t="e">
        <v>#DIV/0!</v>
      </c>
      <c r="AV576"/>
      <c r="AW576"/>
      <c r="FY576" s="213">
        <v>571</v>
      </c>
      <c r="FZ576">
        <v>40.059214787312392</v>
      </c>
      <c r="GA576">
        <v>55.414274057172555</v>
      </c>
      <c r="GB576">
        <v>8.2414382837955529</v>
      </c>
      <c r="GC576">
        <v>3.5506435405048893</v>
      </c>
      <c r="GD576">
        <v>2.5210820077168985</v>
      </c>
      <c r="GE576">
        <v>3.2054909074632651</v>
      </c>
      <c r="GF576">
        <v>2.8659489489370715</v>
      </c>
      <c r="GG576">
        <v>3.1278732569177765</v>
      </c>
      <c r="GH576">
        <v>1.5603693116103559</v>
      </c>
      <c r="GI576">
        <v>10.262027036165717</v>
      </c>
      <c r="GJ576"/>
      <c r="GK576"/>
      <c r="GL576"/>
      <c r="GM576"/>
      <c r="GN576" s="208"/>
      <c r="GO576" s="208"/>
      <c r="GP576" s="208"/>
      <c r="GQ576" s="208"/>
      <c r="GR576" s="208"/>
      <c r="GS576" s="208"/>
      <c r="GT576" s="208"/>
      <c r="GU576" s="213">
        <v>571</v>
      </c>
    </row>
    <row r="577" spans="1:203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68.486717646460292</v>
      </c>
      <c r="AO577">
        <v>9.3301963751854551</v>
      </c>
      <c r="AP577">
        <v>49.773381934614662</v>
      </c>
      <c r="AQ577">
        <v>66.472555900172026</v>
      </c>
      <c r="AR577">
        <v>8.6830495724325178</v>
      </c>
      <c r="AS577">
        <v>122.33423121542776</v>
      </c>
      <c r="AT577">
        <v>5.7797362721275318</v>
      </c>
      <c r="AU577">
        <v>3.9432450106823231</v>
      </c>
      <c r="AV577"/>
      <c r="AW577"/>
      <c r="FY577" s="213">
        <v>572</v>
      </c>
      <c r="FZ577">
        <v>40.097062865305624</v>
      </c>
      <c r="GA577">
        <v>45.462972747410369</v>
      </c>
      <c r="GB577">
        <v>5.667080531022477</v>
      </c>
      <c r="GC577">
        <v>4.3331714121067177</v>
      </c>
      <c r="GD577">
        <v>2.3348672029348845</v>
      </c>
      <c r="GE577">
        <v>2.709717172152811</v>
      </c>
      <c r="GF577">
        <v>4.2130437465081121</v>
      </c>
      <c r="GG577">
        <v>4.6399345125218225</v>
      </c>
      <c r="GH577">
        <v>1.5603693116103559</v>
      </c>
      <c r="GI577">
        <v>9.7505518995416871</v>
      </c>
      <c r="GJ577"/>
      <c r="GK577"/>
      <c r="GL577"/>
      <c r="GM577"/>
      <c r="GN577" s="208"/>
      <c r="GO577" s="208"/>
      <c r="GP577" s="208"/>
      <c r="GQ577" s="208"/>
      <c r="GR577" s="208"/>
      <c r="GS577" s="208"/>
      <c r="GT577" s="208"/>
      <c r="GU577" s="213">
        <v>572</v>
      </c>
    </row>
    <row r="578" spans="1:203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82.438220929397403</v>
      </c>
      <c r="AO578">
        <v>13.419456140428247</v>
      </c>
      <c r="AP578">
        <v>88.646891563205401</v>
      </c>
      <c r="AQ578">
        <v>101.36339527937366</v>
      </c>
      <c r="AR578">
        <v>12.524712980110184</v>
      </c>
      <c r="AS578">
        <v>150.54573291919456</v>
      </c>
      <c r="AT578" t="e">
        <v>#DIV/0!</v>
      </c>
      <c r="AU578" t="e">
        <v>#DIV/0!</v>
      </c>
      <c r="AV578"/>
      <c r="AW578"/>
      <c r="FY578" s="213">
        <v>573</v>
      </c>
      <c r="FZ578">
        <v>14.991210110089874</v>
      </c>
      <c r="GA578">
        <v>19.380007940904409</v>
      </c>
      <c r="GB578">
        <v>11.616190503945266</v>
      </c>
      <c r="GC578">
        <v>7.6231679000658046</v>
      </c>
      <c r="GD578">
        <v>3.0719996690436187</v>
      </c>
      <c r="GE578">
        <v>3.1488970074121618</v>
      </c>
      <c r="GF578">
        <v>4.5214353398448281</v>
      </c>
      <c r="GG578">
        <v>4.7631751225495984</v>
      </c>
      <c r="GH578">
        <v>2.1611736260621592</v>
      </c>
      <c r="GI578">
        <v>8.1636209397337716</v>
      </c>
      <c r="GJ578"/>
      <c r="GK578"/>
      <c r="GL578"/>
      <c r="GM578"/>
      <c r="GN578" s="208"/>
      <c r="GO578" s="208"/>
      <c r="GP578" s="208"/>
      <c r="GQ578" s="208"/>
      <c r="GR578" s="208"/>
      <c r="GS578" s="208"/>
      <c r="GT578" s="208"/>
      <c r="GU578" s="213">
        <v>573</v>
      </c>
    </row>
    <row r="579" spans="1:203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72.212135869304987</v>
      </c>
      <c r="AO579">
        <v>10.286924102243933</v>
      </c>
      <c r="AP579">
        <v>73.625043025535732</v>
      </c>
      <c r="AQ579">
        <v>78.713865797004644</v>
      </c>
      <c r="AR579">
        <v>9.537780813137239</v>
      </c>
      <c r="AS579">
        <v>126.29660340186727</v>
      </c>
      <c r="AT579">
        <v>6.5398996341499256</v>
      </c>
      <c r="AU579">
        <v>-3.7324807693558233</v>
      </c>
      <c r="AV579"/>
      <c r="AW579"/>
      <c r="FY579" s="213">
        <v>574</v>
      </c>
      <c r="FZ579">
        <v>31.525011124065536</v>
      </c>
      <c r="GA579">
        <v>39.135724636047087</v>
      </c>
      <c r="GB579">
        <v>4.8815694015615643</v>
      </c>
      <c r="GC579">
        <v>3.5427369373124256</v>
      </c>
      <c r="GD579">
        <v>2.6369870592050573</v>
      </c>
      <c r="GE579">
        <v>2.7668054667693256</v>
      </c>
      <c r="GF579">
        <v>5.4691571131173049</v>
      </c>
      <c r="GG579">
        <v>5.8138828734239292</v>
      </c>
      <c r="GH579">
        <v>2.1611736260621592</v>
      </c>
      <c r="GI579">
        <v>8.7438002431002513</v>
      </c>
      <c r="GJ579"/>
      <c r="GK579"/>
      <c r="GL579"/>
      <c r="GM579"/>
      <c r="GN579" s="208"/>
      <c r="GO579" s="208"/>
      <c r="GP579" s="208"/>
      <c r="GQ579" s="208"/>
      <c r="GR579" s="208"/>
      <c r="GS579" s="208"/>
      <c r="GT579" s="208"/>
      <c r="GU579" s="213">
        <v>574</v>
      </c>
    </row>
    <row r="580" spans="1:203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92.173590887504432</v>
      </c>
      <c r="AO580">
        <v>11.675807027452368</v>
      </c>
      <c r="AP580">
        <v>63.166678655839107</v>
      </c>
      <c r="AQ580">
        <v>82.86553899077353</v>
      </c>
      <c r="AR580">
        <v>10.870920042645965</v>
      </c>
      <c r="AS580">
        <v>144.77266904096751</v>
      </c>
      <c r="AT580" t="e">
        <v>#DIV/0!</v>
      </c>
      <c r="AU580" t="e">
        <v>#DIV/0!</v>
      </c>
      <c r="AV580"/>
      <c r="AW580"/>
      <c r="FY580" s="213">
        <v>575</v>
      </c>
      <c r="FZ580">
        <v>40.892109061771947</v>
      </c>
      <c r="GA580">
        <v>50.483093965710097</v>
      </c>
      <c r="GB580">
        <v>7.0059327801817242</v>
      </c>
      <c r="GC580">
        <v>4.6955969180155588</v>
      </c>
      <c r="GD580">
        <v>1.9035673328990208</v>
      </c>
      <c r="GE580">
        <v>1.6767852863385309</v>
      </c>
      <c r="GF580">
        <v>2.6820700677119262</v>
      </c>
      <c r="GG580">
        <v>3.0764966384734893</v>
      </c>
      <c r="GH580">
        <v>2.1611736260621592</v>
      </c>
      <c r="GI580">
        <v>9.7050413135029334</v>
      </c>
      <c r="GJ580"/>
      <c r="GK580"/>
      <c r="GL580"/>
      <c r="GM580"/>
      <c r="GN580" s="208"/>
      <c r="GO580" s="208"/>
      <c r="GP580" s="208"/>
      <c r="GQ580" s="208"/>
      <c r="GR580" s="208"/>
      <c r="GS580" s="208"/>
      <c r="GT580" s="208"/>
      <c r="GU580" s="213">
        <v>575</v>
      </c>
    </row>
    <row r="581" spans="1:203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89.672063475036367</v>
      </c>
      <c r="AO581">
        <v>15.012890617632902</v>
      </c>
      <c r="AP581">
        <v>122.82631550763989</v>
      </c>
      <c r="AQ581">
        <v>118.54476131839147</v>
      </c>
      <c r="AR581">
        <v>13.74556756116576</v>
      </c>
      <c r="AS581">
        <v>164.06738146589362</v>
      </c>
      <c r="AT581" t="e">
        <v>#DIV/0!</v>
      </c>
      <c r="AU581" t="e">
        <v>#DIV/0!</v>
      </c>
      <c r="AV581"/>
      <c r="AW581"/>
      <c r="FY581" s="213">
        <v>576</v>
      </c>
      <c r="FZ581">
        <v>39.272692576217892</v>
      </c>
      <c r="GA581">
        <v>53.632607868500592</v>
      </c>
      <c r="GB581">
        <v>12.804802914992727</v>
      </c>
      <c r="GC581">
        <v>5.7125172616975579</v>
      </c>
      <c r="GD581">
        <v>2.0949116112933259</v>
      </c>
      <c r="GE581">
        <v>2.8466133785432728</v>
      </c>
      <c r="GF581">
        <v>3.2809397702516438</v>
      </c>
      <c r="GG581">
        <v>2.503851236112594</v>
      </c>
      <c r="GH581">
        <v>0</v>
      </c>
      <c r="GI581">
        <v>10.983562056767664</v>
      </c>
      <c r="GJ581"/>
      <c r="GK581"/>
      <c r="GL581"/>
      <c r="GM581"/>
      <c r="GN581" s="208"/>
      <c r="GO581" s="208"/>
      <c r="GP581" s="208"/>
      <c r="GQ581" s="208"/>
      <c r="GR581" s="208"/>
      <c r="GS581" s="208"/>
      <c r="GT581" s="208"/>
      <c r="GU581" s="213">
        <v>576</v>
      </c>
    </row>
    <row r="582" spans="1:203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85.092086398735745</v>
      </c>
      <c r="AO582">
        <v>9.4912546747815085</v>
      </c>
      <c r="AP582">
        <v>41.720718484890305</v>
      </c>
      <c r="AQ582">
        <v>66.892887093151543</v>
      </c>
      <c r="AR582">
        <v>8.6924011880667429</v>
      </c>
      <c r="AS582">
        <v>130.79101255646671</v>
      </c>
      <c r="AT582" t="e">
        <v>#DIV/0!</v>
      </c>
      <c r="AU582" t="e">
        <v>#DIV/0!</v>
      </c>
      <c r="AV582"/>
      <c r="AW582"/>
      <c r="FY582" s="213">
        <v>577</v>
      </c>
      <c r="FZ582">
        <v>31.874873370387121</v>
      </c>
      <c r="GA582">
        <v>43.065593783704784</v>
      </c>
      <c r="GB582">
        <v>11.183500591427451</v>
      </c>
      <c r="GC582">
        <v>6.5612925665752941</v>
      </c>
      <c r="GD582">
        <v>2.859148735745074</v>
      </c>
      <c r="GE582">
        <v>2.5799228231269429</v>
      </c>
      <c r="GF582">
        <v>4.1940646568581004</v>
      </c>
      <c r="GG582">
        <v>5.9541053855715234</v>
      </c>
      <c r="GH582">
        <v>3.1207386232207117</v>
      </c>
      <c r="GI582">
        <v>10.481777881610402</v>
      </c>
      <c r="GJ582"/>
      <c r="GK582"/>
      <c r="GL582"/>
      <c r="GM582"/>
      <c r="GN582" s="208"/>
      <c r="GO582" s="208"/>
      <c r="GP582" s="208"/>
      <c r="GQ582" s="208"/>
      <c r="GR582" s="208"/>
      <c r="GS582" s="208"/>
      <c r="GT582" s="208"/>
      <c r="GU582" s="213">
        <v>577</v>
      </c>
    </row>
    <row r="583" spans="1:203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98.832083091857413</v>
      </c>
      <c r="AO583">
        <v>10.469075791400471</v>
      </c>
      <c r="AP583">
        <v>53.998102751420866</v>
      </c>
      <c r="AQ583">
        <v>76.998156406927436</v>
      </c>
      <c r="AR583">
        <v>9.826631715340465</v>
      </c>
      <c r="AS583">
        <v>138.07164776552551</v>
      </c>
      <c r="AT583" t="e">
        <v>#DIV/0!</v>
      </c>
      <c r="AU583" t="e">
        <v>#DIV/0!</v>
      </c>
      <c r="AV583"/>
      <c r="AW583"/>
      <c r="FY583" s="213">
        <v>578</v>
      </c>
      <c r="FZ583">
        <v>11.493213017324301</v>
      </c>
      <c r="GA583">
        <v>12.247332059294145</v>
      </c>
      <c r="GB583">
        <v>12.101880745288261</v>
      </c>
      <c r="GC583">
        <v>8.3373126377211157</v>
      </c>
      <c r="GD583">
        <v>2.3666395768147255</v>
      </c>
      <c r="GE583">
        <v>2.0990180108577992</v>
      </c>
      <c r="GF583">
        <v>3.1873563822883106</v>
      </c>
      <c r="GG583">
        <v>4.7424764855676207</v>
      </c>
      <c r="GH583">
        <v>3.7215429376725151</v>
      </c>
      <c r="GI583">
        <v>7.2770497806932841</v>
      </c>
      <c r="GJ583"/>
      <c r="GK583"/>
      <c r="GL583"/>
      <c r="GM583"/>
      <c r="GN583" s="208"/>
      <c r="GO583" s="208"/>
      <c r="GP583" s="208"/>
      <c r="GQ583" s="208"/>
      <c r="GR583" s="208"/>
      <c r="GS583" s="208"/>
      <c r="GT583" s="208"/>
      <c r="GU583" s="213">
        <v>578</v>
      </c>
    </row>
    <row r="584" spans="1:203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85.783464635854358</v>
      </c>
      <c r="AO584">
        <v>11.010290765974847</v>
      </c>
      <c r="AP584">
        <v>68.927499070656467</v>
      </c>
      <c r="AQ584">
        <v>91.294469080444088</v>
      </c>
      <c r="AR584">
        <v>10.115231972545409</v>
      </c>
      <c r="AS584">
        <v>140.23440960835035</v>
      </c>
      <c r="AT584" t="e">
        <v>#DIV/0!</v>
      </c>
      <c r="AU584" t="e">
        <v>#DIV/0!</v>
      </c>
      <c r="AV584"/>
      <c r="AW584"/>
      <c r="FY584" s="213">
        <v>579</v>
      </c>
      <c r="FZ584">
        <v>15.978391755202658</v>
      </c>
      <c r="GA584">
        <v>27.171980091999373</v>
      </c>
      <c r="GB584">
        <v>6.325675452180576</v>
      </c>
      <c r="GC584">
        <v>2.4832000826480423</v>
      </c>
      <c r="GD584">
        <v>2.7174259574203932</v>
      </c>
      <c r="GE584">
        <v>3.7418867980243053</v>
      </c>
      <c r="GF584">
        <v>4.4905060156965906</v>
      </c>
      <c r="GG584">
        <v>3.2928227516933686</v>
      </c>
      <c r="GH584">
        <v>0</v>
      </c>
      <c r="GI584">
        <v>6.383112464341079</v>
      </c>
      <c r="GJ584"/>
      <c r="GK584"/>
      <c r="GL584"/>
      <c r="GM584"/>
      <c r="GN584" s="208"/>
      <c r="GO584" s="208"/>
      <c r="GP584" s="208"/>
      <c r="GQ584" s="208"/>
      <c r="GR584" s="208"/>
      <c r="GS584" s="208"/>
      <c r="GT584" s="208"/>
      <c r="GU584" s="213">
        <v>579</v>
      </c>
    </row>
    <row r="585" spans="1:203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70.690342731183222</v>
      </c>
      <c r="AO585">
        <v>11.14589403671167</v>
      </c>
      <c r="AP585">
        <v>69.759315506518504</v>
      </c>
      <c r="AQ585">
        <v>86.601299178966926</v>
      </c>
      <c r="AR585">
        <v>10.260955525377222</v>
      </c>
      <c r="AS585">
        <v>122.62569600069585</v>
      </c>
      <c r="AT585">
        <v>7.171583803778403</v>
      </c>
      <c r="AU585">
        <v>30.972254210760237</v>
      </c>
      <c r="AV585"/>
      <c r="AW585"/>
      <c r="FY585" s="213">
        <v>580</v>
      </c>
      <c r="FZ585">
        <v>31.064481358826484</v>
      </c>
      <c r="GA585">
        <v>42.094677261593702</v>
      </c>
      <c r="GB585">
        <v>8.1329025466960694</v>
      </c>
      <c r="GC585">
        <v>4.009430466862165</v>
      </c>
      <c r="GD585">
        <v>1.5785748284044319</v>
      </c>
      <c r="GE585">
        <v>1.6649599319575916</v>
      </c>
      <c r="GF585">
        <v>5.4192486993190538</v>
      </c>
      <c r="GG585">
        <v>6.8710571625031163</v>
      </c>
      <c r="GH585">
        <v>3.7215429376725151</v>
      </c>
      <c r="GI585">
        <v>9.184040257570004</v>
      </c>
      <c r="GJ585"/>
      <c r="GK585"/>
      <c r="GL585"/>
      <c r="GM585"/>
      <c r="GN585" s="208"/>
      <c r="GO585" s="208"/>
      <c r="GP585" s="208"/>
      <c r="GQ585" s="208"/>
      <c r="GR585" s="208"/>
      <c r="GS585" s="208"/>
      <c r="GT585" s="208"/>
      <c r="GU585" s="213">
        <v>580</v>
      </c>
    </row>
    <row r="586" spans="1:203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82.819262891201262</v>
      </c>
      <c r="AO586">
        <v>13.624307173986299</v>
      </c>
      <c r="AP586">
        <v>77.977217877162843</v>
      </c>
      <c r="AQ586">
        <v>103.58709030608755</v>
      </c>
      <c r="AR586">
        <v>12.493721273544475</v>
      </c>
      <c r="AS586">
        <v>134.12473859084969</v>
      </c>
      <c r="AT586" t="e">
        <v>#DIV/0!</v>
      </c>
      <c r="AU586" t="e">
        <v>#DIV/0!</v>
      </c>
      <c r="AV586"/>
      <c r="AW586"/>
      <c r="FY586" s="213">
        <v>581</v>
      </c>
      <c r="FZ586">
        <v>27.821121995791145</v>
      </c>
      <c r="GA586">
        <v>34.818084125012462</v>
      </c>
      <c r="GB586">
        <v>10.840784312857908</v>
      </c>
      <c r="GC586">
        <v>6.5684881098953314</v>
      </c>
      <c r="GD586">
        <v>2.4291664110489388</v>
      </c>
      <c r="GE586">
        <v>2.7069816613858491</v>
      </c>
      <c r="GF586">
        <v>2.8975642107853465</v>
      </c>
      <c r="GG586">
        <v>3.4283056125179199</v>
      </c>
      <c r="GH586">
        <v>1.5603693116103559</v>
      </c>
      <c r="GI586">
        <v>8.9971357306868605</v>
      </c>
      <c r="GJ586"/>
      <c r="GK586"/>
      <c r="GL586"/>
      <c r="GM586"/>
      <c r="GN586" s="208"/>
      <c r="GO586" s="208"/>
      <c r="GP586" s="208"/>
      <c r="GQ586" s="208"/>
      <c r="GR586" s="208"/>
      <c r="GS586" s="208"/>
      <c r="GT586" s="208"/>
      <c r="GU586" s="213">
        <v>581</v>
      </c>
    </row>
    <row r="587" spans="1:203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81.858982165663193</v>
      </c>
      <c r="AO587">
        <v>15.650087947398116</v>
      </c>
      <c r="AP587">
        <v>99.465892824180415</v>
      </c>
      <c r="AQ587">
        <v>130.80836213759648</v>
      </c>
      <c r="AR587">
        <v>14.297871067862987</v>
      </c>
      <c r="AS587">
        <v>158.76696584978654</v>
      </c>
      <c r="AT587" t="e">
        <v>#DIV/0!</v>
      </c>
      <c r="AU587" t="e">
        <v>#DIV/0!</v>
      </c>
      <c r="AV587"/>
      <c r="AW587"/>
      <c r="FY587" s="213">
        <v>582</v>
      </c>
      <c r="FZ587">
        <v>32.234960894402498</v>
      </c>
      <c r="GA587">
        <v>45.782208331917154</v>
      </c>
      <c r="GB587">
        <v>11.59479984312213</v>
      </c>
      <c r="GC587">
        <v>5.1366902079634746</v>
      </c>
      <c r="GD587">
        <v>1.6740736607284241</v>
      </c>
      <c r="GE587">
        <v>1.6483120287654187</v>
      </c>
      <c r="GF587">
        <v>2.4322119099237822</v>
      </c>
      <c r="GG587">
        <v>3.2568690994733895</v>
      </c>
      <c r="GH587">
        <v>2.7619779405139626</v>
      </c>
      <c r="GI587">
        <v>9.5800467024557818</v>
      </c>
      <c r="GJ587"/>
      <c r="GK587"/>
      <c r="GL587"/>
      <c r="GM587"/>
      <c r="GN587" s="208"/>
      <c r="GO587" s="208"/>
      <c r="GP587" s="208"/>
      <c r="GQ587" s="208"/>
      <c r="GR587" s="208"/>
      <c r="GS587" s="208"/>
      <c r="GT587" s="208"/>
      <c r="GU587" s="213">
        <v>582</v>
      </c>
    </row>
    <row r="588" spans="1:203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92.547154737963567</v>
      </c>
      <c r="AO588">
        <v>14.627360078448035</v>
      </c>
      <c r="AP588">
        <v>85.516466601790924</v>
      </c>
      <c r="AQ588">
        <v>120.76877140111486</v>
      </c>
      <c r="AR588">
        <v>13.47379689420691</v>
      </c>
      <c r="AS588">
        <v>177.14977297932077</v>
      </c>
      <c r="AT588" t="e">
        <v>#DIV/0!</v>
      </c>
      <c r="AU588" t="e">
        <v>#DIV/0!</v>
      </c>
      <c r="AV588"/>
      <c r="AW588"/>
      <c r="FY588" s="213">
        <v>583</v>
      </c>
      <c r="FZ588">
        <v>35.474428424729048</v>
      </c>
      <c r="GA588">
        <v>40.687566511182482</v>
      </c>
      <c r="GB588">
        <v>2.4565108318620297</v>
      </c>
      <c r="GC588">
        <v>3.0995825955768281</v>
      </c>
      <c r="GD588">
        <v>2.1440359168415286</v>
      </c>
      <c r="GE588">
        <v>1.9693938585302555</v>
      </c>
      <c r="GF588">
        <v>4.020086777783904</v>
      </c>
      <c r="GG588">
        <v>4.2551846506986388</v>
      </c>
      <c r="GH588">
        <v>2.1611736260621592</v>
      </c>
      <c r="GI588">
        <v>8.1832671753994468</v>
      </c>
      <c r="GJ588"/>
      <c r="GK588"/>
      <c r="GL588"/>
      <c r="GM588"/>
      <c r="GN588" s="208"/>
      <c r="GO588" s="208"/>
      <c r="GP588" s="208"/>
      <c r="GQ588" s="208"/>
      <c r="GR588" s="208"/>
      <c r="GS588" s="208"/>
      <c r="GT588" s="208"/>
      <c r="GU588" s="213">
        <v>583</v>
      </c>
    </row>
    <row r="589" spans="1:203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84.930854309746294</v>
      </c>
      <c r="AO589">
        <v>12.260699821562319</v>
      </c>
      <c r="AP589">
        <v>45.276504663040768</v>
      </c>
      <c r="AQ589">
        <v>79.440878159651504</v>
      </c>
      <c r="AR589">
        <v>11.327254547027088</v>
      </c>
      <c r="AS589">
        <v>150.99442556735823</v>
      </c>
      <c r="AT589">
        <v>6.9098526857254123</v>
      </c>
      <c r="AU589">
        <v>15.740697463129857</v>
      </c>
      <c r="AV589"/>
      <c r="AW589"/>
      <c r="FY589" s="213">
        <v>584</v>
      </c>
      <c r="FZ589">
        <v>44.051790596081567</v>
      </c>
      <c r="GA589">
        <v>50.75510561283437</v>
      </c>
      <c r="GB589">
        <v>3.6730160139018877</v>
      </c>
      <c r="GC589">
        <v>3.5885043901278024</v>
      </c>
      <c r="GD589">
        <v>2.1935570581838189</v>
      </c>
      <c r="GE589">
        <v>2.1101889427941636</v>
      </c>
      <c r="GF589">
        <v>3.562033522071804</v>
      </c>
      <c r="GG589">
        <v>5.1224866960677611</v>
      </c>
      <c r="GH589">
        <v>3.1207386232207117</v>
      </c>
      <c r="GI589">
        <v>9.8621772741297633</v>
      </c>
      <c r="GJ589"/>
      <c r="GK589"/>
      <c r="GL589"/>
      <c r="GM589"/>
      <c r="GN589" s="208"/>
      <c r="GO589" s="208"/>
      <c r="GP589" s="208"/>
      <c r="GQ589" s="208"/>
      <c r="GR589" s="208"/>
      <c r="GS589" s="208"/>
      <c r="GT589" s="208"/>
      <c r="GU589" s="213">
        <v>584</v>
      </c>
    </row>
    <row r="590" spans="1:203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83.724566439823803</v>
      </c>
      <c r="AO590">
        <v>13.057527674531354</v>
      </c>
      <c r="AP590">
        <v>71.01473827714409</v>
      </c>
      <c r="AQ590">
        <v>106.67684848066466</v>
      </c>
      <c r="AR590">
        <v>12.033964333101693</v>
      </c>
      <c r="AS590">
        <v>168.81243100580096</v>
      </c>
      <c r="AT590">
        <v>8.7989343735431227</v>
      </c>
      <c r="AU590">
        <v>16.939288359659912</v>
      </c>
      <c r="AV590"/>
      <c r="AW590"/>
      <c r="FY590" s="213">
        <v>585</v>
      </c>
      <c r="FZ590">
        <v>32.91390411183869</v>
      </c>
      <c r="GA590">
        <v>40.561711257108954</v>
      </c>
      <c r="GB590">
        <v>7.0649453959387039</v>
      </c>
      <c r="GC590">
        <v>4.3588914068761859</v>
      </c>
      <c r="GD590">
        <v>2.1941747892208809</v>
      </c>
      <c r="GE590">
        <v>2.5893656063088901</v>
      </c>
      <c r="GF590">
        <v>3.1873563822883106</v>
      </c>
      <c r="GG590">
        <v>4.7424764855676207</v>
      </c>
      <c r="GH590">
        <v>3.1207386232207117</v>
      </c>
      <c r="GI590">
        <v>9.0101307015394791</v>
      </c>
      <c r="GJ590"/>
      <c r="GK590"/>
      <c r="GL590"/>
      <c r="GM590"/>
      <c r="GN590" s="208"/>
      <c r="GO590" s="208"/>
      <c r="GP590" s="208"/>
      <c r="GQ590" s="208"/>
      <c r="GR590" s="208"/>
      <c r="GS590" s="208"/>
      <c r="GT590" s="208"/>
      <c r="GU590" s="213">
        <v>585</v>
      </c>
    </row>
    <row r="591" spans="1:203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94.26001244736031</v>
      </c>
      <c r="AO591">
        <v>14.610735805783898</v>
      </c>
      <c r="AP591">
        <v>127.63024948642304</v>
      </c>
      <c r="AQ591">
        <v>124.28186699066738</v>
      </c>
      <c r="AR591">
        <v>13.388712715116784</v>
      </c>
      <c r="AS591">
        <v>168.40025604479658</v>
      </c>
      <c r="AT591">
        <v>9.5836322467674879</v>
      </c>
      <c r="AU591">
        <v>1.054321817404773</v>
      </c>
      <c r="AV591"/>
      <c r="AW591"/>
      <c r="FY591" s="213">
        <v>586</v>
      </c>
      <c r="FZ591">
        <v>23.801749239598966</v>
      </c>
      <c r="GA591">
        <v>31.181862089188982</v>
      </c>
      <c r="GB591">
        <v>9.2892024023472164</v>
      </c>
      <c r="GC591">
        <v>5.0903150787674498</v>
      </c>
      <c r="GD591">
        <v>1.990014392269406</v>
      </c>
      <c r="GE591">
        <v>1.360293122543446</v>
      </c>
      <c r="GF591">
        <v>4.60995179075704</v>
      </c>
      <c r="GG591">
        <v>4.0383584956445118</v>
      </c>
      <c r="GH591">
        <v>0</v>
      </c>
      <c r="GI591">
        <v>7.9061989143429345</v>
      </c>
      <c r="GJ591"/>
      <c r="GK591"/>
      <c r="GL591"/>
      <c r="GM591"/>
      <c r="GN591" s="208"/>
      <c r="GO591" s="208"/>
      <c r="GP591" s="208"/>
      <c r="GQ591" s="208"/>
      <c r="GR591" s="208"/>
      <c r="GS591" s="208"/>
      <c r="GT591" s="208"/>
      <c r="GU591" s="213">
        <v>586</v>
      </c>
    </row>
    <row r="592" spans="1:203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89.790736040216245</v>
      </c>
      <c r="AO592">
        <v>16.715562413489231</v>
      </c>
      <c r="AP592">
        <v>130.68184857750893</v>
      </c>
      <c r="AQ592">
        <v>133.13249867437727</v>
      </c>
      <c r="AR592">
        <v>15.317212687833706</v>
      </c>
      <c r="AS592">
        <v>170.01284221197483</v>
      </c>
      <c r="AT592" t="e">
        <v>#DIV/0!</v>
      </c>
      <c r="AU592" t="e">
        <v>#DIV/0!</v>
      </c>
      <c r="AV592"/>
      <c r="AW592"/>
      <c r="FY592" s="213">
        <v>587</v>
      </c>
      <c r="FZ592">
        <v>46.675830348904675</v>
      </c>
      <c r="GA592">
        <v>53.971577240076968</v>
      </c>
      <c r="GB592">
        <v>6.3262708001496781</v>
      </c>
      <c r="GC592">
        <v>5.1340712315637145</v>
      </c>
      <c r="GD592">
        <v>2.3084448124253161</v>
      </c>
      <c r="GE592">
        <v>2.2155213519373635</v>
      </c>
      <c r="GF592">
        <v>2.8316583321548285</v>
      </c>
      <c r="GG592">
        <v>3.3187610818326356</v>
      </c>
      <c r="GH592">
        <v>2.7619779405139626</v>
      </c>
      <c r="GI592">
        <v>10.767878673798192</v>
      </c>
      <c r="GJ592"/>
      <c r="GK592"/>
      <c r="GL592"/>
      <c r="GM592"/>
      <c r="GN592" s="208"/>
      <c r="GO592" s="208"/>
      <c r="GP592" s="208"/>
      <c r="GQ592" s="208"/>
      <c r="GR592" s="208"/>
      <c r="GS592" s="208"/>
      <c r="GT592" s="208"/>
      <c r="GU592" s="213">
        <v>587</v>
      </c>
    </row>
    <row r="593" spans="1:203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90.633169124561135</v>
      </c>
      <c r="AO593">
        <v>15.92022818236542</v>
      </c>
      <c r="AP593">
        <v>76.993026880992716</v>
      </c>
      <c r="AQ593">
        <v>121.87501841822741</v>
      </c>
      <c r="AR593">
        <v>14.523762328354957</v>
      </c>
      <c r="AS593">
        <v>155.61395779833845</v>
      </c>
      <c r="AT593" t="e">
        <v>#DIV/0!</v>
      </c>
      <c r="AU593" t="e">
        <v>#DIV/0!</v>
      </c>
      <c r="AV593"/>
      <c r="AW593"/>
      <c r="FY593" s="213">
        <v>588</v>
      </c>
      <c r="FZ593">
        <v>9.5555081150368864</v>
      </c>
      <c r="GA593">
        <v>13.711962992012964</v>
      </c>
      <c r="GB593">
        <v>6.5362504969090729</v>
      </c>
      <c r="GC593">
        <v>3.9932511121752592</v>
      </c>
      <c r="GD593">
        <v>1.8209334904754251</v>
      </c>
      <c r="GE593">
        <v>2.084320106176262</v>
      </c>
      <c r="GF593">
        <v>4.3288580389368798</v>
      </c>
      <c r="GG593">
        <v>3.3636711620720643</v>
      </c>
      <c r="GH593">
        <v>0.60080431445180338</v>
      </c>
      <c r="GI593">
        <v>5.0343459043329437</v>
      </c>
      <c r="GJ593"/>
      <c r="GK593"/>
      <c r="GL593"/>
      <c r="GM593"/>
      <c r="GN593" s="208"/>
      <c r="GO593" s="208"/>
      <c r="GP593" s="208"/>
      <c r="GQ593" s="208"/>
      <c r="GR593" s="208"/>
      <c r="GS593" s="208"/>
      <c r="GT593" s="208"/>
      <c r="GU593" s="213">
        <v>588</v>
      </c>
    </row>
    <row r="594" spans="1:203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77.918507071632092</v>
      </c>
      <c r="AO594">
        <v>10.801244685119133</v>
      </c>
      <c r="AP594">
        <v>61.263626071233105</v>
      </c>
      <c r="AQ594">
        <v>67.573821633522087</v>
      </c>
      <c r="AR594">
        <v>10.026797610745778</v>
      </c>
      <c r="AS594">
        <v>150.2995428877432</v>
      </c>
      <c r="AT594">
        <v>6.205485133633772</v>
      </c>
      <c r="AU594">
        <v>29.986178275670312</v>
      </c>
      <c r="AV594"/>
      <c r="AW594"/>
      <c r="FY594" s="213">
        <v>589</v>
      </c>
      <c r="FZ594">
        <v>31.647989042633188</v>
      </c>
      <c r="GA594">
        <v>36.531829265519626</v>
      </c>
      <c r="GB594">
        <v>6.3056206131598165</v>
      </c>
      <c r="GC594">
        <v>4.8211846956252522</v>
      </c>
      <c r="GD594">
        <v>2.2391906037910028</v>
      </c>
      <c r="GE594">
        <v>2.4909621209635446</v>
      </c>
      <c r="GF594">
        <v>1.9429230601796657</v>
      </c>
      <c r="GG594">
        <v>4.8111007292117343</v>
      </c>
      <c r="GH594">
        <v>4.6811079348310667</v>
      </c>
      <c r="GI594">
        <v>8.7165981108853128</v>
      </c>
      <c r="GJ594"/>
      <c r="GK594"/>
      <c r="GL594"/>
      <c r="GM594"/>
      <c r="GN594" s="208"/>
      <c r="GO594" s="208"/>
      <c r="GP594" s="208"/>
      <c r="GQ594" s="208"/>
      <c r="GR594" s="208"/>
      <c r="GS594" s="208"/>
      <c r="GT594" s="208"/>
      <c r="GU594" s="213">
        <v>589</v>
      </c>
    </row>
    <row r="595" spans="1:203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68.113780929038271</v>
      </c>
      <c r="AO595">
        <v>9.6626617375621997</v>
      </c>
      <c r="AP595">
        <v>57.95279805052872</v>
      </c>
      <c r="AQ595">
        <v>72.585001369206381</v>
      </c>
      <c r="AR595">
        <v>8.8505348351257567</v>
      </c>
      <c r="AS595">
        <v>112.70818873536427</v>
      </c>
      <c r="AT595" t="e">
        <v>#DIV/0!</v>
      </c>
      <c r="AU595" t="e">
        <v>#DIV/0!</v>
      </c>
      <c r="AV595"/>
      <c r="AW595"/>
      <c r="FY595" s="213">
        <v>590</v>
      </c>
      <c r="FZ595">
        <v>37.57951842653479</v>
      </c>
      <c r="GA595">
        <v>49.473880070888661</v>
      </c>
      <c r="GB595">
        <v>7.1856741064669247</v>
      </c>
      <c r="GC595">
        <v>4.2922733686025403</v>
      </c>
      <c r="GD595">
        <v>2.4708914727190416</v>
      </c>
      <c r="GE595">
        <v>1.9763850025651197</v>
      </c>
      <c r="GF595">
        <v>3.7356317333297402</v>
      </c>
      <c r="GG595">
        <v>3.2464127680702726</v>
      </c>
      <c r="GH595">
        <v>1.2016086289036068</v>
      </c>
      <c r="GI595">
        <v>9.7303540063183078</v>
      </c>
      <c r="GJ595"/>
      <c r="GK595"/>
      <c r="GL595"/>
      <c r="GM595"/>
      <c r="GN595" s="208"/>
      <c r="GO595" s="208"/>
      <c r="GP595" s="208"/>
      <c r="GQ595" s="208"/>
      <c r="GR595" s="208"/>
      <c r="GS595" s="208"/>
      <c r="GT595" s="208"/>
      <c r="GU595" s="213">
        <v>590</v>
      </c>
    </row>
    <row r="596" spans="1:203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77.157776726222465</v>
      </c>
      <c r="AO596">
        <v>13.927616642446015</v>
      </c>
      <c r="AP596">
        <v>121.00831696258842</v>
      </c>
      <c r="AQ596">
        <v>113.74091545140514</v>
      </c>
      <c r="AR596">
        <v>12.754535063657913</v>
      </c>
      <c r="AS596">
        <v>144.74141008109657</v>
      </c>
      <c r="AT596">
        <v>8.6286498596124073</v>
      </c>
      <c r="AU596">
        <v>-3.785553717768892</v>
      </c>
      <c r="AV596"/>
      <c r="AW596"/>
      <c r="FY596" s="213">
        <v>591</v>
      </c>
      <c r="FZ596">
        <v>30.70532749328812</v>
      </c>
      <c r="GA596">
        <v>38.884734231687972</v>
      </c>
      <c r="GB596">
        <v>3.3400792845729237</v>
      </c>
      <c r="GC596">
        <v>2.423068850761577</v>
      </c>
      <c r="GD596">
        <v>2.1534317200616795</v>
      </c>
      <c r="GE596">
        <v>2.5158917463073021</v>
      </c>
      <c r="GF596">
        <v>4.4537504188647103</v>
      </c>
      <c r="GG596">
        <v>4.5256503305134945</v>
      </c>
      <c r="GH596">
        <v>2.7619779405139626</v>
      </c>
      <c r="GI596">
        <v>7.9089798147689887</v>
      </c>
      <c r="GJ596"/>
      <c r="GK596"/>
      <c r="GL596"/>
      <c r="GM596"/>
      <c r="GN596" s="208"/>
      <c r="GO596" s="208"/>
      <c r="GP596" s="208"/>
      <c r="GQ596" s="208"/>
      <c r="GR596" s="208"/>
      <c r="GS596" s="208"/>
      <c r="GT596" s="208"/>
      <c r="GU596" s="213">
        <v>591</v>
      </c>
    </row>
    <row r="597" spans="1:203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92.888687284890381</v>
      </c>
      <c r="AO597">
        <v>13.515147906243351</v>
      </c>
      <c r="AP597">
        <v>60.394794787263571</v>
      </c>
      <c r="AQ597">
        <v>102.06800148159212</v>
      </c>
      <c r="AR597">
        <v>12.390164930938715</v>
      </c>
      <c r="AS597">
        <v>172.27805062911003</v>
      </c>
      <c r="AT597" t="e">
        <v>#DIV/0!</v>
      </c>
      <c r="AU597" t="e">
        <v>#DIV/0!</v>
      </c>
      <c r="AV597"/>
      <c r="AW597"/>
      <c r="FY597" s="213">
        <v>592</v>
      </c>
      <c r="FZ597">
        <v>45.090951839209652</v>
      </c>
      <c r="GA597">
        <v>54.562921899431224</v>
      </c>
      <c r="GB597">
        <v>6.9843506942283984</v>
      </c>
      <c r="GC597">
        <v>5.0630009095501993</v>
      </c>
      <c r="GD597">
        <v>2.058398256881111</v>
      </c>
      <c r="GE597">
        <v>1.1464358378219934</v>
      </c>
      <c r="GF597">
        <v>3.7113155166309282</v>
      </c>
      <c r="GG597">
        <v>4.145640120013355</v>
      </c>
      <c r="GH597">
        <v>1.5603693116103559</v>
      </c>
      <c r="GI597">
        <v>10.528877334904205</v>
      </c>
      <c r="GJ597"/>
      <c r="GK597"/>
      <c r="GL597"/>
      <c r="GM597"/>
      <c r="GN597" s="208"/>
      <c r="GO597" s="208"/>
      <c r="GP597" s="208"/>
      <c r="GQ597" s="208"/>
      <c r="GR597" s="208"/>
      <c r="GS597" s="208"/>
      <c r="GT597" s="208"/>
      <c r="GU597" s="213">
        <v>592</v>
      </c>
    </row>
    <row r="598" spans="1:203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86.949499205812586</v>
      </c>
      <c r="AO598">
        <v>14.482358955928735</v>
      </c>
      <c r="AP598">
        <v>110.65258586531053</v>
      </c>
      <c r="AQ598">
        <v>116.10215061926601</v>
      </c>
      <c r="AR598">
        <v>13.37823210692533</v>
      </c>
      <c r="AS598">
        <v>149.36598102665658</v>
      </c>
      <c r="AT598">
        <v>8.6158916660352549</v>
      </c>
      <c r="AU598">
        <v>-35.387299548894838</v>
      </c>
      <c r="AV598"/>
      <c r="AW598"/>
      <c r="FY598" s="213">
        <v>593</v>
      </c>
      <c r="FZ598">
        <v>22.380631645726076</v>
      </c>
      <c r="GA598">
        <v>28.457050761795049</v>
      </c>
      <c r="GB598">
        <v>6.5100839105498762</v>
      </c>
      <c r="GC598">
        <v>4.3098312864246768</v>
      </c>
      <c r="GD598">
        <v>2.610524333765043</v>
      </c>
      <c r="GE598">
        <v>2.8886473216079893</v>
      </c>
      <c r="GF598">
        <v>4.6467073875889202</v>
      </c>
      <c r="GG598">
        <v>3.7997976423395357</v>
      </c>
      <c r="GH598">
        <v>0</v>
      </c>
      <c r="GI598">
        <v>7.3103887515832664</v>
      </c>
      <c r="GJ598"/>
      <c r="GK598"/>
      <c r="GL598"/>
      <c r="GM598"/>
      <c r="GN598" s="208"/>
      <c r="GO598" s="208"/>
      <c r="GP598" s="208"/>
      <c r="GQ598" s="208"/>
      <c r="GR598" s="208"/>
      <c r="GS598" s="208"/>
      <c r="GT598" s="208"/>
      <c r="GU598" s="213">
        <v>593</v>
      </c>
    </row>
    <row r="599" spans="1:203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68.51586388829034</v>
      </c>
      <c r="AO599">
        <v>12.300430970672723</v>
      </c>
      <c r="AP599">
        <v>123.88154186116705</v>
      </c>
      <c r="AQ599">
        <v>104.45123036866634</v>
      </c>
      <c r="AR599">
        <v>11.319274993701026</v>
      </c>
      <c r="AS599">
        <v>141.83412221705106</v>
      </c>
      <c r="AT599" t="e">
        <v>#DIV/0!</v>
      </c>
      <c r="AU599" t="e">
        <v>#DIV/0!</v>
      </c>
      <c r="AV599"/>
      <c r="AW599"/>
      <c r="FY599" s="213">
        <v>594</v>
      </c>
      <c r="FZ599">
        <v>27.802107768934704</v>
      </c>
      <c r="GA599">
        <v>37.622466167534334</v>
      </c>
      <c r="GB599">
        <v>8.135780223829725</v>
      </c>
      <c r="GC599">
        <v>4.706539854842525</v>
      </c>
      <c r="GD599">
        <v>2.7578186686761654</v>
      </c>
      <c r="GE599">
        <v>3.0273192570576191</v>
      </c>
      <c r="GF599">
        <v>3.6367112183176067</v>
      </c>
      <c r="GG599">
        <v>2.9070573086653919</v>
      </c>
      <c r="GH599">
        <v>0.60080431445180338</v>
      </c>
      <c r="GI599">
        <v>8.6221378985362893</v>
      </c>
      <c r="GJ599"/>
      <c r="GK599"/>
      <c r="GL599"/>
      <c r="GM599"/>
      <c r="GN599" s="208"/>
      <c r="GO599" s="208"/>
      <c r="GP599" s="208"/>
      <c r="GQ599" s="208"/>
      <c r="GR599" s="208"/>
      <c r="GS599" s="208"/>
      <c r="GT599" s="208"/>
      <c r="GU599" s="213">
        <v>594</v>
      </c>
    </row>
    <row r="600" spans="1:203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81.218635394402369</v>
      </c>
      <c r="AO600">
        <v>14.880602773606663</v>
      </c>
      <c r="AP600">
        <v>94.472273702376441</v>
      </c>
      <c r="AQ600">
        <v>128.03959872941363</v>
      </c>
      <c r="AR600">
        <v>13.631388389497765</v>
      </c>
      <c r="AS600">
        <v>172.28586450739692</v>
      </c>
      <c r="AT600" t="e">
        <v>#DIV/0!</v>
      </c>
      <c r="AU600" t="e">
        <v>#DIV/0!</v>
      </c>
      <c r="AV600"/>
      <c r="AW600"/>
      <c r="FY600" s="213">
        <v>595</v>
      </c>
      <c r="FZ600">
        <v>23.513320399623137</v>
      </c>
      <c r="GA600">
        <v>26.131429153878685</v>
      </c>
      <c r="GB600">
        <v>3.7143210691462816</v>
      </c>
      <c r="GC600">
        <v>3.2220333207033582</v>
      </c>
      <c r="GD600">
        <v>1.8380003595104677</v>
      </c>
      <c r="GE600">
        <v>2.1041762304065563</v>
      </c>
      <c r="GF600">
        <v>5.5762729858632678</v>
      </c>
      <c r="GG600">
        <v>8.0564979160772126</v>
      </c>
      <c r="GH600">
        <v>4.6811079348310667</v>
      </c>
      <c r="GI600">
        <v>7.2291570340426947</v>
      </c>
      <c r="GJ600"/>
      <c r="GK600"/>
      <c r="GL600"/>
      <c r="GM600"/>
      <c r="GN600" s="208"/>
      <c r="GO600" s="208"/>
      <c r="GP600" s="208"/>
      <c r="GQ600" s="208"/>
      <c r="GR600" s="208"/>
      <c r="GS600" s="208"/>
      <c r="GT600" s="208"/>
      <c r="GU600" s="213">
        <v>595</v>
      </c>
    </row>
    <row r="601" spans="1:203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84.35528473362524</v>
      </c>
      <c r="AO601">
        <v>13.57103962447818</v>
      </c>
      <c r="AP601">
        <v>73.461452655709763</v>
      </c>
      <c r="AQ601">
        <v>109.74369475990844</v>
      </c>
      <c r="AR601">
        <v>12.451925917725832</v>
      </c>
      <c r="AS601">
        <v>146.54965156267474</v>
      </c>
      <c r="AT601" t="e">
        <v>#DIV/0!</v>
      </c>
      <c r="AU601" t="e">
        <v>#DIV/0!</v>
      </c>
      <c r="AV601"/>
      <c r="AW601"/>
      <c r="FY601" s="213">
        <v>596</v>
      </c>
      <c r="FZ601">
        <v>17.867022237681248</v>
      </c>
      <c r="GA601">
        <v>21.092472191688476</v>
      </c>
      <c r="GB601">
        <v>7.1311925075973246</v>
      </c>
      <c r="GC601">
        <v>5.0452974024036976</v>
      </c>
      <c r="GD601">
        <v>2.7430625477682371</v>
      </c>
      <c r="GE601">
        <v>2.7384986450012847</v>
      </c>
      <c r="GF601">
        <v>3.0220769228969182</v>
      </c>
      <c r="GG601">
        <v>2.2286459049746945</v>
      </c>
      <c r="GH601">
        <v>0</v>
      </c>
      <c r="GI601">
        <v>6.5620720596528788</v>
      </c>
      <c r="GJ601"/>
      <c r="GK601"/>
      <c r="GL601"/>
      <c r="GM601"/>
      <c r="GN601" s="208"/>
      <c r="GO601" s="208"/>
      <c r="GP601" s="208"/>
      <c r="GQ601" s="208"/>
      <c r="GR601" s="208"/>
      <c r="GS601" s="208"/>
      <c r="GT601" s="208"/>
      <c r="GU601" s="213">
        <v>596</v>
      </c>
    </row>
    <row r="602" spans="1:203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82.657615708750342</v>
      </c>
      <c r="AO602">
        <v>11.765676697119531</v>
      </c>
      <c r="AP602">
        <v>118.03064384775712</v>
      </c>
      <c r="AQ602">
        <v>89.267945525459936</v>
      </c>
      <c r="AR602">
        <v>10.953933566070885</v>
      </c>
      <c r="AS602">
        <v>129.48042987001995</v>
      </c>
      <c r="AT602" t="e">
        <v>#DIV/0!</v>
      </c>
      <c r="AU602" t="e">
        <v>#DIV/0!</v>
      </c>
      <c r="AV602"/>
      <c r="AW602"/>
      <c r="FY602" s="213">
        <v>597</v>
      </c>
      <c r="FZ602">
        <v>14.157593216325282</v>
      </c>
      <c r="GA602">
        <v>17.28214192179091</v>
      </c>
      <c r="GB602">
        <v>11.134189685896201</v>
      </c>
      <c r="GC602">
        <v>7.0570801318117509</v>
      </c>
      <c r="GD602">
        <v>2.1401190162031769</v>
      </c>
      <c r="GE602">
        <v>1.6271576465891735</v>
      </c>
      <c r="GF602">
        <v>5.3424856908398741</v>
      </c>
      <c r="GG602">
        <v>5.6277346998321125</v>
      </c>
      <c r="GH602">
        <v>2.1611736260621592</v>
      </c>
      <c r="GI602">
        <v>7.4383013477990856</v>
      </c>
      <c r="GJ602"/>
      <c r="GK602"/>
      <c r="GL602"/>
      <c r="GM602"/>
      <c r="GN602" s="208"/>
      <c r="GO602" s="208"/>
      <c r="GP602" s="208"/>
      <c r="GQ602" s="208"/>
      <c r="GR602" s="208"/>
      <c r="GS602" s="208"/>
      <c r="GT602" s="208"/>
      <c r="GU602" s="213">
        <v>597</v>
      </c>
    </row>
    <row r="603" spans="1:203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99.788631683516314</v>
      </c>
      <c r="AO603">
        <v>16.141508093280798</v>
      </c>
      <c r="AP603">
        <v>113.57712763053149</v>
      </c>
      <c r="AQ603">
        <v>136.31199181335734</v>
      </c>
      <c r="AR603">
        <v>14.888759400914362</v>
      </c>
      <c r="AS603">
        <v>161.36604143424037</v>
      </c>
      <c r="AT603">
        <v>10.294927727083627</v>
      </c>
      <c r="AU603">
        <v>21.281136543150282</v>
      </c>
      <c r="AV603"/>
      <c r="AW603"/>
      <c r="FY603" s="213">
        <v>598</v>
      </c>
      <c r="FZ603">
        <v>25.083089388963465</v>
      </c>
      <c r="GA603">
        <v>28.748978188100466</v>
      </c>
      <c r="GB603">
        <v>7.844070710730306</v>
      </c>
      <c r="GC603">
        <v>5.9708284374477394</v>
      </c>
      <c r="GD603">
        <v>2.4957590017973903</v>
      </c>
      <c r="GE603">
        <v>2.6433932673795426</v>
      </c>
      <c r="GF603">
        <v>4.8865911452936341</v>
      </c>
      <c r="GG603">
        <v>4.0148969105118466</v>
      </c>
      <c r="GH603">
        <v>0</v>
      </c>
      <c r="GI603">
        <v>8.1133134779154492</v>
      </c>
      <c r="GJ603"/>
      <c r="GK603"/>
      <c r="GL603"/>
      <c r="GM603"/>
      <c r="GN603" s="208"/>
      <c r="GO603" s="208"/>
      <c r="GP603" s="208"/>
      <c r="GQ603" s="208"/>
      <c r="GR603" s="208"/>
      <c r="GS603" s="208"/>
      <c r="GT603" s="208"/>
      <c r="GU603" s="213">
        <v>598</v>
      </c>
    </row>
    <row r="604" spans="1:203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59.792520245277593</v>
      </c>
      <c r="AO604">
        <v>7.5317343743700134</v>
      </c>
      <c r="AP604">
        <v>46.170317656089992</v>
      </c>
      <c r="AQ604">
        <v>51.029905732579572</v>
      </c>
      <c r="AR604">
        <v>6.9642072022232533</v>
      </c>
      <c r="AS604">
        <v>101.46371029697443</v>
      </c>
      <c r="AT604" t="e">
        <v>#DIV/0!</v>
      </c>
      <c r="AU604" t="e">
        <v>#DIV/0!</v>
      </c>
      <c r="AV604"/>
      <c r="AW604"/>
      <c r="FY604" s="213">
        <v>599</v>
      </c>
      <c r="FZ604">
        <v>30.589130103903827</v>
      </c>
      <c r="GA604">
        <v>41.279266795633127</v>
      </c>
      <c r="GB604">
        <v>9.2422383625305287</v>
      </c>
      <c r="GC604">
        <v>4.5185392883043072</v>
      </c>
      <c r="GD604">
        <v>1.9855214329519382</v>
      </c>
      <c r="GE604">
        <v>2.3492847123282372</v>
      </c>
      <c r="GF604">
        <v>2.1238203165870657</v>
      </c>
      <c r="GG604">
        <v>2.7536182789454724</v>
      </c>
      <c r="GH604">
        <v>1.5603693116103559</v>
      </c>
      <c r="GI604">
        <v>8.6922857094164048</v>
      </c>
      <c r="GJ604"/>
      <c r="GK604"/>
      <c r="GL604"/>
      <c r="GM604"/>
      <c r="GN604" s="208"/>
      <c r="GO604" s="208"/>
      <c r="GP604" s="208"/>
      <c r="GQ604" s="208"/>
      <c r="GR604" s="208"/>
      <c r="GS604" s="208"/>
      <c r="GT604" s="208"/>
      <c r="GU604" s="213">
        <v>599</v>
      </c>
    </row>
    <row r="605" spans="1:203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73.952102411477398</v>
      </c>
      <c r="AO605">
        <v>13.227800953475745</v>
      </c>
      <c r="AP605">
        <v>89.422846012472164</v>
      </c>
      <c r="AQ605">
        <v>104.1885061768002</v>
      </c>
      <c r="AR605">
        <v>12.102421671667749</v>
      </c>
      <c r="AS605">
        <v>133.16051289480055</v>
      </c>
      <c r="AT605" t="e">
        <v>#DIV/0!</v>
      </c>
      <c r="AU605" t="e">
        <v>#DIV/0!</v>
      </c>
      <c r="AV605"/>
      <c r="AW605"/>
      <c r="FY605" s="213">
        <v>600</v>
      </c>
      <c r="FZ605">
        <v>43.826319029615796</v>
      </c>
      <c r="GA605">
        <v>57.428472155800229</v>
      </c>
      <c r="GB605">
        <v>8.1092254851395644</v>
      </c>
      <c r="GC605">
        <v>3.781643698497505</v>
      </c>
      <c r="GD605">
        <v>1.6806336730368305</v>
      </c>
      <c r="GE605">
        <v>2.0008768633195526</v>
      </c>
      <c r="GF605">
        <v>4.9183433840937552</v>
      </c>
      <c r="GG605">
        <v>5.3235782741137188</v>
      </c>
      <c r="GH605">
        <v>3.3627822549657664</v>
      </c>
      <c r="GI605">
        <v>10.915373202046856</v>
      </c>
      <c r="GJ605"/>
      <c r="GK605"/>
      <c r="GL605"/>
      <c r="GM605"/>
      <c r="GN605" s="208"/>
      <c r="GO605" s="208"/>
      <c r="GP605" s="208"/>
      <c r="GQ605" s="208"/>
      <c r="GR605" s="208"/>
      <c r="GS605" s="208"/>
      <c r="GT605" s="208"/>
      <c r="GU605" s="213">
        <v>600</v>
      </c>
    </row>
    <row r="606" spans="1:203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71.553374587014289</v>
      </c>
      <c r="AO606">
        <v>14.659335270535573</v>
      </c>
      <c r="AP606">
        <v>141.12142567830949</v>
      </c>
      <c r="AQ606">
        <v>120.89262958439899</v>
      </c>
      <c r="AR606">
        <v>13.5192305980926</v>
      </c>
      <c r="AS606">
        <v>173.82109299421759</v>
      </c>
      <c r="AT606" t="e">
        <v>#DIV/0!</v>
      </c>
      <c r="AU606" t="e">
        <v>#DIV/0!</v>
      </c>
      <c r="AV606"/>
      <c r="AW606"/>
      <c r="FY606" s="213">
        <v>601</v>
      </c>
      <c r="FZ606">
        <v>24.918863121671301</v>
      </c>
      <c r="GA606">
        <v>36.854061092423009</v>
      </c>
      <c r="GB606">
        <v>9.6086317026565773</v>
      </c>
      <c r="GC606">
        <v>4.3187293534300961</v>
      </c>
      <c r="GD606">
        <v>1.7403166846150222</v>
      </c>
      <c r="GE606">
        <v>1.4859432386959153</v>
      </c>
      <c r="GF606">
        <v>2.6564778706124885</v>
      </c>
      <c r="GG606">
        <v>3.1248990449243115</v>
      </c>
      <c r="GH606">
        <v>1.5603693116103559</v>
      </c>
      <c r="GI606">
        <v>7.9130256624347952</v>
      </c>
      <c r="GJ606"/>
      <c r="GK606"/>
      <c r="GL606"/>
      <c r="GM606"/>
      <c r="GN606" s="208"/>
      <c r="GO606" s="208"/>
      <c r="GP606" s="208"/>
      <c r="GQ606" s="208"/>
      <c r="GR606" s="208"/>
      <c r="GS606" s="208"/>
      <c r="GT606" s="208"/>
      <c r="GU606" s="213">
        <v>601</v>
      </c>
    </row>
    <row r="607" spans="1:203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64.559812300988781</v>
      </c>
      <c r="AO607">
        <v>11.871535775187837</v>
      </c>
      <c r="AP607">
        <v>78.227213136839879</v>
      </c>
      <c r="AQ607">
        <v>99.672891831340735</v>
      </c>
      <c r="AR607">
        <v>10.956337063622282</v>
      </c>
      <c r="AS607">
        <v>125.08250403037496</v>
      </c>
      <c r="AT607">
        <v>7.4413219553748027</v>
      </c>
      <c r="AU607">
        <v>16.783991773684864</v>
      </c>
      <c r="AV607"/>
      <c r="AW607"/>
      <c r="FY607" s="213">
        <v>602</v>
      </c>
      <c r="FZ607">
        <v>28.286753702311998</v>
      </c>
      <c r="GA607">
        <v>31.921779295498549</v>
      </c>
      <c r="GB607">
        <v>7.0929771389010323</v>
      </c>
      <c r="GC607">
        <v>5.2958013719105379</v>
      </c>
      <c r="GD607">
        <v>2.0495757411040079</v>
      </c>
      <c r="GE607">
        <v>2.0318226496590257</v>
      </c>
      <c r="GF607">
        <v>2.8662552188208488</v>
      </c>
      <c r="GG607">
        <v>2.0230259394484706</v>
      </c>
      <c r="GH607">
        <v>1.2016086289036068</v>
      </c>
      <c r="GI607">
        <v>7.8542261963735891</v>
      </c>
      <c r="GJ607"/>
      <c r="GK607"/>
      <c r="GL607"/>
      <c r="GM607"/>
      <c r="GN607" s="208"/>
      <c r="GO607" s="208"/>
      <c r="GP607" s="208"/>
      <c r="GQ607" s="208"/>
      <c r="GR607" s="208"/>
      <c r="GS607" s="208"/>
      <c r="GT607" s="208"/>
      <c r="GU607" s="213">
        <v>602</v>
      </c>
    </row>
    <row r="608" spans="1:203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92.703924151078056</v>
      </c>
      <c r="AO608">
        <v>15.816411604752531</v>
      </c>
      <c r="AP608">
        <v>91.423208345219308</v>
      </c>
      <c r="AQ608">
        <v>134.8522617202814</v>
      </c>
      <c r="AR608">
        <v>14.51085234369067</v>
      </c>
      <c r="AS608">
        <v>188.34593990616833</v>
      </c>
      <c r="AT608" t="e">
        <v>#DIV/0!</v>
      </c>
      <c r="AU608" t="e">
        <v>#DIV/0!</v>
      </c>
      <c r="AV608"/>
      <c r="AW608"/>
      <c r="FY608" s="213">
        <v>603</v>
      </c>
      <c r="FZ608">
        <v>37.4613128672041</v>
      </c>
      <c r="GA608">
        <v>48.868585854069266</v>
      </c>
      <c r="GB608">
        <v>6.1786634938018317</v>
      </c>
      <c r="GC608">
        <v>2.9015172510424421</v>
      </c>
      <c r="GD608">
        <v>2.0894747029453393</v>
      </c>
      <c r="GE608">
        <v>2.4964464083067739</v>
      </c>
      <c r="GF608">
        <v>2.2986211103131473</v>
      </c>
      <c r="GG608">
        <v>1.8573651389958552</v>
      </c>
      <c r="GH608">
        <v>0</v>
      </c>
      <c r="GI608">
        <v>8.7828865259604747</v>
      </c>
      <c r="GJ608"/>
      <c r="GK608"/>
      <c r="GL608"/>
      <c r="GM608"/>
      <c r="GN608" s="208"/>
      <c r="GO608" s="208"/>
      <c r="GP608" s="208"/>
      <c r="GQ608" s="208"/>
      <c r="GR608" s="208"/>
      <c r="GS608" s="208"/>
      <c r="GT608" s="208"/>
      <c r="GU608" s="213">
        <v>603</v>
      </c>
    </row>
    <row r="609" spans="1:203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74.887867809590659</v>
      </c>
      <c r="AO609">
        <v>10.967075927278957</v>
      </c>
      <c r="AP609">
        <v>57.040125928917085</v>
      </c>
      <c r="AQ609">
        <v>82.913663041380431</v>
      </c>
      <c r="AR609">
        <v>10.082575444737888</v>
      </c>
      <c r="AS609">
        <v>125.33026796832857</v>
      </c>
      <c r="AT609" t="e">
        <v>#DIV/0!</v>
      </c>
      <c r="AU609" t="e">
        <v>#DIV/0!</v>
      </c>
      <c r="AV609"/>
      <c r="AW609"/>
      <c r="FY609" s="213">
        <v>604</v>
      </c>
      <c r="FZ609">
        <v>32.202656423491611</v>
      </c>
      <c r="GA609">
        <v>40.785979408764163</v>
      </c>
      <c r="GB609">
        <v>8.1632722700278375</v>
      </c>
      <c r="GC609">
        <v>5.0671244357343417</v>
      </c>
      <c r="GD609">
        <v>2.6541295678379786</v>
      </c>
      <c r="GE609">
        <v>3.4242072041855653</v>
      </c>
      <c r="GF609">
        <v>5.2973379442089685</v>
      </c>
      <c r="GG609">
        <v>5.1721364276302335</v>
      </c>
      <c r="GH609">
        <v>2.1611736260621592</v>
      </c>
      <c r="GI609">
        <v>9.7220087397208665</v>
      </c>
      <c r="GJ609"/>
      <c r="GK609"/>
      <c r="GL609"/>
      <c r="GM609"/>
      <c r="GN609" s="208"/>
      <c r="GO609" s="208"/>
      <c r="GP609" s="208"/>
      <c r="GQ609" s="208"/>
      <c r="GR609" s="208"/>
      <c r="GS609" s="208"/>
      <c r="GT609" s="208"/>
      <c r="GU609" s="213">
        <v>604</v>
      </c>
    </row>
    <row r="610" spans="1:203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81.747816276156797</v>
      </c>
      <c r="AO610">
        <v>13.048621177653411</v>
      </c>
      <c r="AP610">
        <v>98.810322996353591</v>
      </c>
      <c r="AQ610">
        <v>99.818742680846171</v>
      </c>
      <c r="AR610">
        <v>12.003669405660775</v>
      </c>
      <c r="AS610">
        <v>153.40307478293457</v>
      </c>
      <c r="AT610" t="e">
        <v>#DIV/0!</v>
      </c>
      <c r="AU610" t="e">
        <v>#DIV/0!</v>
      </c>
      <c r="AV610"/>
      <c r="AW610"/>
      <c r="FY610" s="213">
        <v>605</v>
      </c>
      <c r="FZ610">
        <v>22.568732322954702</v>
      </c>
      <c r="GA610">
        <v>34.047138327603015</v>
      </c>
      <c r="GB610">
        <v>12.462737925722145</v>
      </c>
      <c r="GC610">
        <v>5.9694187821359623</v>
      </c>
      <c r="GD610">
        <v>2.4348708077107024</v>
      </c>
      <c r="GE610">
        <v>2.8508171497184995</v>
      </c>
      <c r="GF610">
        <v>1.4189639258370477</v>
      </c>
      <c r="GG610">
        <v>0.92094157012985256</v>
      </c>
      <c r="GH610">
        <v>0.60080431445180338</v>
      </c>
      <c r="GI610">
        <v>8.2553013933260786</v>
      </c>
      <c r="GJ610"/>
      <c r="GK610"/>
      <c r="GL610"/>
      <c r="GM610"/>
      <c r="GN610" s="208"/>
      <c r="GO610" s="208"/>
      <c r="GP610" s="208"/>
      <c r="GQ610" s="208"/>
      <c r="GR610" s="208"/>
      <c r="GS610" s="208"/>
      <c r="GT610" s="208"/>
      <c r="GU610" s="213">
        <v>605</v>
      </c>
    </row>
    <row r="611" spans="1:203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60.241586538461533</v>
      </c>
      <c r="AO611">
        <v>10.842522110903667</v>
      </c>
      <c r="AP611">
        <v>125.15187150737134</v>
      </c>
      <c r="AQ611">
        <v>86.066316404082741</v>
      </c>
      <c r="AR611">
        <v>9.9714554508399136</v>
      </c>
      <c r="AS611">
        <v>106.66527181748543</v>
      </c>
      <c r="AT611" t="e">
        <v>#DIV/0!</v>
      </c>
      <c r="AU611" t="e">
        <v>#DIV/0!</v>
      </c>
      <c r="AV611"/>
      <c r="AW611"/>
      <c r="FY611" s="213">
        <v>606</v>
      </c>
      <c r="FZ611">
        <v>30.236387411640955</v>
      </c>
      <c r="GA611">
        <v>37.441880798014836</v>
      </c>
      <c r="GB611">
        <v>7.2942945532328558</v>
      </c>
      <c r="GC611">
        <v>4.8261674186044896</v>
      </c>
      <c r="GD611">
        <v>1.9247580227881669</v>
      </c>
      <c r="GE611">
        <v>1.1495814906252202</v>
      </c>
      <c r="GF611">
        <v>2.7322847513939541</v>
      </c>
      <c r="GG611">
        <v>7.0462131723912886</v>
      </c>
      <c r="GH611">
        <v>6.8422815608932268</v>
      </c>
      <c r="GI611">
        <v>9.006661976094783</v>
      </c>
      <c r="GJ611"/>
      <c r="GK611"/>
      <c r="GL611"/>
      <c r="GM611"/>
      <c r="GN611" s="208"/>
      <c r="GO611" s="208"/>
      <c r="GP611" s="208"/>
      <c r="GQ611" s="208"/>
      <c r="GR611" s="208"/>
      <c r="GS611" s="208"/>
      <c r="GT611" s="208"/>
      <c r="GU611" s="213">
        <v>606</v>
      </c>
    </row>
    <row r="612" spans="1:203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87.515781216332698</v>
      </c>
      <c r="AO612">
        <v>9.6297046353857514</v>
      </c>
      <c r="AP612">
        <v>42.274860208877016</v>
      </c>
      <c r="AQ612">
        <v>68.430340419664773</v>
      </c>
      <c r="AR612">
        <v>9.0077209898840476</v>
      </c>
      <c r="AS612">
        <v>137.49213734482882</v>
      </c>
      <c r="AT612" t="e">
        <v>#DIV/0!</v>
      </c>
      <c r="AU612" t="e">
        <v>#DIV/0!</v>
      </c>
      <c r="AV612"/>
      <c r="AW612"/>
      <c r="FY612" s="213">
        <v>607</v>
      </c>
      <c r="FZ612">
        <v>23.816688994258307</v>
      </c>
      <c r="GA612">
        <v>32.939386095679502</v>
      </c>
      <c r="GB612">
        <v>13.168952699647228</v>
      </c>
      <c r="GC612">
        <v>7.106481978140704</v>
      </c>
      <c r="GD612">
        <v>2.4782114156510691</v>
      </c>
      <c r="GE612">
        <v>2.8153225264166872</v>
      </c>
      <c r="GF612">
        <v>3.9129709050379411</v>
      </c>
      <c r="GG612">
        <v>3.0650042458014992</v>
      </c>
      <c r="GH612">
        <v>1.2016086289036068</v>
      </c>
      <c r="GI612">
        <v>9.1775489818703218</v>
      </c>
      <c r="GJ612"/>
      <c r="GK612"/>
      <c r="GL612"/>
      <c r="GM612"/>
      <c r="GN612" s="208"/>
      <c r="GO612" s="208"/>
      <c r="GP612" s="208"/>
      <c r="GQ612" s="208"/>
      <c r="GR612" s="208"/>
      <c r="GS612" s="208"/>
      <c r="GT612" s="208"/>
      <c r="GU612" s="213">
        <v>607</v>
      </c>
    </row>
    <row r="613" spans="1:203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93.460778266508498</v>
      </c>
      <c r="AO613">
        <v>10.953848868554424</v>
      </c>
      <c r="AP613">
        <v>34.23735076423096</v>
      </c>
      <c r="AQ613">
        <v>73.96797698314974</v>
      </c>
      <c r="AR613">
        <v>10.233837178609946</v>
      </c>
      <c r="AS613">
        <v>152.18552612256349</v>
      </c>
      <c r="AT613">
        <v>6.5621706546317951</v>
      </c>
      <c r="AU613">
        <v>14.124770131036886</v>
      </c>
      <c r="AV613"/>
      <c r="AW613"/>
      <c r="FY613" s="213">
        <v>608</v>
      </c>
      <c r="FZ613">
        <v>18.888647448298894</v>
      </c>
      <c r="GA613">
        <v>26.973610683384877</v>
      </c>
      <c r="GB613">
        <v>6.8734372312577738</v>
      </c>
      <c r="GC613">
        <v>3.3414502806246587</v>
      </c>
      <c r="GD613">
        <v>1.630438108008152</v>
      </c>
      <c r="GE613">
        <v>1.9233609463747099</v>
      </c>
      <c r="GF613">
        <v>4.0943114082809657</v>
      </c>
      <c r="GG613">
        <v>4.2941077545033757</v>
      </c>
      <c r="GH613">
        <v>2.7619779405139626</v>
      </c>
      <c r="GI613">
        <v>6.6682280089179438</v>
      </c>
      <c r="GJ613"/>
      <c r="GK613"/>
      <c r="GL613"/>
      <c r="GM613"/>
      <c r="GN613" s="208"/>
      <c r="GO613" s="208"/>
      <c r="GP613" s="208"/>
      <c r="GQ613" s="208"/>
      <c r="GR613" s="208"/>
      <c r="GS613" s="208"/>
      <c r="GT613" s="208"/>
      <c r="GU613" s="213">
        <v>608</v>
      </c>
    </row>
    <row r="614" spans="1:203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78.154961826684684</v>
      </c>
      <c r="AO614">
        <v>12.311182724708818</v>
      </c>
      <c r="AP614">
        <v>221.95867539006358</v>
      </c>
      <c r="AQ614">
        <v>89.800920528139855</v>
      </c>
      <c r="AR614">
        <v>11.247132556961127</v>
      </c>
      <c r="AS614">
        <v>141.08600272429564</v>
      </c>
      <c r="AT614" t="e">
        <v>#DIV/0!</v>
      </c>
      <c r="AU614" t="e">
        <v>#DIV/0!</v>
      </c>
      <c r="AV614"/>
      <c r="AW614"/>
      <c r="FY614" s="213">
        <v>609</v>
      </c>
      <c r="FZ614">
        <v>31.66148199466063</v>
      </c>
      <c r="GA614">
        <v>37.908862190115116</v>
      </c>
      <c r="GB614">
        <v>7.5751560308319759</v>
      </c>
      <c r="GC614">
        <v>4.9480361242694517</v>
      </c>
      <c r="GD614">
        <v>2.5558541272231965</v>
      </c>
      <c r="GE614">
        <v>2.8500958805868009</v>
      </c>
      <c r="GF614">
        <v>4.9364995590918825</v>
      </c>
      <c r="GG614">
        <v>4.1710784083183743</v>
      </c>
      <c r="GH614">
        <v>1.2016086289036068</v>
      </c>
      <c r="GI614">
        <v>9.1884298547560395</v>
      </c>
      <c r="GJ614"/>
      <c r="GK614"/>
      <c r="GL614"/>
      <c r="GM614"/>
      <c r="GN614" s="208"/>
      <c r="GO614" s="208"/>
      <c r="GP614" s="208"/>
      <c r="GQ614" s="208"/>
      <c r="GR614" s="208"/>
      <c r="GS614" s="208"/>
      <c r="GT614" s="208"/>
      <c r="GU614" s="213">
        <v>609</v>
      </c>
    </row>
    <row r="615" spans="1:203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72.841116269304649</v>
      </c>
      <c r="AO615">
        <v>13.185601070454297</v>
      </c>
      <c r="AP615">
        <v>61.385151913393869</v>
      </c>
      <c r="AQ615">
        <v>105.09407431221128</v>
      </c>
      <c r="AR615">
        <v>12.086057957475848</v>
      </c>
      <c r="AS615">
        <v>159.69879023639106</v>
      </c>
      <c r="AT615" t="e">
        <v>#DIV/0!</v>
      </c>
      <c r="AU615" t="e">
        <v>#DIV/0!</v>
      </c>
      <c r="AV615"/>
      <c r="AW615"/>
      <c r="FY615" s="213">
        <v>610</v>
      </c>
      <c r="FZ615">
        <v>32.359242845940543</v>
      </c>
      <c r="GA615">
        <v>49.941219696162491</v>
      </c>
      <c r="GB615">
        <v>12.54799982941295</v>
      </c>
      <c r="GC615">
        <v>4.8934830530601889</v>
      </c>
      <c r="GD615">
        <v>1.9429314988989905</v>
      </c>
      <c r="GE615">
        <v>2.0045862704101776</v>
      </c>
      <c r="GF615">
        <v>2.7912712526912671</v>
      </c>
      <c r="GG615">
        <v>4.6127103048231435</v>
      </c>
      <c r="GH615">
        <v>3.7215429376725151</v>
      </c>
      <c r="GI615">
        <v>10.237049410777582</v>
      </c>
      <c r="GJ615"/>
      <c r="GK615"/>
      <c r="GL615"/>
      <c r="GM615"/>
      <c r="GN615" s="208"/>
      <c r="GO615" s="208"/>
      <c r="GP615" s="208"/>
      <c r="GQ615" s="208"/>
      <c r="GR615" s="208"/>
      <c r="GS615" s="208"/>
      <c r="GT615" s="208"/>
      <c r="GU615" s="213">
        <v>610</v>
      </c>
    </row>
    <row r="616" spans="1:203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99.127665055485778</v>
      </c>
      <c r="AO616">
        <v>16.415645156022929</v>
      </c>
      <c r="AP616">
        <v>91.769629621833872</v>
      </c>
      <c r="AQ616">
        <v>141.34724802062956</v>
      </c>
      <c r="AR616">
        <v>15.144953489886369</v>
      </c>
      <c r="AS616">
        <v>179.2192165427366</v>
      </c>
      <c r="AT616">
        <v>10.183986091966968</v>
      </c>
      <c r="AU616">
        <v>8.7476418505846834</v>
      </c>
      <c r="AV616"/>
      <c r="AW616"/>
      <c r="FY616" s="213">
        <v>611</v>
      </c>
      <c r="FZ616">
        <v>40.237149096379689</v>
      </c>
      <c r="GA616">
        <v>49.376510839959501</v>
      </c>
      <c r="GB616">
        <v>7.0021898733693053</v>
      </c>
      <c r="GC616">
        <v>4.1038722397288208</v>
      </c>
      <c r="GD616">
        <v>2.032711647996726</v>
      </c>
      <c r="GE616">
        <v>2.4185049811700328</v>
      </c>
      <c r="GF616">
        <v>4.4624488385475152</v>
      </c>
      <c r="GG616">
        <v>4.8727196532348831</v>
      </c>
      <c r="GH616">
        <v>2.7619779405139626</v>
      </c>
      <c r="GI616">
        <v>10.140650133303483</v>
      </c>
      <c r="GJ616"/>
      <c r="GK616"/>
      <c r="GL616"/>
      <c r="GM616"/>
      <c r="GN616" s="208"/>
      <c r="GO616" s="208"/>
      <c r="GP616" s="208"/>
      <c r="GQ616" s="208"/>
      <c r="GR616" s="208"/>
      <c r="GS616" s="208"/>
      <c r="GT616" s="208"/>
      <c r="GU616" s="213">
        <v>611</v>
      </c>
    </row>
    <row r="617" spans="1:203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62.50262426772948</v>
      </c>
      <c r="AO617">
        <v>12.012016621089963</v>
      </c>
      <c r="AP617">
        <v>67.954199516908716</v>
      </c>
      <c r="AQ617">
        <v>94.181317083073864</v>
      </c>
      <c r="AR617">
        <v>11.04779250852461</v>
      </c>
      <c r="AS617">
        <v>123.14180789353595</v>
      </c>
      <c r="AT617" t="e">
        <v>#DIV/0!</v>
      </c>
      <c r="AU617" t="e">
        <v>#DIV/0!</v>
      </c>
      <c r="AV617"/>
      <c r="AW617"/>
      <c r="FY617" s="213">
        <v>612</v>
      </c>
      <c r="FZ617">
        <v>22.110405270696159</v>
      </c>
      <c r="GA617">
        <v>27.069003822741198</v>
      </c>
      <c r="GB617">
        <v>14.300539931115724</v>
      </c>
      <c r="GC617">
        <v>8.7846035715213358</v>
      </c>
      <c r="GD617">
        <v>2.6092662117287393</v>
      </c>
      <c r="GE617">
        <v>2.4602396573318881</v>
      </c>
      <c r="GF617">
        <v>4.6190298782561037</v>
      </c>
      <c r="GG617">
        <v>4.9859882540384168</v>
      </c>
      <c r="GH617">
        <v>2.1611736260621592</v>
      </c>
      <c r="GI617">
        <v>9.5972040685018118</v>
      </c>
      <c r="GJ617"/>
      <c r="GK617"/>
      <c r="GL617"/>
      <c r="GM617"/>
      <c r="GN617" s="208"/>
      <c r="GO617" s="208"/>
      <c r="GP617" s="208"/>
      <c r="GQ617" s="208"/>
      <c r="GR617" s="208"/>
      <c r="GS617" s="208"/>
      <c r="GT617" s="208"/>
      <c r="GU617" s="213">
        <v>612</v>
      </c>
    </row>
    <row r="618" spans="1:203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92.263597492489481</v>
      </c>
      <c r="AO618">
        <v>11.527862625304566</v>
      </c>
      <c r="AP618">
        <v>90.553025587684843</v>
      </c>
      <c r="AQ618">
        <v>90.623825882931669</v>
      </c>
      <c r="AR618">
        <v>10.778314014996329</v>
      </c>
      <c r="AS618">
        <v>153.07665190513507</v>
      </c>
      <c r="AT618" t="e">
        <v>#DIV/0!</v>
      </c>
      <c r="AU618" t="e">
        <v>#DIV/0!</v>
      </c>
      <c r="AV618"/>
      <c r="AW618"/>
      <c r="FY618" s="213">
        <v>613</v>
      </c>
      <c r="FZ618">
        <v>24.221855795453756</v>
      </c>
      <c r="GA618">
        <v>33.64281167213673</v>
      </c>
      <c r="GB618">
        <v>7.2068601112172264</v>
      </c>
      <c r="GC618">
        <v>3.4976729258481614</v>
      </c>
      <c r="GD618">
        <v>2.4337002889198032</v>
      </c>
      <c r="GE618">
        <v>3.2631972129875684</v>
      </c>
      <c r="GF618">
        <v>0.36775776245028935</v>
      </c>
      <c r="GG618">
        <v>1.1619791684414302</v>
      </c>
      <c r="GH618">
        <v>2.1611736260621592</v>
      </c>
      <c r="GI618">
        <v>7.2159187978153794</v>
      </c>
      <c r="GJ618"/>
      <c r="GK618"/>
      <c r="GL618"/>
      <c r="GM618"/>
      <c r="GN618" s="208"/>
      <c r="GO618" s="208"/>
      <c r="GP618" s="208"/>
      <c r="GQ618" s="208"/>
      <c r="GR618" s="208"/>
      <c r="GS618" s="208"/>
      <c r="GT618" s="208"/>
      <c r="GU618" s="213">
        <v>613</v>
      </c>
    </row>
    <row r="619" spans="1:203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70.470168229758741</v>
      </c>
      <c r="AO619">
        <v>13.309748727821505</v>
      </c>
      <c r="AP619">
        <v>82.959954737258371</v>
      </c>
      <c r="AQ619">
        <v>112.93487335263924</v>
      </c>
      <c r="AR619">
        <v>12.21880853173953</v>
      </c>
      <c r="AS619">
        <v>160.53117776277617</v>
      </c>
      <c r="AT619" t="e">
        <v>#DIV/0!</v>
      </c>
      <c r="AU619" t="e">
        <v>#DIV/0!</v>
      </c>
      <c r="AV619"/>
      <c r="AW619"/>
      <c r="FY619" s="213">
        <v>614</v>
      </c>
      <c r="FZ619">
        <v>38.649924053129787</v>
      </c>
      <c r="GA619">
        <v>44.608016662703974</v>
      </c>
      <c r="GB619">
        <v>7.73279774109667</v>
      </c>
      <c r="GC619">
        <v>5.2147774826971069</v>
      </c>
      <c r="GD619">
        <v>1.6712167978479238</v>
      </c>
      <c r="GE619">
        <v>1.7752338274906896</v>
      </c>
      <c r="GF619">
        <v>2.055755727790689</v>
      </c>
      <c r="GG619">
        <v>2.967967688992998</v>
      </c>
      <c r="GH619">
        <v>1.5603693116103559</v>
      </c>
      <c r="GI619">
        <v>9.261129000241608</v>
      </c>
      <c r="GJ619"/>
      <c r="GK619"/>
      <c r="GL619"/>
      <c r="GM619"/>
      <c r="GN619" s="208"/>
      <c r="GO619" s="208"/>
      <c r="GP619" s="208"/>
      <c r="GQ619" s="208"/>
      <c r="GR619" s="208"/>
      <c r="GS619" s="208"/>
      <c r="GT619" s="208"/>
      <c r="GU619" s="213">
        <v>614</v>
      </c>
    </row>
    <row r="620" spans="1:203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90.450062247121096</v>
      </c>
      <c r="AO620">
        <v>14.739533883948516</v>
      </c>
      <c r="AP620">
        <v>68.401477263524939</v>
      </c>
      <c r="AQ620">
        <v>114.65002604766372</v>
      </c>
      <c r="AR620">
        <v>13.507912625346</v>
      </c>
      <c r="AS620">
        <v>153.07565558355952</v>
      </c>
      <c r="AT620">
        <v>8.5467943183917772</v>
      </c>
      <c r="AU620">
        <v>13.786812955407095</v>
      </c>
      <c r="AV620"/>
      <c r="AW620"/>
      <c r="FY620" s="213">
        <v>615</v>
      </c>
      <c r="FZ620">
        <v>24.240343496271734</v>
      </c>
      <c r="GA620">
        <v>30.471940506050103</v>
      </c>
      <c r="GB620">
        <v>4.8557913664951746</v>
      </c>
      <c r="GC620">
        <v>3.6414251812423739</v>
      </c>
      <c r="GD620">
        <v>2.6563666682546145</v>
      </c>
      <c r="GE620">
        <v>2.6211592959382557</v>
      </c>
      <c r="GF620">
        <v>2.8884861232862828</v>
      </c>
      <c r="GG620">
        <v>4.5855451296363068</v>
      </c>
      <c r="GH620">
        <v>3.7215429376725151</v>
      </c>
      <c r="GI620">
        <v>7.5077365427469003</v>
      </c>
      <c r="GJ620"/>
      <c r="GK620"/>
      <c r="GL620"/>
      <c r="GM620"/>
      <c r="GN620" s="208"/>
      <c r="GO620" s="208"/>
      <c r="GP620" s="208"/>
      <c r="GQ620" s="208"/>
      <c r="GR620" s="208"/>
      <c r="GS620" s="208"/>
      <c r="GT620" s="208"/>
      <c r="GU620" s="213">
        <v>615</v>
      </c>
    </row>
    <row r="621" spans="1:203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93.848058456362224</v>
      </c>
      <c r="AO621">
        <v>12.435270525082236</v>
      </c>
      <c r="AP621">
        <v>85.605358088143987</v>
      </c>
      <c r="AQ621">
        <v>91.529726519589815</v>
      </c>
      <c r="AR621">
        <v>11.483646142059534</v>
      </c>
      <c r="AS621">
        <v>163.93615294749986</v>
      </c>
      <c r="AT621" t="e">
        <v>#DIV/0!</v>
      </c>
      <c r="AU621" t="e">
        <v>#DIV/0!</v>
      </c>
      <c r="AV621"/>
      <c r="AW621"/>
      <c r="FY621" s="213">
        <v>616</v>
      </c>
      <c r="FZ621">
        <v>13.628883556900856</v>
      </c>
      <c r="GA621">
        <v>14.99582606888848</v>
      </c>
      <c r="GB621">
        <v>4.4444314434224994</v>
      </c>
      <c r="GC621">
        <v>4.7547807883716047</v>
      </c>
      <c r="GD621">
        <v>2.4457378903196139</v>
      </c>
      <c r="GE621">
        <v>1.4209497364715218</v>
      </c>
      <c r="GF621">
        <v>2.307699197812211</v>
      </c>
      <c r="GG621">
        <v>1.5916391105040424</v>
      </c>
      <c r="GH621">
        <v>0</v>
      </c>
      <c r="GI621">
        <v>4.934191709480289</v>
      </c>
      <c r="GJ621"/>
      <c r="GK621"/>
      <c r="GL621"/>
      <c r="GM621"/>
      <c r="GN621" s="208"/>
      <c r="GO621" s="208"/>
      <c r="GP621" s="208"/>
      <c r="GQ621" s="208"/>
      <c r="GR621" s="208"/>
      <c r="GS621" s="208"/>
      <c r="GT621" s="208"/>
      <c r="GU621" s="213">
        <v>616</v>
      </c>
    </row>
    <row r="622" spans="1:203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76.435280663621171</v>
      </c>
      <c r="AO622">
        <v>13.520876362691158</v>
      </c>
      <c r="AP622">
        <v>113.34425936054255</v>
      </c>
      <c r="AQ622">
        <v>108.50051115567976</v>
      </c>
      <c r="AR622">
        <v>12.481610021867059</v>
      </c>
      <c r="AS622">
        <v>140.21126979786322</v>
      </c>
      <c r="AT622" t="e">
        <v>#DIV/0!</v>
      </c>
      <c r="AU622" t="e">
        <v>#DIV/0!</v>
      </c>
      <c r="AV622"/>
      <c r="AW622"/>
      <c r="FY622" s="213">
        <v>617</v>
      </c>
      <c r="FZ622">
        <v>11.308719928270262</v>
      </c>
      <c r="GA622">
        <v>15.862256616179483</v>
      </c>
      <c r="GB622">
        <v>3.0843734291901224</v>
      </c>
      <c r="GC622">
        <v>2.5752251369684078</v>
      </c>
      <c r="GD622">
        <v>1.9637866827795321</v>
      </c>
      <c r="GE622">
        <v>1.4910146059139797</v>
      </c>
      <c r="GF622">
        <v>3.633079735685925</v>
      </c>
      <c r="GG622">
        <v>4.1301581212772041</v>
      </c>
      <c r="GH622">
        <v>2.1611736260621592</v>
      </c>
      <c r="GI622">
        <v>4.6612915089409137</v>
      </c>
      <c r="GJ622"/>
      <c r="GK622"/>
      <c r="GL622"/>
      <c r="GM622"/>
      <c r="GN622" s="208"/>
      <c r="GO622" s="208"/>
      <c r="GP622" s="208"/>
      <c r="GQ622" s="208"/>
      <c r="GR622" s="208"/>
      <c r="GS622" s="208"/>
      <c r="GT622" s="208"/>
      <c r="GU622" s="213">
        <v>617</v>
      </c>
    </row>
    <row r="623" spans="1:203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93.008232718374686</v>
      </c>
      <c r="AO623">
        <v>13.696894366899835</v>
      </c>
      <c r="AP623">
        <v>74.070066295848349</v>
      </c>
      <c r="AQ623">
        <v>99.682176471406891</v>
      </c>
      <c r="AR623">
        <v>12.690592998246421</v>
      </c>
      <c r="AS623">
        <v>170.06658555369972</v>
      </c>
      <c r="AT623" t="e">
        <v>#DIV/0!</v>
      </c>
      <c r="AU623" t="e">
        <v>#DIV/0!</v>
      </c>
      <c r="AV623"/>
      <c r="AW623"/>
      <c r="FY623" s="213">
        <v>618</v>
      </c>
      <c r="FZ623">
        <v>42.616942877893443</v>
      </c>
      <c r="GA623">
        <v>54.45141539002249</v>
      </c>
      <c r="GB623">
        <v>10.364753142875625</v>
      </c>
      <c r="GC623">
        <v>5.805975101578797</v>
      </c>
      <c r="GD623">
        <v>2.1050520695877597</v>
      </c>
      <c r="GE623">
        <v>1.8451617639855717</v>
      </c>
      <c r="GF623">
        <v>2.8971845429690868</v>
      </c>
      <c r="GG623">
        <v>2.2286459049746945</v>
      </c>
      <c r="GH623">
        <v>1.2016086289036068</v>
      </c>
      <c r="GI623">
        <v>10.876104276692402</v>
      </c>
      <c r="GJ623"/>
      <c r="GK623"/>
      <c r="GL623"/>
      <c r="GM623"/>
      <c r="GN623" s="208"/>
      <c r="GO623" s="208"/>
      <c r="GP623" s="208"/>
      <c r="GQ623" s="208"/>
      <c r="GR623" s="208"/>
      <c r="GS623" s="208"/>
      <c r="GT623" s="208"/>
      <c r="GU623" s="213">
        <v>618</v>
      </c>
    </row>
    <row r="624" spans="1:203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80.308262869323968</v>
      </c>
      <c r="AO624">
        <v>9.8983138843711682</v>
      </c>
      <c r="AP624">
        <v>71.596077398379478</v>
      </c>
      <c r="AQ624">
        <v>77.449569810165315</v>
      </c>
      <c r="AR624">
        <v>9.2219678874905942</v>
      </c>
      <c r="AS624">
        <v>127.26376282160734</v>
      </c>
      <c r="AT624">
        <v>6.5859541353510407</v>
      </c>
      <c r="AU624">
        <v>-25.554430999637162</v>
      </c>
      <c r="AV624"/>
      <c r="AW624"/>
      <c r="FY624" s="213">
        <v>619</v>
      </c>
      <c r="FZ624">
        <v>54.107794929909566</v>
      </c>
      <c r="GA624">
        <v>61.883575009948551</v>
      </c>
      <c r="GB624">
        <v>4.7008391558413383</v>
      </c>
      <c r="GC624">
        <v>3.4147392480281873</v>
      </c>
      <c r="GD624">
        <v>2.0034879681676676</v>
      </c>
      <c r="GE624">
        <v>2.8049490570316027</v>
      </c>
      <c r="GF624">
        <v>4.3532476535681734</v>
      </c>
      <c r="GG624">
        <v>4.7107829229005178</v>
      </c>
      <c r="GH624">
        <v>2.1611736260621592</v>
      </c>
      <c r="GI624">
        <v>11.472254516088645</v>
      </c>
      <c r="GJ624"/>
      <c r="GK624"/>
      <c r="GL624"/>
      <c r="GM624"/>
      <c r="GN624" s="208"/>
      <c r="GO624" s="208"/>
      <c r="GP624" s="208"/>
      <c r="GQ624" s="208"/>
      <c r="GR624" s="208"/>
      <c r="GS624" s="208"/>
      <c r="GT624" s="208"/>
      <c r="GU624" s="213">
        <v>619</v>
      </c>
    </row>
    <row r="625" spans="1:203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74.062390855988724</v>
      </c>
      <c r="AO625">
        <v>13.640264495539407</v>
      </c>
      <c r="AP625">
        <v>120.27840282014381</v>
      </c>
      <c r="AQ625">
        <v>106.99710279875708</v>
      </c>
      <c r="AR625">
        <v>12.705110744492462</v>
      </c>
      <c r="AS625">
        <v>158.61781834808929</v>
      </c>
      <c r="AT625" t="e">
        <v>#DIV/0!</v>
      </c>
      <c r="AU625" t="e">
        <v>#DIV/0!</v>
      </c>
      <c r="AV625"/>
      <c r="AW625"/>
      <c r="FY625" s="213">
        <v>620</v>
      </c>
      <c r="FZ625">
        <v>21.133402216987186</v>
      </c>
      <c r="GA625">
        <v>29.725197168619928</v>
      </c>
      <c r="GB625">
        <v>4.9056131167258856</v>
      </c>
      <c r="GC625">
        <v>2.8780876234432533</v>
      </c>
      <c r="GD625">
        <v>2.3751533895062749</v>
      </c>
      <c r="GE625">
        <v>2.4244216997683221</v>
      </c>
      <c r="GF625">
        <v>1.642850218709494</v>
      </c>
      <c r="GG625">
        <v>3.3457149931766965</v>
      </c>
      <c r="GH625">
        <v>3.7215429376725151</v>
      </c>
      <c r="GI625">
        <v>6.7120658315023913</v>
      </c>
      <c r="GJ625"/>
      <c r="GK625"/>
      <c r="GL625"/>
      <c r="GM625"/>
      <c r="GN625" s="208"/>
      <c r="GO625" s="208"/>
      <c r="GP625" s="208"/>
      <c r="GQ625" s="208"/>
      <c r="GR625" s="208"/>
      <c r="GS625" s="208"/>
      <c r="GT625" s="208"/>
      <c r="GU625" s="213">
        <v>620</v>
      </c>
    </row>
    <row r="626" spans="1:203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106.98429691763235</v>
      </c>
      <c r="AO626">
        <v>15.554359909862665</v>
      </c>
      <c r="AP626">
        <v>75.035933650501065</v>
      </c>
      <c r="AQ626">
        <v>125.05203709984984</v>
      </c>
      <c r="AR626">
        <v>14.264132832768947</v>
      </c>
      <c r="AS626">
        <v>185.07856566068008</v>
      </c>
      <c r="AT626">
        <v>8.813983065287097</v>
      </c>
      <c r="AU626">
        <v>12.715606979717</v>
      </c>
      <c r="AV626"/>
      <c r="AW626"/>
      <c r="FY626" s="213">
        <v>621</v>
      </c>
      <c r="FZ626">
        <v>43.38350900837905</v>
      </c>
      <c r="GA626">
        <v>49.511002441334071</v>
      </c>
      <c r="GB626">
        <v>4.5427704343206416</v>
      </c>
      <c r="GC626">
        <v>4.1021151220706065</v>
      </c>
      <c r="GD626">
        <v>2.5148029650889838</v>
      </c>
      <c r="GE626">
        <v>2.629726506046143</v>
      </c>
      <c r="GF626">
        <v>5.0927009309842122</v>
      </c>
      <c r="GG626">
        <v>4.1952898515758257</v>
      </c>
      <c r="GH626">
        <v>1.2016086289036068</v>
      </c>
      <c r="GI626">
        <v>10.108213380657508</v>
      </c>
      <c r="GJ626"/>
      <c r="GK626"/>
      <c r="GL626"/>
      <c r="GM626"/>
      <c r="GN626" s="208"/>
      <c r="GO626" s="208"/>
      <c r="GP626" s="208"/>
      <c r="GQ626" s="208"/>
      <c r="GR626" s="208"/>
      <c r="GS626" s="208"/>
      <c r="GT626" s="208"/>
      <c r="GU626" s="213">
        <v>621</v>
      </c>
    </row>
    <row r="627" spans="1:203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101.66637018276217</v>
      </c>
      <c r="AO627">
        <v>15.162319494298057</v>
      </c>
      <c r="AP627">
        <v>86.404617183337422</v>
      </c>
      <c r="AQ627">
        <v>127.4087352442039</v>
      </c>
      <c r="AR627">
        <v>14.029427348706273</v>
      </c>
      <c r="AS627">
        <v>185.02772640921447</v>
      </c>
      <c r="AT627">
        <v>9.5386384762412124</v>
      </c>
      <c r="AU627">
        <v>16.050077951594599</v>
      </c>
      <c r="AV627"/>
      <c r="AW627"/>
      <c r="FY627" s="213">
        <v>622</v>
      </c>
      <c r="FZ627">
        <v>28.693101270344943</v>
      </c>
      <c r="GA627">
        <v>40.498638516991257</v>
      </c>
      <c r="GB627">
        <v>7.8180694590827189</v>
      </c>
      <c r="GC627">
        <v>2.9279911235861444</v>
      </c>
      <c r="GD627">
        <v>1.3742761669288823</v>
      </c>
      <c r="GE627">
        <v>1.4767076285391614</v>
      </c>
      <c r="GF627">
        <v>4.4559091290305712</v>
      </c>
      <c r="GG627">
        <v>4.6913111309661097</v>
      </c>
      <c r="GH627">
        <v>1.5603693116103559</v>
      </c>
      <c r="GI627">
        <v>8.1146957745226747</v>
      </c>
      <c r="GJ627"/>
      <c r="GK627"/>
      <c r="GL627"/>
      <c r="GM627"/>
      <c r="GN627" s="208"/>
      <c r="GO627" s="208"/>
      <c r="GP627" s="208"/>
      <c r="GQ627" s="208"/>
      <c r="GR627" s="208"/>
      <c r="GS627" s="208"/>
      <c r="GT627" s="208"/>
      <c r="GU627" s="213">
        <v>622</v>
      </c>
    </row>
    <row r="628" spans="1:203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113.33187857002513</v>
      </c>
      <c r="AO628">
        <v>14.283504344455372</v>
      </c>
      <c r="AP628">
        <v>62.744868477785019</v>
      </c>
      <c r="AQ628">
        <v>98.697454291993523</v>
      </c>
      <c r="AR628">
        <v>13.254167012967523</v>
      </c>
      <c r="AS628">
        <v>177.93656064252633</v>
      </c>
      <c r="AT628">
        <v>8.4312916679830234</v>
      </c>
      <c r="AU628">
        <v>31.800369355758555</v>
      </c>
      <c r="AV628"/>
      <c r="AW628"/>
      <c r="FY628" s="213">
        <v>623</v>
      </c>
      <c r="FZ628">
        <v>59.312109333003932</v>
      </c>
      <c r="GA628">
        <v>71.038508214884743</v>
      </c>
      <c r="GB628">
        <v>14.12050850122095</v>
      </c>
      <c r="GC628">
        <v>8.2997223897860177</v>
      </c>
      <c r="GD628">
        <v>2.5176391827730225</v>
      </c>
      <c r="GE628">
        <v>3.0194237013706955</v>
      </c>
      <c r="GF628">
        <v>3.7949979024433134</v>
      </c>
      <c r="GG628">
        <v>4.2269834142429294</v>
      </c>
      <c r="GH628">
        <v>2.1611736260621592</v>
      </c>
      <c r="GI628">
        <v>14.803238361889651</v>
      </c>
      <c r="GJ628"/>
      <c r="GK628"/>
      <c r="GL628"/>
      <c r="GM628"/>
      <c r="GN628" s="208"/>
      <c r="GO628" s="208"/>
      <c r="GP628" s="208"/>
      <c r="GQ628" s="208"/>
      <c r="GR628" s="208"/>
      <c r="GS628" s="208"/>
      <c r="GT628" s="208"/>
      <c r="GU628" s="213">
        <v>623</v>
      </c>
    </row>
    <row r="629" spans="1:203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79.01975762527232</v>
      </c>
      <c r="AO629">
        <v>10.854582720566711</v>
      </c>
      <c r="AP629">
        <v>82.255113208357969</v>
      </c>
      <c r="AQ629">
        <v>85.172927361332526</v>
      </c>
      <c r="AR629">
        <v>10.020336768378378</v>
      </c>
      <c r="AS629">
        <v>135.8673326411672</v>
      </c>
      <c r="AT629" t="e">
        <v>#DIV/0!</v>
      </c>
      <c r="AU629" t="e">
        <v>#DIV/0!</v>
      </c>
      <c r="AV629"/>
      <c r="AW629"/>
      <c r="FY629" s="213">
        <v>624</v>
      </c>
      <c r="FZ629">
        <v>33.507156621748692</v>
      </c>
      <c r="GA629">
        <v>41.060311854142036</v>
      </c>
      <c r="GB629">
        <v>8.662041662055163</v>
      </c>
      <c r="GC629">
        <v>5.8408865367392995</v>
      </c>
      <c r="GD629">
        <v>2.3277532656267619</v>
      </c>
      <c r="GE629">
        <v>2.1086437975417098</v>
      </c>
      <c r="GF629">
        <v>4.2876480448214336</v>
      </c>
      <c r="GG629">
        <v>3.3354699256163558</v>
      </c>
      <c r="GH629">
        <v>0.60080431445180338</v>
      </c>
      <c r="GI629">
        <v>9.370763377567572</v>
      </c>
      <c r="GJ629"/>
      <c r="GK629"/>
      <c r="GL629"/>
      <c r="GM629"/>
      <c r="GN629" s="208"/>
      <c r="GO629" s="208"/>
      <c r="GP629" s="208"/>
      <c r="GQ629" s="208"/>
      <c r="GR629" s="208"/>
      <c r="GS629" s="208"/>
      <c r="GT629" s="208"/>
      <c r="GU629" s="213">
        <v>624</v>
      </c>
    </row>
    <row r="630" spans="1:203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91.709271031209411</v>
      </c>
      <c r="AO630">
        <v>14.004019809207369</v>
      </c>
      <c r="AP630">
        <v>122.58568905379241</v>
      </c>
      <c r="AQ630">
        <v>115.49718829360181</v>
      </c>
      <c r="AR630">
        <v>12.81249496967081</v>
      </c>
      <c r="AS630">
        <v>159.55303910348059</v>
      </c>
      <c r="AT630" t="e">
        <v>#DIV/0!</v>
      </c>
      <c r="AU630" t="e">
        <v>#DIV/0!</v>
      </c>
      <c r="AV630"/>
      <c r="AW630"/>
      <c r="FY630" s="213">
        <v>625</v>
      </c>
      <c r="FZ630">
        <v>47.465165377830075</v>
      </c>
      <c r="GA630">
        <v>57.791286649626301</v>
      </c>
      <c r="GB630">
        <v>10.833379878343257</v>
      </c>
      <c r="GC630">
        <v>6.4879557742425691</v>
      </c>
      <c r="GD630">
        <v>2.022561131187508</v>
      </c>
      <c r="GE630">
        <v>2.0507562220993578</v>
      </c>
      <c r="GF630">
        <v>7.7148881848144573</v>
      </c>
      <c r="GG630">
        <v>6.4004741714178532</v>
      </c>
      <c r="GH630">
        <v>0.60080431445180338</v>
      </c>
      <c r="GI630">
        <v>12.439221161228156</v>
      </c>
      <c r="GJ630"/>
      <c r="GK630"/>
      <c r="GL630"/>
      <c r="GM630"/>
      <c r="GN630" s="208"/>
      <c r="GO630" s="208"/>
      <c r="GP630" s="208"/>
      <c r="GQ630" s="208"/>
      <c r="GR630" s="208"/>
      <c r="GS630" s="208"/>
      <c r="GT630" s="208"/>
      <c r="GU630" s="213">
        <v>625</v>
      </c>
    </row>
    <row r="631" spans="1:203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74.816988164997795</v>
      </c>
      <c r="AO631">
        <v>11.230072672659187</v>
      </c>
      <c r="AP631">
        <v>67.862769859628031</v>
      </c>
      <c r="AQ631">
        <v>87.190337247594258</v>
      </c>
      <c r="AR631">
        <v>10.39464141995459</v>
      </c>
      <c r="AS631">
        <v>126.38304373759594</v>
      </c>
      <c r="AT631">
        <v>7.0578318943778156</v>
      </c>
      <c r="AU631">
        <v>26.896638222211326</v>
      </c>
      <c r="AV631"/>
      <c r="AW631"/>
      <c r="FY631" s="213">
        <v>626</v>
      </c>
      <c r="FZ631">
        <v>16.993268028682824</v>
      </c>
      <c r="GA631">
        <v>24.160787324266479</v>
      </c>
      <c r="GB631">
        <v>10.011732854972781</v>
      </c>
      <c r="GC631">
        <v>5.5733617895958121</v>
      </c>
      <c r="GD631">
        <v>2.4605074506882691</v>
      </c>
      <c r="GE631">
        <v>2.4217466277625772</v>
      </c>
      <c r="GF631">
        <v>3.6297184430519205</v>
      </c>
      <c r="GG631">
        <v>4.1466557012181475</v>
      </c>
      <c r="GH631">
        <v>2.7619779405139626</v>
      </c>
      <c r="GI631">
        <v>7.6012761399439208</v>
      </c>
      <c r="GJ631"/>
      <c r="GK631"/>
      <c r="GL631"/>
      <c r="GM631"/>
      <c r="GN631" s="208"/>
      <c r="GO631" s="208"/>
      <c r="GP631" s="208"/>
      <c r="GQ631" s="208"/>
      <c r="GR631" s="208"/>
      <c r="GS631" s="208"/>
      <c r="GT631" s="208"/>
      <c r="GU631" s="213">
        <v>626</v>
      </c>
    </row>
    <row r="632" spans="1:203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83.195544630318977</v>
      </c>
      <c r="AO632">
        <v>7.2336354789665736</v>
      </c>
      <c r="AP632">
        <v>30.113464304264262</v>
      </c>
      <c r="AQ632">
        <v>50.524139502171117</v>
      </c>
      <c r="AR632">
        <v>6.7082294448412956</v>
      </c>
      <c r="AS632">
        <v>114.88389372825822</v>
      </c>
      <c r="AT632" t="e">
        <v>#DIV/0!</v>
      </c>
      <c r="AU632" t="e">
        <v>#DIV/0!</v>
      </c>
      <c r="AV632"/>
      <c r="AW632"/>
      <c r="FY632" s="213">
        <v>627</v>
      </c>
      <c r="FZ632">
        <v>27.920295182511317</v>
      </c>
      <c r="GA632">
        <v>32.820405900049451</v>
      </c>
      <c r="GB632">
        <v>7.4700267603616552</v>
      </c>
      <c r="GC632">
        <v>5.1858912982139129</v>
      </c>
      <c r="GD632">
        <v>2.198448696645837</v>
      </c>
      <c r="GE632">
        <v>2.8402280294683218</v>
      </c>
      <c r="GF632">
        <v>2.7223837492430061</v>
      </c>
      <c r="GG632">
        <v>5.4488573818071719</v>
      </c>
      <c r="GH632">
        <v>5.2819122492828701</v>
      </c>
      <c r="GI632">
        <v>8.5795734592816277</v>
      </c>
      <c r="GJ632"/>
      <c r="GK632"/>
      <c r="GL632"/>
      <c r="GM632"/>
      <c r="GN632" s="208"/>
      <c r="GO632" s="208"/>
      <c r="GP632" s="208"/>
      <c r="GQ632" s="208"/>
      <c r="GR632" s="208"/>
      <c r="GS632" s="208"/>
      <c r="GT632" s="208"/>
      <c r="GU632" s="213">
        <v>627</v>
      </c>
    </row>
    <row r="633" spans="1:203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50.671053143479604</v>
      </c>
      <c r="AO633">
        <v>6.9928074660608761</v>
      </c>
      <c r="AP633">
        <v>50.804389959539513</v>
      </c>
      <c r="AQ633">
        <v>50.87107939126799</v>
      </c>
      <c r="AR633">
        <v>6.4677431081610743</v>
      </c>
      <c r="AS633">
        <v>78.327177869116014</v>
      </c>
      <c r="AT633">
        <v>4.3357616613311141</v>
      </c>
      <c r="AU633">
        <v>0.51573595214958645</v>
      </c>
      <c r="AV633"/>
      <c r="AW633"/>
      <c r="FY633" s="213">
        <v>628</v>
      </c>
      <c r="FZ633">
        <v>31.024712989987744</v>
      </c>
      <c r="GA633">
        <v>40.907696454938517</v>
      </c>
      <c r="GB633">
        <v>10.485481647007042</v>
      </c>
      <c r="GC633">
        <v>6.1150544634161594</v>
      </c>
      <c r="GD633">
        <v>2.6522824026650804</v>
      </c>
      <c r="GE633">
        <v>2.4446845026280024</v>
      </c>
      <c r="GF633">
        <v>4.0946910760972255</v>
      </c>
      <c r="GG633">
        <v>3.330730274293312</v>
      </c>
      <c r="GH633">
        <v>0.60080431445180338</v>
      </c>
      <c r="GI633">
        <v>9.7091435220589002</v>
      </c>
      <c r="GJ633"/>
      <c r="GK633"/>
      <c r="GL633"/>
      <c r="GM633"/>
      <c r="GN633" s="208"/>
      <c r="GO633" s="208"/>
      <c r="GP633" s="208"/>
      <c r="GQ633" s="208"/>
      <c r="GR633" s="208"/>
      <c r="GS633" s="208"/>
      <c r="GT633" s="208"/>
      <c r="GU633" s="213">
        <v>628</v>
      </c>
    </row>
    <row r="634" spans="1:203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87.38540521978021</v>
      </c>
      <c r="AO634">
        <v>16.375600891049082</v>
      </c>
      <c r="AP634">
        <v>152.69468701332153</v>
      </c>
      <c r="AQ634">
        <v>134.39284369948348</v>
      </c>
      <c r="AR634">
        <v>15.134620333057995</v>
      </c>
      <c r="AS634">
        <v>179.94562997957917</v>
      </c>
      <c r="AT634" t="e">
        <v>#DIV/0!</v>
      </c>
      <c r="AU634" t="e">
        <v>#DIV/0!</v>
      </c>
      <c r="AV634"/>
      <c r="AW634"/>
      <c r="FY634" s="213">
        <v>629</v>
      </c>
      <c r="FZ634">
        <v>24.234697283559786</v>
      </c>
      <c r="GA634">
        <v>39.374460410313127</v>
      </c>
      <c r="GB634">
        <v>15.546433074587599</v>
      </c>
      <c r="GC634">
        <v>7.11473412139049</v>
      </c>
      <c r="GD634">
        <v>2.4113283713385214</v>
      </c>
      <c r="GE634">
        <v>2.1355139714132827</v>
      </c>
      <c r="GF634">
        <v>3.5641922322376622</v>
      </c>
      <c r="GG634">
        <v>3.9652471789493742</v>
      </c>
      <c r="GH634">
        <v>2.7619779405139626</v>
      </c>
      <c r="GI634">
        <v>10.062180189292345</v>
      </c>
      <c r="GJ634"/>
      <c r="GK634"/>
      <c r="GL634"/>
      <c r="GM634"/>
      <c r="GN634" s="208"/>
      <c r="GO634" s="208"/>
      <c r="GP634" s="208"/>
      <c r="GQ634" s="208"/>
      <c r="GR634" s="208"/>
      <c r="GS634" s="208"/>
      <c r="GT634" s="208"/>
      <c r="GU634" s="213">
        <v>629</v>
      </c>
    </row>
    <row r="635" spans="1:203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98.243859094993724</v>
      </c>
      <c r="AO635">
        <v>17.229601285360992</v>
      </c>
      <c r="AP635">
        <v>121.8754538734605</v>
      </c>
      <c r="AQ635">
        <v>151.61284408754636</v>
      </c>
      <c r="AR635">
        <v>15.886326579328784</v>
      </c>
      <c r="AS635">
        <v>191.78107722925836</v>
      </c>
      <c r="AT635">
        <v>10.929284235509778</v>
      </c>
      <c r="AU635">
        <v>21.909639042127544</v>
      </c>
      <c r="AV635"/>
      <c r="AW635"/>
      <c r="FY635" s="213">
        <v>630</v>
      </c>
      <c r="FZ635">
        <v>22.978509080483363</v>
      </c>
      <c r="GA635">
        <v>30.981732139832644</v>
      </c>
      <c r="GB635">
        <v>12.665567836246348</v>
      </c>
      <c r="GC635">
        <v>7.390239319511263</v>
      </c>
      <c r="GD635">
        <v>2.9228741685794897</v>
      </c>
      <c r="GE635">
        <v>2.9740344629128517</v>
      </c>
      <c r="GF635">
        <v>4.0378632849657716</v>
      </c>
      <c r="GG635">
        <v>3.0650042458014992</v>
      </c>
      <c r="GH635">
        <v>0.60080431445180338</v>
      </c>
      <c r="GI635">
        <v>9.1708606128681112</v>
      </c>
      <c r="GJ635"/>
      <c r="GK635"/>
      <c r="GL635"/>
      <c r="GM635"/>
      <c r="GN635" s="208"/>
      <c r="GO635" s="208"/>
      <c r="GP635" s="208"/>
      <c r="GQ635" s="208"/>
      <c r="GR635" s="208"/>
      <c r="GS635" s="208"/>
      <c r="GT635" s="208"/>
      <c r="GU635" s="213">
        <v>630</v>
      </c>
    </row>
    <row r="636" spans="1:203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61.900247043261757</v>
      </c>
      <c r="AO636">
        <v>10.124408059996025</v>
      </c>
      <c r="AP636">
        <v>89.874872259914568</v>
      </c>
      <c r="AQ636">
        <v>78.864049196111949</v>
      </c>
      <c r="AR636">
        <v>9.352320125882267</v>
      </c>
      <c r="AS636">
        <v>121.49257673510704</v>
      </c>
      <c r="AT636">
        <v>6.1973203995063644</v>
      </c>
      <c r="AU636">
        <v>12.954084757753289</v>
      </c>
      <c r="AV636"/>
      <c r="AW636"/>
      <c r="FY636" s="213">
        <v>631</v>
      </c>
      <c r="FZ636">
        <v>8.1952412775874617</v>
      </c>
      <c r="GA636">
        <v>9.0019310103016146</v>
      </c>
      <c r="GB636">
        <v>7.1972917474296674</v>
      </c>
      <c r="GC636">
        <v>5.23376883873732</v>
      </c>
      <c r="GD636">
        <v>1.7437128295712689</v>
      </c>
      <c r="GE636">
        <v>1.4155523014589844</v>
      </c>
      <c r="GF636">
        <v>0.92631378345892723</v>
      </c>
      <c r="GG636">
        <v>2.8648896965125727</v>
      </c>
      <c r="GH636">
        <v>4.3223472521243185</v>
      </c>
      <c r="GI636">
        <v>4.8446444606091692</v>
      </c>
      <c r="GJ636"/>
      <c r="GK636"/>
      <c r="GL636"/>
      <c r="GM636"/>
      <c r="GN636" s="208"/>
      <c r="GO636" s="208"/>
      <c r="GP636" s="208"/>
      <c r="GQ636" s="208"/>
      <c r="GR636" s="208"/>
      <c r="GS636" s="208"/>
      <c r="GT636" s="208"/>
      <c r="GU636" s="213">
        <v>631</v>
      </c>
    </row>
    <row r="637" spans="1:203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86.82439600840334</v>
      </c>
      <c r="AO637">
        <v>15.052124768951618</v>
      </c>
      <c r="AP637">
        <v>106.9164695313553</v>
      </c>
      <c r="AQ637">
        <v>127.28173926936063</v>
      </c>
      <c r="AR637">
        <v>13.951150993356784</v>
      </c>
      <c r="AS637">
        <v>157.71513855321874</v>
      </c>
      <c r="AT637" t="e">
        <v>#DIV/0!</v>
      </c>
      <c r="AU637" t="e">
        <v>#DIV/0!</v>
      </c>
      <c r="AV637"/>
      <c r="AW637"/>
      <c r="FY637" s="213">
        <v>632</v>
      </c>
      <c r="FZ637">
        <v>17.510502614519488</v>
      </c>
      <c r="GA637">
        <v>23.270958758950179</v>
      </c>
      <c r="GB637">
        <v>11.585604954810515</v>
      </c>
      <c r="GC637">
        <v>7.3368985156387376</v>
      </c>
      <c r="GD637">
        <v>1.8142841506554661</v>
      </c>
      <c r="GE637">
        <v>1.0617596075044964</v>
      </c>
      <c r="GF637">
        <v>5.793925839102549</v>
      </c>
      <c r="GG637">
        <v>5.9281670554322563</v>
      </c>
      <c r="GH637">
        <v>2.1611736260621592</v>
      </c>
      <c r="GI637">
        <v>7.9552374080454351</v>
      </c>
      <c r="GJ637"/>
      <c r="GK637"/>
      <c r="GL637"/>
      <c r="GM637"/>
      <c r="GN637" s="208"/>
      <c r="GO637" s="208"/>
      <c r="GP637" s="208"/>
      <c r="GQ637" s="208"/>
      <c r="GR637" s="208"/>
      <c r="GS637" s="208"/>
      <c r="GT637" s="208"/>
      <c r="GU637" s="213">
        <v>632</v>
      </c>
    </row>
    <row r="638" spans="1:203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69.465427784361594</v>
      </c>
      <c r="AO638">
        <v>12.186945763950551</v>
      </c>
      <c r="AP638">
        <v>89.597019480988024</v>
      </c>
      <c r="AQ638">
        <v>101.61106951160282</v>
      </c>
      <c r="AR638">
        <v>11.261967263805529</v>
      </c>
      <c r="AS638">
        <v>144.04758952148092</v>
      </c>
      <c r="AT638" t="e">
        <v>#DIV/0!</v>
      </c>
      <c r="AU638" t="e">
        <v>#DIV/0!</v>
      </c>
      <c r="AV638"/>
      <c r="AW638"/>
      <c r="FY638" s="213">
        <v>633</v>
      </c>
      <c r="FZ638">
        <v>23.121514377028557</v>
      </c>
      <c r="GA638">
        <v>31.199112363435759</v>
      </c>
      <c r="GB638">
        <v>9.5208068239249553</v>
      </c>
      <c r="GC638">
        <v>5.2619753995846041</v>
      </c>
      <c r="GD638">
        <v>2.2641305322412908</v>
      </c>
      <c r="GE638">
        <v>2.014435948958416</v>
      </c>
      <c r="GF638">
        <v>2.5574839576678734</v>
      </c>
      <c r="GG638">
        <v>2.1325704701337549</v>
      </c>
      <c r="GH638">
        <v>0</v>
      </c>
      <c r="GI638">
        <v>7.5920153813637086</v>
      </c>
      <c r="GJ638"/>
      <c r="GK638"/>
      <c r="GL638"/>
      <c r="GM638"/>
      <c r="GN638" s="208"/>
      <c r="GO638" s="208"/>
      <c r="GP638" s="208"/>
      <c r="GQ638" s="208"/>
      <c r="GR638" s="208"/>
      <c r="GS638" s="208"/>
      <c r="GT638" s="208"/>
      <c r="GU638" s="213">
        <v>633</v>
      </c>
    </row>
    <row r="639" spans="1:203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118.89903100571205</v>
      </c>
      <c r="AO639">
        <v>22.360897859022586</v>
      </c>
      <c r="AP639">
        <v>129.15663641883859</v>
      </c>
      <c r="AQ639">
        <v>183.29430462767741</v>
      </c>
      <c r="AR639">
        <v>20.54009216431264</v>
      </c>
      <c r="AS639">
        <v>246.73289501824758</v>
      </c>
      <c r="AT639">
        <v>13.466088468552194</v>
      </c>
      <c r="AU639">
        <v>20.180526766085382</v>
      </c>
      <c r="AV639"/>
      <c r="AW639"/>
      <c r="FY639" s="213">
        <v>634</v>
      </c>
      <c r="FZ639">
        <v>16.094579436093671</v>
      </c>
      <c r="GA639">
        <v>18.044646402603842</v>
      </c>
      <c r="GB639">
        <v>5.7236257260585646</v>
      </c>
      <c r="GC639">
        <v>4.377878297823159</v>
      </c>
      <c r="GD639">
        <v>1.7530797179937079</v>
      </c>
      <c r="GE639">
        <v>1.7038919421411651</v>
      </c>
      <c r="GF639">
        <v>3.4298420969945087</v>
      </c>
      <c r="GG639">
        <v>4.8143404771511102</v>
      </c>
      <c r="GH639">
        <v>3.7215429376725151</v>
      </c>
      <c r="GI639">
        <v>6.0689966721538617</v>
      </c>
      <c r="GJ639"/>
      <c r="GK639"/>
      <c r="GL639"/>
      <c r="GM639"/>
      <c r="GN639" s="208"/>
      <c r="GO639" s="208"/>
      <c r="GP639" s="208"/>
      <c r="GQ639" s="208"/>
      <c r="GR639" s="208"/>
      <c r="GS639" s="208"/>
      <c r="GT639" s="208"/>
      <c r="GU639" s="213">
        <v>634</v>
      </c>
    </row>
    <row r="640" spans="1:203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90.250566222289095</v>
      </c>
      <c r="AO640">
        <v>14.088154988698056</v>
      </c>
      <c r="AP640">
        <v>109.95951034448393</v>
      </c>
      <c r="AQ640">
        <v>111.10147940031085</v>
      </c>
      <c r="AR640">
        <v>12.975318047863912</v>
      </c>
      <c r="AS640">
        <v>149.75077839730665</v>
      </c>
      <c r="AT640" t="e">
        <v>#DIV/0!</v>
      </c>
      <c r="AU640" t="e">
        <v>#DIV/0!</v>
      </c>
      <c r="AV640"/>
      <c r="AW640"/>
      <c r="FY640" s="213">
        <v>635</v>
      </c>
      <c r="FZ640">
        <v>18.739336816605668</v>
      </c>
      <c r="GA640">
        <v>18.714383122234661</v>
      </c>
      <c r="GB640">
        <v>7.0942445141078245</v>
      </c>
      <c r="GC640">
        <v>5.489717148638535</v>
      </c>
      <c r="GD640">
        <v>2.2568493125072955</v>
      </c>
      <c r="GE640">
        <v>2.2218944614136595</v>
      </c>
      <c r="GF640">
        <v>3.6367112183176067</v>
      </c>
      <c r="GG640">
        <v>7.6645185131163975</v>
      </c>
      <c r="GH640">
        <v>7.4430858753450302</v>
      </c>
      <c r="GI640">
        <v>7.7051954336106432</v>
      </c>
      <c r="GJ640"/>
      <c r="GK640"/>
      <c r="GL640"/>
      <c r="GM640"/>
      <c r="GN640" s="208"/>
      <c r="GO640" s="208"/>
      <c r="GP640" s="208"/>
      <c r="GQ640" s="208"/>
      <c r="GR640" s="208"/>
      <c r="GS640" s="208"/>
      <c r="GT640" s="208"/>
      <c r="GU640" s="213">
        <v>635</v>
      </c>
    </row>
    <row r="641" spans="1:203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94.867120502046959</v>
      </c>
      <c r="AO641">
        <v>18.787791449621349</v>
      </c>
      <c r="AP641">
        <v>110.04793807661309</v>
      </c>
      <c r="AQ641">
        <v>153.8064928652413</v>
      </c>
      <c r="AR641">
        <v>17.250023875052573</v>
      </c>
      <c r="AS641">
        <v>188.17474105463461</v>
      </c>
      <c r="AT641" t="e">
        <v>#DIV/0!</v>
      </c>
      <c r="AU641" t="e">
        <v>#DIV/0!</v>
      </c>
      <c r="AV641"/>
      <c r="AW641"/>
      <c r="FY641" s="213">
        <v>636</v>
      </c>
      <c r="FZ641">
        <v>46.376134889291642</v>
      </c>
      <c r="GA641">
        <v>59.655680866134908</v>
      </c>
      <c r="GB641">
        <v>13.074207418128516</v>
      </c>
      <c r="GC641">
        <v>6.515171396561418</v>
      </c>
      <c r="GD641">
        <v>2.0202430450067306</v>
      </c>
      <c r="GE641">
        <v>2.5634600573321316</v>
      </c>
      <c r="GF641">
        <v>3.9198902823711439</v>
      </c>
      <c r="GG641">
        <v>5.7175961747402111</v>
      </c>
      <c r="GH641">
        <v>4.3223472521243185</v>
      </c>
      <c r="GI641">
        <v>12.691795632413575</v>
      </c>
      <c r="GJ641"/>
      <c r="GK641"/>
      <c r="GL641"/>
      <c r="GM641"/>
      <c r="GN641" s="208"/>
      <c r="GO641" s="208"/>
      <c r="GP641" s="208"/>
      <c r="GQ641" s="208"/>
      <c r="GR641" s="208"/>
      <c r="GS641" s="208"/>
      <c r="GT641" s="208"/>
      <c r="GU641" s="213">
        <v>636</v>
      </c>
    </row>
    <row r="642" spans="1:203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90.841533418923149</v>
      </c>
      <c r="AO642">
        <v>11.284227811677493</v>
      </c>
      <c r="AP642">
        <v>47.903525136357857</v>
      </c>
      <c r="AQ642">
        <v>79.761032300696684</v>
      </c>
      <c r="AR642">
        <v>10.54798823520491</v>
      </c>
      <c r="AS642">
        <v>148.91077123345198</v>
      </c>
      <c r="AT642">
        <v>6.6480724842276793</v>
      </c>
      <c r="AU642">
        <v>10.665105895089027</v>
      </c>
      <c r="AV642"/>
      <c r="AW642"/>
      <c r="FY642" s="213">
        <v>637</v>
      </c>
      <c r="FZ642">
        <v>35.421963501214094</v>
      </c>
      <c r="GA642">
        <v>47.352589165275013</v>
      </c>
      <c r="GB642">
        <v>6.9159589398366474</v>
      </c>
      <c r="GC642">
        <v>3.5174849195369324</v>
      </c>
      <c r="GD642">
        <v>1.6696429533019299</v>
      </c>
      <c r="GE642">
        <v>1.1717397862059027</v>
      </c>
      <c r="GF642">
        <v>2.4639005697045397</v>
      </c>
      <c r="GG642">
        <v>3.3187610818326356</v>
      </c>
      <c r="GH642">
        <v>1.5603693116103559</v>
      </c>
      <c r="GI642">
        <v>8.6474753462763161</v>
      </c>
      <c r="GJ642"/>
      <c r="GK642"/>
      <c r="GL642"/>
      <c r="GM642"/>
      <c r="GN642" s="208"/>
      <c r="GO642" s="208"/>
      <c r="GP642" s="208"/>
      <c r="GQ642" s="208"/>
      <c r="GR642" s="208"/>
      <c r="GS642" s="208"/>
      <c r="GT642" s="208"/>
      <c r="GU642" s="213">
        <v>637</v>
      </c>
    </row>
    <row r="643" spans="1:203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88.755644599793925</v>
      </c>
      <c r="AO643">
        <v>12.919439214067054</v>
      </c>
      <c r="AP643">
        <v>89.873072174893096</v>
      </c>
      <c r="AQ643">
        <v>100.46802270686518</v>
      </c>
      <c r="AR643">
        <v>11.842429921560443</v>
      </c>
      <c r="AS643">
        <v>153.12099647132419</v>
      </c>
      <c r="AT643">
        <v>7.882026564709026</v>
      </c>
      <c r="AU643">
        <v>33.505784270459607</v>
      </c>
      <c r="AV643"/>
      <c r="AW643"/>
      <c r="FY643" s="213">
        <v>638</v>
      </c>
      <c r="FZ643">
        <v>24.449423168981472</v>
      </c>
      <c r="GA643">
        <v>30.504814950652083</v>
      </c>
      <c r="GB643">
        <v>10.314233232599983</v>
      </c>
      <c r="GC643">
        <v>6.7556355590179651</v>
      </c>
      <c r="GD643">
        <v>2.4896448553458437</v>
      </c>
      <c r="GE643">
        <v>2.6281356058601428</v>
      </c>
      <c r="GF643">
        <v>2.8069624476397577</v>
      </c>
      <c r="GG643">
        <v>1.6954284086614904</v>
      </c>
      <c r="GH643">
        <v>0.60080431445180338</v>
      </c>
      <c r="GI643">
        <v>8.224995439471698</v>
      </c>
      <c r="GJ643"/>
      <c r="GK643"/>
      <c r="GL643"/>
      <c r="GM643"/>
      <c r="GN643" s="208"/>
      <c r="GO643" s="208"/>
      <c r="GP643" s="208"/>
      <c r="GQ643" s="208"/>
      <c r="GR643" s="208"/>
      <c r="GS643" s="208"/>
      <c r="GT643" s="208"/>
      <c r="GU643" s="213">
        <v>638</v>
      </c>
    </row>
    <row r="644" spans="1:203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72.926139526323354</v>
      </c>
      <c r="AO644">
        <v>14.679115233205778</v>
      </c>
      <c r="AP644">
        <v>109.55709984670625</v>
      </c>
      <c r="AQ644">
        <v>111.3652816475438</v>
      </c>
      <c r="AR644">
        <v>13.532344553211376</v>
      </c>
      <c r="AS644">
        <v>144.92828601601579</v>
      </c>
      <c r="AT644" t="e">
        <v>#DIV/0!</v>
      </c>
      <c r="AU644" t="e">
        <v>#DIV/0!</v>
      </c>
      <c r="AV644"/>
      <c r="AW644"/>
      <c r="FY644" s="213">
        <v>639</v>
      </c>
      <c r="FZ644">
        <v>35.242876858116972</v>
      </c>
      <c r="GA644">
        <v>43.706176533424809</v>
      </c>
      <c r="GB644">
        <v>6.0123790531832908</v>
      </c>
      <c r="GC644">
        <v>4.3544575903662821</v>
      </c>
      <c r="GD644">
        <v>2.3761644084516007</v>
      </c>
      <c r="GE644">
        <v>2.2960507495799156</v>
      </c>
      <c r="GF644">
        <v>1.5838637174121803</v>
      </c>
      <c r="GG644">
        <v>1.0217566562938358</v>
      </c>
      <c r="GH644">
        <v>0.60080431445180338</v>
      </c>
      <c r="GI644">
        <v>8.4931861756735749</v>
      </c>
      <c r="GJ644"/>
      <c r="GK644"/>
      <c r="GL644"/>
      <c r="GM644"/>
      <c r="GN644" s="208"/>
      <c r="GO644" s="208"/>
      <c r="GP644" s="208"/>
      <c r="GQ644" s="208"/>
      <c r="GR644" s="208"/>
      <c r="GS644" s="208"/>
      <c r="GT644" s="208"/>
      <c r="GU644" s="213">
        <v>639</v>
      </c>
    </row>
    <row r="645" spans="1:203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90.45966522513811</v>
      </c>
      <c r="AO645">
        <v>15.174617973237023</v>
      </c>
      <c r="AP645">
        <v>70.111442609736699</v>
      </c>
      <c r="AQ645">
        <v>111.17076477359615</v>
      </c>
      <c r="AR645">
        <v>14.053867162482812</v>
      </c>
      <c r="AS645">
        <v>165.95614493038786</v>
      </c>
      <c r="AT645">
        <v>8.5467383644289203</v>
      </c>
      <c r="AU645">
        <v>14.181630428980492</v>
      </c>
      <c r="AV645"/>
      <c r="AW645"/>
      <c r="FY645" s="213">
        <v>640</v>
      </c>
      <c r="FZ645">
        <v>37.108212188284014</v>
      </c>
      <c r="GA645">
        <v>45.385939531411893</v>
      </c>
      <c r="GB645">
        <v>10.308823185401813</v>
      </c>
      <c r="GC645">
        <v>6.7080607148277753</v>
      </c>
      <c r="GD645">
        <v>2.4227093448713672</v>
      </c>
      <c r="GE645">
        <v>2.0338961210719213</v>
      </c>
      <c r="GF645">
        <v>4.2439730706563505</v>
      </c>
      <c r="GG645">
        <v>5.94936573424848</v>
      </c>
      <c r="GH645">
        <v>3.7215429376725151</v>
      </c>
      <c r="GI645">
        <v>10.857988362577007</v>
      </c>
      <c r="GJ645"/>
      <c r="GK645"/>
      <c r="GL645"/>
      <c r="GM645"/>
      <c r="GN645" s="208"/>
      <c r="GO645" s="208"/>
      <c r="GP645" s="208"/>
      <c r="GQ645" s="208"/>
      <c r="GR645" s="208"/>
      <c r="GS645" s="208"/>
      <c r="GT645" s="208"/>
      <c r="GU645" s="213">
        <v>640</v>
      </c>
    </row>
    <row r="646" spans="1:203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90.815146575871722</v>
      </c>
      <c r="AO646">
        <v>13.714609043279674</v>
      </c>
      <c r="AP646">
        <v>67.959415996422678</v>
      </c>
      <c r="AQ646">
        <v>96.787489465653152</v>
      </c>
      <c r="AR646">
        <v>12.715187946886301</v>
      </c>
      <c r="AS646">
        <v>168.36976601370117</v>
      </c>
      <c r="AT646" t="e">
        <v>#DIV/0!</v>
      </c>
      <c r="AU646" t="e">
        <v>#DIV/0!</v>
      </c>
      <c r="AV646"/>
      <c r="AW646"/>
      <c r="FY646" s="213">
        <v>641</v>
      </c>
      <c r="FZ646">
        <v>39.669381842407617</v>
      </c>
      <c r="GA646">
        <v>48.262822858866116</v>
      </c>
      <c r="GB646">
        <v>8.3339502857150389</v>
      </c>
      <c r="GC646">
        <v>5.331313499453918</v>
      </c>
      <c r="GD646">
        <v>2.0206074528133113</v>
      </c>
      <c r="GE646">
        <v>1.7248119762817475</v>
      </c>
      <c r="GF646">
        <v>3.0780817993764868</v>
      </c>
      <c r="GG646">
        <v>3.7666454907180071</v>
      </c>
      <c r="GH646">
        <v>2.1611736260621592</v>
      </c>
      <c r="GI646">
        <v>10.032127022680292</v>
      </c>
      <c r="GJ646"/>
      <c r="GK646"/>
      <c r="GL646"/>
      <c r="GM646"/>
      <c r="GN646" s="208"/>
      <c r="GO646" s="208"/>
      <c r="GP646" s="208"/>
      <c r="GQ646" s="208"/>
      <c r="GR646" s="208"/>
      <c r="GS646" s="208"/>
      <c r="GT646" s="208"/>
      <c r="GU646" s="213">
        <v>641</v>
      </c>
    </row>
    <row r="647" spans="1:203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83.891822072919936</v>
      </c>
      <c r="AO647">
        <v>7.0027998980301502</v>
      </c>
      <c r="AP647">
        <v>29.61256825983531</v>
      </c>
      <c r="AQ647">
        <v>45.745693197791297</v>
      </c>
      <c r="AR647">
        <v>6.6159037577127533</v>
      </c>
      <c r="AS647">
        <v>108.83473194591291</v>
      </c>
      <c r="AT647">
        <v>4.5030156891167481</v>
      </c>
      <c r="AU647">
        <v>25.612546870073402</v>
      </c>
      <c r="AV647"/>
      <c r="AW647"/>
      <c r="FY647" s="213">
        <v>642</v>
      </c>
      <c r="FZ647">
        <v>22.363674984630276</v>
      </c>
      <c r="GA647">
        <v>34.855014680147946</v>
      </c>
      <c r="GB647">
        <v>8.0011408561340716</v>
      </c>
      <c r="GC647">
        <v>3.8430089362481406</v>
      </c>
      <c r="GD647">
        <v>2.7618405615593695</v>
      </c>
      <c r="GE647">
        <v>3.3200126542706965</v>
      </c>
      <c r="GF647">
        <v>2.2417933191816926</v>
      </c>
      <c r="GG647">
        <v>1.2116289000039018</v>
      </c>
      <c r="GH647">
        <v>1.2016086289036068</v>
      </c>
      <c r="GI647">
        <v>7.5801166357372241</v>
      </c>
      <c r="GJ647"/>
      <c r="GK647"/>
      <c r="GL647"/>
      <c r="GM647"/>
      <c r="GN647" s="208"/>
      <c r="GO647" s="208"/>
      <c r="GP647" s="208"/>
      <c r="GQ647" s="208"/>
      <c r="GR647" s="208"/>
      <c r="GS647" s="208"/>
      <c r="GT647" s="208"/>
      <c r="GU647" s="213">
        <v>642</v>
      </c>
    </row>
    <row r="648" spans="1:203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100.05303719151969</v>
      </c>
      <c r="AO648">
        <v>11.921554318066997</v>
      </c>
      <c r="AP648">
        <v>42.103307930583888</v>
      </c>
      <c r="AQ648">
        <v>84.418512530721287</v>
      </c>
      <c r="AR648">
        <v>10.955051753719014</v>
      </c>
      <c r="AS648">
        <v>149.46006809546989</v>
      </c>
      <c r="AT648">
        <v>7.264211931852242</v>
      </c>
      <c r="AU648">
        <v>4.439677133710382</v>
      </c>
      <c r="AV648"/>
      <c r="AW648"/>
      <c r="FY648" s="213">
        <v>643</v>
      </c>
      <c r="FZ648">
        <v>29.852349685587516</v>
      </c>
      <c r="GA648">
        <v>37.79542723588257</v>
      </c>
      <c r="GB648">
        <v>5.9441504650374579</v>
      </c>
      <c r="GC648">
        <v>4.3031690222468502</v>
      </c>
      <c r="GD648">
        <v>2.3538507083184936</v>
      </c>
      <c r="GE648">
        <v>1.9196752498016503</v>
      </c>
      <c r="GF648">
        <v>4.5843595936576014</v>
      </c>
      <c r="GG648">
        <v>3.8162952222804782</v>
      </c>
      <c r="GH648">
        <v>1.2016086289036068</v>
      </c>
      <c r="GI648">
        <v>8.3266796716525171</v>
      </c>
      <c r="GJ648"/>
      <c r="GK648"/>
      <c r="GL648"/>
      <c r="GM648"/>
      <c r="GN648" s="208"/>
      <c r="GO648" s="208"/>
      <c r="GP648" s="208"/>
      <c r="GQ648" s="208"/>
      <c r="GR648" s="208"/>
      <c r="GS648" s="208"/>
      <c r="GT648" s="208"/>
      <c r="GU648" s="213">
        <v>643</v>
      </c>
    </row>
    <row r="649" spans="1:203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88.851181885220925</v>
      </c>
      <c r="AO649">
        <v>11.294494906290632</v>
      </c>
      <c r="AP649">
        <v>52.342780061757374</v>
      </c>
      <c r="AQ649">
        <v>85.66404525433893</v>
      </c>
      <c r="AR649">
        <v>10.450747450431381</v>
      </c>
      <c r="AS649">
        <v>138.89401146773059</v>
      </c>
      <c r="AT649" t="e">
        <v>#DIV/0!</v>
      </c>
      <c r="AU649" t="e">
        <v>#DIV/0!</v>
      </c>
      <c r="AV649"/>
      <c r="AW649"/>
      <c r="FY649" s="213">
        <v>644</v>
      </c>
      <c r="FZ649">
        <v>15.104072720332612</v>
      </c>
      <c r="GA649">
        <v>23.412132505916624</v>
      </c>
      <c r="GB649">
        <v>13.007887886590003</v>
      </c>
      <c r="GC649">
        <v>7.308957734621826</v>
      </c>
      <c r="GD649">
        <v>2.3091933541076011</v>
      </c>
      <c r="GE649">
        <v>1.9483150131962179</v>
      </c>
      <c r="GF649">
        <v>2.2228142295316813</v>
      </c>
      <c r="GG649">
        <v>4.1773336826804579</v>
      </c>
      <c r="GH649">
        <v>3.7215429376725151</v>
      </c>
      <c r="GI649">
        <v>7.8304705206702527</v>
      </c>
      <c r="GJ649"/>
      <c r="GK649"/>
      <c r="GL649"/>
      <c r="GM649"/>
      <c r="GN649" s="208"/>
      <c r="GO649" s="208"/>
      <c r="GP649" s="208"/>
      <c r="GQ649" s="208"/>
      <c r="GR649" s="208"/>
      <c r="GS649" s="208"/>
      <c r="GT649" s="208"/>
      <c r="GU649" s="213">
        <v>644</v>
      </c>
    </row>
    <row r="650" spans="1:203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69.571713770978477</v>
      </c>
      <c r="AO650">
        <v>8.9898004858806715</v>
      </c>
      <c r="AP650">
        <v>48.886755345222291</v>
      </c>
      <c r="AQ650">
        <v>65.732423706686106</v>
      </c>
      <c r="AR650">
        <v>8.3625492819923917</v>
      </c>
      <c r="AS650">
        <v>109.65287813923025</v>
      </c>
      <c r="AT650">
        <v>5.4252906756659405</v>
      </c>
      <c r="AU650">
        <v>23.466590159690504</v>
      </c>
      <c r="AV650"/>
      <c r="AW650"/>
      <c r="FY650" s="213">
        <v>645</v>
      </c>
      <c r="FZ650">
        <v>11.220922681523657</v>
      </c>
      <c r="GA650">
        <v>15.131848297624387</v>
      </c>
      <c r="GB650">
        <v>6.9777229633375182</v>
      </c>
      <c r="GC650">
        <v>4.1350838965432946</v>
      </c>
      <c r="GD650">
        <v>1.7963275042736089</v>
      </c>
      <c r="GE650">
        <v>2.0550741596341426</v>
      </c>
      <c r="GF650">
        <v>1.235085044611903</v>
      </c>
      <c r="GG650">
        <v>1.8706229709974234</v>
      </c>
      <c r="GH650">
        <v>2.1611736260621592</v>
      </c>
      <c r="GI650">
        <v>5.0454000766322897</v>
      </c>
      <c r="GJ650"/>
      <c r="GK650"/>
      <c r="GL650"/>
      <c r="GM650"/>
      <c r="GN650" s="208"/>
      <c r="GO650" s="208"/>
      <c r="GP650" s="208"/>
      <c r="GQ650" s="208"/>
      <c r="GR650" s="208"/>
      <c r="GS650" s="208"/>
      <c r="GT650" s="208"/>
      <c r="GU650" s="213">
        <v>645</v>
      </c>
    </row>
    <row r="651" spans="1:203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96.384174742694</v>
      </c>
      <c r="AO651">
        <v>11.235930145278768</v>
      </c>
      <c r="AP651">
        <v>189.80212759532046</v>
      </c>
      <c r="AQ651">
        <v>80.965936415897318</v>
      </c>
      <c r="AR651">
        <v>10.600920114646902</v>
      </c>
      <c r="AS651">
        <v>161.36460745132896</v>
      </c>
      <c r="AT651" t="e">
        <v>#DIV/0!</v>
      </c>
      <c r="AU651" t="e">
        <v>#DIV/0!</v>
      </c>
      <c r="AV651"/>
      <c r="AW651"/>
      <c r="FY651" s="213">
        <v>646</v>
      </c>
      <c r="FZ651">
        <v>31.057003029145331</v>
      </c>
      <c r="GA651">
        <v>37.302645044550658</v>
      </c>
      <c r="GB651">
        <v>5.4522853880813642</v>
      </c>
      <c r="GC651">
        <v>3.952022665514388</v>
      </c>
      <c r="GD651">
        <v>2.3440247984751563</v>
      </c>
      <c r="GE651">
        <v>2.4342262631547946</v>
      </c>
      <c r="GF651">
        <v>1.4571922951347493</v>
      </c>
      <c r="GG651">
        <v>0.78423186425773195</v>
      </c>
      <c r="GH651">
        <v>0.60080431445180338</v>
      </c>
      <c r="GI651">
        <v>7.7184055653373616</v>
      </c>
      <c r="GJ651"/>
      <c r="GK651"/>
      <c r="GL651"/>
      <c r="GM651"/>
      <c r="GN651" s="208"/>
      <c r="GO651" s="208"/>
      <c r="GP651" s="208"/>
      <c r="GQ651" s="208"/>
      <c r="GR651" s="208"/>
      <c r="GS651" s="208"/>
      <c r="GT651" s="208"/>
      <c r="GU651" s="213">
        <v>646</v>
      </c>
    </row>
    <row r="652" spans="1:203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116.32029872220032</v>
      </c>
      <c r="AO652">
        <v>19.1198870401116</v>
      </c>
      <c r="AP652">
        <v>107.07046372469267</v>
      </c>
      <c r="AQ652">
        <v>156.85652701410459</v>
      </c>
      <c r="AR652">
        <v>17.603006314494742</v>
      </c>
      <c r="AS652">
        <v>187.97290776171886</v>
      </c>
      <c r="AT652">
        <v>11.595178611560721</v>
      </c>
      <c r="AU652">
        <v>8.4478444752535253</v>
      </c>
      <c r="AV652"/>
      <c r="AW652"/>
      <c r="FY652" s="213">
        <v>647</v>
      </c>
      <c r="FZ652">
        <v>28.835863044334772</v>
      </c>
      <c r="GA652">
        <v>33.487864556263979</v>
      </c>
      <c r="GB652">
        <v>3.8586805046573214</v>
      </c>
      <c r="GC652">
        <v>3.1045265343795823</v>
      </c>
      <c r="GD652">
        <v>1.8883390443738182</v>
      </c>
      <c r="GE652">
        <v>2.3819194347511377</v>
      </c>
      <c r="GF652">
        <v>5.2205749357297879</v>
      </c>
      <c r="GG652">
        <v>5.0907931334006582</v>
      </c>
      <c r="GH652">
        <v>2.1611736260621592</v>
      </c>
      <c r="GI652">
        <v>7.5901431837814588</v>
      </c>
      <c r="GJ652"/>
      <c r="GK652"/>
      <c r="GL652"/>
      <c r="GM652"/>
      <c r="GN652" s="208"/>
      <c r="GO652" s="208"/>
      <c r="GP652" s="208"/>
      <c r="GQ652" s="208"/>
      <c r="GR652" s="208"/>
      <c r="GS652" s="208"/>
      <c r="GT652" s="208"/>
      <c r="GU652" s="213">
        <v>647</v>
      </c>
    </row>
    <row r="653" spans="1:203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71.352236195834067</v>
      </c>
      <c r="AO653">
        <v>13.114220498554076</v>
      </c>
      <c r="AP653">
        <v>116.89232923447389</v>
      </c>
      <c r="AQ653">
        <v>112.03988557479437</v>
      </c>
      <c r="AR653">
        <v>11.981685837747815</v>
      </c>
      <c r="AS653">
        <v>140.93910058506773</v>
      </c>
      <c r="AT653" t="e">
        <v>#DIV/0!</v>
      </c>
      <c r="AU653" t="e">
        <v>#DIV/0!</v>
      </c>
      <c r="AV653"/>
      <c r="AW653"/>
      <c r="FY653" s="213">
        <v>648</v>
      </c>
      <c r="FZ653">
        <v>13.243249894828139</v>
      </c>
      <c r="GA653">
        <v>19.158821344406064</v>
      </c>
      <c r="GB653">
        <v>13.728346940323757</v>
      </c>
      <c r="GC653">
        <v>7.9007541593480912</v>
      </c>
      <c r="GD653">
        <v>2.7557872266965457</v>
      </c>
      <c r="GE653">
        <v>2.6074347744431265</v>
      </c>
      <c r="GF653">
        <v>2.6564778706124885</v>
      </c>
      <c r="GG653">
        <v>4.4477993624953136</v>
      </c>
      <c r="GH653">
        <v>4.9231515665761219</v>
      </c>
      <c r="GI653">
        <v>8.3813278711354915</v>
      </c>
      <c r="GJ653"/>
      <c r="GK653"/>
      <c r="GL653"/>
      <c r="GM653"/>
      <c r="GN653" s="208"/>
      <c r="GO653" s="208"/>
      <c r="GP653" s="208"/>
      <c r="GQ653" s="208"/>
      <c r="GR653" s="208"/>
      <c r="GS653" s="208"/>
      <c r="GT653" s="208"/>
      <c r="GU653" s="213">
        <v>648</v>
      </c>
    </row>
    <row r="654" spans="1:203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100.47552104617267</v>
      </c>
      <c r="AO654">
        <v>12.275693540470815</v>
      </c>
      <c r="AP654">
        <v>83.768846215272532</v>
      </c>
      <c r="AQ654">
        <v>90.470077982682241</v>
      </c>
      <c r="AR654">
        <v>11.329934866733899</v>
      </c>
      <c r="AS654">
        <v>162.40508727796336</v>
      </c>
      <c r="AT654" t="e">
        <v>#DIV/0!</v>
      </c>
      <c r="AU654" t="e">
        <v>#DIV/0!</v>
      </c>
      <c r="AV654"/>
      <c r="AW654"/>
      <c r="FY654" s="213">
        <v>649</v>
      </c>
      <c r="FZ654">
        <v>18.253423856569633</v>
      </c>
      <c r="GA654">
        <v>24.576029423145574</v>
      </c>
      <c r="GB654">
        <v>6.1629832501641957</v>
      </c>
      <c r="GC654">
        <v>3.156546974853903</v>
      </c>
      <c r="GD654">
        <v>1.9013254482533923</v>
      </c>
      <c r="GE654">
        <v>2.8996366680054644</v>
      </c>
      <c r="GF654">
        <v>2.6408600735964805</v>
      </c>
      <c r="GG654">
        <v>4.3711957195887816</v>
      </c>
      <c r="GH654">
        <v>3.1207386232207117</v>
      </c>
      <c r="GI654">
        <v>6.3792799120343844</v>
      </c>
      <c r="GJ654"/>
      <c r="GK654"/>
      <c r="GL654"/>
      <c r="GM654"/>
      <c r="GN654" s="208"/>
      <c r="GO654" s="208"/>
      <c r="GP654" s="208"/>
      <c r="GQ654" s="208"/>
      <c r="GR654" s="208"/>
      <c r="GS654" s="208"/>
      <c r="GT654" s="208"/>
      <c r="GU654" s="213">
        <v>649</v>
      </c>
    </row>
    <row r="655" spans="1:203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98.954931139122323</v>
      </c>
      <c r="AO655">
        <v>12.77726701869606</v>
      </c>
      <c r="AP655">
        <v>129.8142198794919</v>
      </c>
      <c r="AQ655">
        <v>105.68771605695427</v>
      </c>
      <c r="AR655">
        <v>11.732972390654524</v>
      </c>
      <c r="AS655">
        <v>151.22286384190704</v>
      </c>
      <c r="AT655" t="e">
        <v>#DIV/0!</v>
      </c>
      <c r="AU655" t="e">
        <v>#DIV/0!</v>
      </c>
      <c r="AV655"/>
      <c r="AW655"/>
      <c r="FY655" s="213">
        <v>650</v>
      </c>
      <c r="FZ655">
        <v>31.597626585629097</v>
      </c>
      <c r="GA655">
        <v>40.344601071578253</v>
      </c>
      <c r="GB655">
        <v>8.2359364287696</v>
      </c>
      <c r="GC655">
        <v>4.7785155706989748</v>
      </c>
      <c r="GD655">
        <v>1.5577794103253291</v>
      </c>
      <c r="GE655">
        <v>1.3364084563484435</v>
      </c>
      <c r="GF655">
        <v>0.99221966208944479</v>
      </c>
      <c r="GG655">
        <v>0.86956495168556502</v>
      </c>
      <c r="GH655">
        <v>0.60080431445180338</v>
      </c>
      <c r="GI655">
        <v>7.9370203052276427</v>
      </c>
      <c r="GJ655"/>
      <c r="GK655"/>
      <c r="GL655"/>
      <c r="GM655"/>
      <c r="GN655" s="208"/>
      <c r="GO655" s="208"/>
      <c r="GP655" s="208"/>
      <c r="GQ655" s="208"/>
      <c r="GR655" s="208"/>
      <c r="GS655" s="208"/>
      <c r="GT655" s="208"/>
      <c r="GU655" s="213">
        <v>650</v>
      </c>
    </row>
    <row r="656" spans="1:203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93.007972445535827</v>
      </c>
      <c r="AO656">
        <v>16.311200798925718</v>
      </c>
      <c r="AP656">
        <v>87.982117841291569</v>
      </c>
      <c r="AQ656">
        <v>128.74051119102313</v>
      </c>
      <c r="AR656">
        <v>15.007417414550616</v>
      </c>
      <c r="AS656">
        <v>185.5097079892904</v>
      </c>
      <c r="AT656">
        <v>9.935850928695162</v>
      </c>
      <c r="AU656">
        <v>24.037750961493238</v>
      </c>
      <c r="AV656"/>
      <c r="AW656"/>
      <c r="FY656" s="213">
        <v>651</v>
      </c>
      <c r="FZ656">
        <v>21.774869366275542</v>
      </c>
      <c r="GA656">
        <v>24.134712882891183</v>
      </c>
      <c r="GB656">
        <v>3.4998088234959934</v>
      </c>
      <c r="GC656">
        <v>4.0042842780594059</v>
      </c>
      <c r="GD656">
        <v>2.7074446033444097</v>
      </c>
      <c r="GE656">
        <v>2.4309091497364275</v>
      </c>
      <c r="GF656">
        <v>3.8139769920933255</v>
      </c>
      <c r="GG656">
        <v>5.3463154087613729</v>
      </c>
      <c r="GH656">
        <v>3.7215429376725151</v>
      </c>
      <c r="GI656">
        <v>7.0256588154779926</v>
      </c>
      <c r="GJ656"/>
      <c r="GK656"/>
      <c r="GL656"/>
      <c r="GM656"/>
      <c r="GN656" s="208"/>
      <c r="GO656" s="208"/>
      <c r="GP656" s="208"/>
      <c r="GQ656" s="208"/>
      <c r="GR656" s="208"/>
      <c r="GS656" s="208"/>
      <c r="GT656" s="208"/>
      <c r="GU656" s="213">
        <v>651</v>
      </c>
    </row>
    <row r="657" spans="1:203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92.27761394308682</v>
      </c>
      <c r="AO657">
        <v>15.070275105763722</v>
      </c>
      <c r="AP657">
        <v>120.00884829753075</v>
      </c>
      <c r="AQ657">
        <v>124.38091585437468</v>
      </c>
      <c r="AR657">
        <v>13.87920399990484</v>
      </c>
      <c r="AS657">
        <v>161.49296457713868</v>
      </c>
      <c r="AT657">
        <v>9.540963122941573</v>
      </c>
      <c r="AU657">
        <v>-17.304974717972133</v>
      </c>
      <c r="AV657"/>
      <c r="AW657"/>
      <c r="FY657" s="213">
        <v>652</v>
      </c>
      <c r="FZ657">
        <v>33.685664007220893</v>
      </c>
      <c r="GA657">
        <v>37.770205034526541</v>
      </c>
      <c r="GB657">
        <v>5.7714093147608514</v>
      </c>
      <c r="GC657">
        <v>4.036305967072364</v>
      </c>
      <c r="GD657">
        <v>1.663145596553522</v>
      </c>
      <c r="GE657">
        <v>2.0328897590081794</v>
      </c>
      <c r="GF657">
        <v>4.2876480448214336</v>
      </c>
      <c r="GG657">
        <v>4.6069936247430698</v>
      </c>
      <c r="GH657">
        <v>3.3627822549657664</v>
      </c>
      <c r="GI657">
        <v>8.6901333245206711</v>
      </c>
      <c r="GJ657"/>
      <c r="GK657"/>
      <c r="GL657"/>
      <c r="GM657"/>
      <c r="GN657" s="208"/>
      <c r="GO657" s="208"/>
      <c r="GP657" s="208"/>
      <c r="GQ657" s="208"/>
      <c r="GR657" s="208"/>
      <c r="GS657" s="208"/>
      <c r="GT657" s="208"/>
      <c r="GU657" s="213">
        <v>652</v>
      </c>
    </row>
    <row r="658" spans="1:203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64.860410830999058</v>
      </c>
      <c r="AO658">
        <v>11.436013727286575</v>
      </c>
      <c r="AP658">
        <v>98.071352151227117</v>
      </c>
      <c r="AQ658">
        <v>87.379840156816925</v>
      </c>
      <c r="AR658">
        <v>10.555888988239229</v>
      </c>
      <c r="AS658">
        <v>118.12187350248207</v>
      </c>
      <c r="AT658" t="e">
        <v>#DIV/0!</v>
      </c>
      <c r="AU658" t="e">
        <v>#DIV/0!</v>
      </c>
      <c r="AV658"/>
      <c r="AW658"/>
      <c r="FY658" s="213">
        <v>653</v>
      </c>
      <c r="FZ658">
        <v>18.341798366220406</v>
      </c>
      <c r="GA658">
        <v>20.655810554741752</v>
      </c>
      <c r="GB658">
        <v>1.623541856251477</v>
      </c>
      <c r="GC658">
        <v>2.6086532776652129</v>
      </c>
      <c r="GD658">
        <v>2.3420591791181948</v>
      </c>
      <c r="GE658">
        <v>2.1668767027391866</v>
      </c>
      <c r="GF658">
        <v>2.588413281816111</v>
      </c>
      <c r="GG658">
        <v>3.120159393601269</v>
      </c>
      <c r="GH658">
        <v>1.5603693116103559</v>
      </c>
      <c r="GI658">
        <v>5.2178539760548945</v>
      </c>
      <c r="GJ658"/>
      <c r="GK658"/>
      <c r="GL658"/>
      <c r="GM658"/>
      <c r="GN658" s="208"/>
      <c r="GO658" s="208"/>
      <c r="GP658" s="208"/>
      <c r="GQ658" s="208"/>
      <c r="GR658" s="208"/>
      <c r="GS658" s="208"/>
      <c r="GT658" s="208"/>
      <c r="GU658" s="213">
        <v>653</v>
      </c>
    </row>
    <row r="659" spans="1:203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74.087072649572661</v>
      </c>
      <c r="AO659">
        <v>12.489454226464604</v>
      </c>
      <c r="AP659">
        <v>93.396380863434075</v>
      </c>
      <c r="AQ659">
        <v>100.09756548336871</v>
      </c>
      <c r="AR659">
        <v>11.531340488615001</v>
      </c>
      <c r="AS659">
        <v>138.00396307177243</v>
      </c>
      <c r="AT659" t="e">
        <v>#DIV/0!</v>
      </c>
      <c r="AU659" t="e">
        <v>#DIV/0!</v>
      </c>
      <c r="AV659"/>
      <c r="AW659"/>
      <c r="FY659" s="213">
        <v>654</v>
      </c>
      <c r="FZ659">
        <v>21.326689527164994</v>
      </c>
      <c r="GA659">
        <v>31.129321330848597</v>
      </c>
      <c r="GB659">
        <v>8.8100732635251049</v>
      </c>
      <c r="GC659">
        <v>4.8718366336820322</v>
      </c>
      <c r="GD659">
        <v>2.6234451522648365</v>
      </c>
      <c r="GE659">
        <v>2.6461064889277095</v>
      </c>
      <c r="GF659">
        <v>2.5974913693151747</v>
      </c>
      <c r="GG659">
        <v>6.8813022300634579</v>
      </c>
      <c r="GH659">
        <v>6.2414772464414234</v>
      </c>
      <c r="GI659">
        <v>8.4140966279482878</v>
      </c>
      <c r="GJ659"/>
      <c r="GK659"/>
      <c r="GL659"/>
      <c r="GM659"/>
      <c r="GN659" s="208"/>
      <c r="GO659" s="208"/>
      <c r="GP659" s="208"/>
      <c r="GQ659" s="208"/>
      <c r="GR659" s="208"/>
      <c r="GS659" s="208"/>
      <c r="GT659" s="208"/>
      <c r="GU659" s="213">
        <v>654</v>
      </c>
    </row>
    <row r="660" spans="1:203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98.498000512465524</v>
      </c>
      <c r="AO660">
        <v>11.793486445068725</v>
      </c>
      <c r="AP660">
        <v>47.44066309360602</v>
      </c>
      <c r="AQ660">
        <v>81.042720585319771</v>
      </c>
      <c r="AR660">
        <v>10.832095873575804</v>
      </c>
      <c r="AS660">
        <v>154.09096804687934</v>
      </c>
      <c r="AT660">
        <v>6.548847944844276</v>
      </c>
      <c r="AU660">
        <v>2.0031516811038506</v>
      </c>
      <c r="AV660"/>
      <c r="AW660"/>
      <c r="FY660" s="213">
        <v>655</v>
      </c>
      <c r="FZ660">
        <v>22.060615890096976</v>
      </c>
      <c r="GA660">
        <v>24.851063168364863</v>
      </c>
      <c r="GB660">
        <v>6.9036454885280394</v>
      </c>
      <c r="GC660">
        <v>4.6592962789516141</v>
      </c>
      <c r="GD660">
        <v>1.5591235569483559</v>
      </c>
      <c r="GE660">
        <v>1.714888913150256</v>
      </c>
      <c r="GF660">
        <v>3.3989127728462707</v>
      </c>
      <c r="GG660">
        <v>2.562019148353591</v>
      </c>
      <c r="GH660">
        <v>0</v>
      </c>
      <c r="GI660">
        <v>6.4833422112842385</v>
      </c>
      <c r="GJ660"/>
      <c r="GK660"/>
      <c r="GL660"/>
      <c r="GM660"/>
      <c r="GN660" s="208"/>
      <c r="GO660" s="208"/>
      <c r="GP660" s="208"/>
      <c r="GQ660" s="208"/>
      <c r="GR660" s="208"/>
      <c r="GS660" s="208"/>
      <c r="GT660" s="208"/>
      <c r="GU660" s="213">
        <v>655</v>
      </c>
    </row>
    <row r="661" spans="1:203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62.178597253077477</v>
      </c>
      <c r="AO661">
        <v>7.4844319123597769</v>
      </c>
      <c r="AP661">
        <v>27.604225155903855</v>
      </c>
      <c r="AQ661">
        <v>51.629261221240377</v>
      </c>
      <c r="AR661">
        <v>6.9786622703345378</v>
      </c>
      <c r="AS661">
        <v>100.68285813442401</v>
      </c>
      <c r="AT661">
        <v>4.2570154426475693</v>
      </c>
      <c r="AU661">
        <v>14.711201877248312</v>
      </c>
      <c r="AV661"/>
      <c r="AW661"/>
      <c r="FY661" s="213">
        <v>656</v>
      </c>
      <c r="FZ661">
        <v>25.25600162156012</v>
      </c>
      <c r="GA661">
        <v>29.817729115453211</v>
      </c>
      <c r="GB661">
        <v>5.6285807330318463</v>
      </c>
      <c r="GC661">
        <v>4.3958391566808501</v>
      </c>
      <c r="GD661">
        <v>2.2545526900608985</v>
      </c>
      <c r="GE661">
        <v>2.3379567945696218</v>
      </c>
      <c r="GF661">
        <v>2.8629673241193268</v>
      </c>
      <c r="GG661">
        <v>2.3419145057782287</v>
      </c>
      <c r="GH661">
        <v>1.2016086289036068</v>
      </c>
      <c r="GI661">
        <v>7.1284506584112233</v>
      </c>
      <c r="GJ661"/>
      <c r="GK661"/>
      <c r="GL661"/>
      <c r="GM661"/>
      <c r="GN661" s="208"/>
      <c r="GO661" s="208"/>
      <c r="GP661" s="208"/>
      <c r="GQ661" s="208"/>
      <c r="GR661" s="208"/>
      <c r="GS661" s="208"/>
      <c r="GT661" s="208"/>
      <c r="GU661" s="213">
        <v>656</v>
      </c>
    </row>
    <row r="662" spans="1:203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75.505616992597226</v>
      </c>
      <c r="AO662">
        <v>11.494274880570012</v>
      </c>
      <c r="AP662">
        <v>107.81880557248715</v>
      </c>
      <c r="AQ662">
        <v>93.102841228103358</v>
      </c>
      <c r="AR662">
        <v>10.681233069649242</v>
      </c>
      <c r="AS662">
        <v>135.38658004519968</v>
      </c>
      <c r="AT662" t="e">
        <v>#DIV/0!</v>
      </c>
      <c r="AU662" t="e">
        <v>#DIV/0!</v>
      </c>
      <c r="AV662"/>
      <c r="AW662"/>
      <c r="FY662" s="213">
        <v>657</v>
      </c>
      <c r="FZ662">
        <v>28.857919232294577</v>
      </c>
      <c r="GA662">
        <v>31.434674831221429</v>
      </c>
      <c r="GB662">
        <v>6.3736987394921965</v>
      </c>
      <c r="GC662">
        <v>5.5698473237805599</v>
      </c>
      <c r="GD662">
        <v>2.6530098958855088</v>
      </c>
      <c r="GE662">
        <v>2.0014912707160404</v>
      </c>
      <c r="GF662">
        <v>6.0247315093082001</v>
      </c>
      <c r="GG662">
        <v>6.1899032907258107</v>
      </c>
      <c r="GH662">
        <v>2.7619779405139626</v>
      </c>
      <c r="GI662">
        <v>8.9084900305910377</v>
      </c>
      <c r="GJ662"/>
      <c r="GK662"/>
      <c r="GL662"/>
      <c r="GM662"/>
      <c r="GN662" s="208"/>
      <c r="GO662" s="208"/>
      <c r="GP662" s="208"/>
      <c r="GQ662" s="208"/>
      <c r="GR662" s="208"/>
      <c r="GS662" s="208"/>
      <c r="GT662" s="208"/>
      <c r="GU662" s="213">
        <v>657</v>
      </c>
    </row>
    <row r="663" spans="1:203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86.208662612554605</v>
      </c>
      <c r="AO663">
        <v>11.303856907808795</v>
      </c>
      <c r="AP663">
        <v>72.14347150291654</v>
      </c>
      <c r="AQ663">
        <v>93.61987799773469</v>
      </c>
      <c r="AR663">
        <v>10.442027226066843</v>
      </c>
      <c r="AS663">
        <v>158.90453787496338</v>
      </c>
      <c r="AT663">
        <v>7.3455196716404281</v>
      </c>
      <c r="AU663">
        <v>16.141977323627813</v>
      </c>
      <c r="AV663"/>
      <c r="AW663"/>
      <c r="FY663" s="213">
        <v>658</v>
      </c>
      <c r="FZ663">
        <v>45.568082751836954</v>
      </c>
      <c r="GA663">
        <v>54.207995774379995</v>
      </c>
      <c r="GB663">
        <v>7.1570133879255353</v>
      </c>
      <c r="GC663">
        <v>5.0075183695991887</v>
      </c>
      <c r="GD663">
        <v>2.0239608025100555</v>
      </c>
      <c r="GE663">
        <v>1.3924741876210582</v>
      </c>
      <c r="GF663">
        <v>4.6936341765694252</v>
      </c>
      <c r="GG663">
        <v>6.173194446942091</v>
      </c>
      <c r="GH663">
        <v>4.3223472521243185</v>
      </c>
      <c r="GI663">
        <v>11.265685126063422</v>
      </c>
      <c r="GJ663"/>
      <c r="GK663"/>
      <c r="GL663"/>
      <c r="GM663"/>
      <c r="GN663" s="208"/>
      <c r="GO663" s="208"/>
      <c r="GP663" s="208"/>
      <c r="GQ663" s="208"/>
      <c r="GR663" s="208"/>
      <c r="GS663" s="208"/>
      <c r="GT663" s="208"/>
      <c r="GU663" s="213">
        <v>658</v>
      </c>
    </row>
    <row r="664" spans="1:203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84.652952037726365</v>
      </c>
      <c r="AO664">
        <v>12.42205876864163</v>
      </c>
      <c r="AP664">
        <v>55.551082223971534</v>
      </c>
      <c r="AQ664">
        <v>79.80315101086515</v>
      </c>
      <c r="AR664">
        <v>11.684086692285463</v>
      </c>
      <c r="AS664">
        <v>142.12882360036983</v>
      </c>
      <c r="AT664">
        <v>7.0085365882955735</v>
      </c>
      <c r="AU664">
        <v>-39.696175572435287</v>
      </c>
      <c r="AV664"/>
      <c r="AW664"/>
      <c r="FY664" s="213">
        <v>659</v>
      </c>
      <c r="FZ664">
        <v>12.044498145009875</v>
      </c>
      <c r="GA664">
        <v>13.324649742763828</v>
      </c>
      <c r="GB664">
        <v>7.04219637604242</v>
      </c>
      <c r="GC664">
        <v>4.6618717258134197</v>
      </c>
      <c r="GD664">
        <v>1.7869475402879476</v>
      </c>
      <c r="GE664">
        <v>2.5113205651929364</v>
      </c>
      <c r="GF664">
        <v>2.2986211103131473</v>
      </c>
      <c r="GG664">
        <v>3.9108577960638593</v>
      </c>
      <c r="GH664">
        <v>3.1207386232207117</v>
      </c>
      <c r="GI664">
        <v>5.5658503499805514</v>
      </c>
      <c r="GJ664"/>
      <c r="GK664"/>
      <c r="GL664"/>
      <c r="GM664"/>
      <c r="GN664" s="208"/>
      <c r="GO664" s="208"/>
      <c r="GP664" s="208"/>
      <c r="GQ664" s="208"/>
      <c r="GR664" s="208"/>
      <c r="GS664" s="208"/>
      <c r="GT664" s="208"/>
      <c r="GU664" s="213">
        <v>659</v>
      </c>
    </row>
    <row r="665" spans="1:203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64.524767171826014</v>
      </c>
      <c r="AO665">
        <v>9.6703396557420511</v>
      </c>
      <c r="AP665">
        <v>43.156599729969379</v>
      </c>
      <c r="AQ665">
        <v>73.462019949432516</v>
      </c>
      <c r="AR665">
        <v>8.8309960039888473</v>
      </c>
      <c r="AS665">
        <v>111.86885989441156</v>
      </c>
      <c r="AT665" t="e">
        <v>#DIV/0!</v>
      </c>
      <c r="AU665" t="e">
        <v>#DIV/0!</v>
      </c>
      <c r="AV665"/>
      <c r="AW665"/>
      <c r="FY665" s="213">
        <v>660</v>
      </c>
      <c r="FZ665">
        <v>21.060991021356973</v>
      </c>
      <c r="GA665">
        <v>23.489236410640885</v>
      </c>
      <c r="GB665">
        <v>6.2984712397182356</v>
      </c>
      <c r="GC665">
        <v>4.6969830193878437</v>
      </c>
      <c r="GD665">
        <v>2.4279828369025527</v>
      </c>
      <c r="GE665">
        <v>3.0067557291422498</v>
      </c>
      <c r="GF665">
        <v>4.4347713292146995</v>
      </c>
      <c r="GG665">
        <v>3.7349519280509038</v>
      </c>
      <c r="GH665">
        <v>0</v>
      </c>
      <c r="GI665">
        <v>6.9352540377753931</v>
      </c>
      <c r="GJ665"/>
      <c r="GK665"/>
      <c r="GL665"/>
      <c r="GM665"/>
      <c r="GN665" s="208"/>
      <c r="GO665" s="208"/>
      <c r="GP665" s="208"/>
      <c r="GQ665" s="208"/>
      <c r="GR665" s="208"/>
      <c r="GS665" s="208"/>
      <c r="GT665" s="208"/>
      <c r="GU665" s="213">
        <v>660</v>
      </c>
    </row>
    <row r="666" spans="1:203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67.836092358030754</v>
      </c>
      <c r="AO666">
        <v>12.001456305631407</v>
      </c>
      <c r="AP666">
        <v>92.80731210832306</v>
      </c>
      <c r="AQ666">
        <v>98.250476756804147</v>
      </c>
      <c r="AR666">
        <v>10.99243073002704</v>
      </c>
      <c r="AS666">
        <v>129.14404175243178</v>
      </c>
      <c r="AT666" t="e">
        <v>#DIV/0!</v>
      </c>
      <c r="AU666" t="e">
        <v>#DIV/0!</v>
      </c>
      <c r="AV666"/>
      <c r="AW666"/>
      <c r="FY666" s="213">
        <v>661</v>
      </c>
      <c r="FZ666">
        <v>10.673508295344652</v>
      </c>
      <c r="GA666">
        <v>20.687714901689667</v>
      </c>
      <c r="GB666">
        <v>12.87368132166025</v>
      </c>
      <c r="GC666">
        <v>6.3177241356917406</v>
      </c>
      <c r="GD666">
        <v>2.4310693935215251</v>
      </c>
      <c r="GE666">
        <v>2.5880382012607459</v>
      </c>
      <c r="GF666">
        <v>4.4780666355635219</v>
      </c>
      <c r="GG666">
        <v>4.5693130856412747</v>
      </c>
      <c r="GH666">
        <v>2.1611736260621592</v>
      </c>
      <c r="GI666">
        <v>7.4471589477605153</v>
      </c>
      <c r="GJ666"/>
      <c r="GK666"/>
      <c r="GL666"/>
      <c r="GM666"/>
      <c r="GN666" s="208"/>
      <c r="GO666" s="208"/>
      <c r="GP666" s="208"/>
      <c r="GQ666" s="208"/>
      <c r="GR666" s="208"/>
      <c r="GS666" s="208"/>
      <c r="GT666" s="208"/>
      <c r="GU666" s="213">
        <v>661</v>
      </c>
    </row>
    <row r="667" spans="1:203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72.680948490507319</v>
      </c>
      <c r="AO667">
        <v>10.498916296330414</v>
      </c>
      <c r="AP667">
        <v>54.855467158378566</v>
      </c>
      <c r="AQ667">
        <v>78.459523257808172</v>
      </c>
      <c r="AR667">
        <v>9.7277439087140056</v>
      </c>
      <c r="AS667">
        <v>133.6698118586732</v>
      </c>
      <c r="AT667">
        <v>6.3571502267269722</v>
      </c>
      <c r="AU667">
        <v>28.219587637782951</v>
      </c>
      <c r="AV667"/>
      <c r="AW667"/>
      <c r="FY667" s="213">
        <v>662</v>
      </c>
      <c r="FZ667">
        <v>11.017292213269993</v>
      </c>
      <c r="GA667">
        <v>14.493465656765672</v>
      </c>
      <c r="GB667">
        <v>6.4022987866555869</v>
      </c>
      <c r="GC667">
        <v>4.3258738906385137</v>
      </c>
      <c r="GD667">
        <v>2.3143474793842396</v>
      </c>
      <c r="GE667">
        <v>2.1649770933696293</v>
      </c>
      <c r="GF667">
        <v>2.9405532472503921</v>
      </c>
      <c r="GG667">
        <v>2.3129634111977344</v>
      </c>
      <c r="GH667">
        <v>1.2016086289036068</v>
      </c>
      <c r="GI667">
        <v>5.3488288415291336</v>
      </c>
      <c r="GJ667"/>
      <c r="GK667"/>
      <c r="GL667"/>
      <c r="GM667"/>
      <c r="GN667" s="208"/>
      <c r="GO667" s="208"/>
      <c r="GP667" s="208"/>
      <c r="GQ667" s="208"/>
      <c r="GR667" s="208"/>
      <c r="GS667" s="208"/>
      <c r="GT667" s="208"/>
      <c r="GU667" s="213">
        <v>662</v>
      </c>
    </row>
    <row r="668" spans="1:203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90.233783814881676</v>
      </c>
      <c r="AO668">
        <v>12.778557886297898</v>
      </c>
      <c r="AP668">
        <v>82.908986319375046</v>
      </c>
      <c r="AQ668">
        <v>105.90717692819329</v>
      </c>
      <c r="AR668">
        <v>11.997226465399336</v>
      </c>
      <c r="AS668">
        <v>141.6463991060557</v>
      </c>
      <c r="AT668">
        <v>8.2409300338276008</v>
      </c>
      <c r="AU668">
        <v>21.744717419089852</v>
      </c>
      <c r="AV668"/>
      <c r="AW668"/>
      <c r="FY668" s="213">
        <v>663</v>
      </c>
      <c r="FZ668">
        <v>26.624881232410097</v>
      </c>
      <c r="GA668">
        <v>30.254178801652188</v>
      </c>
      <c r="GB668">
        <v>4.1371102004786238</v>
      </c>
      <c r="GC668">
        <v>3.2951443612472309</v>
      </c>
      <c r="GD668">
        <v>1.8062265531775674</v>
      </c>
      <c r="GE668">
        <v>2.0149625486315892</v>
      </c>
      <c r="GF668">
        <v>4.5683621288253331</v>
      </c>
      <c r="GG668">
        <v>4.9735347393988656</v>
      </c>
      <c r="GH668">
        <v>2.1611736260621592</v>
      </c>
      <c r="GI668">
        <v>7.2274741237517395</v>
      </c>
      <c r="GJ668"/>
      <c r="GK668"/>
      <c r="GL668"/>
      <c r="GM668"/>
      <c r="GN668" s="208"/>
      <c r="GO668" s="208"/>
      <c r="GP668" s="208"/>
      <c r="GQ668" s="208"/>
      <c r="GR668" s="208"/>
      <c r="GS668" s="208"/>
      <c r="GT668" s="208"/>
      <c r="GU668" s="213">
        <v>663</v>
      </c>
    </row>
    <row r="669" spans="1:203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63.640941098661685</v>
      </c>
      <c r="AO669">
        <v>7.8053765079126034</v>
      </c>
      <c r="AP669">
        <v>46.056149178051783</v>
      </c>
      <c r="AQ669">
        <v>60.225535899818865</v>
      </c>
      <c r="AR669">
        <v>7.1928339705402058</v>
      </c>
      <c r="AS669">
        <v>97.197281935795644</v>
      </c>
      <c r="AT669" t="e">
        <v>#DIV/0!</v>
      </c>
      <c r="AU669" t="e">
        <v>#DIV/0!</v>
      </c>
      <c r="AV669"/>
      <c r="AW669"/>
      <c r="FY669" s="213">
        <v>664</v>
      </c>
      <c r="FZ669">
        <v>9.3157699174022142</v>
      </c>
      <c r="GA669">
        <v>16.381781374697297</v>
      </c>
      <c r="GB669">
        <v>9.5478795542593797</v>
      </c>
      <c r="GC669">
        <v>5.1375202800927253</v>
      </c>
      <c r="GD669">
        <v>2.3041011501416495</v>
      </c>
      <c r="GE669">
        <v>2.6074204062362956</v>
      </c>
      <c r="GF669">
        <v>0.86732728216161359</v>
      </c>
      <c r="GG669">
        <v>1.6515339096268549</v>
      </c>
      <c r="GH669">
        <v>2.7619779405139626</v>
      </c>
      <c r="GI669">
        <v>5.693493424771388</v>
      </c>
      <c r="GJ669"/>
      <c r="GK669"/>
      <c r="GL669"/>
      <c r="GM669"/>
      <c r="GN669" s="208"/>
      <c r="GO669" s="208"/>
      <c r="GP669" s="208"/>
      <c r="GQ669" s="208"/>
      <c r="GR669" s="208"/>
      <c r="GS669" s="208"/>
      <c r="GT669" s="208"/>
      <c r="GU669" s="213">
        <v>664</v>
      </c>
    </row>
    <row r="670" spans="1:203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87.273812106260124</v>
      </c>
      <c r="AO670">
        <v>12.806509801398619</v>
      </c>
      <c r="AP670">
        <v>47.317580873423857</v>
      </c>
      <c r="AQ670">
        <v>95.541839870181619</v>
      </c>
      <c r="AR670">
        <v>11.67975072823643</v>
      </c>
      <c r="AS670">
        <v>151.81438263275268</v>
      </c>
      <c r="AT670" t="e">
        <v>#DIV/0!</v>
      </c>
      <c r="AU670" t="e">
        <v>#DIV/0!</v>
      </c>
      <c r="AV670"/>
      <c r="AW670"/>
      <c r="FY670" s="213">
        <v>665</v>
      </c>
      <c r="FZ670">
        <v>13.512389427417943</v>
      </c>
      <c r="GA670">
        <v>19.100907438931507</v>
      </c>
      <c r="GB670">
        <v>2.7086885758771655</v>
      </c>
      <c r="GC670">
        <v>1.9483490951811484</v>
      </c>
      <c r="GD670">
        <v>2.0111355531810848</v>
      </c>
      <c r="GE670">
        <v>2.0190202376984909</v>
      </c>
      <c r="GF670">
        <v>2.7136853295602013</v>
      </c>
      <c r="GG670">
        <v>2.1567819133912058</v>
      </c>
      <c r="GH670">
        <v>1.2016086289036068</v>
      </c>
      <c r="GI670">
        <v>4.5760955113994362</v>
      </c>
      <c r="GJ670"/>
      <c r="GK670"/>
      <c r="GL670"/>
      <c r="GM670"/>
      <c r="GN670" s="208"/>
      <c r="GO670" s="208"/>
      <c r="GP670" s="208"/>
      <c r="GQ670" s="208"/>
      <c r="GR670" s="208"/>
      <c r="GS670" s="208"/>
      <c r="GT670" s="208"/>
      <c r="GU670" s="213">
        <v>665</v>
      </c>
    </row>
    <row r="671" spans="1:203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79.632172198012725</v>
      </c>
      <c r="AO671">
        <v>9.5992771173280893</v>
      </c>
      <c r="AP671">
        <v>59.311004340647827</v>
      </c>
      <c r="AQ671">
        <v>74.192907428524208</v>
      </c>
      <c r="AR671">
        <v>8.8831216128013857</v>
      </c>
      <c r="AS671">
        <v>124.35736295868779</v>
      </c>
      <c r="AT671" t="e">
        <v>#DIV/0!</v>
      </c>
      <c r="AU671" t="e">
        <v>#DIV/0!</v>
      </c>
      <c r="AV671"/>
      <c r="AW671"/>
      <c r="FY671" s="213">
        <v>666</v>
      </c>
      <c r="FZ671">
        <v>21.52108116304619</v>
      </c>
      <c r="GA671">
        <v>29.866898362750597</v>
      </c>
      <c r="GB671">
        <v>8.1941417566845498</v>
      </c>
      <c r="GC671">
        <v>4.8063176805418184</v>
      </c>
      <c r="GD671">
        <v>2.2990457223849945</v>
      </c>
      <c r="GE671">
        <v>1.8883037791380279</v>
      </c>
      <c r="GF671">
        <v>2.4235134902409783</v>
      </c>
      <c r="GG671">
        <v>3.0193443074372857</v>
      </c>
      <c r="GH671">
        <v>3.3627822549657664</v>
      </c>
      <c r="GI671">
        <v>7.5856000361432363</v>
      </c>
      <c r="GJ671"/>
      <c r="GK671"/>
      <c r="GL671"/>
      <c r="GM671"/>
      <c r="GN671" s="208"/>
      <c r="GO671" s="208"/>
      <c r="GP671" s="208"/>
      <c r="GQ671" s="208"/>
      <c r="GR671" s="208"/>
      <c r="GS671" s="208"/>
      <c r="GT671" s="208"/>
      <c r="GU671" s="213">
        <v>666</v>
      </c>
    </row>
    <row r="672" spans="1:203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94.213556418367517</v>
      </c>
      <c r="AO672">
        <v>10.558884755628196</v>
      </c>
      <c r="AP672">
        <v>80.129787457081022</v>
      </c>
      <c r="AQ672">
        <v>83.225601228568962</v>
      </c>
      <c r="AR672">
        <v>9.7828078743630513</v>
      </c>
      <c r="AS672">
        <v>145.88249691525337</v>
      </c>
      <c r="AT672" t="e">
        <v>#DIV/0!</v>
      </c>
      <c r="AU672" t="e">
        <v>#DIV/0!</v>
      </c>
      <c r="AV672"/>
      <c r="AW672"/>
      <c r="FY672" s="213">
        <v>667</v>
      </c>
      <c r="FZ672">
        <v>35.21850730039786</v>
      </c>
      <c r="GA672">
        <v>43.991621790721439</v>
      </c>
      <c r="GB672">
        <v>5.8184140592359022</v>
      </c>
      <c r="GC672">
        <v>3.4216095687888419</v>
      </c>
      <c r="GD672">
        <v>2.2531724136951197</v>
      </c>
      <c r="GE672">
        <v>2.9791903911842574</v>
      </c>
      <c r="GF672">
        <v>2.6477794509296846</v>
      </c>
      <c r="GG672">
        <v>2.1567819133912058</v>
      </c>
      <c r="GH672">
        <v>0.60080431445180338</v>
      </c>
      <c r="GI672">
        <v>8.5983370990558434</v>
      </c>
      <c r="GJ672"/>
      <c r="GK672"/>
      <c r="GL672"/>
      <c r="GM672"/>
      <c r="GN672" s="208"/>
      <c r="GO672" s="208"/>
      <c r="GP672" s="208"/>
      <c r="GQ672" s="208"/>
      <c r="GR672" s="208"/>
      <c r="GS672" s="208"/>
      <c r="GT672" s="208"/>
      <c r="GU672" s="213">
        <v>667</v>
      </c>
    </row>
    <row r="673" spans="1:203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99.730921481840596</v>
      </c>
      <c r="AO673">
        <v>13.058863810682826</v>
      </c>
      <c r="AP673">
        <v>74.250650201714848</v>
      </c>
      <c r="AQ673">
        <v>100.77574406452932</v>
      </c>
      <c r="AR673">
        <v>12.253811893083874</v>
      </c>
      <c r="AS673">
        <v>175.36409265515968</v>
      </c>
      <c r="AT673">
        <v>8.7379990303996085</v>
      </c>
      <c r="AU673">
        <v>28.949065222143251</v>
      </c>
      <c r="AV673"/>
      <c r="AW673"/>
      <c r="FY673" s="213">
        <v>668</v>
      </c>
      <c r="FZ673">
        <v>17.664789985172728</v>
      </c>
      <c r="GA673">
        <v>20.367090081320942</v>
      </c>
      <c r="GB673">
        <v>7.075057362577196</v>
      </c>
      <c r="GC673">
        <v>5.3699158439245149</v>
      </c>
      <c r="GD673">
        <v>2.1174550265372409</v>
      </c>
      <c r="GE673">
        <v>2.1626233607486363</v>
      </c>
      <c r="GF673">
        <v>4.0444029944827156</v>
      </c>
      <c r="GG673">
        <v>4.2988474058264181</v>
      </c>
      <c r="GH673">
        <v>2.1611736260621592</v>
      </c>
      <c r="GI673">
        <v>6.7578232236548006</v>
      </c>
      <c r="GJ673"/>
      <c r="GK673"/>
      <c r="GL673"/>
      <c r="GM673"/>
      <c r="GN673" s="208"/>
      <c r="GO673" s="208"/>
      <c r="GP673" s="208"/>
      <c r="GQ673" s="208"/>
      <c r="GR673" s="208"/>
      <c r="GS673" s="208"/>
      <c r="GT673" s="208"/>
      <c r="GU673" s="213">
        <v>668</v>
      </c>
    </row>
    <row r="674" spans="1:203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108.25830918058352</v>
      </c>
      <c r="AO674">
        <v>16.756176502757171</v>
      </c>
      <c r="AP674">
        <v>133.20723730860561</v>
      </c>
      <c r="AQ674">
        <v>141.81190627557206</v>
      </c>
      <c r="AR674">
        <v>15.555437194951308</v>
      </c>
      <c r="AS674">
        <v>209.14270709976321</v>
      </c>
      <c r="AT674">
        <v>10.885637187095695</v>
      </c>
      <c r="AU674">
        <v>1.4903009646603032</v>
      </c>
      <c r="AV674"/>
      <c r="AW674"/>
      <c r="FY674" s="213">
        <v>669</v>
      </c>
      <c r="FZ674">
        <v>13.045803537840333</v>
      </c>
      <c r="GA674">
        <v>14.848236877872534</v>
      </c>
      <c r="GB674">
        <v>5.04150412803095</v>
      </c>
      <c r="GC674">
        <v>4.1772536174251673</v>
      </c>
      <c r="GD674">
        <v>1.9846642211042242</v>
      </c>
      <c r="GE674">
        <v>1.9846279702497385</v>
      </c>
      <c r="GF674">
        <v>3.4392998523098322</v>
      </c>
      <c r="GG674">
        <v>5.0176818167055206</v>
      </c>
      <c r="GH674">
        <v>3.1207386232207117</v>
      </c>
      <c r="GI674">
        <v>5.4743701965466789</v>
      </c>
      <c r="GJ674"/>
      <c r="GK674"/>
      <c r="GL674"/>
      <c r="GM674"/>
      <c r="GN674" s="208"/>
      <c r="GO674" s="208"/>
      <c r="GP674" s="208"/>
      <c r="GQ674" s="208"/>
      <c r="GR674" s="208"/>
      <c r="GS674" s="208"/>
      <c r="GT674" s="208"/>
      <c r="GU674" s="213">
        <v>669</v>
      </c>
    </row>
    <row r="675" spans="1:203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79.33937096869397</v>
      </c>
      <c r="AO675">
        <v>8.3199154250841882</v>
      </c>
      <c r="AP675">
        <v>41.559537894975335</v>
      </c>
      <c r="AQ675">
        <v>56.267551974688701</v>
      </c>
      <c r="AR675">
        <v>7.673756852756985</v>
      </c>
      <c r="AS675">
        <v>117.90485572353322</v>
      </c>
      <c r="AT675" t="e">
        <v>#DIV/0!</v>
      </c>
      <c r="AU675" t="e">
        <v>#DIV/0!</v>
      </c>
      <c r="AV675"/>
      <c r="AW675"/>
      <c r="FY675" s="213">
        <v>670</v>
      </c>
      <c r="FZ675">
        <v>44.731349640693921</v>
      </c>
      <c r="GA675">
        <v>55.302070826780437</v>
      </c>
      <c r="GB675">
        <v>7.7543090861964776</v>
      </c>
      <c r="GC675">
        <v>4.6267578272754779</v>
      </c>
      <c r="GD675">
        <v>1.8255907866465175</v>
      </c>
      <c r="GE675">
        <v>1.7482327728421461</v>
      </c>
      <c r="GF675">
        <v>2.189346527401324</v>
      </c>
      <c r="GG675">
        <v>3.0959479503438176</v>
      </c>
      <c r="GH675">
        <v>1.5603693116103559</v>
      </c>
      <c r="GI675">
        <v>10.281661518209162</v>
      </c>
      <c r="GJ675"/>
      <c r="GK675"/>
      <c r="GL675"/>
      <c r="GM675"/>
      <c r="GN675" s="208"/>
      <c r="GO675" s="208"/>
      <c r="GP675" s="208"/>
      <c r="GQ675" s="208"/>
      <c r="GR675" s="208"/>
      <c r="GS675" s="208"/>
      <c r="GT675" s="208"/>
      <c r="GU675" s="213">
        <v>670</v>
      </c>
    </row>
    <row r="676" spans="1:203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82.874979799612134</v>
      </c>
      <c r="AO676">
        <v>10.395993824520156</v>
      </c>
      <c r="AP676">
        <v>60.68677277005385</v>
      </c>
      <c r="AQ676">
        <v>76.085397552189733</v>
      </c>
      <c r="AR676">
        <v>9.5678296895678319</v>
      </c>
      <c r="AS676">
        <v>115.82327779691582</v>
      </c>
      <c r="AT676" t="e">
        <v>#DIV/0!</v>
      </c>
      <c r="AU676" t="e">
        <v>#DIV/0!</v>
      </c>
      <c r="AV676"/>
      <c r="AW676"/>
      <c r="FY676" s="213">
        <v>671</v>
      </c>
      <c r="FZ676">
        <v>45.171324230529308</v>
      </c>
      <c r="GA676">
        <v>58.231597415654257</v>
      </c>
      <c r="GB676">
        <v>6.5570279836469307</v>
      </c>
      <c r="GC676">
        <v>3.5134315806165897</v>
      </c>
      <c r="GD676">
        <v>1.6432832219401077</v>
      </c>
      <c r="GE676">
        <v>1.2177223092203699</v>
      </c>
      <c r="GF676">
        <v>1.391286416504232</v>
      </c>
      <c r="GG676">
        <v>0.94515301338730384</v>
      </c>
      <c r="GH676">
        <v>0</v>
      </c>
      <c r="GI676">
        <v>9.5253419015726237</v>
      </c>
      <c r="GJ676"/>
      <c r="GK676"/>
      <c r="GL676"/>
      <c r="GM676"/>
      <c r="GN676" s="208"/>
      <c r="GO676" s="208"/>
      <c r="GP676" s="208"/>
      <c r="GQ676" s="208"/>
      <c r="GR676" s="208"/>
      <c r="GS676" s="208"/>
      <c r="GT676" s="208"/>
      <c r="GU676" s="213">
        <v>671</v>
      </c>
    </row>
    <row r="677" spans="1:203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76.257163070430053</v>
      </c>
      <c r="AO677">
        <v>11.223319890363006</v>
      </c>
      <c r="AP677">
        <v>42.491746805960858</v>
      </c>
      <c r="AQ677">
        <v>74.227448544196051</v>
      </c>
      <c r="AR677">
        <v>10.366601859265332</v>
      </c>
      <c r="AS677">
        <v>136.5181773115649</v>
      </c>
      <c r="AT677">
        <v>6.2737371027714088</v>
      </c>
      <c r="AU677">
        <v>3.3359141506259751</v>
      </c>
      <c r="AV677"/>
      <c r="AW677"/>
      <c r="FY677" s="213">
        <v>672</v>
      </c>
      <c r="FZ677">
        <v>23.162115871301978</v>
      </c>
      <c r="GA677">
        <v>29.814092272605027</v>
      </c>
      <c r="GB677">
        <v>8.3734521479922037</v>
      </c>
      <c r="GC677">
        <v>4.5140329609394962</v>
      </c>
      <c r="GD677">
        <v>1.8065079493231133</v>
      </c>
      <c r="GE677">
        <v>2.5738931471526802</v>
      </c>
      <c r="GF677">
        <v>6.2650585138485386</v>
      </c>
      <c r="GG677">
        <v>6.5274933108011126</v>
      </c>
      <c r="GH677">
        <v>2.1611736260621592</v>
      </c>
      <c r="GI677">
        <v>8.0487186224783631</v>
      </c>
      <c r="GJ677"/>
      <c r="GK677"/>
      <c r="GL677"/>
      <c r="GM677"/>
      <c r="GN677" s="208"/>
      <c r="GO677" s="208"/>
      <c r="GP677" s="208"/>
      <c r="GQ677" s="208"/>
      <c r="GR677" s="208"/>
      <c r="GS677" s="208"/>
      <c r="GT677" s="208"/>
      <c r="GU677" s="213">
        <v>672</v>
      </c>
    </row>
    <row r="678" spans="1:203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52.329697936867056</v>
      </c>
      <c r="AO678">
        <v>7.8268894622328373</v>
      </c>
      <c r="AP678">
        <v>46.450371255230486</v>
      </c>
      <c r="AQ678">
        <v>52.522209248964501</v>
      </c>
      <c r="AR678">
        <v>7.3983236828846684</v>
      </c>
      <c r="AS678">
        <v>93.654255394882938</v>
      </c>
      <c r="AT678" t="e">
        <v>#DIV/0!</v>
      </c>
      <c r="AU678" t="e">
        <v>#DIV/0!</v>
      </c>
      <c r="AV678"/>
      <c r="AW678"/>
      <c r="FY678" s="213">
        <v>673</v>
      </c>
      <c r="FZ678">
        <v>24.658503378451964</v>
      </c>
      <c r="GA678">
        <v>33.871134564588246</v>
      </c>
      <c r="GB678">
        <v>8.4064475812197799</v>
      </c>
      <c r="GC678">
        <v>4.6373209368411992</v>
      </c>
      <c r="GD678">
        <v>2.230294971387186</v>
      </c>
      <c r="GE678">
        <v>2.2030784289040031</v>
      </c>
      <c r="GF678">
        <v>2.4252925325905785</v>
      </c>
      <c r="GG678">
        <v>1.6635031020875313</v>
      </c>
      <c r="GH678">
        <v>0.60080431445180338</v>
      </c>
      <c r="GI678">
        <v>7.6074901247316999</v>
      </c>
      <c r="GJ678"/>
      <c r="GK678"/>
      <c r="GL678"/>
      <c r="GM678"/>
      <c r="GN678" s="208"/>
      <c r="GO678" s="208"/>
      <c r="GP678" s="208"/>
      <c r="GQ678" s="208"/>
      <c r="GR678" s="208"/>
      <c r="GS678" s="208"/>
      <c r="GT678" s="208"/>
      <c r="GU678" s="213">
        <v>673</v>
      </c>
    </row>
    <row r="679" spans="1:203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65.937118736383439</v>
      </c>
      <c r="AO679">
        <v>10.787379683632414</v>
      </c>
      <c r="AP679">
        <v>63.770416405059024</v>
      </c>
      <c r="AQ679">
        <v>87.063048315635385</v>
      </c>
      <c r="AR679">
        <v>9.9856627070581965</v>
      </c>
      <c r="AS679">
        <v>132.51576690763812</v>
      </c>
      <c r="AT679">
        <v>6.7318573946660365</v>
      </c>
      <c r="AU679">
        <v>16.5392391910462</v>
      </c>
      <c r="AV679"/>
      <c r="AW679"/>
      <c r="FY679" s="213">
        <v>674</v>
      </c>
      <c r="FZ679">
        <v>29.30082060464763</v>
      </c>
      <c r="GA679">
        <v>33.254686039352755</v>
      </c>
      <c r="GB679">
        <v>6.3239646390934796</v>
      </c>
      <c r="GC679">
        <v>4.7258038128746858</v>
      </c>
      <c r="GD679">
        <v>1.9277735007847456</v>
      </c>
      <c r="GE679">
        <v>2.0752345206441372</v>
      </c>
      <c r="GF679">
        <v>1.8081296781008864</v>
      </c>
      <c r="GG679">
        <v>2.4831525991306163</v>
      </c>
      <c r="GH679">
        <v>2.7619779405139626</v>
      </c>
      <c r="GI679">
        <v>7.8145504656891287</v>
      </c>
      <c r="GJ679"/>
      <c r="GK679"/>
      <c r="GL679"/>
      <c r="GM679"/>
      <c r="GN679" s="208"/>
      <c r="GO679" s="208"/>
      <c r="GP679" s="208"/>
      <c r="GQ679" s="208"/>
      <c r="GR679" s="208"/>
      <c r="GS679" s="208"/>
      <c r="GT679" s="208"/>
      <c r="GU679" s="213">
        <v>674</v>
      </c>
    </row>
    <row r="680" spans="1:203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88.74448793848515</v>
      </c>
      <c r="AO680">
        <v>8.4332305280030369</v>
      </c>
      <c r="AP680">
        <v>47.529931133145553</v>
      </c>
      <c r="AQ680">
        <v>56.268805239903379</v>
      </c>
      <c r="AR680">
        <v>7.8459751473658681</v>
      </c>
      <c r="AS680">
        <v>110.05485351243425</v>
      </c>
      <c r="AT680">
        <v>5.3231588036179529</v>
      </c>
      <c r="AU680">
        <v>-58.730870028045565</v>
      </c>
      <c r="AV680"/>
      <c r="AW680"/>
      <c r="FY680" s="213">
        <v>675</v>
      </c>
      <c r="FZ680">
        <v>28.755840867367937</v>
      </c>
      <c r="GA680">
        <v>32.741125182600314</v>
      </c>
      <c r="GB680">
        <v>7.7672131581248518</v>
      </c>
      <c r="GC680">
        <v>5.7606365507209416</v>
      </c>
      <c r="GD680">
        <v>2.3314153537633016</v>
      </c>
      <c r="GE680">
        <v>2.1348725889929323</v>
      </c>
      <c r="GF680">
        <v>4.2625724924901025</v>
      </c>
      <c r="GG680">
        <v>5.6499489598531296</v>
      </c>
      <c r="GH680">
        <v>3.1207386232207117</v>
      </c>
      <c r="GI680">
        <v>8.80242011579052</v>
      </c>
      <c r="GJ680"/>
      <c r="GK680"/>
      <c r="GL680"/>
      <c r="GM680"/>
      <c r="GN680" s="208"/>
      <c r="GO680" s="208"/>
      <c r="GP680" s="208"/>
      <c r="GQ680" s="208"/>
      <c r="GR680" s="208"/>
      <c r="GS680" s="208"/>
      <c r="GT680" s="208"/>
      <c r="GU680" s="213">
        <v>675</v>
      </c>
    </row>
    <row r="681" spans="1:203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50.836076097105511</v>
      </c>
      <c r="AO681">
        <v>6.7774037106965093</v>
      </c>
      <c r="AP681">
        <v>49.441401230600192</v>
      </c>
      <c r="AQ681">
        <v>51.948661711541796</v>
      </c>
      <c r="AR681">
        <v>6.3252087659498439</v>
      </c>
      <c r="AS681">
        <v>76.931942324565156</v>
      </c>
      <c r="AT681" t="e">
        <v>#DIV/0!</v>
      </c>
      <c r="AU681" t="e">
        <v>#DIV/0!</v>
      </c>
      <c r="AV681"/>
      <c r="AW681"/>
      <c r="FY681" s="213">
        <v>676</v>
      </c>
      <c r="FZ681">
        <v>41.110804708524675</v>
      </c>
      <c r="GA681">
        <v>48.302499918759949</v>
      </c>
      <c r="GB681">
        <v>12.685573555805377</v>
      </c>
      <c r="GC681">
        <v>8.8140937946318587</v>
      </c>
      <c r="GD681">
        <v>2.7501301716417426</v>
      </c>
      <c r="GE681">
        <v>2.7602133328568192</v>
      </c>
      <c r="GF681">
        <v>2.8138818249729614</v>
      </c>
      <c r="GG681">
        <v>2.0754386191616305</v>
      </c>
      <c r="GH681">
        <v>0.60080431445180338</v>
      </c>
      <c r="GI681">
        <v>11.438569377228006</v>
      </c>
      <c r="GJ681"/>
      <c r="GK681"/>
      <c r="GL681"/>
      <c r="GM681"/>
      <c r="GN681" s="208"/>
      <c r="GO681" s="208"/>
      <c r="GP681" s="208"/>
      <c r="GQ681" s="208"/>
      <c r="GR681" s="208"/>
      <c r="GS681" s="208"/>
      <c r="GT681" s="208"/>
      <c r="GU681" s="213">
        <v>676</v>
      </c>
    </row>
    <row r="682" spans="1:203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85.120112192386529</v>
      </c>
      <c r="AO682">
        <v>11.255636261353178</v>
      </c>
      <c r="AP682">
        <v>75.182618015376491</v>
      </c>
      <c r="AQ682">
        <v>84.967028553333435</v>
      </c>
      <c r="AR682">
        <v>10.540023976097743</v>
      </c>
      <c r="AS682">
        <v>137.82017698565511</v>
      </c>
      <c r="AT682">
        <v>7.0380536875665776</v>
      </c>
      <c r="AU682">
        <v>-14.325117904702644</v>
      </c>
      <c r="AV682"/>
      <c r="AW682"/>
      <c r="FY682" s="213">
        <v>677</v>
      </c>
      <c r="FZ682">
        <v>30.929009693555965</v>
      </c>
      <c r="GA682">
        <v>38.380772503478042</v>
      </c>
      <c r="GB682">
        <v>9.3906461556103249</v>
      </c>
      <c r="GC682">
        <v>5.9559712588950164</v>
      </c>
      <c r="GD682">
        <v>2.0677276095762318</v>
      </c>
      <c r="GE682">
        <v>1.7940858809345936</v>
      </c>
      <c r="GF682">
        <v>0.98530028475624076</v>
      </c>
      <c r="GG682">
        <v>0.48955474118542464</v>
      </c>
      <c r="GH682">
        <v>1.2016086289036068</v>
      </c>
      <c r="GI682">
        <v>8.4824439642632061</v>
      </c>
      <c r="GJ682"/>
      <c r="GK682"/>
      <c r="GL682"/>
      <c r="GM682"/>
      <c r="GN682" s="208"/>
      <c r="GO682" s="208"/>
      <c r="GP682" s="208"/>
      <c r="GQ682" s="208"/>
      <c r="GR682" s="208"/>
      <c r="GS682" s="208"/>
      <c r="GT682" s="208"/>
      <c r="GU682" s="213">
        <v>677</v>
      </c>
    </row>
    <row r="683" spans="1:203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77.07234185340802</v>
      </c>
      <c r="AO683">
        <v>12.983088916495841</v>
      </c>
      <c r="AP683">
        <v>83.563212511326043</v>
      </c>
      <c r="AQ683">
        <v>107.68621830185197</v>
      </c>
      <c r="AR683">
        <v>11.917873310439902</v>
      </c>
      <c r="AS683">
        <v>158.95001238214724</v>
      </c>
      <c r="AT683" t="e">
        <v>#DIV/0!</v>
      </c>
      <c r="AU683" t="e">
        <v>#DIV/0!</v>
      </c>
      <c r="AV683"/>
      <c r="AW683"/>
      <c r="FY683" s="213">
        <v>678</v>
      </c>
      <c r="FZ683">
        <v>31.853212519379365</v>
      </c>
      <c r="GA683">
        <v>37.459780253327402</v>
      </c>
      <c r="GB683">
        <v>10.515034795891003</v>
      </c>
      <c r="GC683">
        <v>6.7072006116745184</v>
      </c>
      <c r="GD683">
        <v>2.7440599809329349</v>
      </c>
      <c r="GE683">
        <v>3.2000043288426845</v>
      </c>
      <c r="GF683">
        <v>1.1691791659813855</v>
      </c>
      <c r="GG683">
        <v>0.54093135962971217</v>
      </c>
      <c r="GH683">
        <v>1.2016086289036068</v>
      </c>
      <c r="GI683">
        <v>9.3734994391732886</v>
      </c>
      <c r="GJ683"/>
      <c r="GK683"/>
      <c r="GL683"/>
      <c r="GM683"/>
      <c r="GN683" s="208"/>
      <c r="GO683" s="208"/>
      <c r="GP683" s="208"/>
      <c r="GQ683" s="208"/>
      <c r="GR683" s="208"/>
      <c r="GS683" s="208"/>
      <c r="GT683" s="208"/>
      <c r="GU683" s="213">
        <v>678</v>
      </c>
    </row>
    <row r="684" spans="1:203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75.420077464746569</v>
      </c>
      <c r="AO684">
        <v>10.160912939615077</v>
      </c>
      <c r="AP684">
        <v>61.885101572831466</v>
      </c>
      <c r="AQ684">
        <v>72.01917891030736</v>
      </c>
      <c r="AR684">
        <v>9.3588884751915771</v>
      </c>
      <c r="AS684">
        <v>126.68664903450306</v>
      </c>
      <c r="AT684">
        <v>6.1752276575803116</v>
      </c>
      <c r="AU684">
        <v>17.423809567286689</v>
      </c>
      <c r="AV684"/>
      <c r="AW684"/>
      <c r="FY684" s="213">
        <v>679</v>
      </c>
      <c r="FZ684">
        <v>16.925575509975708</v>
      </c>
      <c r="GA684">
        <v>25.056294854977537</v>
      </c>
      <c r="GB684">
        <v>9.8759352322824849</v>
      </c>
      <c r="GC684">
        <v>4.4927082441490525</v>
      </c>
      <c r="GD684">
        <v>1.7541349045352921</v>
      </c>
      <c r="GE684">
        <v>2.6769090535927207</v>
      </c>
      <c r="GF684">
        <v>2.4078956932249702</v>
      </c>
      <c r="GG684">
        <v>2.8331961338454694</v>
      </c>
      <c r="GH684">
        <v>1.5603693116103559</v>
      </c>
      <c r="GI684">
        <v>6.7787915031730153</v>
      </c>
      <c r="GJ684"/>
      <c r="GK684"/>
      <c r="GL684"/>
      <c r="GM684"/>
      <c r="GN684" s="208"/>
      <c r="GO684" s="208"/>
      <c r="GP684" s="208"/>
      <c r="GQ684" s="208"/>
      <c r="GR684" s="208"/>
      <c r="GS684" s="208"/>
      <c r="GT684" s="208"/>
      <c r="GU684" s="213">
        <v>679</v>
      </c>
    </row>
    <row r="685" spans="1:203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69.658606737714237</v>
      </c>
      <c r="AO685">
        <v>8.1855759490592721</v>
      </c>
      <c r="AP685">
        <v>36.951607828095796</v>
      </c>
      <c r="AQ685">
        <v>58.134180841305685</v>
      </c>
      <c r="AR685">
        <v>7.5031114837881407</v>
      </c>
      <c r="AS685">
        <v>101.72971569867526</v>
      </c>
      <c r="AT685" t="e">
        <v>#DIV/0!</v>
      </c>
      <c r="AU685" t="e">
        <v>#DIV/0!</v>
      </c>
      <c r="AV685"/>
      <c r="AW685"/>
      <c r="FY685" s="213">
        <v>680</v>
      </c>
      <c r="FZ685">
        <v>53.818737880982873</v>
      </c>
      <c r="GA685">
        <v>64.101258836688899</v>
      </c>
      <c r="GB685">
        <v>7.8183653019406183</v>
      </c>
      <c r="GC685">
        <v>5.1224193847028241</v>
      </c>
      <c r="GD685">
        <v>2.3401349803762947</v>
      </c>
      <c r="GE685">
        <v>2.2914760682046129</v>
      </c>
      <c r="GF685">
        <v>4.4872181209950686</v>
      </c>
      <c r="GG685">
        <v>4.9859882540384168</v>
      </c>
      <c r="GH685">
        <v>2.7619779405139626</v>
      </c>
      <c r="GI685">
        <v>12.506543895010902</v>
      </c>
      <c r="GJ685"/>
      <c r="GK685"/>
      <c r="GL685"/>
      <c r="GM685"/>
      <c r="GN685" s="208"/>
      <c r="GO685" s="208"/>
      <c r="GP685" s="208"/>
      <c r="GQ685" s="208"/>
      <c r="GR685" s="208"/>
      <c r="GS685" s="208"/>
      <c r="GT685" s="208"/>
      <c r="GU685" s="213">
        <v>680</v>
      </c>
    </row>
    <row r="686" spans="1:203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84.979459585189801</v>
      </c>
      <c r="AO686">
        <v>15.611632974509542</v>
      </c>
      <c r="AP686">
        <v>122.60293505594194</v>
      </c>
      <c r="AQ686">
        <v>133.11563624799965</v>
      </c>
      <c r="AR686">
        <v>14.238702289376802</v>
      </c>
      <c r="AS686">
        <v>168.87981919870381</v>
      </c>
      <c r="AT686" t="e">
        <v>#DIV/0!</v>
      </c>
      <c r="AU686" t="e">
        <v>#DIV/0!</v>
      </c>
      <c r="AV686"/>
      <c r="AW686"/>
      <c r="FY686" s="213">
        <v>681</v>
      </c>
      <c r="FZ686">
        <v>21.43852102726008</v>
      </c>
      <c r="GA686">
        <v>30.798743021042576</v>
      </c>
      <c r="GB686">
        <v>10.854369580892364</v>
      </c>
      <c r="GC686">
        <v>6.4450120683124119</v>
      </c>
      <c r="GD686">
        <v>2.6054966754680491</v>
      </c>
      <c r="GE686">
        <v>2.2164001244502902</v>
      </c>
      <c r="GF686">
        <v>6.8418441077877841</v>
      </c>
      <c r="GG686">
        <v>6.8393635998360143</v>
      </c>
      <c r="GH686">
        <v>2.1611736260621592</v>
      </c>
      <c r="GI686">
        <v>9.0575085887682523</v>
      </c>
      <c r="GJ686"/>
      <c r="GK686"/>
      <c r="GL686"/>
      <c r="GM686"/>
      <c r="GN686" s="208"/>
      <c r="GO686" s="208"/>
      <c r="GP686" s="208"/>
      <c r="GQ686" s="208"/>
      <c r="GR686" s="208"/>
      <c r="GS686" s="208"/>
      <c r="GT686" s="208"/>
      <c r="GU686" s="213">
        <v>681</v>
      </c>
    </row>
    <row r="687" spans="1:203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81.400637596992823</v>
      </c>
      <c r="AO687">
        <v>14.46681860217566</v>
      </c>
      <c r="AP687">
        <v>132.06965820778836</v>
      </c>
      <c r="AQ687">
        <v>128.1961680730717</v>
      </c>
      <c r="AR687">
        <v>13.217751870322807</v>
      </c>
      <c r="AS687">
        <v>160.24893406703836</v>
      </c>
      <c r="AT687" t="e">
        <v>#DIV/0!</v>
      </c>
      <c r="AU687" t="e">
        <v>#DIV/0!</v>
      </c>
      <c r="AV687"/>
      <c r="AW687"/>
      <c r="FY687" s="213">
        <v>682</v>
      </c>
      <c r="FZ687">
        <v>30.574455962067837</v>
      </c>
      <c r="GA687">
        <v>37.618399410780711</v>
      </c>
      <c r="GB687">
        <v>10.595089982849766</v>
      </c>
      <c r="GC687">
        <v>6.9849604884949779</v>
      </c>
      <c r="GD687">
        <v>2.4481669946847595</v>
      </c>
      <c r="GE687">
        <v>1.688269900615694</v>
      </c>
      <c r="GF687">
        <v>4.5006772078452162</v>
      </c>
      <c r="GG687">
        <v>3.7349519280509038</v>
      </c>
      <c r="GH687">
        <v>1.2016086289036068</v>
      </c>
      <c r="GI687">
        <v>9.583171297236996</v>
      </c>
      <c r="GJ687"/>
      <c r="GK687"/>
      <c r="GL687"/>
      <c r="GM687"/>
      <c r="GN687" s="208"/>
      <c r="GO687" s="208"/>
      <c r="GP687" s="208"/>
      <c r="GQ687" s="208"/>
      <c r="GR687" s="208"/>
      <c r="GS687" s="208"/>
      <c r="GT687" s="208"/>
      <c r="GU687" s="213">
        <v>682</v>
      </c>
    </row>
    <row r="688" spans="1:203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102.87050930414902</v>
      </c>
      <c r="AO688">
        <v>12.065962760423298</v>
      </c>
      <c r="AP688">
        <v>56.018996141752382</v>
      </c>
      <c r="AQ688">
        <v>93.246538422504685</v>
      </c>
      <c r="AR688">
        <v>11.097282489707473</v>
      </c>
      <c r="AS688">
        <v>140.24232007372621</v>
      </c>
      <c r="AT688">
        <v>7.5189360968591927</v>
      </c>
      <c r="AU688">
        <v>12.368422614173044</v>
      </c>
      <c r="AV688"/>
      <c r="AW688"/>
      <c r="FY688" s="213">
        <v>683</v>
      </c>
      <c r="FZ688">
        <v>36.159615672222813</v>
      </c>
      <c r="GA688">
        <v>46.42662295518987</v>
      </c>
      <c r="GB688">
        <v>8.2998554816870289</v>
      </c>
      <c r="GC688">
        <v>4.4350138324944508</v>
      </c>
      <c r="GD688">
        <v>1.8384694887316384</v>
      </c>
      <c r="GE688">
        <v>1.7448104140249892</v>
      </c>
      <c r="GF688">
        <v>3.4961276434412856</v>
      </c>
      <c r="GG688">
        <v>2.5280626793700449</v>
      </c>
      <c r="GH688">
        <v>0</v>
      </c>
      <c r="GI688">
        <v>9.136737482425529</v>
      </c>
      <c r="GJ688"/>
      <c r="GK688"/>
      <c r="GL688"/>
      <c r="GM688"/>
      <c r="GN688" s="208"/>
      <c r="GO688" s="208"/>
      <c r="GP688" s="208"/>
      <c r="GQ688" s="208"/>
      <c r="GR688" s="208"/>
      <c r="GS688" s="208"/>
      <c r="GT688" s="208"/>
      <c r="GU688" s="213">
        <v>683</v>
      </c>
    </row>
    <row r="689" spans="1:203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86.67896421389068</v>
      </c>
      <c r="AO689">
        <v>11.388109475517533</v>
      </c>
      <c r="AP689">
        <v>62.695155120359011</v>
      </c>
      <c r="AQ689">
        <v>88.303869935253999</v>
      </c>
      <c r="AR689">
        <v>10.542731033527398</v>
      </c>
      <c r="AS689">
        <v>149.12307093442968</v>
      </c>
      <c r="AT689" t="e">
        <v>#DIV/0!</v>
      </c>
      <c r="AU689" t="e">
        <v>#DIV/0!</v>
      </c>
      <c r="AV689"/>
      <c r="AW689"/>
      <c r="FY689" s="213">
        <v>684</v>
      </c>
      <c r="FZ689">
        <v>28.312803784121563</v>
      </c>
      <c r="GA689">
        <v>35.266669446877309</v>
      </c>
      <c r="GB689">
        <v>7.0427182249899252</v>
      </c>
      <c r="GC689">
        <v>4.9940457979707586</v>
      </c>
      <c r="GD689">
        <v>2.3500246470325785</v>
      </c>
      <c r="GE689">
        <v>1.9050742470709459</v>
      </c>
      <c r="GF689">
        <v>6.2016910132001399</v>
      </c>
      <c r="GG689">
        <v>6.1899032907258107</v>
      </c>
      <c r="GH689">
        <v>2.1611736260621592</v>
      </c>
      <c r="GI689">
        <v>8.8164459229986267</v>
      </c>
      <c r="GJ689"/>
      <c r="GK689"/>
      <c r="GL689"/>
      <c r="GM689"/>
      <c r="GN689" s="208"/>
      <c r="GO689" s="208"/>
      <c r="GP689" s="208"/>
      <c r="GQ689" s="208"/>
      <c r="GR689" s="208"/>
      <c r="GS689" s="208"/>
      <c r="GT689" s="208"/>
      <c r="GU689" s="213">
        <v>684</v>
      </c>
    </row>
    <row r="690" spans="1:203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79.945017312480559</v>
      </c>
      <c r="AO690">
        <v>11.644280835238897</v>
      </c>
      <c r="AP690">
        <v>58.375835197511933</v>
      </c>
      <c r="AQ690">
        <v>92.476093800832018</v>
      </c>
      <c r="AR690">
        <v>10.811222170224132</v>
      </c>
      <c r="AS690">
        <v>129.55893135677928</v>
      </c>
      <c r="AT690">
        <v>7.1975745058030052</v>
      </c>
      <c r="AU690">
        <v>13.421595806632482</v>
      </c>
      <c r="AV690"/>
      <c r="AW690"/>
      <c r="FY690" s="213">
        <v>685</v>
      </c>
      <c r="FZ690">
        <v>27.733773504992957</v>
      </c>
      <c r="GA690">
        <v>34.827311086146423</v>
      </c>
      <c r="GB690">
        <v>8.6607112684701093</v>
      </c>
      <c r="GC690">
        <v>5.5753439467798858</v>
      </c>
      <c r="GD690">
        <v>1.7713326984822217</v>
      </c>
      <c r="GE690">
        <v>1.0055181888173399</v>
      </c>
      <c r="GF690">
        <v>3.7958208170951977</v>
      </c>
      <c r="GG690">
        <v>4.1166890254328603</v>
      </c>
      <c r="GH690">
        <v>3.3627822549657664</v>
      </c>
      <c r="GI690">
        <v>8.5302922901189255</v>
      </c>
      <c r="GJ690"/>
      <c r="GK690"/>
      <c r="GL690"/>
      <c r="GM690"/>
      <c r="GN690" s="208"/>
      <c r="GO690" s="208"/>
      <c r="GP690" s="208"/>
      <c r="GQ690" s="208"/>
      <c r="GR690" s="208"/>
      <c r="GS690" s="208"/>
      <c r="GT690" s="208"/>
      <c r="GU690" s="213">
        <v>685</v>
      </c>
    </row>
    <row r="691" spans="1:203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90.897425722425723</v>
      </c>
      <c r="AO691">
        <v>13.153813455136646</v>
      </c>
      <c r="AP691">
        <v>79.643562185536865</v>
      </c>
      <c r="AQ691">
        <v>101.32678389292477</v>
      </c>
      <c r="AR691">
        <v>12.132197454706406</v>
      </c>
      <c r="AS691">
        <v>147.85514864659302</v>
      </c>
      <c r="AT691" t="e">
        <v>#DIV/0!</v>
      </c>
      <c r="AU691" t="e">
        <v>#DIV/0!</v>
      </c>
      <c r="AV691"/>
      <c r="AW691"/>
      <c r="FY691" s="213">
        <v>686</v>
      </c>
      <c r="FZ691">
        <v>24.623603229436469</v>
      </c>
      <c r="GA691">
        <v>28.725936763235815</v>
      </c>
      <c r="GB691">
        <v>4.1215107604207235</v>
      </c>
      <c r="GC691">
        <v>3.736633558112489</v>
      </c>
      <c r="GD691">
        <v>2.6614040095343343</v>
      </c>
      <c r="GE691">
        <v>3.5325040880012333</v>
      </c>
      <c r="GF691">
        <v>4.8305862688140646</v>
      </c>
      <c r="GG691">
        <v>4.6399345125218225</v>
      </c>
      <c r="GH691">
        <v>1.5603693116103559</v>
      </c>
      <c r="GI691">
        <v>7.3821578221852722</v>
      </c>
      <c r="GJ691"/>
      <c r="GK691"/>
      <c r="GL691"/>
      <c r="GM691"/>
      <c r="GN691" s="208"/>
      <c r="GO691" s="208"/>
      <c r="GP691" s="208"/>
      <c r="GQ691" s="208"/>
      <c r="GR691" s="208"/>
      <c r="GS691" s="208"/>
      <c r="GT691" s="208"/>
      <c r="GU691" s="213">
        <v>686</v>
      </c>
    </row>
    <row r="692" spans="1:203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107.61123526997005</v>
      </c>
      <c r="AO692">
        <v>17.30267985805844</v>
      </c>
      <c r="AP692">
        <v>111.61793077259259</v>
      </c>
      <c r="AQ692">
        <v>133.35200961803483</v>
      </c>
      <c r="AR692">
        <v>15.818255409650941</v>
      </c>
      <c r="AS692">
        <v>180.35728929187235</v>
      </c>
      <c r="AT692" t="e">
        <v>#DIV/0!</v>
      </c>
      <c r="AU692" t="e">
        <v>#DIV/0!</v>
      </c>
      <c r="AV692"/>
      <c r="AW692"/>
      <c r="FY692" s="213">
        <v>687</v>
      </c>
      <c r="FZ692">
        <v>20.732532709189027</v>
      </c>
      <c r="GA692">
        <v>24.221334581212027</v>
      </c>
      <c r="GB692">
        <v>6.5998455350837029</v>
      </c>
      <c r="GC692">
        <v>5.6940080413704361</v>
      </c>
      <c r="GD692">
        <v>2.6343443718743798</v>
      </c>
      <c r="GE692">
        <v>2.2959515563517314</v>
      </c>
      <c r="GF692">
        <v>1.5438563057648791</v>
      </c>
      <c r="GG692">
        <v>3.2448999070127131</v>
      </c>
      <c r="GH692">
        <v>3.1207386232207117</v>
      </c>
      <c r="GI692">
        <v>7.0647413356931965</v>
      </c>
      <c r="GJ692"/>
      <c r="GK692"/>
      <c r="GL692"/>
      <c r="GM692"/>
      <c r="GN692" s="208"/>
      <c r="GO692" s="208"/>
      <c r="GP692" s="208"/>
      <c r="GQ692" s="208"/>
      <c r="GR692" s="208"/>
      <c r="GS692" s="208"/>
      <c r="GT692" s="208"/>
      <c r="GU692" s="213">
        <v>687</v>
      </c>
    </row>
    <row r="693" spans="1:203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85.420547548152769</v>
      </c>
      <c r="AO693">
        <v>12.65231551111582</v>
      </c>
      <c r="AP693">
        <v>81.948591115246884</v>
      </c>
      <c r="AQ693">
        <v>99.677120721158673</v>
      </c>
      <c r="AR693">
        <v>11.732235419174472</v>
      </c>
      <c r="AS693">
        <v>131.18129217241551</v>
      </c>
      <c r="AT693" t="e">
        <v>#DIV/0!</v>
      </c>
      <c r="AU693" t="e">
        <v>#DIV/0!</v>
      </c>
      <c r="AV693"/>
      <c r="AW693"/>
      <c r="FY693" s="213">
        <v>688</v>
      </c>
      <c r="FZ693">
        <v>11.054735253545786</v>
      </c>
      <c r="GA693">
        <v>12.258584892975117</v>
      </c>
      <c r="GB693">
        <v>6.3862723353416824</v>
      </c>
      <c r="GC693">
        <v>5.0268370508890481</v>
      </c>
      <c r="GD693">
        <v>2.3133053029469615</v>
      </c>
      <c r="GE693">
        <v>2.1609599841408977</v>
      </c>
      <c r="GF693">
        <v>4.4941374983282723</v>
      </c>
      <c r="GG693">
        <v>6.1479674224798462</v>
      </c>
      <c r="GH693">
        <v>3.1207386232207117</v>
      </c>
      <c r="GI693">
        <v>5.8643866078944464</v>
      </c>
      <c r="GJ693"/>
      <c r="GK693"/>
      <c r="GL693"/>
      <c r="GM693"/>
      <c r="GN693" s="208"/>
      <c r="GO693" s="208"/>
      <c r="GP693" s="208"/>
      <c r="GQ693" s="208"/>
      <c r="GR693" s="208"/>
      <c r="GS693" s="208"/>
      <c r="GT693" s="208"/>
      <c r="GU693" s="213">
        <v>688</v>
      </c>
    </row>
    <row r="694" spans="1:203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100.44080465961804</v>
      </c>
      <c r="AO694">
        <v>13.804589654808286</v>
      </c>
      <c r="AP694">
        <v>113.91695117628376</v>
      </c>
      <c r="AQ694">
        <v>104.7645110837359</v>
      </c>
      <c r="AR694">
        <v>12.923004041202356</v>
      </c>
      <c r="AS694">
        <v>168.19583887007218</v>
      </c>
      <c r="AT694" t="e">
        <v>#DIV/0!</v>
      </c>
      <c r="AU694" t="e">
        <v>#DIV/0!</v>
      </c>
      <c r="AV694"/>
      <c r="AW694"/>
      <c r="FY694" s="213">
        <v>689</v>
      </c>
      <c r="FZ694">
        <v>13.339518017131546</v>
      </c>
      <c r="GA694">
        <v>17.32342984645032</v>
      </c>
      <c r="GB694">
        <v>12.202923333880532</v>
      </c>
      <c r="GC694">
        <v>7.4386886039984432</v>
      </c>
      <c r="GD694">
        <v>2.5469200577311444</v>
      </c>
      <c r="GE694">
        <v>2.6481025579927326</v>
      </c>
      <c r="GF694">
        <v>3.6800065246664309</v>
      </c>
      <c r="GG694">
        <v>3.1785385696850419</v>
      </c>
      <c r="GH694">
        <v>0</v>
      </c>
      <c r="GI694">
        <v>7.2133168915825125</v>
      </c>
      <c r="GJ694"/>
      <c r="GK694"/>
      <c r="GL694"/>
      <c r="GM694"/>
      <c r="GN694" s="208"/>
      <c r="GO694" s="208"/>
      <c r="GP694" s="208"/>
      <c r="GQ694" s="208"/>
      <c r="GR694" s="208"/>
      <c r="GS694" s="208"/>
      <c r="GT694" s="208"/>
      <c r="GU694" s="213">
        <v>689</v>
      </c>
    </row>
    <row r="695" spans="1:203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71.779736880015776</v>
      </c>
      <c r="AO695">
        <v>10.238231938413907</v>
      </c>
      <c r="AP695">
        <v>48.351090529630447</v>
      </c>
      <c r="AQ695">
        <v>74.361810441366615</v>
      </c>
      <c r="AR695">
        <v>9.415570207522622</v>
      </c>
      <c r="AS695">
        <v>120.94301374528872</v>
      </c>
      <c r="AT695" t="e">
        <v>#DIV/0!</v>
      </c>
      <c r="AU695" t="e">
        <v>#DIV/0!</v>
      </c>
      <c r="AV695"/>
      <c r="AW695"/>
      <c r="FY695" s="213">
        <v>690</v>
      </c>
      <c r="FZ695">
        <v>12.884660855161398</v>
      </c>
      <c r="GA695">
        <v>19.994171157879709</v>
      </c>
      <c r="GB695">
        <v>9.7012353060070406</v>
      </c>
      <c r="GC695">
        <v>5.3763874812353576</v>
      </c>
      <c r="GD695">
        <v>2.1328819591543935</v>
      </c>
      <c r="GE695">
        <v>1.814827185603721</v>
      </c>
      <c r="GF695">
        <v>6.9667364877156155</v>
      </c>
      <c r="GG695">
        <v>6.8393635998360143</v>
      </c>
      <c r="GH695">
        <v>2.1611736260621592</v>
      </c>
      <c r="GI695">
        <v>7.2478601496973951</v>
      </c>
      <c r="GJ695"/>
      <c r="GK695"/>
      <c r="GL695"/>
      <c r="GM695"/>
      <c r="GN695" s="208"/>
      <c r="GO695" s="208"/>
      <c r="GP695" s="208"/>
      <c r="GQ695" s="208"/>
      <c r="GR695" s="208"/>
      <c r="GS695" s="208"/>
      <c r="GT695" s="208"/>
      <c r="GU695" s="213">
        <v>690</v>
      </c>
    </row>
    <row r="696" spans="1:203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113.5147084261055</v>
      </c>
      <c r="AO696">
        <v>18.667520634486539</v>
      </c>
      <c r="AP696">
        <v>156.10945446563599</v>
      </c>
      <c r="AQ696">
        <v>160.23412066345446</v>
      </c>
      <c r="AR696">
        <v>17.26881305702689</v>
      </c>
      <c r="AS696">
        <v>232.64458258989436</v>
      </c>
      <c r="AT696">
        <v>12.13973602289763</v>
      </c>
      <c r="AU696">
        <v>15.154032934039837</v>
      </c>
      <c r="AV696"/>
      <c r="AW696"/>
      <c r="FY696" s="213">
        <v>691</v>
      </c>
      <c r="FZ696">
        <v>40.959663882592857</v>
      </c>
      <c r="GA696">
        <v>50.487526001774157</v>
      </c>
      <c r="GB696">
        <v>10.552773461817209</v>
      </c>
      <c r="GC696">
        <v>6.231917875916948</v>
      </c>
      <c r="GD696">
        <v>2.0095737271465834</v>
      </c>
      <c r="GE696">
        <v>2.1856272716775553</v>
      </c>
      <c r="GF696">
        <v>5.4764561582667692</v>
      </c>
      <c r="GG696">
        <v>7.7955115389084435</v>
      </c>
      <c r="GH696">
        <v>6.4835208781864768</v>
      </c>
      <c r="GI696">
        <v>11.886846803746156</v>
      </c>
      <c r="GJ696"/>
      <c r="GK696"/>
      <c r="GL696"/>
      <c r="GM696"/>
      <c r="GN696" s="208"/>
      <c r="GO696" s="208"/>
      <c r="GP696" s="208"/>
      <c r="GQ696" s="208"/>
      <c r="GR696" s="208"/>
      <c r="GS696" s="208"/>
      <c r="GT696" s="208"/>
      <c r="GU696" s="213">
        <v>691</v>
      </c>
    </row>
    <row r="697" spans="1:203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84.078415225138102</v>
      </c>
      <c r="AO697">
        <v>13.678629169252469</v>
      </c>
      <c r="AP697">
        <v>58.401317762610439</v>
      </c>
      <c r="AQ697">
        <v>99.258432419879981</v>
      </c>
      <c r="AR697">
        <v>12.550083482992875</v>
      </c>
      <c r="AS697">
        <v>154.6624380395362</v>
      </c>
      <c r="AT697">
        <v>8.2886415627925754</v>
      </c>
      <c r="AU697">
        <v>10.39229195201767</v>
      </c>
      <c r="AV697"/>
      <c r="AW697"/>
      <c r="FY697" s="213">
        <v>692</v>
      </c>
      <c r="FZ697">
        <v>23.722115827798664</v>
      </c>
      <c r="GA697">
        <v>39.169675557649128</v>
      </c>
      <c r="GB697">
        <v>11.792007903430521</v>
      </c>
      <c r="GC697">
        <v>4.18320411780826</v>
      </c>
      <c r="GD697">
        <v>1.7592119224036649</v>
      </c>
      <c r="GE697">
        <v>2.5218615875793882</v>
      </c>
      <c r="GF697">
        <v>2.432591577740042</v>
      </c>
      <c r="GG697">
        <v>2.8631628096307566</v>
      </c>
      <c r="GH697">
        <v>1.5603693116103559</v>
      </c>
      <c r="GI697">
        <v>8.3165979910496262</v>
      </c>
      <c r="GJ697"/>
      <c r="GK697"/>
      <c r="GL697"/>
      <c r="GM697"/>
      <c r="GN697" s="208"/>
      <c r="GO697" s="208"/>
      <c r="GP697" s="208"/>
      <c r="GQ697" s="208"/>
      <c r="GR697" s="208"/>
      <c r="GS697" s="208"/>
      <c r="GT697" s="208"/>
      <c r="GU697" s="213">
        <v>692</v>
      </c>
    </row>
    <row r="698" spans="1:203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106.82211314012787</v>
      </c>
      <c r="AO698">
        <v>14.219163880304952</v>
      </c>
      <c r="AP698">
        <v>80.339585679586321</v>
      </c>
      <c r="AQ698">
        <v>108.92975180153049</v>
      </c>
      <c r="AR698">
        <v>13.220531726749638</v>
      </c>
      <c r="AS698">
        <v>165.19635579207767</v>
      </c>
      <c r="AT698" t="e">
        <v>#DIV/0!</v>
      </c>
      <c r="AU698" t="e">
        <v>#DIV/0!</v>
      </c>
      <c r="AV698"/>
      <c r="AW698"/>
      <c r="FY698" s="213">
        <v>693</v>
      </c>
      <c r="FZ698">
        <v>26.764301567809444</v>
      </c>
      <c r="GA698">
        <v>34.148063838748214</v>
      </c>
      <c r="GB698">
        <v>13.794072203034871</v>
      </c>
      <c r="GC698">
        <v>7.9941259895483663</v>
      </c>
      <c r="GD698">
        <v>2.2756772293020653</v>
      </c>
      <c r="GE698">
        <v>2.9718209692643605</v>
      </c>
      <c r="GF698">
        <v>2.9474726245835958</v>
      </c>
      <c r="GG698">
        <v>1.9911211129385908</v>
      </c>
      <c r="GH698">
        <v>0.60080431445180338</v>
      </c>
      <c r="GI698">
        <v>9.3679834165587188</v>
      </c>
      <c r="GJ698"/>
      <c r="GK698"/>
      <c r="GL698"/>
      <c r="GM698"/>
      <c r="GN698" s="208"/>
      <c r="GO698" s="208"/>
      <c r="GP698" s="208"/>
      <c r="GQ698" s="208"/>
      <c r="GR698" s="208"/>
      <c r="GS698" s="208"/>
      <c r="GT698" s="208"/>
      <c r="GU698" s="213">
        <v>693</v>
      </c>
    </row>
    <row r="699" spans="1:203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79.032062728937746</v>
      </c>
      <c r="AO699">
        <v>13.765084995081191</v>
      </c>
      <c r="AP699">
        <v>76.241797073136041</v>
      </c>
      <c r="AQ699">
        <v>114.06531564958763</v>
      </c>
      <c r="AR699">
        <v>12.687898854655996</v>
      </c>
      <c r="AS699">
        <v>157.03610941011098</v>
      </c>
      <c r="AT699" t="e">
        <v>#DIV/0!</v>
      </c>
      <c r="AU699" t="e">
        <v>#DIV/0!</v>
      </c>
      <c r="AV699"/>
      <c r="AW699"/>
      <c r="FY699" s="213">
        <v>694</v>
      </c>
      <c r="FZ699">
        <v>24.025834636786652</v>
      </c>
      <c r="GA699">
        <v>31.287014951479701</v>
      </c>
      <c r="GB699">
        <v>5.9640846197815458</v>
      </c>
      <c r="GC699">
        <v>3.7993175989088912</v>
      </c>
      <c r="GD699">
        <v>1.9858334574470655</v>
      </c>
      <c r="GE699">
        <v>1.965812379995449</v>
      </c>
      <c r="GF699">
        <v>3.2550413032684276</v>
      </c>
      <c r="GG699">
        <v>4.8190801284741536</v>
      </c>
      <c r="GH699">
        <v>3.1207386232207117</v>
      </c>
      <c r="GI699">
        <v>7.3172657674646064</v>
      </c>
      <c r="GJ699"/>
      <c r="GK699"/>
      <c r="GL699"/>
      <c r="GM699"/>
      <c r="GN699" s="208"/>
      <c r="GO699" s="208"/>
      <c r="GP699" s="208"/>
      <c r="GQ699" s="208"/>
      <c r="GR699" s="208"/>
      <c r="GS699" s="208"/>
      <c r="GT699" s="208"/>
      <c r="GU699" s="213">
        <v>694</v>
      </c>
    </row>
    <row r="700" spans="1:203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90.339971031147499</v>
      </c>
      <c r="AO700">
        <v>13.223769339588852</v>
      </c>
      <c r="AP700">
        <v>65.865043309587378</v>
      </c>
      <c r="AQ700">
        <v>103.24055000104981</v>
      </c>
      <c r="AR700">
        <v>12.196142601498829</v>
      </c>
      <c r="AS700">
        <v>166.43351580901356</v>
      </c>
      <c r="AT700">
        <v>8.2259115424379434</v>
      </c>
      <c r="AU700">
        <v>14.145507524617019</v>
      </c>
      <c r="AV700"/>
      <c r="AW700"/>
      <c r="FY700" s="213">
        <v>695</v>
      </c>
      <c r="FZ700">
        <v>27.85794662215141</v>
      </c>
      <c r="GA700">
        <v>34.41301975255147</v>
      </c>
      <c r="GB700">
        <v>4.5915168520393692</v>
      </c>
      <c r="GC700">
        <v>2.549910237942496</v>
      </c>
      <c r="GD700">
        <v>1.8516316692828396</v>
      </c>
      <c r="GE700">
        <v>2.4017461479112265</v>
      </c>
      <c r="GF700">
        <v>2.8975642107853465</v>
      </c>
      <c r="GG700">
        <v>7.1847087976570663</v>
      </c>
      <c r="GH700">
        <v>7.4430858753450302</v>
      </c>
      <c r="GI700">
        <v>8.1720099389228729</v>
      </c>
      <c r="GJ700"/>
      <c r="GK700"/>
      <c r="GL700"/>
      <c r="GM700"/>
      <c r="GN700" s="208"/>
      <c r="GO700" s="208"/>
      <c r="GP700" s="208"/>
      <c r="GQ700" s="208"/>
      <c r="GR700" s="208"/>
      <c r="GS700" s="208"/>
      <c r="GT700" s="208"/>
      <c r="GU700" s="213">
        <v>695</v>
      </c>
    </row>
    <row r="701" spans="1:203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74.168771621896624</v>
      </c>
      <c r="AO701">
        <v>12.684092049767788</v>
      </c>
      <c r="AP701">
        <v>64.40702177576199</v>
      </c>
      <c r="AQ701">
        <v>99.379575081301681</v>
      </c>
      <c r="AR701">
        <v>11.836509399122372</v>
      </c>
      <c r="AS701">
        <v>144.65427578650679</v>
      </c>
      <c r="AT701">
        <v>7.7008662052492518</v>
      </c>
      <c r="AU701">
        <v>11.774269374277637</v>
      </c>
      <c r="AV701"/>
      <c r="AW701"/>
      <c r="FY701" s="213">
        <v>696</v>
      </c>
      <c r="FZ701">
        <v>30.058551699427092</v>
      </c>
      <c r="GA701">
        <v>32.336210380579985</v>
      </c>
      <c r="GB701">
        <v>5.7066120937099569</v>
      </c>
      <c r="GC701">
        <v>4.4232143459586455</v>
      </c>
      <c r="GD701">
        <v>1.8974700325167917</v>
      </c>
      <c r="GE701">
        <v>2.2482244341334465</v>
      </c>
      <c r="GF701">
        <v>2.8502577539885809</v>
      </c>
      <c r="GG701">
        <v>3.0193443074372857</v>
      </c>
      <c r="GH701">
        <v>2.1611736260621592</v>
      </c>
      <c r="GI701">
        <v>7.8450033255531002</v>
      </c>
      <c r="GJ701"/>
      <c r="GK701"/>
      <c r="GL701"/>
      <c r="GM701"/>
      <c r="GN701" s="208"/>
      <c r="GO701" s="208"/>
      <c r="GP701" s="208"/>
      <c r="GQ701" s="208"/>
      <c r="GR701" s="208"/>
      <c r="GS701" s="208"/>
      <c r="GT701" s="208"/>
      <c r="GU701" s="213">
        <v>696</v>
      </c>
    </row>
    <row r="702" spans="1:203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73.847013273331726</v>
      </c>
      <c r="AO702">
        <v>11.144790436975088</v>
      </c>
      <c r="AP702">
        <v>60.713219629718346</v>
      </c>
      <c r="AQ702">
        <v>85.814640323872581</v>
      </c>
      <c r="AR702">
        <v>10.175726449767414</v>
      </c>
      <c r="AS702">
        <v>141.79436387222322</v>
      </c>
      <c r="AT702" t="e">
        <v>#DIV/0!</v>
      </c>
      <c r="AU702" t="e">
        <v>#DIV/0!</v>
      </c>
      <c r="AV702"/>
      <c r="AW702"/>
      <c r="FY702" s="213">
        <v>697</v>
      </c>
      <c r="FZ702">
        <v>32.07475749825641</v>
      </c>
      <c r="GA702">
        <v>46.355934494515118</v>
      </c>
      <c r="GB702">
        <v>9.9785592707368647</v>
      </c>
      <c r="GC702">
        <v>4.08010403296396</v>
      </c>
      <c r="GD702">
        <v>1.6537725104599439</v>
      </c>
      <c r="GE702">
        <v>1.9302506059040394</v>
      </c>
      <c r="GF702">
        <v>3.430221764810768</v>
      </c>
      <c r="GG702">
        <v>2.6376072100553292</v>
      </c>
      <c r="GH702">
        <v>1.2016086289036068</v>
      </c>
      <c r="GI702">
        <v>9.0795489267234508</v>
      </c>
      <c r="GJ702"/>
      <c r="GK702"/>
      <c r="GL702"/>
      <c r="GM702"/>
      <c r="GN702" s="208"/>
      <c r="GO702" s="208"/>
      <c r="GP702" s="208"/>
      <c r="GQ702" s="208"/>
      <c r="GR702" s="208"/>
      <c r="GS702" s="208"/>
      <c r="GT702" s="208"/>
      <c r="GU702" s="213">
        <v>697</v>
      </c>
    </row>
    <row r="703" spans="1:203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75.706160083765283</v>
      </c>
      <c r="AO703">
        <v>10.687300137623275</v>
      </c>
      <c r="AP703">
        <v>60.766277429548289</v>
      </c>
      <c r="AQ703">
        <v>77.152252966772807</v>
      </c>
      <c r="AR703">
        <v>9.7554063848369097</v>
      </c>
      <c r="AS703">
        <v>117.69202272240349</v>
      </c>
      <c r="AT703" t="e">
        <v>#DIV/0!</v>
      </c>
      <c r="AU703" t="e">
        <v>#DIV/0!</v>
      </c>
      <c r="AV703"/>
      <c r="AW703"/>
      <c r="FY703" s="213">
        <v>698</v>
      </c>
      <c r="FZ703">
        <v>22.116036514894049</v>
      </c>
      <c r="GA703">
        <v>30.32538629553688</v>
      </c>
      <c r="GB703">
        <v>5.3985325047319641</v>
      </c>
      <c r="GC703">
        <v>2.711050763674876</v>
      </c>
      <c r="GD703">
        <v>2.0141551760018785</v>
      </c>
      <c r="GE703">
        <v>1.9679443546475126</v>
      </c>
      <c r="GF703">
        <v>1.4658907148175533</v>
      </c>
      <c r="GG703">
        <v>4.5076941616181267</v>
      </c>
      <c r="GH703">
        <v>5.2819122492828701</v>
      </c>
      <c r="GI703">
        <v>6.925161924497143</v>
      </c>
      <c r="GJ703"/>
      <c r="GK703"/>
      <c r="GL703"/>
      <c r="GM703"/>
      <c r="GN703" s="208"/>
      <c r="GO703" s="208"/>
      <c r="GP703" s="208"/>
      <c r="GQ703" s="208"/>
      <c r="GR703" s="208"/>
      <c r="GS703" s="208"/>
      <c r="GT703" s="208"/>
      <c r="GU703" s="213">
        <v>698</v>
      </c>
    </row>
    <row r="704" spans="1:203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85.881615265838121</v>
      </c>
      <c r="AO704">
        <v>8.7195616125917645</v>
      </c>
      <c r="AP704">
        <v>38.682513285483026</v>
      </c>
      <c r="AQ704">
        <v>58.827924971762762</v>
      </c>
      <c r="AR704">
        <v>8.0283311312228438</v>
      </c>
      <c r="AS704">
        <v>126.75732888407218</v>
      </c>
      <c r="AT704" t="e">
        <v>#DIV/0!</v>
      </c>
      <c r="AU704" t="e">
        <v>#DIV/0!</v>
      </c>
      <c r="AV704"/>
      <c r="AW704"/>
      <c r="FY704" s="213">
        <v>699</v>
      </c>
      <c r="FZ704">
        <v>20.545504501179078</v>
      </c>
      <c r="GA704">
        <v>23.190792361163258</v>
      </c>
      <c r="GB704">
        <v>0.98296007563264431</v>
      </c>
      <c r="GC704">
        <v>1.3865558400077198</v>
      </c>
      <c r="GD704">
        <v>1.5293183198070082</v>
      </c>
      <c r="GE704">
        <v>2.1086437975417098</v>
      </c>
      <c r="GF704">
        <v>2.192707820035328</v>
      </c>
      <c r="GG704">
        <v>2.6480635414584461</v>
      </c>
      <c r="GH704">
        <v>2.7619779405139626</v>
      </c>
      <c r="GI704">
        <v>5.0316948522061695</v>
      </c>
      <c r="GJ704"/>
      <c r="GK704"/>
      <c r="GL704"/>
      <c r="GM704"/>
      <c r="GN704" s="208"/>
      <c r="GO704" s="208"/>
      <c r="GP704" s="208"/>
      <c r="GQ704" s="208"/>
      <c r="GR704" s="208"/>
      <c r="GS704" s="208"/>
      <c r="GT704" s="208"/>
      <c r="GU704" s="213">
        <v>699</v>
      </c>
    </row>
    <row r="705" spans="1:203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82.384757499374629</v>
      </c>
      <c r="AO705">
        <v>10.786774639317469</v>
      </c>
      <c r="AP705">
        <v>28.421743612941032</v>
      </c>
      <c r="AQ705">
        <v>69.57144440311869</v>
      </c>
      <c r="AR705">
        <v>9.9405658506474488</v>
      </c>
      <c r="AS705">
        <v>126.79678870130992</v>
      </c>
      <c r="AT705" t="e">
        <v>#DIV/0!</v>
      </c>
      <c r="AU705" t="e">
        <v>#DIV/0!</v>
      </c>
      <c r="AV705"/>
      <c r="AW705"/>
      <c r="FY705" s="213">
        <v>700</v>
      </c>
      <c r="FZ705">
        <v>9.0357692022119274</v>
      </c>
      <c r="GA705">
        <v>16.004536032374435</v>
      </c>
      <c r="GB705">
        <v>7.950578100596605</v>
      </c>
      <c r="GC705">
        <v>4.3864746215510113</v>
      </c>
      <c r="GD705">
        <v>2.3520501794202358</v>
      </c>
      <c r="GE705">
        <v>2.3296918340665571</v>
      </c>
      <c r="GF705">
        <v>5.8660651573662328</v>
      </c>
      <c r="GG705">
        <v>6.2647414943027648</v>
      </c>
      <c r="GH705">
        <v>2.1611736260621592</v>
      </c>
      <c r="GI705">
        <v>6.1291213579771453</v>
      </c>
      <c r="GJ705"/>
      <c r="GK705"/>
      <c r="GL705"/>
      <c r="GM705"/>
      <c r="GN705" s="208"/>
      <c r="GO705" s="208"/>
      <c r="GP705" s="208"/>
      <c r="GQ705" s="208"/>
      <c r="GR705" s="208"/>
      <c r="GS705" s="208"/>
      <c r="GT705" s="208"/>
      <c r="GU705" s="213">
        <v>700</v>
      </c>
    </row>
    <row r="706" spans="1:203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69.535407477167112</v>
      </c>
      <c r="AO706">
        <v>10.838244964069819</v>
      </c>
      <c r="AP706">
        <v>32.78466153146659</v>
      </c>
      <c r="AQ706">
        <v>75.119297808352798</v>
      </c>
      <c r="AR706">
        <v>10.049583042262176</v>
      </c>
      <c r="AS706">
        <v>129.75266215326465</v>
      </c>
      <c r="AT706">
        <v>6.1496280277467861</v>
      </c>
      <c r="AU706">
        <v>13.571789179436383</v>
      </c>
      <c r="AV706"/>
      <c r="AW706"/>
      <c r="FY706" s="213">
        <v>701</v>
      </c>
      <c r="FZ706">
        <v>50.611196166678845</v>
      </c>
      <c r="GA706">
        <v>64.751858990630637</v>
      </c>
      <c r="GB706">
        <v>14.359716627557518</v>
      </c>
      <c r="GC706">
        <v>7.900885455454282</v>
      </c>
      <c r="GD706">
        <v>2.4684626881870599</v>
      </c>
      <c r="GE706">
        <v>2.4461131902435467</v>
      </c>
      <c r="GF706">
        <v>4.2945674221546382</v>
      </c>
      <c r="GG706">
        <v>5.7689727931844992</v>
      </c>
      <c r="GH706">
        <v>3.1207386232207117</v>
      </c>
      <c r="GI706">
        <v>13.76029931914532</v>
      </c>
      <c r="GJ706"/>
      <c r="GK706"/>
      <c r="GL706"/>
      <c r="GM706"/>
      <c r="GN706" s="208"/>
      <c r="GO706" s="208"/>
      <c r="GP706" s="208"/>
      <c r="GQ706" s="208"/>
      <c r="GR706" s="208"/>
      <c r="GS706" s="208"/>
      <c r="GT706" s="208"/>
      <c r="GU706" s="213">
        <v>701</v>
      </c>
    </row>
    <row r="707" spans="1:203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106.73208033655548</v>
      </c>
      <c r="AO707">
        <v>17.781685942916095</v>
      </c>
      <c r="AP707">
        <v>108.88558398792573</v>
      </c>
      <c r="AQ707">
        <v>144.06941760003318</v>
      </c>
      <c r="AR707">
        <v>16.468475769224582</v>
      </c>
      <c r="AS707">
        <v>177.14376589030215</v>
      </c>
      <c r="AT707">
        <v>10.795359289783512</v>
      </c>
      <c r="AU707">
        <v>35.473143333615837</v>
      </c>
      <c r="AV707"/>
      <c r="AW707"/>
      <c r="FY707" s="213">
        <v>702</v>
      </c>
      <c r="FZ707">
        <v>12.718925279706252</v>
      </c>
      <c r="GA707">
        <v>13.66125607121735</v>
      </c>
      <c r="GB707">
        <v>3.3742347599789322</v>
      </c>
      <c r="GC707">
        <v>2.9704750676320093</v>
      </c>
      <c r="GD707">
        <v>1.8823317936938355</v>
      </c>
      <c r="GE707">
        <v>2.2045681602053091</v>
      </c>
      <c r="GF707">
        <v>2.1147422290880025</v>
      </c>
      <c r="GG707">
        <v>1.4259783100514274</v>
      </c>
      <c r="GH707">
        <v>0</v>
      </c>
      <c r="GI707">
        <v>4.1911993784200918</v>
      </c>
      <c r="GJ707"/>
      <c r="GK707"/>
      <c r="GL707"/>
      <c r="GM707"/>
      <c r="GN707" s="208"/>
      <c r="GO707" s="208"/>
      <c r="GP707" s="208"/>
      <c r="GQ707" s="208"/>
      <c r="GR707" s="208"/>
      <c r="GS707" s="208"/>
      <c r="GT707" s="208"/>
      <c r="GU707" s="213">
        <v>702</v>
      </c>
    </row>
    <row r="708" spans="1:203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70.595291751389624</v>
      </c>
      <c r="AO708">
        <v>12.780594583529011</v>
      </c>
      <c r="AP708">
        <v>94.083878216228811</v>
      </c>
      <c r="AQ708">
        <v>98.320798606700407</v>
      </c>
      <c r="AR708">
        <v>11.673969758568902</v>
      </c>
      <c r="AS708">
        <v>133.13655273307663</v>
      </c>
      <c r="AT708" t="e">
        <v>#DIV/0!</v>
      </c>
      <c r="AU708" t="e">
        <v>#DIV/0!</v>
      </c>
      <c r="AV708"/>
      <c r="AW708"/>
      <c r="FY708" s="213">
        <v>703</v>
      </c>
      <c r="FZ708">
        <v>33.947583595137161</v>
      </c>
      <c r="GA708">
        <v>47.055810836893187</v>
      </c>
      <c r="GB708">
        <v>11.254195542310518</v>
      </c>
      <c r="GC708">
        <v>5.8012088618566775</v>
      </c>
      <c r="GD708">
        <v>2.9402194464937614</v>
      </c>
      <c r="GE708">
        <v>2.7160294006125216</v>
      </c>
      <c r="GF708">
        <v>2.579714862133307</v>
      </c>
      <c r="GG708">
        <v>2.1520422620681625</v>
      </c>
      <c r="GH708">
        <v>0.60080431445180338</v>
      </c>
      <c r="GI708">
        <v>10.166982724815375</v>
      </c>
      <c r="GJ708"/>
      <c r="GK708"/>
      <c r="GL708"/>
      <c r="GM708"/>
      <c r="GN708" s="208"/>
      <c r="GO708" s="208"/>
      <c r="GP708" s="208"/>
      <c r="GQ708" s="208"/>
      <c r="GR708" s="208"/>
      <c r="GS708" s="208"/>
      <c r="GT708" s="208"/>
      <c r="GU708" s="213">
        <v>703</v>
      </c>
    </row>
    <row r="709" spans="1:203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109.72498567397781</v>
      </c>
      <c r="AO709">
        <v>14.120068971382793</v>
      </c>
      <c r="AP709">
        <v>71.238116083136532</v>
      </c>
      <c r="AQ709">
        <v>102.85544326624002</v>
      </c>
      <c r="AR709">
        <v>12.955911334947803</v>
      </c>
      <c r="AS709">
        <v>166.16787214988545</v>
      </c>
      <c r="AT709" t="e">
        <v>#DIV/0!</v>
      </c>
      <c r="AU709" t="e">
        <v>#DIV/0!</v>
      </c>
      <c r="AV709"/>
      <c r="AW709"/>
      <c r="FY709" s="213">
        <v>704</v>
      </c>
      <c r="FZ709">
        <v>22.523313554904746</v>
      </c>
      <c r="GA709">
        <v>28.394776878719401</v>
      </c>
      <c r="GB709">
        <v>4.2164614358825565</v>
      </c>
      <c r="GC709">
        <v>3.1459631282722409</v>
      </c>
      <c r="GD709">
        <v>2.8500838773604835</v>
      </c>
      <c r="GE709">
        <v>3.3177125102296476</v>
      </c>
      <c r="GF709">
        <v>2.055755727790689</v>
      </c>
      <c r="GG709">
        <v>5.0214603460610023</v>
      </c>
      <c r="GH709">
        <v>5.8827165637346734</v>
      </c>
      <c r="GI709">
        <v>7.4298945369551097</v>
      </c>
      <c r="GJ709"/>
      <c r="GK709"/>
      <c r="GL709"/>
      <c r="GM709"/>
      <c r="GN709" s="208"/>
      <c r="GO709" s="208"/>
      <c r="GP709" s="208"/>
      <c r="GQ709" s="208"/>
      <c r="GR709" s="208"/>
      <c r="GS709" s="208"/>
      <c r="GT709" s="208"/>
      <c r="GU709" s="213">
        <v>704</v>
      </c>
    </row>
    <row r="710" spans="1:203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77.494490157173971</v>
      </c>
      <c r="AO710">
        <v>11.108448529357577</v>
      </c>
      <c r="AP710">
        <v>56.354888322610506</v>
      </c>
      <c r="AQ710">
        <v>87.540023466827222</v>
      </c>
      <c r="AR710">
        <v>10.142787500068181</v>
      </c>
      <c r="AS710">
        <v>130.89175081185849</v>
      </c>
      <c r="AT710" t="e">
        <v>#DIV/0!</v>
      </c>
      <c r="AU710" t="e">
        <v>#DIV/0!</v>
      </c>
      <c r="AV710"/>
      <c r="AW710"/>
      <c r="FY710" s="213">
        <v>705</v>
      </c>
      <c r="FZ710">
        <v>20.616910446188236</v>
      </c>
      <c r="GA710">
        <v>24.970254731367071</v>
      </c>
      <c r="GB710">
        <v>8.8472009400264611</v>
      </c>
      <c r="GC710">
        <v>5.532863708941206</v>
      </c>
      <c r="GD710">
        <v>2.3391137171296221</v>
      </c>
      <c r="GE710">
        <v>2.8115266060003736</v>
      </c>
      <c r="GF710">
        <v>4.1726566670445511</v>
      </c>
      <c r="GG710">
        <v>3.2299151881293291</v>
      </c>
      <c r="GH710">
        <v>0.60080431445180338</v>
      </c>
      <c r="GI710">
        <v>7.4984918663889442</v>
      </c>
      <c r="GJ710"/>
      <c r="GK710"/>
      <c r="GL710"/>
      <c r="GM710"/>
      <c r="GN710" s="208"/>
      <c r="GO710" s="208"/>
      <c r="GP710" s="208"/>
      <c r="GQ710" s="208"/>
      <c r="GR710" s="208"/>
      <c r="GS710" s="208"/>
      <c r="GT710" s="208"/>
      <c r="GU710" s="213">
        <v>705</v>
      </c>
    </row>
    <row r="711" spans="1:203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62.512224002848995</v>
      </c>
      <c r="AO711">
        <v>12.27131236935095</v>
      </c>
      <c r="AP711">
        <v>125.43070224834783</v>
      </c>
      <c r="AQ711">
        <v>99.363140104589135</v>
      </c>
      <c r="AR711">
        <v>11.405658846092305</v>
      </c>
      <c r="AS711">
        <v>129.03862195611094</v>
      </c>
      <c r="AT711" t="e">
        <v>#DIV/0!</v>
      </c>
      <c r="AU711" t="e">
        <v>#DIV/0!</v>
      </c>
      <c r="AV711"/>
      <c r="AW711"/>
      <c r="FY711" s="213">
        <v>706</v>
      </c>
      <c r="FZ711">
        <v>11.131205088673715</v>
      </c>
      <c r="GA711">
        <v>17.960661000872847</v>
      </c>
      <c r="GB711">
        <v>9.8163560157349519</v>
      </c>
      <c r="GC711">
        <v>5.7465378409983545</v>
      </c>
      <c r="GD711">
        <v>2.2943107762241595</v>
      </c>
      <c r="GE711">
        <v>1.6505587861646593</v>
      </c>
      <c r="GF711">
        <v>4.0357045747999116</v>
      </c>
      <c r="GG711">
        <v>3.330730274293312</v>
      </c>
      <c r="GH711">
        <v>1.2016086289036068</v>
      </c>
      <c r="GI711">
        <v>6.3959563019817729</v>
      </c>
      <c r="GJ711"/>
      <c r="GK711"/>
      <c r="GL711"/>
      <c r="GM711"/>
      <c r="GN711" s="208"/>
      <c r="GO711" s="208"/>
      <c r="GP711" s="208"/>
      <c r="GQ711" s="208"/>
      <c r="GR711" s="208"/>
      <c r="GS711" s="208"/>
      <c r="GT711" s="208"/>
      <c r="GU711" s="213">
        <v>706</v>
      </c>
    </row>
    <row r="712" spans="1:203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76.781281884622402</v>
      </c>
      <c r="AO712">
        <v>11.545698200168754</v>
      </c>
      <c r="AP712">
        <v>78.527426617882554</v>
      </c>
      <c r="AQ712">
        <v>92.546061999367041</v>
      </c>
      <c r="AR712">
        <v>10.8116601606645</v>
      </c>
      <c r="AS712">
        <v>128.29278855866281</v>
      </c>
      <c r="AT712">
        <v>7.4939936256716608</v>
      </c>
      <c r="AU712">
        <v>30.763470177495201</v>
      </c>
      <c r="AV712"/>
      <c r="AW712"/>
      <c r="FY712" s="213">
        <v>707</v>
      </c>
      <c r="FZ712">
        <v>59.818587992542469</v>
      </c>
      <c r="GA712">
        <v>71.077932099728969</v>
      </c>
      <c r="GB712">
        <v>5.9437024323194576</v>
      </c>
      <c r="GC712">
        <v>4.5924949623202371</v>
      </c>
      <c r="GD712">
        <v>2.6613476651978072</v>
      </c>
      <c r="GE712">
        <v>3.0588359915038126</v>
      </c>
      <c r="GF712">
        <v>5.1290768599998309</v>
      </c>
      <c r="GG712">
        <v>5.2487400705367655</v>
      </c>
      <c r="GH712">
        <v>1.5603693116103559</v>
      </c>
      <c r="GI712">
        <v>13.043755732845142</v>
      </c>
      <c r="GJ712"/>
      <c r="GK712"/>
      <c r="GL712"/>
      <c r="GM712"/>
      <c r="GN712" s="208"/>
      <c r="GO712" s="208"/>
      <c r="GP712" s="208"/>
      <c r="GQ712" s="208"/>
      <c r="GR712" s="208"/>
      <c r="GS712" s="208"/>
      <c r="GT712" s="208"/>
      <c r="GU712" s="213">
        <v>707</v>
      </c>
    </row>
    <row r="713" spans="1:203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90.506798653369373</v>
      </c>
      <c r="AO713">
        <v>13.68357605873824</v>
      </c>
      <c r="AP713">
        <v>82.91008468447626</v>
      </c>
      <c r="AQ713">
        <v>112.42236494332948</v>
      </c>
      <c r="AR713">
        <v>12.634386665582182</v>
      </c>
      <c r="AS713">
        <v>163.54513084865872</v>
      </c>
      <c r="AT713" t="e">
        <v>#DIV/0!</v>
      </c>
      <c r="AU713" t="e">
        <v>#DIV/0!</v>
      </c>
      <c r="AV713"/>
      <c r="AW713"/>
      <c r="FY713" s="213">
        <v>708</v>
      </c>
      <c r="FZ713">
        <v>44.243907426475467</v>
      </c>
      <c r="GA713">
        <v>51.382308716815047</v>
      </c>
      <c r="GB713">
        <v>4.771746116138849</v>
      </c>
      <c r="GC713">
        <v>3.9768066194649152</v>
      </c>
      <c r="GD713">
        <v>1.7402217480428563</v>
      </c>
      <c r="GE713">
        <v>1.4880532205295323</v>
      </c>
      <c r="GF713">
        <v>3.3209471818989451</v>
      </c>
      <c r="GG713">
        <v>3.6571009600327233</v>
      </c>
      <c r="GH713">
        <v>2.7619779405139626</v>
      </c>
      <c r="GI713">
        <v>9.7675372630043782</v>
      </c>
      <c r="GJ713"/>
      <c r="GK713"/>
      <c r="GL713"/>
      <c r="GM713"/>
      <c r="GN713" s="208"/>
      <c r="GO713" s="208"/>
      <c r="GP713" s="208"/>
      <c r="GQ713" s="208"/>
      <c r="GR713" s="208"/>
      <c r="GS713" s="208"/>
      <c r="GT713" s="208"/>
      <c r="GU713" s="213">
        <v>708</v>
      </c>
    </row>
    <row r="714" spans="1:203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70.613433706816053</v>
      </c>
      <c r="AO714">
        <v>10.292033845054709</v>
      </c>
      <c r="AP714">
        <v>58.946219488937857</v>
      </c>
      <c r="AQ714">
        <v>82.713764659702861</v>
      </c>
      <c r="AR714">
        <v>9.5992370075726061</v>
      </c>
      <c r="AS714">
        <v>116.89623296751405</v>
      </c>
      <c r="AT714">
        <v>6.2207069699491653</v>
      </c>
      <c r="AU714">
        <v>30.866941788476936</v>
      </c>
      <c r="AV714"/>
      <c r="AW714"/>
      <c r="FY714" s="213">
        <v>709</v>
      </c>
      <c r="FZ714">
        <v>18.578011427231004</v>
      </c>
      <c r="GA714">
        <v>23.291561255730919</v>
      </c>
      <c r="GB714">
        <v>10.822157998233367</v>
      </c>
      <c r="GC714">
        <v>6.3949651979467941</v>
      </c>
      <c r="GD714">
        <v>1.969529536495717</v>
      </c>
      <c r="GE714">
        <v>2.209955545597706</v>
      </c>
      <c r="GF714">
        <v>1.4848698044675652</v>
      </c>
      <c r="GG714">
        <v>1.921999589441711</v>
      </c>
      <c r="GH714">
        <v>2.7619779405139626</v>
      </c>
      <c r="GI714">
        <v>7.2796766314953842</v>
      </c>
      <c r="GJ714"/>
      <c r="GK714"/>
      <c r="GL714"/>
      <c r="GM714"/>
      <c r="GN714" s="208"/>
      <c r="GO714" s="208"/>
      <c r="GP714" s="208"/>
      <c r="GQ714" s="208"/>
      <c r="GR714" s="208"/>
      <c r="GS714" s="208"/>
      <c r="GT714" s="208"/>
      <c r="GU714" s="213">
        <v>709</v>
      </c>
    </row>
    <row r="715" spans="1:203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43.035548941798936</v>
      </c>
      <c r="AO715">
        <v>7.4105719173668962</v>
      </c>
      <c r="AP715">
        <v>72.780882820237082</v>
      </c>
      <c r="AQ715">
        <v>62.378219049545343</v>
      </c>
      <c r="AR715">
        <v>6.9405943616917227</v>
      </c>
      <c r="AS715">
        <v>81.623951554077436</v>
      </c>
      <c r="AT715" t="e">
        <v>#DIV/0!</v>
      </c>
      <c r="AU715" t="e">
        <v>#DIV/0!</v>
      </c>
      <c r="AV715"/>
      <c r="AW715"/>
      <c r="FY715" s="213">
        <v>710</v>
      </c>
      <c r="FZ715">
        <v>21.003287932557924</v>
      </c>
      <c r="GA715">
        <v>22.581186846187268</v>
      </c>
      <c r="GB715">
        <v>9.4717656708330225</v>
      </c>
      <c r="GC715">
        <v>6.3267219343751275</v>
      </c>
      <c r="GD715">
        <v>1.7882547193700917</v>
      </c>
      <c r="GE715">
        <v>1.8819058251975727</v>
      </c>
      <c r="GF715">
        <v>2.8316583321548285</v>
      </c>
      <c r="GG715">
        <v>4.4807402502740663</v>
      </c>
      <c r="GH715">
        <v>4.3223472521243185</v>
      </c>
      <c r="GI715">
        <v>7.7009037564471976</v>
      </c>
      <c r="GJ715"/>
      <c r="GK715"/>
      <c r="GL715"/>
      <c r="GM715"/>
      <c r="GN715" s="208"/>
      <c r="GO715" s="208"/>
      <c r="GP715" s="208"/>
      <c r="GQ715" s="208"/>
      <c r="GR715" s="208"/>
      <c r="GS715" s="208"/>
      <c r="GT715" s="208"/>
      <c r="GU715" s="213">
        <v>710</v>
      </c>
    </row>
    <row r="716" spans="1:203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70.957378827599413</v>
      </c>
      <c r="AO716">
        <v>9.2046759636081159</v>
      </c>
      <c r="AP716">
        <v>43.920335419705474</v>
      </c>
      <c r="AQ716">
        <v>62.480201605929082</v>
      </c>
      <c r="AR716">
        <v>8.478532651385839</v>
      </c>
      <c r="AS716">
        <v>114.0813720431111</v>
      </c>
      <c r="AT716">
        <v>5.7092858168255196</v>
      </c>
      <c r="AU716">
        <v>-34.480651849750039</v>
      </c>
      <c r="AV716"/>
      <c r="AW716"/>
      <c r="FY716" s="213">
        <v>711</v>
      </c>
      <c r="FZ716">
        <v>16.430442872580532</v>
      </c>
      <c r="GA716">
        <v>23.577611603566687</v>
      </c>
      <c r="GB716">
        <v>8.0293504665814694</v>
      </c>
      <c r="GC716">
        <v>4.3342042029027557</v>
      </c>
      <c r="GD716">
        <v>2.2189379635673689</v>
      </c>
      <c r="GE716">
        <v>2.3546234867196536</v>
      </c>
      <c r="GF716">
        <v>1.3253805378737145</v>
      </c>
      <c r="GG716">
        <v>0.83560848270201948</v>
      </c>
      <c r="GH716">
        <v>0</v>
      </c>
      <c r="GI716">
        <v>6.0147633388372848</v>
      </c>
      <c r="GJ716"/>
      <c r="GK716"/>
      <c r="GL716"/>
      <c r="GM716"/>
      <c r="GN716" s="208"/>
      <c r="GO716" s="208"/>
      <c r="GP716" s="208"/>
      <c r="GQ716" s="208"/>
      <c r="GR716" s="208"/>
      <c r="GS716" s="208"/>
      <c r="GT716" s="208"/>
      <c r="GU716" s="213">
        <v>711</v>
      </c>
    </row>
    <row r="717" spans="1:203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127.25560624485573</v>
      </c>
      <c r="AO717">
        <v>20.799193804355379</v>
      </c>
      <c r="AP717">
        <v>94.102898256564899</v>
      </c>
      <c r="AQ717">
        <v>169.48281127645708</v>
      </c>
      <c r="AR717">
        <v>19.022876024024782</v>
      </c>
      <c r="AS717">
        <v>227.08263243104125</v>
      </c>
      <c r="AT717" t="e">
        <v>#DIV/0!</v>
      </c>
      <c r="AU717" t="e">
        <v>#DIV/0!</v>
      </c>
      <c r="AV717"/>
      <c r="AW717"/>
      <c r="FY717" s="213">
        <v>712</v>
      </c>
      <c r="FZ717">
        <v>47.517294518745508</v>
      </c>
      <c r="GA717">
        <v>55.135020006944643</v>
      </c>
      <c r="GB717">
        <v>11.735957261680037</v>
      </c>
      <c r="GC717">
        <v>7.3689087696288453</v>
      </c>
      <c r="GD717">
        <v>2.3079155911496327</v>
      </c>
      <c r="GE717">
        <v>3.33699972846133</v>
      </c>
      <c r="GF717">
        <v>3.8139769920933255</v>
      </c>
      <c r="GG717">
        <v>2.7518913920636563</v>
      </c>
      <c r="GH717">
        <v>0.60080431445180338</v>
      </c>
      <c r="GI717">
        <v>12.139572442127198</v>
      </c>
      <c r="GJ717"/>
      <c r="GK717"/>
      <c r="GL717"/>
      <c r="GM717"/>
      <c r="GN717" s="208"/>
      <c r="GO717" s="208"/>
      <c r="GP717" s="208"/>
      <c r="GQ717" s="208"/>
      <c r="GR717" s="208"/>
      <c r="GS717" s="208"/>
      <c r="GT717" s="208"/>
      <c r="GU717" s="213">
        <v>712</v>
      </c>
    </row>
    <row r="718" spans="1:203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58.435650093370683</v>
      </c>
      <c r="AO718">
        <v>6.1573535046057515</v>
      </c>
      <c r="AP718">
        <v>33.146615893402803</v>
      </c>
      <c r="AQ718">
        <v>44.543711049993213</v>
      </c>
      <c r="AR718">
        <v>5.7276805380700768</v>
      </c>
      <c r="AS718">
        <v>83.440244011397681</v>
      </c>
      <c r="AT718" t="e">
        <v>#DIV/0!</v>
      </c>
      <c r="AU718" t="e">
        <v>#DIV/0!</v>
      </c>
      <c r="AV718"/>
      <c r="AW718"/>
      <c r="FY718" s="213">
        <v>713</v>
      </c>
      <c r="FZ718">
        <v>19.322547760313753</v>
      </c>
      <c r="GA718">
        <v>27.250159103986505</v>
      </c>
      <c r="GB718">
        <v>9.6905279215030475</v>
      </c>
      <c r="GC718">
        <v>5.421136600890228</v>
      </c>
      <c r="GD718">
        <v>2.7145016324182372</v>
      </c>
      <c r="GE718">
        <v>2.8154369567442576</v>
      </c>
      <c r="GF718">
        <v>2.2709436009803312</v>
      </c>
      <c r="GG718">
        <v>1.8815765822533066</v>
      </c>
      <c r="GH718">
        <v>1.2016086289036068</v>
      </c>
      <c r="GI718">
        <v>7.4856508209164216</v>
      </c>
      <c r="GJ718"/>
      <c r="GK718"/>
      <c r="GL718"/>
      <c r="GM718"/>
      <c r="GN718" s="208"/>
      <c r="GO718" s="208"/>
      <c r="GP718" s="208"/>
      <c r="GQ718" s="208"/>
      <c r="GR718" s="208"/>
      <c r="GS718" s="208"/>
      <c r="GT718" s="208"/>
      <c r="GU718" s="213">
        <v>713</v>
      </c>
    </row>
    <row r="719" spans="1:203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89.569950800833141</v>
      </c>
      <c r="AO719">
        <v>15.324694768753492</v>
      </c>
      <c r="AP719">
        <v>99.781790654125729</v>
      </c>
      <c r="AQ719">
        <v>119.21459184677246</v>
      </c>
      <c r="AR719">
        <v>14.165642864394112</v>
      </c>
      <c r="AS719">
        <v>163.37185611342306</v>
      </c>
      <c r="AT719" t="e">
        <v>#DIV/0!</v>
      </c>
      <c r="AU719" t="e">
        <v>#DIV/0!</v>
      </c>
      <c r="AV719"/>
      <c r="AW719"/>
      <c r="FY719" s="213">
        <v>714</v>
      </c>
      <c r="FZ719">
        <v>8.0209554342628486</v>
      </c>
      <c r="GA719">
        <v>9.6916296262615838</v>
      </c>
      <c r="GB719">
        <v>7.2149863694875522</v>
      </c>
      <c r="GC719">
        <v>4.7559723875781783</v>
      </c>
      <c r="GD719">
        <v>2.3593726786703009</v>
      </c>
      <c r="GE719">
        <v>2.5034437984638713</v>
      </c>
      <c r="GF719">
        <v>2.1737287303853163</v>
      </c>
      <c r="GG719">
        <v>4.9632924338200057</v>
      </c>
      <c r="GH719">
        <v>4.6811079348310667</v>
      </c>
      <c r="GI719">
        <v>5.5205201665711359</v>
      </c>
      <c r="GJ719"/>
      <c r="GK719"/>
      <c r="GL719"/>
      <c r="GM719"/>
      <c r="GN719" s="208"/>
      <c r="GO719" s="208"/>
      <c r="GP719" s="208"/>
      <c r="GQ719" s="208"/>
      <c r="GR719" s="208"/>
      <c r="GS719" s="208"/>
      <c r="GT719" s="208"/>
      <c r="GU719" s="213">
        <v>714</v>
      </c>
    </row>
    <row r="720" spans="1:203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69.389295977011471</v>
      </c>
      <c r="AO720">
        <v>11.123381161446114</v>
      </c>
      <c r="AP720">
        <v>73.439873997157065</v>
      </c>
      <c r="AQ720">
        <v>84.838138559910547</v>
      </c>
      <c r="AR720">
        <v>10.348825642346792</v>
      </c>
      <c r="AS720">
        <v>138.50851151970102</v>
      </c>
      <c r="AT720">
        <v>6.7774734913605714</v>
      </c>
      <c r="AU720">
        <v>43.310955301041368</v>
      </c>
      <c r="AV720"/>
      <c r="AW720"/>
      <c r="FY720" s="213">
        <v>715</v>
      </c>
      <c r="FZ720">
        <v>22.86716547916901</v>
      </c>
      <c r="GA720">
        <v>25.785299970520395</v>
      </c>
      <c r="GB720">
        <v>10.117964218199857</v>
      </c>
      <c r="GC720">
        <v>6.9302156723391333</v>
      </c>
      <c r="GD720">
        <v>2.1337847252661071</v>
      </c>
      <c r="GE720">
        <v>2.4145873143387271</v>
      </c>
      <c r="GF720">
        <v>1.9330220580287176</v>
      </c>
      <c r="GG720">
        <v>1.2116289000039018</v>
      </c>
      <c r="GH720">
        <v>0</v>
      </c>
      <c r="GI720">
        <v>7.5165349607180172</v>
      </c>
      <c r="GJ720"/>
      <c r="GK720"/>
      <c r="GL720"/>
      <c r="GM720"/>
      <c r="GN720" s="208"/>
      <c r="GO720" s="208"/>
      <c r="GP720" s="208"/>
      <c r="GQ720" s="208"/>
      <c r="GR720" s="208"/>
      <c r="GS720" s="208"/>
      <c r="GT720" s="208"/>
      <c r="GU720" s="213">
        <v>715</v>
      </c>
    </row>
    <row r="721" spans="1:203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87.277973721539894</v>
      </c>
      <c r="AO721">
        <v>11.080794665430016</v>
      </c>
      <c r="AP721">
        <v>75.457616564381283</v>
      </c>
      <c r="AQ721">
        <v>80.6197381856676</v>
      </c>
      <c r="AR721">
        <v>10.314082402426639</v>
      </c>
      <c r="AS721">
        <v>146.88129267504902</v>
      </c>
      <c r="AT721" t="e">
        <v>#DIV/0!</v>
      </c>
      <c r="AU721" t="e">
        <v>#DIV/0!</v>
      </c>
      <c r="AV721"/>
      <c r="AW721"/>
      <c r="FY721" s="213">
        <v>716</v>
      </c>
      <c r="FZ721">
        <v>17.878306354040006</v>
      </c>
      <c r="GA721">
        <v>22.014497084540402</v>
      </c>
      <c r="GB721">
        <v>11.007676576470871</v>
      </c>
      <c r="GC721">
        <v>6.9583424188235465</v>
      </c>
      <c r="GD721">
        <v>2.1118620708303659</v>
      </c>
      <c r="GE721">
        <v>1.4620993097210357</v>
      </c>
      <c r="GF721">
        <v>3.2463428835856236</v>
      </c>
      <c r="GG721">
        <v>5.1224866960677611</v>
      </c>
      <c r="GH721">
        <v>3.7215429376725151</v>
      </c>
      <c r="GI721">
        <v>7.8317237582372234</v>
      </c>
      <c r="GJ721"/>
      <c r="GK721"/>
      <c r="GL721"/>
      <c r="GM721"/>
      <c r="GN721" s="208"/>
      <c r="GO721" s="208"/>
      <c r="GP721" s="208"/>
      <c r="GQ721" s="208"/>
      <c r="GR721" s="208"/>
      <c r="GS721" s="208"/>
      <c r="GT721" s="208"/>
      <c r="GU721" s="213">
        <v>716</v>
      </c>
    </row>
    <row r="722" spans="1:203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92.375814238162107</v>
      </c>
      <c r="AO722">
        <v>9.43275157420479</v>
      </c>
      <c r="AP722">
        <v>57.349387985528004</v>
      </c>
      <c r="AQ722">
        <v>63.563629288647292</v>
      </c>
      <c r="AR722">
        <v>8.8316795733769364</v>
      </c>
      <c r="AS722">
        <v>131.22172129402784</v>
      </c>
      <c r="AT722" t="e">
        <v>#DIV/0!</v>
      </c>
      <c r="AU722" t="e">
        <v>#DIV/0!</v>
      </c>
      <c r="AV722"/>
      <c r="AW722"/>
      <c r="FY722" s="213">
        <v>717</v>
      </c>
      <c r="FZ722">
        <v>22.336507096091413</v>
      </c>
      <c r="GA722">
        <v>27.688716375409506</v>
      </c>
      <c r="GB722">
        <v>9.2533899633639844</v>
      </c>
      <c r="GC722">
        <v>6.3381178662832847</v>
      </c>
      <c r="GD722">
        <v>2.468300612603207</v>
      </c>
      <c r="GE722">
        <v>1.6952464124757158</v>
      </c>
      <c r="GF722">
        <v>4.3969226277332574</v>
      </c>
      <c r="GG722">
        <v>3.6388764932099638</v>
      </c>
      <c r="GH722">
        <v>1.2016086289036068</v>
      </c>
      <c r="GI722">
        <v>8.0564533423273765</v>
      </c>
      <c r="GJ722"/>
      <c r="GK722"/>
      <c r="GL722"/>
      <c r="GM722"/>
      <c r="GN722" s="208"/>
      <c r="GO722" s="208"/>
      <c r="GP722" s="208"/>
      <c r="GQ722" s="208"/>
      <c r="GR722" s="208"/>
      <c r="GS722" s="208"/>
      <c r="GT722" s="208"/>
      <c r="GU722" s="213">
        <v>717</v>
      </c>
    </row>
    <row r="723" spans="1:203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116.67766213765201</v>
      </c>
      <c r="AO723">
        <v>19.796277501940001</v>
      </c>
      <c r="AP723">
        <v>129.97760119892328</v>
      </c>
      <c r="AQ723">
        <v>172.13484311860486</v>
      </c>
      <c r="AR723">
        <v>18.038504794248357</v>
      </c>
      <c r="AS723">
        <v>219.42130298123959</v>
      </c>
      <c r="AT723" t="e">
        <v>#DIV/0!</v>
      </c>
      <c r="AU723" t="e">
        <v>#DIV/0!</v>
      </c>
      <c r="AV723"/>
      <c r="AW723"/>
      <c r="FY723" s="213">
        <v>718</v>
      </c>
      <c r="FZ723">
        <v>25.542546684983847</v>
      </c>
      <c r="GA723">
        <v>32.62108833422797</v>
      </c>
      <c r="GB723">
        <v>11.166384632391827</v>
      </c>
      <c r="GC723">
        <v>6.3747085835154502</v>
      </c>
      <c r="GD723">
        <v>2.1829877612594135</v>
      </c>
      <c r="GE723">
        <v>2.7738739030012169</v>
      </c>
      <c r="GF723">
        <v>3.664009059834163</v>
      </c>
      <c r="GG723">
        <v>2.6842441771765735</v>
      </c>
      <c r="GH723">
        <v>0</v>
      </c>
      <c r="GI723">
        <v>8.4977045411349099</v>
      </c>
      <c r="GJ723"/>
      <c r="GK723"/>
      <c r="GL723"/>
      <c r="GM723"/>
      <c r="GN723" s="208"/>
      <c r="GO723" s="208"/>
      <c r="GP723" s="208"/>
      <c r="GQ723" s="208"/>
      <c r="GR723" s="208"/>
      <c r="GS723" s="208"/>
      <c r="GT723" s="208"/>
      <c r="GU723" s="213">
        <v>718</v>
      </c>
    </row>
    <row r="724" spans="1:203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82.367077869683101</v>
      </c>
      <c r="AO724">
        <v>14.589298969014269</v>
      </c>
      <c r="AP724">
        <v>100.09210680440783</v>
      </c>
      <c r="AQ724">
        <v>127.11060719291666</v>
      </c>
      <c r="AR724">
        <v>13.486499782620685</v>
      </c>
      <c r="AS724">
        <v>170.20815975554962</v>
      </c>
      <c r="AT724">
        <v>9.3660445721812753</v>
      </c>
      <c r="AU724">
        <v>13.674949212007347</v>
      </c>
      <c r="AV724"/>
      <c r="AW724"/>
      <c r="FY724" s="213">
        <v>719</v>
      </c>
      <c r="FZ724">
        <v>43.422927641093857</v>
      </c>
      <c r="GA724">
        <v>50.211162350345575</v>
      </c>
      <c r="GB724">
        <v>5.3749270079904008</v>
      </c>
      <c r="GC724">
        <v>3.9937582172593409</v>
      </c>
      <c r="GD724">
        <v>2.0374966252945885</v>
      </c>
      <c r="GE724">
        <v>2.4105319165491768</v>
      </c>
      <c r="GF724">
        <v>2.2417933191816926</v>
      </c>
      <c r="GG724">
        <v>2.8631628096307566</v>
      </c>
      <c r="GH724">
        <v>1.5603693116103559</v>
      </c>
      <c r="GI724">
        <v>9.6316216128899423</v>
      </c>
      <c r="GJ724"/>
      <c r="GK724"/>
      <c r="GL724"/>
      <c r="GM724"/>
      <c r="GN724" s="208"/>
      <c r="GO724" s="208"/>
      <c r="GP724" s="208"/>
      <c r="GQ724" s="208"/>
      <c r="GR724" s="208"/>
      <c r="GS724" s="208"/>
      <c r="GT724" s="208"/>
      <c r="GU724" s="213">
        <v>719</v>
      </c>
    </row>
    <row r="725" spans="1:203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100.67631128121747</v>
      </c>
      <c r="AO725">
        <v>10.69605322667039</v>
      </c>
      <c r="AP725">
        <v>53.168442371231492</v>
      </c>
      <c r="AQ725">
        <v>76.714704927154145</v>
      </c>
      <c r="AR725">
        <v>10.026543445394116</v>
      </c>
      <c r="AS725">
        <v>124.08272286329876</v>
      </c>
      <c r="AT725">
        <v>6.6046579257377473</v>
      </c>
      <c r="AU725">
        <v>23.022088156368039</v>
      </c>
      <c r="AV725"/>
      <c r="AW725"/>
      <c r="FY725" s="213">
        <v>720</v>
      </c>
      <c r="FZ725">
        <v>12.507155518537742</v>
      </c>
      <c r="GA725">
        <v>17.966083928981206</v>
      </c>
      <c r="GB725">
        <v>7.1279262791708611</v>
      </c>
      <c r="GC725">
        <v>4.4357206917507881</v>
      </c>
      <c r="GD725">
        <v>2.1106848260955586</v>
      </c>
      <c r="GE725">
        <v>2.3244367125669676</v>
      </c>
      <c r="GF725">
        <v>2.6576804530806326</v>
      </c>
      <c r="GG725">
        <v>3.0522851952160379</v>
      </c>
      <c r="GH725">
        <v>1.5603693116103559</v>
      </c>
      <c r="GI725">
        <v>5.5929351016303688</v>
      </c>
      <c r="GJ725"/>
      <c r="GK725"/>
      <c r="GL725"/>
      <c r="GM725"/>
      <c r="GN725" s="208"/>
      <c r="GO725" s="208"/>
      <c r="GP725" s="208"/>
      <c r="GQ725" s="208"/>
      <c r="GR725" s="208"/>
      <c r="GS725" s="208"/>
      <c r="GT725" s="208"/>
      <c r="GU725" s="213">
        <v>720</v>
      </c>
    </row>
    <row r="726" spans="1:203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86.386374314683138</v>
      </c>
      <c r="AO726">
        <v>11.300225025790727</v>
      </c>
      <c r="AP726">
        <v>61.860515418906246</v>
      </c>
      <c r="AQ726">
        <v>82.388772519521424</v>
      </c>
      <c r="AR726">
        <v>10.595481306799998</v>
      </c>
      <c r="AS726">
        <v>138.08587603048994</v>
      </c>
      <c r="AT726">
        <v>6.8656369387731138</v>
      </c>
      <c r="AU726">
        <v>32.255156267294282</v>
      </c>
      <c r="AV726"/>
      <c r="AW726"/>
      <c r="FY726" s="213">
        <v>721</v>
      </c>
      <c r="FZ726">
        <v>17.159590103036926</v>
      </c>
      <c r="GA726">
        <v>25.245311992415111</v>
      </c>
      <c r="GB726">
        <v>11.547065921549795</v>
      </c>
      <c r="GC726">
        <v>6.2057448092662781</v>
      </c>
      <c r="GD726">
        <v>2.3068985091978074</v>
      </c>
      <c r="GE726">
        <v>2.6732518991973109</v>
      </c>
      <c r="GF726">
        <v>3.6231787335349757</v>
      </c>
      <c r="GG726">
        <v>5.1272263473908035</v>
      </c>
      <c r="GH726">
        <v>3.1207386232207117</v>
      </c>
      <c r="GI726">
        <v>7.9688208790513011</v>
      </c>
      <c r="GJ726"/>
      <c r="GK726"/>
      <c r="GL726"/>
      <c r="GM726"/>
      <c r="GN726" s="208"/>
      <c r="GO726" s="208"/>
      <c r="GP726" s="208"/>
      <c r="GQ726" s="208"/>
      <c r="GR726" s="208"/>
      <c r="GS726" s="208"/>
      <c r="GT726" s="208"/>
      <c r="GU726" s="213">
        <v>721</v>
      </c>
    </row>
    <row r="727" spans="1:203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58.15864862191561</v>
      </c>
      <c r="AO727">
        <v>9.0293688725170824</v>
      </c>
      <c r="AP727">
        <v>55.464302970180142</v>
      </c>
      <c r="AQ727">
        <v>65.120922955331494</v>
      </c>
      <c r="AR727">
        <v>8.3472448891229014</v>
      </c>
      <c r="AS727">
        <v>114.61989326995217</v>
      </c>
      <c r="AT727" t="e">
        <v>#DIV/0!</v>
      </c>
      <c r="AU727" t="e">
        <v>#DIV/0!</v>
      </c>
      <c r="AV727"/>
      <c r="AW727"/>
      <c r="FY727" s="213">
        <v>722</v>
      </c>
      <c r="FZ727">
        <v>38.861315159409919</v>
      </c>
      <c r="GA727">
        <v>48.331157930632052</v>
      </c>
      <c r="GB727">
        <v>8.2334810702804138</v>
      </c>
      <c r="GC727">
        <v>5.4490531414908778</v>
      </c>
      <c r="GD727">
        <v>2.5558326764638126</v>
      </c>
      <c r="GE727">
        <v>2.515295170524523</v>
      </c>
      <c r="GF727">
        <v>4.4213122423645501</v>
      </c>
      <c r="GG727">
        <v>4.8250671049088458</v>
      </c>
      <c r="GH727">
        <v>1.5603693116103559</v>
      </c>
      <c r="GI727">
        <v>10.311968151021354</v>
      </c>
      <c r="GJ727"/>
      <c r="GK727"/>
      <c r="GL727"/>
      <c r="GM727"/>
      <c r="GN727" s="208"/>
      <c r="GO727" s="208"/>
      <c r="GP727" s="208"/>
      <c r="GQ727" s="208"/>
      <c r="GR727" s="208"/>
      <c r="GS727" s="208"/>
      <c r="GT727" s="208"/>
      <c r="GU727" s="213">
        <v>722</v>
      </c>
    </row>
    <row r="728" spans="1:203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101.80344196033852</v>
      </c>
      <c r="AO728">
        <v>18.298171831362378</v>
      </c>
      <c r="AP728">
        <v>135.59885656613531</v>
      </c>
      <c r="AQ728">
        <v>146.70834101734599</v>
      </c>
      <c r="AR728">
        <v>16.807025879442158</v>
      </c>
      <c r="AS728">
        <v>197.63232104284862</v>
      </c>
      <c r="AT728" t="e">
        <v>#DIV/0!</v>
      </c>
      <c r="AU728" t="e">
        <v>#DIV/0!</v>
      </c>
      <c r="AV728"/>
      <c r="AW728"/>
      <c r="FY728" s="213">
        <v>723</v>
      </c>
      <c r="FZ728">
        <v>36.509182963985552</v>
      </c>
      <c r="GA728">
        <v>43.49769314651671</v>
      </c>
      <c r="GB728">
        <v>7.4338201849725216</v>
      </c>
      <c r="GC728">
        <v>4.9420395541426547</v>
      </c>
      <c r="GD728">
        <v>2.369439774420016</v>
      </c>
      <c r="GE728">
        <v>2.5244389035405139</v>
      </c>
      <c r="GF728">
        <v>3.7476914456465473</v>
      </c>
      <c r="GG728">
        <v>5.3086348696595786</v>
      </c>
      <c r="GH728">
        <v>3.7215429376725151</v>
      </c>
      <c r="GI728">
        <v>9.9299812298311974</v>
      </c>
      <c r="GJ728"/>
      <c r="GK728"/>
      <c r="GL728"/>
      <c r="GM728"/>
      <c r="GN728" s="208"/>
      <c r="GO728" s="208"/>
      <c r="GP728" s="208"/>
      <c r="GQ728" s="208"/>
      <c r="GR728" s="208"/>
      <c r="GS728" s="208"/>
      <c r="GT728" s="208"/>
      <c r="GU728" s="213">
        <v>723</v>
      </c>
    </row>
    <row r="729" spans="1:203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73.224374236874226</v>
      </c>
      <c r="AO729">
        <v>11.131769644504455</v>
      </c>
      <c r="AP729">
        <v>66.27741346873897</v>
      </c>
      <c r="AQ729">
        <v>80.054089608909692</v>
      </c>
      <c r="AR729">
        <v>10.380760396394905</v>
      </c>
      <c r="AS729">
        <v>137.62935418451849</v>
      </c>
      <c r="AT729" t="e">
        <v>#DIV/0!</v>
      </c>
      <c r="AU729" t="e">
        <v>#DIV/0!</v>
      </c>
      <c r="AV729"/>
      <c r="AW729"/>
      <c r="FY729" s="213">
        <v>724</v>
      </c>
      <c r="FZ729">
        <v>18.481640644040151</v>
      </c>
      <c r="GA729">
        <v>27.272054732862493</v>
      </c>
      <c r="GB729">
        <v>9.3850669442595329</v>
      </c>
      <c r="GC729">
        <v>5.3729202307069039</v>
      </c>
      <c r="GD729">
        <v>2.1931401995118414</v>
      </c>
      <c r="GE729">
        <v>1.6883129736693507</v>
      </c>
      <c r="GF729">
        <v>3.5707319417546071</v>
      </c>
      <c r="GG729">
        <v>5.1477137205300059</v>
      </c>
      <c r="GH729">
        <v>4.3223472521243185</v>
      </c>
      <c r="GI729">
        <v>7.7430996180825638</v>
      </c>
      <c r="GJ729"/>
      <c r="GK729"/>
      <c r="GL729"/>
      <c r="GM729"/>
      <c r="GN729" s="208"/>
      <c r="GO729" s="208"/>
      <c r="GP729" s="208"/>
      <c r="GQ729" s="208"/>
      <c r="GR729" s="208"/>
      <c r="GS729" s="208"/>
      <c r="GT729" s="208"/>
      <c r="GU729" s="213">
        <v>724</v>
      </c>
    </row>
    <row r="730" spans="1:203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81.611280508003375</v>
      </c>
      <c r="AO730">
        <v>8.0809097282414566</v>
      </c>
      <c r="AP730">
        <v>27.400304031017694</v>
      </c>
      <c r="AQ730">
        <v>51.885009560331859</v>
      </c>
      <c r="AR730">
        <v>7.5931950786989981</v>
      </c>
      <c r="AS730">
        <v>111.43997851799658</v>
      </c>
      <c r="AT730" t="e">
        <v>#DIV/0!</v>
      </c>
      <c r="AU730" t="e">
        <v>#DIV/0!</v>
      </c>
      <c r="AV730"/>
      <c r="AW730"/>
      <c r="FY730" s="213">
        <v>725</v>
      </c>
      <c r="FZ730">
        <v>36.831043332148262</v>
      </c>
      <c r="GA730">
        <v>47.743482210568942</v>
      </c>
      <c r="GB730">
        <v>9.3416537685604517</v>
      </c>
      <c r="GC730">
        <v>4.7135561260215626</v>
      </c>
      <c r="GD730">
        <v>1.7162320545434082</v>
      </c>
      <c r="GE730">
        <v>2.0474016181308405</v>
      </c>
      <c r="GF730">
        <v>3.3811362656644031</v>
      </c>
      <c r="GG730">
        <v>2.2615867927534468</v>
      </c>
      <c r="GH730">
        <v>0.60080431445180338</v>
      </c>
      <c r="GI730">
        <v>9.5297720542486992</v>
      </c>
      <c r="GJ730"/>
      <c r="GK730"/>
      <c r="GL730"/>
      <c r="GM730"/>
      <c r="GN730" s="208"/>
      <c r="GO730" s="208"/>
      <c r="GP730" s="208"/>
      <c r="GQ730" s="208"/>
      <c r="GR730" s="208"/>
      <c r="GS730" s="208"/>
      <c r="GT730" s="208"/>
      <c r="GU730" s="213">
        <v>725</v>
      </c>
    </row>
    <row r="731" spans="1:203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97.916894520849908</v>
      </c>
      <c r="AO731">
        <v>11.227987850135619</v>
      </c>
      <c r="AP731">
        <v>59.903964731278897</v>
      </c>
      <c r="AQ731">
        <v>80.910203298583866</v>
      </c>
      <c r="AR731">
        <v>10.321878850141687</v>
      </c>
      <c r="AS731">
        <v>164.39445632849427</v>
      </c>
      <c r="AT731" t="e">
        <v>#DIV/0!</v>
      </c>
      <c r="AU731" t="e">
        <v>#DIV/0!</v>
      </c>
      <c r="AV731"/>
      <c r="AW731"/>
      <c r="FY731" s="213">
        <v>726</v>
      </c>
      <c r="FZ731">
        <v>46.030244454279718</v>
      </c>
      <c r="GA731">
        <v>54.667833929925813</v>
      </c>
      <c r="GB731">
        <v>3.3847800085952362</v>
      </c>
      <c r="GC731">
        <v>2.2967723027880713</v>
      </c>
      <c r="GD731">
        <v>1.8371027959914217</v>
      </c>
      <c r="GE731">
        <v>2.0035204969457534</v>
      </c>
      <c r="GF731">
        <v>1.4502729178015454</v>
      </c>
      <c r="GG731">
        <v>2.2166767125140181</v>
      </c>
      <c r="GH731">
        <v>1.5603693116103559</v>
      </c>
      <c r="GI731">
        <v>9.3038722339837321</v>
      </c>
      <c r="GJ731"/>
      <c r="GK731"/>
      <c r="GL731"/>
      <c r="GM731"/>
      <c r="GN731" s="208"/>
      <c r="GO731" s="208"/>
      <c r="GP731" s="208"/>
      <c r="GQ731" s="208"/>
      <c r="GR731" s="208"/>
      <c r="GS731" s="208"/>
      <c r="GT731" s="208"/>
      <c r="GU731" s="213">
        <v>726</v>
      </c>
    </row>
    <row r="732" spans="1:203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94.676513545662885</v>
      </c>
      <c r="AO732">
        <v>11.619729686717408</v>
      </c>
      <c r="AP732">
        <v>44.804879832832199</v>
      </c>
      <c r="AQ732">
        <v>81.354880089989337</v>
      </c>
      <c r="AR732">
        <v>10.817282709247202</v>
      </c>
      <c r="AS732">
        <v>159.15213717798719</v>
      </c>
      <c r="AT732">
        <v>6.769748441422883</v>
      </c>
      <c r="AU732">
        <v>21.205848594721473</v>
      </c>
      <c r="AV732"/>
      <c r="AW732"/>
      <c r="FY732" s="213">
        <v>727</v>
      </c>
      <c r="FZ732">
        <v>14.504825933336788</v>
      </c>
      <c r="GA732">
        <v>17.525641774837641</v>
      </c>
      <c r="GB732">
        <v>2.86428879405717</v>
      </c>
      <c r="GC732">
        <v>2.5757910606745784</v>
      </c>
      <c r="GD732">
        <v>2.5177305646737818</v>
      </c>
      <c r="GE732">
        <v>2.4155675713571885</v>
      </c>
      <c r="GF732">
        <v>4.3688654505841811</v>
      </c>
      <c r="GG732">
        <v>4.7873865658070507</v>
      </c>
      <c r="GH732">
        <v>2.1611736260621592</v>
      </c>
      <c r="GI732">
        <v>5.5275873845067096</v>
      </c>
      <c r="GJ732"/>
      <c r="GK732"/>
      <c r="GL732"/>
      <c r="GM732"/>
      <c r="GN732" s="208"/>
      <c r="GO732" s="208"/>
      <c r="GP732" s="208"/>
      <c r="GQ732" s="208"/>
      <c r="GR732" s="208"/>
      <c r="GS732" s="208"/>
      <c r="GT732" s="208"/>
      <c r="GU732" s="213">
        <v>727</v>
      </c>
    </row>
    <row r="733" spans="1:203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84.629970580186097</v>
      </c>
      <c r="AO733">
        <v>11.952210765660283</v>
      </c>
      <c r="AP733">
        <v>68.333478291294284</v>
      </c>
      <c r="AQ733">
        <v>87.074139418401316</v>
      </c>
      <c r="AR733">
        <v>11.155245466098357</v>
      </c>
      <c r="AS733">
        <v>139.70036901834453</v>
      </c>
      <c r="AT733" t="e">
        <v>#DIV/0!</v>
      </c>
      <c r="AU733" t="e">
        <v>#DIV/0!</v>
      </c>
      <c r="AV733"/>
      <c r="AW733"/>
      <c r="FY733" s="213">
        <v>728</v>
      </c>
      <c r="FZ733">
        <v>31.521865051842617</v>
      </c>
      <c r="GA733">
        <v>35.594393520877652</v>
      </c>
      <c r="GB733">
        <v>7.297074631028833</v>
      </c>
      <c r="GC733">
        <v>5.6404342822781457</v>
      </c>
      <c r="GD733">
        <v>2.5459426947462238</v>
      </c>
      <c r="GE733">
        <v>2.8997860484365918</v>
      </c>
      <c r="GF733">
        <v>4.8771333899783098</v>
      </c>
      <c r="GG733">
        <v>3.92110010164272</v>
      </c>
      <c r="GH733">
        <v>0</v>
      </c>
      <c r="GI733">
        <v>8.8204490569128335</v>
      </c>
      <c r="GJ733"/>
      <c r="GK733"/>
      <c r="GL733"/>
      <c r="GM733"/>
      <c r="GN733" s="208"/>
      <c r="GO733" s="208"/>
      <c r="GP733" s="208"/>
      <c r="GQ733" s="208"/>
      <c r="GR733" s="208"/>
      <c r="GS733" s="208"/>
      <c r="GT733" s="208"/>
      <c r="GU733" s="213">
        <v>728</v>
      </c>
    </row>
    <row r="734" spans="1:203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98.645734227599092</v>
      </c>
      <c r="AO734">
        <v>12.786323160018451</v>
      </c>
      <c r="AP734">
        <v>49.604398260729127</v>
      </c>
      <c r="AQ734">
        <v>95.507547677525366</v>
      </c>
      <c r="AR734">
        <v>11.725287935294057</v>
      </c>
      <c r="AS734">
        <v>158.04620101520678</v>
      </c>
      <c r="AT734" t="e">
        <v>#DIV/0!</v>
      </c>
      <c r="AU734" t="e">
        <v>#DIV/0!</v>
      </c>
      <c r="AV734"/>
      <c r="AW734"/>
      <c r="FY734" s="213">
        <v>729</v>
      </c>
      <c r="FZ734">
        <v>56.879297174619055</v>
      </c>
      <c r="GA734">
        <v>66.254066444156138</v>
      </c>
      <c r="GB734">
        <v>4.8884291329706544</v>
      </c>
      <c r="GC734">
        <v>4.2393325533244486</v>
      </c>
      <c r="GD734">
        <v>2.3433255525433387</v>
      </c>
      <c r="GE734">
        <v>2.8153395888872783</v>
      </c>
      <c r="GF734">
        <v>2.9820695112496161</v>
      </c>
      <c r="GG734">
        <v>3.0193443074372857</v>
      </c>
      <c r="GH734">
        <v>1.5603693116103559</v>
      </c>
      <c r="GI734">
        <v>11.806772657858172</v>
      </c>
      <c r="GJ734"/>
      <c r="GK734"/>
      <c r="GL734"/>
      <c r="GM734"/>
      <c r="GN734" s="208"/>
      <c r="GO734" s="208"/>
      <c r="GP734" s="208"/>
      <c r="GQ734" s="208"/>
      <c r="GR734" s="208"/>
      <c r="GS734" s="208"/>
      <c r="GT734" s="208"/>
      <c r="GU734" s="213">
        <v>729</v>
      </c>
    </row>
    <row r="735" spans="1:203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85.221740343647028</v>
      </c>
      <c r="AO735">
        <v>14.546994814999902</v>
      </c>
      <c r="AP735">
        <v>95.229797895310739</v>
      </c>
      <c r="AQ735">
        <v>123.74775081184569</v>
      </c>
      <c r="AR735">
        <v>13.334837264451595</v>
      </c>
      <c r="AS735">
        <v>160.93859446450048</v>
      </c>
      <c r="AT735" t="e">
        <v>#DIV/0!</v>
      </c>
      <c r="AU735" t="e">
        <v>#DIV/0!</v>
      </c>
      <c r="AV735"/>
      <c r="AW735"/>
      <c r="FY735" s="213">
        <v>730</v>
      </c>
      <c r="FZ735">
        <v>41.127116200708812</v>
      </c>
      <c r="GA735">
        <v>52.804669724624425</v>
      </c>
      <c r="GB735">
        <v>11.567403304441711</v>
      </c>
      <c r="GC735">
        <v>6.475409826317426</v>
      </c>
      <c r="GD735">
        <v>2.7443473587978473</v>
      </c>
      <c r="GE735">
        <v>2.9296546285756633</v>
      </c>
      <c r="GF735">
        <v>7.3591901346809774</v>
      </c>
      <c r="GG735">
        <v>8.4626962730071611</v>
      </c>
      <c r="GH735">
        <v>4.3223472521243185</v>
      </c>
      <c r="GI735">
        <v>12.639348289384463</v>
      </c>
      <c r="GJ735"/>
      <c r="GK735"/>
      <c r="GL735"/>
      <c r="GM735"/>
      <c r="GN735" s="208"/>
      <c r="GO735" s="208"/>
      <c r="GP735" s="208"/>
      <c r="GQ735" s="208"/>
      <c r="GR735" s="208"/>
      <c r="GS735" s="208"/>
      <c r="GT735" s="208"/>
      <c r="GU735" s="213">
        <v>730</v>
      </c>
    </row>
    <row r="736" spans="1:203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78.468084522344157</v>
      </c>
      <c r="AO736">
        <v>8.4429201463496337</v>
      </c>
      <c r="AP736">
        <v>35.365514743469852</v>
      </c>
      <c r="AQ736">
        <v>59.335278018640523</v>
      </c>
      <c r="AR736">
        <v>7.7040114562432764</v>
      </c>
      <c r="AS736">
        <v>105.00795676091337</v>
      </c>
      <c r="AT736" t="e">
        <v>#DIV/0!</v>
      </c>
      <c r="AU736" t="e">
        <v>#DIV/0!</v>
      </c>
      <c r="AV736"/>
      <c r="AW736"/>
      <c r="FY736" s="213">
        <v>731</v>
      </c>
      <c r="FZ736">
        <v>38.026142006753517</v>
      </c>
      <c r="GA736">
        <v>44.593611585140373</v>
      </c>
      <c r="GB736">
        <v>5.257076180992641</v>
      </c>
      <c r="GC736">
        <v>3.7623784656727324</v>
      </c>
      <c r="GD736">
        <v>2.1302272672752469</v>
      </c>
      <c r="GE736">
        <v>2.9277289141608249</v>
      </c>
      <c r="GF736">
        <v>5.5853510733623315</v>
      </c>
      <c r="GG736">
        <v>4.6848445927612508</v>
      </c>
      <c r="GH736">
        <v>1.2016086289036068</v>
      </c>
      <c r="GI736">
        <v>9.3742158804120503</v>
      </c>
      <c r="GJ736"/>
      <c r="GK736"/>
      <c r="GL736"/>
      <c r="GM736"/>
      <c r="GN736" s="208"/>
      <c r="GO736" s="208"/>
      <c r="GP736" s="208"/>
      <c r="GQ736" s="208"/>
      <c r="GR736" s="208"/>
      <c r="GS736" s="208"/>
      <c r="GT736" s="208"/>
      <c r="GU736" s="213">
        <v>731</v>
      </c>
    </row>
    <row r="737" spans="1:203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75.449854807454955</v>
      </c>
      <c r="AO737">
        <v>12.072809876877145</v>
      </c>
      <c r="AP737">
        <v>63.09024696152899</v>
      </c>
      <c r="AQ737">
        <v>84.977827817861026</v>
      </c>
      <c r="AR737">
        <v>11.045800094662104</v>
      </c>
      <c r="AS737">
        <v>138.43598310949483</v>
      </c>
      <c r="AT737" t="e">
        <v>#DIV/0!</v>
      </c>
      <c r="AU737" t="e">
        <v>#DIV/0!</v>
      </c>
      <c r="AV737"/>
      <c r="AW737"/>
      <c r="FY737" s="213">
        <v>732</v>
      </c>
      <c r="FZ737">
        <v>36.415481064261535</v>
      </c>
      <c r="GA737">
        <v>42.485419366709777</v>
      </c>
      <c r="GB737">
        <v>3.9194573471234899</v>
      </c>
      <c r="GC737">
        <v>4.3835465256217514</v>
      </c>
      <c r="GD737">
        <v>2.9913776452975633</v>
      </c>
      <c r="GE737">
        <v>2.9380312105699713</v>
      </c>
      <c r="GF737">
        <v>5.213961828280361</v>
      </c>
      <c r="GG737">
        <v>5.0383804536874974</v>
      </c>
      <c r="GH737">
        <v>2.7619779405139626</v>
      </c>
      <c r="GI737">
        <v>9.4865498279312312</v>
      </c>
      <c r="GJ737"/>
      <c r="GK737"/>
      <c r="GL737"/>
      <c r="GM737"/>
      <c r="GN737" s="208"/>
      <c r="GO737" s="208"/>
      <c r="GP737" s="208"/>
      <c r="GQ737" s="208"/>
      <c r="GR737" s="208"/>
      <c r="GS737" s="208"/>
      <c r="GT737" s="208"/>
      <c r="GU737" s="213">
        <v>732</v>
      </c>
    </row>
    <row r="738" spans="1:203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109.06747447063117</v>
      </c>
      <c r="AO738">
        <v>15.597992925720749</v>
      </c>
      <c r="AP738">
        <v>78.408883916184749</v>
      </c>
      <c r="AQ738">
        <v>127.0648519587067</v>
      </c>
      <c r="AR738">
        <v>14.230722037815847</v>
      </c>
      <c r="AS738">
        <v>183.46495073665042</v>
      </c>
      <c r="AT738" t="e">
        <v>#DIV/0!</v>
      </c>
      <c r="AU738" t="e">
        <v>#DIV/0!</v>
      </c>
      <c r="AV738"/>
      <c r="AW738"/>
      <c r="FY738" s="213">
        <v>733</v>
      </c>
      <c r="FZ738">
        <v>51.793899577644964</v>
      </c>
      <c r="GA738">
        <v>60.243587869315689</v>
      </c>
      <c r="GB738">
        <v>8.2070954957428732</v>
      </c>
      <c r="GC738">
        <v>6.2540791477143065</v>
      </c>
      <c r="GD738">
        <v>2.4789862372357314</v>
      </c>
      <c r="GE738">
        <v>2.2101289417348968</v>
      </c>
      <c r="GF738">
        <v>4.2473343632903546</v>
      </c>
      <c r="GG738">
        <v>4.4490466876069625</v>
      </c>
      <c r="GH738">
        <v>2.7619779405139626</v>
      </c>
      <c r="GI738">
        <v>12.359979344237926</v>
      </c>
      <c r="GJ738"/>
      <c r="GK738"/>
      <c r="GL738"/>
      <c r="GM738"/>
      <c r="GN738" s="208"/>
      <c r="GO738" s="208"/>
      <c r="GP738" s="208"/>
      <c r="GQ738" s="208"/>
      <c r="GR738" s="208"/>
      <c r="GS738" s="208"/>
      <c r="GT738" s="208"/>
      <c r="GU738" s="213">
        <v>733</v>
      </c>
    </row>
    <row r="739" spans="1:203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87.089550589613978</v>
      </c>
      <c r="AO739">
        <v>14.835113668803581</v>
      </c>
      <c r="AP739">
        <v>117.01761780422054</v>
      </c>
      <c r="AQ739">
        <v>119.98446501038781</v>
      </c>
      <c r="AR739">
        <v>13.733729367409527</v>
      </c>
      <c r="AS739">
        <v>167.59617355595179</v>
      </c>
      <c r="AT739">
        <v>9.5797525350149453</v>
      </c>
      <c r="AU739">
        <v>7.4161041149256537</v>
      </c>
      <c r="AV739"/>
      <c r="AW739"/>
      <c r="FY739" s="213">
        <v>734</v>
      </c>
      <c r="FZ739">
        <v>55.620186888633192</v>
      </c>
      <c r="GA739">
        <v>64.514514919505388</v>
      </c>
      <c r="GB739">
        <v>9.4505796660827226</v>
      </c>
      <c r="GC739">
        <v>7.0794227730457191</v>
      </c>
      <c r="GD739">
        <v>2.231238285459721</v>
      </c>
      <c r="GE739">
        <v>1.5962654960607519</v>
      </c>
      <c r="GF739">
        <v>3.0711624220432832</v>
      </c>
      <c r="GG739">
        <v>2.4951217915912927</v>
      </c>
      <c r="GH739">
        <v>0.60080431445180338</v>
      </c>
      <c r="GI739">
        <v>12.510521742155216</v>
      </c>
      <c r="GJ739"/>
      <c r="GK739"/>
      <c r="GL739"/>
      <c r="GM739"/>
      <c r="GN739" s="208"/>
      <c r="GO739" s="208"/>
      <c r="GP739" s="208"/>
      <c r="GQ739" s="208"/>
      <c r="GR739" s="208"/>
      <c r="GS739" s="208"/>
      <c r="GT739" s="208"/>
      <c r="GU739" s="213">
        <v>734</v>
      </c>
    </row>
    <row r="740" spans="1:203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77.66679126152377</v>
      </c>
      <c r="AO740">
        <v>11.64100633144149</v>
      </c>
      <c r="AP740">
        <v>53.214609662656812</v>
      </c>
      <c r="AQ740">
        <v>85.177028257541764</v>
      </c>
      <c r="AR740">
        <v>10.77750509531241</v>
      </c>
      <c r="AS740">
        <v>126.98149387653756</v>
      </c>
      <c r="AT740">
        <v>6.5647237231303022</v>
      </c>
      <c r="AU740">
        <v>12.220454551872816</v>
      </c>
      <c r="AV740"/>
      <c r="AW740"/>
      <c r="FY740" s="213">
        <v>735</v>
      </c>
      <c r="FZ740">
        <v>36.037753451874003</v>
      </c>
      <c r="GA740">
        <v>40.207952598217744</v>
      </c>
      <c r="GB740">
        <v>2.7721433758490996</v>
      </c>
      <c r="GC740">
        <v>2.9559387783563307</v>
      </c>
      <c r="GD740">
        <v>1.696761111162387</v>
      </c>
      <c r="GE740">
        <v>1.246787187782576</v>
      </c>
      <c r="GF740">
        <v>2.3542463189764566</v>
      </c>
      <c r="GG740">
        <v>2.0347838680663703</v>
      </c>
      <c r="GH740">
        <v>0.60080431445180338</v>
      </c>
      <c r="GI740">
        <v>7.5515504252532741</v>
      </c>
      <c r="GJ740"/>
      <c r="GK740"/>
      <c r="GL740"/>
      <c r="GM740"/>
      <c r="GN740" s="208"/>
      <c r="GO740" s="208"/>
      <c r="GP740" s="208"/>
      <c r="GQ740" s="208"/>
      <c r="GR740" s="208"/>
      <c r="GS740" s="208"/>
      <c r="GT740" s="208"/>
      <c r="GU740" s="213">
        <v>735</v>
      </c>
    </row>
    <row r="741" spans="1:203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74.823312307902825</v>
      </c>
      <c r="AO741">
        <v>14.353313737212602</v>
      </c>
      <c r="AP741">
        <v>110.86889822827723</v>
      </c>
      <c r="AQ741">
        <v>118.16666853709181</v>
      </c>
      <c r="AR741">
        <v>13.251630649809485</v>
      </c>
      <c r="AS741">
        <v>149.80563252431241</v>
      </c>
      <c r="AT741" t="e">
        <v>#DIV/0!</v>
      </c>
      <c r="AU741" t="e">
        <v>#DIV/0!</v>
      </c>
      <c r="AV741"/>
      <c r="AW741"/>
      <c r="FY741" s="213">
        <v>736</v>
      </c>
      <c r="FZ741">
        <v>29.143507841165004</v>
      </c>
      <c r="GA741">
        <v>34.125476564244849</v>
      </c>
      <c r="GB741">
        <v>7.4258939015103609</v>
      </c>
      <c r="GC741">
        <v>5.2909026926527343</v>
      </c>
      <c r="GD741">
        <v>1.5282920012357242</v>
      </c>
      <c r="GE741">
        <v>1.305666291175692</v>
      </c>
      <c r="GF741">
        <v>5.9188182190303795</v>
      </c>
      <c r="GG741">
        <v>6.0890882045618273</v>
      </c>
      <c r="GH741">
        <v>1.5603693116103559</v>
      </c>
      <c r="GI741">
        <v>8.3459163430244363</v>
      </c>
      <c r="GJ741"/>
      <c r="GK741"/>
      <c r="GL741"/>
      <c r="GM741"/>
      <c r="GN741" s="208"/>
      <c r="GO741" s="208"/>
      <c r="GP741" s="208"/>
      <c r="GQ741" s="208"/>
      <c r="GR741" s="208"/>
      <c r="GS741" s="208"/>
      <c r="GT741" s="208"/>
      <c r="GU741" s="213">
        <v>736</v>
      </c>
    </row>
    <row r="742" spans="1:203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75.724525365701837</v>
      </c>
      <c r="AO742">
        <v>14.026297065937513</v>
      </c>
      <c r="AP742">
        <v>139.27963497401478</v>
      </c>
      <c r="AQ742">
        <v>124.75144516443567</v>
      </c>
      <c r="AR742">
        <v>12.934005662931538</v>
      </c>
      <c r="AS742">
        <v>153.93488300674539</v>
      </c>
      <c r="AT742" t="e">
        <v>#DIV/0!</v>
      </c>
      <c r="AU742" t="e">
        <v>#DIV/0!</v>
      </c>
      <c r="AV742"/>
      <c r="AW742"/>
      <c r="FY742" s="213">
        <v>737</v>
      </c>
      <c r="FZ742">
        <v>27.726483396273654</v>
      </c>
      <c r="GA742">
        <v>37.629956718846714</v>
      </c>
      <c r="GB742">
        <v>12.07871659190821</v>
      </c>
      <c r="GC742">
        <v>6.6423676238940956</v>
      </c>
      <c r="GD742">
        <v>1.8403500589975865</v>
      </c>
      <c r="GE742">
        <v>1.350570433908703</v>
      </c>
      <c r="GF742">
        <v>4.0291648652829677</v>
      </c>
      <c r="GG742">
        <v>3.2588662827098234</v>
      </c>
      <c r="GH742">
        <v>1.2016086289036068</v>
      </c>
      <c r="GI742">
        <v>9.1633852686328812</v>
      </c>
      <c r="GJ742"/>
      <c r="GK742"/>
      <c r="GL742"/>
      <c r="GM742"/>
      <c r="GN742" s="208"/>
      <c r="GO742" s="208"/>
      <c r="GP742" s="208"/>
      <c r="GQ742" s="208"/>
      <c r="GR742" s="208"/>
      <c r="GS742" s="208"/>
      <c r="GT742" s="208"/>
      <c r="GU742" s="213">
        <v>737</v>
      </c>
    </row>
    <row r="743" spans="1:203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64.529048008092133</v>
      </c>
      <c r="AO743">
        <v>8.1199887699006883</v>
      </c>
      <c r="AP743">
        <v>55.404404633351909</v>
      </c>
      <c r="AQ743">
        <v>59.248858725897236</v>
      </c>
      <c r="AR743">
        <v>7.6532800806307426</v>
      </c>
      <c r="AS743">
        <v>118.0287729356774</v>
      </c>
      <c r="AT743">
        <v>5.3370405311958526</v>
      </c>
      <c r="AU743">
        <v>16.787244218484041</v>
      </c>
      <c r="AV743"/>
      <c r="AW743"/>
      <c r="FY743" s="213">
        <v>738</v>
      </c>
      <c r="FZ743">
        <v>33.260793752175189</v>
      </c>
      <c r="GA743">
        <v>37.199214624931216</v>
      </c>
      <c r="GB743">
        <v>4.4008202271219066</v>
      </c>
      <c r="GC743">
        <v>3.616380202278938</v>
      </c>
      <c r="GD743">
        <v>2.0229870163306289</v>
      </c>
      <c r="GE743">
        <v>2.2604692739474106</v>
      </c>
      <c r="GF743">
        <v>4.7279247933516668</v>
      </c>
      <c r="GG743">
        <v>4.9812486027153744</v>
      </c>
      <c r="GH743">
        <v>2.1611736260621592</v>
      </c>
      <c r="GI743">
        <v>8.3923939274124564</v>
      </c>
      <c r="GJ743"/>
      <c r="GK743"/>
      <c r="GL743"/>
      <c r="GM743"/>
      <c r="GN743" s="208"/>
      <c r="GO743" s="208"/>
      <c r="GP743" s="208"/>
      <c r="GQ743" s="208"/>
      <c r="GR743" s="208"/>
      <c r="GS743" s="208"/>
      <c r="GT743" s="208"/>
      <c r="GU743" s="213">
        <v>738</v>
      </c>
    </row>
    <row r="744" spans="1:203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101.72500593628256</v>
      </c>
      <c r="AO744">
        <v>13.187907011477614</v>
      </c>
      <c r="AP744">
        <v>211.04397684948194</v>
      </c>
      <c r="AQ744">
        <v>103.11817877774395</v>
      </c>
      <c r="AR744">
        <v>12.101512794009393</v>
      </c>
      <c r="AS744">
        <v>165.07298623351096</v>
      </c>
      <c r="AT744" t="e">
        <v>#DIV/0!</v>
      </c>
      <c r="AU744" t="e">
        <v>#DIV/0!</v>
      </c>
      <c r="AV744"/>
      <c r="AW744"/>
      <c r="FY744" s="213">
        <v>739</v>
      </c>
      <c r="FZ744">
        <v>24.666154047109547</v>
      </c>
      <c r="GA744">
        <v>27.35253102727448</v>
      </c>
      <c r="GB744">
        <v>9.2368441240562085</v>
      </c>
      <c r="GC744">
        <v>6.6646445189220307</v>
      </c>
      <c r="GD744">
        <v>2.2284642950384908</v>
      </c>
      <c r="GE744">
        <v>2.1786633026531597</v>
      </c>
      <c r="GF744">
        <v>2.538125200201601</v>
      </c>
      <c r="GG744">
        <v>3.0872185058225163</v>
      </c>
      <c r="GH744">
        <v>2.7619779405139626</v>
      </c>
      <c r="GI744">
        <v>8.2074283572125513</v>
      </c>
      <c r="GJ744"/>
      <c r="GK744"/>
      <c r="GL744"/>
      <c r="GM744"/>
      <c r="GN744" s="208"/>
      <c r="GO744" s="208"/>
      <c r="GP744" s="208"/>
      <c r="GQ744" s="208"/>
      <c r="GR744" s="208"/>
      <c r="GS744" s="208"/>
      <c r="GT744" s="208"/>
      <c r="GU744" s="213">
        <v>739</v>
      </c>
    </row>
    <row r="745" spans="1:203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91.704287270463738</v>
      </c>
      <c r="AO745">
        <v>17.939158263922771</v>
      </c>
      <c r="AP745">
        <v>92.231225142899802</v>
      </c>
      <c r="AQ745">
        <v>156.78834623465633</v>
      </c>
      <c r="AR745">
        <v>16.361065763580562</v>
      </c>
      <c r="AS745">
        <v>193.55945122345</v>
      </c>
      <c r="AT745" t="e">
        <v>#DIV/0!</v>
      </c>
      <c r="AU745" t="e">
        <v>#DIV/0!</v>
      </c>
      <c r="AV745"/>
      <c r="AW745"/>
      <c r="FY745" s="213">
        <v>740</v>
      </c>
      <c r="FZ745">
        <v>17.685460131102438</v>
      </c>
      <c r="GA745">
        <v>22.648907173200033</v>
      </c>
      <c r="GB745">
        <v>4.5170161823624273</v>
      </c>
      <c r="GC745">
        <v>3.3731429734450233</v>
      </c>
      <c r="GD745">
        <v>2.6663450999700169</v>
      </c>
      <c r="GE745">
        <v>2.8357748305399983</v>
      </c>
      <c r="GF745">
        <v>2.3073195299959508</v>
      </c>
      <c r="GG745">
        <v>2.9350268012142458</v>
      </c>
      <c r="GH745">
        <v>1.5603693116103559</v>
      </c>
      <c r="GI745">
        <v>6.0299311222186454</v>
      </c>
      <c r="GJ745"/>
      <c r="GK745"/>
      <c r="GL745"/>
      <c r="GM745"/>
      <c r="GN745" s="208"/>
      <c r="GO745" s="208"/>
      <c r="GP745" s="208"/>
      <c r="GQ745" s="208"/>
      <c r="GR745" s="208"/>
      <c r="GS745" s="208"/>
      <c r="GT745" s="208"/>
      <c r="GU745" s="213">
        <v>740</v>
      </c>
    </row>
    <row r="746" spans="1:203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102.9289325304982</v>
      </c>
      <c r="AO746">
        <v>18.94366569703023</v>
      </c>
      <c r="AP746">
        <v>98.239569594864591</v>
      </c>
      <c r="AQ746">
        <v>150.4321829926628</v>
      </c>
      <c r="AR746">
        <v>17.506594644598223</v>
      </c>
      <c r="AS746">
        <v>214.96738757899624</v>
      </c>
      <c r="AT746">
        <v>11.855825784416544</v>
      </c>
      <c r="AU746">
        <v>23.679062545489924</v>
      </c>
      <c r="AV746"/>
      <c r="AW746"/>
      <c r="FY746" s="213">
        <v>741</v>
      </c>
      <c r="FZ746">
        <v>45.001609602490475</v>
      </c>
      <c r="GA746">
        <v>55.224602792790598</v>
      </c>
      <c r="GB746">
        <v>11.88019915947676</v>
      </c>
      <c r="GC746">
        <v>7.1975969893873604</v>
      </c>
      <c r="GD746">
        <v>2.199041519012249</v>
      </c>
      <c r="GE746">
        <v>2.3232231774780323</v>
      </c>
      <c r="GF746">
        <v>2.7813702505403191</v>
      </c>
      <c r="GG746">
        <v>3.2858201940538834</v>
      </c>
      <c r="GH746">
        <v>1.5603693116103559</v>
      </c>
      <c r="GI746">
        <v>11.66519133230903</v>
      </c>
      <c r="GJ746"/>
      <c r="GK746"/>
      <c r="GL746"/>
      <c r="GM746"/>
      <c r="GN746" s="208"/>
      <c r="GO746" s="208"/>
      <c r="GP746" s="208"/>
      <c r="GQ746" s="208"/>
      <c r="GR746" s="208"/>
      <c r="GS746" s="208"/>
      <c r="GT746" s="208"/>
      <c r="GU746" s="213">
        <v>741</v>
      </c>
    </row>
    <row r="747" spans="1:203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88.651170275802627</v>
      </c>
      <c r="AO747">
        <v>13.966129879287859</v>
      </c>
      <c r="AP747">
        <v>112.09686670068967</v>
      </c>
      <c r="AQ747">
        <v>117.54318459543457</v>
      </c>
      <c r="AR747">
        <v>12.878093544930136</v>
      </c>
      <c r="AS747">
        <v>161.04318617282669</v>
      </c>
      <c r="AT747" t="e">
        <v>#DIV/0!</v>
      </c>
      <c r="AU747" t="e">
        <v>#DIV/0!</v>
      </c>
      <c r="AV747"/>
      <c r="AW747"/>
      <c r="FY747" s="213">
        <v>742</v>
      </c>
      <c r="FZ747">
        <v>41.515483711270818</v>
      </c>
      <c r="GA747">
        <v>58.457031173508042</v>
      </c>
      <c r="GB747">
        <v>10.784834948480935</v>
      </c>
      <c r="GC747">
        <v>3.976088603204746</v>
      </c>
      <c r="GD747">
        <v>1.6463869374924918</v>
      </c>
      <c r="GE747">
        <v>1.6686667087658615</v>
      </c>
      <c r="GF747">
        <v>3.8725838255743796</v>
      </c>
      <c r="GG747">
        <v>4.3075768503477203</v>
      </c>
      <c r="GH747">
        <v>2.1611736260621592</v>
      </c>
      <c r="GI747">
        <v>10.918499544582913</v>
      </c>
      <c r="GJ747"/>
      <c r="GK747"/>
      <c r="GL747"/>
      <c r="GM747"/>
      <c r="GN747" s="208"/>
      <c r="GO747" s="208"/>
      <c r="GP747" s="208"/>
      <c r="GQ747" s="208"/>
      <c r="GR747" s="208"/>
      <c r="GS747" s="208"/>
      <c r="GT747" s="208"/>
      <c r="GU747" s="213">
        <v>742</v>
      </c>
    </row>
    <row r="748" spans="1:203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88.48483423504976</v>
      </c>
      <c r="AO748">
        <v>14.208671014207287</v>
      </c>
      <c r="AP748">
        <v>82.117091471946949</v>
      </c>
      <c r="AQ748">
        <v>115.63418320999713</v>
      </c>
      <c r="AR748">
        <v>13.100696234027353</v>
      </c>
      <c r="AS748">
        <v>153.41877283946462</v>
      </c>
      <c r="AT748">
        <v>9.1455512417258529</v>
      </c>
      <c r="AU748">
        <v>17.44510949868463</v>
      </c>
      <c r="AV748"/>
      <c r="AW748"/>
      <c r="FY748" s="213">
        <v>743</v>
      </c>
      <c r="FZ748">
        <v>26.626412213600418</v>
      </c>
      <c r="GA748">
        <v>35.654439454564887</v>
      </c>
      <c r="GB748">
        <v>8.4141506446226391</v>
      </c>
      <c r="GC748">
        <v>4.5381768496929897</v>
      </c>
      <c r="GD748">
        <v>1.8070010186114409</v>
      </c>
      <c r="GE748">
        <v>1.5199387872996608</v>
      </c>
      <c r="GF748">
        <v>4.0881513665802816</v>
      </c>
      <c r="GG748">
        <v>3.3684108133951072</v>
      </c>
      <c r="GH748">
        <v>0</v>
      </c>
      <c r="GI748">
        <v>7.8316341472404991</v>
      </c>
      <c r="GJ748"/>
      <c r="GK748"/>
      <c r="GL748"/>
      <c r="GM748"/>
      <c r="GN748" s="208"/>
      <c r="GO748" s="208"/>
      <c r="GP748" s="208"/>
      <c r="GQ748" s="208"/>
      <c r="GR748" s="208"/>
      <c r="GS748" s="208"/>
      <c r="GT748" s="208"/>
      <c r="GU748" s="213">
        <v>743</v>
      </c>
    </row>
    <row r="749" spans="1:203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98.969784048308398</v>
      </c>
      <c r="AO749">
        <v>18.567169995078636</v>
      </c>
      <c r="AP749">
        <v>128.5929182923916</v>
      </c>
      <c r="AQ749">
        <v>155.00611560503768</v>
      </c>
      <c r="AR749">
        <v>17.116005548329408</v>
      </c>
      <c r="AS749">
        <v>185.68079030192521</v>
      </c>
      <c r="AT749">
        <v>11.331823825411881</v>
      </c>
      <c r="AU749">
        <v>15.481949681224853</v>
      </c>
      <c r="AV749"/>
      <c r="AW749"/>
      <c r="FY749" s="213">
        <v>744</v>
      </c>
      <c r="FZ749">
        <v>33.738546673198698</v>
      </c>
      <c r="GA749">
        <v>42.081243651421353</v>
      </c>
      <c r="GB749">
        <v>9.672610285782671</v>
      </c>
      <c r="GC749">
        <v>6.4704263405115681</v>
      </c>
      <c r="GD749">
        <v>2.5145409128238954</v>
      </c>
      <c r="GE749">
        <v>2.4191878043589607</v>
      </c>
      <c r="GF749">
        <v>3.5081873557580945</v>
      </c>
      <c r="GG749">
        <v>4.9121270792184939</v>
      </c>
      <c r="GH749">
        <v>3.1207386232207117</v>
      </c>
      <c r="GI749">
        <v>9.973851467704522</v>
      </c>
      <c r="GJ749"/>
      <c r="GK749"/>
      <c r="GL749"/>
      <c r="GM749"/>
      <c r="GN749" s="208"/>
      <c r="GO749" s="208"/>
      <c r="GP749" s="208"/>
      <c r="GQ749" s="208"/>
      <c r="GR749" s="208"/>
      <c r="GS749" s="208"/>
      <c r="GT749" s="208"/>
      <c r="GU749" s="213">
        <v>744</v>
      </c>
    </row>
    <row r="750" spans="1:203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92.84904317496229</v>
      </c>
      <c r="AO750">
        <v>18.897174588883683</v>
      </c>
      <c r="AP750">
        <v>118.391663154501</v>
      </c>
      <c r="AQ750">
        <v>159.16981829902903</v>
      </c>
      <c r="AR750">
        <v>17.316314646620082</v>
      </c>
      <c r="AS750">
        <v>200.50801129276911</v>
      </c>
      <c r="AT750" t="e">
        <v>#DIV/0!</v>
      </c>
      <c r="AU750" t="e">
        <v>#DIV/0!</v>
      </c>
      <c r="AV750"/>
      <c r="AW750"/>
      <c r="FY750" s="213">
        <v>745</v>
      </c>
      <c r="FZ750">
        <v>14.509694153160025</v>
      </c>
      <c r="GA750">
        <v>19.56292376289155</v>
      </c>
      <c r="GB750">
        <v>7.0866422453884645</v>
      </c>
      <c r="GC750">
        <v>4.3636587987950017</v>
      </c>
      <c r="GD750">
        <v>1.9965621477143856</v>
      </c>
      <c r="GE750">
        <v>2.1083758772311043</v>
      </c>
      <c r="GF750">
        <v>2.3390081897767088</v>
      </c>
      <c r="GG750">
        <v>4.3198191011444944</v>
      </c>
      <c r="GH750">
        <v>3.7215429376725151</v>
      </c>
      <c r="GI750">
        <v>6.1739248015385604</v>
      </c>
      <c r="GJ750"/>
      <c r="GK750"/>
      <c r="GL750"/>
      <c r="GM750"/>
      <c r="GN750" s="208"/>
      <c r="GO750" s="208"/>
      <c r="GP750" s="208"/>
      <c r="GQ750" s="208"/>
      <c r="GR750" s="208"/>
      <c r="GS750" s="208"/>
      <c r="GT750" s="208"/>
      <c r="GU750" s="213">
        <v>745</v>
      </c>
    </row>
    <row r="751" spans="1:203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62.430615483372847</v>
      </c>
      <c r="AO751">
        <v>11.250853582853928</v>
      </c>
      <c r="AP751">
        <v>97.116085220326738</v>
      </c>
      <c r="AQ751">
        <v>97.458721429990021</v>
      </c>
      <c r="AR751">
        <v>10.459940980816436</v>
      </c>
      <c r="AS751">
        <v>123.67207371983285</v>
      </c>
      <c r="AT751" t="e">
        <v>#DIV/0!</v>
      </c>
      <c r="AU751" t="e">
        <v>#DIV/0!</v>
      </c>
      <c r="AV751"/>
      <c r="AW751"/>
      <c r="FY751" s="213">
        <v>746</v>
      </c>
      <c r="FZ751">
        <v>28.178529790391501</v>
      </c>
      <c r="GA751">
        <v>35.691500028078778</v>
      </c>
      <c r="GB751">
        <v>7.6747600165878396</v>
      </c>
      <c r="GC751">
        <v>4.671469247790287</v>
      </c>
      <c r="GD751">
        <v>2.0508613038178813</v>
      </c>
      <c r="GE751">
        <v>2.2324400663548141</v>
      </c>
      <c r="GF751">
        <v>2.9219538254166402</v>
      </c>
      <c r="GG751">
        <v>3.5038936742196594</v>
      </c>
      <c r="GH751">
        <v>1.5603693116103559</v>
      </c>
      <c r="GI751">
        <v>8.0658547393502218</v>
      </c>
      <c r="GJ751"/>
      <c r="GK751"/>
      <c r="GL751"/>
      <c r="GM751"/>
      <c r="GN751" s="208"/>
      <c r="GO751" s="208"/>
      <c r="GP751" s="208"/>
      <c r="GQ751" s="208"/>
      <c r="GR751" s="208"/>
      <c r="GS751" s="208"/>
      <c r="GT751" s="208"/>
      <c r="GU751" s="213">
        <v>746</v>
      </c>
    </row>
    <row r="752" spans="1:203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87.690637907093262</v>
      </c>
      <c r="AO752">
        <v>12.564664456456132</v>
      </c>
      <c r="AP752">
        <v>65.139999636500491</v>
      </c>
      <c r="AQ752">
        <v>100.73393137021139</v>
      </c>
      <c r="AR752">
        <v>11.459891323743259</v>
      </c>
      <c r="AS752">
        <v>158.42488432827682</v>
      </c>
      <c r="AT752" t="e">
        <v>#DIV/0!</v>
      </c>
      <c r="AU752" t="e">
        <v>#DIV/0!</v>
      </c>
      <c r="AV752"/>
      <c r="AW752"/>
      <c r="FY752" s="213">
        <v>747</v>
      </c>
      <c r="FZ752">
        <v>47.69301999214413</v>
      </c>
      <c r="GA752">
        <v>59.491465694303827</v>
      </c>
      <c r="GB752">
        <v>4.9535159960540369</v>
      </c>
      <c r="GC752">
        <v>3.6991823316980965</v>
      </c>
      <c r="GD752">
        <v>2.2426940017626462</v>
      </c>
      <c r="GE752">
        <v>1.7687431780837182</v>
      </c>
      <c r="GF752">
        <v>5.3610851126736261</v>
      </c>
      <c r="GG752">
        <v>4.2758832876806157</v>
      </c>
      <c r="GH752">
        <v>0.60080431445180338</v>
      </c>
      <c r="GI752">
        <v>10.728532742672698</v>
      </c>
      <c r="GJ752"/>
      <c r="GK752"/>
      <c r="GL752"/>
      <c r="GM752"/>
      <c r="GN752" s="208"/>
      <c r="GO752" s="208"/>
      <c r="GP752" s="208"/>
      <c r="GQ752" s="208"/>
      <c r="GR752" s="208"/>
      <c r="GS752" s="208"/>
      <c r="GT752" s="208"/>
      <c r="GU752" s="213">
        <v>747</v>
      </c>
    </row>
    <row r="753" spans="1:203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99.885576063979968</v>
      </c>
      <c r="AO753">
        <v>13.67877232691084</v>
      </c>
      <c r="AP753">
        <v>90.038149055360392</v>
      </c>
      <c r="AQ753">
        <v>104.92146986935822</v>
      </c>
      <c r="AR753">
        <v>12.672007668176864</v>
      </c>
      <c r="AS753">
        <v>165.5460696341645</v>
      </c>
      <c r="AT753" t="e">
        <v>#DIV/0!</v>
      </c>
      <c r="AU753" t="e">
        <v>#DIV/0!</v>
      </c>
      <c r="AV753"/>
      <c r="AW753"/>
      <c r="FY753" s="213">
        <v>748</v>
      </c>
      <c r="FZ753">
        <v>28.353072024002959</v>
      </c>
      <c r="GA753">
        <v>35.3350446454034</v>
      </c>
      <c r="GB753">
        <v>10.177777320688783</v>
      </c>
      <c r="GC753">
        <v>6.2778769478324641</v>
      </c>
      <c r="GD753">
        <v>2.2334126869492859</v>
      </c>
      <c r="GE753">
        <v>2.151525074739808</v>
      </c>
      <c r="GF753">
        <v>2.9375716224326478</v>
      </c>
      <c r="GG753">
        <v>2.4185181486847607</v>
      </c>
      <c r="GH753">
        <v>1.8024129433554106</v>
      </c>
      <c r="GI753">
        <v>8.8676928631211478</v>
      </c>
      <c r="GJ753"/>
      <c r="GK753"/>
      <c r="GL753"/>
      <c r="GM753"/>
      <c r="GN753" s="208"/>
      <c r="GO753" s="208"/>
      <c r="GP753" s="208"/>
      <c r="GQ753" s="208"/>
      <c r="GR753" s="208"/>
      <c r="GS753" s="208"/>
      <c r="GT753" s="208"/>
      <c r="GU753" s="213">
        <v>748</v>
      </c>
    </row>
    <row r="754" spans="1:203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87.973562643079632</v>
      </c>
      <c r="AO754">
        <v>12.447465409537845</v>
      </c>
      <c r="AP754">
        <v>80.822821256818386</v>
      </c>
      <c r="AQ754">
        <v>103.02340604632694</v>
      </c>
      <c r="AR754">
        <v>11.567559833596807</v>
      </c>
      <c r="AS754">
        <v>154.78838556236357</v>
      </c>
      <c r="AT754">
        <v>8.0493487871866716</v>
      </c>
      <c r="AU754">
        <v>23.55091543911427</v>
      </c>
      <c r="AV754"/>
      <c r="AW754"/>
      <c r="FY754" s="213">
        <v>749</v>
      </c>
      <c r="FZ754">
        <v>26.93028833779292</v>
      </c>
      <c r="GA754">
        <v>31.729993235015542</v>
      </c>
      <c r="GB754">
        <v>8.4805953840891632</v>
      </c>
      <c r="GC754">
        <v>6.1011885902862302</v>
      </c>
      <c r="GD754">
        <v>2.1191653609409316</v>
      </c>
      <c r="GE754">
        <v>2.0196828462090695</v>
      </c>
      <c r="GF754">
        <v>5.0593066267863369</v>
      </c>
      <c r="GG754">
        <v>4.1468874451250031</v>
      </c>
      <c r="GH754">
        <v>0.60080431445180338</v>
      </c>
      <c r="GI754">
        <v>8.3181821321217075</v>
      </c>
      <c r="GJ754"/>
      <c r="GK754"/>
      <c r="GL754"/>
      <c r="GM754"/>
      <c r="GN754" s="208"/>
      <c r="GO754" s="208"/>
      <c r="GP754" s="208"/>
      <c r="GQ754" s="208"/>
      <c r="GR754" s="208"/>
      <c r="GS754" s="208"/>
      <c r="GT754" s="208"/>
      <c r="GU754" s="213">
        <v>749</v>
      </c>
    </row>
    <row r="755" spans="1:203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75.164530438243673</v>
      </c>
      <c r="AO755">
        <v>12.228888701596723</v>
      </c>
      <c r="AP755">
        <v>59.602366419049375</v>
      </c>
      <c r="AQ755">
        <v>88.922051318804549</v>
      </c>
      <c r="AR755">
        <v>11.37804220925301</v>
      </c>
      <c r="AS755">
        <v>130.31159719397377</v>
      </c>
      <c r="AT755">
        <v>7.5052967124666123</v>
      </c>
      <c r="AU755">
        <v>16.837947154592108</v>
      </c>
      <c r="AV755"/>
      <c r="AW755"/>
      <c r="FY755" s="213">
        <v>750</v>
      </c>
      <c r="FZ755">
        <v>52.014111409395525</v>
      </c>
      <c r="GA755">
        <v>65.524134694249383</v>
      </c>
      <c r="GB755">
        <v>10.557937333287429</v>
      </c>
      <c r="GC755">
        <v>5.5492886889133386</v>
      </c>
      <c r="GD755">
        <v>2.1264072054440777</v>
      </c>
      <c r="GE755">
        <v>2.2655917810861146</v>
      </c>
      <c r="GF755">
        <v>3.2962512973838733</v>
      </c>
      <c r="GG755">
        <v>4.8472813649298629</v>
      </c>
      <c r="GH755">
        <v>3.1207386232207117</v>
      </c>
      <c r="GI755">
        <v>12.672780852923669</v>
      </c>
      <c r="GJ755"/>
      <c r="GK755"/>
      <c r="GL755"/>
      <c r="GM755"/>
      <c r="GN755" s="208"/>
      <c r="GO755" s="208"/>
      <c r="GP755" s="208"/>
      <c r="GQ755" s="208"/>
      <c r="GR755" s="208"/>
      <c r="GS755" s="208"/>
      <c r="GT755" s="208"/>
      <c r="GU755" s="213">
        <v>750</v>
      </c>
    </row>
    <row r="756" spans="1:203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66.912859866168702</v>
      </c>
      <c r="AO756">
        <v>9.0677510918364987</v>
      </c>
      <c r="AP756">
        <v>38.792946080061064</v>
      </c>
      <c r="AQ756">
        <v>66.559293155659134</v>
      </c>
      <c r="AR756">
        <v>8.3536074588954463</v>
      </c>
      <c r="AS756">
        <v>113.85910580663526</v>
      </c>
      <c r="AT756" t="e">
        <v>#DIV/0!</v>
      </c>
      <c r="AU756" t="e">
        <v>#DIV/0!</v>
      </c>
      <c r="AV756"/>
      <c r="AW756"/>
      <c r="FY756" s="213">
        <v>751</v>
      </c>
      <c r="FZ756">
        <v>56.087028703727043</v>
      </c>
      <c r="GA756">
        <v>69.30478659580659</v>
      </c>
      <c r="GB756">
        <v>10.260467204399074</v>
      </c>
      <c r="GC756">
        <v>5.0392079623532631</v>
      </c>
      <c r="GD756">
        <v>1.7105054129168322</v>
      </c>
      <c r="GE756">
        <v>1.9094508452268513</v>
      </c>
      <c r="GF756">
        <v>4.568362128825334</v>
      </c>
      <c r="GG756">
        <v>5.1344558885284375</v>
      </c>
      <c r="GH756">
        <v>1.5603693116103559</v>
      </c>
      <c r="GI756">
        <v>13.002582922139165</v>
      </c>
      <c r="GJ756"/>
      <c r="GK756"/>
      <c r="GL756"/>
      <c r="GM756"/>
      <c r="GN756" s="208"/>
      <c r="GO756" s="208"/>
      <c r="GP756" s="208"/>
      <c r="GQ756" s="208"/>
      <c r="GR756" s="208"/>
      <c r="GS756" s="208"/>
      <c r="GT756" s="208"/>
      <c r="GU756" s="213">
        <v>751</v>
      </c>
    </row>
    <row r="757" spans="1:203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102.0801991438338</v>
      </c>
      <c r="AO757">
        <v>17.751655143475631</v>
      </c>
      <c r="AP757">
        <v>135.47134727305007</v>
      </c>
      <c r="AQ757">
        <v>143.11902432914906</v>
      </c>
      <c r="AR757">
        <v>16.188596781229379</v>
      </c>
      <c r="AS757">
        <v>175.08795650322477</v>
      </c>
      <c r="AT757" t="e">
        <v>#DIV/0!</v>
      </c>
      <c r="AU757" t="e">
        <v>#DIV/0!</v>
      </c>
      <c r="AV757"/>
      <c r="AW757"/>
      <c r="FY757" s="213">
        <v>752</v>
      </c>
      <c r="FZ757">
        <v>61.967071701207082</v>
      </c>
      <c r="GA757">
        <v>73.861137995541327</v>
      </c>
      <c r="GB757">
        <v>7.1435257192287605</v>
      </c>
      <c r="GC757">
        <v>3.9914942217296914</v>
      </c>
      <c r="GD757">
        <v>2.1467440265755551</v>
      </c>
      <c r="GE757">
        <v>3.1342044360648886</v>
      </c>
      <c r="GF757">
        <v>2.0332185534414768</v>
      </c>
      <c r="GG757">
        <v>3.5637884733424716</v>
      </c>
      <c r="GH757">
        <v>4.3223472521243185</v>
      </c>
      <c r="GI757">
        <v>13.277205834362178</v>
      </c>
      <c r="GJ757"/>
      <c r="GK757"/>
      <c r="GL757"/>
      <c r="GM757"/>
      <c r="GN757" s="208"/>
      <c r="GO757" s="208"/>
      <c r="GP757" s="208"/>
      <c r="GQ757" s="208"/>
      <c r="GR757" s="208"/>
      <c r="GS757" s="208"/>
      <c r="GT757" s="208"/>
      <c r="GU757" s="213">
        <v>752</v>
      </c>
    </row>
    <row r="758" spans="1:203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91.955705438305586</v>
      </c>
      <c r="AO758">
        <v>16.46215515915592</v>
      </c>
      <c r="AP758">
        <v>136.90688918380673</v>
      </c>
      <c r="AQ758">
        <v>139.30832592929005</v>
      </c>
      <c r="AR758">
        <v>15.210747246741176</v>
      </c>
      <c r="AS758">
        <v>175.36167291745241</v>
      </c>
      <c r="AT758">
        <v>10.617735001729327</v>
      </c>
      <c r="AU758">
        <v>-7.1353353308104559</v>
      </c>
      <c r="AV758"/>
      <c r="AW758"/>
      <c r="FY758" s="213">
        <v>753</v>
      </c>
      <c r="FZ758">
        <v>42.173275535717607</v>
      </c>
      <c r="GA758">
        <v>53.723346104549243</v>
      </c>
      <c r="GB758">
        <v>9.7790022041104478</v>
      </c>
      <c r="GC758">
        <v>5.2824655393794773</v>
      </c>
      <c r="GD758">
        <v>2.1664305010472433</v>
      </c>
      <c r="GE758">
        <v>2.1502191921822411</v>
      </c>
      <c r="GF758">
        <v>5.5853510733623315</v>
      </c>
      <c r="GG758">
        <v>6.8992583989588274</v>
      </c>
      <c r="GH758">
        <v>3.1207386232207117</v>
      </c>
      <c r="GI758">
        <v>11.491659090039894</v>
      </c>
      <c r="GJ758"/>
      <c r="GK758"/>
      <c r="GL758"/>
      <c r="GM758"/>
      <c r="GN758" s="208"/>
      <c r="GO758" s="208"/>
      <c r="GP758" s="208"/>
      <c r="GQ758" s="208"/>
      <c r="GR758" s="208"/>
      <c r="GS758" s="208"/>
      <c r="GT758" s="208"/>
      <c r="GU758" s="213">
        <v>753</v>
      </c>
    </row>
    <row r="759" spans="1:203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95.066964448246125</v>
      </c>
      <c r="AO759">
        <v>11.750892208836355</v>
      </c>
      <c r="AP759">
        <v>81.08925356938839</v>
      </c>
      <c r="AQ759">
        <v>93.848315295607918</v>
      </c>
      <c r="AR759">
        <v>10.812616575599396</v>
      </c>
      <c r="AS759">
        <v>148.33662665274312</v>
      </c>
      <c r="AT759" t="e">
        <v>#DIV/0!</v>
      </c>
      <c r="AU759" t="e">
        <v>#DIV/0!</v>
      </c>
      <c r="AV759"/>
      <c r="AW759"/>
      <c r="FY759" s="213">
        <v>754</v>
      </c>
      <c r="FZ759">
        <v>17.18006005574285</v>
      </c>
      <c r="GA759">
        <v>18.963122061376605</v>
      </c>
      <c r="GB759">
        <v>5.0330600593213326</v>
      </c>
      <c r="GC759">
        <v>4.1334485368061307</v>
      </c>
      <c r="GD759">
        <v>1.8469203596951447</v>
      </c>
      <c r="GE759">
        <v>2.0190202376984909</v>
      </c>
      <c r="GF759">
        <v>4.5894999286412057</v>
      </c>
      <c r="GG759">
        <v>3.3354699256163558</v>
      </c>
      <c r="GH759">
        <v>0.60080431445180338</v>
      </c>
      <c r="GI759">
        <v>5.8187818838043492</v>
      </c>
      <c r="GJ759"/>
      <c r="GK759"/>
      <c r="GL759"/>
      <c r="GM759"/>
      <c r="GN759" s="208"/>
      <c r="GO759" s="208"/>
      <c r="GP759" s="208"/>
      <c r="GQ759" s="208"/>
      <c r="GR759" s="208"/>
      <c r="GS759" s="208"/>
      <c r="GT759" s="208"/>
      <c r="GU759" s="213">
        <v>754</v>
      </c>
    </row>
    <row r="760" spans="1:203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115.61872584725018</v>
      </c>
      <c r="AO760">
        <v>15.094558814852826</v>
      </c>
      <c r="AP760">
        <v>101.68587432450762</v>
      </c>
      <c r="AQ760">
        <v>118.41146019399895</v>
      </c>
      <c r="AR760">
        <v>13.768634871507061</v>
      </c>
      <c r="AS760">
        <v>177.01191743005802</v>
      </c>
      <c r="AT760" t="e">
        <v>#DIV/0!</v>
      </c>
      <c r="AU760" t="e">
        <v>#DIV/0!</v>
      </c>
      <c r="AV760"/>
      <c r="AW760"/>
      <c r="FY760" s="213">
        <v>755</v>
      </c>
      <c r="FZ760">
        <v>9.1524808943921894</v>
      </c>
      <c r="GA760">
        <v>13.997481546112528</v>
      </c>
      <c r="GB760">
        <v>7.0521737594877045</v>
      </c>
      <c r="GC760">
        <v>4.1979602813150887</v>
      </c>
      <c r="GD760">
        <v>1.9595077004240093</v>
      </c>
      <c r="GE760">
        <v>2.1066133073951812</v>
      </c>
      <c r="GF760">
        <v>4.7275451255354071</v>
      </c>
      <c r="GG760">
        <v>5.0531125942988622</v>
      </c>
      <c r="GH760">
        <v>2.1611736260621592</v>
      </c>
      <c r="GI760">
        <v>5.494262520239249</v>
      </c>
      <c r="GJ760"/>
      <c r="GK760"/>
      <c r="GL760"/>
      <c r="GM760"/>
      <c r="GN760" s="208"/>
      <c r="GO760" s="208"/>
      <c r="GP760" s="208"/>
      <c r="GQ760" s="208"/>
      <c r="GR760" s="208"/>
      <c r="GS760" s="208"/>
      <c r="GT760" s="208"/>
      <c r="GU760" s="213">
        <v>755</v>
      </c>
    </row>
    <row r="761" spans="1:203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83.204617958294421</v>
      </c>
      <c r="AO761">
        <v>9.3115201539377495</v>
      </c>
      <c r="AP761">
        <v>63.325345613266208</v>
      </c>
      <c r="AQ761">
        <v>66.182152015312809</v>
      </c>
      <c r="AR761">
        <v>8.5735529852423085</v>
      </c>
      <c r="AS761">
        <v>126.09427118906619</v>
      </c>
      <c r="AT761">
        <v>5.5101048428617423</v>
      </c>
      <c r="AU761">
        <v>-52.691467002666613</v>
      </c>
      <c r="AV761"/>
      <c r="AW761"/>
      <c r="FY761" s="213">
        <v>756</v>
      </c>
      <c r="FZ761">
        <v>29.471596207872086</v>
      </c>
      <c r="GA761">
        <v>40.586924566670703</v>
      </c>
      <c r="GB761">
        <v>5.2214080029974497</v>
      </c>
      <c r="GC761">
        <v>2.6756260519655752</v>
      </c>
      <c r="GD761">
        <v>2.2401581373845811</v>
      </c>
      <c r="GE761">
        <v>2.5380186035084402</v>
      </c>
      <c r="GF761">
        <v>3.4961276434412856</v>
      </c>
      <c r="GG761">
        <v>5.0129421653824773</v>
      </c>
      <c r="GH761">
        <v>3.7215429376725151</v>
      </c>
      <c r="GI761">
        <v>8.3005758349762893</v>
      </c>
      <c r="GJ761"/>
      <c r="GK761"/>
      <c r="GL761"/>
      <c r="GM761"/>
      <c r="GN761" s="208"/>
      <c r="GO761" s="208"/>
      <c r="GP761" s="208"/>
      <c r="GQ761" s="208"/>
      <c r="GR761" s="208"/>
      <c r="GS761" s="208"/>
      <c r="GT761" s="208"/>
      <c r="GU761" s="213">
        <v>756</v>
      </c>
    </row>
    <row r="762" spans="1:203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92.115516666068132</v>
      </c>
      <c r="AO762">
        <v>12.162221220064676</v>
      </c>
      <c r="AP762">
        <v>62.535122213930883</v>
      </c>
      <c r="AQ762">
        <v>96.551632003617954</v>
      </c>
      <c r="AR762">
        <v>11.118342696473377</v>
      </c>
      <c r="AS762">
        <v>154.35567141148599</v>
      </c>
      <c r="AT762" t="e">
        <v>#DIV/0!</v>
      </c>
      <c r="AU762" t="e">
        <v>#DIV/0!</v>
      </c>
      <c r="AV762"/>
      <c r="AW762"/>
      <c r="FY762" s="213">
        <v>757</v>
      </c>
      <c r="FZ762">
        <v>33.174533667838929</v>
      </c>
      <c r="GA762">
        <v>42.818984264698365</v>
      </c>
      <c r="GB762">
        <v>12.792796977917451</v>
      </c>
      <c r="GC762">
        <v>7.1544386873252801</v>
      </c>
      <c r="GD762">
        <v>2.019728768684105</v>
      </c>
      <c r="GE762">
        <v>1.8346111342343474</v>
      </c>
      <c r="GF762">
        <v>1.5838637174121803</v>
      </c>
      <c r="GG762">
        <v>3.2361704624914118</v>
      </c>
      <c r="GH762">
        <v>3.1207386232207117</v>
      </c>
      <c r="GI762">
        <v>10.100707690963629</v>
      </c>
      <c r="GJ762"/>
      <c r="GK762"/>
      <c r="GL762"/>
      <c r="GM762"/>
      <c r="GN762" s="208"/>
      <c r="GO762" s="208"/>
      <c r="GP762" s="208"/>
      <c r="GQ762" s="208"/>
      <c r="GR762" s="208"/>
      <c r="GS762" s="208"/>
      <c r="GT762" s="208"/>
      <c r="GU762" s="213">
        <v>757</v>
      </c>
    </row>
    <row r="763" spans="1:203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76.492947595704948</v>
      </c>
      <c r="AO763">
        <v>16.304558867949609</v>
      </c>
      <c r="AP763">
        <v>126.59486861864738</v>
      </c>
      <c r="AQ763">
        <v>140.81492665152518</v>
      </c>
      <c r="AR763">
        <v>14.904342150316316</v>
      </c>
      <c r="AS763">
        <v>156.99727368752605</v>
      </c>
      <c r="AT763" t="e">
        <v>#DIV/0!</v>
      </c>
      <c r="AU763" t="e">
        <v>#DIV/0!</v>
      </c>
      <c r="AV763"/>
      <c r="AW763"/>
      <c r="FY763" s="213">
        <v>758</v>
      </c>
      <c r="FZ763">
        <v>25.297743660107265</v>
      </c>
      <c r="GA763">
        <v>30.681943601903914</v>
      </c>
      <c r="GB763">
        <v>3.8115779056643135</v>
      </c>
      <c r="GC763">
        <v>2.0777267146665341</v>
      </c>
      <c r="GD763">
        <v>1.8449604756008029</v>
      </c>
      <c r="GE763">
        <v>2.5918054168302338</v>
      </c>
      <c r="GF763">
        <v>6.6822814432614503</v>
      </c>
      <c r="GG763">
        <v>5.5601260373927914</v>
      </c>
      <c r="GH763">
        <v>0.60080431445180338</v>
      </c>
      <c r="GI763">
        <v>7.1460096360588405</v>
      </c>
      <c r="GJ763"/>
      <c r="GK763"/>
      <c r="GL763"/>
      <c r="GM763"/>
      <c r="GN763" s="208"/>
      <c r="GO763" s="208"/>
      <c r="GP763" s="208"/>
      <c r="GQ763" s="208"/>
      <c r="GR763" s="208"/>
      <c r="GS763" s="208"/>
      <c r="GT763" s="208"/>
      <c r="GU763" s="213">
        <v>758</v>
      </c>
    </row>
    <row r="764" spans="1:203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78.325557406870786</v>
      </c>
      <c r="AO764">
        <v>13.197085911614844</v>
      </c>
      <c r="AP764">
        <v>92.354597590008765</v>
      </c>
      <c r="AQ764">
        <v>100.55490427721065</v>
      </c>
      <c r="AR764">
        <v>12.29171882523087</v>
      </c>
      <c r="AS764">
        <v>150.45861504115501</v>
      </c>
      <c r="AT764" t="e">
        <v>#DIV/0!</v>
      </c>
      <c r="AU764" t="e">
        <v>#DIV/0!</v>
      </c>
      <c r="AV764"/>
      <c r="AW764"/>
      <c r="FY764" s="213">
        <v>759</v>
      </c>
      <c r="FZ764">
        <v>13.841284113759592</v>
      </c>
      <c r="GA764">
        <v>17.504503520554206</v>
      </c>
      <c r="GB764">
        <v>7.9847335760026139</v>
      </c>
      <c r="GC764">
        <v>5.2112933805391464</v>
      </c>
      <c r="GD764">
        <v>2.204557012825104</v>
      </c>
      <c r="GE764">
        <v>2.278297291095817</v>
      </c>
      <c r="GF764">
        <v>2.4391312872569859</v>
      </c>
      <c r="GG764">
        <v>2.8254822705289615</v>
      </c>
      <c r="GH764">
        <v>1.5603693116103559</v>
      </c>
      <c r="GI764">
        <v>6.0533951266105062</v>
      </c>
      <c r="GJ764"/>
      <c r="GK764"/>
      <c r="GL764"/>
      <c r="GM764"/>
      <c r="GN764" s="208"/>
      <c r="GO764" s="208"/>
      <c r="GP764" s="208"/>
      <c r="GQ764" s="208"/>
      <c r="GR764" s="208"/>
      <c r="GS764" s="208"/>
      <c r="GT764" s="208"/>
      <c r="GU764" s="213">
        <v>759</v>
      </c>
    </row>
    <row r="765" spans="1:203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91.562991705302807</v>
      </c>
      <c r="AO765">
        <v>12.501975694823653</v>
      </c>
      <c r="AP765">
        <v>83.506378669489976</v>
      </c>
      <c r="AQ765">
        <v>95.506094272818686</v>
      </c>
      <c r="AR765">
        <v>11.456287942150432</v>
      </c>
      <c r="AS765">
        <v>152.39310351489374</v>
      </c>
      <c r="AT765" t="e">
        <v>#DIV/0!</v>
      </c>
      <c r="AU765" t="e">
        <v>#DIV/0!</v>
      </c>
      <c r="AV765"/>
      <c r="AW765"/>
      <c r="FY765" s="213">
        <v>760</v>
      </c>
      <c r="FZ765">
        <v>19.140787510489758</v>
      </c>
      <c r="GA765">
        <v>25.940098754292439</v>
      </c>
      <c r="GB765">
        <v>11.26149264379681</v>
      </c>
      <c r="GC765">
        <v>6.3370399740110965</v>
      </c>
      <c r="GD765">
        <v>1.8439483341930656</v>
      </c>
      <c r="GE765">
        <v>2.1460362048418755</v>
      </c>
      <c r="GF765">
        <v>4.6277282979389067</v>
      </c>
      <c r="GG765">
        <v>3.7396915793739467</v>
      </c>
      <c r="GH765">
        <v>0</v>
      </c>
      <c r="GI765">
        <v>7.5802725313277595</v>
      </c>
      <c r="GJ765"/>
      <c r="GK765"/>
      <c r="GL765"/>
      <c r="GM765"/>
      <c r="GN765" s="208"/>
      <c r="GO765" s="208"/>
      <c r="GP765" s="208"/>
      <c r="GQ765" s="208"/>
      <c r="GR765" s="208"/>
      <c r="GS765" s="208"/>
      <c r="GT765" s="208"/>
      <c r="GU765" s="213">
        <v>760</v>
      </c>
    </row>
    <row r="766" spans="1:203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116.52502981556606</v>
      </c>
      <c r="AO766">
        <v>19.045961947496657</v>
      </c>
      <c r="AP766">
        <v>105.82850207555035</v>
      </c>
      <c r="AQ766">
        <v>161.97452325083398</v>
      </c>
      <c r="AR766">
        <v>17.495226625178475</v>
      </c>
      <c r="AS766">
        <v>215.45215275736271</v>
      </c>
      <c r="AT766" t="e">
        <v>#DIV/0!</v>
      </c>
      <c r="AU766" t="e">
        <v>#DIV/0!</v>
      </c>
      <c r="AV766"/>
      <c r="AW766"/>
      <c r="FY766" s="213">
        <v>761</v>
      </c>
      <c r="FZ766">
        <v>22.080921276130859</v>
      </c>
      <c r="GA766">
        <v>28.414552636138328</v>
      </c>
      <c r="GB766">
        <v>10.006809869365897</v>
      </c>
      <c r="GC766">
        <v>6.0399102336842594</v>
      </c>
      <c r="GD766">
        <v>2.5835040342044819</v>
      </c>
      <c r="GE766">
        <v>3.3826198663467277</v>
      </c>
      <c r="GF766">
        <v>2.1424197384208181</v>
      </c>
      <c r="GG766">
        <v>4.8877043721182671</v>
      </c>
      <c r="GH766">
        <v>5.2819122492828701</v>
      </c>
      <c r="GI766">
        <v>8.5459756461977925</v>
      </c>
      <c r="GJ766"/>
      <c r="GK766"/>
      <c r="GL766"/>
      <c r="GM766"/>
      <c r="GN766" s="208"/>
      <c r="GO766" s="208"/>
      <c r="GP766" s="208"/>
      <c r="GQ766" s="208"/>
      <c r="GR766" s="208"/>
      <c r="GS766" s="208"/>
      <c r="GT766" s="208"/>
      <c r="GU766" s="213">
        <v>761</v>
      </c>
    </row>
    <row r="767" spans="1:203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95.947860791826301</v>
      </c>
      <c r="AO767">
        <v>19.70423855903956</v>
      </c>
      <c r="AP767">
        <v>164.5841476306444</v>
      </c>
      <c r="AQ767">
        <v>168.57721697553291</v>
      </c>
      <c r="AR767">
        <v>18.111339079569259</v>
      </c>
      <c r="AS767">
        <v>203.78140986537244</v>
      </c>
      <c r="AT767" t="e">
        <v>#DIV/0!</v>
      </c>
      <c r="AU767" t="e">
        <v>#DIV/0!</v>
      </c>
      <c r="AV767"/>
      <c r="AW767"/>
      <c r="FY767" s="213">
        <v>762</v>
      </c>
      <c r="FZ767">
        <v>19.18479351725156</v>
      </c>
      <c r="GA767">
        <v>24.807404664477659</v>
      </c>
      <c r="GB767">
        <v>9.9757370522430566</v>
      </c>
      <c r="GC767">
        <v>5.7970737070213287</v>
      </c>
      <c r="GD767">
        <v>2.209073067172389</v>
      </c>
      <c r="GE767">
        <v>2.7173087077969393</v>
      </c>
      <c r="GF767">
        <v>2.0765138597903006</v>
      </c>
      <c r="GG767">
        <v>1.2922223361086917</v>
      </c>
      <c r="GH767">
        <v>0</v>
      </c>
      <c r="GI767">
        <v>6.9735665976911365</v>
      </c>
      <c r="GJ767"/>
      <c r="GK767"/>
      <c r="GL767"/>
      <c r="GM767"/>
      <c r="GN767" s="208"/>
      <c r="GO767" s="208"/>
      <c r="GP767" s="208"/>
      <c r="GQ767" s="208"/>
      <c r="GR767" s="208"/>
      <c r="GS767" s="208"/>
      <c r="GT767" s="208"/>
      <c r="GU767" s="213">
        <v>762</v>
      </c>
    </row>
    <row r="768" spans="1:203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94.653747097129468</v>
      </c>
      <c r="AO768">
        <v>19.932340270318075</v>
      </c>
      <c r="AP768">
        <v>139.14541014654634</v>
      </c>
      <c r="AQ768">
        <v>175.44073821361778</v>
      </c>
      <c r="AR768">
        <v>18.44295794995973</v>
      </c>
      <c r="AS768">
        <v>218.17288626881401</v>
      </c>
      <c r="AT768">
        <v>12.504192625264245</v>
      </c>
      <c r="AU768">
        <v>32.038085534801937</v>
      </c>
      <c r="AV768"/>
      <c r="AW768"/>
      <c r="FY768" s="213">
        <v>763</v>
      </c>
      <c r="FZ768">
        <v>35.553846733323354</v>
      </c>
      <c r="GA768">
        <v>39.687220246779766</v>
      </c>
      <c r="GB768">
        <v>8.2797938207981421</v>
      </c>
      <c r="GC768">
        <v>5.8127517011184331</v>
      </c>
      <c r="GD768">
        <v>1.9726436772134393</v>
      </c>
      <c r="GE768">
        <v>2.1970543826643549</v>
      </c>
      <c r="GF768">
        <v>2.5640970651172994</v>
      </c>
      <c r="GG768">
        <v>2.8574075771029208</v>
      </c>
      <c r="GH768">
        <v>1.5603693116103559</v>
      </c>
      <c r="GI768">
        <v>9.1895224604404078</v>
      </c>
      <c r="GJ768"/>
      <c r="GK768"/>
      <c r="GL768"/>
      <c r="GM768"/>
      <c r="GN768" s="208"/>
      <c r="GO768" s="208"/>
      <c r="GP768" s="208"/>
      <c r="GQ768" s="208"/>
      <c r="GR768" s="208"/>
      <c r="GS768" s="208"/>
      <c r="GT768" s="208"/>
      <c r="GU768" s="213">
        <v>763</v>
      </c>
    </row>
    <row r="769" spans="1:203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100.38504378247026</v>
      </c>
      <c r="AO769">
        <v>17.347911317540216</v>
      </c>
      <c r="AP769">
        <v>84.473336322639724</v>
      </c>
      <c r="AQ769">
        <v>142.371746262568</v>
      </c>
      <c r="AR769">
        <v>15.931556018607893</v>
      </c>
      <c r="AS769">
        <v>185.98302042827444</v>
      </c>
      <c r="AT769" t="e">
        <v>#DIV/0!</v>
      </c>
      <c r="AU769" t="e">
        <v>#DIV/0!</v>
      </c>
      <c r="AV769"/>
      <c r="AW769"/>
      <c r="FY769" s="213">
        <v>764</v>
      </c>
      <c r="FZ769">
        <v>37.870219485258538</v>
      </c>
      <c r="GA769">
        <v>47.731693619385261</v>
      </c>
      <c r="GB769">
        <v>6.7851252909348698</v>
      </c>
      <c r="GC769">
        <v>3.4983361115513611</v>
      </c>
      <c r="GD769">
        <v>1.818784738790054</v>
      </c>
      <c r="GE769">
        <v>1.6608468289395419</v>
      </c>
      <c r="GF769">
        <v>3.9129709050379411</v>
      </c>
      <c r="GG769">
        <v>6.6604862818110737</v>
      </c>
      <c r="GH769">
        <v>5.2819122492828701</v>
      </c>
      <c r="GI769">
        <v>9.9294312568379777</v>
      </c>
      <c r="GJ769"/>
      <c r="GK769"/>
      <c r="GL769"/>
      <c r="GM769"/>
      <c r="GN769" s="208"/>
      <c r="GO769" s="208"/>
      <c r="GP769" s="208"/>
      <c r="GQ769" s="208"/>
      <c r="GR769" s="208"/>
      <c r="GS769" s="208"/>
      <c r="GT769" s="208"/>
      <c r="GU769" s="213">
        <v>764</v>
      </c>
    </row>
    <row r="770" spans="1:203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68.987440521080245</v>
      </c>
      <c r="AO770">
        <v>8.5596283687973305</v>
      </c>
      <c r="AP770">
        <v>51.900657701738076</v>
      </c>
      <c r="AQ770">
        <v>63.520187363154264</v>
      </c>
      <c r="AR770">
        <v>7.9713845728726707</v>
      </c>
      <c r="AS770">
        <v>119.76629886780067</v>
      </c>
      <c r="AT770" t="e">
        <v>#DIV/0!</v>
      </c>
      <c r="AU770" t="e">
        <v>#DIV/0!</v>
      </c>
      <c r="AV770"/>
      <c r="AW770"/>
      <c r="FY770" s="213">
        <v>765</v>
      </c>
      <c r="FZ770">
        <v>26.359126994309609</v>
      </c>
      <c r="GA770">
        <v>30.66999912259557</v>
      </c>
      <c r="GB770">
        <v>9.9906315598889286</v>
      </c>
      <c r="GC770">
        <v>6.7775335867944131</v>
      </c>
      <c r="GD770">
        <v>1.759356118050357</v>
      </c>
      <c r="GE770">
        <v>1.5429250239968244</v>
      </c>
      <c r="GF770">
        <v>3.4211436773117043</v>
      </c>
      <c r="GG770">
        <v>2.6842441771765735</v>
      </c>
      <c r="GH770">
        <v>1.2016086289036068</v>
      </c>
      <c r="GI770">
        <v>8.2012340023161396</v>
      </c>
      <c r="GJ770"/>
      <c r="GK770"/>
      <c r="GL770"/>
      <c r="GM770"/>
      <c r="GN770" s="208"/>
      <c r="GO770" s="208"/>
      <c r="GP770" s="208"/>
      <c r="GQ770" s="208"/>
      <c r="GR770" s="208"/>
      <c r="GS770" s="208"/>
      <c r="GT770" s="208"/>
      <c r="GU770" s="213">
        <v>765</v>
      </c>
    </row>
    <row r="771" spans="1:203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66.131585114888864</v>
      </c>
      <c r="AO771">
        <v>8.2510307792547728</v>
      </c>
      <c r="AP771">
        <v>31.566245146883155</v>
      </c>
      <c r="AQ771">
        <v>55.90231135526237</v>
      </c>
      <c r="AR771">
        <v>7.6028420463417721</v>
      </c>
      <c r="AS771">
        <v>111.02025349045039</v>
      </c>
      <c r="AT771">
        <v>4.7278999703400633</v>
      </c>
      <c r="AU771">
        <v>10.732391718093869</v>
      </c>
      <c r="AV771"/>
      <c r="AW771"/>
      <c r="FY771" s="213">
        <v>766</v>
      </c>
      <c r="FZ771">
        <v>30.130153523912774</v>
      </c>
      <c r="GA771">
        <v>41.445812419931862</v>
      </c>
      <c r="GB771">
        <v>9.0322160269061165</v>
      </c>
      <c r="GC771">
        <v>4.1908964224665182</v>
      </c>
      <c r="GD771">
        <v>1.6019694481054001</v>
      </c>
      <c r="GE771">
        <v>1.9883086420127281</v>
      </c>
      <c r="GF771">
        <v>5.2765798122093557</v>
      </c>
      <c r="GG771">
        <v>6.6287927191439708</v>
      </c>
      <c r="GH771">
        <v>3.1207386232207117</v>
      </c>
      <c r="GI771">
        <v>9.1208143130032973</v>
      </c>
      <c r="GJ771"/>
      <c r="GK771"/>
      <c r="GL771"/>
      <c r="GM771"/>
      <c r="GN771" s="208"/>
      <c r="GO771" s="208"/>
      <c r="GP771" s="208"/>
      <c r="GQ771" s="208"/>
      <c r="GR771" s="208"/>
      <c r="GS771" s="208"/>
      <c r="GT771" s="208"/>
      <c r="GU771" s="213">
        <v>766</v>
      </c>
    </row>
    <row r="772" spans="1:203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69.41582692906222</v>
      </c>
      <c r="AO772">
        <v>12.634287019651776</v>
      </c>
      <c r="AP772">
        <v>73.807525935964932</v>
      </c>
      <c r="AQ772">
        <v>103.26492015187139</v>
      </c>
      <c r="AR772">
        <v>11.578681712982831</v>
      </c>
      <c r="AS772">
        <v>118.83950928940898</v>
      </c>
      <c r="AT772">
        <v>7.2983530448054728</v>
      </c>
      <c r="AU772">
        <v>21.285632070117753</v>
      </c>
      <c r="AV772"/>
      <c r="AW772"/>
      <c r="FY772" s="213">
        <v>767</v>
      </c>
      <c r="FZ772">
        <v>22.445138518679013</v>
      </c>
      <c r="GA772">
        <v>26.188554126800955</v>
      </c>
      <c r="GB772">
        <v>8.4461754461084499</v>
      </c>
      <c r="GC772">
        <v>4.6945266202171494</v>
      </c>
      <c r="GD772">
        <v>1.9151271542897546</v>
      </c>
      <c r="GE772">
        <v>2.544524193614448</v>
      </c>
      <c r="GF772">
        <v>1.0442867860535543</v>
      </c>
      <c r="GG772">
        <v>1.7029105280711425</v>
      </c>
      <c r="GH772">
        <v>2.7619779405139626</v>
      </c>
      <c r="GI772">
        <v>7.1623530112660143</v>
      </c>
      <c r="GJ772"/>
      <c r="GK772"/>
      <c r="GL772"/>
      <c r="GM772"/>
      <c r="GN772" s="208"/>
      <c r="GO772" s="208"/>
      <c r="GP772" s="208"/>
      <c r="GQ772" s="208"/>
      <c r="GR772" s="208"/>
      <c r="GS772" s="208"/>
      <c r="GT772" s="208"/>
      <c r="GU772" s="213">
        <v>767</v>
      </c>
    </row>
    <row r="773" spans="1:203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103.72306476672603</v>
      </c>
      <c r="AO773">
        <v>15.207637962310766</v>
      </c>
      <c r="AP773">
        <v>104.99599739283353</v>
      </c>
      <c r="AQ773">
        <v>117.83657399478642</v>
      </c>
      <c r="AR773">
        <v>13.990471057461532</v>
      </c>
      <c r="AS773">
        <v>176.45739467144116</v>
      </c>
      <c r="AT773" t="e">
        <v>#DIV/0!</v>
      </c>
      <c r="AU773" t="e">
        <v>#DIV/0!</v>
      </c>
      <c r="AV773"/>
      <c r="AW773"/>
      <c r="FY773" s="213">
        <v>768</v>
      </c>
      <c r="FZ773">
        <v>30.275726179544609</v>
      </c>
      <c r="GA773">
        <v>42.39298621733689</v>
      </c>
      <c r="GB773">
        <v>12.358409141983774</v>
      </c>
      <c r="GC773">
        <v>6.7450721372705829</v>
      </c>
      <c r="GD773">
        <v>2.4258755446011993</v>
      </c>
      <c r="GE773">
        <v>1.4494756744630626</v>
      </c>
      <c r="GF773">
        <v>1.4848698044675657</v>
      </c>
      <c r="GG773">
        <v>3.3544444376979978</v>
      </c>
      <c r="GH773">
        <v>4.3223472521243185</v>
      </c>
      <c r="GI773">
        <v>9.9780569239448376</v>
      </c>
      <c r="GJ773"/>
      <c r="GK773"/>
      <c r="GL773"/>
      <c r="GM773"/>
      <c r="GN773" s="208"/>
      <c r="GO773" s="208"/>
      <c r="GP773" s="208"/>
      <c r="GQ773" s="208"/>
      <c r="GR773" s="208"/>
      <c r="GS773" s="208"/>
      <c r="GT773" s="208"/>
      <c r="GU773" s="213">
        <v>768</v>
      </c>
    </row>
    <row r="774" spans="1:203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63.294288390643615</v>
      </c>
      <c r="AO774">
        <v>10.607968623827485</v>
      </c>
      <c r="AP774">
        <v>67.238161743488419</v>
      </c>
      <c r="AQ774">
        <v>86.294979205937949</v>
      </c>
      <c r="AR774">
        <v>9.8996106730631936</v>
      </c>
      <c r="AS774">
        <v>121.55117244465532</v>
      </c>
      <c r="AT774" t="e">
        <v>#DIV/0!</v>
      </c>
      <c r="AU774" t="e">
        <v>#DIV/0!</v>
      </c>
      <c r="AV774"/>
      <c r="AW774"/>
      <c r="FY774" s="213">
        <v>769</v>
      </c>
      <c r="FZ774">
        <v>21.187469849760038</v>
      </c>
      <c r="GA774">
        <v>23.492455520281094</v>
      </c>
      <c r="GB774">
        <v>5.3269810770036221</v>
      </c>
      <c r="GC774">
        <v>4.5037494293624771</v>
      </c>
      <c r="GD774">
        <v>2.3582106301828767</v>
      </c>
      <c r="GE774">
        <v>2.4937915982104855</v>
      </c>
      <c r="GF774">
        <v>6.6856427358954562</v>
      </c>
      <c r="GG774">
        <v>7.7066656452051374</v>
      </c>
      <c r="GH774">
        <v>4.3223472521243185</v>
      </c>
      <c r="GI774">
        <v>7.7990195089600798</v>
      </c>
      <c r="GJ774"/>
      <c r="GK774"/>
      <c r="GL774"/>
      <c r="GM774"/>
      <c r="GN774" s="208"/>
      <c r="GO774" s="208"/>
      <c r="GP774" s="208"/>
      <c r="GQ774" s="208"/>
      <c r="GR774" s="208"/>
      <c r="GS774" s="208"/>
      <c r="GT774" s="208"/>
      <c r="GU774" s="213">
        <v>769</v>
      </c>
    </row>
    <row r="775" spans="1:203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69.689747704637412</v>
      </c>
      <c r="AO775">
        <v>9.0540064485532383</v>
      </c>
      <c r="AP775">
        <v>51.257004795369269</v>
      </c>
      <c r="AQ775">
        <v>61.903046890783287</v>
      </c>
      <c r="AR775">
        <v>8.367531937258029</v>
      </c>
      <c r="AS775">
        <v>111.98129639648296</v>
      </c>
      <c r="AT775" t="e">
        <v>#DIV/0!</v>
      </c>
      <c r="AU775" t="e">
        <v>#DIV/0!</v>
      </c>
      <c r="AV775"/>
      <c r="AW775"/>
      <c r="FY775" s="213">
        <v>770</v>
      </c>
      <c r="FZ775">
        <v>18.669778012337613</v>
      </c>
      <c r="GA775">
        <v>22.097642845585025</v>
      </c>
      <c r="GB775">
        <v>6.1676914403263279</v>
      </c>
      <c r="GC775">
        <v>3.9933905262620049</v>
      </c>
      <c r="GD775">
        <v>2.1529628331300463</v>
      </c>
      <c r="GE775">
        <v>2.1418362494931338</v>
      </c>
      <c r="GF775">
        <v>6.64227403161415</v>
      </c>
      <c r="GG775">
        <v>7.8928138187969541</v>
      </c>
      <c r="GH775">
        <v>3.1207386232207117</v>
      </c>
      <c r="GI775">
        <v>7.2997783331283763</v>
      </c>
      <c r="GJ775"/>
      <c r="GK775"/>
      <c r="GL775"/>
      <c r="GM775"/>
      <c r="GN775" s="208"/>
      <c r="GO775" s="208"/>
      <c r="GP775" s="208"/>
      <c r="GQ775" s="208"/>
      <c r="GR775" s="208"/>
      <c r="GS775" s="208"/>
      <c r="GT775" s="208"/>
      <c r="GU775" s="213">
        <v>770</v>
      </c>
    </row>
    <row r="776" spans="1:203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95.263731712844304</v>
      </c>
      <c r="AO776">
        <v>11.420679346802727</v>
      </c>
      <c r="AP776">
        <v>43.765583432458449</v>
      </c>
      <c r="AQ776">
        <v>82.617095830265654</v>
      </c>
      <c r="AR776">
        <v>10.4222139049531</v>
      </c>
      <c r="AS776">
        <v>150.97416284017078</v>
      </c>
      <c r="AT776" t="e">
        <v>#DIV/0!</v>
      </c>
      <c r="AU776" t="e">
        <v>#DIV/0!</v>
      </c>
      <c r="AV776"/>
      <c r="AW776"/>
      <c r="FY776" s="213">
        <v>771</v>
      </c>
      <c r="FZ776">
        <v>35.812941121634012</v>
      </c>
      <c r="GA776">
        <v>41.074331002791283</v>
      </c>
      <c r="GB776">
        <v>4.8514159471506249</v>
      </c>
      <c r="GC776">
        <v>4.1435151879136569</v>
      </c>
      <c r="GD776">
        <v>2.0708258405605786</v>
      </c>
      <c r="GE776">
        <v>1.7467559873628753</v>
      </c>
      <c r="GF776">
        <v>6.0243518414919395</v>
      </c>
      <c r="GG776">
        <v>5.2607092629974419</v>
      </c>
      <c r="GH776">
        <v>0.60080431445180338</v>
      </c>
      <c r="GI776">
        <v>8.9721755883336662</v>
      </c>
      <c r="GJ776"/>
      <c r="GK776"/>
      <c r="GL776"/>
      <c r="GM776"/>
      <c r="GN776" s="208"/>
      <c r="GO776" s="208"/>
      <c r="GP776" s="208"/>
      <c r="GQ776" s="208"/>
      <c r="GR776" s="208"/>
      <c r="GS776" s="208"/>
      <c r="GT776" s="208"/>
      <c r="GU776" s="213">
        <v>771</v>
      </c>
    </row>
    <row r="777" spans="1:203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100.46557696796665</v>
      </c>
      <c r="AO777">
        <v>12.869483201611482</v>
      </c>
      <c r="AP777">
        <v>60.742991822305981</v>
      </c>
      <c r="AQ777">
        <v>93.366329921890284</v>
      </c>
      <c r="AR777">
        <v>11.827854766195234</v>
      </c>
      <c r="AS777">
        <v>143.01278919293298</v>
      </c>
      <c r="AT777">
        <v>7.5037471324790443</v>
      </c>
      <c r="AU777">
        <v>30.053875991724635</v>
      </c>
      <c r="AV777"/>
      <c r="AW777"/>
      <c r="FY777" s="213">
        <v>772</v>
      </c>
      <c r="FZ777">
        <v>25.879613570594778</v>
      </c>
      <c r="GA777">
        <v>28.167304856549968</v>
      </c>
      <c r="GB777">
        <v>9.2092925964329044</v>
      </c>
      <c r="GC777">
        <v>6.415813092265803</v>
      </c>
      <c r="GD777">
        <v>2.0873792964223141</v>
      </c>
      <c r="GE777">
        <v>2.0982230486186522</v>
      </c>
      <c r="GF777">
        <v>1.9989279366592347</v>
      </c>
      <c r="GG777">
        <v>2.753618278945472</v>
      </c>
      <c r="GH777">
        <v>1.5603693116103559</v>
      </c>
      <c r="GI777">
        <v>7.943914889420455</v>
      </c>
      <c r="GJ777"/>
      <c r="GK777"/>
      <c r="GL777"/>
      <c r="GM777"/>
      <c r="GN777" s="208"/>
      <c r="GO777" s="208"/>
      <c r="GP777" s="208"/>
      <c r="GQ777" s="208"/>
      <c r="GR777" s="208"/>
      <c r="GS777" s="208"/>
      <c r="GT777" s="208"/>
      <c r="GU777" s="213">
        <v>772</v>
      </c>
    </row>
    <row r="778" spans="1:203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95.136510954956677</v>
      </c>
      <c r="AO778">
        <v>10.413626084067278</v>
      </c>
      <c r="AP778">
        <v>40.365571696625537</v>
      </c>
      <c r="AQ778">
        <v>75.033693509553061</v>
      </c>
      <c r="AR778">
        <v>9.6013398913290935</v>
      </c>
      <c r="AS778">
        <v>143.17536036388492</v>
      </c>
      <c r="AT778" t="e">
        <v>#DIV/0!</v>
      </c>
      <c r="AU778" t="e">
        <v>#DIV/0!</v>
      </c>
      <c r="AV778"/>
      <c r="AW778"/>
      <c r="FY778" s="213">
        <v>773</v>
      </c>
      <c r="FZ778">
        <v>15.279609494540489</v>
      </c>
      <c r="GA778">
        <v>21.177860796431709</v>
      </c>
      <c r="GB778">
        <v>9.3937290202902979</v>
      </c>
      <c r="GC778">
        <v>5.9294198049516149</v>
      </c>
      <c r="GD778">
        <v>2.4229596671547569</v>
      </c>
      <c r="GE778">
        <v>2.2165016089558254</v>
      </c>
      <c r="GF778">
        <v>2.4136124880900303</v>
      </c>
      <c r="GG778">
        <v>4.3964227440510255</v>
      </c>
      <c r="GH778">
        <v>3.7215429376725151</v>
      </c>
      <c r="GI778">
        <v>7.0748139886411598</v>
      </c>
      <c r="GJ778"/>
      <c r="GK778"/>
      <c r="GL778"/>
      <c r="GM778"/>
      <c r="GN778" s="208"/>
      <c r="GO778" s="208"/>
      <c r="GP778" s="208"/>
      <c r="GQ778" s="208"/>
      <c r="GR778" s="208"/>
      <c r="GS778" s="208"/>
      <c r="GT778" s="208"/>
      <c r="GU778" s="213">
        <v>773</v>
      </c>
    </row>
    <row r="779" spans="1:203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93.171719918810439</v>
      </c>
      <c r="AO779">
        <v>13.727563060950738</v>
      </c>
      <c r="AP779">
        <v>84.199037672842408</v>
      </c>
      <c r="AQ779">
        <v>109.67470697616847</v>
      </c>
      <c r="AR779">
        <v>12.675688673139218</v>
      </c>
      <c r="AS779">
        <v>171.42819690146877</v>
      </c>
      <c r="AT779" t="e">
        <v>#DIV/0!</v>
      </c>
      <c r="AU779" t="e">
        <v>#DIV/0!</v>
      </c>
      <c r="AV779"/>
      <c r="AW779"/>
      <c r="FY779" s="213">
        <v>774</v>
      </c>
      <c r="FZ779">
        <v>13.271289536059417</v>
      </c>
      <c r="GA779">
        <v>20.58598693149937</v>
      </c>
      <c r="GB779">
        <v>15.307304368052868</v>
      </c>
      <c r="GC779">
        <v>8.3640457913914421</v>
      </c>
      <c r="GD779">
        <v>2.2948472034682315</v>
      </c>
      <c r="GE779">
        <v>2.304866123524083</v>
      </c>
      <c r="GF779">
        <v>3.1590290151415568</v>
      </c>
      <c r="GG779">
        <v>2.3982964986255677</v>
      </c>
      <c r="GH779">
        <v>0.60080431445180338</v>
      </c>
      <c r="GI779">
        <v>7.8874483903159902</v>
      </c>
      <c r="GJ779"/>
      <c r="GK779"/>
      <c r="GL779"/>
      <c r="GM779"/>
      <c r="GN779" s="208"/>
      <c r="GO779" s="208"/>
      <c r="GP779" s="208"/>
      <c r="GQ779" s="208"/>
      <c r="GR779" s="208"/>
      <c r="GS779" s="208"/>
      <c r="GT779" s="208"/>
      <c r="GU779" s="213">
        <v>774</v>
      </c>
    </row>
    <row r="780" spans="1:203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76.54669717467003</v>
      </c>
      <c r="AO780">
        <v>14.849830945229154</v>
      </c>
      <c r="AP780">
        <v>90.442301333383028</v>
      </c>
      <c r="AQ780">
        <v>125.14980676782949</v>
      </c>
      <c r="AR780">
        <v>13.80004707498964</v>
      </c>
      <c r="AS780">
        <v>154.58271975978346</v>
      </c>
      <c r="AT780">
        <v>8.9858033300965729</v>
      </c>
      <c r="AU780">
        <v>36.297617280224884</v>
      </c>
      <c r="AV780"/>
      <c r="AW780"/>
      <c r="FY780" s="213">
        <v>775</v>
      </c>
      <c r="FZ780">
        <v>15.987362501802126</v>
      </c>
      <c r="GA780">
        <v>23.087314768646777</v>
      </c>
      <c r="GB780">
        <v>11.231644563015744</v>
      </c>
      <c r="GC780">
        <v>5.9335899101334455</v>
      </c>
      <c r="GD780">
        <v>2.0881053098939608</v>
      </c>
      <c r="GE780">
        <v>2.2172816304959353</v>
      </c>
      <c r="GF780">
        <v>3.4458395618267761</v>
      </c>
      <c r="GG780">
        <v>3.8761900214032918</v>
      </c>
      <c r="GH780">
        <v>2.7619779405139626</v>
      </c>
      <c r="GI780">
        <v>7.5539228252317008</v>
      </c>
      <c r="GJ780"/>
      <c r="GK780"/>
      <c r="GL780"/>
      <c r="GM780"/>
      <c r="GN780" s="208"/>
      <c r="GO780" s="208"/>
      <c r="GP780" s="208"/>
      <c r="GQ780" s="208"/>
      <c r="GR780" s="208"/>
      <c r="GS780" s="208"/>
      <c r="GT780" s="208"/>
      <c r="GU780" s="213">
        <v>775</v>
      </c>
    </row>
    <row r="781" spans="1:203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93.240994380731962</v>
      </c>
      <c r="AO781">
        <v>12.193240672134369</v>
      </c>
      <c r="AP781">
        <v>78.93902852153073</v>
      </c>
      <c r="AQ781">
        <v>92.607802891343738</v>
      </c>
      <c r="AR781">
        <v>11.279536314124117</v>
      </c>
      <c r="AS781">
        <v>144.83377897287758</v>
      </c>
      <c r="AT781" t="e">
        <v>#DIV/0!</v>
      </c>
      <c r="AU781" t="e">
        <v>#DIV/0!</v>
      </c>
      <c r="AV781"/>
      <c r="AW781"/>
      <c r="FY781" s="213">
        <v>776</v>
      </c>
      <c r="FZ781">
        <v>12.794859152469167</v>
      </c>
      <c r="GA781">
        <v>12.755065618551127</v>
      </c>
      <c r="GB781">
        <v>12.731285745615853</v>
      </c>
      <c r="GC781">
        <v>8.5636540197774398</v>
      </c>
      <c r="GD781">
        <v>1.6056096326089686</v>
      </c>
      <c r="GE781">
        <v>0.79572377535481165</v>
      </c>
      <c r="GF781">
        <v>4.3444758359528883</v>
      </c>
      <c r="GG781">
        <v>5.8737776725467414</v>
      </c>
      <c r="GH781">
        <v>4.9231515665761219</v>
      </c>
      <c r="GI781">
        <v>7.5604315785332137</v>
      </c>
      <c r="GJ781"/>
      <c r="GK781"/>
      <c r="GL781"/>
      <c r="GM781"/>
      <c r="GN781" s="208"/>
      <c r="GO781" s="208"/>
      <c r="GP781" s="208"/>
      <c r="GQ781" s="208"/>
      <c r="GR781" s="208"/>
      <c r="GS781" s="208"/>
      <c r="GT781" s="208"/>
      <c r="GU781" s="213">
        <v>776</v>
      </c>
    </row>
    <row r="782" spans="1:203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77.247331005051592</v>
      </c>
      <c r="AO782">
        <v>13.866044124562972</v>
      </c>
      <c r="AP782">
        <v>68.702355817680868</v>
      </c>
      <c r="AQ782">
        <v>112.53628195091274</v>
      </c>
      <c r="AR782">
        <v>12.643062897429802</v>
      </c>
      <c r="AS782">
        <v>157.29094805578964</v>
      </c>
      <c r="AT782" t="e">
        <v>#DIV/0!</v>
      </c>
      <c r="AU782" t="e">
        <v>#DIV/0!</v>
      </c>
      <c r="AV782"/>
      <c r="AW782"/>
      <c r="FY782" s="213">
        <v>777</v>
      </c>
      <c r="FZ782">
        <v>52.827531637716127</v>
      </c>
      <c r="GA782">
        <v>62.199975561542139</v>
      </c>
      <c r="GB782">
        <v>3.9429363680784828</v>
      </c>
      <c r="GC782">
        <v>3.739429354272493</v>
      </c>
      <c r="GD782">
        <v>2.3000398288767134</v>
      </c>
      <c r="GE782">
        <v>2.390256306885858</v>
      </c>
      <c r="GF782">
        <v>2.3142389073291554</v>
      </c>
      <c r="GG782">
        <v>3.9360848205261041</v>
      </c>
      <c r="GH782">
        <v>3.1207386232207117</v>
      </c>
      <c r="GI782">
        <v>11.077561291486889</v>
      </c>
      <c r="GJ782"/>
      <c r="GK782"/>
      <c r="GL782"/>
      <c r="GM782"/>
      <c r="GN782" s="208"/>
      <c r="GO782" s="208"/>
      <c r="GP782" s="208"/>
      <c r="GQ782" s="208"/>
      <c r="GR782" s="208"/>
      <c r="GS782" s="208"/>
      <c r="GT782" s="208"/>
      <c r="GU782" s="213">
        <v>777</v>
      </c>
    </row>
    <row r="783" spans="1:203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97.389612137590078</v>
      </c>
      <c r="AO783">
        <v>10.399940423807255</v>
      </c>
      <c r="AP783">
        <v>48.329521409156143</v>
      </c>
      <c r="AQ783">
        <v>78.905574325614438</v>
      </c>
      <c r="AR783">
        <v>9.8850282385537707</v>
      </c>
      <c r="AS783">
        <v>154.43594684330535</v>
      </c>
      <c r="AT783">
        <v>6.3553531514275265</v>
      </c>
      <c r="AU783">
        <v>26.317933599270297</v>
      </c>
      <c r="AV783"/>
      <c r="AW783"/>
      <c r="FY783" s="213">
        <v>778</v>
      </c>
      <c r="FZ783">
        <v>33.523048644462079</v>
      </c>
      <c r="GA783">
        <v>38.311362324449227</v>
      </c>
      <c r="GB783">
        <v>6.1985557142448924</v>
      </c>
      <c r="GC783">
        <v>4.4319404915384757</v>
      </c>
      <c r="GD783">
        <v>1.4714736859036852</v>
      </c>
      <c r="GE783">
        <v>1.4629226682828138</v>
      </c>
      <c r="GF783">
        <v>3.3122487622161412</v>
      </c>
      <c r="GG783">
        <v>5.1224866960677611</v>
      </c>
      <c r="GH783">
        <v>4.3223472521243185</v>
      </c>
      <c r="GI783">
        <v>8.6451999814632092</v>
      </c>
      <c r="GJ783"/>
      <c r="GK783"/>
      <c r="GL783"/>
      <c r="GM783"/>
      <c r="GN783" s="208"/>
      <c r="GO783" s="208"/>
      <c r="GP783" s="208"/>
      <c r="GQ783" s="208"/>
      <c r="GR783" s="208"/>
      <c r="GS783" s="208"/>
      <c r="GT783" s="208"/>
      <c r="GU783" s="213">
        <v>778</v>
      </c>
    </row>
    <row r="784" spans="1:203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86.683122501137206</v>
      </c>
      <c r="AO784">
        <v>14.908353075390213</v>
      </c>
      <c r="AP784">
        <v>100.60406041332246</v>
      </c>
      <c r="AQ784">
        <v>114.78726331343482</v>
      </c>
      <c r="AR784">
        <v>13.855807796095451</v>
      </c>
      <c r="AS784">
        <v>164.62681889570513</v>
      </c>
      <c r="AT784">
        <v>9.2861608567482836</v>
      </c>
      <c r="AU784">
        <v>-2.5620244888227957</v>
      </c>
      <c r="AV784"/>
      <c r="AW784"/>
      <c r="FY784" s="213">
        <v>779</v>
      </c>
      <c r="FZ784">
        <v>58.803873348014086</v>
      </c>
      <c r="GA784">
        <v>66.522370870886505</v>
      </c>
      <c r="GB784">
        <v>3.2739029137678206</v>
      </c>
      <c r="GC784">
        <v>3.7081394337012643</v>
      </c>
      <c r="GD784">
        <v>2.5835715859767596</v>
      </c>
      <c r="GE784">
        <v>2.5439259787099688</v>
      </c>
      <c r="GF784">
        <v>2.0157483161433873</v>
      </c>
      <c r="GG784">
        <v>1.325163223887444</v>
      </c>
      <c r="GH784">
        <v>0.60080431445180338</v>
      </c>
      <c r="GI784">
        <v>11.453351938823854</v>
      </c>
      <c r="GJ784"/>
      <c r="GK784"/>
      <c r="GL784"/>
      <c r="GM784"/>
      <c r="GN784" s="208"/>
      <c r="GO784" s="208"/>
      <c r="GP784" s="208"/>
      <c r="GQ784" s="208"/>
      <c r="GR784" s="208"/>
      <c r="GS784" s="208"/>
      <c r="GT784" s="208"/>
      <c r="GU784" s="213">
        <v>779</v>
      </c>
    </row>
    <row r="785" spans="1:203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81.085193938686601</v>
      </c>
      <c r="AO785">
        <v>11.543930685819634</v>
      </c>
      <c r="AP785">
        <v>61.271663301039965</v>
      </c>
      <c r="AQ785">
        <v>85.876333246985581</v>
      </c>
      <c r="AR785">
        <v>10.757563000397353</v>
      </c>
      <c r="AS785">
        <v>133.88806163978751</v>
      </c>
      <c r="AT785">
        <v>7.1799306066084361</v>
      </c>
      <c r="AU785">
        <v>24.741330229871103</v>
      </c>
      <c r="AV785"/>
      <c r="AW785"/>
      <c r="FY785" s="213">
        <v>780</v>
      </c>
      <c r="FZ785">
        <v>14.902202754770267</v>
      </c>
      <c r="GA785">
        <v>22.379947874956329</v>
      </c>
      <c r="GB785">
        <v>10.680072882764749</v>
      </c>
      <c r="GC785">
        <v>5.616709813086711</v>
      </c>
      <c r="GD785">
        <v>2.2632541777812705</v>
      </c>
      <c r="GE785">
        <v>2.4506270298712223</v>
      </c>
      <c r="GF785">
        <v>3.4302217648107689</v>
      </c>
      <c r="GG785">
        <v>5.1224866960677611</v>
      </c>
      <c r="GH785">
        <v>4.3223472521243185</v>
      </c>
      <c r="GI785">
        <v>7.5558326916297309</v>
      </c>
      <c r="GJ785"/>
      <c r="GK785"/>
      <c r="GL785"/>
      <c r="GM785"/>
      <c r="GN785" s="208"/>
      <c r="GO785" s="208"/>
      <c r="GP785" s="208"/>
      <c r="GQ785" s="208"/>
      <c r="GR785" s="208"/>
      <c r="GS785" s="208"/>
      <c r="GT785" s="208"/>
      <c r="GU785" s="213">
        <v>780</v>
      </c>
    </row>
    <row r="786" spans="1:203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80.550956076875181</v>
      </c>
      <c r="AO786">
        <v>10.77828735884748</v>
      </c>
      <c r="AP786">
        <v>41.550141219417725</v>
      </c>
      <c r="AQ786">
        <v>80.178906713894349</v>
      </c>
      <c r="AR786">
        <v>10.062936584103214</v>
      </c>
      <c r="AS786">
        <v>134.67623520914267</v>
      </c>
      <c r="AT786" t="e">
        <v>#DIV/0!</v>
      </c>
      <c r="AU786" t="e">
        <v>#DIV/0!</v>
      </c>
      <c r="AV786"/>
      <c r="AW786"/>
      <c r="FY786" s="213">
        <v>781</v>
      </c>
      <c r="FZ786">
        <v>18.186946169695542</v>
      </c>
      <c r="GA786">
        <v>19.258440465170722</v>
      </c>
      <c r="GB786">
        <v>5.3720850291737632</v>
      </c>
      <c r="GC786">
        <v>4.4488369649045065</v>
      </c>
      <c r="GD786">
        <v>1.9140536540335897</v>
      </c>
      <c r="GE786">
        <v>1.6690249371119146</v>
      </c>
      <c r="GF786">
        <v>3.8362078965587596</v>
      </c>
      <c r="GG786">
        <v>5.4171638191400691</v>
      </c>
      <c r="GH786">
        <v>3.1207386232207117</v>
      </c>
      <c r="GI786">
        <v>6.3679031142655091</v>
      </c>
      <c r="GJ786"/>
      <c r="GK786"/>
      <c r="GL786"/>
      <c r="GM786"/>
      <c r="GN786" s="208"/>
      <c r="GO786" s="208"/>
      <c r="GP786" s="208"/>
      <c r="GQ786" s="208"/>
      <c r="GR786" s="208"/>
      <c r="GS786" s="208"/>
      <c r="GT786" s="208"/>
      <c r="GU786" s="213">
        <v>781</v>
      </c>
    </row>
    <row r="787" spans="1:203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88.074244505494519</v>
      </c>
      <c r="AO787">
        <v>13.428763229032517</v>
      </c>
      <c r="AP787">
        <v>106.0639993504262</v>
      </c>
      <c r="AQ787">
        <v>110.55782609468788</v>
      </c>
      <c r="AR787">
        <v>12.393649312927353</v>
      </c>
      <c r="AS787">
        <v>152.09521398262154</v>
      </c>
      <c r="AT787" t="e">
        <v>#DIV/0!</v>
      </c>
      <c r="AU787" t="e">
        <v>#DIV/0!</v>
      </c>
      <c r="AV787"/>
      <c r="AW787"/>
      <c r="FY787" s="213">
        <v>782</v>
      </c>
      <c r="FZ787">
        <v>37.46329218137177</v>
      </c>
      <c r="GA787">
        <v>44.353754900451612</v>
      </c>
      <c r="GB787">
        <v>11.236489916004585</v>
      </c>
      <c r="GC787">
        <v>7.4621634358939293</v>
      </c>
      <c r="GD787">
        <v>2.8530167156429775</v>
      </c>
      <c r="GE787">
        <v>2.7090936705288051</v>
      </c>
      <c r="GF787">
        <v>2.307699197812211</v>
      </c>
      <c r="GG787">
        <v>1.5916391105040424</v>
      </c>
      <c r="GH787">
        <v>0.60080431445180338</v>
      </c>
      <c r="GI787">
        <v>10.556004267979217</v>
      </c>
      <c r="GJ787"/>
      <c r="GK787"/>
      <c r="GL787"/>
      <c r="GM787"/>
      <c r="GN787" s="208"/>
      <c r="GO787" s="208"/>
      <c r="GP787" s="208"/>
      <c r="GQ787" s="208"/>
      <c r="GR787" s="208"/>
      <c r="GS787" s="208"/>
      <c r="GT787" s="208"/>
      <c r="GU787" s="213">
        <v>782</v>
      </c>
    </row>
    <row r="788" spans="1:203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89.388742661815684</v>
      </c>
      <c r="AO788">
        <v>11.785920490974553</v>
      </c>
      <c r="AP788">
        <v>66.15310665659544</v>
      </c>
      <c r="AQ788">
        <v>88.114456877519928</v>
      </c>
      <c r="AR788">
        <v>10.917089605123834</v>
      </c>
      <c r="AS788">
        <v>153.37696332517211</v>
      </c>
      <c r="AT788" t="e">
        <v>#DIV/0!</v>
      </c>
      <c r="AU788" t="e">
        <v>#DIV/0!</v>
      </c>
      <c r="AV788"/>
      <c r="AW788"/>
      <c r="FY788" s="213">
        <v>783</v>
      </c>
      <c r="FZ788">
        <v>30.856922429780919</v>
      </c>
      <c r="GA788">
        <v>36.152370556050165</v>
      </c>
      <c r="GB788">
        <v>8.2050968489200056</v>
      </c>
      <c r="GC788">
        <v>5.2273114561119405</v>
      </c>
      <c r="GD788">
        <v>2.4956486035853223</v>
      </c>
      <c r="GE788">
        <v>2.8320795266021661</v>
      </c>
      <c r="GF788">
        <v>4.7027122640684889</v>
      </c>
      <c r="GG788">
        <v>3.963520292067559</v>
      </c>
      <c r="GH788">
        <v>0</v>
      </c>
      <c r="GI788">
        <v>8.9964672293874397</v>
      </c>
      <c r="GJ788"/>
      <c r="GK788"/>
      <c r="GL788"/>
      <c r="GM788"/>
      <c r="GN788" s="208"/>
      <c r="GO788" s="208"/>
      <c r="GP788" s="208"/>
      <c r="GQ788" s="208"/>
      <c r="GR788" s="208"/>
      <c r="GS788" s="208"/>
      <c r="GT788" s="208"/>
      <c r="GU788" s="213">
        <v>783</v>
      </c>
    </row>
    <row r="789" spans="1:203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76.808634569359725</v>
      </c>
      <c r="AO789">
        <v>10.642587182792786</v>
      </c>
      <c r="AP789">
        <v>48.792251319876556</v>
      </c>
      <c r="AQ789">
        <v>74.026472550779403</v>
      </c>
      <c r="AR789">
        <v>9.7791941277725751</v>
      </c>
      <c r="AS789">
        <v>140.61587619292447</v>
      </c>
      <c r="AT789">
        <v>6.2093045078419964</v>
      </c>
      <c r="AU789">
        <v>17.383369017645734</v>
      </c>
      <c r="AV789"/>
      <c r="AW789"/>
      <c r="FY789" s="213">
        <v>784</v>
      </c>
      <c r="FZ789">
        <v>11.877975412661382</v>
      </c>
      <c r="GA789">
        <v>21.378214982768839</v>
      </c>
      <c r="GB789">
        <v>10.121923670226307</v>
      </c>
      <c r="GC789">
        <v>4.387017582137072</v>
      </c>
      <c r="GD789">
        <v>1.8785912968876779</v>
      </c>
      <c r="GE789">
        <v>2.0677636142187046</v>
      </c>
      <c r="GF789">
        <v>4.4693682158807189</v>
      </c>
      <c r="GG789">
        <v>3.4402748049785967</v>
      </c>
      <c r="GH789">
        <v>1.2016086289036068</v>
      </c>
      <c r="GI789">
        <v>6.4631019123022124</v>
      </c>
      <c r="GJ789"/>
      <c r="GK789"/>
      <c r="GL789"/>
      <c r="GM789"/>
      <c r="GN789" s="208"/>
      <c r="GO789" s="208"/>
      <c r="GP789" s="208"/>
      <c r="GQ789" s="208"/>
      <c r="GR789" s="208"/>
      <c r="GS789" s="208"/>
      <c r="GT789" s="208"/>
      <c r="GU789" s="213">
        <v>784</v>
      </c>
    </row>
    <row r="790" spans="1:203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89.327995531767073</v>
      </c>
      <c r="AO790">
        <v>11.840957996777142</v>
      </c>
      <c r="AP790">
        <v>57.611437642260107</v>
      </c>
      <c r="AQ790">
        <v>76.17391817253035</v>
      </c>
      <c r="AR790">
        <v>10.947880966345899</v>
      </c>
      <c r="AS790">
        <v>154.52042121983712</v>
      </c>
      <c r="AT790" t="e">
        <v>#DIV/0!</v>
      </c>
      <c r="AU790" t="e">
        <v>#DIV/0!</v>
      </c>
      <c r="AV790"/>
      <c r="AW790"/>
      <c r="FY790" s="213">
        <v>785</v>
      </c>
      <c r="FZ790">
        <v>34.919187967465717</v>
      </c>
      <c r="GA790">
        <v>40.366964109100834</v>
      </c>
      <c r="GB790">
        <v>7.9277624523303212</v>
      </c>
      <c r="GC790">
        <v>5.810150951895654</v>
      </c>
      <c r="GD790">
        <v>2.0436191015371401</v>
      </c>
      <c r="GE790">
        <v>2.0866921618489664</v>
      </c>
      <c r="GF790">
        <v>3.68000652466643</v>
      </c>
      <c r="GG790">
        <v>3.7995863784967598</v>
      </c>
      <c r="GH790">
        <v>1.5603693116103559</v>
      </c>
      <c r="GI790">
        <v>9.2406088183198847</v>
      </c>
      <c r="GJ790"/>
      <c r="GK790"/>
      <c r="GL790"/>
      <c r="GM790"/>
      <c r="GN790" s="208"/>
      <c r="GO790" s="208"/>
      <c r="GP790" s="208"/>
      <c r="GQ790" s="208"/>
      <c r="GR790" s="208"/>
      <c r="GS790" s="208"/>
      <c r="GT790" s="208"/>
      <c r="GU790" s="213">
        <v>785</v>
      </c>
    </row>
    <row r="791" spans="1:203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79.750191018788911</v>
      </c>
      <c r="AO791">
        <v>11.23287874990017</v>
      </c>
      <c r="AP791">
        <v>47.277641384513643</v>
      </c>
      <c r="AQ791">
        <v>78.183229032963695</v>
      </c>
      <c r="AR791">
        <v>10.505727062745292</v>
      </c>
      <c r="AS791">
        <v>134.96366094590979</v>
      </c>
      <c r="AT791">
        <v>6.5849040761841922</v>
      </c>
      <c r="AU791">
        <v>7.0626560129505069</v>
      </c>
      <c r="AV791"/>
      <c r="AW791"/>
      <c r="FY791" s="213">
        <v>786</v>
      </c>
      <c r="FZ791">
        <v>29.80029022276106</v>
      </c>
      <c r="GA791">
        <v>43.618419300646778</v>
      </c>
      <c r="GB791">
        <v>9.0305409820324378</v>
      </c>
      <c r="GC791">
        <v>3.9113452884435613</v>
      </c>
      <c r="GD791">
        <v>1.8285044623082369</v>
      </c>
      <c r="GE791">
        <v>1.8763881167216412</v>
      </c>
      <c r="GF791">
        <v>1.0512061633867584</v>
      </c>
      <c r="GG791">
        <v>5.137471414951146</v>
      </c>
      <c r="GH791">
        <v>6.2414772464414234</v>
      </c>
      <c r="GI791">
        <v>8.9654414159149525</v>
      </c>
      <c r="GJ791"/>
      <c r="GK791"/>
      <c r="GL791"/>
      <c r="GM791"/>
      <c r="GN791" s="208"/>
      <c r="GO791" s="208"/>
      <c r="GP791" s="208"/>
      <c r="GQ791" s="208"/>
      <c r="GR791" s="208"/>
      <c r="GS791" s="208"/>
      <c r="GT791" s="208"/>
      <c r="GU791" s="213">
        <v>786</v>
      </c>
    </row>
    <row r="792" spans="1:203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97.342309289247666</v>
      </c>
      <c r="AO792">
        <v>10.997384382363709</v>
      </c>
      <c r="AP792">
        <v>54.471776205562847</v>
      </c>
      <c r="AQ792">
        <v>71.948034597986322</v>
      </c>
      <c r="AR792">
        <v>10.397668596755652</v>
      </c>
      <c r="AS792">
        <v>144.4993659542227</v>
      </c>
      <c r="AT792">
        <v>6.7089938013532047</v>
      </c>
      <c r="AU792">
        <v>28.39701843118447</v>
      </c>
      <c r="AV792"/>
      <c r="AW792"/>
      <c r="FY792" s="213">
        <v>787</v>
      </c>
      <c r="FZ792">
        <v>35.76857261874504</v>
      </c>
      <c r="GA792">
        <v>43.03501934296618</v>
      </c>
      <c r="GB792">
        <v>6.7880677110153398</v>
      </c>
      <c r="GC792">
        <v>4.3142960528531837</v>
      </c>
      <c r="GD792">
        <v>1.8507719615431824</v>
      </c>
      <c r="GE792">
        <v>2.0536287723999558</v>
      </c>
      <c r="GF792">
        <v>5.7601518670884122</v>
      </c>
      <c r="GG792">
        <v>5.6229950485090692</v>
      </c>
      <c r="GH792">
        <v>2.7619779405139626</v>
      </c>
      <c r="GI792">
        <v>9.5766766725185608</v>
      </c>
      <c r="GJ792"/>
      <c r="GK792"/>
      <c r="GL792"/>
      <c r="GM792"/>
      <c r="GN792" s="208"/>
      <c r="GO792" s="208"/>
      <c r="GP792" s="208"/>
      <c r="GQ792" s="208"/>
      <c r="GR792" s="208"/>
      <c r="GS792" s="208"/>
      <c r="GT792" s="208"/>
      <c r="GU792" s="213">
        <v>787</v>
      </c>
    </row>
    <row r="793" spans="1:203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86.998382648078376</v>
      </c>
      <c r="AO793">
        <v>16.858600629331175</v>
      </c>
      <c r="AP793">
        <v>128.34326887855545</v>
      </c>
      <c r="AQ793">
        <v>147.84879269993468</v>
      </c>
      <c r="AR793">
        <v>15.341469846892975</v>
      </c>
      <c r="AS793">
        <v>171.21288629005923</v>
      </c>
      <c r="AT793" t="e">
        <v>#DIV/0!</v>
      </c>
      <c r="AU793" t="e">
        <v>#DIV/0!</v>
      </c>
      <c r="AV793"/>
      <c r="AW793"/>
      <c r="FY793" s="213">
        <v>788</v>
      </c>
      <c r="FZ793">
        <v>17.142590632637987</v>
      </c>
      <c r="GA793">
        <v>18.674474884758737</v>
      </c>
      <c r="GB793">
        <v>4.2335735785296418</v>
      </c>
      <c r="GC793">
        <v>3.7180969465589033</v>
      </c>
      <c r="GD793">
        <v>2.5419168143447219</v>
      </c>
      <c r="GE793">
        <v>3.2170600827937692</v>
      </c>
      <c r="GF793">
        <v>4.2819312499563749</v>
      </c>
      <c r="GG793">
        <v>3.1019349267785095</v>
      </c>
      <c r="GH793">
        <v>0.60080431445180338</v>
      </c>
      <c r="GI793">
        <v>5.9139519811121684</v>
      </c>
      <c r="GJ793"/>
      <c r="GK793"/>
      <c r="GL793"/>
      <c r="GM793"/>
      <c r="GN793" s="208"/>
      <c r="GO793" s="208"/>
      <c r="GP793" s="208"/>
      <c r="GQ793" s="208"/>
      <c r="GR793" s="208"/>
      <c r="GS793" s="208"/>
      <c r="GT793" s="208"/>
      <c r="GU793" s="213">
        <v>788</v>
      </c>
    </row>
    <row r="794" spans="1:203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86.340373256213766</v>
      </c>
      <c r="AO794">
        <v>12.880038750907101</v>
      </c>
      <c r="AP794">
        <v>82.909265283208597</v>
      </c>
      <c r="AQ794">
        <v>106.8015862207526</v>
      </c>
      <c r="AR794">
        <v>11.932626857068716</v>
      </c>
      <c r="AS794">
        <v>152.23440742357622</v>
      </c>
      <c r="AT794">
        <v>8.432029695135169</v>
      </c>
      <c r="AU794">
        <v>17.219884631006352</v>
      </c>
      <c r="AV794"/>
      <c r="AW794"/>
      <c r="FY794" s="213">
        <v>789</v>
      </c>
      <c r="FZ794">
        <v>35.434297882733844</v>
      </c>
      <c r="GA794">
        <v>44.014663215586083</v>
      </c>
      <c r="GB794">
        <v>13.690357780635779</v>
      </c>
      <c r="GC794">
        <v>7.6312881109751425</v>
      </c>
      <c r="GD794">
        <v>1.9751830542442279</v>
      </c>
      <c r="GE794">
        <v>2.6815145684230237</v>
      </c>
      <c r="GF794">
        <v>1.746984466637713</v>
      </c>
      <c r="GG794">
        <v>1.3164337793661431</v>
      </c>
      <c r="GH794">
        <v>1.2016086289036068</v>
      </c>
      <c r="GI794">
        <v>10.349046846619963</v>
      </c>
      <c r="GJ794"/>
      <c r="GK794"/>
      <c r="GL794"/>
      <c r="GM794"/>
      <c r="GN794" s="208"/>
      <c r="GO794" s="208"/>
      <c r="GP794" s="208"/>
      <c r="GQ794" s="208"/>
      <c r="GR794" s="208"/>
      <c r="GS794" s="208"/>
      <c r="GT794" s="208"/>
      <c r="GU794" s="213">
        <v>789</v>
      </c>
    </row>
    <row r="795" spans="1:203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94.6162525587158</v>
      </c>
      <c r="AO795">
        <v>17.107956604739186</v>
      </c>
      <c r="AP795">
        <v>122.98553532107732</v>
      </c>
      <c r="AQ795">
        <v>152.83085192436289</v>
      </c>
      <c r="AR795">
        <v>15.824060782349056</v>
      </c>
      <c r="AS795">
        <v>199.8728488935146</v>
      </c>
      <c r="AT795" t="e">
        <v>#DIV/0!</v>
      </c>
      <c r="AU795" t="e">
        <v>#DIV/0!</v>
      </c>
      <c r="AV795"/>
      <c r="AW795"/>
      <c r="FY795" s="213">
        <v>790</v>
      </c>
      <c r="FZ795">
        <v>16.204833608228562</v>
      </c>
      <c r="GA795">
        <v>24.157951676261767</v>
      </c>
      <c r="GB795">
        <v>11.403181998412574</v>
      </c>
      <c r="GC795">
        <v>6.3737529807064091</v>
      </c>
      <c r="GD795">
        <v>2.564681621582551</v>
      </c>
      <c r="GE795">
        <v>2.6505546630459627</v>
      </c>
      <c r="GF795">
        <v>2.8472761291708366</v>
      </c>
      <c r="GG795">
        <v>4.3964227440510255</v>
      </c>
      <c r="GH795">
        <v>3.1207386232207117</v>
      </c>
      <c r="GI795">
        <v>7.7724175309547601</v>
      </c>
      <c r="GJ795"/>
      <c r="GK795"/>
      <c r="GL795"/>
      <c r="GM795"/>
      <c r="GN795" s="208"/>
      <c r="GO795" s="208"/>
      <c r="GP795" s="208"/>
      <c r="GQ795" s="208"/>
      <c r="GR795" s="208"/>
      <c r="GS795" s="208"/>
      <c r="GT795" s="208"/>
      <c r="GU795" s="213">
        <v>790</v>
      </c>
    </row>
    <row r="796" spans="1:203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68.855515528861105</v>
      </c>
      <c r="AO796">
        <v>11.274790049269637</v>
      </c>
      <c r="AP796">
        <v>44.84034279280138</v>
      </c>
      <c r="AQ796">
        <v>78.723702937863123</v>
      </c>
      <c r="AR796">
        <v>10.499729464200199</v>
      </c>
      <c r="AS796">
        <v>122.13953299072628</v>
      </c>
      <c r="AT796">
        <v>6.6241806765332569</v>
      </c>
      <c r="AU796">
        <v>17.440860956701243</v>
      </c>
      <c r="AV796"/>
      <c r="AW796"/>
      <c r="FY796" s="213">
        <v>791</v>
      </c>
      <c r="FZ796">
        <v>27.755303431353141</v>
      </c>
      <c r="GA796">
        <v>31.844807876431574</v>
      </c>
      <c r="GB796">
        <v>2.5457985396560789</v>
      </c>
      <c r="GC796">
        <v>2.6682397858567652</v>
      </c>
      <c r="GD796">
        <v>1.9175860805326388</v>
      </c>
      <c r="GE796">
        <v>2.0789276959737948</v>
      </c>
      <c r="GF796">
        <v>3.748071113462808</v>
      </c>
      <c r="GG796">
        <v>3.9138705605050865</v>
      </c>
      <c r="GH796">
        <v>2.1611736260621592</v>
      </c>
      <c r="GI796">
        <v>6.8979096247144698</v>
      </c>
      <c r="GJ796"/>
      <c r="GK796"/>
      <c r="GL796"/>
      <c r="GM796"/>
      <c r="GN796" s="208"/>
      <c r="GO796" s="208"/>
      <c r="GP796" s="208"/>
      <c r="GQ796" s="208"/>
      <c r="GR796" s="208"/>
      <c r="GS796" s="208"/>
      <c r="GT796" s="208"/>
      <c r="GU796" s="213">
        <v>791</v>
      </c>
    </row>
    <row r="797" spans="1:203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72.263737698144382</v>
      </c>
      <c r="AO797">
        <v>9.443035467899211</v>
      </c>
      <c r="AP797">
        <v>36.540353046178865</v>
      </c>
      <c r="AQ797">
        <v>69.591400673275089</v>
      </c>
      <c r="AR797">
        <v>8.7629844173769555</v>
      </c>
      <c r="AS797">
        <v>129.98933252362141</v>
      </c>
      <c r="AT797" t="e">
        <v>#DIV/0!</v>
      </c>
      <c r="AU797" t="e">
        <v>#DIV/0!</v>
      </c>
      <c r="AV797"/>
      <c r="AW797"/>
      <c r="FY797" s="213">
        <v>792</v>
      </c>
      <c r="FZ797">
        <v>31.591409424357359</v>
      </c>
      <c r="GA797">
        <v>42.134558900870495</v>
      </c>
      <c r="GB797">
        <v>14.487883732517087</v>
      </c>
      <c r="GC797">
        <v>7.6432834281861517</v>
      </c>
      <c r="GD797">
        <v>1.9407542087852654</v>
      </c>
      <c r="GE797">
        <v>1.952485659639092</v>
      </c>
      <c r="GF797">
        <v>3.1804370049551061</v>
      </c>
      <c r="GG797">
        <v>2.5280626793700449</v>
      </c>
      <c r="GH797">
        <v>0.60080431445180338</v>
      </c>
      <c r="GI797">
        <v>10.091547081501796</v>
      </c>
      <c r="GJ797"/>
      <c r="GK797"/>
      <c r="GL797"/>
      <c r="GM797"/>
      <c r="GN797" s="208"/>
      <c r="GO797" s="208"/>
      <c r="GP797" s="208"/>
      <c r="GQ797" s="208"/>
      <c r="GR797" s="208"/>
      <c r="GS797" s="208"/>
      <c r="GT797" s="208"/>
      <c r="GU797" s="213">
        <v>792</v>
      </c>
    </row>
    <row r="798" spans="1:203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104.71305179565195</v>
      </c>
      <c r="AO798">
        <v>15.698086799343693</v>
      </c>
      <c r="AP798">
        <v>91.201818592865294</v>
      </c>
      <c r="AQ798">
        <v>121.13395771064096</v>
      </c>
      <c r="AR798">
        <v>14.575509405205946</v>
      </c>
      <c r="AS798">
        <v>176.94755516250333</v>
      </c>
      <c r="AT798" t="e">
        <v>#DIV/0!</v>
      </c>
      <c r="AU798" t="e">
        <v>#DIV/0!</v>
      </c>
      <c r="AV798"/>
      <c r="AW798"/>
      <c r="FY798" s="213">
        <v>793</v>
      </c>
      <c r="FZ798">
        <v>15.590524115683314</v>
      </c>
      <c r="GA798">
        <v>23.098567602327748</v>
      </c>
      <c r="GB798">
        <v>8.1472643119574926</v>
      </c>
      <c r="GC798">
        <v>4.3901904852639522</v>
      </c>
      <c r="GD798">
        <v>2.4355140249140708</v>
      </c>
      <c r="GE798">
        <v>2.6994364454653503</v>
      </c>
      <c r="GF798">
        <v>4.5006772078452162</v>
      </c>
      <c r="GG798">
        <v>6.0589102649337647</v>
      </c>
      <c r="GH798">
        <v>3.1207386232207117</v>
      </c>
      <c r="GI798">
        <v>7.1774328731728376</v>
      </c>
      <c r="GJ798"/>
      <c r="GK798"/>
      <c r="GL798"/>
      <c r="GM798"/>
      <c r="GN798" s="208"/>
      <c r="GO798" s="208"/>
      <c r="GP798" s="208"/>
      <c r="GQ798" s="208"/>
      <c r="GR798" s="208"/>
      <c r="GS798" s="208"/>
      <c r="GT798" s="208"/>
      <c r="GU798" s="213">
        <v>793</v>
      </c>
    </row>
    <row r="799" spans="1:203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81.360602161952301</v>
      </c>
      <c r="AO799">
        <v>13.440146549798012</v>
      </c>
      <c r="AP799">
        <v>100.78537683703267</v>
      </c>
      <c r="AQ799">
        <v>103.432129206574</v>
      </c>
      <c r="AR799">
        <v>12.456388967256332</v>
      </c>
      <c r="AS799">
        <v>158.69060816730928</v>
      </c>
      <c r="AT799" t="e">
        <v>#DIV/0!</v>
      </c>
      <c r="AU799" t="e">
        <v>#DIV/0!</v>
      </c>
      <c r="AV799"/>
      <c r="AW799"/>
      <c r="FY799" s="213">
        <v>794</v>
      </c>
      <c r="FZ799">
        <v>19.034635273112507</v>
      </c>
      <c r="GA799">
        <v>21.577195158322166</v>
      </c>
      <c r="GB799">
        <v>6.8128043734864425</v>
      </c>
      <c r="GC799">
        <v>5.1354129299553906</v>
      </c>
      <c r="GD799">
        <v>2.0412387825270191</v>
      </c>
      <c r="GE799">
        <v>2.1304068472289828</v>
      </c>
      <c r="GF799">
        <v>6.3928689395747478</v>
      </c>
      <c r="GG799">
        <v>6.3371283605128905</v>
      </c>
      <c r="GH799">
        <v>3.9635865694175694</v>
      </c>
      <c r="GI799">
        <v>7.480361273943064</v>
      </c>
      <c r="GJ799"/>
      <c r="GK799"/>
      <c r="GL799"/>
      <c r="GM799"/>
      <c r="GN799" s="208"/>
      <c r="GO799" s="208"/>
      <c r="GP799" s="208"/>
      <c r="GQ799" s="208"/>
      <c r="GR799" s="208"/>
      <c r="GS799" s="208"/>
      <c r="GT799" s="208"/>
      <c r="GU799" s="213">
        <v>794</v>
      </c>
    </row>
    <row r="800" spans="1:203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75.965679030232778</v>
      </c>
      <c r="AO800">
        <v>9.5953805732199271</v>
      </c>
      <c r="AP800">
        <v>49.532738947010685</v>
      </c>
      <c r="AQ800">
        <v>67.285840120965119</v>
      </c>
      <c r="AR800">
        <v>9.0148824602760964</v>
      </c>
      <c r="AS800">
        <v>102.53884482871969</v>
      </c>
      <c r="AT800" t="e">
        <v>#DIV/0!</v>
      </c>
      <c r="AU800" t="e">
        <v>#DIV/0!</v>
      </c>
      <c r="AV800"/>
      <c r="AW800"/>
      <c r="FY800" s="213">
        <v>795</v>
      </c>
      <c r="FZ800">
        <v>34.092077066843572</v>
      </c>
      <c r="GA800">
        <v>39.414334213544663</v>
      </c>
      <c r="GB800">
        <v>6.2834362874728589</v>
      </c>
      <c r="GC800">
        <v>5.385668449152953</v>
      </c>
      <c r="GD800">
        <v>2.6517347263166315</v>
      </c>
      <c r="GE800">
        <v>2.4465341887626297</v>
      </c>
      <c r="GF800">
        <v>3.2463428835856236</v>
      </c>
      <c r="GG800">
        <v>3.6900418478114752</v>
      </c>
      <c r="GH800">
        <v>1.5603693116103559</v>
      </c>
      <c r="GI800">
        <v>8.9876087878776634</v>
      </c>
      <c r="GJ800"/>
      <c r="GK800"/>
      <c r="GL800"/>
      <c r="GM800"/>
      <c r="GN800" s="208"/>
      <c r="GO800" s="208"/>
      <c r="GP800" s="208"/>
      <c r="GQ800" s="208"/>
      <c r="GR800" s="208"/>
      <c r="GS800" s="208"/>
      <c r="GT800" s="208"/>
      <c r="GU800" s="213">
        <v>795</v>
      </c>
    </row>
    <row r="801" spans="1:203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98.378630920390535</v>
      </c>
      <c r="AO801">
        <v>13.893530003625575</v>
      </c>
      <c r="AP801">
        <v>83.369775004036271</v>
      </c>
      <c r="AQ801">
        <v>111.43494777727207</v>
      </c>
      <c r="AR801">
        <v>12.725209922111789</v>
      </c>
      <c r="AS801">
        <v>170.43474859425504</v>
      </c>
      <c r="AT801" t="e">
        <v>#DIV/0!</v>
      </c>
      <c r="AU801" t="e">
        <v>#DIV/0!</v>
      </c>
      <c r="AV801"/>
      <c r="AW801"/>
      <c r="FY801" s="213">
        <v>796</v>
      </c>
      <c r="FZ801">
        <v>35.228731450830253</v>
      </c>
      <c r="GA801">
        <v>39.543676904765846</v>
      </c>
      <c r="GB801">
        <v>4.8399258611161553</v>
      </c>
      <c r="GC801">
        <v>3.9055218777384169</v>
      </c>
      <c r="GD801">
        <v>2.3512567955659436</v>
      </c>
      <c r="GE801">
        <v>3.2136594082708649</v>
      </c>
      <c r="GF801">
        <v>6.1282892973549625</v>
      </c>
      <c r="GG801">
        <v>5.8215967367404362</v>
      </c>
      <c r="GH801">
        <v>2.1611736260621592</v>
      </c>
      <c r="GI801">
        <v>9.2770183127714265</v>
      </c>
      <c r="GJ801"/>
      <c r="GK801"/>
      <c r="GL801"/>
      <c r="GM801"/>
      <c r="GN801" s="208"/>
      <c r="GO801" s="208"/>
      <c r="GP801" s="208"/>
      <c r="GQ801" s="208"/>
      <c r="GR801" s="208"/>
      <c r="GS801" s="208"/>
      <c r="GT801" s="208"/>
      <c r="GU801" s="213">
        <v>796</v>
      </c>
    </row>
    <row r="802" spans="1:203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58.655787037037022</v>
      </c>
      <c r="AO802">
        <v>13.73876866696393</v>
      </c>
      <c r="AP802">
        <v>104.61332228355278</v>
      </c>
      <c r="AQ802">
        <v>111.46108461360798</v>
      </c>
      <c r="AR802">
        <v>12.522938143183632</v>
      </c>
      <c r="AS802">
        <v>139.96016540869428</v>
      </c>
      <c r="AT802" t="e">
        <v>#DIV/0!</v>
      </c>
      <c r="AU802" t="e">
        <v>#DIV/0!</v>
      </c>
      <c r="AV802"/>
      <c r="AW802"/>
      <c r="FY802" s="213">
        <v>797</v>
      </c>
      <c r="FZ802">
        <v>21.824731952236963</v>
      </c>
      <c r="GA802">
        <v>24.623676458955686</v>
      </c>
      <c r="GB802">
        <v>7.6007122421886777</v>
      </c>
      <c r="GC802">
        <v>6.014331160503513</v>
      </c>
      <c r="GD802">
        <v>2.7064428086764658</v>
      </c>
      <c r="GE802">
        <v>2.7510528381923089</v>
      </c>
      <c r="GF802">
        <v>6.6485074712473171</v>
      </c>
      <c r="GG802">
        <v>6.6360222602816039</v>
      </c>
      <c r="GH802">
        <v>1.5603693116103559</v>
      </c>
      <c r="GI802">
        <v>8.2063815705486398</v>
      </c>
      <c r="GJ802"/>
      <c r="GK802"/>
      <c r="GL802"/>
      <c r="GM802"/>
      <c r="GN802" s="208"/>
      <c r="GO802" s="208"/>
      <c r="GP802" s="208"/>
      <c r="GQ802" s="208"/>
      <c r="GR802" s="208"/>
      <c r="GS802" s="208"/>
      <c r="GT802" s="208"/>
      <c r="GU802" s="213">
        <v>797</v>
      </c>
    </row>
    <row r="803" spans="1:203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84.580228484703639</v>
      </c>
      <c r="AO803">
        <v>14.251641601445337</v>
      </c>
      <c r="AP803">
        <v>111.16000459956328</v>
      </c>
      <c r="AQ803">
        <v>117.53215798815289</v>
      </c>
      <c r="AR803">
        <v>13.243427238597617</v>
      </c>
      <c r="AS803">
        <v>177.94107640255322</v>
      </c>
      <c r="AT803">
        <v>9.2768162607177569</v>
      </c>
      <c r="AU803">
        <v>2.3715698160468883</v>
      </c>
      <c r="AV803"/>
      <c r="AW803"/>
      <c r="FY803" s="213">
        <v>798</v>
      </c>
      <c r="FZ803">
        <v>20.369179560818608</v>
      </c>
      <c r="GA803">
        <v>26.397347021657446</v>
      </c>
      <c r="GB803">
        <v>7.7399473209350553</v>
      </c>
      <c r="GC803">
        <v>4.6542973564938261</v>
      </c>
      <c r="GD803">
        <v>1.8498845960454779</v>
      </c>
      <c r="GE803">
        <v>1.9850766027849565</v>
      </c>
      <c r="GF803">
        <v>3.8864959781732686</v>
      </c>
      <c r="GG803">
        <v>4.3976700691626753</v>
      </c>
      <c r="GH803">
        <v>2.1611736260621592</v>
      </c>
      <c r="GI803">
        <v>7.0733132852943923</v>
      </c>
      <c r="GJ803"/>
      <c r="GK803"/>
      <c r="GL803"/>
      <c r="GM803"/>
      <c r="GN803" s="208"/>
      <c r="GO803" s="208"/>
      <c r="GP803" s="208"/>
      <c r="GQ803" s="208"/>
      <c r="GR803" s="208"/>
      <c r="GS803" s="208"/>
      <c r="GT803" s="208"/>
      <c r="GU803" s="213">
        <v>798</v>
      </c>
    </row>
    <row r="804" spans="1:203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82.016927925016162</v>
      </c>
      <c r="AO804">
        <v>8.6267433937411937</v>
      </c>
      <c r="AP804">
        <v>56.856620921680495</v>
      </c>
      <c r="AQ804">
        <v>63.426335411922629</v>
      </c>
      <c r="AR804">
        <v>8.07217636704498</v>
      </c>
      <c r="AS804">
        <v>125.00086720985993</v>
      </c>
      <c r="AT804" t="e">
        <v>#DIV/0!</v>
      </c>
      <c r="AU804" t="e">
        <v>#DIV/0!</v>
      </c>
      <c r="AV804"/>
      <c r="AW804"/>
      <c r="FY804" s="213">
        <v>799</v>
      </c>
      <c r="FZ804">
        <v>16.341930665043567</v>
      </c>
      <c r="GA804">
        <v>21.23417338581914</v>
      </c>
      <c r="GB804">
        <v>5.0354788432705062</v>
      </c>
      <c r="GC804">
        <v>3.5045720511136684</v>
      </c>
      <c r="GD804">
        <v>2.117544832867793</v>
      </c>
      <c r="GE804">
        <v>1.9685274269148203</v>
      </c>
      <c r="GF804">
        <v>2.8571771313217846</v>
      </c>
      <c r="GG804">
        <v>2.2373753494959958</v>
      </c>
      <c r="GH804">
        <v>0</v>
      </c>
      <c r="GI804">
        <v>5.4184847144727737</v>
      </c>
      <c r="GJ804"/>
      <c r="GK804"/>
      <c r="GL804"/>
      <c r="GM804"/>
      <c r="GN804" s="208"/>
      <c r="GO804" s="208"/>
      <c r="GP804" s="208"/>
      <c r="GQ804" s="208"/>
      <c r="GR804" s="208"/>
      <c r="GS804" s="208"/>
      <c r="GT804" s="208"/>
      <c r="GU804" s="213">
        <v>799</v>
      </c>
    </row>
    <row r="805" spans="1:203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100.25148819585306</v>
      </c>
      <c r="AO805">
        <v>15.580561173903408</v>
      </c>
      <c r="AP805">
        <v>121.8827049753028</v>
      </c>
      <c r="AQ805">
        <v>120.04137833412554</v>
      </c>
      <c r="AR805">
        <v>14.345659210082124</v>
      </c>
      <c r="AS805">
        <v>180.54023588393403</v>
      </c>
      <c r="AT805" t="e">
        <v>#DIV/0!</v>
      </c>
      <c r="AU805" t="e">
        <v>#DIV/0!</v>
      </c>
      <c r="AV805"/>
      <c r="AW805"/>
      <c r="FY805" s="213">
        <v>800</v>
      </c>
      <c r="FZ805">
        <v>52.101800299991453</v>
      </c>
      <c r="GA805">
        <v>65.313952563530961</v>
      </c>
      <c r="GB805">
        <v>8.0142858139257793</v>
      </c>
      <c r="GC805">
        <v>4.8166218799286646</v>
      </c>
      <c r="GD805">
        <v>3.1282191321287338</v>
      </c>
      <c r="GE805">
        <v>3.1899219886115904</v>
      </c>
      <c r="GF805">
        <v>1.4589713374843494</v>
      </c>
      <c r="GG805">
        <v>2.074191294049982</v>
      </c>
      <c r="GH805">
        <v>3.3627822549657664</v>
      </c>
      <c r="GI805">
        <v>12.349925666130023</v>
      </c>
      <c r="GJ805"/>
      <c r="GK805"/>
      <c r="GL805"/>
      <c r="GM805"/>
      <c r="GN805" s="208"/>
      <c r="GO805" s="208"/>
      <c r="GP805" s="208"/>
      <c r="GQ805" s="208"/>
      <c r="GR805" s="208"/>
      <c r="GS805" s="208"/>
      <c r="GT805" s="208"/>
      <c r="GU805" s="213">
        <v>800</v>
      </c>
    </row>
    <row r="806" spans="1:203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78.752000661375661</v>
      </c>
      <c r="AO806">
        <v>11.783599992088863</v>
      </c>
      <c r="AP806">
        <v>41.102426339314768</v>
      </c>
      <c r="AQ806">
        <v>81.491811575635154</v>
      </c>
      <c r="AR806">
        <v>10.804881833409446</v>
      </c>
      <c r="AS806">
        <v>136.2931169402583</v>
      </c>
      <c r="AT806" t="e">
        <v>#DIV/0!</v>
      </c>
      <c r="AU806" t="e">
        <v>#DIV/0!</v>
      </c>
      <c r="AV806"/>
      <c r="AW806"/>
      <c r="FY806" s="213">
        <v>801</v>
      </c>
      <c r="FZ806">
        <v>50.47063892806873</v>
      </c>
      <c r="GA806">
        <v>61.832378740059291</v>
      </c>
      <c r="GB806">
        <v>8.5752224576018072</v>
      </c>
      <c r="GC806">
        <v>5.2736120384021721</v>
      </c>
      <c r="GD806">
        <v>2.2790996772518417</v>
      </c>
      <c r="GE806">
        <v>2.7792410737152649</v>
      </c>
      <c r="GF806">
        <v>1.8267290999346386</v>
      </c>
      <c r="GG806">
        <v>1.1826778054234075</v>
      </c>
      <c r="GH806">
        <v>0</v>
      </c>
      <c r="GI806">
        <v>11.221461262492356</v>
      </c>
      <c r="GJ806"/>
      <c r="GK806"/>
      <c r="GL806"/>
      <c r="GM806"/>
      <c r="GN806" s="208"/>
      <c r="GO806" s="208"/>
      <c r="GP806" s="208"/>
      <c r="GQ806" s="208"/>
      <c r="GR806" s="208"/>
      <c r="GS806" s="208"/>
      <c r="GT806" s="208"/>
      <c r="GU806" s="213">
        <v>801</v>
      </c>
    </row>
    <row r="807" spans="1:203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64.930797361679737</v>
      </c>
      <c r="AO807">
        <v>10.300325248358146</v>
      </c>
      <c r="AP807">
        <v>74.857306490180207</v>
      </c>
      <c r="AQ807">
        <v>85.531688334548534</v>
      </c>
      <c r="AR807">
        <v>9.5297257174753387</v>
      </c>
      <c r="AS807">
        <v>110.30693532543026</v>
      </c>
      <c r="AT807">
        <v>6.7233524970459868</v>
      </c>
      <c r="AU807">
        <v>22.295522113354476</v>
      </c>
      <c r="AV807"/>
      <c r="AW807"/>
      <c r="FY807" s="213">
        <v>802</v>
      </c>
      <c r="FZ807">
        <v>32.879503297105103</v>
      </c>
      <c r="GA807">
        <v>37.219090277352208</v>
      </c>
      <c r="GB807">
        <v>5.9788254640912433</v>
      </c>
      <c r="GC807">
        <v>4.2471631095634592</v>
      </c>
      <c r="GD807">
        <v>2.0242358457712895</v>
      </c>
      <c r="GE807">
        <v>2.8043859941688147</v>
      </c>
      <c r="GF807">
        <v>2.1737287303853163</v>
      </c>
      <c r="GG807">
        <v>1.6964439898662835</v>
      </c>
      <c r="GH807">
        <v>0.60080431445180338</v>
      </c>
      <c r="GI807">
        <v>8.0603885427607374</v>
      </c>
      <c r="GJ807"/>
      <c r="GK807"/>
      <c r="GL807"/>
      <c r="GM807"/>
      <c r="GN807" s="208"/>
      <c r="GO807" s="208"/>
      <c r="GP807" s="208"/>
      <c r="GQ807" s="208"/>
      <c r="GR807" s="208"/>
      <c r="GS807" s="208"/>
      <c r="GT807" s="208"/>
      <c r="GU807" s="213">
        <v>802</v>
      </c>
    </row>
    <row r="808" spans="1:203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101.93843105212906</v>
      </c>
      <c r="AO808">
        <v>15.148335671961458</v>
      </c>
      <c r="AP808">
        <v>76.230244785061558</v>
      </c>
      <c r="AQ808">
        <v>116.15122643463422</v>
      </c>
      <c r="AR808">
        <v>13.945748358201202</v>
      </c>
      <c r="AS808">
        <v>183.51382623380945</v>
      </c>
      <c r="AT808" t="e">
        <v>#DIV/0!</v>
      </c>
      <c r="AU808" t="e">
        <v>#DIV/0!</v>
      </c>
      <c r="AV808"/>
      <c r="AW808"/>
      <c r="FY808" s="213">
        <v>803</v>
      </c>
      <c r="FZ808">
        <v>17.942284437185826</v>
      </c>
      <c r="GA808">
        <v>23.383897098259855</v>
      </c>
      <c r="GB808">
        <v>8.2637858627277989</v>
      </c>
      <c r="GC808">
        <v>4.7218962120676862</v>
      </c>
      <c r="GD808">
        <v>1.3687844129123174</v>
      </c>
      <c r="GE808">
        <v>1.7172186624975221</v>
      </c>
      <c r="GF808">
        <v>5.354545403156683</v>
      </c>
      <c r="GG808">
        <v>5.2050773154089862</v>
      </c>
      <c r="GH808">
        <v>2.1611736260621592</v>
      </c>
      <c r="GI808">
        <v>6.8891526016212303</v>
      </c>
      <c r="GJ808"/>
      <c r="GK808"/>
      <c r="GL808"/>
      <c r="GM808"/>
      <c r="GN808" s="208"/>
      <c r="GO808" s="208"/>
      <c r="GP808" s="208"/>
      <c r="GQ808" s="208"/>
      <c r="GR808" s="208"/>
      <c r="GS808" s="208"/>
      <c r="GT808" s="208"/>
      <c r="GU808" s="213">
        <v>803</v>
      </c>
    </row>
    <row r="809" spans="1:203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75.703712183738816</v>
      </c>
      <c r="AO809">
        <v>10.852314649693588</v>
      </c>
      <c r="AP809">
        <v>43.510583265461044</v>
      </c>
      <c r="AQ809">
        <v>77.219255954784458</v>
      </c>
      <c r="AR809">
        <v>9.9802586106958806</v>
      </c>
      <c r="AS809">
        <v>127.78115768996366</v>
      </c>
      <c r="AT809" t="e">
        <v>#DIV/0!</v>
      </c>
      <c r="AU809" t="e">
        <v>#DIV/0!</v>
      </c>
      <c r="AV809"/>
      <c r="AW809"/>
      <c r="FY809" s="213">
        <v>804</v>
      </c>
      <c r="FZ809">
        <v>19.19114996749385</v>
      </c>
      <c r="GA809">
        <v>21.44162179222452</v>
      </c>
      <c r="GB809">
        <v>6.2446222890346705</v>
      </c>
      <c r="GC809">
        <v>4.9821740231484837</v>
      </c>
      <c r="GD809">
        <v>2.0771998501613518</v>
      </c>
      <c r="GE809">
        <v>1.8916533582964745</v>
      </c>
      <c r="GF809">
        <v>3.7949979024433134</v>
      </c>
      <c r="GG809">
        <v>4.3365279449282141</v>
      </c>
      <c r="GH809">
        <v>1.5603693116103559</v>
      </c>
      <c r="GI809">
        <v>6.5405743507063541</v>
      </c>
      <c r="GJ809"/>
      <c r="GK809"/>
      <c r="GL809"/>
      <c r="GM809"/>
      <c r="GN809" s="208"/>
      <c r="GO809" s="208"/>
      <c r="GP809" s="208"/>
      <c r="GQ809" s="208"/>
      <c r="GR809" s="208"/>
      <c r="GS809" s="208"/>
      <c r="GT809" s="208"/>
      <c r="GU809" s="213">
        <v>804</v>
      </c>
    </row>
    <row r="810" spans="1:203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91.134819645880754</v>
      </c>
      <c r="AO810">
        <v>10.907643752352051</v>
      </c>
      <c r="AP810">
        <v>54.889751538298555</v>
      </c>
      <c r="AQ810">
        <v>80.90563850808077</v>
      </c>
      <c r="AR810">
        <v>10.266004069461273</v>
      </c>
      <c r="AS810">
        <v>133.40491314421104</v>
      </c>
      <c r="AT810">
        <v>7.2734816261465687</v>
      </c>
      <c r="AU810">
        <v>22.393017113876624</v>
      </c>
      <c r="AV810"/>
      <c r="AW810"/>
      <c r="FY810" s="213">
        <v>805</v>
      </c>
      <c r="FZ810">
        <v>36.865067005211316</v>
      </c>
      <c r="GA810">
        <v>48.722485793917336</v>
      </c>
      <c r="GB810">
        <v>8.6954980664554409</v>
      </c>
      <c r="GC810">
        <v>4.3691126540829055</v>
      </c>
      <c r="GD810">
        <v>1.7132582065793818</v>
      </c>
      <c r="GE810">
        <v>1.8410486609675221</v>
      </c>
      <c r="GF810">
        <v>4.7209320180859802</v>
      </c>
      <c r="GG810">
        <v>4.9493232961414151</v>
      </c>
      <c r="GH810">
        <v>1.5603693116103559</v>
      </c>
      <c r="GI810">
        <v>9.7578222863234707</v>
      </c>
      <c r="GJ810"/>
      <c r="GK810"/>
      <c r="GL810"/>
      <c r="GM810"/>
      <c r="GN810" s="208"/>
      <c r="GO810" s="208"/>
      <c r="GP810" s="208"/>
      <c r="GQ810" s="208"/>
      <c r="GR810" s="208"/>
      <c r="GS810" s="208"/>
      <c r="GT810" s="208"/>
      <c r="GU810" s="213">
        <v>805</v>
      </c>
    </row>
    <row r="811" spans="1:203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93.390020572405192</v>
      </c>
      <c r="AO811">
        <v>13.544546452822903</v>
      </c>
      <c r="AP811">
        <v>75.038081558656387</v>
      </c>
      <c r="AQ811">
        <v>107.75814776297842</v>
      </c>
      <c r="AR811">
        <v>12.390272977484846</v>
      </c>
      <c r="AS811">
        <v>153.2186742269071</v>
      </c>
      <c r="AT811" t="e">
        <v>#DIV/0!</v>
      </c>
      <c r="AU811" t="e">
        <v>#DIV/0!</v>
      </c>
      <c r="AV811"/>
      <c r="AW811"/>
      <c r="FY811" s="213">
        <v>806</v>
      </c>
      <c r="FZ811">
        <v>42.346202200067566</v>
      </c>
      <c r="GA811">
        <v>51.858455273117769</v>
      </c>
      <c r="GB811">
        <v>6.0633019852099572</v>
      </c>
      <c r="GC811">
        <v>3.9776795487744314</v>
      </c>
      <c r="GD811">
        <v>2.100007146290197</v>
      </c>
      <c r="GE811">
        <v>1.9767394666822238</v>
      </c>
      <c r="GF811">
        <v>2.4635209018882795</v>
      </c>
      <c r="GG811">
        <v>3.120159393601269</v>
      </c>
      <c r="GH811">
        <v>1.5603693116103559</v>
      </c>
      <c r="GI811">
        <v>9.7269108198467045</v>
      </c>
      <c r="GJ811"/>
      <c r="GK811"/>
      <c r="GL811"/>
      <c r="GM811"/>
      <c r="GN811" s="208"/>
      <c r="GO811" s="208"/>
      <c r="GP811" s="208"/>
      <c r="GQ811" s="208"/>
      <c r="GR811" s="208"/>
      <c r="GS811" s="208"/>
      <c r="GT811" s="208"/>
      <c r="GU811" s="213">
        <v>806</v>
      </c>
    </row>
    <row r="812" spans="1:203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92.81953888835227</v>
      </c>
      <c r="AO812">
        <v>13.827066216341345</v>
      </c>
      <c r="AP812">
        <v>90.258139551367563</v>
      </c>
      <c r="AQ812">
        <v>112.47085027121649</v>
      </c>
      <c r="AR812">
        <v>12.804162362201247</v>
      </c>
      <c r="AS812">
        <v>165.01069803873432</v>
      </c>
      <c r="AT812">
        <v>8.8079933551465786</v>
      </c>
      <c r="AU812">
        <v>26.745825841493435</v>
      </c>
      <c r="AV812"/>
      <c r="AW812"/>
      <c r="FY812" s="213">
        <v>807</v>
      </c>
      <c r="FZ812">
        <v>46.325018907225193</v>
      </c>
      <c r="GA812">
        <v>55.188735767549957</v>
      </c>
      <c r="GB812">
        <v>3.5163903611207887</v>
      </c>
      <c r="GC812">
        <v>2.5669085166711909</v>
      </c>
      <c r="GD812">
        <v>1.8880877619704184</v>
      </c>
      <c r="GE812">
        <v>2.1533470133717598</v>
      </c>
      <c r="GF812">
        <v>3.190338007106055</v>
      </c>
      <c r="GG812">
        <v>3.2044768998243085</v>
      </c>
      <c r="GH812">
        <v>3.3627822549657664</v>
      </c>
      <c r="GI812">
        <v>9.9898584055767916</v>
      </c>
      <c r="GJ812"/>
      <c r="GK812"/>
      <c r="GL812"/>
      <c r="GM812"/>
      <c r="GN812" s="208"/>
      <c r="GO812" s="208"/>
      <c r="GP812" s="208"/>
      <c r="GQ812" s="208"/>
      <c r="GR812" s="208"/>
      <c r="GS812" s="208"/>
      <c r="GT812" s="208"/>
      <c r="GU812" s="213">
        <v>807</v>
      </c>
    </row>
    <row r="813" spans="1:203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89.670624322525924</v>
      </c>
      <c r="AO813">
        <v>12.343898150715605</v>
      </c>
      <c r="AP813">
        <v>60.679408025518782</v>
      </c>
      <c r="AQ813">
        <v>88.57222807444154</v>
      </c>
      <c r="AR813">
        <v>11.327503174174868</v>
      </c>
      <c r="AS813">
        <v>140.19607861637294</v>
      </c>
      <c r="AT813" t="e">
        <v>#DIV/0!</v>
      </c>
      <c r="AU813" t="e">
        <v>#DIV/0!</v>
      </c>
      <c r="AV813"/>
      <c r="AW813"/>
      <c r="FY813" s="213">
        <v>808</v>
      </c>
      <c r="FZ813">
        <v>42.489543279212263</v>
      </c>
      <c r="GA813">
        <v>54.60396964917868</v>
      </c>
      <c r="GB813">
        <v>10.703594748981565</v>
      </c>
      <c r="GC813">
        <v>6.7302865217085515</v>
      </c>
      <c r="GD813">
        <v>2.7872658598542683</v>
      </c>
      <c r="GE813">
        <v>2.1501804377152758</v>
      </c>
      <c r="GF813">
        <v>2.1758874405511759</v>
      </c>
      <c r="GG813">
        <v>1.3211734306891862</v>
      </c>
      <c r="GH813">
        <v>0</v>
      </c>
      <c r="GI813">
        <v>11.061698302136071</v>
      </c>
      <c r="GJ813"/>
      <c r="GK813"/>
      <c r="GL813"/>
      <c r="GM813"/>
      <c r="GN813" s="208"/>
      <c r="GO813" s="208"/>
      <c r="GP813" s="208"/>
      <c r="GQ813" s="208"/>
      <c r="GR813" s="208"/>
      <c r="GS813" s="208"/>
      <c r="GT813" s="208"/>
      <c r="GU813" s="213">
        <v>808</v>
      </c>
    </row>
    <row r="814" spans="1:203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77.044089603863938</v>
      </c>
      <c r="AO814">
        <v>10.576871021024136</v>
      </c>
      <c r="AP814">
        <v>65.672926567380784</v>
      </c>
      <c r="AQ814">
        <v>80.51438541742786</v>
      </c>
      <c r="AR814">
        <v>9.7303033482398451</v>
      </c>
      <c r="AS814">
        <v>127.95339426323024</v>
      </c>
      <c r="AT814">
        <v>6.6177291929390236</v>
      </c>
      <c r="AU814">
        <v>-22.199375342693553</v>
      </c>
      <c r="AV814"/>
      <c r="AW814"/>
      <c r="FY814" s="213">
        <v>809</v>
      </c>
      <c r="FZ814">
        <v>46.056953772315076</v>
      </c>
      <c r="GA814">
        <v>58.427681516008555</v>
      </c>
      <c r="GB814">
        <v>11.283494660479636</v>
      </c>
      <c r="GC814">
        <v>6.2087988543490393</v>
      </c>
      <c r="GD814">
        <v>2.5481715866495982</v>
      </c>
      <c r="GE814">
        <v>2.835095298577226</v>
      </c>
      <c r="GF814">
        <v>2.1147422290880025</v>
      </c>
      <c r="GG814">
        <v>3.8594811776195721</v>
      </c>
      <c r="GH814">
        <v>3.7215429376725151</v>
      </c>
      <c r="GI814">
        <v>12.191503312104034</v>
      </c>
      <c r="GJ814"/>
      <c r="GK814"/>
      <c r="GL814"/>
      <c r="GM814"/>
      <c r="GN814" s="208"/>
      <c r="GO814" s="208"/>
      <c r="GP814" s="208"/>
      <c r="GQ814" s="208"/>
      <c r="GR814" s="208"/>
      <c r="GS814" s="208"/>
      <c r="GT814" s="208"/>
      <c r="GU814" s="213">
        <v>809</v>
      </c>
    </row>
    <row r="815" spans="1:203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70.958015289449122</v>
      </c>
      <c r="AO815">
        <v>8.0946627006286214</v>
      </c>
      <c r="AP815">
        <v>35.172325649193375</v>
      </c>
      <c r="AQ815">
        <v>60.715264400320052</v>
      </c>
      <c r="AR815">
        <v>7.4558214184638567</v>
      </c>
      <c r="AS815">
        <v>117.87333430078829</v>
      </c>
      <c r="AT815" t="e">
        <v>#DIV/0!</v>
      </c>
      <c r="AU815" t="e">
        <v>#DIV/0!</v>
      </c>
      <c r="AV815"/>
      <c r="AW815"/>
      <c r="FY815" s="213">
        <v>810</v>
      </c>
      <c r="FZ815">
        <v>51.47634180223428</v>
      </c>
      <c r="GA815">
        <v>60.683241155753166</v>
      </c>
      <c r="GB815">
        <v>5.3935963742735726</v>
      </c>
      <c r="GC815">
        <v>3.7485272759191925</v>
      </c>
      <c r="GD815">
        <v>1.8968928889713568</v>
      </c>
      <c r="GE815">
        <v>1.6528183503675384</v>
      </c>
      <c r="GF815">
        <v>4.6554058072717233</v>
      </c>
      <c r="GG815">
        <v>3.7154801361164962</v>
      </c>
      <c r="GH815">
        <v>1.8024129433554106</v>
      </c>
      <c r="GI815">
        <v>11.193104088095273</v>
      </c>
      <c r="GJ815"/>
      <c r="GK815"/>
      <c r="GL815"/>
      <c r="GM815"/>
      <c r="GN815" s="208"/>
      <c r="GO815" s="208"/>
      <c r="GP815" s="208"/>
      <c r="GQ815" s="208"/>
      <c r="GR815" s="208"/>
      <c r="GS815" s="208"/>
      <c r="GT815" s="208"/>
      <c r="GU815" s="213">
        <v>810</v>
      </c>
    </row>
    <row r="816" spans="1:203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108.05659101247336</v>
      </c>
      <c r="AO816">
        <v>18.466332702973499</v>
      </c>
      <c r="AP816">
        <v>113.48071398860789</v>
      </c>
      <c r="AQ816">
        <v>155.81067223074729</v>
      </c>
      <c r="AR816">
        <v>17.17677042978033</v>
      </c>
      <c r="AS816">
        <v>197.91537243541885</v>
      </c>
      <c r="AT816">
        <v>11.356360187023647</v>
      </c>
      <c r="AU816">
        <v>25.310431379746142</v>
      </c>
      <c r="AV816"/>
      <c r="AW816"/>
      <c r="FY816" s="213">
        <v>811</v>
      </c>
      <c r="FZ816">
        <v>24.165652782087705</v>
      </c>
      <c r="GA816">
        <v>29.244581445195259</v>
      </c>
      <c r="GB816">
        <v>7.6930698762079981</v>
      </c>
      <c r="GC816">
        <v>4.7295978769307334</v>
      </c>
      <c r="GD816">
        <v>1.8463847031998326</v>
      </c>
      <c r="GE816">
        <v>1.854824013859097</v>
      </c>
      <c r="GF816">
        <v>0.98530028475624076</v>
      </c>
      <c r="GG816">
        <v>1.7029105280711425</v>
      </c>
      <c r="GH816">
        <v>1.5603693116103559</v>
      </c>
      <c r="GI816">
        <v>6.966967992622406</v>
      </c>
      <c r="GJ816"/>
      <c r="GK816"/>
      <c r="GL816"/>
      <c r="GM816"/>
      <c r="GN816" s="208"/>
      <c r="GO816" s="208"/>
      <c r="GP816" s="208"/>
      <c r="GQ816" s="208"/>
      <c r="GR816" s="208"/>
      <c r="GS816" s="208"/>
      <c r="GT816" s="208"/>
      <c r="GU816" s="213">
        <v>811</v>
      </c>
    </row>
    <row r="817" spans="1:203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105.39013221115147</v>
      </c>
      <c r="AO817">
        <v>16.966809342816898</v>
      </c>
      <c r="AP817">
        <v>136.87514480659763</v>
      </c>
      <c r="AQ817">
        <v>145.44106108294955</v>
      </c>
      <c r="AR817">
        <v>15.47731049520859</v>
      </c>
      <c r="AS817">
        <v>182.0312057971791</v>
      </c>
      <c r="AT817" t="e">
        <v>#DIV/0!</v>
      </c>
      <c r="AU817" t="e">
        <v>#DIV/0!</v>
      </c>
      <c r="AV817"/>
      <c r="AW817"/>
      <c r="FY817" s="213">
        <v>812</v>
      </c>
      <c r="FZ817">
        <v>17.922037824760878</v>
      </c>
      <c r="GA817">
        <v>19.368216741643579</v>
      </c>
      <c r="GB817">
        <v>8.0490018011611966</v>
      </c>
      <c r="GC817">
        <v>6.2859219314342196</v>
      </c>
      <c r="GD817">
        <v>2.6806802054743533</v>
      </c>
      <c r="GE817">
        <v>2.826404314745008</v>
      </c>
      <c r="GF817">
        <v>4.2975490469723825</v>
      </c>
      <c r="GG817">
        <v>4.501438887256044</v>
      </c>
      <c r="GH817">
        <v>1.5603693116103559</v>
      </c>
      <c r="GI817">
        <v>7.2746012605673558</v>
      </c>
      <c r="GJ817"/>
      <c r="GK817"/>
      <c r="GL817"/>
      <c r="GM817"/>
      <c r="GN817" s="208"/>
      <c r="GO817" s="208"/>
      <c r="GP817" s="208"/>
      <c r="GQ817" s="208"/>
      <c r="GR817" s="208"/>
      <c r="GS817" s="208"/>
      <c r="GT817" s="208"/>
      <c r="GU817" s="213">
        <v>812</v>
      </c>
    </row>
    <row r="818" spans="1:203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75.477655491904983</v>
      </c>
      <c r="AO818">
        <v>12.0346130748481</v>
      </c>
      <c r="AP818">
        <v>188.25082478454246</v>
      </c>
      <c r="AQ818">
        <v>97.684569565516256</v>
      </c>
      <c r="AR818">
        <v>11.115190599869376</v>
      </c>
      <c r="AS818">
        <v>134.01063290293794</v>
      </c>
      <c r="AT818" t="e">
        <v>#DIV/0!</v>
      </c>
      <c r="AU818" t="e">
        <v>#DIV/0!</v>
      </c>
      <c r="AV818"/>
      <c r="AW818"/>
      <c r="FY818" s="213">
        <v>813</v>
      </c>
      <c r="FZ818">
        <v>30.263811690466667</v>
      </c>
      <c r="GA818">
        <v>36.934073941954921</v>
      </c>
      <c r="GB818">
        <v>9.6506725504695758</v>
      </c>
      <c r="GC818">
        <v>5.8793405039102389</v>
      </c>
      <c r="GD818">
        <v>2.0828246316627816</v>
      </c>
      <c r="GE818">
        <v>2.2067212150925823</v>
      </c>
      <c r="GF818">
        <v>5.4382277889690656</v>
      </c>
      <c r="GG818">
        <v>4.1758180596414167</v>
      </c>
      <c r="GH818">
        <v>0.60080431445180338</v>
      </c>
      <c r="GI818">
        <v>9.1840208541105461</v>
      </c>
      <c r="GJ818"/>
      <c r="GK818"/>
      <c r="GL818"/>
      <c r="GM818"/>
      <c r="GN818" s="208"/>
      <c r="GO818" s="208"/>
      <c r="GP818" s="208"/>
      <c r="GQ818" s="208"/>
      <c r="GR818" s="208"/>
      <c r="GS818" s="208"/>
      <c r="GT818" s="208"/>
      <c r="GU818" s="213">
        <v>813</v>
      </c>
    </row>
    <row r="819" spans="1:203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71.518576165730067</v>
      </c>
      <c r="AO819">
        <v>10.319044384235054</v>
      </c>
      <c r="AP819">
        <v>58.356627780378979</v>
      </c>
      <c r="AQ819">
        <v>77.007815631900087</v>
      </c>
      <c r="AR819">
        <v>9.51359466778338</v>
      </c>
      <c r="AS819">
        <v>124.53879693389221</v>
      </c>
      <c r="AT819">
        <v>6.3213807608817065</v>
      </c>
      <c r="AU819">
        <v>-29.033795282951214</v>
      </c>
      <c r="AV819"/>
      <c r="AW819"/>
      <c r="FY819" s="213">
        <v>814</v>
      </c>
      <c r="FZ819">
        <v>27.611411413601473</v>
      </c>
      <c r="GA819">
        <v>35.096038830996712</v>
      </c>
      <c r="GB819">
        <v>5.7304149230109429</v>
      </c>
      <c r="GC819">
        <v>3.7334955564695895</v>
      </c>
      <c r="GD819">
        <v>2.3437753859189523</v>
      </c>
      <c r="GE819">
        <v>3.107683748731457</v>
      </c>
      <c r="GF819">
        <v>4.4745085508643232</v>
      </c>
      <c r="GG819">
        <v>4.2309732074411883</v>
      </c>
      <c r="GH819">
        <v>1.5603693116103559</v>
      </c>
      <c r="GI819">
        <v>7.9744153732756358</v>
      </c>
      <c r="GJ819"/>
      <c r="GK819"/>
      <c r="GL819"/>
      <c r="GM819"/>
      <c r="GN819" s="208"/>
      <c r="GO819" s="208"/>
      <c r="GP819" s="208"/>
      <c r="GQ819" s="208"/>
      <c r="GR819" s="208"/>
      <c r="GS819" s="208"/>
      <c r="GT819" s="208"/>
      <c r="GU819" s="213">
        <v>814</v>
      </c>
    </row>
    <row r="820" spans="1:203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75.251410611400473</v>
      </c>
      <c r="AO820">
        <v>9.7640004250727834</v>
      </c>
      <c r="AP820">
        <v>43.285376728027423</v>
      </c>
      <c r="AQ820">
        <v>72.06089079004758</v>
      </c>
      <c r="AR820">
        <v>8.9756110643547924</v>
      </c>
      <c r="AS820">
        <v>120.52812746852722</v>
      </c>
      <c r="AT820" t="e">
        <v>#DIV/0!</v>
      </c>
      <c r="AU820" t="e">
        <v>#DIV/0!</v>
      </c>
      <c r="AV820"/>
      <c r="AW820"/>
      <c r="FY820" s="213">
        <v>815</v>
      </c>
      <c r="FZ820">
        <v>26.789549651459588</v>
      </c>
      <c r="GA820">
        <v>34.406564452017541</v>
      </c>
      <c r="GB820">
        <v>10.006563693637947</v>
      </c>
      <c r="GC820">
        <v>5.2679691354055453</v>
      </c>
      <c r="GD820">
        <v>2.0098841006258947</v>
      </c>
      <c r="GE820">
        <v>2.2587041488661246</v>
      </c>
      <c r="GF820">
        <v>3.5671738570554079</v>
      </c>
      <c r="GG820">
        <v>2.5367921238913462</v>
      </c>
      <c r="GH820">
        <v>0.60080431445180338</v>
      </c>
      <c r="GI820">
        <v>8.4394059287588767</v>
      </c>
      <c r="GJ820"/>
      <c r="GK820"/>
      <c r="GL820"/>
      <c r="GM820"/>
      <c r="GN820" s="208"/>
      <c r="GO820" s="208"/>
      <c r="GP820" s="208"/>
      <c r="GQ820" s="208"/>
      <c r="GR820" s="208"/>
      <c r="GS820" s="208"/>
      <c r="GT820" s="208"/>
      <c r="GU820" s="213">
        <v>815</v>
      </c>
    </row>
    <row r="821" spans="1:203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75.839210823218167</v>
      </c>
      <c r="AO821">
        <v>14.829993249382502</v>
      </c>
      <c r="AP821">
        <v>114.97611772543382</v>
      </c>
      <c r="AQ821">
        <v>123.19491729937512</v>
      </c>
      <c r="AR821">
        <v>13.532540513871981</v>
      </c>
      <c r="AS821">
        <v>173.89900839543122</v>
      </c>
      <c r="AT821" t="e">
        <v>#DIV/0!</v>
      </c>
      <c r="AU821" t="e">
        <v>#DIV/0!</v>
      </c>
      <c r="AV821"/>
      <c r="AW821"/>
      <c r="FY821" s="213">
        <v>816</v>
      </c>
      <c r="FZ821">
        <v>12.813656239599309</v>
      </c>
      <c r="GA821">
        <v>21.861143968342184</v>
      </c>
      <c r="GB821">
        <v>10.980670680903248</v>
      </c>
      <c r="GC821">
        <v>5.4092605911333296</v>
      </c>
      <c r="GD821">
        <v>2.5681394789207368</v>
      </c>
      <c r="GE821">
        <v>2.682515905676695</v>
      </c>
      <c r="GF821">
        <v>1.8926349785651562</v>
      </c>
      <c r="GG821">
        <v>2.6151226536796943</v>
      </c>
      <c r="GH821">
        <v>2.1611736260621592</v>
      </c>
      <c r="GI821">
        <v>6.9229312844891719</v>
      </c>
      <c r="GJ821"/>
      <c r="GK821"/>
      <c r="GL821"/>
      <c r="GM821"/>
      <c r="GN821" s="208"/>
      <c r="GO821" s="208"/>
      <c r="GP821" s="208"/>
      <c r="GQ821" s="208"/>
      <c r="GR821" s="208"/>
      <c r="GS821" s="208"/>
      <c r="GT821" s="208"/>
      <c r="GU821" s="213">
        <v>816</v>
      </c>
    </row>
    <row r="822" spans="1:203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85.364169973544975</v>
      </c>
      <c r="AO822">
        <v>14.693946481692919</v>
      </c>
      <c r="AP822">
        <v>94.525876545621799</v>
      </c>
      <c r="AQ822">
        <v>125.19334604708875</v>
      </c>
      <c r="AR822">
        <v>13.46179999952923</v>
      </c>
      <c r="AS822">
        <v>167.11391371323731</v>
      </c>
      <c r="AT822" t="e">
        <v>#DIV/0!</v>
      </c>
      <c r="AU822" t="e">
        <v>#DIV/0!</v>
      </c>
      <c r="AV822"/>
      <c r="AW822"/>
      <c r="FY822" s="213">
        <v>817</v>
      </c>
      <c r="FZ822">
        <v>50.011237356612924</v>
      </c>
      <c r="GA822">
        <v>63.995143709242591</v>
      </c>
      <c r="GB822">
        <v>11.252083564552587</v>
      </c>
      <c r="GC822">
        <v>6.2082891346106797</v>
      </c>
      <c r="GD822">
        <v>2.3566531684714556</v>
      </c>
      <c r="GE822">
        <v>2.5776051114401972</v>
      </c>
      <c r="GF822">
        <v>4.578263130976282</v>
      </c>
      <c r="GG822">
        <v>5.9204146396679853</v>
      </c>
      <c r="GH822">
        <v>3.7215429376725151</v>
      </c>
      <c r="GI822">
        <v>13.037524368429587</v>
      </c>
      <c r="GJ822"/>
      <c r="GK822"/>
      <c r="GL822"/>
      <c r="GM822"/>
      <c r="GN822" s="208"/>
      <c r="GO822" s="208"/>
      <c r="GP822" s="208"/>
      <c r="GQ822" s="208"/>
      <c r="GR822" s="208"/>
      <c r="GS822" s="208"/>
      <c r="GT822" s="208"/>
      <c r="GU822" s="213">
        <v>817</v>
      </c>
    </row>
    <row r="823" spans="1:203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79.062136243386249</v>
      </c>
      <c r="AO823">
        <v>14.855555349036269</v>
      </c>
      <c r="AP823">
        <v>144.19677946997044</v>
      </c>
      <c r="AQ823">
        <v>131.38594389538224</v>
      </c>
      <c r="AR823">
        <v>13.87435649499845</v>
      </c>
      <c r="AS823">
        <v>161.7264599506172</v>
      </c>
      <c r="AT823">
        <v>9.9052859933430835</v>
      </c>
      <c r="AU823">
        <v>48.67780078347613</v>
      </c>
      <c r="AV823"/>
      <c r="AW823"/>
      <c r="FY823" s="213">
        <v>818</v>
      </c>
      <c r="FZ823">
        <v>11.947249435634468</v>
      </c>
      <c r="GA823">
        <v>19.262456448944061</v>
      </c>
      <c r="GB823">
        <v>6.3750710673782764</v>
      </c>
      <c r="GC823">
        <v>2.9685843174001048</v>
      </c>
      <c r="GD823">
        <v>2.212859804237421</v>
      </c>
      <c r="GE823">
        <v>2.6921110047606236</v>
      </c>
      <c r="GF823">
        <v>2.2240168119998254</v>
      </c>
      <c r="GG823">
        <v>2.9427406645307537</v>
      </c>
      <c r="GH823">
        <v>1.5603693116103559</v>
      </c>
      <c r="GI823">
        <v>5.3873107472720303</v>
      </c>
      <c r="GJ823"/>
      <c r="GK823"/>
      <c r="GL823"/>
      <c r="GM823"/>
      <c r="GN823" s="208"/>
      <c r="GO823" s="208"/>
      <c r="GP823" s="208"/>
      <c r="GQ823" s="208"/>
      <c r="GR823" s="208"/>
      <c r="GS823" s="208"/>
      <c r="GT823" s="208"/>
      <c r="GU823" s="213">
        <v>818</v>
      </c>
    </row>
    <row r="824" spans="1:203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102.66982537267782</v>
      </c>
      <c r="AO824">
        <v>16.753430331796423</v>
      </c>
      <c r="AP824">
        <v>87.436524547499786</v>
      </c>
      <c r="AQ824">
        <v>134.02359967002704</v>
      </c>
      <c r="AR824">
        <v>15.358168609166848</v>
      </c>
      <c r="AS824">
        <v>184.6493265327951</v>
      </c>
      <c r="AT824" t="e">
        <v>#DIV/0!</v>
      </c>
      <c r="AU824" t="e">
        <v>#DIV/0!</v>
      </c>
      <c r="AV824"/>
      <c r="AW824"/>
      <c r="FY824" s="213">
        <v>819</v>
      </c>
      <c r="FZ824">
        <v>12.312577711673303</v>
      </c>
      <c r="GA824">
        <v>19.028245559607271</v>
      </c>
      <c r="GB824">
        <v>9.7348551700494159</v>
      </c>
      <c r="GC824">
        <v>5.3489760839302676</v>
      </c>
      <c r="GD824">
        <v>1.7510366845945944</v>
      </c>
      <c r="GE824">
        <v>1.3120316423091993</v>
      </c>
      <c r="GF824">
        <v>6.9667364877156164</v>
      </c>
      <c r="GG824">
        <v>6.9489081305212981</v>
      </c>
      <c r="GH824">
        <v>1.5603693116103559</v>
      </c>
      <c r="GI824">
        <v>6.8175716454487221</v>
      </c>
      <c r="GJ824"/>
      <c r="GK824"/>
      <c r="GL824"/>
      <c r="GM824"/>
      <c r="GN824" s="208"/>
      <c r="GO824" s="208"/>
      <c r="GP824" s="208"/>
      <c r="GQ824" s="208"/>
      <c r="GR824" s="208"/>
      <c r="GS824" s="208"/>
      <c r="GT824" s="208"/>
      <c r="GU824" s="213">
        <v>819</v>
      </c>
    </row>
    <row r="825" spans="1:203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96.620333573674088</v>
      </c>
      <c r="AO825">
        <v>18.454307001463853</v>
      </c>
      <c r="AP825">
        <v>141.87617848907053</v>
      </c>
      <c r="AQ825">
        <v>149.24746534486329</v>
      </c>
      <c r="AR825">
        <v>16.979806344583352</v>
      </c>
      <c r="AS825">
        <v>196.98188814250767</v>
      </c>
      <c r="AT825">
        <v>11.01190343527499</v>
      </c>
      <c r="AU825">
        <v>17.587385877917704</v>
      </c>
      <c r="AV825"/>
      <c r="AW825"/>
      <c r="FY825" s="213">
        <v>820</v>
      </c>
      <c r="FZ825">
        <v>29.681912916472537</v>
      </c>
      <c r="GA825">
        <v>35.819240164872866</v>
      </c>
      <c r="GB825">
        <v>7.8576061052380055</v>
      </c>
      <c r="GC825">
        <v>4.4788002489839984</v>
      </c>
      <c r="GD825">
        <v>1.9761055647161676</v>
      </c>
      <c r="GE825">
        <v>2.4805056596304338</v>
      </c>
      <c r="GF825">
        <v>3.2554209710846873</v>
      </c>
      <c r="GG825">
        <v>3.8043260298198023</v>
      </c>
      <c r="GH825">
        <v>2.1611736260621592</v>
      </c>
      <c r="GI825">
        <v>8.5077586647763113</v>
      </c>
      <c r="GJ825"/>
      <c r="GK825"/>
      <c r="GL825"/>
      <c r="GM825"/>
      <c r="GN825" s="208"/>
      <c r="GO825" s="208"/>
      <c r="GP825" s="208"/>
      <c r="GQ825" s="208"/>
      <c r="GR825" s="208"/>
      <c r="GS825" s="208"/>
      <c r="GT825" s="208"/>
      <c r="GU825" s="213">
        <v>820</v>
      </c>
    </row>
    <row r="826" spans="1:203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79.321199633699621</v>
      </c>
      <c r="AO826">
        <v>16.646281435836951</v>
      </c>
      <c r="AP826">
        <v>181.09380198680003</v>
      </c>
      <c r="AQ826">
        <v>146.21782082235802</v>
      </c>
      <c r="AR826">
        <v>15.535338598989714</v>
      </c>
      <c r="AS826">
        <v>184.49079154741088</v>
      </c>
      <c r="AT826" t="e">
        <v>#DIV/0!</v>
      </c>
      <c r="AU826" t="e">
        <v>#DIV/0!</v>
      </c>
      <c r="AV826"/>
      <c r="AW826"/>
      <c r="FY826" s="213">
        <v>821</v>
      </c>
      <c r="FZ826">
        <v>9.3537103557710211</v>
      </c>
      <c r="GA826">
        <v>8.4079257740407733</v>
      </c>
      <c r="GB826">
        <v>6.8372581386667237</v>
      </c>
      <c r="GC826">
        <v>5.348893263784273</v>
      </c>
      <c r="GD826">
        <v>2.204747644873835</v>
      </c>
      <c r="GE826">
        <v>2.4772200318227187</v>
      </c>
      <c r="GF826">
        <v>0.80142140353109625</v>
      </c>
      <c r="GG826">
        <v>1.1619791684414302</v>
      </c>
      <c r="GH826">
        <v>2.1611736260621592</v>
      </c>
      <c r="GI826">
        <v>4.8962724238618982</v>
      </c>
      <c r="GJ826"/>
      <c r="GK826"/>
      <c r="GL826"/>
      <c r="GM826"/>
      <c r="GN826" s="208"/>
      <c r="GO826" s="208"/>
      <c r="GP826" s="208"/>
      <c r="GQ826" s="208"/>
      <c r="GR826" s="208"/>
      <c r="GS826" s="208"/>
      <c r="GT826" s="208"/>
      <c r="GU826" s="213">
        <v>821</v>
      </c>
    </row>
    <row r="827" spans="1:203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81.129407226713255</v>
      </c>
      <c r="AO827">
        <v>10.352162276218426</v>
      </c>
      <c r="AP827">
        <v>52.414335917974483</v>
      </c>
      <c r="AQ827">
        <v>80.749658814540766</v>
      </c>
      <c r="AR827">
        <v>9.6029210086779972</v>
      </c>
      <c r="AS827">
        <v>120.59061402464047</v>
      </c>
      <c r="AT827" t="e">
        <v>#DIV/0!</v>
      </c>
      <c r="AU827" t="e">
        <v>#DIV/0!</v>
      </c>
      <c r="AV827"/>
      <c r="AW827"/>
      <c r="FY827" s="213">
        <v>822</v>
      </c>
      <c r="FZ827">
        <v>61.308608203501969</v>
      </c>
      <c r="GA827">
        <v>77.700339595876144</v>
      </c>
      <c r="GB827">
        <v>9.9665461867167853</v>
      </c>
      <c r="GC827">
        <v>5.4872427469292404</v>
      </c>
      <c r="GD827">
        <v>2.1500202777644142</v>
      </c>
      <c r="GE827">
        <v>2.2063257052311611</v>
      </c>
      <c r="GF827">
        <v>3.2653219732356358</v>
      </c>
      <c r="GG827">
        <v>4.751205930088922</v>
      </c>
      <c r="GH827">
        <v>3.1207386232207117</v>
      </c>
      <c r="GI827">
        <v>13.933187398531505</v>
      </c>
      <c r="GJ827"/>
      <c r="GK827"/>
      <c r="GL827"/>
      <c r="GM827"/>
      <c r="GN827" s="208"/>
      <c r="GO827" s="208"/>
      <c r="GP827" s="208"/>
      <c r="GQ827" s="208"/>
      <c r="GR827" s="208"/>
      <c r="GS827" s="208"/>
      <c r="GT827" s="208"/>
      <c r="GU827" s="213">
        <v>822</v>
      </c>
    </row>
    <row r="828" spans="1:203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91.613783472790814</v>
      </c>
      <c r="AO828">
        <v>10.884774412219651</v>
      </c>
      <c r="AP828">
        <v>203.53642542060223</v>
      </c>
      <c r="AQ828">
        <v>74.766221325625366</v>
      </c>
      <c r="AR828">
        <v>10.025335908628167</v>
      </c>
      <c r="AS828">
        <v>146.12709263395203</v>
      </c>
      <c r="AT828" t="e">
        <v>#DIV/0!</v>
      </c>
      <c r="AU828" t="e">
        <v>#DIV/0!</v>
      </c>
      <c r="AV828"/>
      <c r="AW828"/>
      <c r="FY828" s="213">
        <v>823</v>
      </c>
      <c r="FZ828">
        <v>23.525799714572706</v>
      </c>
      <c r="GA828">
        <v>32.938079705298946</v>
      </c>
      <c r="GB828">
        <v>11.267640159348666</v>
      </c>
      <c r="GC828">
        <v>6.0714562297771417</v>
      </c>
      <c r="GD828">
        <v>1.8198995922392827</v>
      </c>
      <c r="GE828">
        <v>1.4683201032953508</v>
      </c>
      <c r="GF828">
        <v>4.2789496251386305</v>
      </c>
      <c r="GG828">
        <v>4.6399345125218225</v>
      </c>
      <c r="GH828">
        <v>1.5603693116103559</v>
      </c>
      <c r="GI828">
        <v>8.4401513156484178</v>
      </c>
      <c r="GJ828"/>
      <c r="GK828"/>
      <c r="GL828"/>
      <c r="GM828"/>
      <c r="GN828" s="208"/>
      <c r="GO828" s="208"/>
      <c r="GP828" s="208"/>
      <c r="GQ828" s="208"/>
      <c r="GR828" s="208"/>
      <c r="GS828" s="208"/>
      <c r="GT828" s="208"/>
      <c r="GU828" s="213">
        <v>823</v>
      </c>
    </row>
    <row r="829" spans="1:203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80.446953944044466</v>
      </c>
      <c r="AO829">
        <v>13.693385157075763</v>
      </c>
      <c r="AP829">
        <v>72.423740345489279</v>
      </c>
      <c r="AQ829">
        <v>106.41631555072962</v>
      </c>
      <c r="AR829">
        <v>12.68695477116289</v>
      </c>
      <c r="AS829">
        <v>149.13934954057325</v>
      </c>
      <c r="AT829" t="e">
        <v>#DIV/0!</v>
      </c>
      <c r="AU829" t="e">
        <v>#DIV/0!</v>
      </c>
      <c r="AV829"/>
      <c r="AW829"/>
      <c r="FY829" s="213">
        <v>824</v>
      </c>
      <c r="FZ829">
        <v>24.363458575964827</v>
      </c>
      <c r="GA829">
        <v>28.389330434782295</v>
      </c>
      <c r="GB829">
        <v>10.711251150734062</v>
      </c>
      <c r="GC829">
        <v>7.2622197276981773</v>
      </c>
      <c r="GD829">
        <v>1.7748197657181828</v>
      </c>
      <c r="GE829">
        <v>1.3884164985541569</v>
      </c>
      <c r="GF829">
        <v>3.0654456271782236</v>
      </c>
      <c r="GG829">
        <v>3.5844871103244493</v>
      </c>
      <c r="GH829">
        <v>2.1611736260621592</v>
      </c>
      <c r="GI829">
        <v>8.2114237537505144</v>
      </c>
      <c r="GJ829"/>
      <c r="GK829"/>
      <c r="GL829"/>
      <c r="GM829"/>
      <c r="GN829" s="208"/>
      <c r="GO829" s="208"/>
      <c r="GP829" s="208"/>
      <c r="GQ829" s="208"/>
      <c r="GR829" s="208"/>
      <c r="GS829" s="208"/>
      <c r="GT829" s="208"/>
      <c r="GU829" s="213">
        <v>824</v>
      </c>
    </row>
    <row r="830" spans="1:203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74.280133442265779</v>
      </c>
      <c r="AO830">
        <v>12.096270566214217</v>
      </c>
      <c r="AP830">
        <v>71.007116348632991</v>
      </c>
      <c r="AQ830">
        <v>95.863086301920632</v>
      </c>
      <c r="AR830">
        <v>11.043017429970465</v>
      </c>
      <c r="AS830">
        <v>121.55788161543018</v>
      </c>
      <c r="AT830" t="e">
        <v>#DIV/0!</v>
      </c>
      <c r="AU830" t="e">
        <v>#DIV/0!</v>
      </c>
      <c r="AV830"/>
      <c r="AW830"/>
      <c r="FY830" s="213">
        <v>825</v>
      </c>
      <c r="FZ830">
        <v>3.9017574276826004</v>
      </c>
      <c r="GA830">
        <v>9.8801258883785934</v>
      </c>
      <c r="GB830">
        <v>9.8897774738961317</v>
      </c>
      <c r="GC830">
        <v>5.3101838336133715</v>
      </c>
      <c r="GD830">
        <v>2.2740369555509465</v>
      </c>
      <c r="GE830">
        <v>2.0078566218495477</v>
      </c>
      <c r="GF830">
        <v>1.9898498491601713</v>
      </c>
      <c r="GG830">
        <v>2.5879574784928576</v>
      </c>
      <c r="GH830">
        <v>2.1611736260621592</v>
      </c>
      <c r="GI830">
        <v>5.1034417781194721</v>
      </c>
      <c r="GJ830"/>
      <c r="GK830"/>
      <c r="GL830"/>
      <c r="GM830"/>
      <c r="GN830" s="208"/>
      <c r="GO830" s="208"/>
      <c r="GP830" s="208"/>
      <c r="GQ830" s="208"/>
      <c r="GR830" s="208"/>
      <c r="GS830" s="208"/>
      <c r="GT830" s="208"/>
      <c r="GU830" s="213">
        <v>825</v>
      </c>
    </row>
    <row r="831" spans="1:203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84.761150776623637</v>
      </c>
      <c r="AO831">
        <v>12.531114361266535</v>
      </c>
      <c r="AP831">
        <v>71.818396949447347</v>
      </c>
      <c r="AQ831">
        <v>95.883411406170083</v>
      </c>
      <c r="AR831">
        <v>11.718542516370993</v>
      </c>
      <c r="AS831">
        <v>159.88550579152127</v>
      </c>
      <c r="AT831" t="e">
        <v>#DIV/0!</v>
      </c>
      <c r="AU831" t="e">
        <v>#DIV/0!</v>
      </c>
      <c r="AV831"/>
      <c r="AW831"/>
      <c r="FY831" s="213">
        <v>826</v>
      </c>
      <c r="FZ831">
        <v>38.49468296419041</v>
      </c>
      <c r="GA831">
        <v>45.924421767721775</v>
      </c>
      <c r="GB831">
        <v>8.9669311232212205</v>
      </c>
      <c r="GC831">
        <v>5.7227918848154156</v>
      </c>
      <c r="GD831">
        <v>2.3743231215867975</v>
      </c>
      <c r="GE831">
        <v>2.3263322052879696</v>
      </c>
      <c r="GF831">
        <v>4.8865911452936333</v>
      </c>
      <c r="GG831">
        <v>5.3377972280828478</v>
      </c>
      <c r="GH831">
        <v>2.7619779405139626</v>
      </c>
      <c r="GI831">
        <v>10.632779832942715</v>
      </c>
      <c r="GJ831"/>
      <c r="GK831"/>
      <c r="GL831"/>
      <c r="GM831"/>
      <c r="GN831" s="208"/>
      <c r="GO831" s="208"/>
      <c r="GP831" s="208"/>
      <c r="GQ831" s="208"/>
      <c r="GR831" s="208"/>
      <c r="GS831" s="208"/>
      <c r="GT831" s="208"/>
      <c r="GU831" s="213">
        <v>826</v>
      </c>
    </row>
    <row r="832" spans="1:203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61.931340303215293</v>
      </c>
      <c r="AO832">
        <v>10.389625453526635</v>
      </c>
      <c r="AP832">
        <v>61.586596996217381</v>
      </c>
      <c r="AQ832">
        <v>69.90724940737168</v>
      </c>
      <c r="AR832">
        <v>9.6747964213953868</v>
      </c>
      <c r="AS832">
        <v>121.36434492410845</v>
      </c>
      <c r="AT832">
        <v>6.4156994192160406</v>
      </c>
      <c r="AU832">
        <v>-39.687061359656347</v>
      </c>
      <c r="AV832"/>
      <c r="AW832"/>
      <c r="FY832" s="213">
        <v>827</v>
      </c>
      <c r="FZ832">
        <v>8.5570423535653397</v>
      </c>
      <c r="GA832">
        <v>9.1490634428791218</v>
      </c>
      <c r="GB832">
        <v>10.379764105616022</v>
      </c>
      <c r="GC832">
        <v>6.7692986760700968</v>
      </c>
      <c r="GD832">
        <v>2.1271436623879509</v>
      </c>
      <c r="GE832">
        <v>2.5726276041160521</v>
      </c>
      <c r="GF832">
        <v>4.0131674004507003</v>
      </c>
      <c r="GG832">
        <v>3.0932054822572086</v>
      </c>
      <c r="GH832">
        <v>1.2016086289036068</v>
      </c>
      <c r="GI832">
        <v>6.0636945990684685</v>
      </c>
      <c r="GJ832"/>
      <c r="GK832"/>
      <c r="GL832"/>
      <c r="GM832"/>
      <c r="GN832" s="208"/>
      <c r="GO832" s="208"/>
      <c r="GP832" s="208"/>
      <c r="GQ832" s="208"/>
      <c r="GR832" s="208"/>
      <c r="GS832" s="208"/>
      <c r="GT832" s="208"/>
      <c r="GU832" s="213">
        <v>827</v>
      </c>
    </row>
    <row r="833" spans="1:203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101.67741952144843</v>
      </c>
      <c r="AO833">
        <v>19.805054211398094</v>
      </c>
      <c r="AP833">
        <v>163.96170631270058</v>
      </c>
      <c r="AQ833">
        <v>163.65875712167681</v>
      </c>
      <c r="AR833">
        <v>18.126289631357967</v>
      </c>
      <c r="AS833">
        <v>201.4708368960479</v>
      </c>
      <c r="AT833">
        <v>11.878453469495804</v>
      </c>
      <c r="AU833">
        <v>2.3932103698232798</v>
      </c>
      <c r="AV833"/>
      <c r="AW833"/>
      <c r="FY833" s="213">
        <v>828</v>
      </c>
      <c r="FZ833">
        <v>30.064926767921953</v>
      </c>
      <c r="GA833">
        <v>31.600650543794359</v>
      </c>
      <c r="GB833">
        <v>4.7121180564227894</v>
      </c>
      <c r="GC833">
        <v>3.6781706077260226</v>
      </c>
      <c r="GD833">
        <v>1.9530162248271632</v>
      </c>
      <c r="GE833">
        <v>2.333703452579071</v>
      </c>
      <c r="GF833">
        <v>4.4034623372502022</v>
      </c>
      <c r="GG833">
        <v>4.7631751225495984</v>
      </c>
      <c r="GH833">
        <v>1.5603693116103559</v>
      </c>
      <c r="GI833">
        <v>7.8524605522047173</v>
      </c>
      <c r="GJ833"/>
      <c r="GK833"/>
      <c r="GL833"/>
      <c r="GM833"/>
      <c r="GN833" s="208"/>
      <c r="GO833" s="208"/>
      <c r="GP833" s="208"/>
      <c r="GQ833" s="208"/>
      <c r="GR833" s="208"/>
      <c r="GS833" s="208"/>
      <c r="GT833" s="208"/>
      <c r="GU833" s="213">
        <v>828</v>
      </c>
    </row>
    <row r="834" spans="1:203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64.584161562134426</v>
      </c>
      <c r="AO834">
        <v>8.1078660870458528</v>
      </c>
      <c r="AP834">
        <v>34.182674702861092</v>
      </c>
      <c r="AQ834">
        <v>57.572769613767925</v>
      </c>
      <c r="AR834">
        <v>7.4876144164563279</v>
      </c>
      <c r="AS834">
        <v>99.361618839574476</v>
      </c>
      <c r="AT834" t="e">
        <v>#DIV/0!</v>
      </c>
      <c r="AU834" t="e">
        <v>#DIV/0!</v>
      </c>
      <c r="AV834"/>
      <c r="AW834"/>
      <c r="FY834" s="213">
        <v>829</v>
      </c>
      <c r="FZ834">
        <v>5.4763369175608281</v>
      </c>
      <c r="GA834">
        <v>9.0976976868036807</v>
      </c>
      <c r="GB834">
        <v>12.989672344534732</v>
      </c>
      <c r="GC834">
        <v>8.5086638428562988</v>
      </c>
      <c r="GD834">
        <v>2.9623455116133255</v>
      </c>
      <c r="GE834">
        <v>2.7528514289624786</v>
      </c>
      <c r="GF834">
        <v>2.1268019414048105</v>
      </c>
      <c r="GG834">
        <v>2.6480635414584461</v>
      </c>
      <c r="GH834">
        <v>1.5603693116103559</v>
      </c>
      <c r="GI834">
        <v>6.4663750929553672</v>
      </c>
      <c r="GJ834"/>
      <c r="GK834"/>
      <c r="GL834"/>
      <c r="GM834"/>
      <c r="GN834" s="208"/>
      <c r="GO834" s="208"/>
      <c r="GP834" s="208"/>
      <c r="GQ834" s="208"/>
      <c r="GR834" s="208"/>
      <c r="GS834" s="208"/>
      <c r="GT834" s="208"/>
      <c r="GU834" s="213">
        <v>829</v>
      </c>
    </row>
    <row r="835" spans="1:203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74.695498917589447</v>
      </c>
      <c r="AO835">
        <v>10.228524161152517</v>
      </c>
      <c r="AP835">
        <v>49.767201139246495</v>
      </c>
      <c r="AQ835">
        <v>71.781308427460047</v>
      </c>
      <c r="AR835">
        <v>9.4155845410518015</v>
      </c>
      <c r="AS835">
        <v>116.90627655858353</v>
      </c>
      <c r="AT835" t="e">
        <v>#DIV/0!</v>
      </c>
      <c r="AU835" t="e">
        <v>#DIV/0!</v>
      </c>
      <c r="AV835"/>
      <c r="AW835"/>
      <c r="FY835" s="213">
        <v>830</v>
      </c>
      <c r="FZ835">
        <v>14.024348282764272</v>
      </c>
      <c r="GA835">
        <v>21.996902103612868</v>
      </c>
      <c r="GB835">
        <v>9.2904400771436944</v>
      </c>
      <c r="GC835">
        <v>4.9511540563595187</v>
      </c>
      <c r="GD835">
        <v>2.4237623206139265</v>
      </c>
      <c r="GE835">
        <v>2.6909061644532244</v>
      </c>
      <c r="GF835">
        <v>1.6931383003240037</v>
      </c>
      <c r="GG835">
        <v>3.488200411640733</v>
      </c>
      <c r="GH835">
        <v>3.7215429376725151</v>
      </c>
      <c r="GI835">
        <v>6.7880151979701413</v>
      </c>
      <c r="GJ835"/>
      <c r="GK835"/>
      <c r="GL835"/>
      <c r="GM835"/>
      <c r="GN835" s="208"/>
      <c r="GO835" s="208"/>
      <c r="GP835" s="208"/>
      <c r="GQ835" s="208"/>
      <c r="GR835" s="208"/>
      <c r="GS835" s="208"/>
      <c r="GT835" s="208"/>
      <c r="GU835" s="213">
        <v>830</v>
      </c>
    </row>
    <row r="836" spans="1:203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78.055223895113599</v>
      </c>
      <c r="AO836">
        <v>12.729532975273811</v>
      </c>
      <c r="AP836">
        <v>67.215704477943149</v>
      </c>
      <c r="AQ836">
        <v>100.02284995165698</v>
      </c>
      <c r="AR836">
        <v>11.821774996960533</v>
      </c>
      <c r="AS836">
        <v>140.71832195526</v>
      </c>
      <c r="AT836">
        <v>7.4291926927494707</v>
      </c>
      <c r="AU836">
        <v>19.323707021597972</v>
      </c>
      <c r="AV836"/>
      <c r="AW836"/>
      <c r="FY836" s="213">
        <v>831</v>
      </c>
      <c r="FZ836">
        <v>33.328736987181742</v>
      </c>
      <c r="GA836">
        <v>37.961757203814713</v>
      </c>
      <c r="GB836">
        <v>9.1712109243531508</v>
      </c>
      <c r="GC836">
        <v>6.7687484656337791</v>
      </c>
      <c r="GD836">
        <v>2.6016035288292154</v>
      </c>
      <c r="GE836">
        <v>2.7905502025160218</v>
      </c>
      <c r="GF836">
        <v>6.1180086273877539</v>
      </c>
      <c r="GG836">
        <v>8.3229738026938129</v>
      </c>
      <c r="GH836">
        <v>4.6811079348310667</v>
      </c>
      <c r="GI836">
        <v>10.60562619275346</v>
      </c>
      <c r="GJ836"/>
      <c r="GK836"/>
      <c r="GL836"/>
      <c r="GM836"/>
      <c r="GN836" s="208"/>
      <c r="GO836" s="208"/>
      <c r="GP836" s="208"/>
      <c r="GQ836" s="208"/>
      <c r="GR836" s="208"/>
      <c r="GS836" s="208"/>
      <c r="GT836" s="208"/>
      <c r="GU836" s="213">
        <v>831</v>
      </c>
    </row>
    <row r="837" spans="1:203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68.403673341205007</v>
      </c>
      <c r="AO837">
        <v>7.0937842620104785</v>
      </c>
      <c r="AP837">
        <v>44.498095114620078</v>
      </c>
      <c r="AQ837">
        <v>43.650601830855919</v>
      </c>
      <c r="AR837">
        <v>6.7224776399010233</v>
      </c>
      <c r="AS837">
        <v>114.61187775963216</v>
      </c>
      <c r="AT837" t="e">
        <v>#DIV/0!</v>
      </c>
      <c r="AU837" t="e">
        <v>#DIV/0!</v>
      </c>
      <c r="AV837"/>
      <c r="AW837"/>
      <c r="FY837" s="213">
        <v>832</v>
      </c>
      <c r="FZ837">
        <v>71.272521015572039</v>
      </c>
      <c r="GA837">
        <v>82.687187803995712</v>
      </c>
      <c r="GB837">
        <v>5.3421077176793457</v>
      </c>
      <c r="GC837">
        <v>4.4725342794090501</v>
      </c>
      <c r="GD837">
        <v>2.3332450398839866</v>
      </c>
      <c r="GE837">
        <v>2.7559699067552361</v>
      </c>
      <c r="GF837">
        <v>5.071292941170662</v>
      </c>
      <c r="GG837">
        <v>4.957037159457923</v>
      </c>
      <c r="GH837">
        <v>1.5603693116103559</v>
      </c>
      <c r="GI837">
        <v>14.349234391057083</v>
      </c>
      <c r="GJ837"/>
      <c r="GK837"/>
      <c r="GL837"/>
      <c r="GM837"/>
      <c r="GN837" s="208"/>
      <c r="GO837" s="208"/>
      <c r="GP837" s="208"/>
      <c r="GQ837" s="208"/>
      <c r="GR837" s="208"/>
      <c r="GS837" s="208"/>
      <c r="GT837" s="208"/>
      <c r="GU837" s="213">
        <v>832</v>
      </c>
    </row>
    <row r="838" spans="1:203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109.91556022202572</v>
      </c>
      <c r="AO838">
        <v>21.251407157217788</v>
      </c>
      <c r="AP838">
        <v>194.94073141043387</v>
      </c>
      <c r="AQ838">
        <v>183.88953664109653</v>
      </c>
      <c r="AR838">
        <v>19.350399601563623</v>
      </c>
      <c r="AS838">
        <v>231.00685853118611</v>
      </c>
      <c r="AT838" t="e">
        <v>#DIV/0!</v>
      </c>
      <c r="AU838" t="e">
        <v>#DIV/0!</v>
      </c>
      <c r="AV838"/>
      <c r="AW838"/>
      <c r="FY838" s="213">
        <v>833</v>
      </c>
      <c r="FZ838">
        <v>10.270966513989313</v>
      </c>
      <c r="GA838">
        <v>9.5701753038152546</v>
      </c>
      <c r="GB838">
        <v>8.6206568335892655</v>
      </c>
      <c r="GC838">
        <v>6.0567192734650677</v>
      </c>
      <c r="GD838">
        <v>2.3250934226755398</v>
      </c>
      <c r="GE838">
        <v>2.6704347628478597</v>
      </c>
      <c r="GF838">
        <v>3.3053293848829375</v>
      </c>
      <c r="GG838">
        <v>5.1224866960677611</v>
      </c>
      <c r="GH838">
        <v>4.3223472521243185</v>
      </c>
      <c r="GI838">
        <v>6.3517627001167467</v>
      </c>
      <c r="GJ838"/>
      <c r="GK838"/>
      <c r="GL838"/>
      <c r="GM838"/>
      <c r="GN838" s="208"/>
      <c r="GO838" s="208"/>
      <c r="GP838" s="208"/>
      <c r="GQ838" s="208"/>
      <c r="GR838" s="208"/>
      <c r="GS838" s="208"/>
      <c r="GT838" s="208"/>
      <c r="GU838" s="213">
        <v>833</v>
      </c>
    </row>
    <row r="839" spans="1:203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71.769534523210993</v>
      </c>
      <c r="AO839">
        <v>12.802011741956415</v>
      </c>
      <c r="AP839">
        <v>70.178611005874259</v>
      </c>
      <c r="AQ839">
        <v>96.010600269451331</v>
      </c>
      <c r="AR839">
        <v>11.706500984701558</v>
      </c>
      <c r="AS839">
        <v>162.77843459390087</v>
      </c>
      <c r="AT839" t="e">
        <v>#DIV/0!</v>
      </c>
      <c r="AU839" t="e">
        <v>#DIV/0!</v>
      </c>
      <c r="AV839"/>
      <c r="AW839"/>
      <c r="FY839" s="213">
        <v>834</v>
      </c>
      <c r="FZ839">
        <v>27.067389581107197</v>
      </c>
      <c r="GA839">
        <v>36.122800533848647</v>
      </c>
      <c r="GB839">
        <v>9.3127171216192295</v>
      </c>
      <c r="GC839">
        <v>6.238546623176191</v>
      </c>
      <c r="GD839">
        <v>2.7711659161209332</v>
      </c>
      <c r="GE839">
        <v>1.9375156078475482</v>
      </c>
      <c r="GF839">
        <v>2.865875551004589</v>
      </c>
      <c r="GG839">
        <v>1.8244242512171032</v>
      </c>
      <c r="GH839">
        <v>0</v>
      </c>
      <c r="GI839">
        <v>8.4936523511473272</v>
      </c>
      <c r="GJ839"/>
      <c r="GK839"/>
      <c r="GL839"/>
      <c r="GM839"/>
      <c r="GN839" s="208"/>
      <c r="GO839" s="208"/>
      <c r="GP839" s="208"/>
      <c r="GQ839" s="208"/>
      <c r="GR839" s="208"/>
      <c r="GS839" s="208"/>
      <c r="GT839" s="208"/>
      <c r="GU839" s="213">
        <v>834</v>
      </c>
    </row>
    <row r="840" spans="1:203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98.676422058286931</v>
      </c>
      <c r="AO840">
        <v>12.319542416395915</v>
      </c>
      <c r="AP840">
        <v>73.597664185771791</v>
      </c>
      <c r="AQ840">
        <v>90.912026270767029</v>
      </c>
      <c r="AR840">
        <v>11.325698701421199</v>
      </c>
      <c r="AS840">
        <v>160.04018256821459</v>
      </c>
      <c r="AT840">
        <v>7.2670378200862933</v>
      </c>
      <c r="AU840">
        <v>16.182461809708549</v>
      </c>
      <c r="AV840"/>
      <c r="AW840"/>
      <c r="FY840" s="213">
        <v>835</v>
      </c>
      <c r="FZ840">
        <v>14.575167126173818</v>
      </c>
      <c r="GA840">
        <v>19.517864007185093</v>
      </c>
      <c r="GB840">
        <v>11.157717550019719</v>
      </c>
      <c r="GC840">
        <v>6.9692870460331386</v>
      </c>
      <c r="GD840">
        <v>2.1294769770832924</v>
      </c>
      <c r="GE840">
        <v>1.8267948062665003</v>
      </c>
      <c r="GF840">
        <v>3.1214505036577922</v>
      </c>
      <c r="GG840">
        <v>4.8520210162529054</v>
      </c>
      <c r="GH840">
        <v>3.1207386232207117</v>
      </c>
      <c r="GI840">
        <v>7.2198697089837252</v>
      </c>
      <c r="GJ840"/>
      <c r="GK840"/>
      <c r="GL840"/>
      <c r="GM840"/>
      <c r="GN840" s="208"/>
      <c r="GO840" s="208"/>
      <c r="GP840" s="208"/>
      <c r="GQ840" s="208"/>
      <c r="GR840" s="208"/>
      <c r="GS840" s="208"/>
      <c r="GT840" s="208"/>
      <c r="GU840" s="213">
        <v>835</v>
      </c>
    </row>
    <row r="841" spans="1:203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73.657473544973556</v>
      </c>
      <c r="AO841">
        <v>7.5618482233847333</v>
      </c>
      <c r="AP841">
        <v>13.850313694836304</v>
      </c>
      <c r="AQ841">
        <v>45.106160932805857</v>
      </c>
      <c r="AR841">
        <v>7.0862123810994024</v>
      </c>
      <c r="AS841">
        <v>101.04975505568443</v>
      </c>
      <c r="AT841">
        <v>3.8721369520245807</v>
      </c>
      <c r="AU841">
        <v>13.89881951674065</v>
      </c>
      <c r="AV841"/>
      <c r="AW841"/>
      <c r="FY841" s="213">
        <v>836</v>
      </c>
      <c r="FZ841">
        <v>24.624110872783511</v>
      </c>
      <c r="GA841">
        <v>30.693732193087591</v>
      </c>
      <c r="GB841">
        <v>3.6036127937219744</v>
      </c>
      <c r="GC841">
        <v>2.5962544416733633</v>
      </c>
      <c r="GD841">
        <v>2.0886394488726303</v>
      </c>
      <c r="GE841">
        <v>2.2008599104454412</v>
      </c>
      <c r="GF841">
        <v>3.2059558041220626</v>
      </c>
      <c r="GG841">
        <v>3.6610907532309813</v>
      </c>
      <c r="GH841">
        <v>1.5603693116103559</v>
      </c>
      <c r="GI841">
        <v>6.5911042392208392</v>
      </c>
      <c r="GJ841"/>
      <c r="GK841"/>
      <c r="GL841"/>
      <c r="GM841"/>
      <c r="GN841" s="208"/>
      <c r="GO841" s="208"/>
      <c r="GP841" s="208"/>
      <c r="GQ841" s="208"/>
      <c r="GR841" s="208"/>
      <c r="GS841" s="208"/>
      <c r="GT841" s="208"/>
      <c r="GU841" s="213">
        <v>836</v>
      </c>
    </row>
    <row r="842" spans="1:203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103.65253381488169</v>
      </c>
      <c r="AO842">
        <v>15.811283324910486</v>
      </c>
      <c r="AP842">
        <v>84.412830897890615</v>
      </c>
      <c r="AQ842">
        <v>127.42862921365675</v>
      </c>
      <c r="AR842">
        <v>14.698752441439982</v>
      </c>
      <c r="AS842">
        <v>180.50998907596454</v>
      </c>
      <c r="AT842">
        <v>9.7542675189415675</v>
      </c>
      <c r="AU842">
        <v>24.001732839191099</v>
      </c>
      <c r="AV842"/>
      <c r="AW842"/>
      <c r="FY842" s="213">
        <v>837</v>
      </c>
      <c r="FZ842">
        <v>46.649121030869317</v>
      </c>
      <c r="GA842">
        <v>59.045914486491306</v>
      </c>
      <c r="GB842">
        <v>8.8378656770117434</v>
      </c>
      <c r="GC842">
        <v>4.3821014102410567</v>
      </c>
      <c r="GD842">
        <v>1.7191439399982333</v>
      </c>
      <c r="GE842">
        <v>2.039380408415151</v>
      </c>
      <c r="GF842">
        <v>3.0989133293085809</v>
      </c>
      <c r="GG842">
        <v>2.3419145057782287</v>
      </c>
      <c r="GH842">
        <v>1.2016086289036068</v>
      </c>
      <c r="GI842">
        <v>10.869530744992266</v>
      </c>
      <c r="GJ842"/>
      <c r="GK842"/>
      <c r="GL842"/>
      <c r="GM842"/>
      <c r="GN842" s="208"/>
      <c r="GO842" s="208"/>
      <c r="GP842" s="208"/>
      <c r="GQ842" s="208"/>
      <c r="GR842" s="208"/>
      <c r="GS842" s="208"/>
      <c r="GT842" s="208"/>
      <c r="GU842" s="213">
        <v>837</v>
      </c>
    </row>
    <row r="843" spans="1:203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76.13899544013006</v>
      </c>
      <c r="AO843">
        <v>8.9348630451394353</v>
      </c>
      <c r="AP843">
        <v>64.349312084111062</v>
      </c>
      <c r="AQ843">
        <v>53.926615955314567</v>
      </c>
      <c r="AR843">
        <v>8.3790536378629827</v>
      </c>
      <c r="AS843">
        <v>118.17121980197118</v>
      </c>
      <c r="AT843" t="e">
        <v>#DIV/0!</v>
      </c>
      <c r="AU843" t="e">
        <v>#DIV/0!</v>
      </c>
      <c r="AV843"/>
      <c r="AW843"/>
      <c r="FY843" s="213">
        <v>838</v>
      </c>
      <c r="FZ843">
        <v>53.354758379534516</v>
      </c>
      <c r="GA843">
        <v>61.78991581313494</v>
      </c>
      <c r="GB843">
        <v>7.3720612449394567</v>
      </c>
      <c r="GC843">
        <v>6.3241743226626008</v>
      </c>
      <c r="GD843">
        <v>3.3381643414392759</v>
      </c>
      <c r="GE843">
        <v>3.2524126417518766</v>
      </c>
      <c r="GF843">
        <v>1.4779504271343613</v>
      </c>
      <c r="GG843">
        <v>1.921999589441711</v>
      </c>
      <c r="GH843">
        <v>2.1611736260621592</v>
      </c>
      <c r="GI843">
        <v>12.340522606037251</v>
      </c>
      <c r="GJ843"/>
      <c r="GK843"/>
      <c r="GL843"/>
      <c r="GM843"/>
      <c r="GN843" s="208"/>
      <c r="GO843" s="208"/>
      <c r="GP843" s="208"/>
      <c r="GQ843" s="208"/>
      <c r="GR843" s="208"/>
      <c r="GS843" s="208"/>
      <c r="GT843" s="208"/>
      <c r="GU843" s="213">
        <v>838</v>
      </c>
    </row>
    <row r="844" spans="1:203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71.820932165601263</v>
      </c>
      <c r="AO844">
        <v>11.594066367400931</v>
      </c>
      <c r="AP844">
        <v>72.634063896808783</v>
      </c>
      <c r="AQ844">
        <v>92.922052976886235</v>
      </c>
      <c r="AR844">
        <v>10.848652644396415</v>
      </c>
      <c r="AS844">
        <v>139.64368194079134</v>
      </c>
      <c r="AT844" t="e">
        <v>#DIV/0!</v>
      </c>
      <c r="AU844" t="e">
        <v>#DIV/0!</v>
      </c>
      <c r="AV844"/>
      <c r="AW844"/>
      <c r="FY844" s="213">
        <v>839</v>
      </c>
      <c r="FZ844">
        <v>23.407451271790791</v>
      </c>
      <c r="GA844">
        <v>28.939003707841628</v>
      </c>
      <c r="GB844">
        <v>3.5301377650429329</v>
      </c>
      <c r="GC844">
        <v>1.8917345751764683</v>
      </c>
      <c r="GD844">
        <v>1.3388025666581858</v>
      </c>
      <c r="GE844">
        <v>1.4900804194499058</v>
      </c>
      <c r="GF844">
        <v>5.9501272109948777</v>
      </c>
      <c r="GG844">
        <v>4.9513204793778494</v>
      </c>
      <c r="GH844">
        <v>1.8024129433554106</v>
      </c>
      <c r="GI844">
        <v>6.4985632492163408</v>
      </c>
      <c r="GJ844"/>
      <c r="GK844"/>
      <c r="GL844"/>
      <c r="GM844"/>
      <c r="GN844" s="208"/>
      <c r="GO844" s="208"/>
      <c r="GP844" s="208"/>
      <c r="GQ844" s="208"/>
      <c r="GR844" s="208"/>
      <c r="GS844" s="208"/>
      <c r="GT844" s="208"/>
      <c r="GU844" s="213">
        <v>839</v>
      </c>
    </row>
    <row r="845" spans="1:203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96.355947680427889</v>
      </c>
      <c r="AO845">
        <v>9.7811920236012497</v>
      </c>
      <c r="AP845">
        <v>40.751010071563329</v>
      </c>
      <c r="AQ845">
        <v>54.589177619760335</v>
      </c>
      <c r="AR845">
        <v>8.9384005730495844</v>
      </c>
      <c r="AS845">
        <v>144.56027913629549</v>
      </c>
      <c r="AT845" t="e">
        <v>#DIV/0!</v>
      </c>
      <c r="AU845" t="e">
        <v>#DIV/0!</v>
      </c>
      <c r="AV845"/>
      <c r="AW845"/>
      <c r="FY845" s="213">
        <v>840</v>
      </c>
      <c r="FZ845">
        <v>49.417609855011335</v>
      </c>
      <c r="GA845">
        <v>57.098679088858688</v>
      </c>
      <c r="GB845">
        <v>6.4247721333323158</v>
      </c>
      <c r="GC845">
        <v>4.5957310358729231</v>
      </c>
      <c r="GD845">
        <v>1.628087842458902</v>
      </c>
      <c r="GE845">
        <v>1.7490561314039241</v>
      </c>
      <c r="GF845">
        <v>3.0151575455637136</v>
      </c>
      <c r="GG845">
        <v>4.4430597111722712</v>
      </c>
      <c r="GH845">
        <v>3.7215429376725151</v>
      </c>
      <c r="GI845">
        <v>10.998409342517164</v>
      </c>
      <c r="GJ845"/>
      <c r="GK845"/>
      <c r="GL845"/>
      <c r="GM845"/>
      <c r="GN845" s="208"/>
      <c r="GO845" s="208"/>
      <c r="GP845" s="208"/>
      <c r="GQ845" s="208"/>
      <c r="GR845" s="208"/>
      <c r="GS845" s="208"/>
      <c r="GT845" s="208"/>
      <c r="GU845" s="213">
        <v>840</v>
      </c>
    </row>
    <row r="846" spans="1:203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69.909231053532523</v>
      </c>
      <c r="AO846">
        <v>10.269619042955153</v>
      </c>
      <c r="AP846">
        <v>43.16088922903586</v>
      </c>
      <c r="AQ846">
        <v>71.068409852554893</v>
      </c>
      <c r="AR846">
        <v>9.4707732876084858</v>
      </c>
      <c r="AS846">
        <v>125.49839588413347</v>
      </c>
      <c r="AT846">
        <v>5.5467745772344346</v>
      </c>
      <c r="AU846">
        <v>13.955417104345267</v>
      </c>
      <c r="AV846"/>
      <c r="AW846"/>
      <c r="FY846" s="213">
        <v>841</v>
      </c>
      <c r="FZ846">
        <v>21.904230125642435</v>
      </c>
      <c r="GA846">
        <v>29.706527080429524</v>
      </c>
      <c r="GB846">
        <v>11.149832177612728</v>
      </c>
      <c r="GC846">
        <v>6.7554043080374724</v>
      </c>
      <c r="GD846">
        <v>2.6737566800196482</v>
      </c>
      <c r="GE846">
        <v>2.1510718596498877</v>
      </c>
      <c r="GF846">
        <v>3.0624640023604792</v>
      </c>
      <c r="GG846">
        <v>4.7424764855676207</v>
      </c>
      <c r="GH846">
        <v>4.3223472521243185</v>
      </c>
      <c r="GI846">
        <v>8.8736398758502979</v>
      </c>
      <c r="GJ846"/>
      <c r="GK846"/>
      <c r="GL846"/>
      <c r="GM846"/>
      <c r="GN846" s="208"/>
      <c r="GO846" s="208"/>
      <c r="GP846" s="208"/>
      <c r="GQ846" s="208"/>
      <c r="GR846" s="208"/>
      <c r="GS846" s="208"/>
      <c r="GT846" s="208"/>
      <c r="GU846" s="213">
        <v>841</v>
      </c>
    </row>
    <row r="847" spans="1:203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102.97472880398841</v>
      </c>
      <c r="AO847">
        <v>15.929329152597663</v>
      </c>
      <c r="AP847">
        <v>87.060238953439992</v>
      </c>
      <c r="AQ847">
        <v>122.3503238699947</v>
      </c>
      <c r="AR847">
        <v>14.604665074328528</v>
      </c>
      <c r="AS847">
        <v>197.62867346388532</v>
      </c>
      <c r="AT847" t="e">
        <v>#DIV/0!</v>
      </c>
      <c r="AU847" t="e">
        <v>#DIV/0!</v>
      </c>
      <c r="AV847"/>
      <c r="AW847"/>
      <c r="FY847" s="213">
        <v>842</v>
      </c>
      <c r="FZ847">
        <v>11.740458463404574</v>
      </c>
      <c r="GA847">
        <v>17.757255835392336</v>
      </c>
      <c r="GB847">
        <v>14.991013534844896</v>
      </c>
      <c r="GC847">
        <v>9.0159206209225715</v>
      </c>
      <c r="GD847">
        <v>2.7915072469162006</v>
      </c>
      <c r="GE847">
        <v>1.9045522299524746</v>
      </c>
      <c r="GF847">
        <v>1.6341517990266901</v>
      </c>
      <c r="GG847">
        <v>2.2166767125140181</v>
      </c>
      <c r="GH847">
        <v>2.1611736260621592</v>
      </c>
      <c r="GI847">
        <v>7.7677062375931554</v>
      </c>
      <c r="GJ847"/>
      <c r="GK847"/>
      <c r="GL847"/>
      <c r="GM847"/>
      <c r="GN847" s="208"/>
      <c r="GO847" s="208"/>
      <c r="GP847" s="208"/>
      <c r="GQ847" s="208"/>
      <c r="GR847" s="208"/>
      <c r="GS847" s="208"/>
      <c r="GT847" s="208"/>
      <c r="GU847" s="213">
        <v>842</v>
      </c>
    </row>
    <row r="848" spans="1:203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114.11036960724459</v>
      </c>
      <c r="AO848">
        <v>21.740377804701108</v>
      </c>
      <c r="AP848">
        <v>159.58911240254082</v>
      </c>
      <c r="AQ848">
        <v>194.80149956659139</v>
      </c>
      <c r="AR848">
        <v>19.85659717482817</v>
      </c>
      <c r="AS848">
        <v>218.72842994498893</v>
      </c>
      <c r="AT848" t="e">
        <v>#DIV/0!</v>
      </c>
      <c r="AU848" t="e">
        <v>#DIV/0!</v>
      </c>
      <c r="AV848"/>
      <c r="AW848"/>
      <c r="FY848" s="213">
        <v>843</v>
      </c>
      <c r="FZ848">
        <v>19.483346888088796</v>
      </c>
      <c r="GA848">
        <v>28.877764805268711</v>
      </c>
      <c r="GB848">
        <v>10.669894287756261</v>
      </c>
      <c r="GC848">
        <v>5.9891814648305175</v>
      </c>
      <c r="GD848">
        <v>2.470236063319609</v>
      </c>
      <c r="GE848">
        <v>2.1437839567264181</v>
      </c>
      <c r="GF848">
        <v>2.7792115403744599</v>
      </c>
      <c r="GG848">
        <v>3.3906250734161247</v>
      </c>
      <c r="GH848">
        <v>1.5603693116103559</v>
      </c>
      <c r="GI848">
        <v>7.8434053630997775</v>
      </c>
      <c r="GJ848"/>
      <c r="GK848"/>
      <c r="GL848"/>
      <c r="GM848"/>
      <c r="GN848" s="208"/>
      <c r="GO848" s="208"/>
      <c r="GP848" s="208"/>
      <c r="GQ848" s="208"/>
      <c r="GR848" s="208"/>
      <c r="GS848" s="208"/>
      <c r="GT848" s="208"/>
      <c r="GU848" s="213">
        <v>843</v>
      </c>
    </row>
    <row r="849" spans="1:203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77.119280235672221</v>
      </c>
      <c r="AO849">
        <v>9.2830131492199843</v>
      </c>
      <c r="AP849">
        <v>36.209656848540362</v>
      </c>
      <c r="AQ849">
        <v>58.615972143574069</v>
      </c>
      <c r="AR849">
        <v>8.7682820172880636</v>
      </c>
      <c r="AS849">
        <v>123.09476424213224</v>
      </c>
      <c r="AT849">
        <v>5.5567124855872647</v>
      </c>
      <c r="AU849">
        <v>18.610478813350909</v>
      </c>
      <c r="AV849"/>
      <c r="AW849"/>
      <c r="FY849" s="213">
        <v>844</v>
      </c>
      <c r="FZ849">
        <v>64.160871517034224</v>
      </c>
      <c r="GA849">
        <v>75.807752436272366</v>
      </c>
      <c r="GB849">
        <v>10.714541162268704</v>
      </c>
      <c r="GC849">
        <v>6.4921200871674785</v>
      </c>
      <c r="GD849">
        <v>2.6366760994548026</v>
      </c>
      <c r="GE849">
        <v>3.3437165610099804</v>
      </c>
      <c r="GF849">
        <v>2.7067659522269976</v>
      </c>
      <c r="GG849">
        <v>2.0472373827059211</v>
      </c>
      <c r="GH849">
        <v>0</v>
      </c>
      <c r="GI849">
        <v>14.18275721539548</v>
      </c>
      <c r="GJ849"/>
      <c r="GK849"/>
      <c r="GL849"/>
      <c r="GM849"/>
      <c r="GN849" s="208"/>
      <c r="GO849" s="208"/>
      <c r="GP849" s="208"/>
      <c r="GQ849" s="208"/>
      <c r="GR849" s="208"/>
      <c r="GS849" s="208"/>
      <c r="GT849" s="208"/>
      <c r="GU849" s="213">
        <v>844</v>
      </c>
    </row>
    <row r="850" spans="1:203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94.842311670468348</v>
      </c>
      <c r="AO850">
        <v>12.786156968445384</v>
      </c>
      <c r="AP850">
        <v>92.414917270811131</v>
      </c>
      <c r="AQ850">
        <v>96.634087537088774</v>
      </c>
      <c r="AR850">
        <v>11.751754756935636</v>
      </c>
      <c r="AS850">
        <v>151.25870479848351</v>
      </c>
      <c r="AT850" t="e">
        <v>#DIV/0!</v>
      </c>
      <c r="AU850" t="e">
        <v>#DIV/0!</v>
      </c>
      <c r="AV850"/>
      <c r="AW850"/>
      <c r="FY850" s="213">
        <v>845</v>
      </c>
      <c r="FZ850">
        <v>8.988662137767129</v>
      </c>
      <c r="GA850">
        <v>15.508438768433924</v>
      </c>
      <c r="GB850">
        <v>8.5342412107034065</v>
      </c>
      <c r="GC850">
        <v>4.6553043456469227</v>
      </c>
      <c r="GD850">
        <v>2.4258245453133935</v>
      </c>
      <c r="GE850">
        <v>2.7330578729670787</v>
      </c>
      <c r="GF850">
        <v>5.3198751185581798</v>
      </c>
      <c r="GG850">
        <v>5.3582846012220502</v>
      </c>
      <c r="GH850">
        <v>2.1611736260621592</v>
      </c>
      <c r="GI850">
        <v>6.2600224313473012</v>
      </c>
      <c r="GJ850"/>
      <c r="GK850"/>
      <c r="GL850"/>
      <c r="GM850"/>
      <c r="GN850" s="208"/>
      <c r="GO850" s="208"/>
      <c r="GP850" s="208"/>
      <c r="GQ850" s="208"/>
      <c r="GR850" s="208"/>
      <c r="GS850" s="208"/>
      <c r="GT850" s="208"/>
      <c r="GU850" s="213">
        <v>845</v>
      </c>
    </row>
    <row r="851" spans="1:203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101.65194987404038</v>
      </c>
      <c r="AO851">
        <v>10.840902148610953</v>
      </c>
      <c r="AP851">
        <v>28.76258890153559</v>
      </c>
      <c r="AQ851">
        <v>74.490387364876696</v>
      </c>
      <c r="AR851">
        <v>9.9301054745792303</v>
      </c>
      <c r="AS851">
        <v>145.73226954167023</v>
      </c>
      <c r="AT851" t="e">
        <v>#DIV/0!</v>
      </c>
      <c r="AU851" t="e">
        <v>#DIV/0!</v>
      </c>
      <c r="AV851"/>
      <c r="AW851"/>
      <c r="FY851" s="213">
        <v>846</v>
      </c>
      <c r="FZ851">
        <v>40.382714978772889</v>
      </c>
      <c r="GA851">
        <v>49.835975082548273</v>
      </c>
      <c r="GB851">
        <v>7.6979262334448855</v>
      </c>
      <c r="GC851">
        <v>4.917671778488188</v>
      </c>
      <c r="GD851">
        <v>2.0858340061575751</v>
      </c>
      <c r="GE851">
        <v>1.9184901110353461</v>
      </c>
      <c r="GF851">
        <v>3.5481947674053949</v>
      </c>
      <c r="GG851">
        <v>2.6889838284996168</v>
      </c>
      <c r="GH851">
        <v>1.8024129433554106</v>
      </c>
      <c r="GI851">
        <v>10.068616802556152</v>
      </c>
      <c r="GJ851"/>
      <c r="GK851"/>
      <c r="GL851"/>
      <c r="GM851"/>
      <c r="GN851" s="208"/>
      <c r="GO851" s="208"/>
      <c r="GP851" s="208"/>
      <c r="GQ851" s="208"/>
      <c r="GR851" s="208"/>
      <c r="GS851" s="208"/>
      <c r="GT851" s="208"/>
      <c r="GU851" s="213">
        <v>846</v>
      </c>
    </row>
    <row r="852" spans="1:203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60.11238134142544</v>
      </c>
      <c r="AO852">
        <v>9.8758593790375961</v>
      </c>
      <c r="AP852">
        <v>72.575118854781095</v>
      </c>
      <c r="AQ852">
        <v>80.825729768768767</v>
      </c>
      <c r="AR852">
        <v>9.0926711491434862</v>
      </c>
      <c r="AS852">
        <v>119.14010920967351</v>
      </c>
      <c r="AT852" t="e">
        <v>#DIV/0!</v>
      </c>
      <c r="AU852" t="e">
        <v>#DIV/0!</v>
      </c>
      <c r="AV852"/>
      <c r="AW852"/>
      <c r="FY852" s="213">
        <v>847</v>
      </c>
      <c r="FZ852">
        <v>35.185558032742371</v>
      </c>
      <c r="GA852">
        <v>43.808422402100867</v>
      </c>
      <c r="GB852">
        <v>8.3249822274544574</v>
      </c>
      <c r="GC852">
        <v>5.4032495055988887</v>
      </c>
      <c r="GD852">
        <v>2.1958049488703546</v>
      </c>
      <c r="GE852">
        <v>2.0538922675378117</v>
      </c>
      <c r="GF852">
        <v>5.401472192137188</v>
      </c>
      <c r="GG852">
        <v>4.4657555313906823</v>
      </c>
      <c r="GH852">
        <v>0.60080431445180338</v>
      </c>
      <c r="GI852">
        <v>9.661243964933826</v>
      </c>
      <c r="GJ852"/>
      <c r="GK852"/>
      <c r="GL852"/>
      <c r="GM852"/>
      <c r="GN852" s="208"/>
      <c r="GO852" s="208"/>
      <c r="GP852" s="208"/>
      <c r="GQ852" s="208"/>
      <c r="GR852" s="208"/>
      <c r="GS852" s="208"/>
      <c r="GT852" s="208"/>
      <c r="GU852" s="213">
        <v>847</v>
      </c>
    </row>
    <row r="853" spans="1:203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83.546052333400198</v>
      </c>
      <c r="AO853">
        <v>16.324794949952356</v>
      </c>
      <c r="AP853">
        <v>156.36392831103569</v>
      </c>
      <c r="AQ853">
        <v>140.18549416200952</v>
      </c>
      <c r="AR853">
        <v>15.09938344772552</v>
      </c>
      <c r="AS853">
        <v>177.56790424704027</v>
      </c>
      <c r="AT853" t="e">
        <v>#DIV/0!</v>
      </c>
      <c r="AU853" t="e">
        <v>#DIV/0!</v>
      </c>
      <c r="AV853"/>
      <c r="AW853"/>
      <c r="FY853" s="213">
        <v>848</v>
      </c>
      <c r="FZ853">
        <v>42.929282219128083</v>
      </c>
      <c r="GA853">
        <v>54.618283723534482</v>
      </c>
      <c r="GB853">
        <v>9.1948164210947141</v>
      </c>
      <c r="GC853">
        <v>4.1956506356486791</v>
      </c>
      <c r="GD853">
        <v>1.4036662412356999</v>
      </c>
      <c r="GE853">
        <v>1.8212433681336733</v>
      </c>
      <c r="GF853">
        <v>1.1691791659813855</v>
      </c>
      <c r="GG853">
        <v>0.65047589031499642</v>
      </c>
      <c r="GH853">
        <v>0</v>
      </c>
      <c r="GI853">
        <v>9.7455433956180428</v>
      </c>
      <c r="GJ853"/>
      <c r="GK853"/>
      <c r="GL853"/>
      <c r="GM853"/>
      <c r="GN853" s="208"/>
      <c r="GO853" s="208"/>
      <c r="GP853" s="208"/>
      <c r="GQ853" s="208"/>
      <c r="GR853" s="208"/>
      <c r="GS853" s="208"/>
      <c r="GT853" s="208"/>
      <c r="GU853" s="213">
        <v>848</v>
      </c>
    </row>
    <row r="854" spans="1:203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96.411997696588202</v>
      </c>
      <c r="AO854">
        <v>18.61332380046877</v>
      </c>
      <c r="AP854">
        <v>134.05042961066485</v>
      </c>
      <c r="AQ854">
        <v>153.33313299213813</v>
      </c>
      <c r="AR854">
        <v>17.108996944312597</v>
      </c>
      <c r="AS854">
        <v>190.75033238675985</v>
      </c>
      <c r="AT854">
        <v>11.462637211147248</v>
      </c>
      <c r="AU854">
        <v>21.54471238487762</v>
      </c>
      <c r="AV854"/>
      <c r="AW854"/>
      <c r="FY854" s="213">
        <v>849</v>
      </c>
      <c r="FZ854">
        <v>26.213497156153203</v>
      </c>
      <c r="GA854">
        <v>33.325882303641734</v>
      </c>
      <c r="GB854">
        <v>5.7571606740376851</v>
      </c>
      <c r="GC854">
        <v>4.3047569611288417</v>
      </c>
      <c r="GD854">
        <v>2.3251733918656998</v>
      </c>
      <c r="GE854">
        <v>1.7063677735967562</v>
      </c>
      <c r="GF854">
        <v>2.491578079037355</v>
      </c>
      <c r="GG854">
        <v>1.9716493210041819</v>
      </c>
      <c r="GH854">
        <v>1.2016086289036068</v>
      </c>
      <c r="GI854">
        <v>7.2988601465124159</v>
      </c>
      <c r="GJ854"/>
      <c r="GK854"/>
      <c r="GL854"/>
      <c r="GM854"/>
      <c r="GN854" s="208"/>
      <c r="GO854" s="208"/>
      <c r="GP854" s="208"/>
      <c r="GQ854" s="208"/>
      <c r="GR854" s="208"/>
      <c r="GS854" s="208"/>
      <c r="GT854" s="208"/>
      <c r="GU854" s="213">
        <v>849</v>
      </c>
    </row>
    <row r="855" spans="1:203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62.209974727070311</v>
      </c>
      <c r="AO855">
        <v>9.4579394443789617</v>
      </c>
      <c r="AP855">
        <v>76.712465401059632</v>
      </c>
      <c r="AQ855">
        <v>79.799634188904392</v>
      </c>
      <c r="AR855">
        <v>8.963112300652357</v>
      </c>
      <c r="AS855">
        <v>108.59107838538536</v>
      </c>
      <c r="AT855" t="e">
        <v>#DIV/0!</v>
      </c>
      <c r="AU855" t="e">
        <v>#DIV/0!</v>
      </c>
      <c r="AV855"/>
      <c r="AW855"/>
      <c r="FY855" s="213">
        <v>850</v>
      </c>
      <c r="FZ855">
        <v>66.868983186756068</v>
      </c>
      <c r="GA855">
        <v>82.747639349398</v>
      </c>
      <c r="GB855">
        <v>11.264109468347495</v>
      </c>
      <c r="GC855">
        <v>5.6819870059859987</v>
      </c>
      <c r="GD855">
        <v>1.5140475792204904</v>
      </c>
      <c r="GE855">
        <v>1.1726258748062504</v>
      </c>
      <c r="GF855">
        <v>4.2039656590090493</v>
      </c>
      <c r="GG855">
        <v>4.7961160103283511</v>
      </c>
      <c r="GH855">
        <v>1.5603693116103559</v>
      </c>
      <c r="GI855">
        <v>14.630315626760902</v>
      </c>
      <c r="GJ855"/>
      <c r="GK855"/>
      <c r="GL855"/>
      <c r="GM855"/>
      <c r="GN855" s="208"/>
      <c r="GO855" s="208"/>
      <c r="GP855" s="208"/>
      <c r="GQ855" s="208"/>
      <c r="GR855" s="208"/>
      <c r="GS855" s="208"/>
      <c r="GT855" s="208"/>
      <c r="GU855" s="213">
        <v>850</v>
      </c>
    </row>
    <row r="856" spans="1:203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94.049654723000302</v>
      </c>
      <c r="AO856">
        <v>16.600491876477271</v>
      </c>
      <c r="AP856">
        <v>105.54570774658924</v>
      </c>
      <c r="AQ856">
        <v>143.09210562386374</v>
      </c>
      <c r="AR856">
        <v>15.265791214171616</v>
      </c>
      <c r="AS856">
        <v>184.9882991032039</v>
      </c>
      <c r="AT856">
        <v>10.074971750936772</v>
      </c>
      <c r="AU856">
        <v>22.282897079478897</v>
      </c>
      <c r="AV856"/>
      <c r="AW856"/>
      <c r="FY856" s="213">
        <v>851</v>
      </c>
      <c r="FZ856">
        <v>43.549725299863532</v>
      </c>
      <c r="GA856">
        <v>49.962423411203631</v>
      </c>
      <c r="GB856">
        <v>11.835548102584394</v>
      </c>
      <c r="GC856">
        <v>8.3751843143365612</v>
      </c>
      <c r="GD856">
        <v>2.4974767592061857</v>
      </c>
      <c r="GE856">
        <v>2.4312762632752172</v>
      </c>
      <c r="GF856">
        <v>3.0432147227127895</v>
      </c>
      <c r="GG856">
        <v>5.5089634447727605</v>
      </c>
      <c r="GH856">
        <v>5.2819122492828701</v>
      </c>
      <c r="GI856">
        <v>12.217766279901781</v>
      </c>
      <c r="GJ856"/>
      <c r="GK856"/>
      <c r="GL856"/>
      <c r="GM856"/>
      <c r="GN856" s="208"/>
      <c r="GO856" s="208"/>
      <c r="GP856" s="208"/>
      <c r="GQ856" s="208"/>
      <c r="GR856" s="208"/>
      <c r="GS856" s="208"/>
      <c r="GT856" s="208"/>
      <c r="GU856" s="213">
        <v>851</v>
      </c>
    </row>
    <row r="857" spans="1:203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97.408329605420136</v>
      </c>
      <c r="AO857">
        <v>13.238393529283744</v>
      </c>
      <c r="AP857">
        <v>82.333813023828924</v>
      </c>
      <c r="AQ857">
        <v>95.341749847294423</v>
      </c>
      <c r="AR857">
        <v>12.328922316730358</v>
      </c>
      <c r="AS857">
        <v>161.98110288587614</v>
      </c>
      <c r="AT857">
        <v>7.9661710825501508</v>
      </c>
      <c r="AU857">
        <v>-48.891528417991246</v>
      </c>
      <c r="AV857"/>
      <c r="AW857"/>
      <c r="FY857" s="213">
        <v>852</v>
      </c>
      <c r="FZ857">
        <v>22.02032544615788</v>
      </c>
      <c r="GA857">
        <v>23.484964968968715</v>
      </c>
      <c r="GB857">
        <v>7.4991280443260688</v>
      </c>
      <c r="GC857">
        <v>5.8987227086513911</v>
      </c>
      <c r="GD857">
        <v>2.5755379694742926</v>
      </c>
      <c r="GE857">
        <v>2.6986445252831159</v>
      </c>
      <c r="GF857">
        <v>1.5248772161148669</v>
      </c>
      <c r="GG857">
        <v>3.3457149931766965</v>
      </c>
      <c r="GH857">
        <v>3.7215429376725151</v>
      </c>
      <c r="GI857">
        <v>7.4986610817938253</v>
      </c>
      <c r="GJ857"/>
      <c r="GK857"/>
      <c r="GL857"/>
      <c r="GM857"/>
      <c r="GN857" s="208"/>
      <c r="GO857" s="208"/>
      <c r="GP857" s="208"/>
      <c r="GQ857" s="208"/>
      <c r="GR857" s="208"/>
      <c r="GS857" s="208"/>
      <c r="GT857" s="208"/>
      <c r="GU857" s="213">
        <v>852</v>
      </c>
    </row>
    <row r="858" spans="1:203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85.799481598194831</v>
      </c>
      <c r="AO858">
        <v>11.572845812454425</v>
      </c>
      <c r="AP858">
        <v>33.714196098871959</v>
      </c>
      <c r="AQ858">
        <v>71.980416306629067</v>
      </c>
      <c r="AR858">
        <v>10.77687090176801</v>
      </c>
      <c r="AS858">
        <v>139.93520688867233</v>
      </c>
      <c r="AT858">
        <v>6.4298751867481068</v>
      </c>
      <c r="AU858">
        <v>9.1614122588324918</v>
      </c>
      <c r="AV858"/>
      <c r="AW858"/>
      <c r="FY858" s="213">
        <v>853</v>
      </c>
      <c r="FZ858">
        <v>46.308835980528684</v>
      </c>
      <c r="GA858">
        <v>53.010603455647463</v>
      </c>
      <c r="GB858">
        <v>3.2915450826654458</v>
      </c>
      <c r="GC858">
        <v>2.977251770569882</v>
      </c>
      <c r="GD858">
        <v>1.671202842700017</v>
      </c>
      <c r="GE858">
        <v>1.7968642628170777</v>
      </c>
      <c r="GF858">
        <v>3.3209471818989451</v>
      </c>
      <c r="GG858">
        <v>3.6571009600327233</v>
      </c>
      <c r="GH858">
        <v>2.7619779405139626</v>
      </c>
      <c r="GI858">
        <v>9.7042565729155559</v>
      </c>
      <c r="GJ858"/>
      <c r="GK858"/>
      <c r="GL858"/>
      <c r="GM858"/>
      <c r="GN858" s="208"/>
      <c r="GO858" s="208"/>
      <c r="GP858" s="208"/>
      <c r="GQ858" s="208"/>
      <c r="GR858" s="208"/>
      <c r="GS858" s="208"/>
      <c r="GT858" s="208"/>
      <c r="GU858" s="213">
        <v>853</v>
      </c>
    </row>
    <row r="859" spans="1:203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69.117720977279802</v>
      </c>
      <c r="AO859">
        <v>11.94560136292211</v>
      </c>
      <c r="AP859">
        <v>40.07857612137537</v>
      </c>
      <c r="AQ859">
        <v>85.207818754491043</v>
      </c>
      <c r="AR859">
        <v>10.912476819896648</v>
      </c>
      <c r="AS859">
        <v>123.85460470767887</v>
      </c>
      <c r="AT859" t="e">
        <v>#DIV/0!</v>
      </c>
      <c r="AU859" t="e">
        <v>#DIV/0!</v>
      </c>
      <c r="AV859"/>
      <c r="AW859"/>
      <c r="FY859" s="213">
        <v>854</v>
      </c>
      <c r="FZ859">
        <v>30.132964291765077</v>
      </c>
      <c r="GA859">
        <v>40.342767234033481</v>
      </c>
      <c r="GB859">
        <v>5.0300976725212267</v>
      </c>
      <c r="GC859">
        <v>2.6474701075408289</v>
      </c>
      <c r="GD859">
        <v>2.2322604552393326</v>
      </c>
      <c r="GE859">
        <v>2.5582076693652605</v>
      </c>
      <c r="GF859">
        <v>2.7912712526912671</v>
      </c>
      <c r="GG859">
        <v>2.0182862881254273</v>
      </c>
      <c r="GH859">
        <v>0.60080431445180338</v>
      </c>
      <c r="GI859">
        <v>7.6611794383729563</v>
      </c>
      <c r="GJ859"/>
      <c r="GK859"/>
      <c r="GL859"/>
      <c r="GM859"/>
      <c r="GN859" s="208"/>
      <c r="GO859" s="208"/>
      <c r="GP859" s="208"/>
      <c r="GQ859" s="208"/>
      <c r="GR859" s="208"/>
      <c r="GS859" s="208"/>
      <c r="GT859" s="208"/>
      <c r="GU859" s="213">
        <v>854</v>
      </c>
    </row>
    <row r="860" spans="1:203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104.90849830316741</v>
      </c>
      <c r="AO860">
        <v>21.393314460935986</v>
      </c>
      <c r="AP860">
        <v>180.0026505624115</v>
      </c>
      <c r="AQ860">
        <v>182.09243841353594</v>
      </c>
      <c r="AR860">
        <v>19.642244537685603</v>
      </c>
      <c r="AS860">
        <v>210.1679675970864</v>
      </c>
      <c r="AT860" t="e">
        <v>#DIV/0!</v>
      </c>
      <c r="AU860" t="e">
        <v>#DIV/0!</v>
      </c>
      <c r="AV860"/>
      <c r="AW860"/>
      <c r="FY860" s="213">
        <v>855</v>
      </c>
      <c r="FZ860">
        <v>45.343198693529388</v>
      </c>
      <c r="GA860">
        <v>57.886190439888971</v>
      </c>
      <c r="GB860">
        <v>12.410676436408426</v>
      </c>
      <c r="GC860">
        <v>6.2497666939409431</v>
      </c>
      <c r="GD860">
        <v>1.7987485573436339</v>
      </c>
      <c r="GE860">
        <v>2.1912077101920562</v>
      </c>
      <c r="GF860">
        <v>1.5838637174121803</v>
      </c>
      <c r="GG860">
        <v>3.3457149931766965</v>
      </c>
      <c r="GH860">
        <v>3.1207386232207117</v>
      </c>
      <c r="GI860">
        <v>11.675567614655865</v>
      </c>
      <c r="GJ860"/>
      <c r="GK860"/>
      <c r="GL860"/>
      <c r="GM860"/>
      <c r="GN860" s="208"/>
      <c r="GO860" s="208"/>
      <c r="GP860" s="208"/>
      <c r="GQ860" s="208"/>
      <c r="GR860" s="208"/>
      <c r="GS860" s="208"/>
      <c r="GT860" s="208"/>
      <c r="GU860" s="213">
        <v>855</v>
      </c>
    </row>
    <row r="861" spans="1:203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84.697704799942358</v>
      </c>
      <c r="AO861">
        <v>9.3283518947467048</v>
      </c>
      <c r="AP861">
        <v>43.350884291163872</v>
      </c>
      <c r="AQ861">
        <v>61.944884658021557</v>
      </c>
      <c r="AR861">
        <v>8.661483704467436</v>
      </c>
      <c r="AS861">
        <v>125.50165664868184</v>
      </c>
      <c r="AT861">
        <v>5.6660417711922753</v>
      </c>
      <c r="AU861">
        <v>9.024360237296758</v>
      </c>
      <c r="AV861"/>
      <c r="AW861"/>
      <c r="FY861" s="213">
        <v>856</v>
      </c>
      <c r="FZ861">
        <v>19.621685053504077</v>
      </c>
      <c r="GA861">
        <v>23.918294342987863</v>
      </c>
      <c r="GB861">
        <v>10.231288494213425</v>
      </c>
      <c r="GC861">
        <v>6.2428889471265974</v>
      </c>
      <c r="GD861">
        <v>2.7662259881545248</v>
      </c>
      <c r="GE861">
        <v>3.3661092046263255</v>
      </c>
      <c r="GF861">
        <v>2.5315854906846571</v>
      </c>
      <c r="GG861">
        <v>2.1238410256124531</v>
      </c>
      <c r="GH861">
        <v>0.60080431445180338</v>
      </c>
      <c r="GI861">
        <v>7.6720324879588206</v>
      </c>
      <c r="GJ861"/>
      <c r="GK861"/>
      <c r="GL861"/>
      <c r="GM861"/>
      <c r="GN861" s="208"/>
      <c r="GO861" s="208"/>
      <c r="GP861" s="208"/>
      <c r="GQ861" s="208"/>
      <c r="GR861" s="208"/>
      <c r="GS861" s="208"/>
      <c r="GT861" s="208"/>
      <c r="GU861" s="213">
        <v>856</v>
      </c>
    </row>
    <row r="862" spans="1:203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80.150178150393657</v>
      </c>
      <c r="AO862">
        <v>15.058991771123548</v>
      </c>
      <c r="AP862">
        <v>123.073851001126</v>
      </c>
      <c r="AQ862">
        <v>124.9468205322637</v>
      </c>
      <c r="AR862">
        <v>13.982249767431949</v>
      </c>
      <c r="AS862">
        <v>164.11051343877725</v>
      </c>
      <c r="AT862" t="e">
        <v>#DIV/0!</v>
      </c>
      <c r="AU862" t="e">
        <v>#DIV/0!</v>
      </c>
      <c r="AV862"/>
      <c r="AW862"/>
      <c r="FY862" s="213">
        <v>857</v>
      </c>
      <c r="FZ862">
        <v>48.426202530779129</v>
      </c>
      <c r="GA862">
        <v>56.749073968224167</v>
      </c>
      <c r="GB862">
        <v>3.7758520617707108</v>
      </c>
      <c r="GC862">
        <v>3.3974344424464737</v>
      </c>
      <c r="GD862">
        <v>1.9641129169144984</v>
      </c>
      <c r="GE862">
        <v>1.90092238958593</v>
      </c>
      <c r="GF862">
        <v>3.0745237146772872</v>
      </c>
      <c r="GG862">
        <v>4.751205930088922</v>
      </c>
      <c r="GH862">
        <v>3.7215429376725151</v>
      </c>
      <c r="GI862">
        <v>10.422454943511381</v>
      </c>
      <c r="GJ862"/>
      <c r="GK862"/>
      <c r="GL862"/>
      <c r="GM862"/>
      <c r="GN862" s="208"/>
      <c r="GO862" s="208"/>
      <c r="GP862" s="208"/>
      <c r="GQ862" s="208"/>
      <c r="GR862" s="208"/>
      <c r="GS862" s="208"/>
      <c r="GT862" s="208"/>
      <c r="GU862" s="213">
        <v>857</v>
      </c>
    </row>
    <row r="863" spans="1:203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77.410057997557985</v>
      </c>
      <c r="AO863">
        <v>14.633471034054651</v>
      </c>
      <c r="AP863">
        <v>120.50756570800652</v>
      </c>
      <c r="AQ863">
        <v>117.10118538721827</v>
      </c>
      <c r="AR863">
        <v>13.409480252588699</v>
      </c>
      <c r="AS863">
        <v>146.6371517927071</v>
      </c>
      <c r="AT863" t="e">
        <v>#DIV/0!</v>
      </c>
      <c r="AU863" t="e">
        <v>#DIV/0!</v>
      </c>
      <c r="AV863"/>
      <c r="AW863"/>
      <c r="FY863" s="213">
        <v>858</v>
      </c>
      <c r="FZ863">
        <v>13.482666210586245</v>
      </c>
      <c r="GA863">
        <v>14.795696119532151</v>
      </c>
      <c r="GB863">
        <v>6.2658082937849722</v>
      </c>
      <c r="GC863">
        <v>4.8312942969725921</v>
      </c>
      <c r="GD863">
        <v>2.0047963445204418</v>
      </c>
      <c r="GE863">
        <v>2.0307504682686948</v>
      </c>
      <c r="GF863">
        <v>3.264942305419376</v>
      </c>
      <c r="GG863">
        <v>2.4991115847895506</v>
      </c>
      <c r="GH863">
        <v>0.60080431445180338</v>
      </c>
      <c r="GI863">
        <v>5.4234575261000302</v>
      </c>
      <c r="GJ863"/>
      <c r="GK863"/>
      <c r="GL863"/>
      <c r="GM863"/>
      <c r="GN863" s="208"/>
      <c r="GO863" s="208"/>
      <c r="GP863" s="208"/>
      <c r="GQ863" s="208"/>
      <c r="GR863" s="208"/>
      <c r="GS863" s="208"/>
      <c r="GT863" s="208"/>
      <c r="GU863" s="213">
        <v>858</v>
      </c>
    </row>
    <row r="864" spans="1:203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86.214196832579177</v>
      </c>
      <c r="AO864">
        <v>14.693408615072418</v>
      </c>
      <c r="AP864">
        <v>89.154443769956004</v>
      </c>
      <c r="AQ864">
        <v>125.72814106068977</v>
      </c>
      <c r="AR864">
        <v>13.531829418284381</v>
      </c>
      <c r="AS864">
        <v>158.58738408759049</v>
      </c>
      <c r="AT864" t="e">
        <v>#DIV/0!</v>
      </c>
      <c r="AU864" t="e">
        <v>#DIV/0!</v>
      </c>
      <c r="AV864"/>
      <c r="AW864"/>
      <c r="FY864" s="213">
        <v>859</v>
      </c>
      <c r="FZ864">
        <v>27.511272071562608</v>
      </c>
      <c r="GA864">
        <v>34.711782858655937</v>
      </c>
      <c r="GB864">
        <v>3.1563698972093523</v>
      </c>
      <c r="GC864">
        <v>2.0819512667918212</v>
      </c>
      <c r="GD864">
        <v>2.062801097881517</v>
      </c>
      <c r="GE864">
        <v>2.5582126941753311</v>
      </c>
      <c r="GF864">
        <v>6.8920587914698128</v>
      </c>
      <c r="GG864">
        <v>5.8393211617289484</v>
      </c>
      <c r="GH864">
        <v>0</v>
      </c>
      <c r="GI864">
        <v>7.35051278908126</v>
      </c>
      <c r="GJ864"/>
      <c r="GK864"/>
      <c r="GL864"/>
      <c r="GM864"/>
      <c r="GN864" s="208"/>
      <c r="GO864" s="208"/>
      <c r="GP864" s="208"/>
      <c r="GQ864" s="208"/>
      <c r="GR864" s="208"/>
      <c r="GS864" s="208"/>
      <c r="GT864" s="208"/>
      <c r="GU864" s="213">
        <v>859</v>
      </c>
    </row>
    <row r="865" spans="1:203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73.413626283846867</v>
      </c>
      <c r="AO865">
        <v>10.906617681844562</v>
      </c>
      <c r="AP865">
        <v>91.486771424740255</v>
      </c>
      <c r="AQ865">
        <v>86.59653443588148</v>
      </c>
      <c r="AR865">
        <v>10.103348509170424</v>
      </c>
      <c r="AS865">
        <v>137.78121744472867</v>
      </c>
      <c r="AT865" t="e">
        <v>#DIV/0!</v>
      </c>
      <c r="AU865" t="e">
        <v>#DIV/0!</v>
      </c>
      <c r="AV865"/>
      <c r="AW865"/>
      <c r="FY865" s="213">
        <v>860</v>
      </c>
      <c r="FZ865">
        <v>12.487293734493312</v>
      </c>
      <c r="GA865">
        <v>14.767503176436968</v>
      </c>
      <c r="GB865">
        <v>6.2675817863418875</v>
      </c>
      <c r="GC865">
        <v>4.8460044924815522</v>
      </c>
      <c r="GD865">
        <v>2.2868648023439206</v>
      </c>
      <c r="GE865">
        <v>2.5222694383383004</v>
      </c>
      <c r="GF865">
        <v>3.3209471818989451</v>
      </c>
      <c r="GG865">
        <v>4.8190801284741536</v>
      </c>
      <c r="GH865">
        <v>3.1207386232207117</v>
      </c>
      <c r="GI865">
        <v>5.8689580043210015</v>
      </c>
      <c r="GJ865"/>
      <c r="GK865"/>
      <c r="GL865"/>
      <c r="GM865"/>
      <c r="GN865" s="208"/>
      <c r="GO865" s="208"/>
      <c r="GP865" s="208"/>
      <c r="GQ865" s="208"/>
      <c r="GR865" s="208"/>
      <c r="GS865" s="208"/>
      <c r="GT865" s="208"/>
      <c r="GU865" s="213">
        <v>860</v>
      </c>
    </row>
    <row r="866" spans="1:203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107.90041844729345</v>
      </c>
      <c r="AO866">
        <v>22.173056042142992</v>
      </c>
      <c r="AP866">
        <v>135.9386895388071</v>
      </c>
      <c r="AQ866">
        <v>194.44015907222294</v>
      </c>
      <c r="AR866">
        <v>20.333619645700828</v>
      </c>
      <c r="AS866">
        <v>234.51911018222813</v>
      </c>
      <c r="AT866" t="e">
        <v>#DIV/0!</v>
      </c>
      <c r="AU866" t="e">
        <v>#DIV/0!</v>
      </c>
      <c r="AV866"/>
      <c r="AW866"/>
      <c r="FY866" s="213">
        <v>861</v>
      </c>
      <c r="FZ866">
        <v>44.076145722047364</v>
      </c>
      <c r="GA866">
        <v>53.314804113894766</v>
      </c>
      <c r="GB866">
        <v>5.6862678889499128</v>
      </c>
      <c r="GC866">
        <v>4.2371844397299068</v>
      </c>
      <c r="GD866">
        <v>2.4643762767294479</v>
      </c>
      <c r="GE866">
        <v>2.3177627039027318</v>
      </c>
      <c r="GF866">
        <v>7.2565286592185796</v>
      </c>
      <c r="GG866">
        <v>7.2106443658148534</v>
      </c>
      <c r="GH866">
        <v>1.5603693116103559</v>
      </c>
      <c r="GI866">
        <v>10.986930261467128</v>
      </c>
      <c r="GJ866"/>
      <c r="GK866"/>
      <c r="GL866"/>
      <c r="GM866"/>
      <c r="GN866" s="208"/>
      <c r="GO866" s="208"/>
      <c r="GP866" s="208"/>
      <c r="GQ866" s="208"/>
      <c r="GR866" s="208"/>
      <c r="GS866" s="208"/>
      <c r="GT866" s="208"/>
      <c r="GU866" s="213">
        <v>861</v>
      </c>
    </row>
    <row r="867" spans="1:203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108.93142674178424</v>
      </c>
      <c r="AO867">
        <v>18.384013949574758</v>
      </c>
      <c r="AP867">
        <v>124.75847992490583</v>
      </c>
      <c r="AQ867">
        <v>144.70349084713973</v>
      </c>
      <c r="AR867">
        <v>16.889483961518632</v>
      </c>
      <c r="AS867">
        <v>229.07794835442115</v>
      </c>
      <c r="AT867">
        <v>10.97878314438289</v>
      </c>
      <c r="AU867">
        <v>33.815529021025512</v>
      </c>
      <c r="AV867"/>
      <c r="AW867"/>
      <c r="FY867" s="213">
        <v>862</v>
      </c>
      <c r="FZ867">
        <v>19.829613928010499</v>
      </c>
      <c r="GA867">
        <v>25.650054700172113</v>
      </c>
      <c r="GB867">
        <v>10.753026062496287</v>
      </c>
      <c r="GC867">
        <v>6.1030458597947925</v>
      </c>
      <c r="GD867">
        <v>1.788699712579894</v>
      </c>
      <c r="GE867">
        <v>2.6721440526280333</v>
      </c>
      <c r="GF867">
        <v>3.4401227669617169</v>
      </c>
      <c r="GG867">
        <v>3.3140214305095927</v>
      </c>
      <c r="GH867">
        <v>3.3627822549657664</v>
      </c>
      <c r="GI867">
        <v>7.8427436953004461</v>
      </c>
      <c r="GJ867"/>
      <c r="GK867"/>
      <c r="GL867"/>
      <c r="GM867"/>
      <c r="GN867" s="208"/>
      <c r="GO867" s="208"/>
      <c r="GP867" s="208"/>
      <c r="GQ867" s="208"/>
      <c r="GR867" s="208"/>
      <c r="GS867" s="208"/>
      <c r="GT867" s="208"/>
      <c r="GU867" s="213">
        <v>862</v>
      </c>
    </row>
    <row r="868" spans="1:203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96.15526290017921</v>
      </c>
      <c r="AO868">
        <v>11.085071650151317</v>
      </c>
      <c r="AP868">
        <v>191.05235843554607</v>
      </c>
      <c r="AQ868">
        <v>80.268119891619378</v>
      </c>
      <c r="AR868">
        <v>10.326711007805214</v>
      </c>
      <c r="AS868">
        <v>157.62171833750452</v>
      </c>
      <c r="AT868" t="e">
        <v>#DIV/0!</v>
      </c>
      <c r="AU868" t="e">
        <v>#DIV/0!</v>
      </c>
      <c r="AV868"/>
      <c r="AW868"/>
      <c r="FY868" s="213">
        <v>863</v>
      </c>
      <c r="FZ868">
        <v>26.270844845034404</v>
      </c>
      <c r="GA868">
        <v>33.614163208943076</v>
      </c>
      <c r="GB868">
        <v>5.6415671649275989</v>
      </c>
      <c r="GC868">
        <v>3.8476140391758928</v>
      </c>
      <c r="GD868">
        <v>2.1213720432608896</v>
      </c>
      <c r="GE868">
        <v>2.022367525579587</v>
      </c>
      <c r="GF868">
        <v>3.0220769228969178</v>
      </c>
      <c r="GG868">
        <v>5.824127940984269</v>
      </c>
      <c r="GH868">
        <v>4.6811079348310667</v>
      </c>
      <c r="GI868">
        <v>7.8523016936453578</v>
      </c>
      <c r="GJ868"/>
      <c r="GK868"/>
      <c r="GL868"/>
      <c r="GM868"/>
      <c r="GN868" s="208"/>
      <c r="GO868" s="208"/>
      <c r="GP868" s="208"/>
      <c r="GQ868" s="208"/>
      <c r="GR868" s="208"/>
      <c r="GS868" s="208"/>
      <c r="GT868" s="208"/>
      <c r="GU868" s="213">
        <v>863</v>
      </c>
    </row>
    <row r="869" spans="1:203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72.219118844118853</v>
      </c>
      <c r="AO869">
        <v>14.464529909793191</v>
      </c>
      <c r="AP869">
        <v>107.65334448602439</v>
      </c>
      <c r="AQ869">
        <v>128.50058605028974</v>
      </c>
      <c r="AR869">
        <v>13.408332559352054</v>
      </c>
      <c r="AS869">
        <v>167.15138910241072</v>
      </c>
      <c r="AT869">
        <v>9.7579511910690293</v>
      </c>
      <c r="AU869">
        <v>17.300248791145904</v>
      </c>
      <c r="AV869"/>
      <c r="AW869"/>
      <c r="FY869" s="213">
        <v>864</v>
      </c>
      <c r="FZ869">
        <v>20.758225930655133</v>
      </c>
      <c r="GA869">
        <v>30.291305355556418</v>
      </c>
      <c r="GB869">
        <v>9.4105805167512173</v>
      </c>
      <c r="GC869">
        <v>4.9181742596447764</v>
      </c>
      <c r="GD869">
        <v>2.4022608846389941</v>
      </c>
      <c r="GE869">
        <v>2.8647092242149963</v>
      </c>
      <c r="GF869">
        <v>0.30877126115297576</v>
      </c>
      <c r="GG869">
        <v>0</v>
      </c>
      <c r="GH869">
        <v>1.8024129433554106</v>
      </c>
      <c r="GI869">
        <v>7.1999034550812313</v>
      </c>
      <c r="GJ869"/>
      <c r="GK869"/>
      <c r="GL869"/>
      <c r="GM869"/>
      <c r="GN869" s="208"/>
      <c r="GO869" s="208"/>
      <c r="GP869" s="208"/>
      <c r="GQ869" s="208"/>
      <c r="GR869" s="208"/>
      <c r="GS869" s="208"/>
      <c r="GT869" s="208"/>
      <c r="GU869" s="213">
        <v>864</v>
      </c>
    </row>
    <row r="870" spans="1:203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63.499053275156214</v>
      </c>
      <c r="AO870">
        <v>11.536240806607484</v>
      </c>
      <c r="AP870">
        <v>106.02555867303286</v>
      </c>
      <c r="AQ870">
        <v>96.015308724106646</v>
      </c>
      <c r="AR870">
        <v>10.637816041110106</v>
      </c>
      <c r="AS870">
        <v>127.17284651819416</v>
      </c>
      <c r="AT870" t="e">
        <v>#DIV/0!</v>
      </c>
      <c r="AU870" t="e">
        <v>#DIV/0!</v>
      </c>
      <c r="AV870"/>
      <c r="AW870"/>
      <c r="FY870" s="213">
        <v>865</v>
      </c>
      <c r="FZ870">
        <v>39.522118417431287</v>
      </c>
      <c r="GA870">
        <v>44.612598269208718</v>
      </c>
      <c r="GB870">
        <v>12.070356150245242</v>
      </c>
      <c r="GC870">
        <v>8.2621767114094826</v>
      </c>
      <c r="GD870">
        <v>2.2615575437510036</v>
      </c>
      <c r="GE870">
        <v>2.1019312983785201</v>
      </c>
      <c r="GF870">
        <v>2.2487126965148976</v>
      </c>
      <c r="GG870">
        <v>1.7011836411893264</v>
      </c>
      <c r="GH870">
        <v>0.60080431445180338</v>
      </c>
      <c r="GI870">
        <v>10.654024072588292</v>
      </c>
      <c r="GJ870"/>
      <c r="GK870"/>
      <c r="GL870"/>
      <c r="GM870"/>
      <c r="GN870" s="208"/>
      <c r="GO870" s="208"/>
      <c r="GP870" s="208"/>
      <c r="GQ870" s="208"/>
      <c r="GR870" s="208"/>
      <c r="GS870" s="208"/>
      <c r="GT870" s="208"/>
      <c r="GU870" s="213">
        <v>865</v>
      </c>
    </row>
    <row r="871" spans="1:203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92.038828251607143</v>
      </c>
      <c r="AO871">
        <v>17.701884507186481</v>
      </c>
      <c r="AP871">
        <v>93.042070326194562</v>
      </c>
      <c r="AQ871">
        <v>145.60567347976888</v>
      </c>
      <c r="AR871">
        <v>16.218288929441883</v>
      </c>
      <c r="AS871">
        <v>188.93659307209566</v>
      </c>
      <c r="AT871" t="e">
        <v>#DIV/0!</v>
      </c>
      <c r="AU871" t="e">
        <v>#DIV/0!</v>
      </c>
      <c r="AV871"/>
      <c r="AW871"/>
      <c r="FY871" s="213">
        <v>866</v>
      </c>
      <c r="FZ871">
        <v>36.848796927356048</v>
      </c>
      <c r="GA871">
        <v>43.617089394437471</v>
      </c>
      <c r="GB871">
        <v>8.2836771722100622</v>
      </c>
      <c r="GC871">
        <v>5.5235238374755902</v>
      </c>
      <c r="GD871">
        <v>2.2745631864138414</v>
      </c>
      <c r="GE871">
        <v>1.9191990392695546</v>
      </c>
      <c r="GF871">
        <v>2.5385048680178612</v>
      </c>
      <c r="GG871">
        <v>1.9629198764828817</v>
      </c>
      <c r="GH871">
        <v>0</v>
      </c>
      <c r="GI871">
        <v>9.3264269573915737</v>
      </c>
      <c r="GJ871"/>
      <c r="GK871"/>
      <c r="GL871"/>
      <c r="GM871"/>
      <c r="GN871" s="208"/>
      <c r="GO871" s="208"/>
      <c r="GP871" s="208"/>
      <c r="GQ871" s="208"/>
      <c r="GR871" s="208"/>
      <c r="GS871" s="208"/>
      <c r="GT871" s="208"/>
      <c r="GU871" s="213">
        <v>866</v>
      </c>
    </row>
    <row r="872" spans="1:203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85.183508627810113</v>
      </c>
      <c r="AO872">
        <v>11.415293885105093</v>
      </c>
      <c r="AP872">
        <v>68.076216389418363</v>
      </c>
      <c r="AQ872">
        <v>79.07475534932054</v>
      </c>
      <c r="AR872">
        <v>10.624703143185124</v>
      </c>
      <c r="AS872">
        <v>148.09021155005991</v>
      </c>
      <c r="AT872" t="e">
        <v>#DIV/0!</v>
      </c>
      <c r="AU872" t="e">
        <v>#DIV/0!</v>
      </c>
      <c r="AV872"/>
      <c r="AW872"/>
      <c r="FY872" s="213">
        <v>867</v>
      </c>
      <c r="FZ872">
        <v>31.935480046308282</v>
      </c>
      <c r="GA872">
        <v>37.733668202558029</v>
      </c>
      <c r="GB872">
        <v>8.5336098881240812</v>
      </c>
      <c r="GC872">
        <v>5.4199307242769299</v>
      </c>
      <c r="GD872">
        <v>1.8964049165241919</v>
      </c>
      <c r="GE872">
        <v>2.5185611885784329</v>
      </c>
      <c r="GF872">
        <v>2.8472761291708366</v>
      </c>
      <c r="GG872">
        <v>3.34398810629488</v>
      </c>
      <c r="GH872">
        <v>2.1611736260621592</v>
      </c>
      <c r="GI872">
        <v>8.8107657513378292</v>
      </c>
      <c r="GJ872"/>
      <c r="GK872"/>
      <c r="GL872"/>
      <c r="GM872"/>
      <c r="GN872" s="208"/>
      <c r="GO872" s="208"/>
      <c r="GP872" s="208"/>
      <c r="GQ872" s="208"/>
      <c r="GR872" s="208"/>
      <c r="GS872" s="208"/>
      <c r="GT872" s="208"/>
      <c r="GU872" s="213">
        <v>867</v>
      </c>
    </row>
    <row r="873" spans="1:203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81.328357616624587</v>
      </c>
      <c r="AO873">
        <v>15.742780578670395</v>
      </c>
      <c r="AP873">
        <v>122.54360358954339</v>
      </c>
      <c r="AQ873">
        <v>138.18332583567098</v>
      </c>
      <c r="AR873">
        <v>14.428992956947884</v>
      </c>
      <c r="AS873">
        <v>165.2194402824523</v>
      </c>
      <c r="AT873">
        <v>9.9576101487376203</v>
      </c>
      <c r="AU873">
        <v>18.28447971378926</v>
      </c>
      <c r="AV873"/>
      <c r="AW873"/>
      <c r="FY873" s="213">
        <v>868</v>
      </c>
      <c r="FZ873">
        <v>13.074758797856367</v>
      </c>
      <c r="GA873">
        <v>14.886972721160667</v>
      </c>
      <c r="GB873">
        <v>2.3213199148085524</v>
      </c>
      <c r="GC873">
        <v>2.4116905966352213</v>
      </c>
      <c r="GD873">
        <v>1.9653148364628346</v>
      </c>
      <c r="GE873">
        <v>2.0227270145067608</v>
      </c>
      <c r="GF873">
        <v>2.064454147473493</v>
      </c>
      <c r="GG873">
        <v>3.8779169082851075</v>
      </c>
      <c r="GH873">
        <v>3.7215429376725151</v>
      </c>
      <c r="GI873">
        <v>4.6355710380461375</v>
      </c>
      <c r="GJ873"/>
      <c r="GK873"/>
      <c r="GL873"/>
      <c r="GM873"/>
      <c r="GN873" s="208"/>
      <c r="GO873" s="208"/>
      <c r="GP873" s="208"/>
      <c r="GQ873" s="208"/>
      <c r="GR873" s="208"/>
      <c r="GS873" s="208"/>
      <c r="GT873" s="208"/>
      <c r="GU873" s="213">
        <v>868</v>
      </c>
    </row>
    <row r="874" spans="1:203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77.753295906116648</v>
      </c>
      <c r="AO874">
        <v>7.9583162534322911</v>
      </c>
      <c r="AP874">
        <v>45.212845574306428</v>
      </c>
      <c r="AQ874">
        <v>55.199327464425856</v>
      </c>
      <c r="AR874">
        <v>7.4181075060793473</v>
      </c>
      <c r="AS874">
        <v>118.24888086132121</v>
      </c>
      <c r="AT874" t="e">
        <v>#DIV/0!</v>
      </c>
      <c r="AU874" t="e">
        <v>#DIV/0!</v>
      </c>
      <c r="AV874"/>
      <c r="AW874"/>
      <c r="FY874" s="213">
        <v>869</v>
      </c>
      <c r="FZ874">
        <v>23.153010013555679</v>
      </c>
      <c r="GA874">
        <v>27.99932046174899</v>
      </c>
      <c r="GB874">
        <v>6.6021338239390603</v>
      </c>
      <c r="GC874">
        <v>4.6867543010255659</v>
      </c>
      <c r="GD874">
        <v>2.3811999289322348</v>
      </c>
      <c r="GE874">
        <v>2.5827012050094265</v>
      </c>
      <c r="GF874">
        <v>1.5907830947453845</v>
      </c>
      <c r="GG874">
        <v>2.4542015045501224</v>
      </c>
      <c r="GH874">
        <v>2.7619779405139626</v>
      </c>
      <c r="GI874">
        <v>7.2420737951479888</v>
      </c>
      <c r="GJ874"/>
      <c r="GK874"/>
      <c r="GL874"/>
      <c r="GM874"/>
      <c r="GN874" s="208"/>
      <c r="GO874" s="208"/>
      <c r="GP874" s="208"/>
      <c r="GQ874" s="208"/>
      <c r="GR874" s="208"/>
      <c r="GS874" s="208"/>
      <c r="GT874" s="208"/>
      <c r="GU874" s="213">
        <v>869</v>
      </c>
    </row>
    <row r="875" spans="1:203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70.935259103641442</v>
      </c>
      <c r="AO875">
        <v>11.083458931001886</v>
      </c>
      <c r="AP875">
        <v>94.380549749860677</v>
      </c>
      <c r="AQ875">
        <v>92.164282628556577</v>
      </c>
      <c r="AR875">
        <v>10.131119165362421</v>
      </c>
      <c r="AS875">
        <v>135.25666615717532</v>
      </c>
      <c r="AT875" t="e">
        <v>#DIV/0!</v>
      </c>
      <c r="AU875" t="e">
        <v>#DIV/0!</v>
      </c>
      <c r="AV875"/>
      <c r="AW875"/>
      <c r="FY875" s="213">
        <v>870</v>
      </c>
      <c r="FZ875">
        <v>55.254723501447522</v>
      </c>
      <c r="GA875">
        <v>66.170931912707232</v>
      </c>
      <c r="GB875">
        <v>6.7335510696092404</v>
      </c>
      <c r="GC875">
        <v>4.7904864263567255</v>
      </c>
      <c r="GD875">
        <v>2.2906661707506437</v>
      </c>
      <c r="GE875">
        <v>2.0396407041141411</v>
      </c>
      <c r="GF875">
        <v>2.8403567518376329</v>
      </c>
      <c r="GG875">
        <v>2.1238410256124531</v>
      </c>
      <c r="GH875">
        <v>0.60080431445180338</v>
      </c>
      <c r="GI875">
        <v>11.799922921620103</v>
      </c>
      <c r="GJ875"/>
      <c r="GK875"/>
      <c r="GL875"/>
      <c r="GM875"/>
      <c r="GN875" s="208"/>
      <c r="GO875" s="208"/>
      <c r="GP875" s="208"/>
      <c r="GQ875" s="208"/>
      <c r="GR875" s="208"/>
      <c r="GS875" s="208"/>
      <c r="GT875" s="208"/>
      <c r="GU875" s="213">
        <v>870</v>
      </c>
    </row>
    <row r="876" spans="1:203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76.68838604886399</v>
      </c>
      <c r="AO876">
        <v>8.8513195237113607</v>
      </c>
      <c r="AP876">
        <v>33.134997607931759</v>
      </c>
      <c r="AQ876">
        <v>60.307241368350752</v>
      </c>
      <c r="AR876">
        <v>8.0774935138774548</v>
      </c>
      <c r="AS876">
        <v>108.35940206834594</v>
      </c>
      <c r="AT876" t="e">
        <v>#DIV/0!</v>
      </c>
      <c r="AU876" t="e">
        <v>#DIV/0!</v>
      </c>
      <c r="AV876"/>
      <c r="AW876"/>
      <c r="FY876" s="213">
        <v>871</v>
      </c>
      <c r="FZ876">
        <v>12.177929249554131</v>
      </c>
      <c r="GA876">
        <v>19.370739884946069</v>
      </c>
      <c r="GB876">
        <v>14.326358670840474</v>
      </c>
      <c r="GC876">
        <v>7.3682877032958549</v>
      </c>
      <c r="GD876">
        <v>1.6593172892568473</v>
      </c>
      <c r="GE876">
        <v>1.750915160935312</v>
      </c>
      <c r="GF876">
        <v>2.6408600735964805</v>
      </c>
      <c r="GG876">
        <v>5.5331748880302118</v>
      </c>
      <c r="GH876">
        <v>5.8827165637346734</v>
      </c>
      <c r="GI876">
        <v>7.8455313764093244</v>
      </c>
      <c r="GJ876"/>
      <c r="GK876"/>
      <c r="GL876"/>
      <c r="GM876"/>
      <c r="GN876" s="208"/>
      <c r="GO876" s="208"/>
      <c r="GP876" s="208"/>
      <c r="GQ876" s="208"/>
      <c r="GR876" s="208"/>
      <c r="GS876" s="208"/>
      <c r="GT876" s="208"/>
      <c r="GU876" s="213">
        <v>871</v>
      </c>
    </row>
    <row r="877" spans="1:203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104.14025108127541</v>
      </c>
      <c r="AO877">
        <v>16.603694287975042</v>
      </c>
      <c r="AP877">
        <v>140.55372738926403</v>
      </c>
      <c r="AQ877">
        <v>139.11101374336505</v>
      </c>
      <c r="AR877">
        <v>15.20446490993049</v>
      </c>
      <c r="AS877">
        <v>205.2116717165492</v>
      </c>
      <c r="AT877" t="e">
        <v>#DIV/0!</v>
      </c>
      <c r="AU877" t="e">
        <v>#DIV/0!</v>
      </c>
      <c r="AV877"/>
      <c r="AW877"/>
      <c r="FY877" s="213">
        <v>872</v>
      </c>
      <c r="FZ877">
        <v>37.472531013744245</v>
      </c>
      <c r="GA877">
        <v>46.51050643322921</v>
      </c>
      <c r="GB877">
        <v>9.6159288041428699</v>
      </c>
      <c r="GC877">
        <v>6.7124874497138505</v>
      </c>
      <c r="GD877">
        <v>2.9770176257749448</v>
      </c>
      <c r="GE877">
        <v>2.5538823685119474</v>
      </c>
      <c r="GF877">
        <v>2.7588330761911077</v>
      </c>
      <c r="GG877">
        <v>2.0472373827059211</v>
      </c>
      <c r="GH877">
        <v>0</v>
      </c>
      <c r="GI877">
        <v>10.161517523587241</v>
      </c>
      <c r="GJ877"/>
      <c r="GK877"/>
      <c r="GL877"/>
      <c r="GM877"/>
      <c r="GN877" s="208"/>
      <c r="GO877" s="208"/>
      <c r="GP877" s="208"/>
      <c r="GQ877" s="208"/>
      <c r="GR877" s="208"/>
      <c r="GS877" s="208"/>
      <c r="GT877" s="208"/>
      <c r="GU877" s="213">
        <v>872</v>
      </c>
    </row>
    <row r="878" spans="1:203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79.783614681136228</v>
      </c>
      <c r="AO878">
        <v>11.691611164320573</v>
      </c>
      <c r="AP878">
        <v>71.208649822362602</v>
      </c>
      <c r="AQ878">
        <v>84.75625446341914</v>
      </c>
      <c r="AR878">
        <v>10.881315683340766</v>
      </c>
      <c r="AS878">
        <v>132.88877392199942</v>
      </c>
      <c r="AT878">
        <v>7.0311191117843883</v>
      </c>
      <c r="AU878">
        <v>-42.248595671756902</v>
      </c>
      <c r="AV878"/>
      <c r="AW878"/>
      <c r="FY878" s="213">
        <v>873</v>
      </c>
      <c r="FZ878">
        <v>44.3100757270374</v>
      </c>
      <c r="GA878">
        <v>57.996036303557929</v>
      </c>
      <c r="GB878">
        <v>8.7712934314004194</v>
      </c>
      <c r="GC878">
        <v>4.1853388001847271</v>
      </c>
      <c r="GD878">
        <v>1.8294117943719188</v>
      </c>
      <c r="GE878">
        <v>2.5407470621559929</v>
      </c>
      <c r="GF878">
        <v>4.0043955828354143</v>
      </c>
      <c r="GG878">
        <v>3.0942210634620015</v>
      </c>
      <c r="GH878">
        <v>1.2016086289036068</v>
      </c>
      <c r="GI878">
        <v>10.790820859867072</v>
      </c>
      <c r="GJ878"/>
      <c r="GK878"/>
      <c r="GL878"/>
      <c r="GM878"/>
      <c r="GN878" s="208"/>
      <c r="GO878" s="208"/>
      <c r="GP878" s="208"/>
      <c r="GQ878" s="208"/>
      <c r="GR878" s="208"/>
      <c r="GS878" s="208"/>
      <c r="GT878" s="208"/>
      <c r="GU878" s="213">
        <v>873</v>
      </c>
    </row>
    <row r="879" spans="1:203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73.272085246565467</v>
      </c>
      <c r="AO879">
        <v>11.883985443822347</v>
      </c>
      <c r="AP879">
        <v>60.858036491725507</v>
      </c>
      <c r="AQ879">
        <v>94.897543319279052</v>
      </c>
      <c r="AR879">
        <v>10.852141703330142</v>
      </c>
      <c r="AS879">
        <v>126.76370636569796</v>
      </c>
      <c r="AT879" t="e">
        <v>#DIV/0!</v>
      </c>
      <c r="AU879" t="e">
        <v>#DIV/0!</v>
      </c>
      <c r="AV879"/>
      <c r="AW879"/>
      <c r="FY879" s="213">
        <v>874</v>
      </c>
      <c r="FZ879">
        <v>49.032941870028417</v>
      </c>
      <c r="GA879">
        <v>59.252459879897145</v>
      </c>
      <c r="GB879">
        <v>6.8991129396371473</v>
      </c>
      <c r="GC879">
        <v>4.6035644786670042</v>
      </c>
      <c r="GD879">
        <v>2.7532325839458895</v>
      </c>
      <c r="GE879">
        <v>2.8100057920748247</v>
      </c>
      <c r="GF879">
        <v>1.6810785880071957</v>
      </c>
      <c r="GG879">
        <v>2.6393340969371453</v>
      </c>
      <c r="GH879">
        <v>2.7619779405139626</v>
      </c>
      <c r="GI879">
        <v>11.369994476311943</v>
      </c>
      <c r="GJ879"/>
      <c r="GK879"/>
      <c r="GL879"/>
      <c r="GM879"/>
      <c r="GN879" s="208"/>
      <c r="GO879" s="208"/>
      <c r="GP879" s="208"/>
      <c r="GQ879" s="208"/>
      <c r="GR879" s="208"/>
      <c r="GS879" s="208"/>
      <c r="GT879" s="208"/>
      <c r="GU879" s="213">
        <v>874</v>
      </c>
    </row>
    <row r="880" spans="1:203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77.377416190835305</v>
      </c>
      <c r="AO880">
        <v>10.744504898662864</v>
      </c>
      <c r="AP880">
        <v>78.953802045342073</v>
      </c>
      <c r="AQ880">
        <v>79.956343831051129</v>
      </c>
      <c r="AR880">
        <v>9.9960011269295919</v>
      </c>
      <c r="AS880">
        <v>126.940805589308</v>
      </c>
      <c r="AT880" t="e">
        <v>#DIV/0!</v>
      </c>
      <c r="AU880" t="e">
        <v>#DIV/0!</v>
      </c>
      <c r="AV880"/>
      <c r="AW880"/>
      <c r="FY880" s="213">
        <v>875</v>
      </c>
      <c r="FZ880">
        <v>16.0464195782804</v>
      </c>
      <c r="GA880">
        <v>24.75471926372439</v>
      </c>
      <c r="GB880">
        <v>12.922673708710121</v>
      </c>
      <c r="GC880">
        <v>7.0384849193701884</v>
      </c>
      <c r="GD880">
        <v>2.3552520746528511</v>
      </c>
      <c r="GE880">
        <v>2.0614468268550712</v>
      </c>
      <c r="GF880">
        <v>0.957622775423425</v>
      </c>
      <c r="GG880">
        <v>0.83560848270201948</v>
      </c>
      <c r="GH880">
        <v>1.2016086289036068</v>
      </c>
      <c r="GI880">
        <v>7.3961909581331184</v>
      </c>
      <c r="GJ880"/>
      <c r="GK880"/>
      <c r="GL880"/>
      <c r="GM880"/>
      <c r="GN880" s="208"/>
      <c r="GO880" s="208"/>
      <c r="GP880" s="208"/>
      <c r="GQ880" s="208"/>
      <c r="GR880" s="208"/>
      <c r="GS880" s="208"/>
      <c r="GT880" s="208"/>
      <c r="GU880" s="213">
        <v>875</v>
      </c>
    </row>
    <row r="881" spans="1:203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129.0524861569296</v>
      </c>
      <c r="AO881">
        <v>15.894008867891213</v>
      </c>
      <c r="AP881">
        <v>102.77648005382522</v>
      </c>
      <c r="AQ881">
        <v>124.0354631151686</v>
      </c>
      <c r="AR881">
        <v>14.680991239941241</v>
      </c>
      <c r="AS881">
        <v>209.35844753174928</v>
      </c>
      <c r="AT881" t="e">
        <v>#DIV/0!</v>
      </c>
      <c r="AU881" t="e">
        <v>#DIV/0!</v>
      </c>
      <c r="AV881"/>
      <c r="AW881"/>
      <c r="FY881" s="213">
        <v>876</v>
      </c>
      <c r="FZ881">
        <v>10.258689851754902</v>
      </c>
      <c r="GA881">
        <v>14.876785446064119</v>
      </c>
      <c r="GB881">
        <v>7.776506556734943</v>
      </c>
      <c r="GC881">
        <v>5.5232996687512212</v>
      </c>
      <c r="GD881">
        <v>2.7821449236152476</v>
      </c>
      <c r="GE881">
        <v>2.3750801643628856</v>
      </c>
      <c r="GF881">
        <v>4.2039656590090475</v>
      </c>
      <c r="GG881">
        <v>4.4161057998282107</v>
      </c>
      <c r="GH881">
        <v>1.5603693116103559</v>
      </c>
      <c r="GI881">
        <v>6.0748356514957811</v>
      </c>
      <c r="GJ881"/>
      <c r="GK881"/>
      <c r="GL881"/>
      <c r="GM881"/>
      <c r="GN881" s="208"/>
      <c r="GO881" s="208"/>
      <c r="GP881" s="208"/>
      <c r="GQ881" s="208"/>
      <c r="GR881" s="208"/>
      <c r="GS881" s="208"/>
      <c r="GT881" s="208"/>
      <c r="GU881" s="213">
        <v>876</v>
      </c>
    </row>
    <row r="882" spans="1:203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78.287837284560155</v>
      </c>
      <c r="AO882">
        <v>13.922040188231378</v>
      </c>
      <c r="AP882">
        <v>75.550502115851117</v>
      </c>
      <c r="AQ882">
        <v>112.2947012590549</v>
      </c>
      <c r="AR882">
        <v>12.890054300312356</v>
      </c>
      <c r="AS882">
        <v>145.20169584331251</v>
      </c>
      <c r="AT882" t="e">
        <v>#DIV/0!</v>
      </c>
      <c r="AU882" t="e">
        <v>#DIV/0!</v>
      </c>
      <c r="AV882"/>
      <c r="AW882"/>
      <c r="FY882" s="213">
        <v>877</v>
      </c>
      <c r="FZ882">
        <v>28.43289107002575</v>
      </c>
      <c r="GA882">
        <v>35.148579589337103</v>
      </c>
      <c r="GB882">
        <v>10.133322978791226</v>
      </c>
      <c r="GC882">
        <v>6.9285788119444751</v>
      </c>
      <c r="GD882">
        <v>3.004155307234905</v>
      </c>
      <c r="GE882">
        <v>2.9920796554754849</v>
      </c>
      <c r="GF882">
        <v>3.0432147227127895</v>
      </c>
      <c r="GG882">
        <v>2.1325704701337549</v>
      </c>
      <c r="GH882">
        <v>0</v>
      </c>
      <c r="GI882">
        <v>9.0419608860553584</v>
      </c>
      <c r="GJ882"/>
      <c r="GK882"/>
      <c r="GL882"/>
      <c r="GM882"/>
      <c r="GN882" s="208"/>
      <c r="GO882" s="208"/>
      <c r="GP882" s="208"/>
      <c r="GQ882" s="208"/>
      <c r="GR882" s="208"/>
      <c r="GS882" s="208"/>
      <c r="GT882" s="208"/>
      <c r="GU882" s="213">
        <v>877</v>
      </c>
    </row>
    <row r="883" spans="1:203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96.251607514874507</v>
      </c>
      <c r="AO883">
        <v>13.201796317837417</v>
      </c>
      <c r="AP883">
        <v>77.345593365277125</v>
      </c>
      <c r="AQ883">
        <v>105.20085857923564</v>
      </c>
      <c r="AR883">
        <v>12.129858450993035</v>
      </c>
      <c r="AS883">
        <v>155.00856781876342</v>
      </c>
      <c r="AT883">
        <v>8.2595779089082892</v>
      </c>
      <c r="AU883">
        <v>14.21605554850642</v>
      </c>
      <c r="AV883"/>
      <c r="AW883"/>
      <c r="FY883" s="213">
        <v>878</v>
      </c>
      <c r="FZ883">
        <v>23.441986660910462</v>
      </c>
      <c r="GA883">
        <v>28.943798362635796</v>
      </c>
      <c r="GB883">
        <v>7.2882205123032584</v>
      </c>
      <c r="GC883">
        <v>4.4803082608227998</v>
      </c>
      <c r="GD883">
        <v>2.2017944654697201</v>
      </c>
      <c r="GE883">
        <v>2.71002582968354</v>
      </c>
      <c r="GF883">
        <v>2.7223837492430052</v>
      </c>
      <c r="GG883">
        <v>2.1238410256124531</v>
      </c>
      <c r="GH883">
        <v>0</v>
      </c>
      <c r="GI883">
        <v>7.0763856819007804</v>
      </c>
      <c r="GJ883"/>
      <c r="GK883"/>
      <c r="GL883"/>
      <c r="GM883"/>
      <c r="GN883" s="208"/>
      <c r="GO883" s="208"/>
      <c r="GP883" s="208"/>
      <c r="GQ883" s="208"/>
      <c r="GR883" s="208"/>
      <c r="GS883" s="208"/>
      <c r="GT883" s="208"/>
      <c r="GU883" s="213">
        <v>878</v>
      </c>
    </row>
    <row r="884" spans="1:203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70.52182150638032</v>
      </c>
      <c r="AO884">
        <v>6.800799622391156</v>
      </c>
      <c r="AP884">
        <v>38.97365119075544</v>
      </c>
      <c r="AQ884">
        <v>50.982268912907664</v>
      </c>
      <c r="AR884">
        <v>6.3592891186244449</v>
      </c>
      <c r="AS884">
        <v>107.18462583923463</v>
      </c>
      <c r="AT884">
        <v>4.4643635626371783</v>
      </c>
      <c r="AU884">
        <v>23.288937310607722</v>
      </c>
      <c r="AV884"/>
      <c r="AW884"/>
      <c r="FY884" s="213">
        <v>879</v>
      </c>
      <c r="FZ884">
        <v>34.796195617144761</v>
      </c>
      <c r="GA884">
        <v>42.347428206694651</v>
      </c>
      <c r="GB884">
        <v>9.6083917277540394</v>
      </c>
      <c r="GC884">
        <v>6.1121873711277495</v>
      </c>
      <c r="GD884">
        <v>2.5114209058313306</v>
      </c>
      <c r="GE884">
        <v>2.9497135050801226</v>
      </c>
      <c r="GF884">
        <v>3.8048989045942614</v>
      </c>
      <c r="GG884">
        <v>4.0186754398673283</v>
      </c>
      <c r="GH884">
        <v>1.5603693116103559</v>
      </c>
      <c r="GI884">
        <v>10.004747291607899</v>
      </c>
      <c r="GJ884"/>
      <c r="GK884"/>
      <c r="GL884"/>
      <c r="GM884"/>
      <c r="GN884" s="208"/>
      <c r="GO884" s="208"/>
      <c r="GP884" s="208"/>
      <c r="GQ884" s="208"/>
      <c r="GR884" s="208"/>
      <c r="GS884" s="208"/>
      <c r="GT884" s="208"/>
      <c r="GU884" s="213">
        <v>879</v>
      </c>
    </row>
    <row r="885" spans="1:203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69.04622103114751</v>
      </c>
      <c r="AO885">
        <v>10.826647099771268</v>
      </c>
      <c r="AP885">
        <v>77.146184555604179</v>
      </c>
      <c r="AQ885">
        <v>81.45415606916842</v>
      </c>
      <c r="AR885">
        <v>10.021808394427898</v>
      </c>
      <c r="AS885">
        <v>133.66579773894097</v>
      </c>
      <c r="AT885">
        <v>6.6627191375612442</v>
      </c>
      <c r="AU885">
        <v>8.8145302952257154</v>
      </c>
      <c r="AV885"/>
      <c r="AW885"/>
      <c r="FY885" s="213">
        <v>880</v>
      </c>
      <c r="FZ885">
        <v>17.429821201326863</v>
      </c>
      <c r="GA885">
        <v>19.211577433885122</v>
      </c>
      <c r="GB885">
        <v>8.0599500715285259</v>
      </c>
      <c r="GC885">
        <v>5.9450539382935208</v>
      </c>
      <c r="GD885">
        <v>2.3342523987664068</v>
      </c>
      <c r="GE885">
        <v>2.3191024498483666</v>
      </c>
      <c r="GF885">
        <v>5.0770097360357225</v>
      </c>
      <c r="GG885">
        <v>4.4667711125954757</v>
      </c>
      <c r="GH885">
        <v>0.60080431445180338</v>
      </c>
      <c r="GI885">
        <v>7.0045482956140601</v>
      </c>
      <c r="GJ885"/>
      <c r="GK885"/>
      <c r="GL885"/>
      <c r="GM885"/>
      <c r="GN885" s="208"/>
      <c r="GO885" s="208"/>
      <c r="GP885" s="208"/>
      <c r="GQ885" s="208"/>
      <c r="GR885" s="208"/>
      <c r="GS885" s="208"/>
      <c r="GT885" s="208"/>
      <c r="GU885" s="213">
        <v>880</v>
      </c>
    </row>
    <row r="886" spans="1:203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101.92992248623588</v>
      </c>
      <c r="AO886">
        <v>17.731706868564022</v>
      </c>
      <c r="AP886">
        <v>171.39481126662801</v>
      </c>
      <c r="AQ886">
        <v>154.6449247985075</v>
      </c>
      <c r="AR886">
        <v>16.316267443667488</v>
      </c>
      <c r="AS886">
        <v>202.3122214348071</v>
      </c>
      <c r="AT886" t="e">
        <v>#DIV/0!</v>
      </c>
      <c r="AU886" t="e">
        <v>#DIV/0!</v>
      </c>
      <c r="AV886"/>
      <c r="AW886"/>
      <c r="FY886" s="213">
        <v>881</v>
      </c>
      <c r="FZ886">
        <v>24.176987421522117</v>
      </c>
      <c r="GA886">
        <v>31.271180511293998</v>
      </c>
      <c r="GB886">
        <v>8.2306235662631977</v>
      </c>
      <c r="GC886">
        <v>4.6252514676729248</v>
      </c>
      <c r="GD886">
        <v>1.9388703083234768</v>
      </c>
      <c r="GE886">
        <v>2.5742375616496447</v>
      </c>
      <c r="GF886">
        <v>4.3601670309013771</v>
      </c>
      <c r="GG886">
        <v>3.5488037544590876</v>
      </c>
      <c r="GH886">
        <v>0.60080431445180338</v>
      </c>
      <c r="GI886">
        <v>7.6287831308456617</v>
      </c>
      <c r="GJ886"/>
      <c r="GK886"/>
      <c r="GL886"/>
      <c r="GM886"/>
      <c r="GN886" s="208"/>
      <c r="GO886" s="208"/>
      <c r="GP886" s="208"/>
      <c r="GQ886" s="208"/>
      <c r="GR886" s="208"/>
      <c r="GS886" s="208"/>
      <c r="GT886" s="208"/>
      <c r="GU886" s="213">
        <v>881</v>
      </c>
    </row>
    <row r="887" spans="1:203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77.691694598927114</v>
      </c>
      <c r="AO887">
        <v>11.784849172195068</v>
      </c>
      <c r="AP887">
        <v>54.150435698766486</v>
      </c>
      <c r="AQ887">
        <v>78.555830860599386</v>
      </c>
      <c r="AR887">
        <v>10.927962085475786</v>
      </c>
      <c r="AS887">
        <v>134.28476351384288</v>
      </c>
      <c r="AT887">
        <v>6.5890783756753146</v>
      </c>
      <c r="AU887">
        <v>-36.463461450349449</v>
      </c>
      <c r="AV887"/>
      <c r="AW887"/>
      <c r="FY887" s="213">
        <v>882</v>
      </c>
      <c r="FZ887">
        <v>23.58818957547177</v>
      </c>
      <c r="GA887">
        <v>32.044888044813717</v>
      </c>
      <c r="GB887">
        <v>9.5549860824391377</v>
      </c>
      <c r="GC887">
        <v>4.6523391472588349</v>
      </c>
      <c r="GD887">
        <v>1.7576759069636547</v>
      </c>
      <c r="GE887">
        <v>2.0089129071482206</v>
      </c>
      <c r="GF887">
        <v>2.6633972479456922</v>
      </c>
      <c r="GG887">
        <v>3.3953647247391681</v>
      </c>
      <c r="GH887">
        <v>2.1611736260621592</v>
      </c>
      <c r="GI887">
        <v>7.8428183203944739</v>
      </c>
      <c r="GJ887"/>
      <c r="GK887"/>
      <c r="GL887"/>
      <c r="GM887"/>
      <c r="GN887" s="208"/>
      <c r="GO887" s="208"/>
      <c r="GP887" s="208"/>
      <c r="GQ887" s="208"/>
      <c r="GR887" s="208"/>
      <c r="GS887" s="208"/>
      <c r="GT887" s="208"/>
      <c r="GU887" s="213">
        <v>882</v>
      </c>
    </row>
    <row r="888" spans="1:203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104.84991727902477</v>
      </c>
      <c r="AO888">
        <v>15.258444779878378</v>
      </c>
      <c r="AP888">
        <v>82.264775760558095</v>
      </c>
      <c r="AQ888">
        <v>120.80994167760133</v>
      </c>
      <c r="AR888">
        <v>13.977190167003165</v>
      </c>
      <c r="AS888">
        <v>181.89580030975824</v>
      </c>
      <c r="AT888" t="e">
        <v>#DIV/0!</v>
      </c>
      <c r="AU888" t="e">
        <v>#DIV/0!</v>
      </c>
      <c r="AV888"/>
      <c r="AW888"/>
      <c r="FY888" s="213">
        <v>883</v>
      </c>
      <c r="FZ888">
        <v>19.664034668694118</v>
      </c>
      <c r="GA888">
        <v>21.532998288855104</v>
      </c>
      <c r="GB888">
        <v>8.4543314047890927</v>
      </c>
      <c r="GC888">
        <v>6.1884789879624176</v>
      </c>
      <c r="GD888">
        <v>2.6671441637851476</v>
      </c>
      <c r="GE888">
        <v>3.2829972170433357</v>
      </c>
      <c r="GF888">
        <v>7.5587602108546124</v>
      </c>
      <c r="GG888">
        <v>7.4092460540462204</v>
      </c>
      <c r="GH888">
        <v>1.5603693116103559</v>
      </c>
      <c r="GI888">
        <v>8.1868030221218273</v>
      </c>
      <c r="GJ888"/>
      <c r="GK888"/>
      <c r="GL888"/>
      <c r="GM888"/>
      <c r="GN888" s="208"/>
      <c r="GO888" s="208"/>
      <c r="GP888" s="208"/>
      <c r="GQ888" s="208"/>
      <c r="GR888" s="208"/>
      <c r="GS888" s="208"/>
      <c r="GT888" s="208"/>
      <c r="GU888" s="213">
        <v>883</v>
      </c>
    </row>
    <row r="889" spans="1:203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99.084284647767134</v>
      </c>
      <c r="AO889">
        <v>16.293037362392443</v>
      </c>
      <c r="AP889">
        <v>164.92530852066272</v>
      </c>
      <c r="AQ889">
        <v>138.72394925377648</v>
      </c>
      <c r="AR889">
        <v>14.958204789911045</v>
      </c>
      <c r="AS889">
        <v>175.43102129654676</v>
      </c>
      <c r="AT889" t="e">
        <v>#DIV/0!</v>
      </c>
      <c r="AU889" t="e">
        <v>#DIV/0!</v>
      </c>
      <c r="AV889"/>
      <c r="AW889"/>
      <c r="FY889" s="213">
        <v>884</v>
      </c>
      <c r="FZ889">
        <v>16.313690365817894</v>
      </c>
      <c r="GA889">
        <v>23.976565111898793</v>
      </c>
      <c r="GB889">
        <v>7.380265342224634</v>
      </c>
      <c r="GC889">
        <v>4.1412083688400667</v>
      </c>
      <c r="GD889">
        <v>2.2887326053604045</v>
      </c>
      <c r="GE889">
        <v>2.0223798664770785</v>
      </c>
      <c r="GF889">
        <v>4.0291648652829677</v>
      </c>
      <c r="GG889">
        <v>5.6923691502779672</v>
      </c>
      <c r="GH889">
        <v>5.5239558810279252</v>
      </c>
      <c r="GI889">
        <v>7.2421219075446626</v>
      </c>
      <c r="GJ889"/>
      <c r="GK889"/>
      <c r="GL889"/>
      <c r="GM889"/>
      <c r="GN889" s="208"/>
      <c r="GO889" s="208"/>
      <c r="GP889" s="208"/>
      <c r="GQ889" s="208"/>
      <c r="GR889" s="208"/>
      <c r="GS889" s="208"/>
      <c r="GT889" s="208"/>
      <c r="GU889" s="213">
        <v>884</v>
      </c>
    </row>
    <row r="890" spans="1:203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96.98099577437813</v>
      </c>
      <c r="AO890">
        <v>17.049137839679098</v>
      </c>
      <c r="AP890">
        <v>126.61555450103222</v>
      </c>
      <c r="AQ890">
        <v>143.80370264602067</v>
      </c>
      <c r="AR890">
        <v>15.779876799668344</v>
      </c>
      <c r="AS890">
        <v>183.09985670336675</v>
      </c>
      <c r="AT890" t="e">
        <v>#DIV/0!</v>
      </c>
      <c r="AU890" t="e">
        <v>#DIV/0!</v>
      </c>
      <c r="AV890"/>
      <c r="AW890"/>
      <c r="FY890" s="213">
        <v>885</v>
      </c>
      <c r="FZ890">
        <v>12.07706099320049</v>
      </c>
      <c r="GA890">
        <v>16.175821519768359</v>
      </c>
      <c r="GB890">
        <v>4.5398929635837906</v>
      </c>
      <c r="GC890">
        <v>2.8596543761508544</v>
      </c>
      <c r="GD890">
        <v>1.9811871133652599</v>
      </c>
      <c r="GE890">
        <v>2.3369359577129902</v>
      </c>
      <c r="GF890">
        <v>4.0197071099676442</v>
      </c>
      <c r="GG890">
        <v>3.4355351536555534</v>
      </c>
      <c r="GH890">
        <v>0</v>
      </c>
      <c r="GI890">
        <v>4.8390801846883589</v>
      </c>
      <c r="GJ890"/>
      <c r="GK890"/>
      <c r="GL890"/>
      <c r="GM890"/>
      <c r="GN890" s="208"/>
      <c r="GO890" s="208"/>
      <c r="GP890" s="208"/>
      <c r="GQ890" s="208"/>
      <c r="GR890" s="208"/>
      <c r="GS890" s="208"/>
      <c r="GT890" s="208"/>
      <c r="GU890" s="213">
        <v>885</v>
      </c>
    </row>
    <row r="891" spans="1:203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70.205436086901585</v>
      </c>
      <c r="AO891">
        <v>11.11323075600788</v>
      </c>
      <c r="AP891">
        <v>67.993182280663831</v>
      </c>
      <c r="AQ891">
        <v>75.570027216755207</v>
      </c>
      <c r="AR891">
        <v>10.288968680195374</v>
      </c>
      <c r="AS891">
        <v>123.98857971424567</v>
      </c>
      <c r="AT891" t="e">
        <v>#DIV/0!</v>
      </c>
      <c r="AU891" t="e">
        <v>#DIV/0!</v>
      </c>
      <c r="AV891"/>
      <c r="AW891"/>
      <c r="FY891" s="213">
        <v>886</v>
      </c>
      <c r="FZ891">
        <v>36.337586609373218</v>
      </c>
      <c r="GA891">
        <v>43.970635832305206</v>
      </c>
      <c r="GB891">
        <v>5.2834129123616567</v>
      </c>
      <c r="GC891">
        <v>3.8266752305825191</v>
      </c>
      <c r="GD891">
        <v>2.5579834046372936</v>
      </c>
      <c r="GE891">
        <v>2.7998723564792738</v>
      </c>
      <c r="GF891">
        <v>4.7457013005335345</v>
      </c>
      <c r="GG891">
        <v>3.8492361100592305</v>
      </c>
      <c r="GH891">
        <v>0</v>
      </c>
      <c r="GI891">
        <v>9.1357493011771158</v>
      </c>
      <c r="GJ891"/>
      <c r="GK891"/>
      <c r="GL891"/>
      <c r="GM891"/>
      <c r="GN891" s="208"/>
      <c r="GO891" s="208"/>
      <c r="GP891" s="208"/>
      <c r="GQ891" s="208"/>
      <c r="GR891" s="208"/>
      <c r="GS891" s="208"/>
      <c r="GT891" s="208"/>
      <c r="GU891" s="213">
        <v>886</v>
      </c>
    </row>
    <row r="892" spans="1:203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83.167228087816312</v>
      </c>
      <c r="AO892">
        <v>9.0813797554056421</v>
      </c>
      <c r="AP892">
        <v>27.581839762633173</v>
      </c>
      <c r="AQ892">
        <v>59.847783033226719</v>
      </c>
      <c r="AR892">
        <v>8.3417874408253709</v>
      </c>
      <c r="AS892">
        <v>137.29394203283778</v>
      </c>
      <c r="AT892" t="e">
        <v>#DIV/0!</v>
      </c>
      <c r="AU892" t="e">
        <v>#DIV/0!</v>
      </c>
      <c r="AV892"/>
      <c r="AW892"/>
      <c r="FY892" s="213">
        <v>887</v>
      </c>
      <c r="FZ892">
        <v>17.398900635925408</v>
      </c>
      <c r="GA892">
        <v>20.048953119905789</v>
      </c>
      <c r="GB892">
        <v>5.5700290884475692</v>
      </c>
      <c r="GC892">
        <v>4.8071067067457838</v>
      </c>
      <c r="GD892">
        <v>2.5517714377553524</v>
      </c>
      <c r="GE892">
        <v>2.4364007531670779</v>
      </c>
      <c r="GF892">
        <v>5.3923941046381234</v>
      </c>
      <c r="GG892">
        <v>5.732539579194353</v>
      </c>
      <c r="GH892">
        <v>1.5603693116103559</v>
      </c>
      <c r="GI892">
        <v>6.7023099083416406</v>
      </c>
      <c r="GJ892"/>
      <c r="GK892"/>
      <c r="GL892"/>
      <c r="GM892"/>
      <c r="GN892" s="208"/>
      <c r="GO892" s="208"/>
      <c r="GP892" s="208"/>
      <c r="GQ892" s="208"/>
      <c r="GR892" s="208"/>
      <c r="GS892" s="208"/>
      <c r="GT892" s="208"/>
      <c r="GU892" s="213">
        <v>887</v>
      </c>
    </row>
    <row r="893" spans="1:203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101.4681403971845</v>
      </c>
      <c r="AO893">
        <v>13.607970779025555</v>
      </c>
      <c r="AP893">
        <v>63.090937485449757</v>
      </c>
      <c r="AQ893">
        <v>100.85735349171085</v>
      </c>
      <c r="AR893">
        <v>12.487610442848466</v>
      </c>
      <c r="AS893">
        <v>174.6061559125929</v>
      </c>
      <c r="AT893" t="e">
        <v>#DIV/0!</v>
      </c>
      <c r="AU893" t="e">
        <v>#DIV/0!</v>
      </c>
      <c r="AV893"/>
      <c r="AW893"/>
      <c r="FY893" s="213">
        <v>888</v>
      </c>
      <c r="FZ893">
        <v>18.650467045382548</v>
      </c>
      <c r="GA893">
        <v>20.902519968750241</v>
      </c>
      <c r="GB893">
        <v>6.3489082275112203</v>
      </c>
      <c r="GC893">
        <v>5.1366354544589479</v>
      </c>
      <c r="GD893">
        <v>2.2642743908595975</v>
      </c>
      <c r="GE893">
        <v>2.2449771578062885</v>
      </c>
      <c r="GF893">
        <v>3.6363315505013474</v>
      </c>
      <c r="GG893">
        <v>2.9789213002488815</v>
      </c>
      <c r="GH893">
        <v>1.2016086289036068</v>
      </c>
      <c r="GI893">
        <v>6.4882839389872826</v>
      </c>
      <c r="GJ893"/>
      <c r="GK893"/>
      <c r="GL893"/>
      <c r="GM893"/>
      <c r="GN893" s="208"/>
      <c r="GO893" s="208"/>
      <c r="GP893" s="208"/>
      <c r="GQ893" s="208"/>
      <c r="GR893" s="208"/>
      <c r="GS893" s="208"/>
      <c r="GT893" s="208"/>
      <c r="GU893" s="213">
        <v>888</v>
      </c>
    </row>
    <row r="894" spans="1:203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87.952275910364136</v>
      </c>
      <c r="AO894">
        <v>10.622184220922669</v>
      </c>
      <c r="AP894">
        <v>77.848944111539907</v>
      </c>
      <c r="AQ894">
        <v>80.988744548581806</v>
      </c>
      <c r="AR894">
        <v>9.7777779673186522</v>
      </c>
      <c r="AS894">
        <v>133.38867503181956</v>
      </c>
      <c r="AT894" t="e">
        <v>#DIV/0!</v>
      </c>
      <c r="AU894" t="e">
        <v>#DIV/0!</v>
      </c>
      <c r="AV894"/>
      <c r="AW894"/>
      <c r="FY894" s="213">
        <v>889</v>
      </c>
      <c r="FZ894">
        <v>23.288493637629852</v>
      </c>
      <c r="GA894">
        <v>27.086398082516702</v>
      </c>
      <c r="GB894">
        <v>2.9738839850483876</v>
      </c>
      <c r="GC894">
        <v>3.2847202094246901</v>
      </c>
      <c r="GD894">
        <v>1.9949289370135466</v>
      </c>
      <c r="GE894">
        <v>1.6187797287101362</v>
      </c>
      <c r="GF894">
        <v>2.189346527401324</v>
      </c>
      <c r="GG894">
        <v>1.5025819529579594</v>
      </c>
      <c r="GH894">
        <v>0</v>
      </c>
      <c r="GI894">
        <v>5.7329573784182752</v>
      </c>
      <c r="GJ894"/>
      <c r="GK894"/>
      <c r="GL894"/>
      <c r="GM894"/>
      <c r="GN894" s="208"/>
      <c r="GO894" s="208"/>
      <c r="GP894" s="208"/>
      <c r="GQ894" s="208"/>
      <c r="GR894" s="208"/>
      <c r="GS894" s="208"/>
      <c r="GT894" s="208"/>
      <c r="GU894" s="213">
        <v>889</v>
      </c>
    </row>
    <row r="895" spans="1:203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98.078461624113245</v>
      </c>
      <c r="AO895">
        <v>15.052864809380518</v>
      </c>
      <c r="AP895">
        <v>106.48164379880016</v>
      </c>
      <c r="AQ895">
        <v>117.71402828131251</v>
      </c>
      <c r="AR895">
        <v>13.80557026323638</v>
      </c>
      <c r="AS895">
        <v>167.39359525526964</v>
      </c>
      <c r="AT895" t="e">
        <v>#DIV/0!</v>
      </c>
      <c r="AU895" t="e">
        <v>#DIV/0!</v>
      </c>
      <c r="AV895"/>
      <c r="AW895"/>
      <c r="FY895" s="213">
        <v>890</v>
      </c>
      <c r="FZ895">
        <v>25.3124172651825</v>
      </c>
      <c r="GA895">
        <v>28.656255174329175</v>
      </c>
      <c r="GB895">
        <v>3.8670567550441368</v>
      </c>
      <c r="GC895">
        <v>3.3310809405409434</v>
      </c>
      <c r="GD895">
        <v>2.2096889947548433</v>
      </c>
      <c r="GE895">
        <v>2.8415430936189745</v>
      </c>
      <c r="GF895">
        <v>2.7413628388930178</v>
      </c>
      <c r="GG895">
        <v>4.295607657887043</v>
      </c>
      <c r="GH895">
        <v>3.7215429376725151</v>
      </c>
      <c r="GI895">
        <v>7.0556729871917705</v>
      </c>
      <c r="GJ895"/>
      <c r="GK895"/>
      <c r="GL895"/>
      <c r="GM895"/>
      <c r="GN895" s="208"/>
      <c r="GO895" s="208"/>
      <c r="GP895" s="208"/>
      <c r="GQ895" s="208"/>
      <c r="GR895" s="208"/>
      <c r="GS895" s="208"/>
      <c r="GT895" s="208"/>
      <c r="GU895" s="213">
        <v>890</v>
      </c>
    </row>
    <row r="896" spans="1:203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88.72282339660002</v>
      </c>
      <c r="AO896">
        <v>10.435214900404912</v>
      </c>
      <c r="AP896">
        <v>124.44423854177793</v>
      </c>
      <c r="AQ896">
        <v>72.448890952345863</v>
      </c>
      <c r="AR896">
        <v>9.6609939631967432</v>
      </c>
      <c r="AS896">
        <v>129.04405783513363</v>
      </c>
      <c r="AT896" t="e">
        <v>#DIV/0!</v>
      </c>
      <c r="AU896" t="e">
        <v>#DIV/0!</v>
      </c>
      <c r="AV896"/>
      <c r="AW896"/>
      <c r="FY896" s="213">
        <v>891</v>
      </c>
      <c r="FZ896">
        <v>58.350131884262765</v>
      </c>
      <c r="GA896">
        <v>69.519675878085764</v>
      </c>
      <c r="GB896">
        <v>13.032045886038846</v>
      </c>
      <c r="GC896">
        <v>8.0038822654826127</v>
      </c>
      <c r="GD896">
        <v>2.0021028504496976</v>
      </c>
      <c r="GE896">
        <v>1.4398445544448877</v>
      </c>
      <c r="GF896">
        <v>2.8472761291708366</v>
      </c>
      <c r="GG896">
        <v>3.5562858738687395</v>
      </c>
      <c r="GH896">
        <v>1.5603693116103559</v>
      </c>
      <c r="GI896">
        <v>13.841507770273816</v>
      </c>
      <c r="GJ896"/>
      <c r="GK896"/>
      <c r="GL896"/>
      <c r="GM896"/>
      <c r="GN896" s="208"/>
      <c r="GO896" s="208"/>
      <c r="GP896" s="208"/>
      <c r="GQ896" s="208"/>
      <c r="GR896" s="208"/>
      <c r="GS896" s="208"/>
      <c r="GT896" s="208"/>
      <c r="GU896" s="213">
        <v>891</v>
      </c>
    </row>
    <row r="897" spans="1:203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92.546126912303379</v>
      </c>
      <c r="AO897">
        <v>11.41825076938936</v>
      </c>
      <c r="AP897">
        <v>66.617675473425265</v>
      </c>
      <c r="AQ897">
        <v>88.955709067383282</v>
      </c>
      <c r="AR897">
        <v>10.497503073102983</v>
      </c>
      <c r="AS897">
        <v>134.85834697516174</v>
      </c>
      <c r="AT897" t="e">
        <v>#DIV/0!</v>
      </c>
      <c r="AU897" t="e">
        <v>#DIV/0!</v>
      </c>
      <c r="AV897"/>
      <c r="AW897"/>
      <c r="FY897" s="213">
        <v>892</v>
      </c>
      <c r="FZ897">
        <v>37.581942774922219</v>
      </c>
      <c r="GA897">
        <v>46.585349218522268</v>
      </c>
      <c r="GB897">
        <v>7.9591535815377377</v>
      </c>
      <c r="GC897">
        <v>5.3316407562692234</v>
      </c>
      <c r="GD897">
        <v>1.9092419902088509</v>
      </c>
      <c r="GE897">
        <v>1.3875253851437388</v>
      </c>
      <c r="GF897">
        <v>3.6137209782196531</v>
      </c>
      <c r="GG897">
        <v>6.2467853254073962</v>
      </c>
      <c r="GH897">
        <v>5.2819122492828701</v>
      </c>
      <c r="GI897">
        <v>10.165884191540453</v>
      </c>
      <c r="GJ897"/>
      <c r="GK897"/>
      <c r="GL897"/>
      <c r="GM897"/>
      <c r="GN897" s="208"/>
      <c r="GO897" s="208"/>
      <c r="GP897" s="208"/>
      <c r="GQ897" s="208"/>
      <c r="GR897" s="208"/>
      <c r="GS897" s="208"/>
      <c r="GT897" s="208"/>
      <c r="GU897" s="213">
        <v>892</v>
      </c>
    </row>
    <row r="898" spans="1:203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57.26866074421222</v>
      </c>
      <c r="AO898">
        <v>11.836176802402409</v>
      </c>
      <c r="AP898">
        <v>81.044753193706043</v>
      </c>
      <c r="AQ898">
        <v>89.669745583236832</v>
      </c>
      <c r="AR898">
        <v>10.963423493571449</v>
      </c>
      <c r="AS898">
        <v>117.46841545994788</v>
      </c>
      <c r="AT898">
        <v>7.0392340648219518</v>
      </c>
      <c r="AU898">
        <v>10.060577663890992</v>
      </c>
      <c r="AV898"/>
      <c r="AW898"/>
      <c r="FY898" s="213">
        <v>893</v>
      </c>
      <c r="FZ898">
        <v>50.416281005465187</v>
      </c>
      <c r="GA898">
        <v>59.426282866420522</v>
      </c>
      <c r="GB898">
        <v>12.425943389172016</v>
      </c>
      <c r="GC898">
        <v>6.9094601933908297</v>
      </c>
      <c r="GD898">
        <v>1.7508813698575969</v>
      </c>
      <c r="GE898">
        <v>2.2541497294002788</v>
      </c>
      <c r="GF898">
        <v>5.410170611819991</v>
      </c>
      <c r="GG898">
        <v>5.5434171936090726</v>
      </c>
      <c r="GH898">
        <v>2.7619779405139626</v>
      </c>
      <c r="GI898">
        <v>13.066869690321139</v>
      </c>
      <c r="GJ898"/>
      <c r="GK898"/>
      <c r="GL898"/>
      <c r="GM898"/>
      <c r="GN898" s="208"/>
      <c r="GO898" s="208"/>
      <c r="GP898" s="208"/>
      <c r="GQ898" s="208"/>
      <c r="GR898" s="208"/>
      <c r="GS898" s="208"/>
      <c r="GT898" s="208"/>
      <c r="GU898" s="213">
        <v>893</v>
      </c>
    </row>
    <row r="899" spans="1:203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101.1327844451957</v>
      </c>
      <c r="AO899">
        <v>12.196115287903705</v>
      </c>
      <c r="AP899">
        <v>49.367752203687061</v>
      </c>
      <c r="AQ899">
        <v>86.50516332976224</v>
      </c>
      <c r="AR899">
        <v>11.221685473954611</v>
      </c>
      <c r="AS899">
        <v>156.28634191194018</v>
      </c>
      <c r="AT899" t="e">
        <v>#DIV/0!</v>
      </c>
      <c r="AU899" t="e">
        <v>#DIV/0!</v>
      </c>
      <c r="AV899"/>
      <c r="AW899"/>
      <c r="FY899" s="213">
        <v>894</v>
      </c>
      <c r="FZ899">
        <v>30.090949980945663</v>
      </c>
      <c r="GA899">
        <v>37.937864908667976</v>
      </c>
      <c r="GB899">
        <v>7.5741577098953208</v>
      </c>
      <c r="GC899">
        <v>4.7970887879446957</v>
      </c>
      <c r="GD899">
        <v>2.1073972379678354</v>
      </c>
      <c r="GE899">
        <v>2.3511820304204436</v>
      </c>
      <c r="GF899">
        <v>1.9898498491601713</v>
      </c>
      <c r="GG899">
        <v>1.2068892486808589</v>
      </c>
      <c r="GH899">
        <v>0.60080431445180338</v>
      </c>
      <c r="GI899">
        <v>8.0710061556300783</v>
      </c>
      <c r="GJ899"/>
      <c r="GK899"/>
      <c r="GL899"/>
      <c r="GM899"/>
      <c r="GN899" s="208"/>
      <c r="GO899" s="208"/>
      <c r="GP899" s="208"/>
      <c r="GQ899" s="208"/>
      <c r="GR899" s="208"/>
      <c r="GS899" s="208"/>
      <c r="GT899" s="208"/>
      <c r="GU899" s="213">
        <v>894</v>
      </c>
    </row>
    <row r="900" spans="1:203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73.859831005051589</v>
      </c>
      <c r="AO900">
        <v>10.636254659842376</v>
      </c>
      <c r="AP900">
        <v>49.034645146109483</v>
      </c>
      <c r="AQ900">
        <v>78.610453464752382</v>
      </c>
      <c r="AR900">
        <v>10.052336010443124</v>
      </c>
      <c r="AS900">
        <v>136.62486990663021</v>
      </c>
      <c r="AT900">
        <v>6.7069025152550994</v>
      </c>
      <c r="AU900">
        <v>18.946838931332923</v>
      </c>
      <c r="AV900"/>
      <c r="AW900"/>
      <c r="FY900" s="213">
        <v>895</v>
      </c>
      <c r="FZ900">
        <v>44.254667539272866</v>
      </c>
      <c r="GA900">
        <v>55.928423060479027</v>
      </c>
      <c r="GB900">
        <v>8.0165788301304701</v>
      </c>
      <c r="GC900">
        <v>4.0138878456033913</v>
      </c>
      <c r="GD900">
        <v>1.9790763793291481</v>
      </c>
      <c r="GE900">
        <v>2.149395833620463</v>
      </c>
      <c r="GF900">
        <v>3.7546842209122344</v>
      </c>
      <c r="GG900">
        <v>4.1785810077921068</v>
      </c>
      <c r="GH900">
        <v>1.5603693116103559</v>
      </c>
      <c r="GI900">
        <v>10.667137674394446</v>
      </c>
      <c r="GJ900"/>
      <c r="GK900"/>
      <c r="GL900"/>
      <c r="GM900"/>
      <c r="GN900" s="208"/>
      <c r="GO900" s="208"/>
      <c r="GP900" s="208"/>
      <c r="GQ900" s="208"/>
      <c r="GR900" s="208"/>
      <c r="GS900" s="208"/>
      <c r="GT900" s="208"/>
      <c r="GU900" s="213">
        <v>895</v>
      </c>
    </row>
    <row r="901" spans="1:203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67.32723371399841</v>
      </c>
      <c r="AO901">
        <v>7.241402103553189</v>
      </c>
      <c r="AP901">
        <v>46.595503642137608</v>
      </c>
      <c r="AQ901">
        <v>52.2648753720933</v>
      </c>
      <c r="AR901">
        <v>6.6623516472722617</v>
      </c>
      <c r="AS901">
        <v>93.441336288261539</v>
      </c>
      <c r="AT901" t="e">
        <v>#DIV/0!</v>
      </c>
      <c r="AU901" t="e">
        <v>#DIV/0!</v>
      </c>
      <c r="AV901"/>
      <c r="AW901"/>
      <c r="FY901" s="213">
        <v>896</v>
      </c>
      <c r="FZ901">
        <v>25.851172076613967</v>
      </c>
      <c r="GA901">
        <v>34.476045319772133</v>
      </c>
      <c r="GB901">
        <v>9.6113820800422385</v>
      </c>
      <c r="GC901">
        <v>5.823307674736423</v>
      </c>
      <c r="GD901">
        <v>2.8791273960609249</v>
      </c>
      <c r="GE901">
        <v>2.5572860257368131</v>
      </c>
      <c r="GF901">
        <v>3.1891354246379104</v>
      </c>
      <c r="GG901">
        <v>3.6571009600327233</v>
      </c>
      <c r="GH901">
        <v>1.5603693116103559</v>
      </c>
      <c r="GI901">
        <v>8.7698972518439966</v>
      </c>
      <c r="GJ901"/>
      <c r="GK901"/>
      <c r="GL901"/>
      <c r="GM901"/>
      <c r="GN901" s="208"/>
      <c r="GO901" s="208"/>
      <c r="GP901" s="208"/>
      <c r="GQ901" s="208"/>
      <c r="GR901" s="208"/>
      <c r="GS901" s="208"/>
      <c r="GT901" s="208"/>
      <c r="GU901" s="213">
        <v>896</v>
      </c>
    </row>
    <row r="902" spans="1:203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85.52107994059692</v>
      </c>
      <c r="AO902">
        <v>13.772864474649136</v>
      </c>
      <c r="AP902">
        <v>116.95506621352941</v>
      </c>
      <c r="AQ902">
        <v>112.50685305750905</v>
      </c>
      <c r="AR902">
        <v>12.652983077279989</v>
      </c>
      <c r="AS902">
        <v>150.52846360452997</v>
      </c>
      <c r="AT902" t="e">
        <v>#DIV/0!</v>
      </c>
      <c r="AU902" t="e">
        <v>#DIV/0!</v>
      </c>
      <c r="AV902"/>
      <c r="AW902"/>
      <c r="FY902" s="213">
        <v>897</v>
      </c>
      <c r="FZ902">
        <v>40.465576787098648</v>
      </c>
      <c r="GA902">
        <v>46.631250295832359</v>
      </c>
      <c r="GB902">
        <v>6.6227458930164351</v>
      </c>
      <c r="GC902">
        <v>4.9457077912348524</v>
      </c>
      <c r="GD902">
        <v>1.8500662643694747</v>
      </c>
      <c r="GE902">
        <v>2.0366038519038709</v>
      </c>
      <c r="GF902">
        <v>2.3663060312932647</v>
      </c>
      <c r="GG902">
        <v>1.6635031020875313</v>
      </c>
      <c r="GH902">
        <v>0.60080431445180338</v>
      </c>
      <c r="GI902">
        <v>9.2086758426306083</v>
      </c>
      <c r="GJ902"/>
      <c r="GK902"/>
      <c r="GL902"/>
      <c r="GM902"/>
      <c r="GN902" s="208"/>
      <c r="GO902" s="208"/>
      <c r="GP902" s="208"/>
      <c r="GQ902" s="208"/>
      <c r="GR902" s="208"/>
      <c r="GS902" s="208"/>
      <c r="GT902" s="208"/>
      <c r="GU902" s="213">
        <v>897</v>
      </c>
    </row>
    <row r="903" spans="1:203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95.519024126744711</v>
      </c>
      <c r="AO903">
        <v>10.024258648875675</v>
      </c>
      <c r="AP903">
        <v>47.080653890313442</v>
      </c>
      <c r="AQ903">
        <v>72.200774645731457</v>
      </c>
      <c r="AR903">
        <v>9.181370048217568</v>
      </c>
      <c r="AS903">
        <v>151.36521849739327</v>
      </c>
      <c r="AT903" t="e">
        <v>#DIV/0!</v>
      </c>
      <c r="AU903" t="e">
        <v>#DIV/0!</v>
      </c>
      <c r="AV903"/>
      <c r="AW903"/>
      <c r="FY903" s="213">
        <v>898</v>
      </c>
      <c r="FZ903">
        <v>16.405573443818763</v>
      </c>
      <c r="GA903">
        <v>19.301108077013613</v>
      </c>
      <c r="GB903">
        <v>6.1515131308493602</v>
      </c>
      <c r="GC903">
        <v>5.06328936355471</v>
      </c>
      <c r="GD903">
        <v>3.1077389803090991</v>
      </c>
      <c r="GE903">
        <v>3.8304851947220793</v>
      </c>
      <c r="GF903">
        <v>3.4280630546449089</v>
      </c>
      <c r="GG903">
        <v>4.7377368342445783</v>
      </c>
      <c r="GH903">
        <v>4.9231515665761219</v>
      </c>
      <c r="GI903">
        <v>7.3002278405786365</v>
      </c>
      <c r="GJ903"/>
      <c r="GK903"/>
      <c r="GL903"/>
      <c r="GM903"/>
      <c r="GN903" s="208"/>
      <c r="GO903" s="208"/>
      <c r="GP903" s="208"/>
      <c r="GQ903" s="208"/>
      <c r="GR903" s="208"/>
      <c r="GS903" s="208"/>
      <c r="GT903" s="208"/>
      <c r="GU903" s="213">
        <v>898</v>
      </c>
    </row>
    <row r="904" spans="1:203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70.495817784452413</v>
      </c>
      <c r="AO904">
        <v>9.5753024991438913</v>
      </c>
      <c r="AP904">
        <v>176.27603374314754</v>
      </c>
      <c r="AQ904">
        <v>69.852927663409972</v>
      </c>
      <c r="AR904">
        <v>8.9105428543427738</v>
      </c>
      <c r="AS904">
        <v>115.41859811015759</v>
      </c>
      <c r="AT904" t="e">
        <v>#DIV/0!</v>
      </c>
      <c r="AU904" t="e">
        <v>#DIV/0!</v>
      </c>
      <c r="AV904"/>
      <c r="AW904"/>
      <c r="FY904" s="213">
        <v>899</v>
      </c>
      <c r="FZ904">
        <v>23.217725203017686</v>
      </c>
      <c r="GA904">
        <v>29.901283882651679</v>
      </c>
      <c r="GB904">
        <v>7.5753315179679772</v>
      </c>
      <c r="GC904">
        <v>4.3676508273889745</v>
      </c>
      <c r="GD904">
        <v>2.0274208286700381</v>
      </c>
      <c r="GE904">
        <v>2.2855147520035337</v>
      </c>
      <c r="GF904">
        <v>4.1540572452107991</v>
      </c>
      <c r="GG904">
        <v>3.4779553440803914</v>
      </c>
      <c r="GH904">
        <v>0</v>
      </c>
      <c r="GI904">
        <v>7.27106776231693</v>
      </c>
      <c r="GJ904"/>
      <c r="GK904"/>
      <c r="GL904"/>
      <c r="GM904"/>
      <c r="GN904" s="208"/>
      <c r="GO904" s="208"/>
      <c r="GP904" s="208"/>
      <c r="GQ904" s="208"/>
      <c r="GR904" s="208"/>
      <c r="GS904" s="208"/>
      <c r="GT904" s="208"/>
      <c r="GU904" s="213">
        <v>899</v>
      </c>
    </row>
    <row r="905" spans="1:203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59.855392381311503</v>
      </c>
      <c r="AO905">
        <v>8.562493631883985</v>
      </c>
      <c r="AP905">
        <v>55.809569992126285</v>
      </c>
      <c r="AQ905">
        <v>69.672090439120879</v>
      </c>
      <c r="AR905">
        <v>7.8437523225931844</v>
      </c>
      <c r="AS905">
        <v>104.50373320161634</v>
      </c>
      <c r="AT905" t="e">
        <v>#DIV/0!</v>
      </c>
      <c r="AU905" t="e">
        <v>#DIV/0!</v>
      </c>
      <c r="AV905"/>
      <c r="AW905"/>
      <c r="FY905" s="213">
        <v>900</v>
      </c>
      <c r="FZ905">
        <v>67.470301648295134</v>
      </c>
      <c r="GA905">
        <v>80.271876469094423</v>
      </c>
      <c r="GB905">
        <v>4.6787392846405558</v>
      </c>
      <c r="GC905">
        <v>2.8877349195762445</v>
      </c>
      <c r="GD905">
        <v>1.9784885588021057</v>
      </c>
      <c r="GE905">
        <v>2.3609430312667858</v>
      </c>
      <c r="GF905">
        <v>3.0624640023604792</v>
      </c>
      <c r="GG905">
        <v>3.5804973171261913</v>
      </c>
      <c r="GH905">
        <v>1.5603693116103559</v>
      </c>
      <c r="GI905">
        <v>13.083644768185676</v>
      </c>
      <c r="GJ905"/>
      <c r="GK905"/>
      <c r="GL905"/>
      <c r="GM905"/>
      <c r="GN905" s="208"/>
      <c r="GO905" s="208"/>
      <c r="GP905" s="208"/>
      <c r="GQ905" s="208"/>
      <c r="GR905" s="208"/>
      <c r="GS905" s="208"/>
      <c r="GT905" s="208"/>
      <c r="GU905" s="213">
        <v>900</v>
      </c>
    </row>
    <row r="906" spans="1:203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80.843954784979118</v>
      </c>
      <c r="AO906">
        <v>10.482397920205385</v>
      </c>
      <c r="AP906">
        <v>64.957172114648813</v>
      </c>
      <c r="AQ906">
        <v>84.032228645114927</v>
      </c>
      <c r="AR906">
        <v>9.6974562246418063</v>
      </c>
      <c r="AS906">
        <v>130.73192679902084</v>
      </c>
      <c r="AT906">
        <v>6.6990189605401094</v>
      </c>
      <c r="AU906">
        <v>24.392201988957908</v>
      </c>
      <c r="AV906"/>
      <c r="AW906"/>
      <c r="FY906" s="213">
        <v>901</v>
      </c>
      <c r="FZ906">
        <v>41.061584932314979</v>
      </c>
      <c r="GA906">
        <v>45.649437803476673</v>
      </c>
      <c r="GB906">
        <v>4.8371576985290226</v>
      </c>
      <c r="GC906">
        <v>4.2812478928812947</v>
      </c>
      <c r="GD906">
        <v>2.3635398734431678</v>
      </c>
      <c r="GE906">
        <v>2.3027174421567298</v>
      </c>
      <c r="GF906">
        <v>3.1972573844392587</v>
      </c>
      <c r="GG906">
        <v>3.5331104918801612</v>
      </c>
      <c r="GH906">
        <v>2.1611736260621592</v>
      </c>
      <c r="GI906">
        <v>9.5412019442743272</v>
      </c>
      <c r="GJ906"/>
      <c r="GK906"/>
      <c r="GL906"/>
      <c r="GM906"/>
      <c r="GN906" s="208"/>
      <c r="GO906" s="208"/>
      <c r="GP906" s="208"/>
      <c r="GQ906" s="208"/>
      <c r="GR906" s="208"/>
      <c r="GS906" s="208"/>
      <c r="GT906" s="208"/>
      <c r="GU906" s="213">
        <v>901</v>
      </c>
    </row>
    <row r="907" spans="1:203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118.59954319776837</v>
      </c>
      <c r="AO907">
        <v>20.95783953592067</v>
      </c>
      <c r="AP907">
        <v>113.92626603611536</v>
      </c>
      <c r="AQ907">
        <v>174.15312240368829</v>
      </c>
      <c r="AR907">
        <v>19.228877367316905</v>
      </c>
      <c r="AS907">
        <v>224.0759447189424</v>
      </c>
      <c r="AT907" t="e">
        <v>#DIV/0!</v>
      </c>
      <c r="AU907" t="e">
        <v>#DIV/0!</v>
      </c>
      <c r="AV907"/>
      <c r="AW907"/>
      <c r="FY907" s="213">
        <v>902</v>
      </c>
      <c r="FZ907">
        <v>41.827593417214736</v>
      </c>
      <c r="GA907">
        <v>56.971741411109676</v>
      </c>
      <c r="GB907">
        <v>9.6362260755417033</v>
      </c>
      <c r="GC907">
        <v>4.4555761364536481</v>
      </c>
      <c r="GD907">
        <v>1.932486644957969</v>
      </c>
      <c r="GE907">
        <v>1.8056112769880621</v>
      </c>
      <c r="GF907">
        <v>3.3399262715489568</v>
      </c>
      <c r="GG907">
        <v>4.7764329545511668</v>
      </c>
      <c r="GH907">
        <v>3.7215429376725151</v>
      </c>
      <c r="GI907">
        <v>10.991656108726552</v>
      </c>
      <c r="GJ907"/>
      <c r="GK907"/>
      <c r="GL907"/>
      <c r="GM907"/>
      <c r="GN907" s="208"/>
      <c r="GO907" s="208"/>
      <c r="GP907" s="208"/>
      <c r="GQ907" s="208"/>
      <c r="GR907" s="208"/>
      <c r="GS907" s="208"/>
      <c r="GT907" s="208"/>
      <c r="GU907" s="213">
        <v>902</v>
      </c>
    </row>
    <row r="908" spans="1:203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78.765169817927159</v>
      </c>
      <c r="AO908">
        <v>15.406557134250287</v>
      </c>
      <c r="AP908">
        <v>121.50840619573242</v>
      </c>
      <c r="AQ908">
        <v>126.0631564510544</v>
      </c>
      <c r="AR908">
        <v>14.116606442878721</v>
      </c>
      <c r="AS908">
        <v>162.25380911032792</v>
      </c>
      <c r="AT908">
        <v>9.3075094298939831</v>
      </c>
      <c r="AU908">
        <v>27.771126203758453</v>
      </c>
      <c r="AV908"/>
      <c r="AW908"/>
      <c r="FY908" s="213">
        <v>903</v>
      </c>
      <c r="FZ908">
        <v>50.069442366433229</v>
      </c>
      <c r="GA908">
        <v>63.430784400063359</v>
      </c>
      <c r="GB908">
        <v>7.9285561171941419</v>
      </c>
      <c r="GC908">
        <v>3.9296799865320429</v>
      </c>
      <c r="GD908">
        <v>1.5943365236339402</v>
      </c>
      <c r="GE908">
        <v>1.5328191663981512</v>
      </c>
      <c r="GF908">
        <v>1.641071176359894</v>
      </c>
      <c r="GG908">
        <v>3.488200411640733</v>
      </c>
      <c r="GH908">
        <v>4.3223472521243185</v>
      </c>
      <c r="GI908">
        <v>11.348579683386143</v>
      </c>
      <c r="GJ908"/>
      <c r="GK908"/>
      <c r="GL908"/>
      <c r="GM908"/>
      <c r="GN908" s="208"/>
      <c r="GO908" s="208"/>
      <c r="GP908" s="208"/>
      <c r="GQ908" s="208"/>
      <c r="GR908" s="208"/>
      <c r="GS908" s="208"/>
      <c r="GT908" s="208"/>
      <c r="GU908" s="213">
        <v>903</v>
      </c>
    </row>
    <row r="909" spans="1:203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99.363968643012768</v>
      </c>
      <c r="AO909">
        <v>19.617727651452157</v>
      </c>
      <c r="AP909">
        <v>134.72754823071023</v>
      </c>
      <c r="AQ909">
        <v>159.96543398997059</v>
      </c>
      <c r="AR909">
        <v>18.192205672468518</v>
      </c>
      <c r="AS909">
        <v>197.09082380510358</v>
      </c>
      <c r="AT909">
        <v>11.698080837514881</v>
      </c>
      <c r="AU909">
        <v>11.979080451562993</v>
      </c>
      <c r="AV909"/>
      <c r="AW909"/>
      <c r="FY909" s="213">
        <v>904</v>
      </c>
      <c r="FZ909">
        <v>24.270285524579798</v>
      </c>
      <c r="GA909">
        <v>26.646156649525178</v>
      </c>
      <c r="GB909">
        <v>6.8126420312019507</v>
      </c>
      <c r="GC909">
        <v>5.759288001718013</v>
      </c>
      <c r="GD909">
        <v>2.847264939579901</v>
      </c>
      <c r="GE909">
        <v>2.8491352805532517</v>
      </c>
      <c r="GF909">
        <v>5.0111038574052031</v>
      </c>
      <c r="GG909">
        <v>5.2487400705367646</v>
      </c>
      <c r="GH909">
        <v>1.5603693116103559</v>
      </c>
      <c r="GI909">
        <v>8.1177130845883188</v>
      </c>
      <c r="GJ909"/>
      <c r="GK909"/>
      <c r="GL909"/>
      <c r="GM909"/>
      <c r="GN909" s="208"/>
      <c r="GO909" s="208"/>
      <c r="GP909" s="208"/>
      <c r="GQ909" s="208"/>
      <c r="GR909" s="208"/>
      <c r="GS909" s="208"/>
      <c r="GT909" s="208"/>
      <c r="GU909" s="213">
        <v>904</v>
      </c>
    </row>
    <row r="910" spans="1:203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91.191585067935222</v>
      </c>
      <c r="AO910">
        <v>12.150509675961608</v>
      </c>
      <c r="AP910">
        <v>81.516826267672997</v>
      </c>
      <c r="AQ910">
        <v>96.727190223764836</v>
      </c>
      <c r="AR910">
        <v>11.1698226773574</v>
      </c>
      <c r="AS910">
        <v>146.31211493197947</v>
      </c>
      <c r="AT910" t="e">
        <v>#DIV/0!</v>
      </c>
      <c r="AU910" t="e">
        <v>#DIV/0!</v>
      </c>
      <c r="AV910"/>
      <c r="AW910"/>
      <c r="FY910" s="213">
        <v>905</v>
      </c>
      <c r="FZ910">
        <v>18.775850271114006</v>
      </c>
      <c r="GA910">
        <v>21.050109159766187</v>
      </c>
      <c r="GB910">
        <v>6.4854897007700947</v>
      </c>
      <c r="GC910">
        <v>4.9922751779253627</v>
      </c>
      <c r="GD910">
        <v>2.3474776610340768</v>
      </c>
      <c r="GE910">
        <v>2.5026254647121631</v>
      </c>
      <c r="GF910">
        <v>2.8975642107853465</v>
      </c>
      <c r="GG910">
        <v>4.6998293116446348</v>
      </c>
      <c r="GH910">
        <v>3.1207386232207117</v>
      </c>
      <c r="GI910">
        <v>6.7905177539353891</v>
      </c>
      <c r="GJ910"/>
      <c r="GK910"/>
      <c r="GL910"/>
      <c r="GM910"/>
      <c r="GN910" s="208"/>
      <c r="GO910" s="208"/>
      <c r="GP910" s="208"/>
      <c r="GQ910" s="208"/>
      <c r="GR910" s="208"/>
      <c r="GS910" s="208"/>
      <c r="GT910" s="208"/>
      <c r="GU910" s="213">
        <v>905</v>
      </c>
    </row>
    <row r="911" spans="1:203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81.440524010960104</v>
      </c>
      <c r="AO911">
        <v>16.089883992377857</v>
      </c>
      <c r="AP911">
        <v>89.571527185930464</v>
      </c>
      <c r="AQ911">
        <v>136.50280170314451</v>
      </c>
      <c r="AR911">
        <v>14.816722615200913</v>
      </c>
      <c r="AS911">
        <v>180.03556691157885</v>
      </c>
      <c r="AT911" t="e">
        <v>#DIV/0!</v>
      </c>
      <c r="AU911" t="e">
        <v>#DIV/0!</v>
      </c>
      <c r="AV911"/>
      <c r="AW911"/>
      <c r="FY911" s="213">
        <v>906</v>
      </c>
      <c r="FZ911">
        <v>49.605921012517328</v>
      </c>
      <c r="GA911">
        <v>59.837164858221087</v>
      </c>
      <c r="GB911">
        <v>6.7480751771551581</v>
      </c>
      <c r="GC911">
        <v>4.2347571944337918</v>
      </c>
      <c r="GD911">
        <v>2.0092706831656835</v>
      </c>
      <c r="GE911">
        <v>2.0139873164231985</v>
      </c>
      <c r="GF911">
        <v>2.8975642107853465</v>
      </c>
      <c r="GG911">
        <v>3.4283056125179199</v>
      </c>
      <c r="GH911">
        <v>2.7619779405139626</v>
      </c>
      <c r="GI911">
        <v>11.170151323404545</v>
      </c>
      <c r="GJ911"/>
      <c r="GK911"/>
      <c r="GL911"/>
      <c r="GM911"/>
      <c r="GN911" s="208"/>
      <c r="GO911" s="208"/>
      <c r="GP911" s="208"/>
      <c r="GQ911" s="208"/>
      <c r="GR911" s="208"/>
      <c r="GS911" s="208"/>
      <c r="GT911" s="208"/>
      <c r="GU911" s="213">
        <v>906</v>
      </c>
    </row>
    <row r="912" spans="1:203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92.855177434221531</v>
      </c>
      <c r="AO912">
        <v>13.164206252869704</v>
      </c>
      <c r="AP912">
        <v>57.626068841534916</v>
      </c>
      <c r="AQ912">
        <v>98.374823521087492</v>
      </c>
      <c r="AR912">
        <v>12.152595786491917</v>
      </c>
      <c r="AS912">
        <v>140.79886057274572</v>
      </c>
      <c r="AT912" t="e">
        <v>#DIV/0!</v>
      </c>
      <c r="AU912" t="e">
        <v>#DIV/0!</v>
      </c>
      <c r="AV912"/>
      <c r="AW912"/>
      <c r="FY912" s="213">
        <v>907</v>
      </c>
      <c r="FZ912">
        <v>16.807777461312114</v>
      </c>
      <c r="GA912">
        <v>23.937689246848443</v>
      </c>
      <c r="GB912">
        <v>8.6592615842591858</v>
      </c>
      <c r="GC912">
        <v>4.5269976020832576</v>
      </c>
      <c r="GD912">
        <v>2.0086848443668561</v>
      </c>
      <c r="GE912">
        <v>1.9281209225293272</v>
      </c>
      <c r="GF912">
        <v>2.9058829626518907</v>
      </c>
      <c r="GG912">
        <v>3.4672287163226567</v>
      </c>
      <c r="GH912">
        <v>2.1611736260621592</v>
      </c>
      <c r="GI912">
        <v>6.7739730540638652</v>
      </c>
      <c r="GJ912"/>
      <c r="GK912"/>
      <c r="GL912"/>
      <c r="GM912"/>
      <c r="GN912" s="208"/>
      <c r="GO912" s="208"/>
      <c r="GP912" s="208"/>
      <c r="GQ912" s="208"/>
      <c r="GR912" s="208"/>
      <c r="GS912" s="208"/>
      <c r="GT912" s="208"/>
      <c r="GU912" s="213">
        <v>907</v>
      </c>
    </row>
    <row r="913" spans="1:203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87.611432235361008</v>
      </c>
      <c r="AO913">
        <v>13.856684624199819</v>
      </c>
      <c r="AP913">
        <v>216.06258263845993</v>
      </c>
      <c r="AQ913">
        <v>116.39124017391886</v>
      </c>
      <c r="AR913">
        <v>12.727421353173284</v>
      </c>
      <c r="AS913">
        <v>165.71553575236916</v>
      </c>
      <c r="AT913" t="e">
        <v>#DIV/0!</v>
      </c>
      <c r="AU913" t="e">
        <v>#DIV/0!</v>
      </c>
      <c r="AV913"/>
      <c r="AW913"/>
      <c r="FY913" s="213">
        <v>908</v>
      </c>
      <c r="FZ913">
        <v>43.064739452645298</v>
      </c>
      <c r="GA913">
        <v>53.084668537983944</v>
      </c>
      <c r="GB913">
        <v>5.3614823909522533</v>
      </c>
      <c r="GC913">
        <v>3.2309311991858771</v>
      </c>
      <c r="GD913">
        <v>2.2835635258274052</v>
      </c>
      <c r="GE913">
        <v>2.6945410296298391</v>
      </c>
      <c r="GF913">
        <v>4.2130437465081121</v>
      </c>
      <c r="GG913">
        <v>4.6399345125218225</v>
      </c>
      <c r="GH913">
        <v>2.1611736260621592</v>
      </c>
      <c r="GI913">
        <v>10.129634326776728</v>
      </c>
      <c r="GJ913"/>
      <c r="GK913"/>
      <c r="GL913"/>
      <c r="GM913"/>
      <c r="GN913" s="208"/>
      <c r="GO913" s="208"/>
      <c r="GP913" s="208"/>
      <c r="GQ913" s="208"/>
      <c r="GR913" s="208"/>
      <c r="GS913" s="208"/>
      <c r="GT913" s="208"/>
      <c r="GU913" s="213">
        <v>908</v>
      </c>
    </row>
    <row r="914" spans="1:203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82.727315949957912</v>
      </c>
      <c r="AO914">
        <v>10.875302819002158</v>
      </c>
      <c r="AP914">
        <v>67.743735056820853</v>
      </c>
      <c r="AQ914">
        <v>74.248887486311872</v>
      </c>
      <c r="AR914">
        <v>10.130377602011764</v>
      </c>
      <c r="AS914">
        <v>148.56751098090035</v>
      </c>
      <c r="AT914">
        <v>6.4440959805948053</v>
      </c>
      <c r="AU914">
        <v>26.713577735496337</v>
      </c>
      <c r="AV914"/>
      <c r="AW914"/>
      <c r="FY914" s="213">
        <v>909</v>
      </c>
      <c r="FZ914">
        <v>36.066696274857492</v>
      </c>
      <c r="GA914">
        <v>44.791510977031123</v>
      </c>
      <c r="GB914">
        <v>8.3326984357088261</v>
      </c>
      <c r="GC914">
        <v>5.5534650028840886</v>
      </c>
      <c r="GD914">
        <v>2.7176508971829785</v>
      </c>
      <c r="GE914">
        <v>2.7561095732355305</v>
      </c>
      <c r="GF914">
        <v>3.621020023369117</v>
      </c>
      <c r="GG914">
        <v>4.2309732074411874</v>
      </c>
      <c r="GH914">
        <v>2.7619779405139626</v>
      </c>
      <c r="GI914">
        <v>10.172352491686858</v>
      </c>
      <c r="GJ914"/>
      <c r="GK914"/>
      <c r="GL914"/>
      <c r="GM914"/>
      <c r="GN914" s="208"/>
      <c r="GO914" s="208"/>
      <c r="GP914" s="208"/>
      <c r="GQ914" s="208"/>
      <c r="GR914" s="208"/>
      <c r="GS914" s="208"/>
      <c r="GT914" s="208"/>
      <c r="GU914" s="213">
        <v>909</v>
      </c>
    </row>
    <row r="915" spans="1:203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88.9200896726949</v>
      </c>
      <c r="AO915">
        <v>10.917719585589149</v>
      </c>
      <c r="AP915">
        <v>51.603663638136638</v>
      </c>
      <c r="AQ915">
        <v>84.278007363307992</v>
      </c>
      <c r="AR915">
        <v>10.03107635401296</v>
      </c>
      <c r="AS915">
        <v>140.28105794221747</v>
      </c>
      <c r="AT915" t="e">
        <v>#DIV/0!</v>
      </c>
      <c r="AU915" t="e">
        <v>#DIV/0!</v>
      </c>
      <c r="AV915"/>
      <c r="AW915"/>
      <c r="FY915" s="213">
        <v>910</v>
      </c>
      <c r="FZ915">
        <v>23.988985877907687</v>
      </c>
      <c r="GA915">
        <v>28.973084647822095</v>
      </c>
      <c r="GB915">
        <v>5.9829791403306682</v>
      </c>
      <c r="GC915">
        <v>3.5988390790077371</v>
      </c>
      <c r="GD915">
        <v>1.9878388988724294</v>
      </c>
      <c r="GE915">
        <v>1.9973948271821733</v>
      </c>
      <c r="GF915">
        <v>3.770302017928242</v>
      </c>
      <c r="GG915">
        <v>3.2541266313867805</v>
      </c>
      <c r="GH915">
        <v>1.8024129433554106</v>
      </c>
      <c r="GI915">
        <v>7.2208145365566754</v>
      </c>
      <c r="GJ915"/>
      <c r="GK915"/>
      <c r="GL915"/>
      <c r="GM915"/>
      <c r="GN915" s="208"/>
      <c r="GO915" s="208"/>
      <c r="GP915" s="208"/>
      <c r="GQ915" s="208"/>
      <c r="GR915" s="208"/>
      <c r="GS915" s="208"/>
      <c r="GT915" s="208"/>
      <c r="GU915" s="213">
        <v>910</v>
      </c>
    </row>
    <row r="916" spans="1:203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86.810782592951711</v>
      </c>
      <c r="AO916">
        <v>19.740868368464188</v>
      </c>
      <c r="AP916">
        <v>138.82088573678578</v>
      </c>
      <c r="AQ916">
        <v>180.93505931095797</v>
      </c>
      <c r="AR916">
        <v>18.122639090491322</v>
      </c>
      <c r="AS916">
        <v>199.1821198748091</v>
      </c>
      <c r="AT916" t="e">
        <v>#DIV/0!</v>
      </c>
      <c r="AU916" t="e">
        <v>#DIV/0!</v>
      </c>
      <c r="AV916"/>
      <c r="AW916"/>
      <c r="FY916" s="213">
        <v>911</v>
      </c>
      <c r="FZ916">
        <v>50.055361906247583</v>
      </c>
      <c r="GA916">
        <v>62.095422861762785</v>
      </c>
      <c r="GB916">
        <v>11.20488443038246</v>
      </c>
      <c r="GC916">
        <v>6.5661891775006405</v>
      </c>
      <c r="GD916">
        <v>1.8019915911214541</v>
      </c>
      <c r="GE916">
        <v>1.4638498026274784</v>
      </c>
      <c r="GF916">
        <v>6.1158499172218939</v>
      </c>
      <c r="GG916">
        <v>5.2123068565466184</v>
      </c>
      <c r="GH916">
        <v>1.2016086289036068</v>
      </c>
      <c r="GI916">
        <v>12.548856813732058</v>
      </c>
      <c r="GJ916"/>
      <c r="GK916"/>
      <c r="GL916"/>
      <c r="GM916"/>
      <c r="GN916" s="208"/>
      <c r="GO916" s="208"/>
      <c r="GP916" s="208"/>
      <c r="GQ916" s="208"/>
      <c r="GR916" s="208"/>
      <c r="GS916" s="208"/>
      <c r="GT916" s="208"/>
      <c r="GU916" s="213">
        <v>911</v>
      </c>
    </row>
    <row r="917" spans="1:203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99.531019055131623</v>
      </c>
      <c r="AO917">
        <v>14.093931702483626</v>
      </c>
      <c r="AP917">
        <v>90.341971249287951</v>
      </c>
      <c r="AQ917">
        <v>118.92842908945781</v>
      </c>
      <c r="AR917">
        <v>13.132655864652332</v>
      </c>
      <c r="AS917">
        <v>174.02571302509517</v>
      </c>
      <c r="AT917">
        <v>9.0978019807174402</v>
      </c>
      <c r="AU917">
        <v>27.947127734264445</v>
      </c>
      <c r="AV917"/>
      <c r="AW917"/>
      <c r="FY917" s="213">
        <v>912</v>
      </c>
      <c r="FZ917">
        <v>36.699739949682524</v>
      </c>
      <c r="GA917">
        <v>41.517238597601335</v>
      </c>
      <c r="GB917">
        <v>5.3833770746067211</v>
      </c>
      <c r="GC917">
        <v>4.2036113600379474</v>
      </c>
      <c r="GD917">
        <v>1.9333787682814556</v>
      </c>
      <c r="GE917">
        <v>1.9700123353441912</v>
      </c>
      <c r="GF917">
        <v>4.6026527456075765</v>
      </c>
      <c r="GG917">
        <v>5.9446260829254367</v>
      </c>
      <c r="GH917">
        <v>3.1207386232207117</v>
      </c>
      <c r="GI917">
        <v>9.2459781220433115</v>
      </c>
      <c r="GJ917"/>
      <c r="GK917"/>
      <c r="GL917"/>
      <c r="GM917"/>
      <c r="GN917" s="208"/>
      <c r="GO917" s="208"/>
      <c r="GP917" s="208"/>
      <c r="GQ917" s="208"/>
      <c r="GR917" s="208"/>
      <c r="GS917" s="208"/>
      <c r="GT917" s="208"/>
      <c r="GU917" s="213">
        <v>912</v>
      </c>
    </row>
    <row r="918" spans="1:203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73.725559251478359</v>
      </c>
      <c r="AO918">
        <v>16.715370424081797</v>
      </c>
      <c r="AP918">
        <v>138.14644770278036</v>
      </c>
      <c r="AQ918">
        <v>139.45879323476498</v>
      </c>
      <c r="AR918">
        <v>15.350535486151976</v>
      </c>
      <c r="AS918">
        <v>156.55920790889292</v>
      </c>
      <c r="AT918">
        <v>10.250827210587985</v>
      </c>
      <c r="AU918">
        <v>42.744605749939872</v>
      </c>
      <c r="AV918"/>
      <c r="AW918"/>
      <c r="FY918" s="213">
        <v>913</v>
      </c>
      <c r="FZ918">
        <v>18.713431546708335</v>
      </c>
      <c r="GA918">
        <v>21.38214343039343</v>
      </c>
      <c r="GB918">
        <v>8.1236446400061926</v>
      </c>
      <c r="GC918">
        <v>6.387444928716854</v>
      </c>
      <c r="GD918">
        <v>2.3761081796662409</v>
      </c>
      <c r="GE918">
        <v>2.089066156379416</v>
      </c>
      <c r="GF918">
        <v>5.2864808143603046</v>
      </c>
      <c r="GG918">
        <v>4.1479030263297965</v>
      </c>
      <c r="GH918">
        <v>0.60080431445180338</v>
      </c>
      <c r="GI918">
        <v>7.2233890854525002</v>
      </c>
      <c r="GJ918"/>
      <c r="GK918"/>
      <c r="GL918"/>
      <c r="GM918"/>
      <c r="GN918" s="208"/>
      <c r="GO918" s="208"/>
      <c r="GP918" s="208"/>
      <c r="GQ918" s="208"/>
      <c r="GR918" s="208"/>
      <c r="GS918" s="208"/>
      <c r="GT918" s="208"/>
      <c r="GU918" s="213">
        <v>913</v>
      </c>
    </row>
    <row r="919" spans="1:203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96.497950870592859</v>
      </c>
      <c r="AO919">
        <v>17.121813574864575</v>
      </c>
      <c r="AP919">
        <v>115.62027332218254</v>
      </c>
      <c r="AQ919">
        <v>149.28581708376595</v>
      </c>
      <c r="AR919">
        <v>15.821835085747978</v>
      </c>
      <c r="AS919">
        <v>168.14301595042025</v>
      </c>
      <c r="AT919">
        <v>10.301803885500423</v>
      </c>
      <c r="AU919">
        <v>21.361980333139687</v>
      </c>
      <c r="AV919"/>
      <c r="AW919"/>
      <c r="FY919" s="213">
        <v>914</v>
      </c>
      <c r="FZ919">
        <v>26.697338441645993</v>
      </c>
      <c r="GA919">
        <v>36.253066153814878</v>
      </c>
      <c r="GB919">
        <v>9.447842639945371</v>
      </c>
      <c r="GC919">
        <v>5.74748189042423</v>
      </c>
      <c r="GD919">
        <v>2.2138755648358077</v>
      </c>
      <c r="GE919">
        <v>1.4585974146606078</v>
      </c>
      <c r="GF919">
        <v>4.5283547171780327</v>
      </c>
      <c r="GG919">
        <v>3.4402748049785967</v>
      </c>
      <c r="GH919">
        <v>0</v>
      </c>
      <c r="GI919">
        <v>8.4627865707995724</v>
      </c>
      <c r="GJ919"/>
      <c r="GK919"/>
      <c r="GL919"/>
      <c r="GM919"/>
      <c r="GN919" s="208"/>
      <c r="GO919" s="208"/>
      <c r="GP919" s="208"/>
      <c r="GQ919" s="208"/>
      <c r="GR919" s="208"/>
      <c r="GS919" s="208"/>
      <c r="GT919" s="208"/>
      <c r="GU919" s="213">
        <v>914</v>
      </c>
    </row>
    <row r="920" spans="1:203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97.301414713394919</v>
      </c>
      <c r="AO920">
        <v>12.081570244240455</v>
      </c>
      <c r="AP920">
        <v>49.773725611482654</v>
      </c>
      <c r="AQ920">
        <v>89.122698751298742</v>
      </c>
      <c r="AR920">
        <v>11.137343535510279</v>
      </c>
      <c r="AS920">
        <v>158.37709228369872</v>
      </c>
      <c r="AT920" t="e">
        <v>#DIV/0!</v>
      </c>
      <c r="AU920" t="e">
        <v>#DIV/0!</v>
      </c>
      <c r="AV920"/>
      <c r="AW920"/>
      <c r="FY920" s="213">
        <v>915</v>
      </c>
      <c r="FZ920">
        <v>34.258411578230202</v>
      </c>
      <c r="GA920">
        <v>45.559241642614715</v>
      </c>
      <c r="GB920">
        <v>11.629470114826578</v>
      </c>
      <c r="GC920">
        <v>6.414899696756498</v>
      </c>
      <c r="GD920">
        <v>2.2533945810733078</v>
      </c>
      <c r="GE920">
        <v>1.8183685265557239</v>
      </c>
      <c r="GF920">
        <v>2.6160907911489266</v>
      </c>
      <c r="GG920">
        <v>1.9339687819023874</v>
      </c>
      <c r="GH920">
        <v>1.2016086289036068</v>
      </c>
      <c r="GI920">
        <v>10.004281804308778</v>
      </c>
      <c r="GJ920"/>
      <c r="GK920"/>
      <c r="GL920"/>
      <c r="GM920"/>
      <c r="GN920" s="208"/>
      <c r="GO920" s="208"/>
      <c r="GP920" s="208"/>
      <c r="GQ920" s="208"/>
      <c r="GR920" s="208"/>
      <c r="GS920" s="208"/>
      <c r="GT920" s="208"/>
      <c r="GU920" s="213">
        <v>915</v>
      </c>
    </row>
    <row r="921" spans="1:203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86.769754271440362</v>
      </c>
      <c r="AO921">
        <v>10.175383328242296</v>
      </c>
      <c r="AP921">
        <v>51.745162022405346</v>
      </c>
      <c r="AQ921">
        <v>73.662477334907976</v>
      </c>
      <c r="AR921">
        <v>9.3562252109703632</v>
      </c>
      <c r="AS921">
        <v>126.59351421977347</v>
      </c>
      <c r="AT921" t="e">
        <v>#DIV/0!</v>
      </c>
      <c r="AU921" t="e">
        <v>#DIV/0!</v>
      </c>
      <c r="AV921"/>
      <c r="AW921"/>
      <c r="FY921" s="213">
        <v>916</v>
      </c>
      <c r="FZ921">
        <v>51.986271847598339</v>
      </c>
      <c r="GA921">
        <v>62.828962722093408</v>
      </c>
      <c r="GB921">
        <v>8.4483061200286489</v>
      </c>
      <c r="GC921">
        <v>5.311613328288403</v>
      </c>
      <c r="GD921">
        <v>1.6732322983783794</v>
      </c>
      <c r="GE921">
        <v>1.4586966078887915</v>
      </c>
      <c r="GF921">
        <v>3.264942305419376</v>
      </c>
      <c r="GG921">
        <v>3.5515462225456966</v>
      </c>
      <c r="GH921">
        <v>2.1611736260621592</v>
      </c>
      <c r="GI921">
        <v>11.696687052548452</v>
      </c>
      <c r="GJ921"/>
      <c r="GK921"/>
      <c r="GL921"/>
      <c r="GM921"/>
      <c r="GN921" s="208"/>
      <c r="GO921" s="208"/>
      <c r="GP921" s="208"/>
      <c r="GQ921" s="208"/>
      <c r="GR921" s="208"/>
      <c r="GS921" s="208"/>
      <c r="GT921" s="208"/>
      <c r="GU921" s="213">
        <v>916</v>
      </c>
    </row>
    <row r="922" spans="1:203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95.766322088811961</v>
      </c>
      <c r="AO922">
        <v>16.657490665659623</v>
      </c>
      <c r="AP922">
        <v>100.23894180542074</v>
      </c>
      <c r="AQ922">
        <v>144.70717532913804</v>
      </c>
      <c r="AR922">
        <v>15.428352855123443</v>
      </c>
      <c r="AS922">
        <v>186.84594206082471</v>
      </c>
      <c r="AT922">
        <v>10.709427463095365</v>
      </c>
      <c r="AU922">
        <v>19.075294201247733</v>
      </c>
      <c r="AV922"/>
      <c r="AW922"/>
      <c r="FY922" s="213">
        <v>917</v>
      </c>
      <c r="FZ922">
        <v>28.962861361098835</v>
      </c>
      <c r="GA922">
        <v>38.756906215849128</v>
      </c>
      <c r="GB922">
        <v>10.112130152172798</v>
      </c>
      <c r="GC922">
        <v>5.7148228199498705</v>
      </c>
      <c r="GD922">
        <v>2.4169160435576473</v>
      </c>
      <c r="GE922">
        <v>2.1414615234665733</v>
      </c>
      <c r="GF922">
        <v>1.0166092767207386</v>
      </c>
      <c r="GG922">
        <v>0.83560848270201948</v>
      </c>
      <c r="GH922">
        <v>0</v>
      </c>
      <c r="GI922">
        <v>8.3909066438973632</v>
      </c>
      <c r="GJ922"/>
      <c r="GK922"/>
      <c r="GL922"/>
      <c r="GM922"/>
      <c r="GN922" s="208"/>
      <c r="GO922" s="208"/>
      <c r="GP922" s="208"/>
      <c r="GQ922" s="208"/>
      <c r="GR922" s="208"/>
      <c r="GS922" s="208"/>
      <c r="GT922" s="208"/>
      <c r="GU922" s="213">
        <v>917</v>
      </c>
    </row>
    <row r="923" spans="1:203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73.193611141037607</v>
      </c>
      <c r="AO923">
        <v>10.088832417829456</v>
      </c>
      <c r="AP923">
        <v>46.888462290936317</v>
      </c>
      <c r="AQ923">
        <v>73.176790020499737</v>
      </c>
      <c r="AR923">
        <v>9.4190273782951905</v>
      </c>
      <c r="AS923">
        <v>137.46207403705455</v>
      </c>
      <c r="AT923">
        <v>5.922322128639582</v>
      </c>
      <c r="AU923">
        <v>15.945123587249395</v>
      </c>
      <c r="AV923"/>
      <c r="AW923"/>
      <c r="FY923" s="213">
        <v>918</v>
      </c>
      <c r="FZ923">
        <v>14.472337750934017</v>
      </c>
      <c r="GA923">
        <v>14.624992206848617</v>
      </c>
      <c r="GB923">
        <v>5.7949240340328627</v>
      </c>
      <c r="GC923">
        <v>4.2369617102485986</v>
      </c>
      <c r="GD923">
        <v>1.7727038117437257</v>
      </c>
      <c r="GE923">
        <v>2.2591826506755712</v>
      </c>
      <c r="GF923">
        <v>2.1828068178843791</v>
      </c>
      <c r="GG923">
        <v>2.7536182789454724</v>
      </c>
      <c r="GH923">
        <v>1.5603693116103559</v>
      </c>
      <c r="GI923">
        <v>5.3000695395683168</v>
      </c>
      <c r="GJ923"/>
      <c r="GK923"/>
      <c r="GL923"/>
      <c r="GM923"/>
      <c r="GN923" s="208"/>
      <c r="GO923" s="208"/>
      <c r="GP923" s="208"/>
      <c r="GQ923" s="208"/>
      <c r="GR923" s="208"/>
      <c r="GS923" s="208"/>
      <c r="GT923" s="208"/>
      <c r="GU923" s="213">
        <v>918</v>
      </c>
    </row>
    <row r="924" spans="1:203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97.073082547195128</v>
      </c>
      <c r="AO924">
        <v>15.156255003863105</v>
      </c>
      <c r="AP924">
        <v>90.633046241131595</v>
      </c>
      <c r="AQ924">
        <v>130.86371234809343</v>
      </c>
      <c r="AR924">
        <v>13.961787336424049</v>
      </c>
      <c r="AS924">
        <v>176.39932924898119</v>
      </c>
      <c r="AT924">
        <v>9.8517677976851541</v>
      </c>
      <c r="AU924">
        <v>15.724765660931046</v>
      </c>
      <c r="AV924"/>
      <c r="AW924"/>
      <c r="FY924" s="213">
        <v>919</v>
      </c>
      <c r="FZ924">
        <v>29.473182443125975</v>
      </c>
      <c r="GA924">
        <v>33.425316655233352</v>
      </c>
      <c r="GB924">
        <v>5.0694588838020822</v>
      </c>
      <c r="GC924">
        <v>4.630830920149875</v>
      </c>
      <c r="GD924">
        <v>2.2465507053947191</v>
      </c>
      <c r="GE924">
        <v>1.6390961201497598</v>
      </c>
      <c r="GF924">
        <v>3.389834685347207</v>
      </c>
      <c r="GG924">
        <v>4.0411009637311217</v>
      </c>
      <c r="GH924">
        <v>1.5603693116103559</v>
      </c>
      <c r="GI924">
        <v>7.8073372287364053</v>
      </c>
      <c r="GJ924"/>
      <c r="GK924"/>
      <c r="GL924"/>
      <c r="GM924"/>
      <c r="GN924" s="208"/>
      <c r="GO924" s="208"/>
      <c r="GP924" s="208"/>
      <c r="GQ924" s="208"/>
      <c r="GR924" s="208"/>
      <c r="GS924" s="208"/>
      <c r="GT924" s="208"/>
      <c r="GU924" s="213">
        <v>919</v>
      </c>
    </row>
    <row r="925" spans="1:203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94.724535628427631</v>
      </c>
      <c r="AO925">
        <v>15.304547812416942</v>
      </c>
      <c r="AP925">
        <v>108.32427663566379</v>
      </c>
      <c r="AQ925">
        <v>121.00445482391115</v>
      </c>
      <c r="AR925">
        <v>14.105787454348393</v>
      </c>
      <c r="AS925">
        <v>167.28243898527646</v>
      </c>
      <c r="AT925">
        <v>9.5018786039719281</v>
      </c>
      <c r="AU925">
        <v>-8.8932129606565624</v>
      </c>
      <c r="AV925"/>
      <c r="AW925"/>
      <c r="FY925" s="213">
        <v>920</v>
      </c>
      <c r="FZ925">
        <v>50.057928728573465</v>
      </c>
      <c r="GA925">
        <v>59.895213857430086</v>
      </c>
      <c r="GB925">
        <v>7.8407548151738897</v>
      </c>
      <c r="GC925">
        <v>5.5802897528512485</v>
      </c>
      <c r="GD925">
        <v>2.6255509513396977</v>
      </c>
      <c r="GE925">
        <v>2.1146858144134635</v>
      </c>
      <c r="GF925">
        <v>7.1229378596079442</v>
      </c>
      <c r="GG925">
        <v>6.0816060851521758</v>
      </c>
      <c r="GH925">
        <v>0</v>
      </c>
      <c r="GI925">
        <v>12.220362664816252</v>
      </c>
      <c r="GJ925"/>
      <c r="GK925"/>
      <c r="GL925"/>
      <c r="GM925"/>
      <c r="GN925" s="208"/>
      <c r="GO925" s="208"/>
      <c r="GP925" s="208"/>
      <c r="GQ925" s="208"/>
      <c r="GR925" s="208"/>
      <c r="GS925" s="208"/>
      <c r="GT925" s="208"/>
      <c r="GU925" s="213">
        <v>920</v>
      </c>
    </row>
    <row r="926" spans="1:203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82.444908604467429</v>
      </c>
      <c r="AO926">
        <v>10.48672458596938</v>
      </c>
      <c r="AP926">
        <v>78.495869302470638</v>
      </c>
      <c r="AQ926">
        <v>82.576778600349911</v>
      </c>
      <c r="AR926">
        <v>9.9710998050864124</v>
      </c>
      <c r="AS926">
        <v>130.29232391818806</v>
      </c>
      <c r="AT926" t="e">
        <v>#DIV/0!</v>
      </c>
      <c r="AU926" t="e">
        <v>#DIV/0!</v>
      </c>
      <c r="AV926"/>
      <c r="AW926"/>
      <c r="FY926" s="213">
        <v>921</v>
      </c>
      <c r="FZ926">
        <v>21.862954908132078</v>
      </c>
      <c r="GA926">
        <v>31.292388098613877</v>
      </c>
      <c r="GB926">
        <v>11.148531484437989</v>
      </c>
      <c r="GC926">
        <v>5.5073489662315085</v>
      </c>
      <c r="GD926">
        <v>1.8961779292057959</v>
      </c>
      <c r="GE926">
        <v>2.468225881175989</v>
      </c>
      <c r="GF926">
        <v>4.4937578305120134</v>
      </c>
      <c r="GG926">
        <v>4.8969310964923345</v>
      </c>
      <c r="GH926">
        <v>2.7619779405139626</v>
      </c>
      <c r="GI926">
        <v>8.42781408326662</v>
      </c>
      <c r="GJ926"/>
      <c r="GK926"/>
      <c r="GL926"/>
      <c r="GM926"/>
      <c r="GN926" s="208"/>
      <c r="GO926" s="208"/>
      <c r="GP926" s="208"/>
      <c r="GQ926" s="208"/>
      <c r="GR926" s="208"/>
      <c r="GS926" s="208"/>
      <c r="GT926" s="208"/>
      <c r="GU926" s="213">
        <v>921</v>
      </c>
    </row>
    <row r="927" spans="1:203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98.599199104929312</v>
      </c>
      <c r="AO927">
        <v>18.974219077119862</v>
      </c>
      <c r="AP927">
        <v>115.56460402889836</v>
      </c>
      <c r="AQ927">
        <v>158.26632198604659</v>
      </c>
      <c r="AR927">
        <v>17.41322273542562</v>
      </c>
      <c r="AS927">
        <v>190.24950228643948</v>
      </c>
      <c r="AT927" t="e">
        <v>#DIV/0!</v>
      </c>
      <c r="AU927" t="e">
        <v>#DIV/0!</v>
      </c>
      <c r="AV927"/>
      <c r="AW927"/>
      <c r="FY927" s="213">
        <v>922</v>
      </c>
      <c r="FZ927">
        <v>19.406959168082398</v>
      </c>
      <c r="GA927">
        <v>29.804939978011205</v>
      </c>
      <c r="GB927">
        <v>11.111842106963953</v>
      </c>
      <c r="GC927">
        <v>5.2868756693975243</v>
      </c>
      <c r="GD927">
        <v>2.3709840338935599</v>
      </c>
      <c r="GE927">
        <v>2.2273709904141006</v>
      </c>
      <c r="GF927">
        <v>1.2663940365764008</v>
      </c>
      <c r="GG927">
        <v>2.1071321818287339</v>
      </c>
      <c r="GH927">
        <v>1.5603693116103559</v>
      </c>
      <c r="GI927">
        <v>7.5438207551631624</v>
      </c>
      <c r="GJ927"/>
      <c r="GK927"/>
      <c r="GL927"/>
      <c r="GM927"/>
      <c r="GN927" s="208"/>
      <c r="GO927" s="208"/>
      <c r="GP927" s="208"/>
      <c r="GQ927" s="208"/>
      <c r="GR927" s="208"/>
      <c r="GS927" s="208"/>
      <c r="GT927" s="208"/>
      <c r="GU927" s="213">
        <v>922</v>
      </c>
    </row>
    <row r="928" spans="1:203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92.962002995642678</v>
      </c>
      <c r="AO928">
        <v>13.832615845585973</v>
      </c>
      <c r="AP928">
        <v>85.783917314138648</v>
      </c>
      <c r="AQ928">
        <v>114.62135365935123</v>
      </c>
      <c r="AR928">
        <v>12.755920226121805</v>
      </c>
      <c r="AS928">
        <v>164.38209243428645</v>
      </c>
      <c r="AT928" t="e">
        <v>#DIV/0!</v>
      </c>
      <c r="AU928" t="e">
        <v>#DIV/0!</v>
      </c>
      <c r="AV928"/>
      <c r="AW928"/>
      <c r="FY928" s="213">
        <v>923</v>
      </c>
      <c r="FZ928">
        <v>18.100307438198801</v>
      </c>
      <c r="GA928">
        <v>20.272124494126771</v>
      </c>
      <c r="GB928">
        <v>6.8026756520047114</v>
      </c>
      <c r="GC928">
        <v>5.5341548440936394</v>
      </c>
      <c r="GD928">
        <v>2.1432049893218981</v>
      </c>
      <c r="GE928">
        <v>1.5941001002759867</v>
      </c>
      <c r="GF928">
        <v>1.4502729178015454</v>
      </c>
      <c r="GG928">
        <v>2.2166767125140181</v>
      </c>
      <c r="GH928">
        <v>2.7619779405139626</v>
      </c>
      <c r="GI928">
        <v>6.301900107863899</v>
      </c>
      <c r="GJ928"/>
      <c r="GK928"/>
      <c r="GL928"/>
      <c r="GM928"/>
      <c r="GN928" s="208"/>
      <c r="GO928" s="208"/>
      <c r="GP928" s="208"/>
      <c r="GQ928" s="208"/>
      <c r="GR928" s="208"/>
      <c r="GS928" s="208"/>
      <c r="GT928" s="208"/>
      <c r="GU928" s="213">
        <v>923</v>
      </c>
    </row>
    <row r="929" spans="1:203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81.183377201455301</v>
      </c>
      <c r="AO929">
        <v>10.753023588469343</v>
      </c>
      <c r="AP929">
        <v>43.044859697740279</v>
      </c>
      <c r="AQ929">
        <v>76.330416122464868</v>
      </c>
      <c r="AR929">
        <v>9.8970717351060458</v>
      </c>
      <c r="AS929">
        <v>146.79496710184898</v>
      </c>
      <c r="AT929" t="e">
        <v>#DIV/0!</v>
      </c>
      <c r="AU929" t="e">
        <v>#DIV/0!</v>
      </c>
      <c r="AV929"/>
      <c r="AW929"/>
      <c r="FY929" s="213">
        <v>924</v>
      </c>
      <c r="FZ929">
        <v>51.523479772436396</v>
      </c>
      <c r="GA929">
        <v>63.000899728354561</v>
      </c>
      <c r="GB929">
        <v>6.0107655559106039</v>
      </c>
      <c r="GC929">
        <v>3.8958300018497112</v>
      </c>
      <c r="GD929">
        <v>1.9673859593097278</v>
      </c>
      <c r="GE929">
        <v>1.8066907272347072</v>
      </c>
      <c r="GF929">
        <v>2.3230107249444405</v>
      </c>
      <c r="GG929">
        <v>1.8815765822533066</v>
      </c>
      <c r="GH929">
        <v>0</v>
      </c>
      <c r="GI929">
        <v>10.684912409363696</v>
      </c>
      <c r="GJ929"/>
      <c r="GK929"/>
      <c r="GL929"/>
      <c r="GM929"/>
      <c r="GN929" s="208"/>
      <c r="GO929" s="208"/>
      <c r="GP929" s="208"/>
      <c r="GQ929" s="208"/>
      <c r="GR929" s="208"/>
      <c r="GS929" s="208"/>
      <c r="GT929" s="208"/>
      <c r="GU929" s="213">
        <v>924</v>
      </c>
    </row>
    <row r="930" spans="1:203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79.310514750772114</v>
      </c>
      <c r="AO930">
        <v>12.804928924722455</v>
      </c>
      <c r="AP930">
        <v>57.197009472200996</v>
      </c>
      <c r="AQ930">
        <v>98.249618198283088</v>
      </c>
      <c r="AR930">
        <v>11.744412163239394</v>
      </c>
      <c r="AS930">
        <v>138.424518230823</v>
      </c>
      <c r="AT930" t="e">
        <v>#DIV/0!</v>
      </c>
      <c r="AU930" t="e">
        <v>#DIV/0!</v>
      </c>
      <c r="AV930"/>
      <c r="AW930"/>
      <c r="FY930" s="213">
        <v>925</v>
      </c>
      <c r="FZ930">
        <v>54.310456297396392</v>
      </c>
      <c r="GA930">
        <v>65.890141558718256</v>
      </c>
      <c r="GB930">
        <v>9.1612969983161729</v>
      </c>
      <c r="GC930">
        <v>6.0864176450317702</v>
      </c>
      <c r="GD930">
        <v>2.0504494204747021</v>
      </c>
      <c r="GE930">
        <v>1.2986638762085247</v>
      </c>
      <c r="GF930">
        <v>4.811607179164052</v>
      </c>
      <c r="GG930">
        <v>5.1721364276302326</v>
      </c>
      <c r="GH930">
        <v>2.1611736260621592</v>
      </c>
      <c r="GI930">
        <v>12.757091867879305</v>
      </c>
      <c r="GJ930"/>
      <c r="GK930"/>
      <c r="GL930"/>
      <c r="GM930"/>
      <c r="GN930" s="208"/>
      <c r="GO930" s="208"/>
      <c r="GP930" s="208"/>
      <c r="GQ930" s="208"/>
      <c r="GR930" s="208"/>
      <c r="GS930" s="208"/>
      <c r="GT930" s="208"/>
      <c r="GU930" s="213">
        <v>925</v>
      </c>
    </row>
    <row r="931" spans="1:203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96.067361374257914</v>
      </c>
      <c r="AO931">
        <v>15.02747846786907</v>
      </c>
      <c r="AP931">
        <v>92.294977529466678</v>
      </c>
      <c r="AQ931">
        <v>117.68973614632073</v>
      </c>
      <c r="AR931">
        <v>13.931054309631039</v>
      </c>
      <c r="AS931">
        <v>155.08526313258923</v>
      </c>
      <c r="AT931" t="e">
        <v>#DIV/0!</v>
      </c>
      <c r="AU931" t="e">
        <v>#DIV/0!</v>
      </c>
      <c r="AV931"/>
      <c r="AW931"/>
      <c r="FY931" s="213">
        <v>926</v>
      </c>
      <c r="FZ931">
        <v>21.806160200108554</v>
      </c>
      <c r="GA931">
        <v>27.941536653546887</v>
      </c>
      <c r="GB931">
        <v>7.2415351102710126</v>
      </c>
      <c r="GC931">
        <v>4.8482111682655695</v>
      </c>
      <c r="GD931">
        <v>2.2729519931657158</v>
      </c>
      <c r="GE931">
        <v>2.5003178026455575</v>
      </c>
      <c r="GF931">
        <v>2.6663788727634365</v>
      </c>
      <c r="GG931">
        <v>5.2337581136348614</v>
      </c>
      <c r="GH931">
        <v>5.2819122492828701</v>
      </c>
      <c r="GI931">
        <v>7.6927392862831239</v>
      </c>
      <c r="GJ931"/>
      <c r="GK931"/>
      <c r="GL931"/>
      <c r="GM931"/>
      <c r="GN931" s="208"/>
      <c r="GO931" s="208"/>
      <c r="GP931" s="208"/>
      <c r="GQ931" s="208"/>
      <c r="GR931" s="208"/>
      <c r="GS931" s="208"/>
      <c r="GT931" s="208"/>
      <c r="GU931" s="213">
        <v>926</v>
      </c>
    </row>
    <row r="932" spans="1:203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106.98920941460874</v>
      </c>
      <c r="AO932">
        <v>17.604021460496021</v>
      </c>
      <c r="AP932">
        <v>146.9278993239715</v>
      </c>
      <c r="AQ932">
        <v>152.38143213085161</v>
      </c>
      <c r="AR932">
        <v>16.16935039855673</v>
      </c>
      <c r="AS932">
        <v>212.23423845369814</v>
      </c>
      <c r="AT932">
        <v>11.172297774648142</v>
      </c>
      <c r="AU932">
        <v>-0.10680487923113136</v>
      </c>
      <c r="AV932"/>
      <c r="AW932"/>
      <c r="FY932" s="213">
        <v>927</v>
      </c>
      <c r="FZ932">
        <v>26.433795512163844</v>
      </c>
      <c r="GA932">
        <v>33.81904795660914</v>
      </c>
      <c r="GB932">
        <v>8.3272883885106559</v>
      </c>
      <c r="GC932">
        <v>5.6010141255433439</v>
      </c>
      <c r="GD932">
        <v>2.532829672945589</v>
      </c>
      <c r="GE932">
        <v>2.3985934429885907</v>
      </c>
      <c r="GF932">
        <v>3.4961276434412856</v>
      </c>
      <c r="GG932">
        <v>3.850962996941047</v>
      </c>
      <c r="GH932">
        <v>2.7619779405139626</v>
      </c>
      <c r="GI932">
        <v>8.5589578403905939</v>
      </c>
      <c r="GJ932"/>
      <c r="GK932"/>
      <c r="GL932"/>
      <c r="GM932"/>
      <c r="GN932" s="208"/>
      <c r="GO932" s="208"/>
      <c r="GP932" s="208"/>
      <c r="GQ932" s="208"/>
      <c r="GR932" s="208"/>
      <c r="GS932" s="208"/>
      <c r="GT932" s="208"/>
      <c r="GU932" s="213">
        <v>927</v>
      </c>
    </row>
    <row r="933" spans="1:203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95.280024672335784</v>
      </c>
      <c r="AO933">
        <v>12.640146103851608</v>
      </c>
      <c r="AP933">
        <v>85.241499974741458</v>
      </c>
      <c r="AQ933">
        <v>98.348222519414975</v>
      </c>
      <c r="AR933">
        <v>11.605758228927455</v>
      </c>
      <c r="AS933">
        <v>159.57778099628186</v>
      </c>
      <c r="AT933" t="e">
        <v>#DIV/0!</v>
      </c>
      <c r="AU933" t="e">
        <v>#DIV/0!</v>
      </c>
      <c r="AV933"/>
      <c r="AW933"/>
      <c r="FY933" s="213">
        <v>928</v>
      </c>
      <c r="FZ933">
        <v>12.757648106644028</v>
      </c>
      <c r="GA933">
        <v>22.791569082966241</v>
      </c>
      <c r="GB933">
        <v>11.578470195608716</v>
      </c>
      <c r="GC933">
        <v>5.1523433066221935</v>
      </c>
      <c r="GD933">
        <v>2.1529289102375562</v>
      </c>
      <c r="GE933">
        <v>2.4520711565242883</v>
      </c>
      <c r="GF933">
        <v>2.0892234299210464</v>
      </c>
      <c r="GG933">
        <v>6.4246883766567864</v>
      </c>
      <c r="GH933">
        <v>6.8422815608932268</v>
      </c>
      <c r="GI933">
        <v>7.5809488027136025</v>
      </c>
      <c r="GJ933"/>
      <c r="GK933"/>
      <c r="GL933"/>
      <c r="GM933"/>
      <c r="GN933" s="208"/>
      <c r="GO933" s="208"/>
      <c r="GP933" s="208"/>
      <c r="GQ933" s="208"/>
      <c r="GR933" s="208"/>
      <c r="GS933" s="208"/>
      <c r="GT933" s="208"/>
      <c r="GU933" s="213">
        <v>928</v>
      </c>
    </row>
    <row r="934" spans="1:203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75.765363530101098</v>
      </c>
      <c r="AO934">
        <v>7.7792595273751459</v>
      </c>
      <c r="AP934">
        <v>136.43351724568095</v>
      </c>
      <c r="AQ934">
        <v>54.957966112491917</v>
      </c>
      <c r="AR934">
        <v>7.2593995688022011</v>
      </c>
      <c r="AS934">
        <v>109.40473587695929</v>
      </c>
      <c r="AT934" t="e">
        <v>#DIV/0!</v>
      </c>
      <c r="AU934" t="e">
        <v>#DIV/0!</v>
      </c>
      <c r="AV934"/>
      <c r="AW934"/>
      <c r="FY934" s="213">
        <v>929</v>
      </c>
      <c r="FZ934">
        <v>50.884204990543104</v>
      </c>
      <c r="GA934">
        <v>66.477203903765371</v>
      </c>
      <c r="GB934">
        <v>10.379108086268921</v>
      </c>
      <c r="GC934">
        <v>4.7173083599489996</v>
      </c>
      <c r="GD934">
        <v>2.1274981118479843</v>
      </c>
      <c r="GE934">
        <v>2.1363977687362796</v>
      </c>
      <c r="GF934">
        <v>1.8059709679350269</v>
      </c>
      <c r="GG934">
        <v>2.6393340969371453</v>
      </c>
      <c r="GH934">
        <v>1.5603693116103559</v>
      </c>
      <c r="GI934">
        <v>12.042925503221275</v>
      </c>
      <c r="GJ934"/>
      <c r="GK934"/>
      <c r="GL934"/>
      <c r="GM934"/>
      <c r="GN934" s="208"/>
      <c r="GO934" s="208"/>
      <c r="GP934" s="208"/>
      <c r="GQ934" s="208"/>
      <c r="GR934" s="208"/>
      <c r="GS934" s="208"/>
      <c r="GT934" s="208"/>
      <c r="GU934" s="213">
        <v>929</v>
      </c>
    </row>
    <row r="935" spans="1:203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76.318077177452167</v>
      </c>
      <c r="AO935">
        <v>11.719612077591385</v>
      </c>
      <c r="AP935">
        <v>67.461567636564823</v>
      </c>
      <c r="AQ935">
        <v>93.283077917280863</v>
      </c>
      <c r="AR935">
        <v>10.766600069614318</v>
      </c>
      <c r="AS935">
        <v>143.22866618773838</v>
      </c>
      <c r="AT935" t="e">
        <v>#DIV/0!</v>
      </c>
      <c r="AU935" t="e">
        <v>#DIV/0!</v>
      </c>
      <c r="AV935"/>
      <c r="AW935"/>
      <c r="FY935" s="213">
        <v>930</v>
      </c>
      <c r="FZ935">
        <v>35.637324368825269</v>
      </c>
      <c r="GA935">
        <v>44.835315493068407</v>
      </c>
      <c r="GB935">
        <v>3.9350212952611758</v>
      </c>
      <c r="GC935">
        <v>2.6122506907543412</v>
      </c>
      <c r="GD935">
        <v>2.3410470492283526</v>
      </c>
      <c r="GE935">
        <v>2.9078535306448035</v>
      </c>
      <c r="GF935">
        <v>2.6073923714661227</v>
      </c>
      <c r="GG935">
        <v>2.967967688992998</v>
      </c>
      <c r="GH935">
        <v>1.5603693116103559</v>
      </c>
      <c r="GI935">
        <v>8.3499515727095819</v>
      </c>
      <c r="GJ935"/>
      <c r="GK935"/>
      <c r="GL935"/>
      <c r="GM935"/>
      <c r="GN935" s="208"/>
      <c r="GO935" s="208"/>
      <c r="GP935" s="208"/>
      <c r="GQ935" s="208"/>
      <c r="GR935" s="208"/>
      <c r="GS935" s="208"/>
      <c r="GT935" s="208"/>
      <c r="GU935" s="213">
        <v>930</v>
      </c>
    </row>
    <row r="936" spans="1:203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103.89963251547303</v>
      </c>
      <c r="AO936">
        <v>18.452527978373119</v>
      </c>
      <c r="AP936">
        <v>105.23300854515242</v>
      </c>
      <c r="AQ936">
        <v>153.53933052935824</v>
      </c>
      <c r="AR936">
        <v>16.938161175667425</v>
      </c>
      <c r="AS936">
        <v>213.07936002764689</v>
      </c>
      <c r="AT936" t="e">
        <v>#DIV/0!</v>
      </c>
      <c r="AU936" t="e">
        <v>#DIV/0!</v>
      </c>
      <c r="AV936"/>
      <c r="AW936"/>
      <c r="FY936" s="213">
        <v>931</v>
      </c>
      <c r="FZ936">
        <v>36.423616635447722</v>
      </c>
      <c r="GA936">
        <v>41.897448720940091</v>
      </c>
      <c r="GB936">
        <v>5.8094481415787804</v>
      </c>
      <c r="GC936">
        <v>4.1451258399913558</v>
      </c>
      <c r="GD936">
        <v>2.5582353885686202</v>
      </c>
      <c r="GE936">
        <v>3.7065820284057303</v>
      </c>
      <c r="GF936">
        <v>2.7635937433584514</v>
      </c>
      <c r="GG936">
        <v>4.4246239805067358</v>
      </c>
      <c r="GH936">
        <v>4.3223472521243185</v>
      </c>
      <c r="GI936">
        <v>9.5033633687956218</v>
      </c>
      <c r="GJ936"/>
      <c r="GK936"/>
      <c r="GL936"/>
      <c r="GM936"/>
      <c r="GN936" s="208"/>
      <c r="GO936" s="208"/>
      <c r="GP936" s="208"/>
      <c r="GQ936" s="208"/>
      <c r="GR936" s="208"/>
      <c r="GS936" s="208"/>
      <c r="GT936" s="208"/>
      <c r="GU936" s="213">
        <v>931</v>
      </c>
    </row>
    <row r="937" spans="1:203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72.790118370144995</v>
      </c>
      <c r="AO937">
        <v>12.736021900079681</v>
      </c>
      <c r="AP937">
        <v>85.922088251804013</v>
      </c>
      <c r="AQ937">
        <v>94.756108218582142</v>
      </c>
      <c r="AR937">
        <v>11.733393955211699</v>
      </c>
      <c r="AS937">
        <v>139.49713346170927</v>
      </c>
      <c r="AT937">
        <v>7.5555442895969351</v>
      </c>
      <c r="AU937">
        <v>-24.92226484734794</v>
      </c>
      <c r="AV937"/>
      <c r="AW937"/>
      <c r="FY937" s="213">
        <v>932</v>
      </c>
      <c r="FZ937">
        <v>38.386459052269899</v>
      </c>
      <c r="GA937">
        <v>49.894272449658324</v>
      </c>
      <c r="GB937">
        <v>9.6313030899348178</v>
      </c>
      <c r="GC937">
        <v>5.2996591352144202</v>
      </c>
      <c r="GD937">
        <v>1.9162457262404324</v>
      </c>
      <c r="GE937">
        <v>1.425626720678113</v>
      </c>
      <c r="GF937">
        <v>2.9474726245835967</v>
      </c>
      <c r="GG937">
        <v>4.7464662787658787</v>
      </c>
      <c r="GH937">
        <v>3.7215429376725151</v>
      </c>
      <c r="GI937">
        <v>10.342675605734589</v>
      </c>
      <c r="GJ937"/>
      <c r="GK937"/>
      <c r="GL937"/>
      <c r="GM937"/>
      <c r="GN937" s="208"/>
      <c r="GO937" s="208"/>
      <c r="GP937" s="208"/>
      <c r="GQ937" s="208"/>
      <c r="GR937" s="208"/>
      <c r="GS937" s="208"/>
      <c r="GT937" s="208"/>
      <c r="GU937" s="213">
        <v>932</v>
      </c>
    </row>
    <row r="938" spans="1:203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78.218743790251125</v>
      </c>
      <c r="AO938">
        <v>11.344778006525708</v>
      </c>
      <c r="AP938">
        <v>43.190022352577202</v>
      </c>
      <c r="AQ938">
        <v>82.686688231941403</v>
      </c>
      <c r="AR938">
        <v>10.507310545447492</v>
      </c>
      <c r="AS938">
        <v>129.17678815592978</v>
      </c>
      <c r="AT938" t="e">
        <v>#DIV/0!</v>
      </c>
      <c r="AU938" t="e">
        <v>#DIV/0!</v>
      </c>
      <c r="AV938"/>
      <c r="AW938"/>
      <c r="FY938" s="213">
        <v>933</v>
      </c>
      <c r="FZ938">
        <v>31.008118502048422</v>
      </c>
      <c r="GA938">
        <v>35.154995033386612</v>
      </c>
      <c r="GB938">
        <v>6.17827305708584</v>
      </c>
      <c r="GC938">
        <v>4.8090916075329044</v>
      </c>
      <c r="GD938">
        <v>1.8862943637658285</v>
      </c>
      <c r="GE938">
        <v>1.7696730459611021</v>
      </c>
      <c r="GF938">
        <v>2.8316583321548285</v>
      </c>
      <c r="GG938">
        <v>3.1578399327030642</v>
      </c>
      <c r="GH938">
        <v>2.1611736260621592</v>
      </c>
      <c r="GI938">
        <v>8.0721865226906591</v>
      </c>
      <c r="GJ938"/>
      <c r="GK938"/>
      <c r="GL938"/>
      <c r="GM938"/>
      <c r="GN938" s="208"/>
      <c r="GO938" s="208"/>
      <c r="GP938" s="208"/>
      <c r="GQ938" s="208"/>
      <c r="GR938" s="208"/>
      <c r="GS938" s="208"/>
      <c r="GT938" s="208"/>
      <c r="GU938" s="213">
        <v>933</v>
      </c>
    </row>
    <row r="939" spans="1:203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81.588582080341709</v>
      </c>
      <c r="AO939">
        <v>9.2531823266343842</v>
      </c>
      <c r="AP939">
        <v>55.581130718949169</v>
      </c>
      <c r="AQ939">
        <v>67.177395196715224</v>
      </c>
      <c r="AR939">
        <v>8.6421143423731657</v>
      </c>
      <c r="AS939">
        <v>118.85139886035667</v>
      </c>
      <c r="AT939">
        <v>5.9919158912076718</v>
      </c>
      <c r="AU939">
        <v>23.179386742413293</v>
      </c>
      <c r="AV939"/>
      <c r="AW939"/>
      <c r="FY939" s="213">
        <v>934</v>
      </c>
      <c r="FZ939">
        <v>36.125130806178802</v>
      </c>
      <c r="GA939">
        <v>43.828198159519786</v>
      </c>
      <c r="GB939">
        <v>9.0852350518935658</v>
      </c>
      <c r="GC939">
        <v>5.7855801507959885</v>
      </c>
      <c r="GD939">
        <v>2.177373532667378</v>
      </c>
      <c r="GE939">
        <v>2.2395847476038213</v>
      </c>
      <c r="GF939">
        <v>2.350688234277257</v>
      </c>
      <c r="GG939">
        <v>2.9097997767520014</v>
      </c>
      <c r="GH939">
        <v>1.5603693116103559</v>
      </c>
      <c r="GI939">
        <v>9.5242031739237021</v>
      </c>
      <c r="GJ939"/>
      <c r="GK939"/>
      <c r="GL939"/>
      <c r="GM939"/>
      <c r="GN939" s="208"/>
      <c r="GO939" s="208"/>
      <c r="GP939" s="208"/>
      <c r="GQ939" s="208"/>
      <c r="GR939" s="208"/>
      <c r="GS939" s="208"/>
      <c r="GT939" s="208"/>
      <c r="GU939" s="213">
        <v>934</v>
      </c>
    </row>
    <row r="940" spans="1:203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85.614371840690296</v>
      </c>
      <c r="AO940">
        <v>16.188359073862383</v>
      </c>
      <c r="AP940">
        <v>91.767935851728694</v>
      </c>
      <c r="AQ940">
        <v>143.09455146165718</v>
      </c>
      <c r="AR940">
        <v>14.778368869972791</v>
      </c>
      <c r="AS940">
        <v>182.25074141988566</v>
      </c>
      <c r="AT940" t="e">
        <v>#DIV/0!</v>
      </c>
      <c r="AU940" t="e">
        <v>#DIV/0!</v>
      </c>
      <c r="AV940"/>
      <c r="AW940"/>
      <c r="FY940" s="213">
        <v>935</v>
      </c>
      <c r="FZ940">
        <v>26.499786301788571</v>
      </c>
      <c r="GA940">
        <v>37.360692946217981</v>
      </c>
      <c r="GB940">
        <v>6.1006321331237201</v>
      </c>
      <c r="GC940">
        <v>2.993970296750224</v>
      </c>
      <c r="GD940">
        <v>1.9812870077224076</v>
      </c>
      <c r="GE940">
        <v>1.9638866655806109</v>
      </c>
      <c r="GF940">
        <v>6.8414644399715243</v>
      </c>
      <c r="GG940">
        <v>9.2351859283023643</v>
      </c>
      <c r="GH940">
        <v>5.2819122492828701</v>
      </c>
      <c r="GI940">
        <v>8.7126450808403906</v>
      </c>
      <c r="GJ940"/>
      <c r="GK940"/>
      <c r="GL940"/>
      <c r="GM940"/>
      <c r="GN940" s="208"/>
      <c r="GO940" s="208"/>
      <c r="GP940" s="208"/>
      <c r="GQ940" s="208"/>
      <c r="GR940" s="208"/>
      <c r="GS940" s="208"/>
      <c r="GT940" s="208"/>
      <c r="GU940" s="213">
        <v>935</v>
      </c>
    </row>
    <row r="941" spans="1:203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97.692842117689977</v>
      </c>
      <c r="AO941">
        <v>19.27917550365478</v>
      </c>
      <c r="AP941">
        <v>126.63905700082125</v>
      </c>
      <c r="AQ941">
        <v>163.69943489688154</v>
      </c>
      <c r="AR941">
        <v>17.678760035872024</v>
      </c>
      <c r="AS941">
        <v>217.28360735095646</v>
      </c>
      <c r="AT941">
        <v>12.087504387418136</v>
      </c>
      <c r="AU941">
        <v>17.099483628812681</v>
      </c>
      <c r="AV941"/>
      <c r="AW941"/>
      <c r="FY941" s="213">
        <v>936</v>
      </c>
      <c r="FZ941">
        <v>27.922905292369233</v>
      </c>
      <c r="GA941">
        <v>32.87760156169751</v>
      </c>
      <c r="GB941">
        <v>4.224346808289547</v>
      </c>
      <c r="GC941">
        <v>3.6861214908202253</v>
      </c>
      <c r="GD941">
        <v>2.5658892594436327</v>
      </c>
      <c r="GE941">
        <v>3.0629417784344408</v>
      </c>
      <c r="GF941">
        <v>2.4235134902409783</v>
      </c>
      <c r="GG941">
        <v>1.8059885205515676</v>
      </c>
      <c r="GH941">
        <v>0</v>
      </c>
      <c r="GI941">
        <v>7.1529774785805191</v>
      </c>
      <c r="GJ941"/>
      <c r="GK941"/>
      <c r="GL941"/>
      <c r="GM941"/>
      <c r="GN941" s="208"/>
      <c r="GO941" s="208"/>
      <c r="GP941" s="208"/>
      <c r="GQ941" s="208"/>
      <c r="GR941" s="208"/>
      <c r="GS941" s="208"/>
      <c r="GT941" s="208"/>
      <c r="GU941" s="213">
        <v>936</v>
      </c>
    </row>
    <row r="942" spans="1:203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84.677791058952309</v>
      </c>
      <c r="AO942">
        <v>11.555321820942035</v>
      </c>
      <c r="AP942">
        <v>76.429237597882604</v>
      </c>
      <c r="AQ942">
        <v>87.485501449967586</v>
      </c>
      <c r="AR942">
        <v>10.622013971834182</v>
      </c>
      <c r="AS942">
        <v>139.66396734097214</v>
      </c>
      <c r="AT942">
        <v>7.1486630427187121</v>
      </c>
      <c r="AU942">
        <v>-13.045720520141698</v>
      </c>
      <c r="AV942"/>
      <c r="AW942"/>
      <c r="FY942" s="213">
        <v>937</v>
      </c>
      <c r="FZ942">
        <v>23.167211153134854</v>
      </c>
      <c r="GA942">
        <v>29.300894034582686</v>
      </c>
      <c r="GB942">
        <v>13.767313808801907</v>
      </c>
      <c r="GC942">
        <v>8.2863068538608164</v>
      </c>
      <c r="GD942">
        <v>2.2878603207838082</v>
      </c>
      <c r="GE942">
        <v>2.435608832984844</v>
      </c>
      <c r="GF942">
        <v>3.1713589174560424</v>
      </c>
      <c r="GG942">
        <v>2.523323028047002</v>
      </c>
      <c r="GH942">
        <v>0.60080431445180338</v>
      </c>
      <c r="GI942">
        <v>8.8572210897533008</v>
      </c>
      <c r="GJ942"/>
      <c r="GK942"/>
      <c r="GL942"/>
      <c r="GM942"/>
      <c r="GN942" s="208"/>
      <c r="GO942" s="208"/>
      <c r="GP942" s="208"/>
      <c r="GQ942" s="208"/>
      <c r="GR942" s="208"/>
      <c r="GS942" s="208"/>
      <c r="GT942" s="208"/>
      <c r="GU942" s="213">
        <v>937</v>
      </c>
    </row>
    <row r="943" spans="1:203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83.332402332801664</v>
      </c>
      <c r="AO943">
        <v>12.817753671739723</v>
      </c>
      <c r="AP943">
        <v>59.447738376650989</v>
      </c>
      <c r="AQ943">
        <v>97.780595520048038</v>
      </c>
      <c r="AR943">
        <v>11.834115174431828</v>
      </c>
      <c r="AS943">
        <v>157.9792789361604</v>
      </c>
      <c r="AT943">
        <v>7.7229498367180289</v>
      </c>
      <c r="AU943">
        <v>14.532231593199967</v>
      </c>
      <c r="AV943"/>
      <c r="AW943"/>
      <c r="FY943" s="213">
        <v>938</v>
      </c>
      <c r="FZ943">
        <v>45.876329488578705</v>
      </c>
      <c r="GA943">
        <v>55.427367668999594</v>
      </c>
      <c r="GB943">
        <v>7.7282651922057752</v>
      </c>
      <c r="GC943">
        <v>4.6074493726553865</v>
      </c>
      <c r="GD943">
        <v>1.6185924502821381</v>
      </c>
      <c r="GE943">
        <v>1.7357220949601457</v>
      </c>
      <c r="GF943">
        <v>1.6931383003240035</v>
      </c>
      <c r="GG943">
        <v>3.4300324993997364</v>
      </c>
      <c r="GH943">
        <v>3.1207386232207117</v>
      </c>
      <c r="GI943">
        <v>10.437208819451634</v>
      </c>
      <c r="GJ943"/>
      <c r="GK943"/>
      <c r="GL943"/>
      <c r="GM943"/>
      <c r="GN943" s="208"/>
      <c r="GO943" s="208"/>
      <c r="GP943" s="208"/>
      <c r="GQ943" s="208"/>
      <c r="GR943" s="208"/>
      <c r="GS943" s="208"/>
      <c r="GT943" s="208"/>
      <c r="GU943" s="213">
        <v>938</v>
      </c>
    </row>
    <row r="944" spans="1:203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68.29497505419792</v>
      </c>
      <c r="AO944">
        <v>11.452065361949197</v>
      </c>
      <c r="AP944">
        <v>71.837504501243927</v>
      </c>
      <c r="AQ944">
        <v>79.822172928787694</v>
      </c>
      <c r="AR944">
        <v>10.585601769961283</v>
      </c>
      <c r="AS944">
        <v>113.56836394618419</v>
      </c>
      <c r="AT944">
        <v>6.6275030996940254</v>
      </c>
      <c r="AU944">
        <v>6.9699002470138911</v>
      </c>
      <c r="AV944"/>
      <c r="AW944"/>
      <c r="FY944" s="213">
        <v>939</v>
      </c>
      <c r="FZ944">
        <v>18.513568510041274</v>
      </c>
      <c r="GA944">
        <v>24.571374519837907</v>
      </c>
      <c r="GB944">
        <v>6.4000354708612095</v>
      </c>
      <c r="GC944">
        <v>4.44759443259845</v>
      </c>
      <c r="GD944">
        <v>2.009084110443685</v>
      </c>
      <c r="GE944">
        <v>1.7020860352835743</v>
      </c>
      <c r="GF944">
        <v>3.7389930259637438</v>
      </c>
      <c r="GG944">
        <v>3.9605075276263308</v>
      </c>
      <c r="GH944">
        <v>2.1611736260621592</v>
      </c>
      <c r="GI944">
        <v>6.5652970302832045</v>
      </c>
      <c r="GJ944"/>
      <c r="GK944"/>
      <c r="GL944"/>
      <c r="GM944"/>
      <c r="GN944" s="208"/>
      <c r="GO944" s="208"/>
      <c r="GP944" s="208"/>
      <c r="GQ944" s="208"/>
      <c r="GR944" s="208"/>
      <c r="GS944" s="208"/>
      <c r="GT944" s="208"/>
      <c r="GU944" s="213">
        <v>939</v>
      </c>
    </row>
    <row r="945" spans="1:203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90.389329045794554</v>
      </c>
      <c r="AO945">
        <v>18.289231946733786</v>
      </c>
      <c r="AP945">
        <v>122.72837663832634</v>
      </c>
      <c r="AQ945">
        <v>154.77032110081447</v>
      </c>
      <c r="AR945">
        <v>16.818339742829824</v>
      </c>
      <c r="AS945">
        <v>202.63173312021217</v>
      </c>
      <c r="AT945" t="e">
        <v>#DIV/0!</v>
      </c>
      <c r="AU945" t="e">
        <v>#DIV/0!</v>
      </c>
      <c r="AV945"/>
      <c r="AW945"/>
      <c r="FY945" s="213">
        <v>940</v>
      </c>
      <c r="FZ945">
        <v>9.2224987416622479</v>
      </c>
      <c r="GA945">
        <v>10.958095835284452</v>
      </c>
      <c r="GB945">
        <v>5.0554495725546058</v>
      </c>
      <c r="GC945">
        <v>3.4869393214815001</v>
      </c>
      <c r="GD945">
        <v>1.6210933064301212</v>
      </c>
      <c r="GE945">
        <v>2.0530689089760332</v>
      </c>
      <c r="GF945">
        <v>5.2262917305948466</v>
      </c>
      <c r="GG945">
        <v>5.5434171936090726</v>
      </c>
      <c r="GH945">
        <v>2.7619779405139626</v>
      </c>
      <c r="GI945">
        <v>4.9743833738027208</v>
      </c>
      <c r="GJ945"/>
      <c r="GK945"/>
      <c r="GL945"/>
      <c r="GM945"/>
      <c r="GN945" s="208"/>
      <c r="GO945" s="208"/>
      <c r="GP945" s="208"/>
      <c r="GQ945" s="208"/>
      <c r="GR945" s="208"/>
      <c r="GS945" s="208"/>
      <c r="GT945" s="208"/>
      <c r="GU945" s="213">
        <v>940</v>
      </c>
    </row>
    <row r="946" spans="1:203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80.914075256170833</v>
      </c>
      <c r="AO946">
        <v>12.682607662062679</v>
      </c>
      <c r="AP946">
        <v>78.863330296298216</v>
      </c>
      <c r="AQ946">
        <v>107.7544933725614</v>
      </c>
      <c r="AR946">
        <v>11.578161901730445</v>
      </c>
      <c r="AS946">
        <v>136.0007584275707</v>
      </c>
      <c r="AT946" t="e">
        <v>#DIV/0!</v>
      </c>
      <c r="AU946" t="e">
        <v>#DIV/0!</v>
      </c>
      <c r="AV946"/>
      <c r="AW946"/>
      <c r="FY946" s="213">
        <v>941</v>
      </c>
      <c r="FZ946">
        <v>19.025461873797884</v>
      </c>
      <c r="GA946">
        <v>26.222120217030309</v>
      </c>
      <c r="GB946">
        <v>5.1956892429594497</v>
      </c>
      <c r="GC946">
        <v>2.9480033478264556</v>
      </c>
      <c r="GD946">
        <v>2.5579401065177629</v>
      </c>
      <c r="GE946">
        <v>2.71002582968354</v>
      </c>
      <c r="GF946">
        <v>3.4458395618267761</v>
      </c>
      <c r="GG946">
        <v>3.927566639847579</v>
      </c>
      <c r="GH946">
        <v>2.1611736260621592</v>
      </c>
      <c r="GI946">
        <v>6.6238839652658505</v>
      </c>
      <c r="GJ946"/>
      <c r="GK946"/>
      <c r="GL946"/>
      <c r="GM946"/>
      <c r="GN946" s="208"/>
      <c r="GO946" s="208"/>
      <c r="GP946" s="208"/>
      <c r="GQ946" s="208"/>
      <c r="GR946" s="208"/>
      <c r="GS946" s="208"/>
      <c r="GT946" s="208"/>
      <c r="GU946" s="213">
        <v>941</v>
      </c>
    </row>
    <row r="947" spans="1:203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95.489283557513772</v>
      </c>
      <c r="AO947">
        <v>14.165142916061214</v>
      </c>
      <c r="AP947">
        <v>96.907467786314015</v>
      </c>
      <c r="AQ947">
        <v>115.55438509971742</v>
      </c>
      <c r="AR947">
        <v>13.123002334807643</v>
      </c>
      <c r="AS947">
        <v>168.21987409200014</v>
      </c>
      <c r="AT947">
        <v>8.9697972480220507</v>
      </c>
      <c r="AU947">
        <v>31.671536461836283</v>
      </c>
      <c r="AV947"/>
      <c r="AW947"/>
      <c r="FY947" s="213">
        <v>942</v>
      </c>
      <c r="FZ947">
        <v>30.326575533798056</v>
      </c>
      <c r="GA947">
        <v>34.819917962557241</v>
      </c>
      <c r="GB947">
        <v>5.1813236613094862</v>
      </c>
      <c r="GC947">
        <v>3.8261457746654095</v>
      </c>
      <c r="GD947">
        <v>1.9085580879469397</v>
      </c>
      <c r="GE947">
        <v>2.2929270450389527</v>
      </c>
      <c r="GF947">
        <v>6.6076771449481289</v>
      </c>
      <c r="GG947">
        <v>6.6455015629276888</v>
      </c>
      <c r="GH947">
        <v>2.1611736260621592</v>
      </c>
      <c r="GI947">
        <v>8.4514303323359599</v>
      </c>
      <c r="GJ947"/>
      <c r="GK947"/>
      <c r="GL947"/>
      <c r="GM947"/>
      <c r="GN947" s="208"/>
      <c r="GO947" s="208"/>
      <c r="GP947" s="208"/>
      <c r="GQ947" s="208"/>
      <c r="GR947" s="208"/>
      <c r="GS947" s="208"/>
      <c r="GT947" s="208"/>
      <c r="GU947" s="213">
        <v>942</v>
      </c>
    </row>
    <row r="948" spans="1:203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76.997447493954837</v>
      </c>
      <c r="AO948">
        <v>15.632311619681937</v>
      </c>
      <c r="AP948">
        <v>117.76776731830148</v>
      </c>
      <c r="AQ948">
        <v>128.31172362075259</v>
      </c>
      <c r="AR948">
        <v>14.376886906907556</v>
      </c>
      <c r="AS948">
        <v>176.67749840459203</v>
      </c>
      <c r="AT948">
        <v>9.5460020785590665</v>
      </c>
      <c r="AU948">
        <v>25.90988425306475</v>
      </c>
      <c r="AV948"/>
      <c r="AW948"/>
      <c r="FY948" s="213">
        <v>943</v>
      </c>
      <c r="FZ948">
        <v>38.470851841785965</v>
      </c>
      <c r="GA948">
        <v>45.280056925423239</v>
      </c>
      <c r="GB948">
        <v>7.8629295329624096</v>
      </c>
      <c r="GC948">
        <v>5.9565525619126261</v>
      </c>
      <c r="GD948">
        <v>1.9797992572969396</v>
      </c>
      <c r="GE948">
        <v>1.1795115681684956</v>
      </c>
      <c r="GF948">
        <v>0.49956951971132441</v>
      </c>
      <c r="GG948">
        <v>2.6525919289387132</v>
      </c>
      <c r="GH948">
        <v>3.1207386232207117</v>
      </c>
      <c r="GI948">
        <v>9.3449805142688263</v>
      </c>
      <c r="GJ948"/>
      <c r="GK948"/>
      <c r="GL948"/>
      <c r="GM948"/>
      <c r="GN948" s="208"/>
      <c r="GO948" s="208"/>
      <c r="GP948" s="208"/>
      <c r="GQ948" s="208"/>
      <c r="GR948" s="208"/>
      <c r="GS948" s="208"/>
      <c r="GT948" s="208"/>
      <c r="GU948" s="213">
        <v>943</v>
      </c>
    </row>
    <row r="949" spans="1:203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87.474047166022345</v>
      </c>
      <c r="AO949">
        <v>11.989103255781536</v>
      </c>
      <c r="AP949">
        <v>72.290854277557855</v>
      </c>
      <c r="AQ949">
        <v>97.029304023391433</v>
      </c>
      <c r="AR949">
        <v>11.106569890485819</v>
      </c>
      <c r="AS949">
        <v>143.52599703236558</v>
      </c>
      <c r="AT949">
        <v>7.8063007612868729</v>
      </c>
      <c r="AU949">
        <v>15.097180830584184</v>
      </c>
      <c r="AV949"/>
      <c r="AW949"/>
      <c r="FY949" s="213">
        <v>944</v>
      </c>
      <c r="FZ949">
        <v>14.358195354029291</v>
      </c>
      <c r="GA949">
        <v>14.910510760948183</v>
      </c>
      <c r="GB949">
        <v>3.7822011548771486</v>
      </c>
      <c r="GC949">
        <v>3.9144867423963512</v>
      </c>
      <c r="GD949">
        <v>2.2914623518377946</v>
      </c>
      <c r="GE949">
        <v>1.8874126657276102</v>
      </c>
      <c r="GF949">
        <v>2.2986211103131473</v>
      </c>
      <c r="GG949">
        <v>2.7488786276224295</v>
      </c>
      <c r="GH949">
        <v>1.5603693116103559</v>
      </c>
      <c r="GI949">
        <v>5.0520052058964948</v>
      </c>
      <c r="GJ949"/>
      <c r="GK949"/>
      <c r="GL949"/>
      <c r="GM949"/>
      <c r="GN949" s="208"/>
      <c r="GO949" s="208"/>
      <c r="GP949" s="208"/>
      <c r="GQ949" s="208"/>
      <c r="GR949" s="208"/>
      <c r="GS949" s="208"/>
      <c r="GT949" s="208"/>
      <c r="GU949" s="213">
        <v>944</v>
      </c>
    </row>
    <row r="950" spans="1:203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99.133423675246704</v>
      </c>
      <c r="AO950">
        <v>14.294436390793885</v>
      </c>
      <c r="AP950">
        <v>114.1447310976807</v>
      </c>
      <c r="AQ950">
        <v>115.58616294522267</v>
      </c>
      <c r="AR950">
        <v>13.118498075369056</v>
      </c>
      <c r="AS950">
        <v>161.45825615570482</v>
      </c>
      <c r="AT950" t="e">
        <v>#DIV/0!</v>
      </c>
      <c r="AU950" t="e">
        <v>#DIV/0!</v>
      </c>
      <c r="AV950"/>
      <c r="AW950"/>
      <c r="FY950" s="213">
        <v>945</v>
      </c>
      <c r="FZ950">
        <v>13.598781685180775</v>
      </c>
      <c r="GA950">
        <v>15.279508177366116</v>
      </c>
      <c r="GB950">
        <v>6.7419580845669325</v>
      </c>
      <c r="GC950">
        <v>5.5321931061682434</v>
      </c>
      <c r="GD950">
        <v>2.321676423106056</v>
      </c>
      <c r="GE950">
        <v>1.9366899580084183</v>
      </c>
      <c r="GF950">
        <v>3.4961276434412856</v>
      </c>
      <c r="GG950">
        <v>6.1749213338239075</v>
      </c>
      <c r="GH950">
        <v>4.6811079348310667</v>
      </c>
      <c r="GI950">
        <v>6.4413866200798875</v>
      </c>
      <c r="GJ950"/>
      <c r="GK950"/>
      <c r="GL950"/>
      <c r="GM950"/>
      <c r="GN950" s="208"/>
      <c r="GO950" s="208"/>
      <c r="GP950" s="208"/>
      <c r="GQ950" s="208"/>
      <c r="GR950" s="208"/>
      <c r="GS950" s="208"/>
      <c r="GT950" s="208"/>
      <c r="GU950" s="213">
        <v>945</v>
      </c>
    </row>
    <row r="951" spans="1:203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81.14647968382755</v>
      </c>
      <c r="AO951">
        <v>13.191855397746115</v>
      </c>
      <c r="AP951">
        <v>77.003395519576372</v>
      </c>
      <c r="AQ951">
        <v>106.97146304958068</v>
      </c>
      <c r="AR951">
        <v>12.101130479613548</v>
      </c>
      <c r="AS951">
        <v>137.02481536189472</v>
      </c>
      <c r="AT951">
        <v>7.7295873141840126</v>
      </c>
      <c r="AU951">
        <v>21.693422879819863</v>
      </c>
      <c r="AV951"/>
      <c r="AW951"/>
      <c r="FY951" s="213">
        <v>946</v>
      </c>
      <c r="FZ951">
        <v>23.095152745138535</v>
      </c>
      <c r="GA951">
        <v>25.953094938396283</v>
      </c>
      <c r="GB951">
        <v>4.1286365571509345</v>
      </c>
      <c r="GC951">
        <v>4.1200852313912728</v>
      </c>
      <c r="GD951">
        <v>2.7711305965666293</v>
      </c>
      <c r="GE951">
        <v>2.7294814192423429</v>
      </c>
      <c r="GF951">
        <v>5.7189418729729677</v>
      </c>
      <c r="GG951">
        <v>5.9748040225535002</v>
      </c>
      <c r="GH951">
        <v>3.3627822549657664</v>
      </c>
      <c r="GI951">
        <v>7.662173342609929</v>
      </c>
      <c r="GJ951"/>
      <c r="GK951"/>
      <c r="GL951"/>
      <c r="GM951"/>
      <c r="GN951" s="208"/>
      <c r="GO951" s="208"/>
      <c r="GP951" s="208"/>
      <c r="GQ951" s="208"/>
      <c r="GR951" s="208"/>
      <c r="GS951" s="208"/>
      <c r="GT951" s="208"/>
      <c r="GU951" s="213">
        <v>946</v>
      </c>
    </row>
    <row r="952" spans="1:203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71.632370610711135</v>
      </c>
      <c r="AO952">
        <v>10.812607984783218</v>
      </c>
      <c r="AP952">
        <v>74.600181565915804</v>
      </c>
      <c r="AQ952">
        <v>85.72228568042766</v>
      </c>
      <c r="AR952">
        <v>9.8737424023202625</v>
      </c>
      <c r="AS952">
        <v>130.54132861011328</v>
      </c>
      <c r="AT952" t="e">
        <v>#DIV/0!</v>
      </c>
      <c r="AU952" t="e">
        <v>#DIV/0!</v>
      </c>
      <c r="AV952"/>
      <c r="AW952"/>
      <c r="FY952" s="213">
        <v>947</v>
      </c>
      <c r="FZ952">
        <v>29.113449319962676</v>
      </c>
      <c r="GA952">
        <v>38.334984579455309</v>
      </c>
      <c r="GB952">
        <v>9.8208399278541254</v>
      </c>
      <c r="GC952">
        <v>5.8745565543018925</v>
      </c>
      <c r="GD952">
        <v>2.8836035873361783</v>
      </c>
      <c r="GE952">
        <v>3.0190138233024428</v>
      </c>
      <c r="GF952">
        <v>3.4892082661080819</v>
      </c>
      <c r="GG952">
        <v>3.5804973171261913</v>
      </c>
      <c r="GH952">
        <v>3.3627822549657664</v>
      </c>
      <c r="GI952">
        <v>9.6090164464906334</v>
      </c>
      <c r="GJ952"/>
      <c r="GK952"/>
      <c r="GL952"/>
      <c r="GM952"/>
      <c r="GN952" s="208"/>
      <c r="GO952" s="208"/>
      <c r="GP952" s="208"/>
      <c r="GQ952" s="208"/>
      <c r="GR952" s="208"/>
      <c r="GS952" s="208"/>
      <c r="GT952" s="208"/>
      <c r="GU952" s="213">
        <v>947</v>
      </c>
    </row>
    <row r="953" spans="1:203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94.206323433440573</v>
      </c>
      <c r="AO953">
        <v>13.29889385410603</v>
      </c>
      <c r="AP953">
        <v>82.641283094845278</v>
      </c>
      <c r="AQ953">
        <v>94.397902353857063</v>
      </c>
      <c r="AR953">
        <v>12.229277568626056</v>
      </c>
      <c r="AS953">
        <v>165.8746938310716</v>
      </c>
      <c r="AT953" t="e">
        <v>#DIV/0!</v>
      </c>
      <c r="AU953" t="e">
        <v>#DIV/0!</v>
      </c>
      <c r="AV953"/>
      <c r="AW953"/>
      <c r="FY953" s="213">
        <v>948</v>
      </c>
      <c r="FZ953">
        <v>22.523152039742666</v>
      </c>
      <c r="GA953">
        <v>29.195372949782453</v>
      </c>
      <c r="GB953">
        <v>11.174044850532866</v>
      </c>
      <c r="GC953">
        <v>7.295644028653963</v>
      </c>
      <c r="GD953">
        <v>2.5352131493613941</v>
      </c>
      <c r="GE953">
        <v>2.073630409582063</v>
      </c>
      <c r="GF953">
        <v>5.1738449388144776</v>
      </c>
      <c r="GG953">
        <v>4.3437574860658472</v>
      </c>
      <c r="GH953">
        <v>1.2016086289036068</v>
      </c>
      <c r="GI953">
        <v>8.7503771417278546</v>
      </c>
      <c r="GJ953"/>
      <c r="GK953"/>
      <c r="GL953"/>
      <c r="GM953"/>
      <c r="GN953" s="208"/>
      <c r="GO953" s="208"/>
      <c r="GP953" s="208"/>
      <c r="GQ953" s="208"/>
      <c r="GR953" s="208"/>
      <c r="GS953" s="208"/>
      <c r="GT953" s="208"/>
      <c r="GU953" s="213">
        <v>948</v>
      </c>
    </row>
    <row r="954" spans="1:203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97.534051657061283</v>
      </c>
      <c r="AO954">
        <v>15.731805856953162</v>
      </c>
      <c r="AP954">
        <v>129.24658340638271</v>
      </c>
      <c r="AQ954">
        <v>135.67484451007783</v>
      </c>
      <c r="AR954">
        <v>14.420678649131943</v>
      </c>
      <c r="AS954">
        <v>180.53623133675424</v>
      </c>
      <c r="AT954" t="e">
        <v>#DIV/0!</v>
      </c>
      <c r="AU954" t="e">
        <v>#DIV/0!</v>
      </c>
      <c r="AV954"/>
      <c r="AW954"/>
      <c r="FY954" s="213">
        <v>949</v>
      </c>
      <c r="FZ954">
        <v>17.636371279540306</v>
      </c>
      <c r="GA954">
        <v>27.701509385130279</v>
      </c>
      <c r="GB954">
        <v>15.868464378811057</v>
      </c>
      <c r="GC954">
        <v>8.380736079085997</v>
      </c>
      <c r="GD954">
        <v>2.7585895508709979</v>
      </c>
      <c r="GE954">
        <v>2.4298141099707884</v>
      </c>
      <c r="GF954">
        <v>1.5248772161148669</v>
      </c>
      <c r="GG954">
        <v>3.3457149931766965</v>
      </c>
      <c r="GH954">
        <v>3.1207386232207117</v>
      </c>
      <c r="GI954">
        <v>9.0446427194196222</v>
      </c>
      <c r="GJ954"/>
      <c r="GK954"/>
      <c r="GL954"/>
      <c r="GM954"/>
      <c r="GN954" s="208"/>
      <c r="GO954" s="208"/>
      <c r="GP954" s="208"/>
      <c r="GQ954" s="208"/>
      <c r="GR954" s="208"/>
      <c r="GS954" s="208"/>
      <c r="GT954" s="208"/>
      <c r="GU954" s="213">
        <v>949</v>
      </c>
    </row>
    <row r="955" spans="1:203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70.759993144767492</v>
      </c>
      <c r="AO955">
        <v>9.8827541949785989</v>
      </c>
      <c r="AP955">
        <v>67.16210379757112</v>
      </c>
      <c r="AQ955">
        <v>74.069714289001553</v>
      </c>
      <c r="AR955">
        <v>9.0707576949533415</v>
      </c>
      <c r="AS955">
        <v>121.5336198764999</v>
      </c>
      <c r="AT955">
        <v>6.0679352633598569</v>
      </c>
      <c r="AU955">
        <v>-4.7280340563084655</v>
      </c>
      <c r="AV955"/>
      <c r="AW955"/>
      <c r="FY955" s="213">
        <v>950</v>
      </c>
      <c r="FZ955">
        <v>19.656838856539277</v>
      </c>
      <c r="GA955">
        <v>26.188554126800955</v>
      </c>
      <c r="GB955">
        <v>5.5742788870705011</v>
      </c>
      <c r="GC955">
        <v>3.1420070269034697</v>
      </c>
      <c r="GD955">
        <v>1.8118454091999678</v>
      </c>
      <c r="GE955">
        <v>2.1108151262980597</v>
      </c>
      <c r="GF955">
        <v>4.221742166190916</v>
      </c>
      <c r="GG955">
        <v>3.6059356054312115</v>
      </c>
      <c r="GH955">
        <v>0</v>
      </c>
      <c r="GI955">
        <v>6.1064418107710416</v>
      </c>
      <c r="GJ955"/>
      <c r="GK955"/>
      <c r="GL955"/>
      <c r="GM955"/>
      <c r="GN955" s="208"/>
      <c r="GO955" s="208"/>
      <c r="GP955" s="208"/>
      <c r="GQ955" s="208"/>
      <c r="GR955" s="208"/>
      <c r="GS955" s="208"/>
      <c r="GT955" s="208"/>
      <c r="GU955" s="213">
        <v>950</v>
      </c>
    </row>
    <row r="956" spans="1:203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60.150196854456496</v>
      </c>
      <c r="AO956">
        <v>7.3254315761163555</v>
      </c>
      <c r="AP956">
        <v>40.748626515237831</v>
      </c>
      <c r="AQ956">
        <v>50.903215924909567</v>
      </c>
      <c r="AR956">
        <v>6.8367744428438684</v>
      </c>
      <c r="AS956">
        <v>93.004721058224618</v>
      </c>
      <c r="AT956">
        <v>4.7975214024123458</v>
      </c>
      <c r="AU956">
        <v>13.292772244138012</v>
      </c>
      <c r="AV956"/>
      <c r="AW956"/>
      <c r="FY956" s="213">
        <v>951</v>
      </c>
      <c r="FZ956">
        <v>31.455674068994099</v>
      </c>
      <c r="GA956">
        <v>35.821000705614701</v>
      </c>
      <c r="GB956">
        <v>7.8790398177197689</v>
      </c>
      <c r="GC956">
        <v>5.2295486307909824</v>
      </c>
      <c r="GD956">
        <v>2.203166850564338</v>
      </c>
      <c r="GE956">
        <v>3.1053087968568569</v>
      </c>
      <c r="GF956">
        <v>3.5638125644214038</v>
      </c>
      <c r="GG956">
        <v>5.199090338974294</v>
      </c>
      <c r="GH956">
        <v>5.5239558810279252</v>
      </c>
      <c r="GI956">
        <v>9.4229612848012589</v>
      </c>
      <c r="GJ956"/>
      <c r="GK956"/>
      <c r="GL956"/>
      <c r="GM956"/>
      <c r="GN956" s="208"/>
      <c r="GO956" s="208"/>
      <c r="GP956" s="208"/>
      <c r="GQ956" s="208"/>
      <c r="GR956" s="208"/>
      <c r="GS956" s="208"/>
      <c r="GT956" s="208"/>
      <c r="GU956" s="213">
        <v>951</v>
      </c>
    </row>
    <row r="957" spans="1:203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60.829185146280736</v>
      </c>
      <c r="AO957">
        <v>9.8950700112924785</v>
      </c>
      <c r="AP957">
        <v>72.666800092169069</v>
      </c>
      <c r="AQ957">
        <v>74.817704410817754</v>
      </c>
      <c r="AR957">
        <v>9.2274104612151238</v>
      </c>
      <c r="AS957">
        <v>114.94801015083733</v>
      </c>
      <c r="AT957">
        <v>6.194125524041727</v>
      </c>
      <c r="AU957">
        <v>38.581295373941821</v>
      </c>
      <c r="AV957"/>
      <c r="AW957"/>
      <c r="FY957" s="213">
        <v>952</v>
      </c>
      <c r="FZ957">
        <v>52.395323822053662</v>
      </c>
      <c r="GA957">
        <v>64.081483079269972</v>
      </c>
      <c r="GB957">
        <v>9.7194535641962254</v>
      </c>
      <c r="GC957">
        <v>6.5970682064120325</v>
      </c>
      <c r="GD957">
        <v>2.7057269195714104</v>
      </c>
      <c r="GE957">
        <v>2.3613579341451079</v>
      </c>
      <c r="GF957">
        <v>4.2352746509735466</v>
      </c>
      <c r="GG957">
        <v>4.7107829229005178</v>
      </c>
      <c r="GH957">
        <v>2.7619779405139626</v>
      </c>
      <c r="GI957">
        <v>12.960582846278598</v>
      </c>
      <c r="GJ957"/>
      <c r="GK957"/>
      <c r="GL957"/>
      <c r="GM957"/>
      <c r="GN957" s="208"/>
      <c r="GO957" s="208"/>
      <c r="GP957" s="208"/>
      <c r="GQ957" s="208"/>
      <c r="GR957" s="208"/>
      <c r="GS957" s="208"/>
      <c r="GT957" s="208"/>
      <c r="GU957" s="213">
        <v>952</v>
      </c>
    </row>
    <row r="958" spans="1:203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91.195845977279816</v>
      </c>
      <c r="AO958">
        <v>12.579492106873174</v>
      </c>
      <c r="AP958">
        <v>73.370577367254867</v>
      </c>
      <c r="AQ958">
        <v>102.22123073159004</v>
      </c>
      <c r="AR958">
        <v>11.617065715491499</v>
      </c>
      <c r="AS958">
        <v>156.13881935589654</v>
      </c>
      <c r="AT958">
        <v>8.4216353241946162</v>
      </c>
      <c r="AU958">
        <v>19.429074141551343</v>
      </c>
      <c r="AV958"/>
      <c r="AW958"/>
      <c r="FY958" s="213">
        <v>953</v>
      </c>
      <c r="FZ958">
        <v>37.962004080195676</v>
      </c>
      <c r="GA958">
        <v>49.087185170463968</v>
      </c>
      <c r="GB958">
        <v>7.6494089927774542</v>
      </c>
      <c r="GC958">
        <v>4.5545740076998911</v>
      </c>
      <c r="GD958">
        <v>2.7778267920599591</v>
      </c>
      <c r="GE958">
        <v>2.5923607213502331</v>
      </c>
      <c r="GF958">
        <v>2.9288732027498439</v>
      </c>
      <c r="GG958">
        <v>3.6134382049049432</v>
      </c>
      <c r="GH958">
        <v>1.5603693116103559</v>
      </c>
      <c r="GI958">
        <v>9.9521078452885021</v>
      </c>
      <c r="GJ958"/>
      <c r="GK958"/>
      <c r="GL958"/>
      <c r="GM958"/>
      <c r="GN958" s="208"/>
      <c r="GO958" s="208"/>
      <c r="GP958" s="208"/>
      <c r="GQ958" s="208"/>
      <c r="GR958" s="208"/>
      <c r="GS958" s="208"/>
      <c r="GT958" s="208"/>
      <c r="GU958" s="213">
        <v>953</v>
      </c>
    </row>
    <row r="959" spans="1:203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96.138772874681848</v>
      </c>
      <c r="AO959">
        <v>14.121259030493917</v>
      </c>
      <c r="AP959">
        <v>82.026449660057082</v>
      </c>
      <c r="AQ959">
        <v>116.34758227368928</v>
      </c>
      <c r="AR959">
        <v>12.894767219572596</v>
      </c>
      <c r="AS959">
        <v>156.92413440829361</v>
      </c>
      <c r="AT959" t="e">
        <v>#DIV/0!</v>
      </c>
      <c r="AU959" t="e">
        <v>#DIV/0!</v>
      </c>
      <c r="AV959"/>
      <c r="AW959"/>
      <c r="FY959" s="213">
        <v>954</v>
      </c>
      <c r="FZ959">
        <v>43.814226134131097</v>
      </c>
      <c r="GA959">
        <v>50.280643218100167</v>
      </c>
      <c r="GB959">
        <v>7.2970449306185179</v>
      </c>
      <c r="GC959">
        <v>5.1568179692130034</v>
      </c>
      <c r="GD959">
        <v>2.4810206530290464</v>
      </c>
      <c r="GE959">
        <v>3.3752025485012389</v>
      </c>
      <c r="GF959">
        <v>5.004564147888261</v>
      </c>
      <c r="GG959">
        <v>7.3399132667065645</v>
      </c>
      <c r="GH959">
        <v>5.2819122492828701</v>
      </c>
      <c r="GI959">
        <v>11.521982464647266</v>
      </c>
      <c r="GJ959"/>
      <c r="GK959"/>
      <c r="GL959"/>
      <c r="GM959"/>
      <c r="GN959" s="208"/>
      <c r="GO959" s="208"/>
      <c r="GP959" s="208"/>
      <c r="GQ959" s="208"/>
      <c r="GR959" s="208"/>
      <c r="GS959" s="208"/>
      <c r="GT959" s="208"/>
      <c r="GU959" s="213">
        <v>954</v>
      </c>
    </row>
    <row r="960" spans="1:203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73.224877014982226</v>
      </c>
      <c r="AO960">
        <v>7.3608113109258753</v>
      </c>
      <c r="AP960">
        <v>34.848555889569873</v>
      </c>
      <c r="AQ960">
        <v>52.80414328525881</v>
      </c>
      <c r="AR960">
        <v>6.8900415812840965</v>
      </c>
      <c r="AS960">
        <v>102.77669272638757</v>
      </c>
      <c r="AT960" t="e">
        <v>#DIV/0!</v>
      </c>
      <c r="AU960" t="e">
        <v>#DIV/0!</v>
      </c>
      <c r="AV960"/>
      <c r="AW960"/>
      <c r="FY960" s="213">
        <v>955</v>
      </c>
      <c r="FZ960">
        <v>37.917601408714972</v>
      </c>
      <c r="GA960">
        <v>49.246863568817702</v>
      </c>
      <c r="GB960">
        <v>8.6350355600907349</v>
      </c>
      <c r="GC960">
        <v>4.5804978565345937</v>
      </c>
      <c r="GD960">
        <v>1.7845916486687863</v>
      </c>
      <c r="GE960">
        <v>1.462929984370235</v>
      </c>
      <c r="GF960">
        <v>4.1037691635962892</v>
      </c>
      <c r="GG960">
        <v>5.7689727931844992</v>
      </c>
      <c r="GH960">
        <v>4.3223472521243185</v>
      </c>
      <c r="GI960">
        <v>10.28395703931991</v>
      </c>
      <c r="GJ960"/>
      <c r="GK960"/>
      <c r="GL960"/>
      <c r="GM960"/>
      <c r="GN960" s="208"/>
      <c r="GO960" s="208"/>
      <c r="GP960" s="208"/>
      <c r="GQ960" s="208"/>
      <c r="GR960" s="208"/>
      <c r="GS960" s="208"/>
      <c r="GT960" s="208"/>
      <c r="GU960" s="213">
        <v>955</v>
      </c>
    </row>
    <row r="961" spans="1:203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76.478367180205424</v>
      </c>
      <c r="AO961">
        <v>9.6768470730303768</v>
      </c>
      <c r="AP961">
        <v>39.546483340549941</v>
      </c>
      <c r="AQ961">
        <v>66.20435096657269</v>
      </c>
      <c r="AR961">
        <v>8.8807131732727829</v>
      </c>
      <c r="AS961">
        <v>128.61985326462349</v>
      </c>
      <c r="AT961" t="e">
        <v>#DIV/0!</v>
      </c>
      <c r="AU961" t="e">
        <v>#DIV/0!</v>
      </c>
      <c r="AV961"/>
      <c r="AW961"/>
      <c r="FY961" s="213">
        <v>956</v>
      </c>
      <c r="FZ961">
        <v>44.324987640907665</v>
      </c>
      <c r="GA961">
        <v>54.479889291673956</v>
      </c>
      <c r="GB961">
        <v>6.6179005400275956</v>
      </c>
      <c r="GC961">
        <v>3.8434381245091531</v>
      </c>
      <c r="GD961">
        <v>2.1086760053341447</v>
      </c>
      <c r="GE961">
        <v>2.9229636046719429</v>
      </c>
      <c r="GF961">
        <v>4.3379361264359444</v>
      </c>
      <c r="GG961">
        <v>3.4779553440803919</v>
      </c>
      <c r="GH961">
        <v>1.8024129433554106</v>
      </c>
      <c r="GI961">
        <v>10.531370445498112</v>
      </c>
      <c r="GJ961"/>
      <c r="GK961"/>
      <c r="GL961"/>
      <c r="GM961"/>
      <c r="GN961" s="208"/>
      <c r="GO961" s="208"/>
      <c r="GP961" s="208"/>
      <c r="GQ961" s="208"/>
      <c r="GR961" s="208"/>
      <c r="GS961" s="208"/>
      <c r="GT961" s="208"/>
      <c r="GU961" s="213">
        <v>956</v>
      </c>
    </row>
    <row r="962" spans="1:203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90.193930469697435</v>
      </c>
      <c r="AO962">
        <v>11.284071633557115</v>
      </c>
      <c r="AP962">
        <v>59.266339790473189</v>
      </c>
      <c r="AQ962">
        <v>85.516282980988152</v>
      </c>
      <c r="AR962">
        <v>10.576725500176456</v>
      </c>
      <c r="AS962">
        <v>150.74299014912231</v>
      </c>
      <c r="AT962">
        <v>7.3399210068888463</v>
      </c>
      <c r="AU962">
        <v>20.442321704367799</v>
      </c>
      <c r="AV962"/>
      <c r="AW962"/>
      <c r="FY962" s="213">
        <v>957</v>
      </c>
      <c r="FZ962">
        <v>25.564641437215652</v>
      </c>
      <c r="GA962">
        <v>30.671378809779057</v>
      </c>
      <c r="GB962">
        <v>5.6285807330318454</v>
      </c>
      <c r="GC962">
        <v>4.6972025997831244</v>
      </c>
      <c r="GD962">
        <v>2.5513808211166551</v>
      </c>
      <c r="GE962">
        <v>2.6332431722998102</v>
      </c>
      <c r="GF962">
        <v>6.0659415034236446</v>
      </c>
      <c r="GG962">
        <v>4.9465808280548051</v>
      </c>
      <c r="GH962">
        <v>0</v>
      </c>
      <c r="GI962">
        <v>7.803630740297387</v>
      </c>
      <c r="GJ962"/>
      <c r="GK962"/>
      <c r="GL962"/>
      <c r="GM962"/>
      <c r="GN962" s="208"/>
      <c r="GO962" s="208"/>
      <c r="GP962" s="208"/>
      <c r="GQ962" s="208"/>
      <c r="GR962" s="208"/>
      <c r="GS962" s="208"/>
      <c r="GT962" s="208"/>
      <c r="GU962" s="213">
        <v>957</v>
      </c>
    </row>
    <row r="963" spans="1:203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100.90380323511661</v>
      </c>
      <c r="AO963">
        <v>14.225603095710417</v>
      </c>
      <c r="AP963">
        <v>72.738555904455808</v>
      </c>
      <c r="AQ963">
        <v>109.08795207690328</v>
      </c>
      <c r="AR963">
        <v>13.295142087284709</v>
      </c>
      <c r="AS963">
        <v>158.75595186547739</v>
      </c>
      <c r="AT963">
        <v>8.6909534821586458</v>
      </c>
      <c r="AU963">
        <v>15.305292338410247</v>
      </c>
      <c r="AV963"/>
      <c r="AW963"/>
      <c r="FY963" s="213">
        <v>958</v>
      </c>
      <c r="FZ963">
        <v>23.695741814133935</v>
      </c>
      <c r="GA963">
        <v>36.871074498640162</v>
      </c>
      <c r="GB963">
        <v>11.305494296813393</v>
      </c>
      <c r="GC963">
        <v>5.2438846721346986</v>
      </c>
      <c r="GD963">
        <v>2.2080169834606136</v>
      </c>
      <c r="GE963">
        <v>2.3137928225591442</v>
      </c>
      <c r="GF963">
        <v>7.4906956220582339</v>
      </c>
      <c r="GG963">
        <v>7.4045064027231779</v>
      </c>
      <c r="GH963">
        <v>1.5603693116103559</v>
      </c>
      <c r="GI963">
        <v>9.2776667704074445</v>
      </c>
      <c r="GJ963"/>
      <c r="GK963"/>
      <c r="GL963"/>
      <c r="GM963"/>
      <c r="GN963" s="208"/>
      <c r="GO963" s="208"/>
      <c r="GP963" s="208"/>
      <c r="GQ963" s="208"/>
      <c r="GR963" s="208"/>
      <c r="GS963" s="208"/>
      <c r="GT963" s="208"/>
      <c r="GU963" s="213">
        <v>958</v>
      </c>
    </row>
    <row r="964" spans="1:203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90.934011779999352</v>
      </c>
      <c r="AO964">
        <v>13.10394180552807</v>
      </c>
      <c r="AP964">
        <v>63.728973427642742</v>
      </c>
      <c r="AQ964">
        <v>94.266645623167221</v>
      </c>
      <c r="AR964">
        <v>12.085446619563523</v>
      </c>
      <c r="AS964">
        <v>143.25284658991239</v>
      </c>
      <c r="AT964" t="e">
        <v>#DIV/0!</v>
      </c>
      <c r="AU964" t="e">
        <v>#DIV/0!</v>
      </c>
      <c r="AV964"/>
      <c r="AW964"/>
      <c r="FY964" s="213">
        <v>959</v>
      </c>
      <c r="FZ964">
        <v>33.74606395771734</v>
      </c>
      <c r="GA964">
        <v>38.382152190661529</v>
      </c>
      <c r="GB964">
        <v>8.4349807936163668</v>
      </c>
      <c r="GC964">
        <v>5.2625268240000045</v>
      </c>
      <c r="GD964">
        <v>2.0662687350155329</v>
      </c>
      <c r="GE964">
        <v>1.6850836679742973</v>
      </c>
      <c r="GF964">
        <v>1.8805752662483481</v>
      </c>
      <c r="GG964">
        <v>2.6645611213993896</v>
      </c>
      <c r="GH964">
        <v>1.5603693116103559</v>
      </c>
      <c r="GI964">
        <v>8.9160760402166588</v>
      </c>
      <c r="GJ964"/>
      <c r="GK964"/>
      <c r="GL964"/>
      <c r="GM964"/>
      <c r="GN964" s="208"/>
      <c r="GO964" s="208"/>
      <c r="GP964" s="208"/>
      <c r="GQ964" s="208"/>
      <c r="GR964" s="208"/>
      <c r="GS964" s="208"/>
      <c r="GT964" s="208"/>
      <c r="GU964" s="213">
        <v>959</v>
      </c>
    </row>
    <row r="965" spans="1:203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98.697221574674671</v>
      </c>
      <c r="AO965">
        <v>13.615554406429482</v>
      </c>
      <c r="AP965">
        <v>39.392587732433377</v>
      </c>
      <c r="AQ965">
        <v>91.811458335341342</v>
      </c>
      <c r="AR965">
        <v>12.576072519970692</v>
      </c>
      <c r="AS965">
        <v>177.23867412532726</v>
      </c>
      <c r="AT965" t="e">
        <v>#DIV/0!</v>
      </c>
      <c r="AU965" t="e">
        <v>#DIV/0!</v>
      </c>
      <c r="AV965"/>
      <c r="AW965"/>
      <c r="FY965" s="213">
        <v>960</v>
      </c>
      <c r="FZ965">
        <v>59.48456252259858</v>
      </c>
      <c r="GA965">
        <v>74.516755671520826</v>
      </c>
      <c r="GB965">
        <v>12.27721199414303</v>
      </c>
      <c r="GC965">
        <v>7.0970584270436268</v>
      </c>
      <c r="GD965">
        <v>2.6588128073871773</v>
      </c>
      <c r="GE965">
        <v>2.5096832936304776</v>
      </c>
      <c r="GF965">
        <v>2.9375716224326478</v>
      </c>
      <c r="GG965">
        <v>4.7424764855676207</v>
      </c>
      <c r="GH965">
        <v>3.7215429376725151</v>
      </c>
      <c r="GI965">
        <v>14.554904188530035</v>
      </c>
      <c r="GJ965"/>
      <c r="GK965"/>
      <c r="GL965"/>
      <c r="GM965"/>
      <c r="GN965" s="208"/>
      <c r="GO965" s="208"/>
      <c r="GP965" s="208"/>
      <c r="GQ965" s="208"/>
      <c r="GR965" s="208"/>
      <c r="GS965" s="208"/>
      <c r="GT965" s="208"/>
      <c r="GU965" s="213">
        <v>960</v>
      </c>
    </row>
    <row r="966" spans="1:203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84.658524501754712</v>
      </c>
      <c r="AO966">
        <v>9.193390358433815</v>
      </c>
      <c r="AP966">
        <v>44.712611122516591</v>
      </c>
      <c r="AQ966">
        <v>72.4184590152054</v>
      </c>
      <c r="AR966">
        <v>8.4061461711587508</v>
      </c>
      <c r="AS966">
        <v>112.2877607576673</v>
      </c>
      <c r="AT966" t="e">
        <v>#DIV/0!</v>
      </c>
      <c r="AU966" t="e">
        <v>#DIV/0!</v>
      </c>
      <c r="AV966"/>
      <c r="AW966"/>
      <c r="FY966" s="213">
        <v>961</v>
      </c>
      <c r="FZ966">
        <v>49.587310582327213</v>
      </c>
      <c r="GA966">
        <v>62.168530918151525</v>
      </c>
      <c r="GB966">
        <v>6.1965323733530546</v>
      </c>
      <c r="GC966">
        <v>3.0259561221690259</v>
      </c>
      <c r="GD966">
        <v>1.8541696524005942</v>
      </c>
      <c r="GE966">
        <v>2.0898378146521934</v>
      </c>
      <c r="GF966">
        <v>1.4502729178015454</v>
      </c>
      <c r="GG966">
        <v>4.4310905187115948</v>
      </c>
      <c r="GH966">
        <v>5.8827165637346734</v>
      </c>
      <c r="GI966">
        <v>11.188918007116005</v>
      </c>
      <c r="GJ966"/>
      <c r="GK966"/>
      <c r="GL966"/>
      <c r="GM966"/>
      <c r="GN966" s="208"/>
      <c r="GO966" s="208"/>
      <c r="GP966" s="208"/>
      <c r="GQ966" s="208"/>
      <c r="GR966" s="208"/>
      <c r="GS966" s="208"/>
      <c r="GT966" s="208"/>
      <c r="GU966" s="213">
        <v>961</v>
      </c>
    </row>
    <row r="967" spans="1:203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95.503729590126653</v>
      </c>
      <c r="AO967">
        <v>13.913532142733862</v>
      </c>
      <c r="AP967">
        <v>92.458743804795375</v>
      </c>
      <c r="AQ967">
        <v>109.40355893976566</v>
      </c>
      <c r="AR967">
        <v>13.016309050069255</v>
      </c>
      <c r="AS967">
        <v>169.7847270638477</v>
      </c>
      <c r="AT967">
        <v>8.7864889625797797</v>
      </c>
      <c r="AU967">
        <v>27.946670974466635</v>
      </c>
      <c r="AV967"/>
      <c r="AW967"/>
      <c r="FY967" s="213">
        <v>962</v>
      </c>
      <c r="FZ967">
        <v>25.709327802339953</v>
      </c>
      <c r="GA967">
        <v>36.005520451766117</v>
      </c>
      <c r="GB967">
        <v>7.5405238770400134</v>
      </c>
      <c r="GC967">
        <v>4.2960743307847995</v>
      </c>
      <c r="GD967">
        <v>2.4538624030782596</v>
      </c>
      <c r="GE967">
        <v>2.2373251834009427</v>
      </c>
      <c r="GF967">
        <v>3.7949979024433134</v>
      </c>
      <c r="GG967">
        <v>4.3365279449282141</v>
      </c>
      <c r="GH967">
        <v>2.7619779405139626</v>
      </c>
      <c r="GI967">
        <v>8.2948055746257765</v>
      </c>
      <c r="GJ967"/>
      <c r="GK967"/>
      <c r="GL967"/>
      <c r="GM967"/>
      <c r="GN967" s="208"/>
      <c r="GO967" s="208"/>
      <c r="GP967" s="208"/>
      <c r="GQ967" s="208"/>
      <c r="GR967" s="208"/>
      <c r="GS967" s="208"/>
      <c r="GT967" s="208"/>
      <c r="GU967" s="213">
        <v>962</v>
      </c>
    </row>
    <row r="968" spans="1:203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108.61778549468711</v>
      </c>
      <c r="AO968">
        <v>19.565237651004573</v>
      </c>
      <c r="AP968">
        <v>151.95546394597432</v>
      </c>
      <c r="AQ968">
        <v>162.52903188631501</v>
      </c>
      <c r="AR968">
        <v>17.959351933633073</v>
      </c>
      <c r="AS968">
        <v>214.37340697478302</v>
      </c>
      <c r="AT968">
        <v>12.107680048303516</v>
      </c>
      <c r="AU968">
        <v>10.398575751515647</v>
      </c>
      <c r="AV968"/>
      <c r="AW968"/>
      <c r="FY968" s="213">
        <v>963</v>
      </c>
      <c r="FZ968">
        <v>19.011475823966403</v>
      </c>
      <c r="GA968">
        <v>23.612716605634237</v>
      </c>
      <c r="GB968">
        <v>11.942704896326473</v>
      </c>
      <c r="GC968">
        <v>7.419270009613145</v>
      </c>
      <c r="GD968">
        <v>2.2128603371434674</v>
      </c>
      <c r="GE968">
        <v>1.9125733924370572</v>
      </c>
      <c r="GF968">
        <v>1.5092594190988589</v>
      </c>
      <c r="GG968">
        <v>2.2680533309583057</v>
      </c>
      <c r="GH968">
        <v>2.1611736260621592</v>
      </c>
      <c r="GI968">
        <v>7.686638322223601</v>
      </c>
      <c r="GJ968"/>
      <c r="GK968"/>
      <c r="GL968"/>
      <c r="GM968"/>
      <c r="GN968" s="208"/>
      <c r="GO968" s="208"/>
      <c r="GP968" s="208"/>
      <c r="GQ968" s="208"/>
      <c r="GR968" s="208"/>
      <c r="GS968" s="208"/>
      <c r="GT968" s="208"/>
      <c r="GU968" s="213">
        <v>963</v>
      </c>
    </row>
    <row r="969" spans="1:203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88.867681861279721</v>
      </c>
      <c r="AO969">
        <v>14.96855025474512</v>
      </c>
      <c r="AP969">
        <v>85.660581214246733</v>
      </c>
      <c r="AQ969">
        <v>122.67814832910082</v>
      </c>
      <c r="AR969">
        <v>13.753130380337129</v>
      </c>
      <c r="AS969">
        <v>162.92112184131526</v>
      </c>
      <c r="AT969" t="e">
        <v>#DIV/0!</v>
      </c>
      <c r="AU969" t="e">
        <v>#DIV/0!</v>
      </c>
      <c r="AV969"/>
      <c r="AW969"/>
      <c r="FY969" s="213">
        <v>964</v>
      </c>
      <c r="FZ969">
        <v>23.57857413818952</v>
      </c>
      <c r="GA969">
        <v>29.013562797023823</v>
      </c>
      <c r="GB969">
        <v>6.5013787828604839</v>
      </c>
      <c r="GC969">
        <v>3.6713276605363121</v>
      </c>
      <c r="GD969">
        <v>1.8399956466711049</v>
      </c>
      <c r="GE969">
        <v>2.1942111412696246</v>
      </c>
      <c r="GF969">
        <v>4.0113883581010992</v>
      </c>
      <c r="GG969">
        <v>4.4490466876069625</v>
      </c>
      <c r="GH969">
        <v>2.1611736260621592</v>
      </c>
      <c r="GI969">
        <v>7.3091460772798102</v>
      </c>
      <c r="GJ969"/>
      <c r="GK969"/>
      <c r="GL969"/>
      <c r="GM969"/>
      <c r="GN969" s="208"/>
      <c r="GO969" s="208"/>
      <c r="GP969" s="208"/>
      <c r="GQ969" s="208"/>
      <c r="GR969" s="208"/>
      <c r="GS969" s="208"/>
      <c r="GT969" s="208"/>
      <c r="GU969" s="213">
        <v>964</v>
      </c>
    </row>
    <row r="970" spans="1:203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108.46673400129282</v>
      </c>
      <c r="AO970">
        <v>17.298633522655486</v>
      </c>
      <c r="AP970">
        <v>104.37047825071303</v>
      </c>
      <c r="AQ970">
        <v>141.55332758211802</v>
      </c>
      <c r="AR970">
        <v>15.931304839382575</v>
      </c>
      <c r="AS970">
        <v>200.75096909987562</v>
      </c>
      <c r="AT970">
        <v>10.651350046742531</v>
      </c>
      <c r="AU970">
        <v>34.088248703233944</v>
      </c>
      <c r="AV970"/>
      <c r="AW970"/>
      <c r="FY970" s="213">
        <v>965</v>
      </c>
      <c r="FZ970">
        <v>40.21837469153612</v>
      </c>
      <c r="GA970">
        <v>56.693706467721199</v>
      </c>
      <c r="GB970">
        <v>13.03067383444597</v>
      </c>
      <c r="GC970">
        <v>5.7424208333857587</v>
      </c>
      <c r="GD970">
        <v>2.444353291731721</v>
      </c>
      <c r="GE970">
        <v>2.2666891121291046</v>
      </c>
      <c r="GF970">
        <v>7.0817278654924989</v>
      </c>
      <c r="GG970">
        <v>8.3773631855793269</v>
      </c>
      <c r="GH970">
        <v>3.1207386232207117</v>
      </c>
      <c r="GI970">
        <v>12.487067449621257</v>
      </c>
      <c r="GJ970"/>
      <c r="GK970"/>
      <c r="GL970"/>
      <c r="GM970"/>
      <c r="GN970" s="208"/>
      <c r="GO970" s="208"/>
      <c r="GP970" s="208"/>
      <c r="GQ970" s="208"/>
      <c r="GR970" s="208"/>
      <c r="GS970" s="208"/>
      <c r="GT970" s="208"/>
      <c r="GU970" s="213">
        <v>965</v>
      </c>
    </row>
    <row r="971" spans="1:203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81.829489736139081</v>
      </c>
      <c r="AO971">
        <v>15.437253199693965</v>
      </c>
      <c r="AP971">
        <v>117.56170948847574</v>
      </c>
      <c r="AQ971">
        <v>128.10656627542201</v>
      </c>
      <c r="AR971">
        <v>14.274947288091871</v>
      </c>
      <c r="AS971">
        <v>163.96011689123011</v>
      </c>
      <c r="AT971">
        <v>9.7372344639451587</v>
      </c>
      <c r="AU971">
        <v>26.158492497116271</v>
      </c>
      <c r="AV971"/>
      <c r="AW971"/>
      <c r="FY971" s="213">
        <v>966</v>
      </c>
      <c r="FZ971">
        <v>17.766638828598367</v>
      </c>
      <c r="GA971">
        <v>25.510908195489883</v>
      </c>
      <c r="GB971">
        <v>7.6056354341923678</v>
      </c>
      <c r="GC971">
        <v>4.2281324977431014</v>
      </c>
      <c r="GD971">
        <v>2.120782789112269</v>
      </c>
      <c r="GE971">
        <v>2.0213661883259153</v>
      </c>
      <c r="GF971">
        <v>4.410381714583405</v>
      </c>
      <c r="GG971">
        <v>7.0357568409881717</v>
      </c>
      <c r="GH971">
        <v>4.6811079348310667</v>
      </c>
      <c r="GI971">
        <v>7.3326768268590081</v>
      </c>
      <c r="GJ971"/>
      <c r="GK971"/>
      <c r="GL971"/>
      <c r="GM971"/>
      <c r="GN971" s="208"/>
      <c r="GO971" s="208"/>
      <c r="GP971" s="208"/>
      <c r="GQ971" s="208"/>
      <c r="GR971" s="208"/>
      <c r="GS971" s="208"/>
      <c r="GT971" s="208"/>
      <c r="GU971" s="213">
        <v>966</v>
      </c>
    </row>
    <row r="972" spans="1:203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83.077850948071529</v>
      </c>
      <c r="AO972">
        <v>15.779234666406012</v>
      </c>
      <c r="AP972">
        <v>161.19716650130573</v>
      </c>
      <c r="AQ972">
        <v>134.44753006649432</v>
      </c>
      <c r="AR972">
        <v>14.588497463287995</v>
      </c>
      <c r="AS972">
        <v>183.9108096059656</v>
      </c>
      <c r="AT972" t="e">
        <v>#DIV/0!</v>
      </c>
      <c r="AU972" t="e">
        <v>#DIV/0!</v>
      </c>
      <c r="AV972"/>
      <c r="AW972"/>
      <c r="FY972" s="213">
        <v>967</v>
      </c>
      <c r="FZ972">
        <v>5.6174589820425656</v>
      </c>
      <c r="GA972">
        <v>10.011155823538676</v>
      </c>
      <c r="GB972">
        <v>9.0934550304977932</v>
      </c>
      <c r="GC972">
        <v>4.8510677799553621</v>
      </c>
      <c r="GD972">
        <v>1.663497048621406</v>
      </c>
      <c r="GE972">
        <v>2.1414357148216423</v>
      </c>
      <c r="GF972">
        <v>3.9195106145548846</v>
      </c>
      <c r="GG972">
        <v>3.1368682373849879</v>
      </c>
      <c r="GH972">
        <v>0.60080431445180338</v>
      </c>
      <c r="GI972">
        <v>5.0033696874862974</v>
      </c>
      <c r="GJ972"/>
      <c r="GK972"/>
      <c r="GL972"/>
      <c r="GM972"/>
      <c r="GN972" s="208"/>
      <c r="GO972" s="208"/>
      <c r="GP972" s="208"/>
      <c r="GQ972" s="208"/>
      <c r="GR972" s="208"/>
      <c r="GS972" s="208"/>
      <c r="GT972" s="208"/>
      <c r="GU972" s="213">
        <v>967</v>
      </c>
    </row>
    <row r="973" spans="1:203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95.134780741430077</v>
      </c>
      <c r="AO973">
        <v>11.782861166318989</v>
      </c>
      <c r="AP973">
        <v>69.089492645778378</v>
      </c>
      <c r="AQ973">
        <v>90.562580645001987</v>
      </c>
      <c r="AR973">
        <v>10.729371140550873</v>
      </c>
      <c r="AS973">
        <v>143.43244975806661</v>
      </c>
      <c r="AT973" t="e">
        <v>#DIV/0!</v>
      </c>
      <c r="AU973" t="e">
        <v>#DIV/0!</v>
      </c>
      <c r="AV973"/>
      <c r="AW973"/>
      <c r="FY973" s="213">
        <v>968</v>
      </c>
      <c r="FZ973">
        <v>23.055531782679271</v>
      </c>
      <c r="GA973">
        <v>29.640409307843861</v>
      </c>
      <c r="GB973">
        <v>4.7835290395516301</v>
      </c>
      <c r="GC973">
        <v>3.2731312680495437</v>
      </c>
      <c r="GD973">
        <v>2.3597172228815779</v>
      </c>
      <c r="GE973">
        <v>2.8407062673097565</v>
      </c>
      <c r="GF973">
        <v>3.4991092682590308</v>
      </c>
      <c r="GG973">
        <v>4.9073874278954506</v>
      </c>
      <c r="GH973">
        <v>4.3223472521243185</v>
      </c>
      <c r="GI973">
        <v>7.388669200587838</v>
      </c>
      <c r="GJ973"/>
      <c r="GK973"/>
      <c r="GL973"/>
      <c r="GM973"/>
      <c r="GN973" s="208"/>
      <c r="GO973" s="208"/>
      <c r="GP973" s="208"/>
      <c r="GQ973" s="208"/>
      <c r="GR973" s="208"/>
      <c r="GS973" s="208"/>
      <c r="GT973" s="208"/>
      <c r="GU973" s="213">
        <v>968</v>
      </c>
    </row>
    <row r="974" spans="1:203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101.01752278903012</v>
      </c>
      <c r="AO974">
        <v>14.124509640230016</v>
      </c>
      <c r="AP974">
        <v>49.889931156635662</v>
      </c>
      <c r="AQ974">
        <v>107.37124319454117</v>
      </c>
      <c r="AR974">
        <v>12.87793239990134</v>
      </c>
      <c r="AS974">
        <v>165.0741867909517</v>
      </c>
      <c r="AT974" t="e">
        <v>#DIV/0!</v>
      </c>
      <c r="AU974" t="e">
        <v>#DIV/0!</v>
      </c>
      <c r="AV974"/>
      <c r="AW974"/>
      <c r="FY974" s="213">
        <v>969</v>
      </c>
      <c r="FZ974">
        <v>47.680040919941604</v>
      </c>
      <c r="GA974">
        <v>63.294172927231735</v>
      </c>
      <c r="GB974">
        <v>12.093402165515625</v>
      </c>
      <c r="GC974">
        <v>5.4461253266995486</v>
      </c>
      <c r="GD974">
        <v>2.181801509408948</v>
      </c>
      <c r="GE974">
        <v>2.5440632201817386</v>
      </c>
      <c r="GF974">
        <v>3.1283698809909968</v>
      </c>
      <c r="GG974">
        <v>6.0140001846943356</v>
      </c>
      <c r="GH974">
        <v>5.2819122492828701</v>
      </c>
      <c r="GI974">
        <v>12.807753498137281</v>
      </c>
      <c r="GJ974"/>
      <c r="GK974"/>
      <c r="GL974"/>
      <c r="GM974"/>
      <c r="GN974" s="208"/>
      <c r="GO974" s="208"/>
      <c r="GP974" s="208"/>
      <c r="GQ974" s="208"/>
      <c r="GR974" s="208"/>
      <c r="GS974" s="208"/>
      <c r="GT974" s="208"/>
      <c r="GU974" s="213">
        <v>969</v>
      </c>
    </row>
    <row r="975" spans="1:203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87.674544443845917</v>
      </c>
      <c r="AO975">
        <v>13.13573334125579</v>
      </c>
      <c r="AP975">
        <v>65.316899926996854</v>
      </c>
      <c r="AQ975">
        <v>104.59865790845981</v>
      </c>
      <c r="AR975">
        <v>12.335957442087699</v>
      </c>
      <c r="AS975">
        <v>156.00642701870811</v>
      </c>
      <c r="AT975" t="e">
        <v>#DIV/0!</v>
      </c>
      <c r="AU975" t="e">
        <v>#DIV/0!</v>
      </c>
      <c r="AV975"/>
      <c r="AW975"/>
      <c r="FY975" s="213">
        <v>970</v>
      </c>
      <c r="FZ975">
        <v>34.537425046899571</v>
      </c>
      <c r="GA975">
        <v>42.328958839656281</v>
      </c>
      <c r="GB975">
        <v>10.340752272973127</v>
      </c>
      <c r="GC975">
        <v>6.071857719932396</v>
      </c>
      <c r="GD975">
        <v>2.1384504088487954</v>
      </c>
      <c r="GE975">
        <v>2.7167383288467302</v>
      </c>
      <c r="GF975">
        <v>3.4961276434412856</v>
      </c>
      <c r="GG975">
        <v>2.6376072100553292</v>
      </c>
      <c r="GH975">
        <v>0.60080431445180338</v>
      </c>
      <c r="GI975">
        <v>9.6769907102139854</v>
      </c>
      <c r="GJ975"/>
      <c r="GK975"/>
      <c r="GL975"/>
      <c r="GM975"/>
      <c r="GN975" s="208"/>
      <c r="GO975" s="208"/>
      <c r="GP975" s="208"/>
      <c r="GQ975" s="208"/>
      <c r="GR975" s="208"/>
      <c r="GS975" s="208"/>
      <c r="GT975" s="208"/>
      <c r="GU975" s="213">
        <v>970</v>
      </c>
    </row>
    <row r="976" spans="1:203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114.78548312929652</v>
      </c>
      <c r="AO976">
        <v>22.054260481173984</v>
      </c>
      <c r="AP976">
        <v>177.27452896515979</v>
      </c>
      <c r="AQ976">
        <v>184.50057995052651</v>
      </c>
      <c r="AR976">
        <v>20.217232131932938</v>
      </c>
      <c r="AS976">
        <v>223.67133459322207</v>
      </c>
      <c r="AT976">
        <v>13.652869271587127</v>
      </c>
      <c r="AU976">
        <v>2.0526524396211521</v>
      </c>
      <c r="AV976"/>
      <c r="AW976"/>
      <c r="FY976" s="213">
        <v>971</v>
      </c>
      <c r="FZ976">
        <v>33.843216529730682</v>
      </c>
      <c r="GA976">
        <v>39.628992212706144</v>
      </c>
      <c r="GB976">
        <v>7.1141358235900896</v>
      </c>
      <c r="GC976">
        <v>6.0682841639732921</v>
      </c>
      <c r="GD976">
        <v>2.3832413998069488</v>
      </c>
      <c r="GE976">
        <v>1.463024152788349</v>
      </c>
      <c r="GF976">
        <v>1.9673126748109597</v>
      </c>
      <c r="GG976">
        <v>1.4007512855891828</v>
      </c>
      <c r="GH976">
        <v>1.2016086289036068</v>
      </c>
      <c r="GI976">
        <v>8.688019612164279</v>
      </c>
      <c r="GJ976"/>
      <c r="GK976"/>
      <c r="GL976"/>
      <c r="GM976"/>
      <c r="GN976" s="208"/>
      <c r="GO976" s="208"/>
      <c r="GP976" s="208"/>
      <c r="GQ976" s="208"/>
      <c r="GR976" s="208"/>
      <c r="GS976" s="208"/>
      <c r="GT976" s="208"/>
      <c r="GU976" s="213">
        <v>971</v>
      </c>
    </row>
    <row r="977" spans="1:203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81.497378376638011</v>
      </c>
      <c r="AO977">
        <v>16.789573870350068</v>
      </c>
      <c r="AP977">
        <v>152.84704399000941</v>
      </c>
      <c r="AQ977">
        <v>147.87533547041741</v>
      </c>
      <c r="AR977">
        <v>15.561588725993735</v>
      </c>
      <c r="AS977">
        <v>191.56381206520447</v>
      </c>
      <c r="AT977">
        <v>10.764432912333318</v>
      </c>
      <c r="AU977">
        <v>55.845081857251301</v>
      </c>
      <c r="AV977"/>
      <c r="AW977"/>
      <c r="FY977" s="213">
        <v>972</v>
      </c>
      <c r="FZ977">
        <v>21.54424061219229</v>
      </c>
      <c r="GA977">
        <v>30.843876073551968</v>
      </c>
      <c r="GB977">
        <v>8.5241360659330425</v>
      </c>
      <c r="GC977">
        <v>4.3996175248370992</v>
      </c>
      <c r="GD977">
        <v>2.2676805435000347</v>
      </c>
      <c r="GE977">
        <v>2.8497170851427915</v>
      </c>
      <c r="GF977">
        <v>6.9008306090850979</v>
      </c>
      <c r="GG977">
        <v>6.6784424507064424</v>
      </c>
      <c r="GH977">
        <v>2.1611736260621592</v>
      </c>
      <c r="GI977">
        <v>8.2605235523777498</v>
      </c>
      <c r="GJ977"/>
      <c r="GK977"/>
      <c r="GL977"/>
      <c r="GM977"/>
      <c r="GN977" s="208"/>
      <c r="GO977" s="208"/>
      <c r="GP977" s="208"/>
      <c r="GQ977" s="208"/>
      <c r="GR977" s="208"/>
      <c r="GS977" s="208"/>
      <c r="GT977" s="208"/>
      <c r="GU977" s="213">
        <v>972</v>
      </c>
    </row>
    <row r="978" spans="1:203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81.346251556178032</v>
      </c>
      <c r="AO978">
        <v>12.489748902413673</v>
      </c>
      <c r="AP978">
        <v>67.196794476739925</v>
      </c>
      <c r="AQ978">
        <v>97.430943410921344</v>
      </c>
      <c r="AR978">
        <v>11.524879538517824</v>
      </c>
      <c r="AS978">
        <v>154.31070101312523</v>
      </c>
      <c r="AT978">
        <v>7.49527025351746</v>
      </c>
      <c r="AU978">
        <v>10.430502904268279</v>
      </c>
      <c r="AV978"/>
      <c r="AW978"/>
      <c r="FY978" s="213">
        <v>973</v>
      </c>
      <c r="FZ978">
        <v>26.752787929949683</v>
      </c>
      <c r="GA978">
        <v>33.424862504872067</v>
      </c>
      <c r="GB978">
        <v>11.544449096999108</v>
      </c>
      <c r="GC978">
        <v>7.2567334871180726</v>
      </c>
      <c r="GD978">
        <v>2.1691750518624078</v>
      </c>
      <c r="GE978">
        <v>1.933455627503295</v>
      </c>
      <c r="GF978">
        <v>2.2483330286986378</v>
      </c>
      <c r="GG978">
        <v>2.7159377398436773</v>
      </c>
      <c r="GH978">
        <v>3.3627822549657664</v>
      </c>
      <c r="GI978">
        <v>9.061484395176663</v>
      </c>
      <c r="GJ978"/>
      <c r="GK978"/>
      <c r="GL978"/>
      <c r="GM978"/>
      <c r="GN978" s="208"/>
      <c r="GO978" s="208"/>
      <c r="GP978" s="208"/>
      <c r="GQ978" s="208"/>
      <c r="GR978" s="208"/>
      <c r="GS978" s="208"/>
      <c r="GT978" s="208"/>
      <c r="GU978" s="213">
        <v>973</v>
      </c>
    </row>
    <row r="979" spans="1:203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96.464495586769914</v>
      </c>
      <c r="AO979">
        <v>11.385891413032521</v>
      </c>
      <c r="AP979">
        <v>43.027060038389187</v>
      </c>
      <c r="AQ979">
        <v>79.73672576346371</v>
      </c>
      <c r="AR979">
        <v>10.578282851822669</v>
      </c>
      <c r="AS979">
        <v>168.27335824562121</v>
      </c>
      <c r="AT979">
        <v>6.7843528342898436</v>
      </c>
      <c r="AU979">
        <v>15.702273303616341</v>
      </c>
      <c r="AV979"/>
      <c r="AW979"/>
      <c r="FY979" s="213">
        <v>974</v>
      </c>
      <c r="FZ979">
        <v>53.416575164028679</v>
      </c>
      <c r="GA979">
        <v>66.671490689263791</v>
      </c>
      <c r="GB979">
        <v>6.9179874934666348</v>
      </c>
      <c r="GC979">
        <v>3.606300528096928</v>
      </c>
      <c r="GD979">
        <v>1.7100708026512794</v>
      </c>
      <c r="GE979">
        <v>1.588445150328285</v>
      </c>
      <c r="GF979">
        <v>4.1981754662115076</v>
      </c>
      <c r="GG979">
        <v>6.635524980428837</v>
      </c>
      <c r="GH979">
        <v>5.2819122492828701</v>
      </c>
      <c r="GI979">
        <v>12.236357244580043</v>
      </c>
      <c r="GJ979"/>
      <c r="GK979"/>
      <c r="GL979"/>
      <c r="GM979"/>
      <c r="GN979" s="208"/>
      <c r="GO979" s="208"/>
      <c r="GP979" s="208"/>
      <c r="GQ979" s="208"/>
      <c r="GR979" s="208"/>
      <c r="GS979" s="208"/>
      <c r="GT979" s="208"/>
      <c r="GU979" s="213">
        <v>974</v>
      </c>
    </row>
    <row r="980" spans="1:203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64.169608815748532</v>
      </c>
      <c r="AO980">
        <v>10.864401213951137</v>
      </c>
      <c r="AP980">
        <v>55.766138148677605</v>
      </c>
      <c r="AQ980">
        <v>84.729804915600909</v>
      </c>
      <c r="AR980">
        <v>10.117361082900382</v>
      </c>
      <c r="AS980">
        <v>131.32190293655563</v>
      </c>
      <c r="AT980">
        <v>6.5625968413420805</v>
      </c>
      <c r="AU980">
        <v>16.782438738457508</v>
      </c>
      <c r="AV980"/>
      <c r="AW980"/>
      <c r="FY980" s="213">
        <v>975</v>
      </c>
      <c r="FZ980">
        <v>15.302204117814963</v>
      </c>
      <c r="GA980">
        <v>23.990230005188828</v>
      </c>
      <c r="GB980">
        <v>8.7865942425701107</v>
      </c>
      <c r="GC980">
        <v>4.6229768465536889</v>
      </c>
      <c r="GD980">
        <v>2.2800101213973063</v>
      </c>
      <c r="GE980">
        <v>2.6734397701273904</v>
      </c>
      <c r="GF980">
        <v>3.68216523483229</v>
      </c>
      <c r="GG980">
        <v>5.0176818167055206</v>
      </c>
      <c r="GH980">
        <v>4.9231515665761219</v>
      </c>
      <c r="GI980">
        <v>7.251408629332297</v>
      </c>
      <c r="GJ980"/>
      <c r="GK980"/>
      <c r="GL980"/>
      <c r="GM980"/>
      <c r="GN980" s="208"/>
      <c r="GO980" s="208"/>
      <c r="GP980" s="208"/>
      <c r="GQ980" s="208"/>
      <c r="GR980" s="208"/>
      <c r="GS980" s="208"/>
      <c r="GT980" s="208"/>
      <c r="GU980" s="213">
        <v>975</v>
      </c>
    </row>
    <row r="981" spans="1:203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102.00114455191151</v>
      </c>
      <c r="AO981">
        <v>18.893649605734538</v>
      </c>
      <c r="AP981">
        <v>104.6657850678572</v>
      </c>
      <c r="AQ981">
        <v>151.46311535486367</v>
      </c>
      <c r="AR981">
        <v>17.387600261352762</v>
      </c>
      <c r="AS981">
        <v>210.54902441508031</v>
      </c>
      <c r="AT981" t="e">
        <v>#DIV/0!</v>
      </c>
      <c r="AU981" t="e">
        <v>#DIV/0!</v>
      </c>
      <c r="AV981"/>
      <c r="AW981"/>
      <c r="FY981" s="213">
        <v>976</v>
      </c>
      <c r="FZ981">
        <v>33.074230237356915</v>
      </c>
      <c r="GA981">
        <v>37.417913836327976</v>
      </c>
      <c r="GB981">
        <v>7.8095485817164816</v>
      </c>
      <c r="GC981">
        <v>5.866095801729788</v>
      </c>
      <c r="GD981">
        <v>2.2336615577847323</v>
      </c>
      <c r="GE981">
        <v>2.4418268930264415</v>
      </c>
      <c r="GF981">
        <v>3.4392998523098322</v>
      </c>
      <c r="GG981">
        <v>4.8567606675759487</v>
      </c>
      <c r="GH981">
        <v>4.3223472521243185</v>
      </c>
      <c r="GI981">
        <v>9.4214008522526065</v>
      </c>
      <c r="GJ981"/>
      <c r="GK981"/>
      <c r="GL981"/>
      <c r="GM981"/>
      <c r="GN981" s="208"/>
      <c r="GO981" s="208"/>
      <c r="GP981" s="208"/>
      <c r="GQ981" s="208"/>
      <c r="GR981" s="208"/>
      <c r="GS981" s="208"/>
      <c r="GT981" s="208"/>
      <c r="GU981" s="213">
        <v>976</v>
      </c>
    </row>
    <row r="982" spans="1:203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81.443181184940812</v>
      </c>
      <c r="AO982">
        <v>11.069485837201007</v>
      </c>
      <c r="AP982">
        <v>61.522344132604445</v>
      </c>
      <c r="AQ982">
        <v>82.713387250723557</v>
      </c>
      <c r="AR982">
        <v>10.171156421921481</v>
      </c>
      <c r="AS982">
        <v>140.01594109640817</v>
      </c>
      <c r="AT982" t="e">
        <v>#DIV/0!</v>
      </c>
      <c r="AU982" t="e">
        <v>#DIV/0!</v>
      </c>
      <c r="AV982"/>
      <c r="AW982"/>
      <c r="FY982" s="213">
        <v>977</v>
      </c>
      <c r="FZ982">
        <v>44.419429768930037</v>
      </c>
      <c r="GA982">
        <v>54.034529510494686</v>
      </c>
      <c r="GB982">
        <v>8.7727431156113411</v>
      </c>
      <c r="GC982">
        <v>5.6237084358714977</v>
      </c>
      <c r="GD982">
        <v>2.1319940612430477</v>
      </c>
      <c r="GE982">
        <v>1.9373107260997058</v>
      </c>
      <c r="GF982">
        <v>6.1340060922200212</v>
      </c>
      <c r="GG982">
        <v>6.3837653276341335</v>
      </c>
      <c r="GH982">
        <v>1.5603693116103559</v>
      </c>
      <c r="GI982">
        <v>11.396710269213473</v>
      </c>
      <c r="GJ982"/>
      <c r="GK982"/>
      <c r="GL982"/>
      <c r="GM982"/>
      <c r="GN982" s="208"/>
      <c r="GO982" s="208"/>
      <c r="GP982" s="208"/>
      <c r="GQ982" s="208"/>
      <c r="GR982" s="208"/>
      <c r="GS982" s="208"/>
      <c r="GT982" s="208"/>
      <c r="GU982" s="213">
        <v>977</v>
      </c>
    </row>
    <row r="983" spans="1:203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49.822502334267043</v>
      </c>
      <c r="AO983">
        <v>7.5803670529089402</v>
      </c>
      <c r="AP983">
        <v>35.354303981987201</v>
      </c>
      <c r="AQ983">
        <v>46.038623233355423</v>
      </c>
      <c r="AR983">
        <v>6.9909378532674946</v>
      </c>
      <c r="AS983">
        <v>89.801217703507234</v>
      </c>
      <c r="AT983" t="e">
        <v>#DIV/0!</v>
      </c>
      <c r="AU983" t="e">
        <v>#DIV/0!</v>
      </c>
      <c r="AV983"/>
      <c r="AW983"/>
      <c r="FY983" s="213">
        <v>978</v>
      </c>
      <c r="FZ983">
        <v>33.804723224293909</v>
      </c>
      <c r="GA983">
        <v>43.114507353411028</v>
      </c>
      <c r="GB983">
        <v>8.8842522437589775</v>
      </c>
      <c r="GC983">
        <v>5.2312902985188536</v>
      </c>
      <c r="GD983">
        <v>1.9162403417932461</v>
      </c>
      <c r="GE983">
        <v>1.8188171590909419</v>
      </c>
      <c r="GF983">
        <v>2.4078956932249702</v>
      </c>
      <c r="GG983">
        <v>4.2142643636574677</v>
      </c>
      <c r="GH983">
        <v>3.7215429376725151</v>
      </c>
      <c r="GI983">
        <v>9.3744260239767936</v>
      </c>
      <c r="GJ983"/>
      <c r="GK983"/>
      <c r="GL983"/>
      <c r="GM983"/>
      <c r="GN983" s="208"/>
      <c r="GO983" s="208"/>
      <c r="GP983" s="208"/>
      <c r="GQ983" s="208"/>
      <c r="GR983" s="208"/>
      <c r="GS983" s="208"/>
      <c r="GT983" s="208"/>
      <c r="GU983" s="213">
        <v>978</v>
      </c>
    </row>
    <row r="984" spans="1:203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75.884991261461863</v>
      </c>
      <c r="AO984">
        <v>11.073633835844214</v>
      </c>
      <c r="AP984">
        <v>80.092791867607659</v>
      </c>
      <c r="AQ984">
        <v>86.070538037182303</v>
      </c>
      <c r="AR984">
        <v>10.250662435515473</v>
      </c>
      <c r="AS984">
        <v>125.53183673163367</v>
      </c>
      <c r="AT984">
        <v>6.958507702387954</v>
      </c>
      <c r="AU984">
        <v>9.9738347465573973E-2</v>
      </c>
      <c r="AV984"/>
      <c r="AW984"/>
      <c r="FY984" s="213">
        <v>979</v>
      </c>
      <c r="FZ984">
        <v>19.894882098330182</v>
      </c>
      <c r="GA984">
        <v>28.299283844361007</v>
      </c>
      <c r="GB984">
        <v>10.035097112431341</v>
      </c>
      <c r="GC984">
        <v>6.023440005495388</v>
      </c>
      <c r="GD984">
        <v>2.2626160104653779</v>
      </c>
      <c r="GE984">
        <v>1.4137413697913233</v>
      </c>
      <c r="GF984">
        <v>2.064454147473493</v>
      </c>
      <c r="GG984">
        <v>3.7169957591555356</v>
      </c>
      <c r="GH984">
        <v>3.1207386232207117</v>
      </c>
      <c r="GI984">
        <v>7.6609569511326523</v>
      </c>
      <c r="GJ984"/>
      <c r="GK984"/>
      <c r="GL984"/>
      <c r="GM984"/>
      <c r="GN984" s="208"/>
      <c r="GO984" s="208"/>
      <c r="GP984" s="208"/>
      <c r="GQ984" s="208"/>
      <c r="GR984" s="208"/>
      <c r="GS984" s="208"/>
      <c r="GT984" s="208"/>
      <c r="GU984" s="213">
        <v>979</v>
      </c>
    </row>
    <row r="985" spans="1:203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106.89074479371766</v>
      </c>
      <c r="AO985">
        <v>19.305925521690721</v>
      </c>
      <c r="AP985">
        <v>110.00660491799131</v>
      </c>
      <c r="AQ985">
        <v>160.47164188208467</v>
      </c>
      <c r="AR985">
        <v>17.789264193540124</v>
      </c>
      <c r="AS985">
        <v>212.25450021305801</v>
      </c>
      <c r="AT985">
        <v>11.79867557774064</v>
      </c>
      <c r="AU985">
        <v>33.838916139224011</v>
      </c>
      <c r="AV985"/>
      <c r="AW985"/>
      <c r="FY985" s="213">
        <v>980</v>
      </c>
      <c r="FZ985">
        <v>8.7197087761605712</v>
      </c>
      <c r="GA985">
        <v>21.588299685764071</v>
      </c>
      <c r="GB985">
        <v>12.64264159429184</v>
      </c>
      <c r="GC985">
        <v>4.6897265537396331</v>
      </c>
      <c r="GD985">
        <v>2.0984914635752623</v>
      </c>
      <c r="GE985">
        <v>2.9790701177208634</v>
      </c>
      <c r="GF985">
        <v>3.2463428835856236</v>
      </c>
      <c r="GG985">
        <v>2.4185181486847607</v>
      </c>
      <c r="GH985">
        <v>1.2016086289036068</v>
      </c>
      <c r="GI985">
        <v>6.5825819768284868</v>
      </c>
      <c r="GJ985"/>
      <c r="GK985"/>
      <c r="GL985"/>
      <c r="GM985"/>
      <c r="GN985" s="208"/>
      <c r="GO985" s="208"/>
      <c r="GP985" s="208"/>
      <c r="GQ985" s="208"/>
      <c r="GR985" s="208"/>
      <c r="GS985" s="208"/>
      <c r="GT985" s="208"/>
      <c r="GU985" s="213">
        <v>980</v>
      </c>
    </row>
    <row r="986" spans="1:203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91.815733284914316</v>
      </c>
      <c r="AO986">
        <v>14.505772645997769</v>
      </c>
      <c r="AP986">
        <v>83.851446209681399</v>
      </c>
      <c r="AQ986">
        <v>114.54571249531931</v>
      </c>
      <c r="AR986">
        <v>13.368229841968404</v>
      </c>
      <c r="AS986">
        <v>171.8479166846825</v>
      </c>
      <c r="AT986" t="e">
        <v>#DIV/0!</v>
      </c>
      <c r="AU986" t="e">
        <v>#DIV/0!</v>
      </c>
      <c r="AV986"/>
      <c r="AW986"/>
      <c r="FY986" s="213">
        <v>981</v>
      </c>
      <c r="FZ986">
        <v>47.68118548166705</v>
      </c>
      <c r="GA986">
        <v>58.10107972216813</v>
      </c>
      <c r="GB986">
        <v>7.3698348571047614</v>
      </c>
      <c r="GC986">
        <v>4.492214713419556</v>
      </c>
      <c r="GD986">
        <v>2.2865978792552908</v>
      </c>
      <c r="GE986">
        <v>2.626981596949189</v>
      </c>
      <c r="GF986">
        <v>2.7726718308575147</v>
      </c>
      <c r="GG986">
        <v>2.1054052949469182</v>
      </c>
      <c r="GH986">
        <v>1.2016086289036068</v>
      </c>
      <c r="GI986">
        <v>10.924828812650054</v>
      </c>
      <c r="GJ986"/>
      <c r="GK986"/>
      <c r="GL986"/>
      <c r="GM986"/>
      <c r="GN986" s="208"/>
      <c r="GO986" s="208"/>
      <c r="GP986" s="208"/>
      <c r="GQ986" s="208"/>
      <c r="GR986" s="208"/>
      <c r="GS986" s="208"/>
      <c r="GT986" s="208"/>
      <c r="GU986" s="213">
        <v>981</v>
      </c>
    </row>
    <row r="987" spans="1:203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85.261961771888252</v>
      </c>
      <c r="AO987">
        <v>13.001404581586922</v>
      </c>
      <c r="AP987">
        <v>86.997083437692623</v>
      </c>
      <c r="AQ987">
        <v>103.75858648406353</v>
      </c>
      <c r="AR987">
        <v>11.992131813300336</v>
      </c>
      <c r="AS987">
        <v>161.52129319598268</v>
      </c>
      <c r="AT987" t="e">
        <v>#DIV/0!</v>
      </c>
      <c r="AU987" t="e">
        <v>#DIV/0!</v>
      </c>
      <c r="AV987"/>
      <c r="AW987"/>
      <c r="FY987" s="213">
        <v>982</v>
      </c>
      <c r="FZ987">
        <v>21.554085570975541</v>
      </c>
      <c r="GA987">
        <v>24.957007571285025</v>
      </c>
      <c r="GB987">
        <v>9.823336068128139</v>
      </c>
      <c r="GC987">
        <v>6.9080365608939784</v>
      </c>
      <c r="GD987">
        <v>2.1390859624945726</v>
      </c>
      <c r="GE987">
        <v>1.8971326208296349</v>
      </c>
      <c r="GF987">
        <v>3.0311550103959819</v>
      </c>
      <c r="GG987">
        <v>2.5038512361125935</v>
      </c>
      <c r="GH987">
        <v>1.2016086289036068</v>
      </c>
      <c r="GI987">
        <v>7.6124522001082919</v>
      </c>
      <c r="GJ987"/>
      <c r="GK987"/>
      <c r="GL987"/>
      <c r="GM987"/>
      <c r="GN987" s="208"/>
      <c r="GO987" s="208"/>
      <c r="GP987" s="208"/>
      <c r="GQ987" s="208"/>
      <c r="GR987" s="208"/>
      <c r="GS987" s="208"/>
      <c r="GT987" s="208"/>
      <c r="GU987" s="213">
        <v>982</v>
      </c>
    </row>
    <row r="988" spans="1:203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77.915907593880462</v>
      </c>
      <c r="AO988">
        <v>12.433539017407398</v>
      </c>
      <c r="AP988">
        <v>53.020543880956815</v>
      </c>
      <c r="AQ988">
        <v>94.430238143388664</v>
      </c>
      <c r="AR988">
        <v>11.424813034140641</v>
      </c>
      <c r="AS988">
        <v>148.78590323106343</v>
      </c>
      <c r="AT988">
        <v>7.529071892186125</v>
      </c>
      <c r="AU988">
        <v>8.2572189963154621</v>
      </c>
      <c r="AV988"/>
      <c r="AW988"/>
      <c r="FY988" s="213">
        <v>983</v>
      </c>
      <c r="FZ988">
        <v>32.772917158503788</v>
      </c>
      <c r="GA988">
        <v>38.170231042044364</v>
      </c>
      <c r="GB988">
        <v>7.2674088592518959</v>
      </c>
      <c r="GC988">
        <v>5.4045722622504542</v>
      </c>
      <c r="GD988">
        <v>2.3859128133054872</v>
      </c>
      <c r="GE988">
        <v>2.805639492708301</v>
      </c>
      <c r="GF988">
        <v>2.064454147473493</v>
      </c>
      <c r="GG988">
        <v>2.5550165907141054</v>
      </c>
      <c r="GH988">
        <v>2.1611736260621592</v>
      </c>
      <c r="GI988">
        <v>8.8581365002554762</v>
      </c>
      <c r="GJ988"/>
      <c r="GK988"/>
      <c r="GL988"/>
      <c r="GM988"/>
      <c r="GN988" s="208"/>
      <c r="GO988" s="208"/>
      <c r="GP988" s="208"/>
      <c r="GQ988" s="208"/>
      <c r="GR988" s="208"/>
      <c r="GS988" s="208"/>
      <c r="GT988" s="208"/>
      <c r="GU988" s="213">
        <v>983</v>
      </c>
    </row>
    <row r="989" spans="1:203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91.132390762081428</v>
      </c>
      <c r="AO989">
        <v>13.482177276803785</v>
      </c>
      <c r="AP989">
        <v>62.653766724755414</v>
      </c>
      <c r="AQ989">
        <v>100.47000111698938</v>
      </c>
      <c r="AR989">
        <v>12.553102689980697</v>
      </c>
      <c r="AS989">
        <v>169.33121401045457</v>
      </c>
      <c r="AT989">
        <v>8.0950585069086411</v>
      </c>
      <c r="AU989">
        <v>14.614197407994478</v>
      </c>
      <c r="AV989"/>
      <c r="AW989"/>
      <c r="FY989" s="213">
        <v>984</v>
      </c>
      <c r="FZ989">
        <v>27.444608213705273</v>
      </c>
      <c r="GA989">
        <v>27.723474332994865</v>
      </c>
      <c r="GB989">
        <v>2.991451307358278</v>
      </c>
      <c r="GC989">
        <v>3.3685550758667464</v>
      </c>
      <c r="GD989">
        <v>2.2176811251123416</v>
      </c>
      <c r="GE989">
        <v>1.8543090488600351</v>
      </c>
      <c r="GF989">
        <v>4.3280351242849946</v>
      </c>
      <c r="GG989">
        <v>4.7968658684531356</v>
      </c>
      <c r="GH989">
        <v>1.5603693116103559</v>
      </c>
      <c r="GI989">
        <v>7.1689744159734898</v>
      </c>
      <c r="GJ989"/>
      <c r="GK989"/>
      <c r="GL989"/>
      <c r="GM989"/>
      <c r="GN989" s="208"/>
      <c r="GO989" s="208"/>
      <c r="GP989" s="208"/>
      <c r="GQ989" s="208"/>
      <c r="GR989" s="208"/>
      <c r="GS989" s="208"/>
      <c r="GT989" s="208"/>
      <c r="GU989" s="213">
        <v>984</v>
      </c>
    </row>
    <row r="990" spans="1:203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94.390838164399256</v>
      </c>
      <c r="AO990">
        <v>18.424525212199367</v>
      </c>
      <c r="AP990">
        <v>117.41810365517631</v>
      </c>
      <c r="AQ990">
        <v>162.26283976833884</v>
      </c>
      <c r="AR990">
        <v>16.996830770496604</v>
      </c>
      <c r="AS990">
        <v>186.3641783398744</v>
      </c>
      <c r="AT990">
        <v>11.249742606774896</v>
      </c>
      <c r="AU990">
        <v>39.347602751373721</v>
      </c>
      <c r="AV990"/>
      <c r="AW990"/>
      <c r="FY990" s="213">
        <v>985</v>
      </c>
      <c r="FZ990">
        <v>49.060646206889082</v>
      </c>
      <c r="GA990">
        <v>56.435509064635298</v>
      </c>
      <c r="GB990">
        <v>6.2857424485290601</v>
      </c>
      <c r="GC990">
        <v>5.3301332574572724</v>
      </c>
      <c r="GD990">
        <v>2.611703142990577</v>
      </c>
      <c r="GE990">
        <v>2.2982669767611252</v>
      </c>
      <c r="GF990">
        <v>6.1773747965013266</v>
      </c>
      <c r="GG990">
        <v>6.3071616847276015</v>
      </c>
      <c r="GH990">
        <v>2.7619779405139626</v>
      </c>
      <c r="GI990">
        <v>11.918831554221649</v>
      </c>
      <c r="GJ990"/>
      <c r="GK990"/>
      <c r="GL990"/>
      <c r="GM990"/>
      <c r="GN990" s="208"/>
      <c r="GO990" s="208"/>
      <c r="GP990" s="208"/>
      <c r="GQ990" s="208"/>
      <c r="GR990" s="208"/>
      <c r="GS990" s="208"/>
      <c r="GT990" s="208"/>
      <c r="GU990" s="213">
        <v>985</v>
      </c>
    </row>
    <row r="991" spans="1:203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84.825394606707988</v>
      </c>
      <c r="AO991">
        <v>10.7865486441776</v>
      </c>
      <c r="AP991">
        <v>47.720408267593228</v>
      </c>
      <c r="AQ991">
        <v>78.529862351098515</v>
      </c>
      <c r="AR991">
        <v>10.040852402949909</v>
      </c>
      <c r="AS991">
        <v>144.45467216115043</v>
      </c>
      <c r="AT991">
        <v>6.6096184375235927</v>
      </c>
      <c r="AU991">
        <v>14.971130554400068</v>
      </c>
      <c r="AV991"/>
      <c r="AW991"/>
      <c r="FY991" s="213">
        <v>986</v>
      </c>
      <c r="FZ991">
        <v>30.338786649184907</v>
      </c>
      <c r="GA991">
        <v>43.109875965932105</v>
      </c>
      <c r="GB991">
        <v>14.035004604182117</v>
      </c>
      <c r="GC991">
        <v>6.377391135278712</v>
      </c>
      <c r="GD991">
        <v>2.2090294412325799</v>
      </c>
      <c r="GE991">
        <v>3.2004598115591767</v>
      </c>
      <c r="GF991">
        <v>4.3066271344714444</v>
      </c>
      <c r="GG991">
        <v>5.3976920272056601</v>
      </c>
      <c r="GH991">
        <v>3.1207386232207117</v>
      </c>
      <c r="GI991">
        <v>10.65119715549609</v>
      </c>
      <c r="GJ991"/>
      <c r="GK991"/>
      <c r="GL991"/>
      <c r="GM991"/>
      <c r="GN991" s="208"/>
      <c r="GO991" s="208"/>
      <c r="GP991" s="208"/>
      <c r="GQ991" s="208"/>
      <c r="GR991" s="208"/>
      <c r="GS991" s="208"/>
      <c r="GT991" s="208"/>
      <c r="GU991" s="213">
        <v>986</v>
      </c>
    </row>
    <row r="992" spans="1:203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87.075181891206242</v>
      </c>
      <c r="AO992">
        <v>13.993417974139916</v>
      </c>
      <c r="AP992">
        <v>228.2094545289705</v>
      </c>
      <c r="AQ992">
        <v>110.88308553220504</v>
      </c>
      <c r="AR992">
        <v>12.962468958450337</v>
      </c>
      <c r="AS992">
        <v>169.75355457441609</v>
      </c>
      <c r="AT992" t="e">
        <v>#DIV/0!</v>
      </c>
      <c r="AU992" t="e">
        <v>#DIV/0!</v>
      </c>
      <c r="AV992"/>
      <c r="AW992"/>
      <c r="FY992" s="213">
        <v>987</v>
      </c>
      <c r="FZ992">
        <v>20.30681656870539</v>
      </c>
      <c r="GA992">
        <v>25.781256729595519</v>
      </c>
      <c r="GB992">
        <v>6.7884543313427912</v>
      </c>
      <c r="GC992">
        <v>4.2181366894092118</v>
      </c>
      <c r="GD992">
        <v>2.0118891017656453</v>
      </c>
      <c r="GE992">
        <v>2.019138219884534</v>
      </c>
      <c r="GF992">
        <v>2.0991244320719948</v>
      </c>
      <c r="GG992">
        <v>2.8331961338454694</v>
      </c>
      <c r="GH992">
        <v>1.5603693116103559</v>
      </c>
      <c r="GI992">
        <v>6.5102955661573656</v>
      </c>
      <c r="GJ992"/>
      <c r="GK992"/>
      <c r="GL992"/>
      <c r="GM992"/>
      <c r="GN992" s="208"/>
      <c r="GO992" s="208"/>
      <c r="GP992" s="208"/>
      <c r="GQ992" s="208"/>
      <c r="GR992" s="208"/>
      <c r="GS992" s="208"/>
      <c r="GT992" s="208"/>
      <c r="GU992" s="213">
        <v>987</v>
      </c>
    </row>
    <row r="993" spans="1:203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100.02266097051846</v>
      </c>
      <c r="AO993">
        <v>17.248292248193053</v>
      </c>
      <c r="AP993">
        <v>132.4637584906161</v>
      </c>
      <c r="AQ993">
        <v>142.39456661892828</v>
      </c>
      <c r="AR993">
        <v>15.772883032548124</v>
      </c>
      <c r="AS993">
        <v>159.40033432714708</v>
      </c>
      <c r="AT993" t="e">
        <v>#DIV/0!</v>
      </c>
      <c r="AU993" t="e">
        <v>#DIV/0!</v>
      </c>
      <c r="AV993"/>
      <c r="AW993"/>
      <c r="FY993" s="213">
        <v>988</v>
      </c>
      <c r="FZ993">
        <v>36.201064678941719</v>
      </c>
      <c r="GA993">
        <v>46.902474585786003</v>
      </c>
      <c r="GB993">
        <v>8.8034455326342247</v>
      </c>
      <c r="GC993">
        <v>4.7284915033917931</v>
      </c>
      <c r="GD993">
        <v>2.0045261120699789</v>
      </c>
      <c r="GE993">
        <v>1.6124348974434777</v>
      </c>
      <c r="GF993">
        <v>1.4502729178015454</v>
      </c>
      <c r="GG993">
        <v>3.4300324993997364</v>
      </c>
      <c r="GH993">
        <v>3.1207386232207117</v>
      </c>
      <c r="GI993">
        <v>9.4946434186716271</v>
      </c>
      <c r="GJ993"/>
      <c r="GK993"/>
      <c r="GL993"/>
      <c r="GM993"/>
      <c r="GN993" s="208"/>
      <c r="GO993" s="208"/>
      <c r="GP993" s="208"/>
      <c r="GQ993" s="208"/>
      <c r="GR993" s="208"/>
      <c r="GS993" s="208"/>
      <c r="GT993" s="208"/>
      <c r="GU993" s="213">
        <v>988</v>
      </c>
    </row>
    <row r="994" spans="1:203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90.8763165415739</v>
      </c>
      <c r="AO994">
        <v>14.177958597505446</v>
      </c>
      <c r="AP994">
        <v>86.148689902049512</v>
      </c>
      <c r="AQ994">
        <v>114.4879596393987</v>
      </c>
      <c r="AR994">
        <v>12.993168141147722</v>
      </c>
      <c r="AS994">
        <v>161.45982780018463</v>
      </c>
      <c r="AT994">
        <v>8.5370703680782203</v>
      </c>
      <c r="AU994">
        <v>15.633340030771732</v>
      </c>
      <c r="AV994"/>
      <c r="AW994"/>
      <c r="FY994" s="213">
        <v>989</v>
      </c>
      <c r="FZ994">
        <v>11.053510713219479</v>
      </c>
      <c r="GA994">
        <v>12.412001381486519</v>
      </c>
      <c r="GB994">
        <v>5.7471832905923987</v>
      </c>
      <c r="GC994">
        <v>4.1695195118602166</v>
      </c>
      <c r="GD994">
        <v>2.1725706303425332</v>
      </c>
      <c r="GE994">
        <v>3.2355931205626103</v>
      </c>
      <c r="GF994">
        <v>1.642850218709494</v>
      </c>
      <c r="GG994">
        <v>5.5087521809299851</v>
      </c>
      <c r="GH994">
        <v>7.4430858753450302</v>
      </c>
      <c r="GI994">
        <v>5.8520478314378996</v>
      </c>
      <c r="GJ994"/>
      <c r="GK994"/>
      <c r="GL994"/>
      <c r="GM994"/>
      <c r="GN994" s="208"/>
      <c r="GO994" s="208"/>
      <c r="GP994" s="208"/>
      <c r="GQ994" s="208"/>
      <c r="GR994" s="208"/>
      <c r="GS994" s="208"/>
      <c r="GT994" s="208"/>
      <c r="GU994" s="213">
        <v>989</v>
      </c>
    </row>
    <row r="995" spans="1:203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71.566414984797333</v>
      </c>
      <c r="AO995">
        <v>11.557916715938379</v>
      </c>
      <c r="AP995">
        <v>48.645568861417971</v>
      </c>
      <c r="AQ995">
        <v>84.492205921857021</v>
      </c>
      <c r="AR995">
        <v>10.624024079085896</v>
      </c>
      <c r="AS995">
        <v>140.32826625182776</v>
      </c>
      <c r="AT995" t="e">
        <v>#DIV/0!</v>
      </c>
      <c r="AU995" t="e">
        <v>#DIV/0!</v>
      </c>
      <c r="AV995"/>
      <c r="AW995"/>
      <c r="FY995" s="213">
        <v>990</v>
      </c>
      <c r="FZ995">
        <v>57.019825557450432</v>
      </c>
      <c r="GA995">
        <v>67.736520558549785</v>
      </c>
      <c r="GB995">
        <v>8.3612318545022202</v>
      </c>
      <c r="GC995">
        <v>5.8668998063302666</v>
      </c>
      <c r="GD995">
        <v>2.9385138513714586</v>
      </c>
      <c r="GE995">
        <v>2.9907645913248317</v>
      </c>
      <c r="GF995">
        <v>3.8725838255743796</v>
      </c>
      <c r="GG995">
        <v>2.8751320020914335</v>
      </c>
      <c r="GH995">
        <v>0</v>
      </c>
      <c r="GI995">
        <v>12.939160762519744</v>
      </c>
      <c r="GJ995"/>
      <c r="GK995"/>
      <c r="GL995"/>
      <c r="GM995"/>
      <c r="GN995" s="208"/>
      <c r="GO995" s="208"/>
      <c r="GP995" s="208"/>
      <c r="GQ995" s="208"/>
      <c r="GR995" s="208"/>
      <c r="GS995" s="208"/>
      <c r="GT995" s="208"/>
      <c r="GU995" s="213">
        <v>990</v>
      </c>
    </row>
    <row r="996" spans="1:203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62.955174890469003</v>
      </c>
      <c r="AO996">
        <v>9.961490923092974</v>
      </c>
      <c r="AP996">
        <v>56.822806167793196</v>
      </c>
      <c r="AQ996">
        <v>66.166989829254732</v>
      </c>
      <c r="AR996">
        <v>9.2595124914896534</v>
      </c>
      <c r="AS996">
        <v>103.59854039258646</v>
      </c>
      <c r="AT996" t="e">
        <v>#DIV/0!</v>
      </c>
      <c r="AU996" t="e">
        <v>#DIV/0!</v>
      </c>
      <c r="AV996"/>
      <c r="AW996"/>
      <c r="FY996" s="213">
        <v>991</v>
      </c>
      <c r="FZ996">
        <v>31.737626770671973</v>
      </c>
      <c r="GA996">
        <v>35.627168070477559</v>
      </c>
      <c r="GB996">
        <v>6.1272871066809103</v>
      </c>
      <c r="GC996">
        <v>5.4286312364830929</v>
      </c>
      <c r="GD996">
        <v>2.8571483273836327</v>
      </c>
      <c r="GE996">
        <v>2.6903795647800512</v>
      </c>
      <c r="GF996">
        <v>1.849339672216332</v>
      </c>
      <c r="GG996">
        <v>2.5627304540306133</v>
      </c>
      <c r="GH996">
        <v>2.7619779405139626</v>
      </c>
      <c r="GI996">
        <v>8.6532764471246075</v>
      </c>
      <c r="GJ996"/>
      <c r="GK996"/>
      <c r="GL996"/>
      <c r="GM996"/>
      <c r="GN996" s="208"/>
      <c r="GO996" s="208"/>
      <c r="GP996" s="208"/>
      <c r="GQ996" s="208"/>
      <c r="GR996" s="208"/>
      <c r="GS996" s="208"/>
      <c r="GT996" s="208"/>
      <c r="GU996" s="213">
        <v>991</v>
      </c>
    </row>
    <row r="997" spans="1:203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100.64127135049421</v>
      </c>
      <c r="AO997">
        <v>16.381465223490132</v>
      </c>
      <c r="AP997">
        <v>120.97572279600053</v>
      </c>
      <c r="AQ997">
        <v>139.56240881792209</v>
      </c>
      <c r="AR997">
        <v>15.144371337160532</v>
      </c>
      <c r="AS997">
        <v>179.78827616098715</v>
      </c>
      <c r="AT997" t="e">
        <v>#DIV/0!</v>
      </c>
      <c r="AU997" t="e">
        <v>#DIV/0!</v>
      </c>
      <c r="AV997"/>
      <c r="AW997"/>
      <c r="FY997" s="213">
        <v>992</v>
      </c>
      <c r="FZ997">
        <v>30.003437515494024</v>
      </c>
      <c r="GA997">
        <v>33.071770217365618</v>
      </c>
      <c r="GB997">
        <v>9.0391254254451585</v>
      </c>
      <c r="GC997">
        <v>7.0037716725421513</v>
      </c>
      <c r="GD997">
        <v>2.9837263916533368</v>
      </c>
      <c r="GE997">
        <v>3.002328943783402</v>
      </c>
      <c r="GF997">
        <v>3.1644395401228387</v>
      </c>
      <c r="GG997">
        <v>3.575757665803148</v>
      </c>
      <c r="GH997">
        <v>2.7619779405139626</v>
      </c>
      <c r="GI997">
        <v>9.4819669257247643</v>
      </c>
      <c r="GJ997"/>
      <c r="GK997"/>
      <c r="GL997"/>
      <c r="GM997"/>
      <c r="GN997" s="208"/>
      <c r="GO997" s="208"/>
      <c r="GP997" s="208"/>
      <c r="GQ997" s="208"/>
      <c r="GR997" s="208"/>
      <c r="GS997" s="208"/>
      <c r="GT997" s="208"/>
      <c r="GU997" s="213">
        <v>992</v>
      </c>
    </row>
    <row r="998" spans="1:203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75.938918229758755</v>
      </c>
      <c r="AO998">
        <v>11.376421222297861</v>
      </c>
      <c r="AP998">
        <v>96.127442543777761</v>
      </c>
      <c r="AQ998">
        <v>81.627751430127375</v>
      </c>
      <c r="AR998">
        <v>10.519393154874006</v>
      </c>
      <c r="AS998">
        <v>120.39037029503167</v>
      </c>
      <c r="AT998" t="e">
        <v>#DIV/0!</v>
      </c>
      <c r="AU998" t="e">
        <v>#DIV/0!</v>
      </c>
      <c r="AV998"/>
      <c r="AW998"/>
      <c r="FY998" s="213">
        <v>993</v>
      </c>
      <c r="FZ998">
        <v>32.282097414372508</v>
      </c>
      <c r="GA998">
        <v>38.140277558207352</v>
      </c>
      <c r="GB998">
        <v>10.927603517311265</v>
      </c>
      <c r="GC998">
        <v>6.6651674076954208</v>
      </c>
      <c r="GD998">
        <v>2.0743413822048309</v>
      </c>
      <c r="GE998">
        <v>1.9837491977368122</v>
      </c>
      <c r="GF998">
        <v>4.419153532198691</v>
      </c>
      <c r="GG998">
        <v>4.7107829229005178</v>
      </c>
      <c r="GH998">
        <v>2.1611736260621592</v>
      </c>
      <c r="GI998">
        <v>9.8642142903812875</v>
      </c>
      <c r="GJ998"/>
      <c r="GK998"/>
      <c r="GL998"/>
      <c r="GM998"/>
      <c r="GN998" s="208"/>
      <c r="GO998" s="208"/>
      <c r="GP998" s="208"/>
      <c r="GQ998" s="208"/>
      <c r="GR998" s="208"/>
      <c r="GS998" s="208"/>
      <c r="GT998" s="208"/>
      <c r="GU998" s="213">
        <v>993</v>
      </c>
    </row>
    <row r="999" spans="1:203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76.134128343718857</v>
      </c>
      <c r="AO999">
        <v>13.395707113777172</v>
      </c>
      <c r="AP999">
        <v>98.522511420964619</v>
      </c>
      <c r="AQ999">
        <v>104.44546249256953</v>
      </c>
      <c r="AR999">
        <v>12.295190658910084</v>
      </c>
      <c r="AS999">
        <v>150.69973810279458</v>
      </c>
      <c r="AT999">
        <v>8.2397073445257139</v>
      </c>
      <c r="AU999">
        <v>14.10542442033327</v>
      </c>
      <c r="AV999"/>
      <c r="AW999"/>
      <c r="FY999" s="213">
        <v>994</v>
      </c>
      <c r="FZ999">
        <v>17.606741873316288</v>
      </c>
      <c r="GA999">
        <v>21.245170436373371</v>
      </c>
      <c r="GB999">
        <v>7.8930281075052484</v>
      </c>
      <c r="GC999">
        <v>6.1525174227768007</v>
      </c>
      <c r="GD999">
        <v>2.7416603477543466</v>
      </c>
      <c r="GE999">
        <v>2.7359764938220641</v>
      </c>
      <c r="GF999">
        <v>3.2249348937720743</v>
      </c>
      <c r="GG999">
        <v>2.3469198801812801</v>
      </c>
      <c r="GH999">
        <v>0</v>
      </c>
      <c r="GI999">
        <v>6.7271866399501938</v>
      </c>
      <c r="GJ999"/>
      <c r="GK999"/>
      <c r="GL999"/>
      <c r="GM999"/>
      <c r="GN999" s="208"/>
      <c r="GO999" s="208"/>
      <c r="GP999" s="208"/>
      <c r="GQ999" s="208"/>
      <c r="GR999" s="208"/>
      <c r="GS999" s="208"/>
      <c r="GT999" s="208"/>
      <c r="GU999" s="213">
        <v>994</v>
      </c>
    </row>
    <row r="1000" spans="1:203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79.939221147860849</v>
      </c>
      <c r="AO1000">
        <v>10.411307328447506</v>
      </c>
      <c r="AP1000">
        <v>63.259165604184936</v>
      </c>
      <c r="AQ1000">
        <v>83.454323824219514</v>
      </c>
      <c r="AR1000">
        <v>9.8373058536601707</v>
      </c>
      <c r="AS1000">
        <v>146.03043792688078</v>
      </c>
      <c r="AT1000" t="e">
        <v>#DIV/0!</v>
      </c>
      <c r="AU1000" t="e">
        <v>#DIV/0!</v>
      </c>
      <c r="AV1000"/>
      <c r="AW1000"/>
      <c r="FY1000" s="213">
        <v>995</v>
      </c>
      <c r="FZ1000">
        <v>14.46534008202436</v>
      </c>
      <c r="GA1000">
        <v>19.419989475183272</v>
      </c>
      <c r="GB1000">
        <v>8.8153146977169712</v>
      </c>
      <c r="GC1000">
        <v>5.2970559286678673</v>
      </c>
      <c r="GD1000">
        <v>1.3741619895314896</v>
      </c>
      <c r="GE1000">
        <v>1.2401170867321141</v>
      </c>
      <c r="GF1000">
        <v>2.8884861232862828</v>
      </c>
      <c r="GG1000">
        <v>3.2044768998243085</v>
      </c>
      <c r="GH1000">
        <v>3.3627822549657664</v>
      </c>
      <c r="GI1000">
        <v>6.1928015411974995</v>
      </c>
      <c r="GJ1000"/>
      <c r="GK1000"/>
      <c r="GL1000"/>
      <c r="GM1000"/>
      <c r="GN1000" s="208"/>
      <c r="GO1000" s="208"/>
      <c r="GP1000" s="208"/>
      <c r="GQ1000" s="208"/>
      <c r="GR1000" s="208"/>
      <c r="GS1000" s="208"/>
      <c r="GT1000" s="208"/>
      <c r="GU1000" s="213">
        <v>995</v>
      </c>
    </row>
    <row r="1001" spans="1:203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121.38343361290876</v>
      </c>
      <c r="AO1001">
        <v>17.799634603474448</v>
      </c>
      <c r="AP1001">
        <v>114.48480456609991</v>
      </c>
      <c r="AQ1001">
        <v>149.18734707322693</v>
      </c>
      <c r="AR1001">
        <v>16.457825940279207</v>
      </c>
      <c r="AS1001">
        <v>197.5662497238927</v>
      </c>
      <c r="AT1001">
        <v>11.535753979321937</v>
      </c>
      <c r="AU1001">
        <v>20.772859063479256</v>
      </c>
      <c r="AV1001"/>
      <c r="AW1001"/>
      <c r="FY1001" s="213">
        <v>996</v>
      </c>
      <c r="FZ1001">
        <v>23.980000699554914</v>
      </c>
      <c r="GA1001">
        <v>26.868578947678298</v>
      </c>
      <c r="GB1001">
        <v>8.4741441706925151</v>
      </c>
      <c r="GC1001">
        <v>5.3763953716399886</v>
      </c>
      <c r="GD1001">
        <v>1.6094392056813278</v>
      </c>
      <c r="GE1001">
        <v>1.7776835539010003</v>
      </c>
      <c r="GF1001">
        <v>3.0711624220432832</v>
      </c>
      <c r="GG1001">
        <v>2.6046663222765769</v>
      </c>
      <c r="GH1001">
        <v>0.60080431445180338</v>
      </c>
      <c r="GI1001">
        <v>7.2436808647598445</v>
      </c>
      <c r="GJ1001"/>
      <c r="GK1001"/>
      <c r="GL1001"/>
      <c r="GM1001"/>
      <c r="GN1001" s="208"/>
      <c r="GO1001" s="208"/>
      <c r="GP1001" s="208"/>
      <c r="GQ1001" s="208"/>
      <c r="GR1001" s="208"/>
      <c r="GS1001" s="208"/>
      <c r="GT1001" s="208"/>
      <c r="GU1001" s="213">
        <v>996</v>
      </c>
    </row>
    <row r="1002" spans="1:203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82.780642280490156</v>
      </c>
      <c r="AO1002">
        <v>16.182120879637345</v>
      </c>
      <c r="AP1002">
        <v>92.58485004887774</v>
      </c>
      <c r="AQ1002">
        <v>122.74680254776351</v>
      </c>
      <c r="AR1002">
        <v>14.84532692098519</v>
      </c>
      <c r="AS1002">
        <v>177.49308005642223</v>
      </c>
      <c r="AT1002" t="e">
        <v>#DIV/0!</v>
      </c>
      <c r="AU1002" t="e">
        <v>#DIV/0!</v>
      </c>
      <c r="AV1002"/>
      <c r="AW1002"/>
      <c r="FY1002" s="213">
        <v>997</v>
      </c>
      <c r="FZ1002">
        <v>36.177448646284986</v>
      </c>
      <c r="GA1002">
        <v>45.035595012865414</v>
      </c>
      <c r="GB1002">
        <v>8.8015315954778082</v>
      </c>
      <c r="GC1002">
        <v>5.3244088017524573</v>
      </c>
      <c r="GD1002">
        <v>1.81658697163476</v>
      </c>
      <c r="GE1002">
        <v>1.8359508801799831</v>
      </c>
      <c r="GF1002">
        <v>3.1469693028247487</v>
      </c>
      <c r="GG1002">
        <v>3.7706352839162651</v>
      </c>
      <c r="GH1002">
        <v>1.5603693116103559</v>
      </c>
      <c r="GI1002">
        <v>9.4401796926317623</v>
      </c>
      <c r="GJ1002"/>
      <c r="GK1002"/>
      <c r="GL1002"/>
      <c r="GM1002"/>
      <c r="GN1002" s="208"/>
      <c r="GO1002" s="208"/>
      <c r="GP1002" s="208"/>
      <c r="GQ1002" s="208"/>
      <c r="GR1002" s="208"/>
      <c r="GS1002" s="208"/>
      <c r="GT1002" s="208"/>
      <c r="GU1002" s="213">
        <v>997</v>
      </c>
    </row>
    <row r="1003" spans="1:203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88.392138919744156</v>
      </c>
      <c r="AO1003">
        <v>9.6918841638593811</v>
      </c>
      <c r="AP1003">
        <v>43.68186562436366</v>
      </c>
      <c r="AQ1003">
        <v>74.128677084388286</v>
      </c>
      <c r="AR1003">
        <v>8.9407910801657806</v>
      </c>
      <c r="AS1003">
        <v>127.51154755737213</v>
      </c>
      <c r="AT1003" t="e">
        <v>#DIV/0!</v>
      </c>
      <c r="AU1003" t="e">
        <v>#DIV/0!</v>
      </c>
      <c r="AV1003"/>
      <c r="AW1003"/>
      <c r="FY1003" s="213">
        <v>998</v>
      </c>
      <c r="FZ1003">
        <v>22.415949537204426</v>
      </c>
      <c r="GA1003">
        <v>28.951288913948172</v>
      </c>
      <c r="GB1003">
        <v>6.1842855504144456</v>
      </c>
      <c r="GC1003">
        <v>3.9854416507396926</v>
      </c>
      <c r="GD1003">
        <v>2.1192488822997495</v>
      </c>
      <c r="GE1003">
        <v>2.3020062226451703</v>
      </c>
      <c r="GF1003">
        <v>1.7590441789545213</v>
      </c>
      <c r="GG1003">
        <v>3.5395770300850202</v>
      </c>
      <c r="GH1003">
        <v>3.1207386232207117</v>
      </c>
      <c r="GI1003">
        <v>6.9053052407546485</v>
      </c>
      <c r="GJ1003"/>
      <c r="GK1003"/>
      <c r="GL1003"/>
      <c r="GM1003"/>
      <c r="GN1003" s="208"/>
      <c r="GO1003" s="208"/>
      <c r="GP1003" s="208"/>
      <c r="GQ1003" s="208"/>
      <c r="GR1003" s="208"/>
      <c r="GS1003" s="208"/>
      <c r="GT1003" s="208"/>
      <c r="GU1003" s="213">
        <v>998</v>
      </c>
    </row>
    <row r="1004" spans="1:203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87.711572665464644</v>
      </c>
      <c r="AO1004">
        <v>14.284042460570998</v>
      </c>
      <c r="AP1004">
        <v>73.484027180395458</v>
      </c>
      <c r="AQ1004">
        <v>117.74812476936081</v>
      </c>
      <c r="AR1004">
        <v>13.159678368737636</v>
      </c>
      <c r="AS1004">
        <v>168.62557360763847</v>
      </c>
      <c r="AT1004" t="e">
        <v>#DIV/0!</v>
      </c>
      <c r="AU1004" t="e">
        <v>#DIV/0!</v>
      </c>
      <c r="AV1004"/>
      <c r="AW1004"/>
      <c r="FY1004" s="213">
        <v>999</v>
      </c>
      <c r="FZ1004">
        <v>42.540743378848894</v>
      </c>
      <c r="GA1004">
        <v>48.885105727733944</v>
      </c>
      <c r="GB1004">
        <v>3.4765349900873166</v>
      </c>
      <c r="GC1004">
        <v>3.0337823724366086</v>
      </c>
      <c r="GD1004">
        <v>2.1347207782927091</v>
      </c>
      <c r="GE1004">
        <v>2.6480010734871975</v>
      </c>
      <c r="GF1004">
        <v>2.3889166035749585</v>
      </c>
      <c r="GG1004">
        <v>4.0959903884508826</v>
      </c>
      <c r="GH1004">
        <v>3.7215429376725151</v>
      </c>
      <c r="GI1004">
        <v>9.4633168421085152</v>
      </c>
      <c r="GJ1004"/>
      <c r="GK1004"/>
      <c r="GL1004"/>
      <c r="GM1004"/>
      <c r="GN1004" s="208"/>
      <c r="GO1004" s="208"/>
      <c r="GP1004" s="208"/>
      <c r="GQ1004" s="208"/>
      <c r="GR1004" s="208"/>
      <c r="GS1004" s="208"/>
      <c r="GT1004" s="208"/>
      <c r="GU1004" s="213">
        <v>999</v>
      </c>
    </row>
    <row r="1005" spans="1:203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74.784475279575432</v>
      </c>
      <c r="AO1005">
        <v>8.6777140641897663</v>
      </c>
      <c r="AP1005">
        <v>44.500738203174478</v>
      </c>
      <c r="AQ1005">
        <v>59.237114754486171</v>
      </c>
      <c r="AR1005">
        <v>8.0769733449857384</v>
      </c>
      <c r="AS1005">
        <v>120.33993662664612</v>
      </c>
      <c r="AT1005">
        <v>5.2976371116664867</v>
      </c>
      <c r="AU1005">
        <v>23.352326914675476</v>
      </c>
      <c r="AV1005"/>
      <c r="AW1005"/>
      <c r="FY1005" s="213">
        <v>1000</v>
      </c>
      <c r="FZ1005">
        <v>10.890279464752624</v>
      </c>
      <c r="GA1005">
        <v>10.842471418410737</v>
      </c>
      <c r="GB1005">
        <v>4.7516496191102675</v>
      </c>
      <c r="GC1005">
        <v>3.852218258702425</v>
      </c>
      <c r="GD1005">
        <v>2.0781071498289978</v>
      </c>
      <c r="GE1005">
        <v>2.373253939576581</v>
      </c>
      <c r="GF1005">
        <v>0.43366364108080679</v>
      </c>
      <c r="GG1005">
        <v>3.7564031851391464</v>
      </c>
      <c r="GH1005">
        <v>5.8827165637346734</v>
      </c>
      <c r="GI1005">
        <v>5.0561519397960382</v>
      </c>
      <c r="GJ1005"/>
      <c r="GK1005"/>
      <c r="GL1005"/>
      <c r="GM1005"/>
      <c r="GN1005" s="208"/>
      <c r="GO1005" s="208"/>
      <c r="GP1005" s="208"/>
      <c r="GQ1005" s="208"/>
      <c r="GR1005" s="208"/>
      <c r="GS1005" s="208"/>
      <c r="GT1005" s="208"/>
      <c r="GU1005" s="213">
        <v>1000</v>
      </c>
    </row>
    <row r="1006" spans="1:203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115.53595063025209</v>
      </c>
      <c r="AO1006">
        <v>19.517863742838436</v>
      </c>
      <c r="AP1006">
        <v>148.50114271427407</v>
      </c>
      <c r="AQ1006">
        <v>164.60063280971451</v>
      </c>
      <c r="AR1006">
        <v>17.930857946496104</v>
      </c>
      <c r="AS1006">
        <v>218.83345948580651</v>
      </c>
      <c r="AT1006" t="e">
        <v>#DIV/0!</v>
      </c>
      <c r="AU1006" t="e">
        <v>#DIV/0!</v>
      </c>
      <c r="AV1006"/>
      <c r="AW1006"/>
    </row>
    <row r="1007" spans="1:203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85.277717576494211</v>
      </c>
      <c r="AO1007">
        <v>12.81388084141258</v>
      </c>
      <c r="AP1007">
        <v>72.251578973334276</v>
      </c>
      <c r="AQ1007">
        <v>100.29556559036273</v>
      </c>
      <c r="AR1007">
        <v>11.914273038241735</v>
      </c>
      <c r="AS1007">
        <v>146.70604165297993</v>
      </c>
      <c r="AT1007">
        <v>8.327287715649037</v>
      </c>
      <c r="AU1007">
        <v>22.019305596853574</v>
      </c>
      <c r="AV1007"/>
      <c r="AW1007"/>
    </row>
    <row r="1008" spans="1:203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92.993115047374687</v>
      </c>
      <c r="AO1008">
        <v>14.068736984281895</v>
      </c>
      <c r="AP1008">
        <v>87.385539772848304</v>
      </c>
      <c r="AQ1008">
        <v>104.08830223844841</v>
      </c>
      <c r="AR1008">
        <v>13.107890567181295</v>
      </c>
      <c r="AS1008">
        <v>168.45108937141757</v>
      </c>
      <c r="AT1008">
        <v>8.6456607520159334</v>
      </c>
      <c r="AU1008">
        <v>27.96607150566232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83.642398606952355</v>
      </c>
      <c r="AO1009">
        <v>14.706294114167386</v>
      </c>
      <c r="AP1009">
        <v>71.180096423058814</v>
      </c>
      <c r="AQ1009">
        <v>113.22856084907086</v>
      </c>
      <c r="AR1009">
        <v>13.667250002220561</v>
      </c>
      <c r="AS1009">
        <v>160.36023703968991</v>
      </c>
      <c r="AT1009">
        <v>8.864216202977186</v>
      </c>
      <c r="AU1009">
        <v>24.693128600122037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88.472994264018581</v>
      </c>
      <c r="AO1010">
        <v>10.077010104440125</v>
      </c>
      <c r="AP1010">
        <v>46.111379795371676</v>
      </c>
      <c r="AQ1010">
        <v>70.674136095451672</v>
      </c>
      <c r="AR1010">
        <v>9.1851279889875972</v>
      </c>
      <c r="AS1010">
        <v>132.67801964348652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67.227342971523996</v>
      </c>
      <c r="AO1011">
        <v>9.125437950391591</v>
      </c>
      <c r="AP1011">
        <v>56.408924520368636</v>
      </c>
      <c r="AQ1011">
        <v>66.260526079129932</v>
      </c>
      <c r="AR1011">
        <v>8.5396905059552086</v>
      </c>
      <c r="AS1011">
        <v>122.65948776775122</v>
      </c>
      <c r="AT1011">
        <v>5.959098700194212</v>
      </c>
      <c r="AU1011">
        <v>-47.843551691088088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89.530958441068748</v>
      </c>
      <c r="AO1012">
        <v>10.676235737816315</v>
      </c>
      <c r="AP1012">
        <v>73.571270648986697</v>
      </c>
      <c r="AQ1012">
        <v>81.606555872679536</v>
      </c>
      <c r="AR1012">
        <v>9.9464007072763234</v>
      </c>
      <c r="AS1012">
        <v>146.49348845127389</v>
      </c>
      <c r="AT1012" t="e">
        <v>#DIV/0!</v>
      </c>
      <c r="AU1012" t="e">
        <v>#DIV/0!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100.47346645517916</v>
      </c>
      <c r="AO1013">
        <v>14.293553548063382</v>
      </c>
      <c r="AP1013">
        <v>114.6349664906005</v>
      </c>
      <c r="AQ1013">
        <v>116.90967549917853</v>
      </c>
      <c r="AR1013">
        <v>13.03612762067721</v>
      </c>
      <c r="AS1013">
        <v>173.01506276565959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76.054542195230567</v>
      </c>
      <c r="AO1014">
        <v>10.400305537712015</v>
      </c>
      <c r="AP1014">
        <v>55.387570418684192</v>
      </c>
      <c r="AQ1014">
        <v>81.282885830266565</v>
      </c>
      <c r="AR1014">
        <v>9.5078607296117443</v>
      </c>
      <c r="AS1014">
        <v>118.1746792266795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77.82110522848987</v>
      </c>
      <c r="AO1015">
        <v>14.227300630647752</v>
      </c>
      <c r="AP1015">
        <v>101.89741158485181</v>
      </c>
      <c r="AQ1015">
        <v>122.38865509269351</v>
      </c>
      <c r="AR1015">
        <v>13.115073464377479</v>
      </c>
      <c r="AS1015">
        <v>141.76059221715232</v>
      </c>
      <c r="AT1015">
        <v>8.9369486649322898</v>
      </c>
      <c r="AU1015">
        <v>27.326338553830976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58.409513871861733</v>
      </c>
      <c r="AO1016">
        <v>7.3644102636692796</v>
      </c>
      <c r="AP1016">
        <v>38.608470243192798</v>
      </c>
      <c r="AQ1016">
        <v>49.9169151801323</v>
      </c>
      <c r="AR1016">
        <v>6.9822086924845133</v>
      </c>
      <c r="AS1016">
        <v>102.67081079690058</v>
      </c>
      <c r="AT1016">
        <v>4.4486684966619974</v>
      </c>
      <c r="AU1016">
        <v>32.754306691825469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71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U6:FV6"/>
    <mergeCell ref="FS6:FT6"/>
    <mergeCell ref="FQ6:FR6"/>
    <mergeCell ref="FR4:FU4"/>
    <mergeCell ref="CW86:CX86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FU8:FV8"/>
    <mergeCell ref="FS8:FT8"/>
    <mergeCell ref="FQ8:FR8"/>
    <mergeCell ref="FU7:FV7"/>
    <mergeCell ref="FS7:FT7"/>
    <mergeCell ref="FQ7:FR7"/>
    <mergeCell ref="FU10:FV10"/>
    <mergeCell ref="FS10:FT10"/>
    <mergeCell ref="FQ10:FR10"/>
    <mergeCell ref="FU9:FV9"/>
    <mergeCell ref="FS9:FT9"/>
    <mergeCell ref="FQ9:FR9"/>
    <mergeCell ref="FU12:FV12"/>
    <mergeCell ref="FS12:FT12"/>
    <mergeCell ref="FQ12:FR12"/>
    <mergeCell ref="FU11:FV11"/>
    <mergeCell ref="FS11:FT11"/>
    <mergeCell ref="FQ11:FR11"/>
    <mergeCell ref="FU14:FV14"/>
    <mergeCell ref="FS14:FT14"/>
    <mergeCell ref="FQ14:FR14"/>
    <mergeCell ref="FU13:FV13"/>
    <mergeCell ref="FS13:FT13"/>
    <mergeCell ref="FQ13:FR13"/>
    <mergeCell ref="FU16:FV16"/>
    <mergeCell ref="FS16:FT16"/>
    <mergeCell ref="FQ16:FR16"/>
    <mergeCell ref="FU15:FV15"/>
    <mergeCell ref="FS15:FT15"/>
    <mergeCell ref="FQ15:FR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2011-01-12T23:47:11Z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