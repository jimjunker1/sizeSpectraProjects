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775" yWindow="75" windowWidth="14205" windowHeight="805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2" i="1"/>
  <c r="DH212"/>
  <c r="DI212"/>
  <c r="DJ212"/>
  <c r="DK212"/>
  <c r="DL212"/>
  <c r="DM212"/>
  <c r="DN212"/>
  <c r="DO212"/>
  <c r="DP212"/>
  <c r="DQ212"/>
  <c r="DG213"/>
  <c r="DH213"/>
  <c r="DI213"/>
  <c r="DJ213"/>
  <c r="DK213"/>
  <c r="DL213"/>
  <c r="DM213"/>
  <c r="DN213"/>
  <c r="DO213"/>
  <c r="DP213"/>
  <c r="DQ213"/>
  <c r="DG214"/>
  <c r="DH214"/>
  <c r="DI214"/>
  <c r="DJ214"/>
  <c r="DK214"/>
  <c r="DL214"/>
  <c r="DM214"/>
  <c r="DN214"/>
  <c r="DO214"/>
  <c r="DP214"/>
  <c r="DQ214"/>
  <c r="DG215"/>
  <c r="DH215"/>
  <c r="DI215"/>
  <c r="DJ215"/>
  <c r="DK215"/>
  <c r="DL215"/>
  <c r="DM215"/>
  <c r="DN215"/>
  <c r="DO215"/>
  <c r="DP215"/>
  <c r="DQ215"/>
  <c r="DG216"/>
  <c r="DH216"/>
  <c r="DI216"/>
  <c r="DJ216"/>
  <c r="DK216"/>
  <c r="DL216"/>
  <c r="DM216"/>
  <c r="DN216"/>
  <c r="DO216"/>
  <c r="DP216"/>
  <c r="DQ216"/>
  <c r="DG217"/>
  <c r="DH217"/>
  <c r="DI217"/>
  <c r="DJ217"/>
  <c r="DK217"/>
  <c r="DL217"/>
  <c r="DM217"/>
  <c r="DN217"/>
  <c r="DO217"/>
  <c r="DP217"/>
  <c r="DQ217"/>
  <c r="DG218"/>
  <c r="DH218"/>
  <c r="DI218"/>
  <c r="DJ218"/>
  <c r="DK218"/>
  <c r="DL218"/>
  <c r="DM218"/>
  <c r="DN218"/>
  <c r="DO218"/>
  <c r="DP218"/>
  <c r="DQ218"/>
  <c r="DG219"/>
  <c r="DH219"/>
  <c r="DI219"/>
  <c r="DJ219"/>
  <c r="DK219"/>
  <c r="DL219"/>
  <c r="DM219"/>
  <c r="DN219"/>
  <c r="DO219"/>
  <c r="DP219"/>
  <c r="DQ219"/>
  <c r="DG220"/>
  <c r="DH220"/>
  <c r="DI220"/>
  <c r="DJ220"/>
  <c r="DK220"/>
  <c r="DL220"/>
  <c r="DM220"/>
  <c r="DN220"/>
  <c r="DO220"/>
  <c r="DP220"/>
  <c r="DQ220"/>
  <c r="DG221"/>
  <c r="DH221"/>
  <c r="DI221"/>
  <c r="DJ221"/>
  <c r="DK221"/>
  <c r="DL221"/>
  <c r="DM221"/>
  <c r="DN221"/>
  <c r="DO221"/>
  <c r="DP221"/>
  <c r="DQ221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7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4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6"/>
  <c r="CX184"/>
  <c r="CZ184"/>
  <c r="DF184"/>
  <c r="DL184"/>
  <c r="DT184"/>
  <c r="EA184"/>
  <c r="EI184"/>
  <c r="DD184"/>
  <c r="BA184"/>
  <c r="CM184"/>
  <c r="CL184"/>
  <c r="CK184"/>
  <c r="AY184"/>
  <c r="B182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1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3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78"/>
  <c r="CX179"/>
  <c r="CZ179"/>
  <c r="DP179"/>
  <c r="DR179"/>
  <c r="EF179"/>
  <c r="EH179"/>
  <c r="DD179"/>
  <c r="DC179" s="1"/>
  <c r="BA179"/>
  <c r="CM179"/>
  <c r="CL179"/>
  <c r="CK179"/>
  <c r="AY179"/>
  <c r="B179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0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6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3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68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4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1"/>
  <c r="CZ172"/>
  <c r="DD172"/>
  <c r="DE172" s="1"/>
  <c r="DC172"/>
  <c r="BA172"/>
  <c r="CM172" s="1"/>
  <c r="CL172"/>
  <c r="CK172"/>
  <c r="AY172"/>
  <c r="B170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5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7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2"/>
  <c r="CX168"/>
  <c r="CZ168"/>
  <c r="DZ168" s="1"/>
  <c r="DJ168"/>
  <c r="DP168"/>
  <c r="EF168"/>
  <c r="DD168"/>
  <c r="DC168" s="1"/>
  <c r="DE168"/>
  <c r="CL168"/>
  <c r="CK168"/>
  <c r="AY168"/>
  <c r="B169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3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7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1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5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59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0"/>
  <c r="CX161"/>
  <c r="CZ161"/>
  <c r="DP161"/>
  <c r="DV161"/>
  <c r="DD161"/>
  <c r="BA161"/>
  <c r="CM161"/>
  <c r="CL161"/>
  <c r="CK161"/>
  <c r="AY161"/>
  <c r="B166"/>
  <c r="CW160"/>
  <c r="CX160"/>
  <c r="CZ160"/>
  <c r="EB160"/>
  <c r="ED160"/>
  <c r="DD160"/>
  <c r="DC160" s="1"/>
  <c r="DE160"/>
  <c r="BA160"/>
  <c r="CM160"/>
  <c r="CL160"/>
  <c r="CK160"/>
  <c r="AY160"/>
  <c r="B164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2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8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3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49"/>
  <c r="CZ155"/>
  <c r="DK155" s="1"/>
  <c r="DG155"/>
  <c r="DO155"/>
  <c r="DW155"/>
  <c r="EE155"/>
  <c r="DD155"/>
  <c r="DE155"/>
  <c r="DC155"/>
  <c r="BA155"/>
  <c r="CM155" s="1"/>
  <c r="CL155"/>
  <c r="CK155"/>
  <c r="AY155"/>
  <c r="B148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0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4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1"/>
  <c r="DK151"/>
  <c r="DG151"/>
  <c r="DO151"/>
  <c r="DW151"/>
  <c r="EE151"/>
  <c r="DD151"/>
  <c r="DE151"/>
  <c r="DE231" s="1"/>
  <c r="DC151"/>
  <c r="B156"/>
  <c r="DG150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DE150"/>
  <c r="B152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7"/>
  <c r="CZ148"/>
  <c r="DF148"/>
  <c r="DJ148"/>
  <c r="DN148"/>
  <c r="DR148"/>
  <c r="DV148"/>
  <c r="DZ148"/>
  <c r="ED148"/>
  <c r="EH148"/>
  <c r="DD148"/>
  <c r="CL148"/>
  <c r="CK148"/>
  <c r="AY148"/>
  <c r="B155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1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39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8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2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6"/>
  <c r="CX142"/>
  <c r="CZ142"/>
  <c r="DI142"/>
  <c r="DM142"/>
  <c r="EW142" s="1"/>
  <c r="DN142"/>
  <c r="DO142"/>
  <c r="DP142"/>
  <c r="EZ142" s="1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3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4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5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0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7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4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0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2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28"/>
  <c r="CZ133"/>
  <c r="DG133" s="1"/>
  <c r="DD133"/>
  <c r="DE133"/>
  <c r="DC133"/>
  <c r="BA133"/>
  <c r="CM133" s="1"/>
  <c r="CL133"/>
  <c r="CK133"/>
  <c r="AY133"/>
  <c r="B131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29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6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7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5"/>
  <c r="CW128"/>
  <c r="CX128"/>
  <c r="CZ128"/>
  <c r="DH128"/>
  <c r="DL128"/>
  <c r="DP128"/>
  <c r="DT128"/>
  <c r="DX128"/>
  <c r="EB128"/>
  <c r="EF128"/>
  <c r="EJ128"/>
  <c r="DD128"/>
  <c r="CL128"/>
  <c r="CK128"/>
  <c r="AY128"/>
  <c r="B133"/>
  <c r="CX127"/>
  <c r="CZ127"/>
  <c r="DD127"/>
  <c r="DE127"/>
  <c r="DC127"/>
  <c r="BA127"/>
  <c r="CM127" s="1"/>
  <c r="CL127"/>
  <c r="CK127"/>
  <c r="AY127"/>
  <c r="B120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4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3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19"/>
  <c r="CX123"/>
  <c r="CZ123"/>
  <c r="DD123"/>
  <c r="DE123"/>
  <c r="DC123"/>
  <c r="BA123"/>
  <c r="CM123" s="1"/>
  <c r="CL123"/>
  <c r="CK123"/>
  <c r="AY123"/>
  <c r="B126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5"/>
  <c r="CW121"/>
  <c r="CX121"/>
  <c r="CZ121"/>
  <c r="DD121"/>
  <c r="BA121"/>
  <c r="CM121"/>
  <c r="CL121"/>
  <c r="CK121"/>
  <c r="AY121"/>
  <c r="B121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7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2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18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1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5"/>
  <c r="CZ115"/>
  <c r="DI115"/>
  <c r="DM115"/>
  <c r="EW115" s="1"/>
  <c r="DQ115"/>
  <c r="DU115"/>
  <c r="DY115"/>
  <c r="EC115"/>
  <c r="EG115"/>
  <c r="DD115"/>
  <c r="DE115"/>
  <c r="DC115"/>
  <c r="BA115"/>
  <c r="CM115" s="1"/>
  <c r="CL115"/>
  <c r="CK115"/>
  <c r="AY115"/>
  <c r="B112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7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4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0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3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08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09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6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2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7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98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4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1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5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3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6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0"/>
  <c r="CZ98"/>
  <c r="DI98"/>
  <c r="DM98"/>
  <c r="DQ98"/>
  <c r="DU98"/>
  <c r="DY98"/>
  <c r="EC98"/>
  <c r="EG98"/>
  <c r="DD98"/>
  <c r="DE98" s="1"/>
  <c r="DC98"/>
  <c r="CL98"/>
  <c r="CK98"/>
  <c r="AY98"/>
  <c r="B99"/>
  <c r="CZ97"/>
  <c r="DG97" s="1"/>
  <c r="DD97"/>
  <c r="DE97" s="1"/>
  <c r="DC97"/>
  <c r="BA97"/>
  <c r="CM97" s="1"/>
  <c r="CL97"/>
  <c r="CK97"/>
  <c r="AY97"/>
  <c r="B93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1"/>
  <c r="CZ95"/>
  <c r="DD95"/>
  <c r="DE95" s="1"/>
  <c r="DC95"/>
  <c r="BA95"/>
  <c r="CM95" s="1"/>
  <c r="CL95"/>
  <c r="CK95"/>
  <c r="AY95"/>
  <c r="B94"/>
  <c r="CZ94"/>
  <c r="DF94"/>
  <c r="DG94"/>
  <c r="DH94"/>
  <c r="DI94"/>
  <c r="ES94" s="1"/>
  <c r="DJ94"/>
  <c r="DK94"/>
  <c r="DL94"/>
  <c r="DM94"/>
  <c r="EW94" s="1"/>
  <c r="DN94"/>
  <c r="DO94"/>
  <c r="DP94"/>
  <c r="EZ94" s="1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88"/>
  <c r="CZ93"/>
  <c r="DD93"/>
  <c r="DE93" s="1"/>
  <c r="DC93"/>
  <c r="BA93"/>
  <c r="CM93" s="1"/>
  <c r="CL93"/>
  <c r="CK93"/>
  <c r="AY93"/>
  <c r="B95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7"/>
  <c r="CZ91"/>
  <c r="DG91" s="1"/>
  <c r="DD91"/>
  <c r="DE91" s="1"/>
  <c r="DC91"/>
  <c r="BA91"/>
  <c r="CM91" s="1"/>
  <c r="CL91"/>
  <c r="CK91"/>
  <c r="AY91"/>
  <c r="B92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0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89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6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M96" l="1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S379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80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S378"/>
  <c r="N375"/>
  <c r="N378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AF377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AH424" l="1"/>
  <c r="AH442" s="1"/>
  <c r="AA426"/>
  <c r="AA444" s="1"/>
  <c r="AH426"/>
  <c r="AH444" s="1"/>
  <c r="V430"/>
  <c r="V448" s="1"/>
  <c r="K424"/>
  <c r="K442" s="1"/>
  <c r="AC423"/>
  <c r="AC441" s="1"/>
  <c r="AA423"/>
  <c r="AA441" s="1"/>
  <c r="L423"/>
  <c r="L441" s="1"/>
  <c r="R427"/>
  <c r="R445" s="1"/>
  <c r="AD431"/>
  <c r="AD449" s="1"/>
  <c r="R423"/>
  <c r="R441" s="1"/>
  <c r="Q432"/>
  <c r="Q450" s="1"/>
  <c r="X432"/>
  <c r="X450" s="1"/>
  <c r="I424"/>
  <c r="I442" s="1"/>
  <c r="G425"/>
  <c r="G443" s="1"/>
  <c r="U426"/>
  <c r="U444" s="1"/>
  <c r="AF427"/>
  <c r="AF445" s="1"/>
  <c r="AK428"/>
  <c r="AK446" s="1"/>
  <c r="AB429"/>
  <c r="AB447" s="1"/>
  <c r="AE428"/>
  <c r="AE446" s="1"/>
  <c r="W429"/>
  <c r="W447" s="1"/>
  <c r="M429"/>
  <c r="M447" s="1"/>
  <c r="P429"/>
  <c r="P447" s="1"/>
  <c r="S430"/>
  <c r="S448" s="1"/>
  <c r="AJ431"/>
  <c r="AJ449" s="1"/>
  <c r="T431"/>
  <c r="T449" s="1"/>
  <c r="G431"/>
  <c r="G449" s="1"/>
  <c r="AB428"/>
  <c r="AB446" s="1"/>
  <c r="AF424"/>
  <c r="AF442" s="1"/>
  <c r="Y425"/>
  <c r="Y443" s="1"/>
  <c r="AD427"/>
  <c r="AD445" s="1"/>
  <c r="H424"/>
  <c r="H442" s="1"/>
  <c r="O425"/>
  <c r="O443" s="1"/>
  <c r="X430"/>
  <c r="X448" s="1"/>
  <c r="N424"/>
  <c r="N442" s="1"/>
  <c r="AD424"/>
  <c r="AD442" s="1"/>
  <c r="W426"/>
  <c r="W444" s="1"/>
  <c r="AD426"/>
  <c r="AD444" s="1"/>
  <c r="AH428"/>
  <c r="AH446" s="1"/>
  <c r="N425"/>
  <c r="N443" s="1"/>
  <c r="AD425"/>
  <c r="AD443" s="1"/>
  <c r="AH430"/>
  <c r="AH448" s="1"/>
  <c r="H423"/>
  <c r="H441" s="1"/>
  <c r="AH431"/>
  <c r="AH449" s="1"/>
  <c r="N429"/>
  <c r="N447" s="1"/>
  <c r="S61"/>
  <c r="S432"/>
  <c r="S450" s="1"/>
  <c r="AD423"/>
  <c r="AD441" s="1"/>
  <c r="AC432"/>
  <c r="AC450" s="1"/>
  <c r="AA432"/>
  <c r="AA450" s="1"/>
  <c r="AC424"/>
  <c r="AC442" s="1"/>
  <c r="AE425"/>
  <c r="AE443" s="1"/>
  <c r="AG426"/>
  <c r="AG444" s="1"/>
  <c r="Q427"/>
  <c r="Q445" s="1"/>
  <c r="S427"/>
  <c r="S445" s="1"/>
  <c r="AI427"/>
  <c r="AI445" s="1"/>
  <c r="AC428"/>
  <c r="AC446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K431"/>
  <c r="K449" s="1"/>
  <c r="AI431"/>
  <c r="AI449" s="1"/>
  <c r="L424"/>
  <c r="L442" s="1"/>
  <c r="K425"/>
  <c r="K443" s="1"/>
  <c r="AK425"/>
  <c r="AK443" s="1"/>
  <c r="AJ427"/>
  <c r="AJ445" s="1"/>
  <c r="AF425"/>
  <c r="AF443" s="1"/>
  <c r="X426"/>
  <c r="X444" s="1"/>
  <c r="S426"/>
  <c r="S444" s="1"/>
  <c r="AI426"/>
  <c r="AI444" s="1"/>
  <c r="J426"/>
  <c r="J444" s="1"/>
  <c r="Z426"/>
  <c r="Z444" s="1"/>
  <c r="N428"/>
  <c r="N446" s="1"/>
  <c r="AD428"/>
  <c r="AD446" s="1"/>
  <c r="N430"/>
  <c r="N448" s="1"/>
  <c r="AD430"/>
  <c r="AD448" s="1"/>
  <c r="AB423"/>
  <c r="AB441" s="1"/>
  <c r="AJ423"/>
  <c r="AJ441" s="1"/>
  <c r="S424"/>
  <c r="S442" s="1"/>
  <c r="AI424"/>
  <c r="AI442" s="1"/>
  <c r="N427"/>
  <c r="N445" s="1"/>
  <c r="Z429"/>
  <c r="Z447" s="1"/>
  <c r="Z431"/>
  <c r="Z449" s="1"/>
  <c r="S423"/>
  <c r="S441" s="1"/>
  <c r="AI423"/>
  <c r="AI441" s="1"/>
  <c r="M61"/>
  <c r="M432"/>
  <c r="M450" s="1"/>
  <c r="AK424"/>
  <c r="AK442" s="1"/>
  <c r="AH427"/>
  <c r="AH445" s="1"/>
  <c r="N431"/>
  <c r="N449" s="1"/>
  <c r="K432"/>
  <c r="K450" s="1"/>
  <c r="AG432"/>
  <c r="AG450" s="1"/>
  <c r="Z423"/>
  <c r="Z441" s="1"/>
  <c r="I423"/>
  <c r="I441" s="1"/>
  <c r="Y432"/>
  <c r="Y450" s="1"/>
  <c r="H432"/>
  <c r="H450" s="1"/>
  <c r="O432"/>
  <c r="O450" s="1"/>
  <c r="U61"/>
  <c r="U432"/>
  <c r="U450" s="1"/>
  <c r="P425"/>
  <c r="P443" s="1"/>
  <c r="AA425"/>
  <c r="AA443" s="1"/>
  <c r="M426"/>
  <c r="M444" s="1"/>
  <c r="AC426"/>
  <c r="AC444" s="1"/>
  <c r="M427"/>
  <c r="M445" s="1"/>
  <c r="AG427"/>
  <c r="AG445" s="1"/>
  <c r="K427"/>
  <c r="K445" s="1"/>
  <c r="AE427"/>
  <c r="AE445" s="1"/>
  <c r="Y428"/>
  <c r="Y446" s="1"/>
  <c r="H428"/>
  <c r="H446" s="1"/>
  <c r="AJ429"/>
  <c r="AJ447" s="1"/>
  <c r="AG428"/>
  <c r="AG446" s="1"/>
  <c r="W428"/>
  <c r="W446" s="1"/>
  <c r="M428"/>
  <c r="M446" s="1"/>
  <c r="O429"/>
  <c r="O447" s="1"/>
  <c r="AI429"/>
  <c r="AI447" s="1"/>
  <c r="U429"/>
  <c r="U447" s="1"/>
  <c r="AK429"/>
  <c r="AK447" s="1"/>
  <c r="AE430"/>
  <c r="AE448" s="1"/>
  <c r="K430"/>
  <c r="K448" s="1"/>
  <c r="AA430"/>
  <c r="AA448" s="1"/>
  <c r="AG430"/>
  <c r="AG448" s="1"/>
  <c r="X431"/>
  <c r="X449" s="1"/>
  <c r="L431"/>
  <c r="L449" s="1"/>
  <c r="M431"/>
  <c r="M449" s="1"/>
  <c r="AG431"/>
  <c r="AG449" s="1"/>
  <c r="AB431"/>
  <c r="AB449" s="1"/>
  <c r="AE431"/>
  <c r="AE449" s="1"/>
  <c r="AA431"/>
  <c r="AA449" s="1"/>
  <c r="T428"/>
  <c r="T446" s="1"/>
  <c r="P427"/>
  <c r="P445" s="1"/>
  <c r="X424"/>
  <c r="X442" s="1"/>
  <c r="T425"/>
  <c r="T443" s="1"/>
  <c r="M425"/>
  <c r="M443" s="1"/>
  <c r="AG425"/>
  <c r="AG443" s="1"/>
  <c r="T426"/>
  <c r="T444" s="1"/>
  <c r="L427"/>
  <c r="L445" s="1"/>
  <c r="U427"/>
  <c r="U445" s="1"/>
  <c r="X425"/>
  <c r="X443" s="1"/>
  <c r="Q423"/>
  <c r="Q441" s="1"/>
  <c r="P426"/>
  <c r="P444" s="1"/>
  <c r="L430"/>
  <c r="L448" s="1"/>
  <c r="AK431"/>
  <c r="AK449" s="1"/>
  <c r="R424"/>
  <c r="R442" s="1"/>
  <c r="K426"/>
  <c r="K444" s="1"/>
  <c r="R426"/>
  <c r="R444" s="1"/>
  <c r="V428"/>
  <c r="V446" s="1"/>
  <c r="AA424"/>
  <c r="AA442" s="1"/>
  <c r="K423"/>
  <c r="K441" s="1"/>
  <c r="U424"/>
  <c r="U442" s="1"/>
  <c r="V429"/>
  <c r="V447" s="1"/>
  <c r="W61"/>
  <c r="W432"/>
  <c r="W450" s="1"/>
  <c r="J423"/>
  <c r="J441" s="1"/>
  <c r="AG423"/>
  <c r="AG441" s="1"/>
  <c r="AI61"/>
  <c r="AI432"/>
  <c r="AI450" s="1"/>
  <c r="AG424"/>
  <c r="AG442" s="1"/>
  <c r="AI425"/>
  <c r="AI443" s="1"/>
  <c r="AK426"/>
  <c r="AK444" s="1"/>
  <c r="Y427"/>
  <c r="Y445" s="1"/>
  <c r="T427"/>
  <c r="T445" s="1"/>
  <c r="W427"/>
  <c r="W445" s="1"/>
  <c r="I428"/>
  <c r="I446" s="1"/>
  <c r="H429"/>
  <c r="H447" s="1"/>
  <c r="O428"/>
  <c r="O446" s="1"/>
  <c r="G429"/>
  <c r="G447" s="1"/>
  <c r="AC429"/>
  <c r="AC447" s="1"/>
  <c r="T430"/>
  <c r="T448" s="1"/>
  <c r="Y430"/>
  <c r="Y448" s="1"/>
  <c r="Q430"/>
  <c r="Q448" s="1"/>
  <c r="U431"/>
  <c r="U449" s="1"/>
  <c r="O431"/>
  <c r="O449" s="1"/>
  <c r="Q424"/>
  <c r="Q442" s="1"/>
  <c r="P424"/>
  <c r="P442" s="1"/>
  <c r="AJ426"/>
  <c r="AJ444" s="1"/>
  <c r="I430"/>
  <c r="I448" s="1"/>
  <c r="AJ425"/>
  <c r="AJ443" s="1"/>
  <c r="AF426"/>
  <c r="AF444" s="1"/>
  <c r="N426"/>
  <c r="N444" s="1"/>
  <c r="R428"/>
  <c r="R446" s="1"/>
  <c r="V425"/>
  <c r="V443" s="1"/>
  <c r="R430"/>
  <c r="R448" s="1"/>
  <c r="W424"/>
  <c r="W442" s="1"/>
  <c r="V427"/>
  <c r="V445" s="1"/>
  <c r="AH429"/>
  <c r="AH447" s="1"/>
  <c r="W423"/>
  <c r="W441" s="1"/>
  <c r="T423"/>
  <c r="T441" s="1"/>
  <c r="J427"/>
  <c r="J445" s="1"/>
  <c r="V431"/>
  <c r="V449" s="1"/>
  <c r="N423"/>
  <c r="N441" s="1"/>
  <c r="M423"/>
  <c r="M441" s="1"/>
  <c r="T432"/>
  <c r="T450" s="1"/>
  <c r="Q425"/>
  <c r="Q443" s="1"/>
  <c r="AB425"/>
  <c r="AB443" s="1"/>
  <c r="Q426"/>
  <c r="Q444" s="1"/>
  <c r="H427"/>
  <c r="H445" s="1"/>
  <c r="AK427"/>
  <c r="AK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I430"/>
  <c r="AI448" s="1"/>
  <c r="M430"/>
  <c r="M448" s="1"/>
  <c r="Q431"/>
  <c r="Q449" s="1"/>
  <c r="X428"/>
  <c r="X446" s="1"/>
  <c r="AB424"/>
  <c r="AB442" s="1"/>
  <c r="U425"/>
  <c r="U443" s="1"/>
  <c r="AB426"/>
  <c r="AB444" s="1"/>
  <c r="AF430"/>
  <c r="AF448" s="1"/>
  <c r="AK423"/>
  <c r="AK441" s="1"/>
  <c r="P430"/>
  <c r="P448" s="1"/>
  <c r="J424"/>
  <c r="J442" s="1"/>
  <c r="Z424"/>
  <c r="Z442" s="1"/>
  <c r="V424"/>
  <c r="V442" s="1"/>
  <c r="O426"/>
  <c r="O444" s="1"/>
  <c r="AE426"/>
  <c r="AE444" s="1"/>
  <c r="V426"/>
  <c r="V444" s="1"/>
  <c r="Z428"/>
  <c r="Z446" s="1"/>
  <c r="R425"/>
  <c r="R443" s="1"/>
  <c r="Z425"/>
  <c r="Z443" s="1"/>
  <c r="AH425"/>
  <c r="AH443" s="1"/>
  <c r="Z430"/>
  <c r="Z448" s="1"/>
  <c r="AF423"/>
  <c r="AF441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F216"/>
  <c r="EH221"/>
  <c r="EH214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FM88"/>
  <c r="EC212"/>
  <c r="FE88"/>
  <c r="DU212"/>
  <c r="FQ128"/>
  <c r="EG216"/>
  <c r="ES128"/>
  <c r="FT98"/>
  <c r="EJ213"/>
  <c r="FD98"/>
  <c r="DT213"/>
  <c r="FK108"/>
  <c r="EA214"/>
  <c r="ER168"/>
  <c r="FR118"/>
  <c r="EH215"/>
  <c r="FB118"/>
  <c r="DR215"/>
  <c r="FB128"/>
  <c r="DR216"/>
  <c r="FK98"/>
  <c r="EA213"/>
  <c r="EZ148"/>
  <c r="FI148"/>
  <c r="DY218"/>
  <c r="FK128"/>
  <c r="EA216"/>
  <c r="EU128"/>
  <c r="FF98"/>
  <c r="DV213"/>
  <c r="FA108"/>
  <c r="FI108"/>
  <c r="DY214"/>
  <c r="FQ108"/>
  <c r="EG214"/>
  <c r="FH168"/>
  <c r="DX220"/>
  <c r="FD168"/>
  <c r="DT220"/>
  <c r="FO168"/>
  <c r="EE220"/>
  <c r="FG168"/>
  <c r="DW220"/>
  <c r="EQ168"/>
  <c r="FT118"/>
  <c r="EJ215"/>
  <c r="FL118"/>
  <c r="EB215"/>
  <c r="FD118"/>
  <c r="DT215"/>
  <c r="EX128"/>
  <c r="FN128"/>
  <c r="ED216"/>
  <c r="FA118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FM128"/>
  <c r="EC216"/>
  <c r="FE128"/>
  <c r="DU216"/>
  <c r="EW128"/>
  <c r="FP98"/>
  <c r="EF213"/>
  <c r="FH98"/>
  <c r="DX213"/>
  <c r="ER98"/>
  <c r="DF215"/>
  <c r="DU221"/>
  <c r="EF221"/>
  <c r="DU219"/>
  <c r="EE219"/>
  <c r="DY213"/>
  <c r="DU213"/>
  <c r="EJ221"/>
  <c r="DT212"/>
  <c r="DX214"/>
  <c r="FU102"/>
  <c r="DW219"/>
  <c r="DS215"/>
  <c r="EB214"/>
  <c r="DS217"/>
  <c r="EA217"/>
  <c r="DY221"/>
  <c r="DR218"/>
  <c r="EE215"/>
  <c r="EI221"/>
  <c r="EC217"/>
  <c r="DZ214"/>
  <c r="FU162"/>
  <c r="EF220"/>
  <c r="EF217"/>
  <c r="EG219"/>
  <c r="EG217"/>
  <c r="EF219"/>
  <c r="EE221"/>
  <c r="DR219"/>
  <c r="DX219"/>
  <c r="DZ218"/>
  <c r="DU217"/>
  <c r="DZ212"/>
  <c r="ED214"/>
  <c r="EF212"/>
  <c r="EC221"/>
  <c r="EH218"/>
  <c r="EF216"/>
  <c r="DV214"/>
  <c r="DY219"/>
  <c r="DY217"/>
  <c r="EC213"/>
  <c r="EJ212"/>
  <c r="ED221"/>
  <c r="ED219"/>
  <c r="EJ217"/>
  <c r="FE108"/>
  <c r="DU214"/>
  <c r="FM108"/>
  <c r="EC214"/>
  <c r="FN168"/>
  <c r="ED220"/>
  <c r="FK168"/>
  <c r="EA220"/>
  <c r="FP118"/>
  <c r="EF215"/>
  <c r="EZ118"/>
  <c r="FF128"/>
  <c r="DV216"/>
  <c r="FI118"/>
  <c r="DY215"/>
  <c r="FL148"/>
  <c r="EB218"/>
  <c r="FO148"/>
  <c r="EE218"/>
  <c r="FI128"/>
  <c r="DY216"/>
  <c r="FA128"/>
  <c r="FL98"/>
  <c r="EB213"/>
  <c r="EW178"/>
  <c r="FU178" s="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FO88"/>
  <c r="EE212"/>
  <c r="FG88"/>
  <c r="DW212"/>
  <c r="EQ88"/>
  <c r="FS128"/>
  <c r="EI216"/>
  <c r="FC128"/>
  <c r="DS216"/>
  <c r="FN98"/>
  <c r="ED213"/>
  <c r="EY108"/>
  <c r="FG108"/>
  <c r="DW214"/>
  <c r="FO108"/>
  <c r="EE214"/>
  <c r="FB168"/>
  <c r="DR220"/>
  <c r="FF168"/>
  <c r="DV220"/>
  <c r="FL168"/>
  <c r="EB220"/>
  <c r="FQ168"/>
  <c r="EG220"/>
  <c r="FI168"/>
  <c r="DY220"/>
  <c r="FA168"/>
  <c r="FN118"/>
  <c r="ED215"/>
  <c r="FF118"/>
  <c r="DV215"/>
  <c r="EX118"/>
  <c r="ET128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FR98"/>
  <c r="EH213"/>
  <c r="FJ98"/>
  <c r="DZ213"/>
  <c r="FB98"/>
  <c r="DR213"/>
  <c r="ET98"/>
  <c r="FU170"/>
  <c r="FU173"/>
  <c r="DW215"/>
  <c r="DX216"/>
  <c r="DX217"/>
  <c r="EB212"/>
  <c r="FU125"/>
  <c r="FU106"/>
  <c r="DF220"/>
  <c r="DF213"/>
  <c r="FU129"/>
  <c r="FU158"/>
  <c r="EF214"/>
  <c r="DV221"/>
  <c r="EG221"/>
  <c r="DR217"/>
  <c r="EJ219"/>
  <c r="DV219"/>
  <c r="DZ221"/>
  <c r="DV218"/>
  <c r="DT216"/>
  <c r="DR214"/>
  <c r="EK171"/>
  <c r="EK156"/>
  <c r="DX221"/>
  <c r="EB219"/>
  <c r="EB217"/>
  <c r="DT214"/>
  <c r="DZ219"/>
  <c r="DZ217"/>
  <c r="ED212"/>
  <c r="DS219"/>
  <c r="EB216"/>
  <c r="DW221"/>
  <c r="EH219"/>
  <c r="EH217"/>
  <c r="EJ214"/>
  <c r="DT219"/>
  <c r="ED217"/>
  <c r="EB221"/>
  <c r="ED218"/>
  <c r="DT221"/>
  <c r="EA219"/>
  <c r="EE217"/>
  <c r="EJ216"/>
  <c r="EI215"/>
  <c r="DV212"/>
  <c r="DR221"/>
  <c r="DZ220"/>
  <c r="EC219"/>
  <c r="EI217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C431" s="1"/>
  <c r="J429"/>
  <c r="J447" s="1"/>
  <c r="C447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AE7" s="1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DH230" l="1"/>
  <c r="DH228"/>
  <c r="DH227"/>
  <c r="C429"/>
  <c r="J449"/>
  <c r="C449" s="1"/>
  <c r="K490"/>
  <c r="K476"/>
  <c r="K482"/>
  <c r="DH233"/>
  <c r="DH234"/>
  <c r="DH232"/>
  <c r="DH231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F7" s="1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<sst xmlns="http://schemas.openxmlformats.org/spreadsheetml/2006/main" count="1094" uniqueCount="150">
  <si>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</si>
  <si>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</si>
  <si>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</si>
  <si>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</si>
  <si>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</si>
  <si>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</si>
  <si>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</si>
  <si>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</si>
  <si>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</si>
  <si>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</si>
  <si>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</si>
  <si>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</si>
  <si>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</si>
  <si>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</si>
  <si>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</si>
  <si>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</si>
  <si>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</si>
  <si>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</si>
  <si>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</si>
  <si>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</si>
  <si>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</si>
  <si>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</si>
  <si>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</si>
  <si>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</si>
  <si>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</si>
  <si>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</si>
  <si>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</si>
  <si>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</si>
  <si>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</si>
  <si>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</si>
  <si>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</si>
  <si>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</si>
  <si>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</si>
  <si>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</si>
  <si>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</si>
  <si>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</si>
  <si>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</si>
  <si>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</si>
  <si>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</si>
  <si>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</si>
  <si>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</si>
  <si>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</si>
  <si>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</si>
  <si>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</si>
  <si>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</si>
  <si>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</si>
  <si>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</si>
  <si>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</si>
  <si>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</si>
  <si>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</si>
  <si>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</si>
  <si>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</si>
  <si>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</si>
  <si>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</si>
  <si>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</si>
  <si>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</si>
  <si>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</si>
  <si>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</si>
  <si>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</si>
  <si>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</si>
  <si>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</si>
  <si>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</si>
  <si>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</si>
  <si>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</si>
  <si>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</si>
  <si>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</si>
  <si>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</si>
  <si>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</si>
  <si>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</si>
  <si>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</si>
  <si>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</si>
  <si>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</si>
  <si>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</si>
  <si>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</si>
  <si>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</si>
  <si>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</si>
  <si>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</si>
  <si>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</si>
  <si>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</si>
  <si>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</si>
  <si>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</si>
  <si>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</si>
  <si>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</si>
  <si>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</si>
  <si>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</si>
  <si>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</si>
  <si>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</si>
  <si>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</si>
  <si>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</si>
  <si>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</si>
  <si>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</si>
  <si>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</si>
  <si>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</si>
  <si>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</si>
  <si>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</si>
  <si>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</si>
  <si>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</si>
  <si>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</si>
  <si>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</si>
  <si>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</si>
  <si>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</si>
  <si>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</si>
  <si>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</si>
  <si>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</si>
  <si>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</si>
  <si>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</si>
  <si>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</si>
  <si>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</si>
  <si>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</si>
  <si>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</si>
  <si>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</si>
  <si>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</si>
  <si>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</si>
  <si>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</si>
  <si>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</si>
  <si>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</si>
  <si>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</si>
  <si>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</si>
  <si>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</si>
  <si>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</si>
  <si>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</si>
  <si>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</si>
  <si>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</si>
  <si>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</si>
  <si>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</si>
  <si>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</si>
  <si>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</si>
  <si>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</si>
  <si>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</si>
  <si>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</si>
  <si>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</si>
  <si>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</si>
  <si>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</si>
  <si>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</si>
  <si>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</si>
  <si>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</si>
  <si>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</si>
  <si>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</si>
  <si>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</si>
  <si>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</si>
  <si>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</si>
  <si>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</si>
  <si>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</si>
  <si>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</si>
  <si>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</si>
  <si>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</si>
  <si>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</si>
  <si>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</si>
  <si>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</si>
  <si>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Ameletus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</si>
</sst>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3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C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8" t="s">
        <v>144</v>
      </c>
      <c r="GD2" s="228"/>
      <c r="GE2" s="228"/>
      <c r="GF2" s="228"/>
      <c r="GG2" s="228"/>
      <c r="GH2" s="228"/>
      <c r="GI2" s="228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34.746824256522537</v>
      </c>
      <c r="N4" s="130">
        <v>10.252492600025857</v>
      </c>
      <c r="O4" s="130">
        <v>106.99821421793489</v>
      </c>
      <c r="P4" s="130">
        <v>78.225713117904078</v>
      </c>
      <c r="Q4" s="130">
        <v>9.7526032964621283</v>
      </c>
      <c r="R4" s="130">
        <v>150.77522480173673</v>
      </c>
      <c r="S4" s="131">
        <v>6.2346388461809932</v>
      </c>
      <c r="T4" s="131">
        <v>29.553325193802376</v>
      </c>
      <c r="U4" s="5"/>
      <c r="V4" s="4"/>
      <c r="W4" s="127">
        <f t="shared" ref="W4:W13" si="0">C4</f>
        <v>39646</v>
      </c>
      <c r="X4" s="132">
        <f>AVERAGE(EK88:EK97)</f>
        <v>35.416666666666671</v>
      </c>
      <c r="Y4" s="131">
        <f>COUNT(EK88:EK97)</f>
        <v>10</v>
      </c>
      <c r="Z4" s="130">
        <f>STDEV(EK88:EK97)</f>
        <v>40.848447694035386</v>
      </c>
      <c r="AA4" s="130">
        <f>Z4/SQRT(Y4)</f>
        <v>12.917413359540465</v>
      </c>
      <c r="AB4" s="131"/>
      <c r="AC4" s="130">
        <f>AVERAGE($FU88:$FU97)</f>
        <v>5.0426901616834092</v>
      </c>
      <c r="AD4" s="132">
        <f>COUNT($FU88:$FU97)</f>
        <v>10</v>
      </c>
      <c r="AE4" s="130">
        <f>STDEV($FU88:$FU97)</f>
        <v>6.9260266078970556</v>
      </c>
      <c r="AF4" s="130">
        <f>AE4/SQRT(AD4)</f>
        <v>2.1902019215884638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1" t="s">
        <v>148</v>
      </c>
      <c r="FK4" s="231"/>
      <c r="FL4" s="231"/>
      <c r="FM4" s="231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34.995642638204714</v>
      </c>
      <c r="N5" s="130">
        <f t="shared" si="1"/>
        <v>10.224606020831089</v>
      </c>
      <c r="O5" s="130">
        <f t="shared" si="1"/>
        <v>106.8684888787259</v>
      </c>
      <c r="P5" s="130">
        <f t="shared" si="1"/>
        <v>78.311074193146197</v>
      </c>
      <c r="Q5" s="130">
        <f t="shared" si="1"/>
        <v>9.7419093067092355</v>
      </c>
      <c r="R5" s="130">
        <f t="shared" si="1"/>
        <v>135.02885090108478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123.86904761904762</v>
      </c>
      <c r="Y5" s="131">
        <f>COUNT(EK98:EK107)</f>
        <v>10</v>
      </c>
      <c r="Z5" s="130">
        <f>STDEV(EK98:EK107)</f>
        <v>362.57578963754946</v>
      </c>
      <c r="AA5" s="130">
        <f t="shared" ref="AA5:AA13" si="2">Z5/SQRT(Y5)</f>
        <v>114.65653196887324</v>
      </c>
      <c r="AB5" s="131"/>
      <c r="AC5" s="130">
        <f>AVERAGE($FU98:$FU107)</f>
        <v>21.920532801046015</v>
      </c>
      <c r="AD5" s="132">
        <f>COUNT($FU98:$FU107)</f>
        <v>10</v>
      </c>
      <c r="AE5" s="130">
        <f>STDEV($FU98:$FU107)</f>
        <v>57.550262682385338</v>
      </c>
      <c r="AF5" s="130">
        <f t="shared" ref="AF5:AF13" si="3">AE5/SQRT(AD5)</f>
        <v>18.19899100173291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61.999075228630723</v>
      </c>
      <c r="N6" s="130">
        <f t="shared" si="4"/>
        <v>15.469262740602556</v>
      </c>
      <c r="O6" s="130">
        <f t="shared" si="4"/>
        <v>165.83486489681675</v>
      </c>
      <c r="P6" s="130">
        <f t="shared" si="4"/>
        <v>127.41985511742449</v>
      </c>
      <c r="Q6" s="130">
        <f t="shared" si="4"/>
        <v>14.539772502009482</v>
      </c>
      <c r="R6" s="130">
        <f t="shared" si="4"/>
        <v>216.64420821183589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40.625</v>
      </c>
      <c r="Y6" s="131">
        <f>COUNT(EK108:EK117)</f>
        <v>10</v>
      </c>
      <c r="Z6" s="130">
        <f>STDEV(EK108:EK117)</f>
        <v>61.223460488586646</v>
      </c>
      <c r="AA6" s="130">
        <f t="shared" si="2"/>
        <v>19.360558138125899</v>
      </c>
      <c r="AB6" s="131"/>
      <c r="AC6" s="130">
        <f>AVERAGE($FU108:$FU117)</f>
        <v>34.333642522303599</v>
      </c>
      <c r="AD6" s="132">
        <f>COUNT($FU108:$FU117)</f>
        <v>10</v>
      </c>
      <c r="AE6" s="130">
        <f>STDEV($FU108:$FU117)</f>
        <v>35.749678667789844</v>
      </c>
      <c r="AF6" s="130">
        <f t="shared" si="3"/>
        <v>11.305041020934988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9" t="s">
        <v>145</v>
      </c>
      <c r="FJ6" s="229"/>
      <c r="FK6" s="230" t="s">
        <v>146</v>
      </c>
      <c r="FL6" s="230"/>
      <c r="FM6" s="230" t="s">
        <v>147</v>
      </c>
      <c r="FN6" s="230"/>
      <c r="FO6" s="5"/>
      <c r="FY6" s="210">
        <v>1</v>
      </c>
      <c r="FZ6">
        <v>13.44042253514754</v>
      </c>
      <c r="GA6">
        <v>34.775515429106804</v>
      </c>
      <c r="GB6">
        <v>12.168647545522273</v>
      </c>
      <c r="GC6">
        <v>1.7582048342226773</v>
      </c>
      <c r="GD6">
        <v>0.62842060021357704</v>
      </c>
      <c r="GE6">
        <v>1.3077114570000252</v>
      </c>
      <c r="GF6">
        <v>3.7026857921962844</v>
      </c>
      <c r="GG6">
        <v>3.1342730027110393</v>
      </c>
      <c r="GH6">
        <v>2.4376446302626795</v>
      </c>
      <c r="GI6">
        <v>6.6867186004979828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16.738836363688193</v>
      </c>
      <c r="N7" s="130">
        <f t="shared" si="5"/>
        <v>6.0979285456061056</v>
      </c>
      <c r="O7" s="130">
        <f t="shared" si="5"/>
        <v>57.558237710463587</v>
      </c>
      <c r="P7" s="130">
        <f t="shared" si="5"/>
        <v>41.296708843340198</v>
      </c>
      <c r="Q7" s="130">
        <f t="shared" si="5"/>
        <v>5.925187822579379</v>
      </c>
      <c r="R7" s="130">
        <f t="shared" si="5"/>
        <v>73.772026175565912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39.307950191570882</v>
      </c>
      <c r="Y7" s="131">
        <f>COUNT(EK118:EK127)</f>
        <v>10</v>
      </c>
      <c r="Z7" s="130">
        <f>STDEV(EK118:EK127)</f>
        <v>58.218565303975751</v>
      </c>
      <c r="AA7" s="130">
        <f t="shared" si="2"/>
        <v>18.410326846781643</v>
      </c>
      <c r="AB7" s="131"/>
      <c r="AC7" s="130">
        <f>AVERAGE($FU118:$FU127)</f>
        <v>6.2712147047067104</v>
      </c>
      <c r="AD7" s="132">
        <f>COUNT($FU118:$FU127)</f>
        <v>10</v>
      </c>
      <c r="AE7" s="130">
        <f>STDEV($FU118:$FU127)</f>
        <v>10.199041631809074</v>
      </c>
      <c r="AF7" s="130">
        <f t="shared" si="3"/>
        <v>3.2252201507397085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32">
        <f>AVERAGE(FZ6:FZ1005)</f>
        <v>13.607068764617452</v>
      </c>
      <c r="FJ7" s="232"/>
      <c r="FK7" s="232">
        <f>PERCENTILE($FZ$6:$FZ$1005,0.975)</f>
        <v>32.466146302050177</v>
      </c>
      <c r="FL7" s="232"/>
      <c r="FM7" s="232">
        <f>PERCENTILE($FZ$6:$FZ$1005,0.025)</f>
        <v>2.5187311493613</v>
      </c>
      <c r="FN7" s="232"/>
      <c r="FO7" s="5"/>
      <c r="FY7" s="210">
        <v>2</v>
      </c>
      <c r="FZ7">
        <v>13.400079999010039</v>
      </c>
      <c r="GA7">
        <v>19.549371394587883</v>
      </c>
      <c r="GB7">
        <v>5.9962972233955316</v>
      </c>
      <c r="GC7">
        <v>2.4960844394502595</v>
      </c>
      <c r="GD7">
        <v>0.89294243735069723</v>
      </c>
      <c r="GE7">
        <v>1.4479128696271943</v>
      </c>
      <c r="GF7">
        <v>4.5522234683185783</v>
      </c>
      <c r="GG7">
        <v>2.5979229109962056</v>
      </c>
      <c r="GH7">
        <v>1.6153796438261656</v>
      </c>
      <c r="GI7">
        <v>5.2415849144615194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65.534662097162112</v>
      </c>
      <c r="Y8" s="131">
        <f>COUNT(EK128:EK137)</f>
        <v>10</v>
      </c>
      <c r="Z8" s="130">
        <f>STDEV(EK128:EK137)</f>
        <v>55.720786991752675</v>
      </c>
      <c r="AA8" s="130">
        <f t="shared" si="2"/>
        <v>17.620459991102031</v>
      </c>
      <c r="AB8" s="131"/>
      <c r="AC8" s="130">
        <f>AVERAGE($FU128:$FU137)</f>
        <v>5.3991933476585769</v>
      </c>
      <c r="AD8" s="132">
        <f>COUNT($FU128:$FU137)</f>
        <v>10</v>
      </c>
      <c r="AE8" s="130">
        <f>STDEV($FU128:$FU137)</f>
        <v>4.5224958836160409</v>
      </c>
      <c r="AF8" s="130">
        <f t="shared" si="3"/>
        <v>1.430138770096246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32">
        <f>AVERAGE(GA6:GA1005)</f>
        <v>31.120856815221739</v>
      </c>
      <c r="FJ8" s="232"/>
      <c r="FK8" s="232">
        <f>PERCENTILE($GA$6:$GA$1005,0.975)</f>
        <v>56.121546472822033</v>
      </c>
      <c r="FL8" s="232"/>
      <c r="FM8" s="232">
        <f>PERCENTILE($GA$6:$GA$1005,0.025)</f>
        <v>11.137270971756871</v>
      </c>
      <c r="FN8" s="232"/>
      <c r="FO8" s="5"/>
      <c r="FY8" s="210">
        <v>3</v>
      </c>
      <c r="FZ8">
        <v>41.062516421014905</v>
      </c>
      <c r="GA8">
        <v>68.04145880086206</v>
      </c>
      <c r="GB8">
        <v>12.883980126142699</v>
      </c>
      <c r="GC8">
        <v>2.0417385465049476</v>
      </c>
      <c r="GD8">
        <v>0.86444156094587754</v>
      </c>
      <c r="GE8">
        <v>2.0558539793455489E-3</v>
      </c>
      <c r="GF8">
        <v>0.27685161370122002</v>
      </c>
      <c r="GG8">
        <v>1.341751459384152</v>
      </c>
      <c r="GH8">
        <v>1.5585013929330884</v>
      </c>
      <c r="GI8">
        <v>10.190667702541688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4.1666666666666661</v>
      </c>
      <c r="Y9" s="131">
        <f>COUNT(EK138:EK147)</f>
        <v>10</v>
      </c>
      <c r="Z9" s="130">
        <f>STDEV(EK138:EK147)</f>
        <v>10.063456073742666</v>
      </c>
      <c r="AA9" s="130">
        <f t="shared" si="2"/>
        <v>3.1823442326082221</v>
      </c>
      <c r="AB9" s="131"/>
      <c r="AC9" s="130">
        <f>AVERAGE($FU138:$FU147)</f>
        <v>0.55107303082896164</v>
      </c>
      <c r="AD9" s="132">
        <f>COUNT($FU138:$FU147)</f>
        <v>10</v>
      </c>
      <c r="AE9" s="130">
        <f>STDEV($FU138:$FU147)</f>
        <v>1.7157337242967079</v>
      </c>
      <c r="AF9" s="130">
        <f t="shared" si="3"/>
        <v>0.54256264271409727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32">
        <f>AVERAGE(GB6:GB1005)</f>
        <v>10.530446825870268</v>
      </c>
      <c r="FJ9" s="232"/>
      <c r="FK9" s="232">
        <f>PERCENTILE($GB$6:$GB$1005,0.975)</f>
        <v>16.449010043295701</v>
      </c>
      <c r="FL9" s="232"/>
      <c r="FM9" s="232">
        <f>PERCENTILE($GB$6:$GB$1005,0.025)</f>
        <v>5.1654621496223978</v>
      </c>
      <c r="FN9" s="232"/>
      <c r="FO9" s="5"/>
      <c r="FY9" s="210">
        <v>4</v>
      </c>
      <c r="FZ9">
        <v>21.636091142664299</v>
      </c>
      <c r="GA9">
        <v>35.425015812723885</v>
      </c>
      <c r="GB9">
        <v>7.1236604185144028</v>
      </c>
      <c r="GC9">
        <v>1.6191985817615173</v>
      </c>
      <c r="GD9">
        <v>0.86424666014931661</v>
      </c>
      <c r="GE9">
        <v>1.3097673109793708</v>
      </c>
      <c r="GF9">
        <v>6.1496602591291394</v>
      </c>
      <c r="GG9">
        <v>3.8803507875962375</v>
      </c>
      <c r="GH9">
        <v>1.5038724992891495</v>
      </c>
      <c r="GI9">
        <v>7.0419322125427772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7.8125</v>
      </c>
      <c r="Y10" s="131">
        <f>COUNT(EK148:EK157)</f>
        <v>8</v>
      </c>
      <c r="Z10" s="130">
        <f>STDEV(EK148:EK157)</f>
        <v>22.097086912079611</v>
      </c>
      <c r="AA10" s="130">
        <f t="shared" si="2"/>
        <v>7.8125</v>
      </c>
      <c r="AB10" s="131"/>
      <c r="AC10" s="130">
        <f>AVERAGE($FU148:$FU157)</f>
        <v>6.3503154030546298</v>
      </c>
      <c r="AD10" s="132">
        <f>COUNT($FU148:$FU157)</f>
        <v>8</v>
      </c>
      <c r="AE10" s="130">
        <f>STDEV($FU148:$FU157)</f>
        <v>17.961404336693249</v>
      </c>
      <c r="AF10" s="130">
        <f t="shared" si="3"/>
        <v>6.3503154030546289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32">
        <f>AVERAGE(GC6:GC1005)</f>
        <v>1.9205883373926464</v>
      </c>
      <c r="FJ10" s="232"/>
      <c r="FK10" s="232">
        <f>PERCENTILE($GC$6:$GC$1005,0.975)</f>
        <v>3.0788173182839849</v>
      </c>
      <c r="FL10" s="232"/>
      <c r="FM10" s="232">
        <f>PERCENTILE($GC$6:$GC$1005,0.025)</f>
        <v>0.99060790328065307</v>
      </c>
      <c r="FN10" s="232"/>
      <c r="FO10" s="5"/>
      <c r="FY10" s="210">
        <v>5</v>
      </c>
      <c r="FZ10">
        <v>4.4791834269491728</v>
      </c>
      <c r="GA10">
        <v>7.3248815810952355</v>
      </c>
      <c r="GB10">
        <v>8.017317353067968</v>
      </c>
      <c r="GC10">
        <v>3.990586630089922</v>
      </c>
      <c r="GD10">
        <v>0.64276928320879101</v>
      </c>
      <c r="GE10">
        <v>1.4499687236065399</v>
      </c>
      <c r="GF10">
        <v>4.2563890195987248</v>
      </c>
      <c r="GG10">
        <v>2.4396138050815761</v>
      </c>
      <c r="GH10">
        <v>2.6529606137342139</v>
      </c>
      <c r="GI10">
        <v>4.3215915758431542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11.458333333333332</v>
      </c>
      <c r="Y11" s="131">
        <f>COUNT(EK158:EK167)</f>
        <v>10</v>
      </c>
      <c r="Z11" s="130">
        <f>STDEV(EK158:EK167)</f>
        <v>15.873790903697863</v>
      </c>
      <c r="AA11" s="130">
        <f t="shared" si="2"/>
        <v>5.0197334356947776</v>
      </c>
      <c r="AB11" s="131"/>
      <c r="AC11" s="130">
        <f>AVERAGE($FU158:$FU167)</f>
        <v>10.527747748419914</v>
      </c>
      <c r="AD11" s="132">
        <f>COUNT($FU158:$FU167)</f>
        <v>10</v>
      </c>
      <c r="AE11" s="130">
        <f>STDEV($FU158:$FU167)</f>
        <v>20.026177935535333</v>
      </c>
      <c r="AF11" s="130">
        <f t="shared" si="3"/>
        <v>6.3328335104100297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32">
        <f>AVERAGE(GD5:GD1005)</f>
        <v>0.75595260355807059</v>
      </c>
      <c r="FJ11" s="232"/>
      <c r="FK11" s="232">
        <f>PERCENTILE($GD$6:$GD$1005,0.975)</f>
        <v>1.1244040830018849</v>
      </c>
      <c r="FL11" s="232"/>
      <c r="FM11" s="232">
        <f>PERCENTILE($GD$6:$GD$1005,0.025)</f>
        <v>0.42229059637741645</v>
      </c>
      <c r="FN11" s="232"/>
      <c r="FO11" s="5"/>
      <c r="FY11" s="210">
        <v>6</v>
      </c>
      <c r="FZ11">
        <v>5.0707266325417217</v>
      </c>
      <c r="GA11">
        <v>12.318009799489737</v>
      </c>
      <c r="GB11">
        <v>9.9212744333122096</v>
      </c>
      <c r="GC11">
        <v>4.0014452247986751</v>
      </c>
      <c r="GD11">
        <v>0.97438907329688018</v>
      </c>
      <c r="GE11">
        <v>1.3118231649587164</v>
      </c>
      <c r="GF11">
        <v>6.1242686229349843</v>
      </c>
      <c r="GG11">
        <v>4.043114855508362</v>
      </c>
      <c r="GH11">
        <v>2.3115623212022323</v>
      </c>
      <c r="GI11">
        <v>5.4705292805443122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2.083333333333333</v>
      </c>
      <c r="Y12" s="131">
        <f>COUNT(EK168:EK177)</f>
        <v>10</v>
      </c>
      <c r="Z12" s="130">
        <f>STDEV(EK168:EK177)</f>
        <v>4.3920523057894156</v>
      </c>
      <c r="AA12" s="130">
        <f t="shared" si="2"/>
        <v>1.3888888888888888</v>
      </c>
      <c r="AB12" s="131"/>
      <c r="AC12" s="130">
        <f>AVERAGE($FU168:$FU177)</f>
        <v>3.4814419793710427</v>
      </c>
      <c r="AD12" s="132">
        <f>COUNT($FU168:$FU177)</f>
        <v>10</v>
      </c>
      <c r="AE12" s="130">
        <f>STDEV($FU168:$FU177)</f>
        <v>9.3953806717759214</v>
      </c>
      <c r="AF12" s="130">
        <f t="shared" si="3"/>
        <v>2.9710802407134773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32">
        <f>AVERAGE(GE6:GE1005)</f>
        <v>1.36865039095728</v>
      </c>
      <c r="FJ12" s="232"/>
      <c r="FK12" s="232">
        <f>PERCENTILE($GE$6:$GE$1005,0.975)</f>
        <v>4.2035371962544144</v>
      </c>
      <c r="FL12" s="232"/>
      <c r="FM12" s="232">
        <f>PERCENTILE($GE$6:$GE$1005,0.025)</f>
        <v>0</v>
      </c>
      <c r="FN12" s="232"/>
      <c r="FO12" s="5"/>
      <c r="FY12" s="210">
        <v>7</v>
      </c>
      <c r="FZ12">
        <v>22.717679639179757</v>
      </c>
      <c r="GA12">
        <v>42.551438621330739</v>
      </c>
      <c r="GB12">
        <v>11.486348194464362</v>
      </c>
      <c r="GC12">
        <v>2.1573161667955114</v>
      </c>
      <c r="GD12">
        <v>0.43548718285936849</v>
      </c>
      <c r="GE12">
        <v>1.3118231649587164</v>
      </c>
      <c r="GF12">
        <v>5.3731290993302547</v>
      </c>
      <c r="GG12">
        <v>3.7903401635168521</v>
      </c>
      <c r="GH12">
        <v>1.1055959558640902</v>
      </c>
      <c r="GI12">
        <v>7.9574156650154118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3.125</v>
      </c>
      <c r="Y13" s="131">
        <f>COUNT(EK178:EK187)</f>
        <v>10</v>
      </c>
      <c r="Z13" s="130">
        <f>STDEV(EK178:EK187)</f>
        <v>7.0307141428182591</v>
      </c>
      <c r="AA13" s="130">
        <f t="shared" si="2"/>
        <v>2.2233070268864057</v>
      </c>
      <c r="AB13" s="131"/>
      <c r="AC13" s="130">
        <f>AVERAGE($FU178:$FU187)</f>
        <v>2.9677236868669139</v>
      </c>
      <c r="AD13" s="132">
        <f>COUNT($FU178:$FU187)</f>
        <v>10</v>
      </c>
      <c r="AE13" s="130">
        <f>STDEV($FU178:$FU187)</f>
        <v>6.3213835690064082</v>
      </c>
      <c r="AF13" s="130">
        <f t="shared" si="3"/>
        <v>1.9989970041624423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32">
        <f>AVERAGE(GF6:GF1005)</f>
        <v>5.4303277427442103</v>
      </c>
      <c r="FJ13" s="232"/>
      <c r="FK13" s="232">
        <f>PERCENTILE($GF$6:$GF$1005,0.975)</f>
        <v>11.294532322248251</v>
      </c>
      <c r="FL13" s="232"/>
      <c r="FM13" s="232">
        <f>PERCENTILE($GF$6:$GF$1005,0.025)</f>
        <v>0.55370322740244005</v>
      </c>
      <c r="FN13" s="232"/>
      <c r="FO13" s="5"/>
      <c r="FY13" s="210">
        <v>8</v>
      </c>
      <c r="FZ13">
        <v>11.786452901099921</v>
      </c>
      <c r="GA13">
        <v>32.89055290058706</v>
      </c>
      <c r="GB13">
        <v>11.08151666758142</v>
      </c>
      <c r="GC13">
        <v>1.422232101780919</v>
      </c>
      <c r="GD13">
        <v>0.69520767625302637</v>
      </c>
      <c r="GE13">
        <v>0</v>
      </c>
      <c r="GF13">
        <v>2.6157787180245267</v>
      </c>
      <c r="GG13">
        <v>3.51283240187181</v>
      </c>
      <c r="GH13">
        <v>2.2546840703091551</v>
      </c>
      <c r="GI13">
        <v>5.9650442558074435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32">
        <f>AVERAGE(GG6:GG1005)</f>
        <v>4.1497005381375081</v>
      </c>
      <c r="FJ14" s="232"/>
      <c r="FK14" s="232">
        <f>PERCENTILE($GG$6:$GG$1005,0.975)</f>
        <v>8.2878876322052832</v>
      </c>
      <c r="FL14" s="232"/>
      <c r="FM14" s="232">
        <f>PERCENTILE($GG$6:$GG$1005,0.025)</f>
        <v>0.9546868966596852</v>
      </c>
      <c r="FN14" s="232"/>
      <c r="FO14" s="5"/>
      <c r="FY14" s="210">
        <v>9</v>
      </c>
      <c r="FZ14">
        <v>6.8060300162624818</v>
      </c>
      <c r="GA14">
        <v>31.103250343642497</v>
      </c>
      <c r="GB14">
        <v>14.91362452492846</v>
      </c>
      <c r="GC14">
        <v>0.98903290436195768</v>
      </c>
      <c r="GD14">
        <v>0.484788104893983</v>
      </c>
      <c r="GE14">
        <v>1.4499687236065399</v>
      </c>
      <c r="GF14">
        <v>5.0962774856290345</v>
      </c>
      <c r="GG14">
        <v>4.0582060705109066</v>
      </c>
      <c r="GH14">
        <v>2.3661912148461708</v>
      </c>
      <c r="GI14">
        <v>6.6044744021166091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49.037449256522528</v>
      </c>
      <c r="AO15" s="163">
        <f>D48</f>
        <v>13.129072197802722</v>
      </c>
      <c r="AP15" s="163">
        <f>D63</f>
        <v>139.14450440107959</v>
      </c>
      <c r="AQ15" s="163">
        <f>C453</f>
        <v>106.30735145468492</v>
      </c>
      <c r="AR15" s="163">
        <f>G520</f>
        <v>12.626626048686809</v>
      </c>
      <c r="AS15" s="163">
        <f>I523</f>
        <v>185.37875962796301</v>
      </c>
      <c r="AT15" s="122">
        <f>G556</f>
        <v>8.259878478152789</v>
      </c>
      <c r="AU15" s="122">
        <f>I556</f>
        <v>42.275866330916486</v>
      </c>
      <c r="AV15" s="23"/>
      <c r="AW15" s="23"/>
      <c r="FG15" s="5"/>
      <c r="FH15" s="213">
        <f t="shared" si="6"/>
        <v>39949</v>
      </c>
      <c r="FI15" s="232">
        <f>AVERAGE(GH6:GH1005)</f>
        <v>2.6822037582740497</v>
      </c>
      <c r="FJ15" s="232"/>
      <c r="FK15" s="232">
        <f>PERCENTILE($GH$6:$GH$1005,0.975)</f>
        <v>5.8053128177944302</v>
      </c>
      <c r="FL15" s="232"/>
      <c r="FM15" s="232">
        <f>PERCENTILE($GH$6:$GH$1005,0.025)</f>
        <v>0.45290543706899811</v>
      </c>
      <c r="FN15" s="232"/>
      <c r="FO15" s="5"/>
      <c r="FY15" s="210">
        <v>10</v>
      </c>
      <c r="FZ15">
        <v>4.024191689235213</v>
      </c>
      <c r="GA15">
        <v>18.995072858890282</v>
      </c>
      <c r="GB15">
        <v>10.925260776528102</v>
      </c>
      <c r="GC15">
        <v>2.4650728756920746</v>
      </c>
      <c r="GD15">
        <v>0.78656784376338307</v>
      </c>
      <c r="GE15">
        <v>1.4499687236065399</v>
      </c>
      <c r="GF15">
        <v>7.2410087026665151</v>
      </c>
      <c r="GG15">
        <v>5.5638582888944743</v>
      </c>
      <c r="GH15">
        <v>1.8017786332401569</v>
      </c>
      <c r="GI15">
        <v>5.7033321721972756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32">
        <f>AVERAGE(GI6:GI1005)</f>
        <v>6.7452784163730026</v>
      </c>
      <c r="FJ16" s="232"/>
      <c r="FK16" s="232">
        <f>PERCENTILE($GI$6:$GI$1005,0.975)</f>
        <v>10.111663246733341</v>
      </c>
      <c r="FL16" s="232"/>
      <c r="FM16" s="232">
        <f>PERCENTILE($GI$6:$GI$1005,0.025)</f>
        <v>4.0548012003691323</v>
      </c>
      <c r="FN16" s="232"/>
      <c r="FO16" s="5"/>
      <c r="FY16" s="210">
        <v>11</v>
      </c>
      <c r="FZ16">
        <v>13.743558622138995</v>
      </c>
      <c r="GA16">
        <v>34.235283727936455</v>
      </c>
      <c r="GB16">
        <v>12.186655046076204</v>
      </c>
      <c r="GC16">
        <v>2.6689347434920072</v>
      </c>
      <c r="GD16">
        <v>1.1441653996035215</v>
      </c>
      <c r="GE16">
        <v>2.8958257392543887</v>
      </c>
      <c r="GF16">
        <v>4.9297650723490936</v>
      </c>
      <c r="GG16">
        <v>0.92549886500865819</v>
      </c>
      <c r="GH16">
        <v>1.1490881144450649</v>
      </c>
      <c r="GI16">
        <v>7.0397586846287865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34.558166849115125</v>
      </c>
      <c r="AO17">
        <v>10.349896276918592</v>
      </c>
      <c r="AP17">
        <v>110.58035515250431</v>
      </c>
      <c r="AQ17">
        <v>80.040244426880875</v>
      </c>
      <c r="AR17">
        <v>9.7016305192327508</v>
      </c>
      <c r="AS17">
        <v>122.09266407373208</v>
      </c>
      <c r="AT17" t="e">
        <v>#DIV/0!</v>
      </c>
      <c r="AU17" t="e">
        <v>#DIV/0!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12.944274323347845</v>
      </c>
      <c r="GA17">
        <v>29.633845301854592</v>
      </c>
      <c r="GB17">
        <v>10.09386692170893</v>
      </c>
      <c r="GC17">
        <v>2.5780535645107041</v>
      </c>
      <c r="GD17">
        <v>1.1461417253818471</v>
      </c>
      <c r="GE17">
        <v>1.4479128696271943</v>
      </c>
      <c r="GF17">
        <v>4.4695677419031856</v>
      </c>
      <c r="GG17">
        <v>2.5111150923893306</v>
      </c>
      <c r="GH17">
        <v>3.0077449985782989</v>
      </c>
      <c r="GI17">
        <v>6.6038421204411257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34.587712666484208</v>
      </c>
      <c r="AO18">
        <v>7.6981199556228344</v>
      </c>
      <c r="AP18">
        <v>74.074842189231944</v>
      </c>
      <c r="AQ18">
        <v>57.789799301024075</v>
      </c>
      <c r="AR18">
        <v>7.4064119228579592</v>
      </c>
      <c r="AS18">
        <v>109.05163727955455</v>
      </c>
      <c r="AT18">
        <v>4.9164928202395792</v>
      </c>
      <c r="AU18">
        <v>36.273771451106782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5.3376311336867586</v>
      </c>
      <c r="GA18">
        <v>25.145405399124403</v>
      </c>
      <c r="GB18">
        <v>13.327552559054354</v>
      </c>
      <c r="GC18">
        <v>2.2178056524191518</v>
      </c>
      <c r="GD18">
        <v>0.60698623709433031</v>
      </c>
      <c r="GE18">
        <v>1.4499687236065399</v>
      </c>
      <c r="GF18">
        <v>8.3641575835735651</v>
      </c>
      <c r="GG18">
        <v>5.8266840329659129</v>
      </c>
      <c r="GH18">
        <v>0</v>
      </c>
      <c r="GI18">
        <v>6.3512942047815573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73.269047619047612</v>
      </c>
      <c r="AO19">
        <v>15.33285734815389</v>
      </c>
      <c r="AP19">
        <v>171.50693037471433</v>
      </c>
      <c r="AQ19">
        <v>138.26396347801</v>
      </c>
      <c r="AR19">
        <v>14.486928305805241</v>
      </c>
      <c r="AS19">
        <v>218.93922362838748</v>
      </c>
      <c r="AT19" t="e">
        <v>#DIV/0!</v>
      </c>
      <c r="AU19" t="e">
        <v>#DIV/0!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12.57834532074189</v>
      </c>
      <c r="GA19">
        <v>28.58955035431347</v>
      </c>
      <c r="GB19">
        <v>9.5015568543078501</v>
      </c>
      <c r="GC19">
        <v>2.0413946569098922</v>
      </c>
      <c r="GD19">
        <v>0.76596184996520844</v>
      </c>
      <c r="GE19">
        <v>1.3077114570000252</v>
      </c>
      <c r="GF19">
        <v>2.6843438649823188</v>
      </c>
      <c r="GG19">
        <v>1.4139197022917709</v>
      </c>
      <c r="GH19">
        <v>2.028231351774656</v>
      </c>
      <c r="GI19">
        <v>5.6321828425881018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48.222567163838718</v>
      </c>
      <c r="AO20">
        <v>10.49893291428846</v>
      </c>
      <c r="AP20">
        <v>110.37147374258387</v>
      </c>
      <c r="AQ20">
        <v>86.553795685350096</v>
      </c>
      <c r="AR20">
        <v>9.9836717575537683</v>
      </c>
      <c r="AS20">
        <v>146.65588153435036</v>
      </c>
      <c r="AT20">
        <v>6.2992980130093654</v>
      </c>
      <c r="AU20">
        <v>37.443447442524104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14.982769544227724</v>
      </c>
      <c r="GA20">
        <v>29.072570410926772</v>
      </c>
      <c r="GB20">
        <v>10.295786370742759</v>
      </c>
      <c r="GC20">
        <v>2.9015468311309247</v>
      </c>
      <c r="GD20">
        <v>1.0123638023774697</v>
      </c>
      <c r="GE20">
        <v>0.28245867923368362</v>
      </c>
      <c r="GF20">
        <v>1.8932712395304154</v>
      </c>
      <c r="GG20">
        <v>1.9507882073671707</v>
      </c>
      <c r="GH20">
        <v>1.5038724992891495</v>
      </c>
      <c r="GI20">
        <v>6.1300732878119826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140.01488095238096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14.880952380952383</v>
      </c>
      <c r="I21" s="18">
        <f t="shared" si="9"/>
        <v>35.595238095238095</v>
      </c>
      <c r="J21" s="18">
        <f t="shared" si="9"/>
        <v>24.88095238095238</v>
      </c>
      <c r="K21" s="18">
        <f t="shared" si="9"/>
        <v>54.032738095238102</v>
      </c>
      <c r="L21" s="18">
        <f t="shared" si="9"/>
        <v>9.5833333333333321</v>
      </c>
      <c r="M21" s="18">
        <f t="shared" si="9"/>
        <v>1.0416666666666665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20.662748015873021</v>
      </c>
      <c r="AO21">
        <v>6.2444508907010396</v>
      </c>
      <c r="AP21">
        <v>52.731453737755778</v>
      </c>
      <c r="AQ21">
        <v>39.575262012275303</v>
      </c>
      <c r="AR21">
        <v>6.0557371150241632</v>
      </c>
      <c r="AS21">
        <v>105.49648673619866</v>
      </c>
      <c r="AT21">
        <v>4.3437877863969634</v>
      </c>
      <c r="AU21">
        <v>-10.382239177067106</v>
      </c>
      <c r="AV21"/>
      <c r="AW21"/>
      <c r="FY21" s="210">
        <v>16</v>
      </c>
      <c r="FZ21">
        <v>13.972148702054858</v>
      </c>
      <c r="GA21">
        <v>32.686066557607326</v>
      </c>
      <c r="GB21">
        <v>11.461355183203725</v>
      </c>
      <c r="GC21">
        <v>2.2138836040415066</v>
      </c>
      <c r="GD21">
        <v>0.93604517512608776</v>
      </c>
      <c r="GE21">
        <v>0</v>
      </c>
      <c r="GF21">
        <v>2.6157787180245267</v>
      </c>
      <c r="GG21">
        <v>2.4132662603461128</v>
      </c>
      <c r="GH21">
        <v>0.5812371033785837</v>
      </c>
      <c r="GI21">
        <v>6.1891986362886087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141.57738095238096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14.880952380952383</v>
      </c>
      <c r="I22" s="18">
        <f t="shared" si="10"/>
        <v>33.511904761904759</v>
      </c>
      <c r="J22" s="18">
        <f t="shared" si="10"/>
        <v>23.839285714285715</v>
      </c>
      <c r="K22" s="18">
        <f t="shared" si="10"/>
        <v>45.699404761904766</v>
      </c>
      <c r="L22" s="18">
        <f t="shared" si="10"/>
        <v>15.833333333333332</v>
      </c>
      <c r="M22" s="18">
        <f t="shared" si="10"/>
        <v>1.0416666666666665</v>
      </c>
      <c r="N22" s="18">
        <f t="shared" si="10"/>
        <v>2.083333333333333</v>
      </c>
      <c r="O22" s="18">
        <f t="shared" si="10"/>
        <v>3.645833333333333</v>
      </c>
      <c r="P22" s="18">
        <f t="shared" si="10"/>
        <v>0</v>
      </c>
      <c r="Q22" s="18">
        <f t="shared" si="10"/>
        <v>1.0416666666666665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30.016879333150882</v>
      </c>
      <c r="AO22">
        <v>8.0049150639126854</v>
      </c>
      <c r="AP22">
        <v>71.990040777318839</v>
      </c>
      <c r="AQ22">
        <v>51.547143408587836</v>
      </c>
      <c r="AR22">
        <v>7.8111475469974234</v>
      </c>
      <c r="AS22">
        <v>117.69714826226982</v>
      </c>
      <c r="AT22">
        <v>5.2428118589165784</v>
      </c>
      <c r="AU22">
        <v>-25.061664491231468</v>
      </c>
      <c r="AV22"/>
      <c r="AW22"/>
      <c r="FY22" s="210">
        <v>17</v>
      </c>
      <c r="FZ22">
        <v>12.902868889881137</v>
      </c>
      <c r="GA22">
        <v>27.591167741811905</v>
      </c>
      <c r="GB22">
        <v>8.8963628043128971</v>
      </c>
      <c r="GC22">
        <v>1.5198898169130648</v>
      </c>
      <c r="GD22">
        <v>0.61536595379172743</v>
      </c>
      <c r="GE22">
        <v>1.4499687236065399</v>
      </c>
      <c r="GF22">
        <v>6.4708863440431506</v>
      </c>
      <c r="GG22">
        <v>4.3859470504512519</v>
      </c>
      <c r="GH22">
        <v>1.0341425404475817</v>
      </c>
      <c r="GI22">
        <v>6.0617894887320887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42.049808429118784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3.1429597701149423</v>
      </c>
      <c r="I23" s="18">
        <f t="shared" si="11"/>
        <v>0</v>
      </c>
      <c r="J23" s="18">
        <f t="shared" si="11"/>
        <v>17.379070881226056</v>
      </c>
      <c r="K23" s="18">
        <f t="shared" si="11"/>
        <v>7.9861111111111107</v>
      </c>
      <c r="L23" s="18">
        <f t="shared" si="11"/>
        <v>6.25</v>
      </c>
      <c r="M23" s="18">
        <f t="shared" si="11"/>
        <v>0.52083333333333326</v>
      </c>
      <c r="N23" s="18">
        <f t="shared" si="11"/>
        <v>2.083333333333333</v>
      </c>
      <c r="O23" s="18">
        <f t="shared" si="11"/>
        <v>3.645833333333333</v>
      </c>
      <c r="P23" s="18">
        <f t="shared" si="11"/>
        <v>0</v>
      </c>
      <c r="Q23" s="18">
        <f t="shared" si="11"/>
        <v>1.0416666666666665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46.921275200693302</v>
      </c>
      <c r="AO23">
        <v>12.365788969660688</v>
      </c>
      <c r="AP23">
        <v>133.15877427363452</v>
      </c>
      <c r="AQ23">
        <v>98.886573853315042</v>
      </c>
      <c r="AR23">
        <v>11.557233623454131</v>
      </c>
      <c r="AS23">
        <v>198.23975828679815</v>
      </c>
      <c r="AT23" t="e">
        <v>#DIV/0!</v>
      </c>
      <c r="AU23" t="e">
        <v>#DIV/0!</v>
      </c>
      <c r="AV23"/>
      <c r="AW23"/>
      <c r="FY23" s="210">
        <v>18</v>
      </c>
      <c r="FZ23">
        <v>3.4265839268089411</v>
      </c>
      <c r="GA23">
        <v>22.061012295052596</v>
      </c>
      <c r="GB23">
        <v>11.41180194570485</v>
      </c>
      <c r="GC23">
        <v>1.9580369237586306</v>
      </c>
      <c r="GD23">
        <v>0.87768755182701996</v>
      </c>
      <c r="GE23">
        <v>1.4520245775858855</v>
      </c>
      <c r="GF23">
        <v>8.561593879775856</v>
      </c>
      <c r="GG23">
        <v>6.0145859309628635</v>
      </c>
      <c r="GH23">
        <v>0.69618267737606665</v>
      </c>
      <c r="GI23">
        <v>5.8722114573966797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50.33053233484268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3.1429597701149423</v>
      </c>
      <c r="I24" s="18">
        <f t="shared" si="12"/>
        <v>20.212542087542083</v>
      </c>
      <c r="J24" s="18">
        <f t="shared" si="12"/>
        <v>20.882858760013931</v>
      </c>
      <c r="K24" s="18">
        <f t="shared" si="12"/>
        <v>5.5713383838383841</v>
      </c>
      <c r="L24" s="18">
        <f t="shared" si="12"/>
        <v>0</v>
      </c>
      <c r="M24" s="18">
        <f t="shared" si="12"/>
        <v>0.52083333333333326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31.891121031746032</v>
      </c>
      <c r="AO24">
        <v>9.1915074108268815</v>
      </c>
      <c r="AP24">
        <v>100.73530667696699</v>
      </c>
      <c r="AQ24">
        <v>72.224301693315283</v>
      </c>
      <c r="AR24">
        <v>8.7867881941276735</v>
      </c>
      <c r="AS24">
        <v>119.66851554929227</v>
      </c>
      <c r="AT24" t="e">
        <v>#DIV/0!</v>
      </c>
      <c r="AU24" t="e">
        <v>#DIV/0!</v>
      </c>
      <c r="AV24"/>
      <c r="AW24"/>
      <c r="FY24" s="210">
        <v>19</v>
      </c>
      <c r="FZ24">
        <v>23.896299251317931</v>
      </c>
      <c r="GA24">
        <v>28.792977248331937</v>
      </c>
      <c r="GB24">
        <v>5.2765797342324312</v>
      </c>
      <c r="GC24">
        <v>2.7945167244105154</v>
      </c>
      <c r="GD24">
        <v>0.95593311852004303</v>
      </c>
      <c r="GE24">
        <v>1.5942818441924</v>
      </c>
      <c r="GF24">
        <v>2.6303201836775441</v>
      </c>
      <c r="GG24">
        <v>0.60735729784495363</v>
      </c>
      <c r="GH24">
        <v>0.80768982191308281</v>
      </c>
      <c r="GI24">
        <v>6.0974050579978396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33.801557239057232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0.52083333333333326</v>
      </c>
      <c r="I25" s="18">
        <f t="shared" si="13"/>
        <v>20.212542087542083</v>
      </c>
      <c r="J25" s="18">
        <f t="shared" si="13"/>
        <v>10.795454545454543</v>
      </c>
      <c r="K25" s="18">
        <f t="shared" si="13"/>
        <v>2.2727272727272725</v>
      </c>
      <c r="L25" s="18">
        <f t="shared" si="13"/>
        <v>0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24.256462666484218</v>
      </c>
      <c r="AO25">
        <v>9.9391228616457337</v>
      </c>
      <c r="AP25">
        <v>108.51146574074779</v>
      </c>
      <c r="AQ25">
        <v>73.871843790798621</v>
      </c>
      <c r="AR25">
        <v>9.6302852940145272</v>
      </c>
      <c r="AS25">
        <v>126.3950588051309</v>
      </c>
      <c r="AT25">
        <v>6.3749554716119299</v>
      </c>
      <c r="AU25">
        <v>3.3080682533728885</v>
      </c>
      <c r="AV25"/>
      <c r="AW25"/>
      <c r="FY25" s="210">
        <v>20</v>
      </c>
      <c r="FZ25">
        <v>23.600274647617304</v>
      </c>
      <c r="GA25">
        <v>36.501863344308298</v>
      </c>
      <c r="GB25">
        <v>7.9884205664772505</v>
      </c>
      <c r="GC25">
        <v>1.8387593124887716</v>
      </c>
      <c r="GD25">
        <v>0.59610744988571029</v>
      </c>
      <c r="GE25">
        <v>0.14020141262716906</v>
      </c>
      <c r="GF25">
        <v>1.8488967683176252</v>
      </c>
      <c r="GG25">
        <v>2.7869434038963075</v>
      </c>
      <c r="GH25">
        <v>2.8359211736877388</v>
      </c>
      <c r="GI25">
        <v>6.7471211055924538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7.5520833333333321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0.52083333333333326</v>
      </c>
      <c r="I26" s="18">
        <f t="shared" si="14"/>
        <v>0</v>
      </c>
      <c r="J26" s="18">
        <f t="shared" si="14"/>
        <v>3.3854166666666661</v>
      </c>
      <c r="K26" s="18">
        <f t="shared" si="14"/>
        <v>1.692708333333333</v>
      </c>
      <c r="L26" s="18">
        <f t="shared" si="14"/>
        <v>0</v>
      </c>
      <c r="M26" s="18">
        <f t="shared" si="14"/>
        <v>0</v>
      </c>
      <c r="N26" s="18">
        <f t="shared" si="14"/>
        <v>0.65104166666666663</v>
      </c>
      <c r="O26" s="18">
        <f t="shared" si="14"/>
        <v>1.3020833333333333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20.07144396551724</v>
      </c>
      <c r="AO26">
        <v>8.8177345864076759</v>
      </c>
      <c r="AP26">
        <v>86.983474760568569</v>
      </c>
      <c r="AQ26">
        <v>58.956112564714012</v>
      </c>
      <c r="AR26">
        <v>8.3517504242437521</v>
      </c>
      <c r="AS26">
        <v>119.94249522140476</v>
      </c>
      <c r="AT26">
        <v>5.8841497150290119</v>
      </c>
      <c r="AU26">
        <v>1.6189804624579414</v>
      </c>
      <c r="AV26"/>
      <c r="AW26"/>
      <c r="FY26" s="210">
        <v>21</v>
      </c>
      <c r="FZ26">
        <v>5.2836115089566542</v>
      </c>
      <c r="GA26">
        <v>26.295275788764414</v>
      </c>
      <c r="GB26">
        <v>14.658642101298822</v>
      </c>
      <c r="GC26">
        <v>2.4753974087395774</v>
      </c>
      <c r="GD26">
        <v>0.92327362581532546</v>
      </c>
      <c r="GE26">
        <v>1.5881142822543635</v>
      </c>
      <c r="GF26">
        <v>7.7660798849583355</v>
      </c>
      <c r="GG26">
        <v>6.0084515188273029</v>
      </c>
      <c r="GH26">
        <v>2.4979613106162235</v>
      </c>
      <c r="GI26">
        <v>7.1501091096915896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13.80208333333333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1.8229166666666665</v>
      </c>
      <c r="K27" s="18">
        <f t="shared" si="15"/>
        <v>3.7760416666666665</v>
      </c>
      <c r="L27" s="18">
        <f t="shared" si="15"/>
        <v>0</v>
      </c>
      <c r="M27" s="18">
        <f t="shared" si="15"/>
        <v>1.0416666666666665</v>
      </c>
      <c r="N27" s="18">
        <f t="shared" si="15"/>
        <v>1.692708333333333</v>
      </c>
      <c r="O27" s="18">
        <f t="shared" si="15"/>
        <v>4.427083333333333</v>
      </c>
      <c r="P27" s="18">
        <f t="shared" si="15"/>
        <v>1.0416666666666665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42.41939028005838</v>
      </c>
      <c r="AO27">
        <v>10.744404952884727</v>
      </c>
      <c r="AP27">
        <v>108.06627708669973</v>
      </c>
      <c r="AQ27">
        <v>80.918534014933186</v>
      </c>
      <c r="AR27">
        <v>9.9617571803385374</v>
      </c>
      <c r="AS27">
        <v>133.2589718965996</v>
      </c>
      <c r="AT27">
        <v>6.3347198053150038</v>
      </c>
      <c r="AU27">
        <v>23.937901267530002</v>
      </c>
      <c r="AV27"/>
      <c r="AW27"/>
      <c r="FY27" s="210">
        <v>22</v>
      </c>
      <c r="FZ27">
        <v>3.2403247186433455</v>
      </c>
      <c r="GA27">
        <v>30.055519329413151</v>
      </c>
      <c r="GB27">
        <v>15.144118439550345</v>
      </c>
      <c r="GC27">
        <v>2.0340522051239547</v>
      </c>
      <c r="GD27">
        <v>0.74853433927230695</v>
      </c>
      <c r="GE27">
        <v>1.3138790189380618</v>
      </c>
      <c r="GF27">
        <v>4.9692472880008509</v>
      </c>
      <c r="GG27">
        <v>2.7784382403326111</v>
      </c>
      <c r="GH27">
        <v>2.2000551766652161</v>
      </c>
      <c r="GI27">
        <v>6.2660505289405357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10.937499999999998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0.52083333333333326</v>
      </c>
      <c r="K28" s="18">
        <f t="shared" si="15"/>
        <v>3.125</v>
      </c>
      <c r="L28" s="18">
        <f t="shared" si="15"/>
        <v>1.0416666666666665</v>
      </c>
      <c r="M28" s="18">
        <f t="shared" si="15"/>
        <v>1.0416666666666665</v>
      </c>
      <c r="N28" s="18">
        <f t="shared" si="15"/>
        <v>1.0416666666666665</v>
      </c>
      <c r="O28" s="18">
        <f t="shared" si="15"/>
        <v>3.125</v>
      </c>
      <c r="P28" s="18">
        <f t="shared" si="15"/>
        <v>1.0416666666666665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38.361060367633641</v>
      </c>
      <c r="AO28">
        <v>9.8557865974231085</v>
      </c>
      <c r="AP28">
        <v>99.69342886256625</v>
      </c>
      <c r="AQ28">
        <v>74.436364659743049</v>
      </c>
      <c r="AR28">
        <v>9.4690763828725295</v>
      </c>
      <c r="AS28">
        <v>115.12514423322513</v>
      </c>
      <c r="AT28">
        <v>6.1692135882549515</v>
      </c>
      <c r="AU28">
        <v>24.794133165368592</v>
      </c>
      <c r="AV28"/>
      <c r="AW28"/>
      <c r="FY28" s="210">
        <v>23</v>
      </c>
      <c r="FZ28">
        <v>4.8366091885828162</v>
      </c>
      <c r="GA28">
        <v>15.576023069979037</v>
      </c>
      <c r="GB28">
        <v>6.7257812303205355</v>
      </c>
      <c r="GC28">
        <v>1.2449305010212561</v>
      </c>
      <c r="GD28">
        <v>0.70003029456887944</v>
      </c>
      <c r="GE28">
        <v>6.1675619380366468E-3</v>
      </c>
      <c r="GF28">
        <v>5.358587633677236</v>
      </c>
      <c r="GG28">
        <v>5.936283275919684</v>
      </c>
      <c r="GH28">
        <v>3.4205967065267897</v>
      </c>
      <c r="GI28">
        <v>4.580480340774308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3.645833333333333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2.083333333333333</v>
      </c>
      <c r="M29" s="18">
        <f t="shared" si="15"/>
        <v>1.0416666666666665</v>
      </c>
      <c r="N29" s="18">
        <f t="shared" si="15"/>
        <v>0</v>
      </c>
      <c r="O29" s="18">
        <f t="shared" si="15"/>
        <v>0.52083333333333326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22.717840608465604</v>
      </c>
      <c r="AO29">
        <v>9.8790240412873089</v>
      </c>
      <c r="AP29">
        <v>101.67699674293404</v>
      </c>
      <c r="AQ29">
        <v>68.627485526306572</v>
      </c>
      <c r="AR29">
        <v>9.295212823088514</v>
      </c>
      <c r="AS29">
        <v>108.73873239751809</v>
      </c>
      <c r="AT29" t="e">
        <v>#DIV/0!</v>
      </c>
      <c r="AU29" t="e">
        <v>#DIV/0!</v>
      </c>
      <c r="AV29"/>
      <c r="AW29"/>
      <c r="FY29" s="210">
        <v>24</v>
      </c>
      <c r="FZ29">
        <v>4.6860846077613525</v>
      </c>
      <c r="GA29">
        <v>10.023346128143263</v>
      </c>
      <c r="GB29">
        <v>5.3760679821356305</v>
      </c>
      <c r="GC29">
        <v>1.9416681738442119</v>
      </c>
      <c r="GD29">
        <v>0.84395390826281746</v>
      </c>
      <c r="GE29">
        <v>0.14020141262716906</v>
      </c>
      <c r="GF29">
        <v>0.22282793239644536</v>
      </c>
      <c r="GG29">
        <v>0.9546868966596852</v>
      </c>
      <c r="GH29">
        <v>2.9642528399973243</v>
      </c>
      <c r="GI29">
        <v>3.0711590043763954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46.662832657444739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3.7089490968801315</v>
      </c>
      <c r="I30" s="18">
        <f t="shared" si="16"/>
        <v>11.161556036556036</v>
      </c>
      <c r="J30" s="18">
        <f t="shared" si="16"/>
        <v>10.97567889485993</v>
      </c>
      <c r="K30" s="18">
        <f t="shared" si="16"/>
        <v>13.613523629148634</v>
      </c>
      <c r="L30" s="18">
        <f t="shared" si="16"/>
        <v>3.5833333333333335</v>
      </c>
      <c r="M30" s="18">
        <f t="shared" si="16"/>
        <v>0.72916666666666652</v>
      </c>
      <c r="N30" s="18">
        <f t="shared" si="16"/>
        <v>0.75520833333333326</v>
      </c>
      <c r="O30" s="18">
        <f t="shared" si="16"/>
        <v>1.71875</v>
      </c>
      <c r="P30" s="18">
        <f t="shared" si="16"/>
        <v>0.20833333333333331</v>
      </c>
      <c r="Q30" s="18">
        <f t="shared" si="16"/>
        <v>0.20833333333333331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33.353916370187918</v>
      </c>
      <c r="AO30">
        <v>8.5583886296097322</v>
      </c>
      <c r="AP30">
        <v>88.492597572004911</v>
      </c>
      <c r="AQ30">
        <v>66.543198254875193</v>
      </c>
      <c r="AR30">
        <v>8.0461811363366031</v>
      </c>
      <c r="AS30">
        <v>114.64738277171318</v>
      </c>
      <c r="AT30" t="e">
        <v>#DIV/0!</v>
      </c>
      <c r="AU30" t="e">
        <v>#DIV/0!</v>
      </c>
      <c r="AV30"/>
      <c r="AW30"/>
      <c r="FY30" s="210">
        <v>25</v>
      </c>
      <c r="FZ30">
        <v>3.6448633034538642</v>
      </c>
      <c r="GA30">
        <v>15.089371178351199</v>
      </c>
      <c r="GB30">
        <v>9.1591741198208236</v>
      </c>
      <c r="GC30">
        <v>2.5783988574686676</v>
      </c>
      <c r="GD30">
        <v>0.87611540878725436</v>
      </c>
      <c r="GE30">
        <v>1.4499687236065399</v>
      </c>
      <c r="GF30">
        <v>6.7477379577443699</v>
      </c>
      <c r="GG30">
        <v>4.2880982184080345</v>
      </c>
      <c r="GH30">
        <v>0.69618267737606665</v>
      </c>
      <c r="GI30">
        <v>4.8808817469101209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37.735828886152163</v>
      </c>
      <c r="AO31">
        <v>9.1453897527538679</v>
      </c>
      <c r="AP31">
        <v>93.413223867811041</v>
      </c>
      <c r="AQ31">
        <v>70.025500872638048</v>
      </c>
      <c r="AR31">
        <v>8.9072410876824826</v>
      </c>
      <c r="AS31">
        <v>118.7365320351055</v>
      </c>
      <c r="AT31" t="e">
        <v>#DIV/0!</v>
      </c>
      <c r="AU31" t="e">
        <v>#DIV/0!</v>
      </c>
      <c r="AV31"/>
      <c r="AW31"/>
      <c r="FY31" s="210">
        <v>26</v>
      </c>
      <c r="FZ31">
        <v>12.997999816795799</v>
      </c>
      <c r="GA31">
        <v>21.411181249947074</v>
      </c>
      <c r="GB31">
        <v>6.4712103177297671</v>
      </c>
      <c r="GC31">
        <v>1.9335204839332203</v>
      </c>
      <c r="GD31">
        <v>0.53345494507532298</v>
      </c>
      <c r="GE31">
        <v>4.0633357836272452</v>
      </c>
      <c r="GF31">
        <v>10.02604255797813</v>
      </c>
      <c r="GG31">
        <v>5.0631686273402421</v>
      </c>
      <c r="GH31">
        <v>3.0188817336412632</v>
      </c>
      <c r="GI31">
        <v>6.4638648015130125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49.037449256522528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41.05310618500274</v>
      </c>
      <c r="AO32">
        <v>9.2449994780897491</v>
      </c>
      <c r="AP32">
        <v>98.09778933174232</v>
      </c>
      <c r="AQ32">
        <v>73.06897994007133</v>
      </c>
      <c r="AR32">
        <v>8.9313573083218465</v>
      </c>
      <c r="AS32">
        <v>157.81831804827647</v>
      </c>
      <c r="AT32" t="e">
        <v>#DIV/0!</v>
      </c>
      <c r="AU32" t="e">
        <v>#DIV/0!</v>
      </c>
      <c r="AV32"/>
      <c r="AW32"/>
      <c r="FY32" s="210">
        <v>27</v>
      </c>
      <c r="FZ32">
        <v>15.023328137742329</v>
      </c>
      <c r="GA32">
        <v>29.797319656259084</v>
      </c>
      <c r="GB32">
        <v>9.666144756719671</v>
      </c>
      <c r="GC32">
        <v>1.8068350269653664</v>
      </c>
      <c r="GD32">
        <v>0.89085030132524157</v>
      </c>
      <c r="GE32">
        <v>1.5901701362337088</v>
      </c>
      <c r="GF32">
        <v>4.0239118771102946</v>
      </c>
      <c r="GG32">
        <v>3.299835115664381</v>
      </c>
      <c r="GH32">
        <v>2.2111919117281804</v>
      </c>
      <c r="GI32">
        <v>6.4617151027669637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33.267326902025175</v>
      </c>
      <c r="AO33">
        <v>9.1597721789533555</v>
      </c>
      <c r="AP33">
        <v>95.669431280101549</v>
      </c>
      <c r="AQ33">
        <v>70.928389353991335</v>
      </c>
      <c r="AR33">
        <v>8.6656911695297154</v>
      </c>
      <c r="AS33">
        <v>119.98280823783868</v>
      </c>
      <c r="AT33">
        <v>5.6199377357892066</v>
      </c>
      <c r="AU33">
        <v>17.257741433309519</v>
      </c>
      <c r="AV33"/>
      <c r="AW33"/>
      <c r="FY33" s="210">
        <v>28</v>
      </c>
      <c r="FZ33">
        <v>4.0894269396891101</v>
      </c>
      <c r="GA33">
        <v>25.448401833259314</v>
      </c>
      <c r="GB33">
        <v>12.107409085172026</v>
      </c>
      <c r="GC33">
        <v>1.4712998531615868</v>
      </c>
      <c r="GD33">
        <v>0.87111751805726745</v>
      </c>
      <c r="GE33">
        <v>4.1117079586910979E-3</v>
      </c>
      <c r="GF33">
        <v>6.9750072595064321</v>
      </c>
      <c r="GG33">
        <v>8.9939330737256107</v>
      </c>
      <c r="GH33">
        <v>4.9356059408789035</v>
      </c>
      <c r="GI33">
        <v>6.559447152474859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22.937811872833421</v>
      </c>
      <c r="AO34">
        <v>9.0961182292007603</v>
      </c>
      <c r="AP34">
        <v>91.896815875295687</v>
      </c>
      <c r="AQ34">
        <v>62.331721166249402</v>
      </c>
      <c r="AR34">
        <v>8.5662431038795201</v>
      </c>
      <c r="AS34">
        <v>96.881865201770282</v>
      </c>
      <c r="AT34" t="e">
        <v>#DIV/0!</v>
      </c>
      <c r="AU34" t="e">
        <v>#DIV/0!</v>
      </c>
      <c r="AV34"/>
      <c r="AW34"/>
      <c r="FY34" s="210">
        <v>29</v>
      </c>
      <c r="FZ34">
        <v>22.452917358558071</v>
      </c>
      <c r="GA34">
        <v>36.648119324484483</v>
      </c>
      <c r="GB34">
        <v>8.8923863493572277</v>
      </c>
      <c r="GC34">
        <v>2.0337127229551144</v>
      </c>
      <c r="GD34">
        <v>0.42230197931181351</v>
      </c>
      <c r="GE34">
        <v>1.3097673109793708</v>
      </c>
      <c r="GF34">
        <v>4.5235914232079599</v>
      </c>
      <c r="GG34">
        <v>3.9071924135093345</v>
      </c>
      <c r="GH34">
        <v>3.7150644110173299</v>
      </c>
      <c r="GI34">
        <v>7.4161837030600921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50.11215049717206</v>
      </c>
      <c r="AO35">
        <v>8.9157702774120402</v>
      </c>
      <c r="AP35">
        <v>87.861502315291943</v>
      </c>
      <c r="AQ35">
        <v>73.453360282438666</v>
      </c>
      <c r="AR35">
        <v>8.5136814748166323</v>
      </c>
      <c r="AS35">
        <v>151.75199193678051</v>
      </c>
      <c r="AT35">
        <v>5.4861377406381315</v>
      </c>
      <c r="AU35">
        <v>78.034938778204179</v>
      </c>
      <c r="AV35"/>
      <c r="AW35"/>
      <c r="FY35" s="210">
        <v>30</v>
      </c>
      <c r="FZ35">
        <v>32.227084154763304</v>
      </c>
      <c r="GA35">
        <v>51.781873594141757</v>
      </c>
      <c r="GB35">
        <v>10.23446773652223</v>
      </c>
      <c r="GC35">
        <v>1.6323072691100105</v>
      </c>
      <c r="GD35">
        <v>0.67873144350694359</v>
      </c>
      <c r="GE35">
        <v>1.4540804315652309</v>
      </c>
      <c r="GF35">
        <v>8.0619143336781889</v>
      </c>
      <c r="GG35">
        <v>5.9172798579704198</v>
      </c>
      <c r="GH35">
        <v>0.45290543706899811</v>
      </c>
      <c r="GI35">
        <v>9.5658156263657119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1.2306894681605939E-3</v>
      </c>
      <c r="H36" s="59">
        <f t="shared" ref="H36:AK36" si="17">(1-($A$43/100))*($A$39*(H35^$A$41))</f>
        <v>7.3997000000000004E-3</v>
      </c>
      <c r="I36" s="59">
        <f t="shared" si="17"/>
        <v>4.4491775956966982E-2</v>
      </c>
      <c r="J36" s="59">
        <f t="shared" si="17"/>
        <v>0.12705855737942889</v>
      </c>
      <c r="K36" s="59">
        <f t="shared" si="17"/>
        <v>0.26751329483694541</v>
      </c>
      <c r="L36" s="59">
        <f t="shared" si="17"/>
        <v>0.47659390506970939</v>
      </c>
      <c r="M36" s="59">
        <f t="shared" si="17"/>
        <v>0.76395811564536187</v>
      </c>
      <c r="N36" s="59">
        <f t="shared" si="17"/>
        <v>1.1384863825958209</v>
      </c>
      <c r="O36" s="59">
        <f t="shared" si="17"/>
        <v>1.6084627186771661</v>
      </c>
      <c r="P36" s="59">
        <f t="shared" si="17"/>
        <v>2.1816934474832261</v>
      </c>
      <c r="Q36" s="59">
        <f t="shared" si="17"/>
        <v>2.8655903951264921</v>
      </c>
      <c r="R36" s="59">
        <f t="shared" si="17"/>
        <v>3.6672319699440723</v>
      </c>
      <c r="S36" s="59">
        <f t="shared" si="17"/>
        <v>4.5934096411746577</v>
      </c>
      <c r="T36" s="59">
        <f t="shared" si="17"/>
        <v>5.6506643198222486</v>
      </c>
      <c r="U36" s="59">
        <f t="shared" si="17"/>
        <v>6.8453154944809951</v>
      </c>
      <c r="V36" s="59">
        <f t="shared" si="17"/>
        <v>8.1834850107417534</v>
      </c>
      <c r="W36" s="59">
        <f t="shared" si="17"/>
        <v>9.6711167904804913</v>
      </c>
      <c r="X36" s="59">
        <f t="shared" si="17"/>
        <v>11.313993408037629</v>
      </c>
      <c r="Y36" s="59">
        <f t="shared" si="17"/>
        <v>13.117750188819354</v>
      </c>
      <c r="Z36" s="59">
        <f t="shared" si="17"/>
        <v>15.087887324101303</v>
      </c>
      <c r="AA36" s="59">
        <f t="shared" si="17"/>
        <v>17.229780375475261</v>
      </c>
      <c r="AB36" s="59">
        <f t="shared" si="17"/>
        <v>19.548689456160336</v>
      </c>
      <c r="AC36" s="59">
        <f t="shared" si="17"/>
        <v>22.049767313401674</v>
      </c>
      <c r="AD36" s="59">
        <f t="shared" si="17"/>
        <v>24.738066489339104</v>
      </c>
      <c r="AE36" s="59">
        <f t="shared" si="17"/>
        <v>27.61854570235483</v>
      </c>
      <c r="AF36" s="59">
        <f t="shared" si="17"/>
        <v>30.696075563819505</v>
      </c>
      <c r="AG36" s="59">
        <f t="shared" si="17"/>
        <v>33.975443724145379</v>
      </c>
      <c r="AH36" s="59">
        <f t="shared" si="17"/>
        <v>37.461359525571552</v>
      </c>
      <c r="AI36" s="59">
        <f t="shared" si="17"/>
        <v>41.15845822603665</v>
      </c>
      <c r="AJ36" s="59">
        <f t="shared" si="17"/>
        <v>45.071304848034394</v>
      </c>
      <c r="AK36" s="59">
        <f t="shared" si="17"/>
        <v>49.204397697895814</v>
      </c>
      <c r="AL36" s="42"/>
      <c r="AM36" s="43">
        <v>20</v>
      </c>
      <c r="AN36">
        <v>42.308399470899467</v>
      </c>
      <c r="AO36">
        <v>10.007953202109698</v>
      </c>
      <c r="AP36">
        <v>108.18573527656486</v>
      </c>
      <c r="AQ36">
        <v>84.884509184898619</v>
      </c>
      <c r="AR36">
        <v>9.7166655692954755</v>
      </c>
      <c r="AS36">
        <v>151.68463572385909</v>
      </c>
      <c r="AT36" t="e">
        <v>#DIV/0!</v>
      </c>
      <c r="AU36" t="e">
        <v>#DIV/0!</v>
      </c>
      <c r="AV36"/>
      <c r="AW36"/>
      <c r="FY36" s="210">
        <v>31</v>
      </c>
      <c r="FZ36">
        <v>15.434504048894395</v>
      </c>
      <c r="GA36">
        <v>30.630780200499188</v>
      </c>
      <c r="GB36">
        <v>10.685575189518037</v>
      </c>
      <c r="GC36">
        <v>2.2481412957038636</v>
      </c>
      <c r="GD36">
        <v>0.85422654154398603</v>
      </c>
      <c r="GE36">
        <v>2.6154229140000504</v>
      </c>
      <c r="GF36">
        <v>7.7806213506113524</v>
      </c>
      <c r="GG36">
        <v>4.9620745479501673</v>
      </c>
      <c r="GH36">
        <v>3.7150644110173299</v>
      </c>
      <c r="GI36">
        <v>7.7370702951498114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24.67277161518582</v>
      </c>
      <c r="E37" s="107">
        <f t="shared" ref="E37:E46" si="19">+D37/D21</f>
        <v>0.17621535259225071</v>
      </c>
      <c r="F37" s="18"/>
      <c r="G37" s="49">
        <f t="shared" ref="G37:G43" si="20">G21*G$36</f>
        <v>0</v>
      </c>
      <c r="H37" s="49">
        <f t="shared" ref="H37:AK40" si="21">H21*H$36</f>
        <v>0.11011458333333335</v>
      </c>
      <c r="I37" s="49">
        <f t="shared" si="21"/>
        <v>1.5836953584682294</v>
      </c>
      <c r="J37" s="49">
        <f t="shared" si="21"/>
        <v>3.1613379157500758</v>
      </c>
      <c r="K37" s="49">
        <f t="shared" si="21"/>
        <v>14.454475796918883</v>
      </c>
      <c r="L37" s="49">
        <f t="shared" si="21"/>
        <v>4.5673582569180473</v>
      </c>
      <c r="M37" s="49">
        <f t="shared" si="21"/>
        <v>0.79578970379725178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27.298922983944532</v>
      </c>
      <c r="AO37">
        <v>10.841306202920999</v>
      </c>
      <c r="AP37">
        <v>110.3786719154072</v>
      </c>
      <c r="AQ37">
        <v>74.6469165399226</v>
      </c>
      <c r="AR37">
        <v>10.480544032291711</v>
      </c>
      <c r="AS37">
        <v>116.80249775812183</v>
      </c>
      <c r="AT37">
        <v>6.9372180349279047</v>
      </c>
      <c r="AU37">
        <v>19.307611684860419</v>
      </c>
      <c r="AV37"/>
      <c r="AW37"/>
      <c r="FY37" s="210">
        <v>32</v>
      </c>
      <c r="FZ37">
        <v>22.017044274636003</v>
      </c>
      <c r="GA37">
        <v>45.00534346368152</v>
      </c>
      <c r="GB37">
        <v>11.243353806634108</v>
      </c>
      <c r="GC37">
        <v>1.4446607186112446</v>
      </c>
      <c r="GD37">
        <v>0.9165289105771266</v>
      </c>
      <c r="GE37">
        <v>2.8958257392543887</v>
      </c>
      <c r="GF37">
        <v>5.8333264297761627</v>
      </c>
      <c r="GG37">
        <v>3.1342730027110393</v>
      </c>
      <c r="GH37">
        <v>4.296301514395914</v>
      </c>
      <c r="GI37">
        <v>8.5896050832542947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36.418185821558261</v>
      </c>
      <c r="E38" s="107">
        <f t="shared" si="19"/>
        <v>0.25723166777472306</v>
      </c>
      <c r="F38" s="18"/>
      <c r="G38" s="49">
        <f t="shared" si="20"/>
        <v>0</v>
      </c>
      <c r="H38" s="49">
        <f t="shared" si="21"/>
        <v>0.11011458333333335</v>
      </c>
      <c r="I38" s="49">
        <f t="shared" si="21"/>
        <v>1.4910041585578815</v>
      </c>
      <c r="J38" s="49">
        <f t="shared" si="21"/>
        <v>3.0289852518131712</v>
      </c>
      <c r="K38" s="49">
        <f t="shared" si="21"/>
        <v>12.225198339944336</v>
      </c>
      <c r="L38" s="49">
        <f t="shared" si="21"/>
        <v>7.5460701636037317</v>
      </c>
      <c r="M38" s="49">
        <f t="shared" si="21"/>
        <v>0.79578970379725178</v>
      </c>
      <c r="N38" s="49">
        <f t="shared" si="21"/>
        <v>2.3718466304079597</v>
      </c>
      <c r="O38" s="49">
        <f t="shared" si="21"/>
        <v>5.8641869951771675</v>
      </c>
      <c r="P38" s="49">
        <f t="shared" si="21"/>
        <v>0</v>
      </c>
      <c r="Q38" s="49">
        <f t="shared" si="21"/>
        <v>2.9849899949234286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23.585218253968254</v>
      </c>
      <c r="AO38">
        <v>9.7215842399669938</v>
      </c>
      <c r="AP38">
        <v>103.24111278498248</v>
      </c>
      <c r="AQ38">
        <v>68.750219284880373</v>
      </c>
      <c r="AR38">
        <v>9.2292416622649984</v>
      </c>
      <c r="AS38">
        <v>144.7155992266093</v>
      </c>
      <c r="AT38">
        <v>5.8909605378113428</v>
      </c>
      <c r="AU38">
        <v>-8.9333668418951468</v>
      </c>
      <c r="AV38"/>
      <c r="AW38"/>
      <c r="FY38" s="210">
        <v>33</v>
      </c>
      <c r="FZ38">
        <v>6.3107240491822942</v>
      </c>
      <c r="GA38">
        <v>26.526060831649289</v>
      </c>
      <c r="GB38">
        <v>13.216967828153354</v>
      </c>
      <c r="GC38">
        <v>1.6336702365444518</v>
      </c>
      <c r="GD38">
        <v>0.72252753637778566</v>
      </c>
      <c r="GE38">
        <v>4.0653916376065906</v>
      </c>
      <c r="GF38">
        <v>11.804533227721649</v>
      </c>
      <c r="GG38">
        <v>6.7428456803665</v>
      </c>
      <c r="GH38">
        <v>3.6001188370198469</v>
      </c>
      <c r="GI38">
        <v>7.803595531783472</v>
      </c>
      <c r="GJ38"/>
      <c r="GK38"/>
      <c r="GL38"/>
      <c r="GM38"/>
    </row>
    <row r="39" spans="1:195" s="7" customFormat="1">
      <c r="A39" s="114">
        <v>7.7000000000000002E-3</v>
      </c>
      <c r="B39" s="57"/>
      <c r="C39" s="48" t="s">
        <v>40</v>
      </c>
      <c r="D39" s="49">
        <f t="shared" si="18"/>
        <v>18.965437909534479</v>
      </c>
      <c r="E39" s="107">
        <f t="shared" si="19"/>
        <v>0.451023170331526</v>
      </c>
      <c r="F39" s="18"/>
      <c r="G39" s="49">
        <f t="shared" si="20"/>
        <v>0</v>
      </c>
      <c r="H39" s="49">
        <f t="shared" si="21"/>
        <v>2.3256959410919539E-2</v>
      </c>
      <c r="I39" s="49">
        <f t="shared" si="21"/>
        <v>0</v>
      </c>
      <c r="J39" s="49">
        <f t="shared" si="21"/>
        <v>2.2081596747634227</v>
      </c>
      <c r="K39" s="49">
        <f t="shared" si="21"/>
        <v>2.1363908962672724</v>
      </c>
      <c r="L39" s="49">
        <f t="shared" si="21"/>
        <v>2.9787119066856835</v>
      </c>
      <c r="M39" s="49">
        <f t="shared" si="21"/>
        <v>0.39789485189862589</v>
      </c>
      <c r="N39" s="49">
        <f t="shared" si="21"/>
        <v>2.3718466304079597</v>
      </c>
      <c r="O39" s="49">
        <f t="shared" si="21"/>
        <v>5.8641869951771675</v>
      </c>
      <c r="P39" s="49">
        <f t="shared" si="21"/>
        <v>0</v>
      </c>
      <c r="Q39" s="49">
        <f t="shared" si="21"/>
        <v>2.9849899949234286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18.497965129538404</v>
      </c>
      <c r="AO39">
        <v>6.8805186475129592</v>
      </c>
      <c r="AP39">
        <v>71.242068368216394</v>
      </c>
      <c r="AQ39">
        <v>48.385489803308573</v>
      </c>
      <c r="AR39">
        <v>6.8591253393644624</v>
      </c>
      <c r="AS39">
        <v>70.759813355084646</v>
      </c>
      <c r="AT39" t="e">
        <v>#DIV/0!</v>
      </c>
      <c r="AU39" t="e">
        <v>#DIV/0!</v>
      </c>
      <c r="AV39"/>
      <c r="AW39"/>
      <c r="FY39" s="210">
        <v>34</v>
      </c>
      <c r="FZ39">
        <v>3.3630639017831938</v>
      </c>
      <c r="GA39">
        <v>21.302720766522373</v>
      </c>
      <c r="GB39">
        <v>11.484540011455991</v>
      </c>
      <c r="GC39">
        <v>2.2022767360501359</v>
      </c>
      <c r="GD39">
        <v>0.92291327311253002</v>
      </c>
      <c r="GE39">
        <v>1.4499687236065399</v>
      </c>
      <c r="GF39">
        <v>6.7223463215502139</v>
      </c>
      <c r="GG39">
        <v>5.2103942779441832</v>
      </c>
      <c r="GH39">
        <v>2.4945228811557567</v>
      </c>
      <c r="GI39">
        <v>5.845466994559386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5.464196701107122</v>
      </c>
      <c r="E40" s="107">
        <f t="shared" si="19"/>
        <v>0.10856624095995072</v>
      </c>
      <c r="F40" s="18"/>
      <c r="G40" s="49">
        <f t="shared" si="20"/>
        <v>0</v>
      </c>
      <c r="H40" s="49">
        <f t="shared" si="21"/>
        <v>2.3256959410919539E-2</v>
      </c>
      <c r="I40" s="49">
        <f t="shared" si="21"/>
        <v>0.89929189407968801</v>
      </c>
      <c r="J40" s="49">
        <f t="shared" si="21"/>
        <v>2.6533459080057393</v>
      </c>
      <c r="K40" s="49">
        <f t="shared" si="21"/>
        <v>1.4904070877121487</v>
      </c>
      <c r="L40" s="49">
        <f t="shared" si="21"/>
        <v>0</v>
      </c>
      <c r="M40" s="49">
        <f t="shared" si="21"/>
        <v>0.39789485189862589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21.35092250501733</v>
      </c>
      <c r="AO40">
        <v>4.3036351830922408</v>
      </c>
      <c r="AP40">
        <v>40.334055787945495</v>
      </c>
      <c r="AQ40">
        <v>30.22424888620429</v>
      </c>
      <c r="AR40">
        <v>4.435552568167938</v>
      </c>
      <c r="AS40">
        <v>75.370615307967626</v>
      </c>
      <c r="AT40" t="e">
        <v>#DIV/0!</v>
      </c>
      <c r="AU40" t="e">
        <v>#DIV/0!</v>
      </c>
      <c r="AV40"/>
      <c r="AW40"/>
      <c r="FY40" s="210">
        <v>35</v>
      </c>
      <c r="FZ40">
        <v>14.510259242841759</v>
      </c>
      <c r="GA40">
        <v>23.776694569649251</v>
      </c>
      <c r="GB40">
        <v>6.9669346519237481</v>
      </c>
      <c r="GC40">
        <v>1.7437369200599175</v>
      </c>
      <c r="GD40">
        <v>0.8889107232309007</v>
      </c>
      <c r="GE40">
        <v>0.28040282525433813</v>
      </c>
      <c r="GF40">
        <v>5.0817360199760166</v>
      </c>
      <c r="GG40">
        <v>5.864115033012065</v>
      </c>
      <c r="GH40">
        <v>2.9508667476852217</v>
      </c>
      <c r="GI40">
        <v>5.9900091419184527</v>
      </c>
      <c r="GJ40"/>
      <c r="GK40"/>
      <c r="GL40"/>
      <c r="GM40"/>
    </row>
    <row r="41" spans="1:195" s="7" customFormat="1">
      <c r="A41" s="114">
        <v>2.5880000000000001</v>
      </c>
      <c r="B41" s="57"/>
      <c r="C41" s="48" t="s">
        <v>42</v>
      </c>
      <c r="D41" s="49">
        <f t="shared" si="18"/>
        <v>2.8827855462900649</v>
      </c>
      <c r="E41" s="107">
        <f t="shared" si="19"/>
        <v>8.5285583912656129E-2</v>
      </c>
      <c r="F41" s="18"/>
      <c r="G41" s="49">
        <f t="shared" si="20"/>
        <v>0</v>
      </c>
      <c r="H41" s="49">
        <f t="shared" ref="H41:AK43" si="22">H25*H$36</f>
        <v>3.8540104166666662E-3</v>
      </c>
      <c r="I41" s="49">
        <f t="shared" si="22"/>
        <v>0.89929189407968801</v>
      </c>
      <c r="J41" s="49">
        <f t="shared" si="22"/>
        <v>1.3716548808006526</v>
      </c>
      <c r="K41" s="49">
        <f t="shared" si="22"/>
        <v>0.60798476099305765</v>
      </c>
      <c r="L41" s="49">
        <f t="shared" si="22"/>
        <v>0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23.301305076628349</v>
      </c>
      <c r="AO41">
        <v>7.3866156856463974</v>
      </c>
      <c r="AP41">
        <v>70.025711724259153</v>
      </c>
      <c r="AQ41">
        <v>49.410792191926937</v>
      </c>
      <c r="AR41">
        <v>6.9849680087229791</v>
      </c>
      <c r="AS41">
        <v>120.5555824196054</v>
      </c>
      <c r="AT41" t="e">
        <v>#DIV/0!</v>
      </c>
      <c r="AU41" t="e">
        <v>#DIV/0!</v>
      </c>
      <c r="AV41"/>
      <c r="AW41"/>
      <c r="FY41" s="210">
        <v>36</v>
      </c>
      <c r="FZ41">
        <v>4.8037069960884233</v>
      </c>
      <c r="GA41">
        <v>20.78304433053664</v>
      </c>
      <c r="GB41">
        <v>10.852073866440771</v>
      </c>
      <c r="GC41">
        <v>1.7150604223650285</v>
      </c>
      <c r="GD41">
        <v>0.46018739949047233</v>
      </c>
      <c r="GE41">
        <v>1.5881142822543635</v>
      </c>
      <c r="GF41">
        <v>5.8187849641231448</v>
      </c>
      <c r="GG41">
        <v>4.3506670485390115</v>
      </c>
      <c r="GH41">
        <v>2.6094684551532397</v>
      </c>
      <c r="GI41">
        <v>5.4593598060018564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3.72237672193961</v>
      </c>
      <c r="E42" s="107">
        <f t="shared" si="19"/>
        <v>0.49289402111200359</v>
      </c>
      <c r="F42" s="18"/>
      <c r="G42" s="49">
        <f t="shared" si="20"/>
        <v>0</v>
      </c>
      <c r="H42" s="49">
        <f t="shared" si="22"/>
        <v>3.8540104166666662E-3</v>
      </c>
      <c r="I42" s="49">
        <f t="shared" si="22"/>
        <v>0</v>
      </c>
      <c r="J42" s="49">
        <f t="shared" si="22"/>
        <v>0.43014615779494147</v>
      </c>
      <c r="K42" s="49">
        <f t="shared" si="22"/>
        <v>0.45282198344795438</v>
      </c>
      <c r="L42" s="49">
        <f t="shared" si="22"/>
        <v>0</v>
      </c>
      <c r="M42" s="49">
        <f t="shared" si="22"/>
        <v>0</v>
      </c>
      <c r="N42" s="49">
        <f t="shared" si="22"/>
        <v>0.74120207200248756</v>
      </c>
      <c r="O42" s="49">
        <f t="shared" si="22"/>
        <v>2.0943524982775599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30.101190476190474</v>
      </c>
      <c r="AO42">
        <v>9.9488156867683948</v>
      </c>
      <c r="AP42">
        <v>96.518037689931816</v>
      </c>
      <c r="AQ42">
        <v>71.982660317581079</v>
      </c>
      <c r="AR42">
        <v>9.0980125306633468</v>
      </c>
      <c r="AS42">
        <v>144.26240128671955</v>
      </c>
      <c r="AT42">
        <v>6.1208038671243692</v>
      </c>
      <c r="AU42">
        <v>48.865920844343464</v>
      </c>
      <c r="AV42"/>
      <c r="AW42"/>
      <c r="FY42" s="210">
        <v>37</v>
      </c>
      <c r="FZ42">
        <v>13.854574323228878</v>
      </c>
      <c r="GA42">
        <v>38.184251421713306</v>
      </c>
      <c r="GB42">
        <v>13.313564220096653</v>
      </c>
      <c r="GC42">
        <v>1.336905167840037</v>
      </c>
      <c r="GD42">
        <v>0.59739771744334802</v>
      </c>
      <c r="GE42">
        <v>1.4499687236065399</v>
      </c>
      <c r="GF42">
        <v>8.3387659473794109</v>
      </c>
      <c r="GG42">
        <v>6.5789630175512253</v>
      </c>
      <c r="GH42">
        <v>2.3830157366187406</v>
      </c>
      <c r="GI42">
        <v>7.9901639944157461</v>
      </c>
      <c r="GJ42"/>
      <c r="GK42"/>
      <c r="GL42"/>
      <c r="GM42"/>
    </row>
    <row r="43" spans="1:195" s="7" customFormat="1">
      <c r="A43" s="95">
        <v>3.9</v>
      </c>
      <c r="B43" s="1"/>
      <c r="C43" s="48" t="s">
        <v>119</v>
      </c>
      <c r="D43" s="49">
        <f>IF(SUM(G43:AK43)&lt;0.0001, 0, SUM(G43:AK43))</f>
        <v>13.358069435856958</v>
      </c>
      <c r="E43" s="107">
        <f t="shared" si="19"/>
        <v>0.9678299364847307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0.23161716188958389</v>
      </c>
      <c r="K43" s="49">
        <f t="shared" si="22"/>
        <v>1.0101413476915908</v>
      </c>
      <c r="L43" s="49">
        <f t="shared" si="22"/>
        <v>0</v>
      </c>
      <c r="M43" s="49">
        <f t="shared" si="22"/>
        <v>0.79578970379725178</v>
      </c>
      <c r="N43" s="49">
        <f t="shared" si="22"/>
        <v>1.9271253872064673</v>
      </c>
      <c r="O43" s="49">
        <f t="shared" si="22"/>
        <v>7.1207984941437035</v>
      </c>
      <c r="P43" s="49">
        <f t="shared" si="22"/>
        <v>2.2725973411283604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32.275942460317452</v>
      </c>
      <c r="AO43">
        <v>9.776149797504269</v>
      </c>
      <c r="AP43">
        <v>100.82426732180168</v>
      </c>
      <c r="AQ43">
        <v>74.771302022515229</v>
      </c>
      <c r="AR43">
        <v>9.3305565120439429</v>
      </c>
      <c r="AS43">
        <v>147.63957708845524</v>
      </c>
      <c r="AT43" t="e">
        <v>#DIV/0!</v>
      </c>
      <c r="AU43" t="e">
        <v>#DIV/0!</v>
      </c>
      <c r="AV43"/>
      <c r="AW43"/>
      <c r="FY43" s="210">
        <v>38</v>
      </c>
      <c r="FZ43">
        <v>4.0228159024258288</v>
      </c>
      <c r="GA43">
        <v>10.519665116520404</v>
      </c>
      <c r="GB43">
        <v>7.9456472723950249</v>
      </c>
      <c r="GC43">
        <v>2.9668660128815447</v>
      </c>
      <c r="GD43">
        <v>0.57073047802388399</v>
      </c>
      <c r="GE43">
        <v>0</v>
      </c>
      <c r="GF43">
        <v>2.5903870818303698</v>
      </c>
      <c r="GG43">
        <v>4.0950943115062834</v>
      </c>
      <c r="GH43">
        <v>4.411247088393397</v>
      </c>
      <c r="GI43">
        <v>4.1771745448652089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10.679363718777257</v>
      </c>
      <c r="E44" s="107">
        <f t="shared" si="19"/>
        <v>0.97639896857392072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6.6176331968452545E-2</v>
      </c>
      <c r="K44" s="49">
        <f t="shared" si="23"/>
        <v>0.83597904636545439</v>
      </c>
      <c r="L44" s="49">
        <f t="shared" si="23"/>
        <v>0.4964519844476139</v>
      </c>
      <c r="M44" s="49">
        <f t="shared" si="23"/>
        <v>0.79578970379725178</v>
      </c>
      <c r="N44" s="49">
        <f t="shared" si="23"/>
        <v>1.1859233152039799</v>
      </c>
      <c r="O44" s="49">
        <f t="shared" si="23"/>
        <v>5.026445995866144</v>
      </c>
      <c r="P44" s="49">
        <f t="shared" si="23"/>
        <v>2.2725973411283604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22.810944626892901</v>
      </c>
      <c r="AO44">
        <v>10.175429239170267</v>
      </c>
      <c r="AP44">
        <v>107.62677115396744</v>
      </c>
      <c r="AQ44">
        <v>71.455760363883812</v>
      </c>
      <c r="AR44">
        <v>9.8571090991831589</v>
      </c>
      <c r="AS44">
        <v>103.99966625606147</v>
      </c>
      <c r="AT44" t="e">
        <v>#DIV/0!</v>
      </c>
      <c r="AU44" t="e">
        <v>#DIV/0!</v>
      </c>
      <c r="AV44"/>
      <c r="AW44"/>
      <c r="FY44" s="210">
        <v>39</v>
      </c>
      <c r="FZ44">
        <v>8.1031380698706936</v>
      </c>
      <c r="GA44">
        <v>29.124336474189118</v>
      </c>
      <c r="GB44">
        <v>15.306070668906941</v>
      </c>
      <c r="GC44">
        <v>1.9057790913914454</v>
      </c>
      <c r="GD44">
        <v>0.45291860874958251</v>
      </c>
      <c r="GE44">
        <v>1.4499687236065399</v>
      </c>
      <c r="GF44">
        <v>6.8911505726418847</v>
      </c>
      <c r="GG44">
        <v>5.5285358451078874</v>
      </c>
      <c r="GH44">
        <v>3.5321038510638054</v>
      </c>
      <c r="GI44">
        <v>7.4554311852128921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2.6264346720035032</v>
      </c>
      <c r="E45" s="107">
        <f t="shared" si="19"/>
        <v>0.72039351003524665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0.99290396889522781</v>
      </c>
      <c r="M45" s="49">
        <f t="shared" si="24"/>
        <v>0.79578970379725178</v>
      </c>
      <c r="N45" s="49">
        <f t="shared" si="24"/>
        <v>0</v>
      </c>
      <c r="O45" s="49">
        <f t="shared" si="24"/>
        <v>0.83774099931102386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42.773560367633635</v>
      </c>
      <c r="AO45">
        <v>11.225006322455524</v>
      </c>
      <c r="AP45">
        <v>119.21006880922455</v>
      </c>
      <c r="AQ45">
        <v>91.321236996440774</v>
      </c>
      <c r="AR45">
        <v>10.647834268136529</v>
      </c>
      <c r="AS45">
        <v>133.78222316280417</v>
      </c>
      <c r="AT45">
        <v>6.9966163273501571</v>
      </c>
      <c r="AU45">
        <v>96.463416395592873</v>
      </c>
      <c r="AV45"/>
      <c r="AW45"/>
      <c r="FY45" s="210">
        <v>40</v>
      </c>
      <c r="FZ45">
        <v>13.711253007575879</v>
      </c>
      <c r="GA45">
        <v>33.358135471341853</v>
      </c>
      <c r="GB45">
        <v>10.177815484327288</v>
      </c>
      <c r="GC45">
        <v>0.99334406523168561</v>
      </c>
      <c r="GD45">
        <v>0.62193397563837904</v>
      </c>
      <c r="GE45">
        <v>1.3077114570000252</v>
      </c>
      <c r="GF45">
        <v>4.0239118771102946</v>
      </c>
      <c r="GG45">
        <v>2.8803372739420308</v>
      </c>
      <c r="GH45">
        <v>2.1397384963116721</v>
      </c>
      <c r="GI45">
        <v>6.2585676438737874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12.501099835774168</v>
      </c>
      <c r="E46" s="107">
        <f t="shared" si="19"/>
        <v>0.26790272094164652</v>
      </c>
      <c r="F46" s="18"/>
      <c r="G46" s="49">
        <f>G30*G36</f>
        <v>0</v>
      </c>
      <c r="H46" s="49">
        <f t="shared" ref="H46:AK46" si="25">H30*H36</f>
        <v>2.7445110632183911E-2</v>
      </c>
      <c r="I46" s="49">
        <f t="shared" si="25"/>
        <v>0.49659745050958348</v>
      </c>
      <c r="J46" s="49">
        <f t="shared" si="25"/>
        <v>1.3945539266407472</v>
      </c>
      <c r="K46" s="49">
        <f t="shared" si="25"/>
        <v>3.6417985603741618</v>
      </c>
      <c r="L46" s="49">
        <f t="shared" si="25"/>
        <v>1.707794826499792</v>
      </c>
      <c r="M46" s="49">
        <f t="shared" si="25"/>
        <v>0.55705279265807628</v>
      </c>
      <c r="N46" s="49">
        <f t="shared" si="25"/>
        <v>0.8597944035228855</v>
      </c>
      <c r="O46" s="49">
        <f t="shared" si="25"/>
        <v>2.7645452977263791</v>
      </c>
      <c r="P46" s="49">
        <f t="shared" si="25"/>
        <v>0.45451946822567207</v>
      </c>
      <c r="Q46" s="49">
        <f t="shared" si="25"/>
        <v>0.59699799898468575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59.22038576445901</v>
      </c>
      <c r="AO46">
        <v>14.473306201129409</v>
      </c>
      <c r="AP46">
        <v>156.51698830920546</v>
      </c>
      <c r="AQ46">
        <v>122.00645988469279</v>
      </c>
      <c r="AR46">
        <v>13.628351085821716</v>
      </c>
      <c r="AS46">
        <v>222.3650381352885</v>
      </c>
      <c r="AT46" t="e">
        <v>#DIV/0!</v>
      </c>
      <c r="AU46" t="e">
        <v>#DIV/0!</v>
      </c>
      <c r="AV46"/>
      <c r="AW46"/>
      <c r="FY46" s="210">
        <v>41</v>
      </c>
      <c r="FZ46">
        <v>12.140149990629341</v>
      </c>
      <c r="GA46">
        <v>25.017316463982116</v>
      </c>
      <c r="GB46">
        <v>7.7729536221385249</v>
      </c>
      <c r="GC46">
        <v>2.1807089567791187</v>
      </c>
      <c r="GD46">
        <v>0.91807078374791162</v>
      </c>
      <c r="GE46">
        <v>1.4479128696271943</v>
      </c>
      <c r="GF46">
        <v>5.3477374631360988</v>
      </c>
      <c r="GG46">
        <v>5.3021511397261873</v>
      </c>
      <c r="GH46">
        <v>5.2903903257229885</v>
      </c>
      <c r="GI46">
        <v>6.3303826481869949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39.397255291005294</v>
      </c>
      <c r="AO47">
        <v>11.569666105017195</v>
      </c>
      <c r="AP47">
        <v>117.30073270994214</v>
      </c>
      <c r="AQ47">
        <v>86.663480794888159</v>
      </c>
      <c r="AR47">
        <v>11.036466620824211</v>
      </c>
      <c r="AS47">
        <v>161.41024420027313</v>
      </c>
      <c r="AT47" t="e">
        <v>#DIV/0!</v>
      </c>
      <c r="AU47" t="e">
        <v>#DIV/0!</v>
      </c>
      <c r="AV47"/>
      <c r="AW47"/>
      <c r="FY47" s="210">
        <v>42</v>
      </c>
      <c r="FZ47">
        <v>5.580763900345354</v>
      </c>
      <c r="GA47">
        <v>24.237734732137383</v>
      </c>
      <c r="GB47">
        <v>13.083869872647465</v>
      </c>
      <c r="GC47">
        <v>2.1702690098081563</v>
      </c>
      <c r="GD47">
        <v>0.52555381305500193</v>
      </c>
      <c r="GE47">
        <v>1.3077114570000252</v>
      </c>
      <c r="GF47">
        <v>4.5235914232079599</v>
      </c>
      <c r="GG47">
        <v>3.7371753385584983</v>
      </c>
      <c r="GH47">
        <v>4.0698487958614145</v>
      </c>
      <c r="GI47">
        <v>6.1512942046886163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13.129072197802722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47.969873198321473</v>
      </c>
      <c r="AO48">
        <v>13.01046378436493</v>
      </c>
      <c r="AP48">
        <v>138.22680484041379</v>
      </c>
      <c r="AQ48">
        <v>105.3762629435318</v>
      </c>
      <c r="AR48">
        <v>12.206598690603563</v>
      </c>
      <c r="AS48">
        <v>169.63501882322356</v>
      </c>
      <c r="AT48">
        <v>7.8275577194763315</v>
      </c>
      <c r="AU48">
        <v>40.647805043928223</v>
      </c>
      <c r="AV48"/>
      <c r="AW48"/>
      <c r="FY48" s="210">
        <v>43</v>
      </c>
      <c r="FZ48">
        <v>6.0250831724322227</v>
      </c>
      <c r="GA48">
        <v>10.086476889010846</v>
      </c>
      <c r="GB48">
        <v>6.655247677657611</v>
      </c>
      <c r="GC48">
        <v>2.0988049840270731</v>
      </c>
      <c r="GD48">
        <v>0.59292626433739781</v>
      </c>
      <c r="GE48">
        <v>2.9019933011924257</v>
      </c>
      <c r="GF48">
        <v>8.7989632778253171</v>
      </c>
      <c r="GG48">
        <v>5.9228958567454129</v>
      </c>
      <c r="GH48">
        <v>4.9924841917719807</v>
      </c>
      <c r="GI48">
        <v>5.5606812933701741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25.001868386243391</v>
      </c>
      <c r="AO49">
        <v>11.886489032739432</v>
      </c>
      <c r="AP49">
        <v>119.90346942301331</v>
      </c>
      <c r="AQ49">
        <v>82.426435396405239</v>
      </c>
      <c r="AR49">
        <v>11.178225914302207</v>
      </c>
      <c r="AS49">
        <v>137.79191080102325</v>
      </c>
      <c r="AT49">
        <v>7.4690395751362724</v>
      </c>
      <c r="AU49">
        <v>20.708411158498212</v>
      </c>
      <c r="AV49"/>
      <c r="AW49"/>
      <c r="FY49" s="210">
        <v>44</v>
      </c>
      <c r="FZ49">
        <v>12.789441493056216</v>
      </c>
      <c r="GA49">
        <v>32.736686702484306</v>
      </c>
      <c r="GB49">
        <v>12.686478280322865</v>
      </c>
      <c r="GC49">
        <v>2.1768511103925361</v>
      </c>
      <c r="GD49">
        <v>0.74783782213365368</v>
      </c>
      <c r="GE49">
        <v>1.5922259902130544</v>
      </c>
      <c r="GF49">
        <v>4.5235914232079599</v>
      </c>
      <c r="GG49">
        <v>2.3881284302612875</v>
      </c>
      <c r="GH49">
        <v>2.0851096026677332</v>
      </c>
      <c r="GI49">
        <v>6.8770366018359397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25.380818965517243</v>
      </c>
      <c r="AO50">
        <v>9.0385810820072869</v>
      </c>
      <c r="AP50">
        <v>90.843638659397882</v>
      </c>
      <c r="AQ50">
        <v>60.998213887740299</v>
      </c>
      <c r="AR50">
        <v>8.5943230738935927</v>
      </c>
      <c r="AS50">
        <v>98.101658228162421</v>
      </c>
      <c r="AT50">
        <v>5.7374716197664739</v>
      </c>
      <c r="AU50">
        <v>-10.124941595841648</v>
      </c>
      <c r="AV50"/>
      <c r="AW50"/>
      <c r="FY50" s="210">
        <v>45</v>
      </c>
      <c r="FZ50">
        <v>4.085608818040332</v>
      </c>
      <c r="GA50">
        <v>18.672308419655621</v>
      </c>
      <c r="GB50">
        <v>9.5816083391399687</v>
      </c>
      <c r="GC50">
        <v>1.8800377643296988</v>
      </c>
      <c r="GD50">
        <v>0.87963419307884227</v>
      </c>
      <c r="GE50">
        <v>1.4520245775858855</v>
      </c>
      <c r="GF50">
        <v>4.5235914232079599</v>
      </c>
      <c r="GG50">
        <v>2.5581455052121242</v>
      </c>
      <c r="GH50">
        <v>0.45290543706899811</v>
      </c>
      <c r="GI50">
        <v>4.6449193887525757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34.399502827951103</v>
      </c>
      <c r="AO51">
        <v>8.7711347085769216</v>
      </c>
      <c r="AP51">
        <v>89.961896845342878</v>
      </c>
      <c r="AQ51">
        <v>68.053665875551658</v>
      </c>
      <c r="AR51">
        <v>8.6714492219224457</v>
      </c>
      <c r="AS51">
        <v>122.28540993385096</v>
      </c>
      <c r="AT51" t="e">
        <v>#DIV/0!</v>
      </c>
      <c r="AU51" t="e">
        <v>#DIV/0!</v>
      </c>
      <c r="AV51"/>
      <c r="AW51"/>
      <c r="FY51" s="210">
        <v>46</v>
      </c>
      <c r="FZ51">
        <v>20.372418823640359</v>
      </c>
      <c r="GA51">
        <v>34.429578126153878</v>
      </c>
      <c r="GB51">
        <v>7.0071919499375497</v>
      </c>
      <c r="GC51">
        <v>1.1794193405473918</v>
      </c>
      <c r="GD51">
        <v>0.54981876382670469</v>
      </c>
      <c r="GE51">
        <v>0</v>
      </c>
      <c r="GF51">
        <v>8.0187408229145536</v>
      </c>
      <c r="GG51">
        <v>9.0324583229847075</v>
      </c>
      <c r="GH51">
        <v>4.1847943698588974</v>
      </c>
      <c r="GI51">
        <v>7.5144258295008992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25.83195548892294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0.11528802113165183</v>
      </c>
      <c r="I52" s="49">
        <f t="shared" si="26"/>
        <v>1.6581010291841525</v>
      </c>
      <c r="J52" s="49">
        <f t="shared" si="26"/>
        <v>3.3098648825832502</v>
      </c>
      <c r="K52" s="49">
        <f t="shared" si="26"/>
        <v>15.133580500210469</v>
      </c>
      <c r="L52" s="49">
        <f t="shared" si="26"/>
        <v>4.7819433112270984</v>
      </c>
      <c r="M52" s="49">
        <f t="shared" si="26"/>
        <v>0.83317774458631499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17.629678092501365</v>
      </c>
      <c r="AO52">
        <v>8.4132271532440726</v>
      </c>
      <c r="AP52">
        <v>86.930431896161309</v>
      </c>
      <c r="AQ52">
        <v>58.440467570992951</v>
      </c>
      <c r="AR52">
        <v>8.0447370331892483</v>
      </c>
      <c r="AS52">
        <v>95.416125375415405</v>
      </c>
      <c r="AT52">
        <v>5.6664255350622996</v>
      </c>
      <c r="AU52">
        <v>-6.0277343980490539</v>
      </c>
      <c r="AV52"/>
      <c r="AW52"/>
      <c r="FY52" s="210">
        <v>47</v>
      </c>
      <c r="FZ52">
        <v>13.277789861756165</v>
      </c>
      <c r="GA52">
        <v>33.822428672237166</v>
      </c>
      <c r="GB52">
        <v>11.692198089545721</v>
      </c>
      <c r="GC52">
        <v>1.5580715295512633</v>
      </c>
      <c r="GD52">
        <v>0.63023579273079144</v>
      </c>
      <c r="GE52">
        <v>1.4479128696271943</v>
      </c>
      <c r="GF52">
        <v>2.6843438649823188</v>
      </c>
      <c r="GG52">
        <v>0.65438771066774737</v>
      </c>
      <c r="GH52">
        <v>2.8962378540412832</v>
      </c>
      <c r="GI52">
        <v>6.3558263459022246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50.118895424393656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0.15154025831558776</v>
      </c>
      <c r="I53" s="49">
        <f t="shared" si="28"/>
        <v>2.0519276239142736</v>
      </c>
      <c r="J53" s="49">
        <f t="shared" si="28"/>
        <v>4.1685051479909054</v>
      </c>
      <c r="K53" s="49">
        <f t="shared" si="28"/>
        <v>16.824381097518504</v>
      </c>
      <c r="L53" s="49">
        <f t="shared" si="28"/>
        <v>10.384940733948129</v>
      </c>
      <c r="M53" s="49">
        <f t="shared" si="28"/>
        <v>1.0951699005504472</v>
      </c>
      <c r="N53" s="49">
        <f t="shared" si="28"/>
        <v>3.2641475831491769</v>
      </c>
      <c r="O53" s="49">
        <f t="shared" si="28"/>
        <v>8.070324430779074</v>
      </c>
      <c r="P53" s="49">
        <f t="shared" si="28"/>
        <v>0</v>
      </c>
      <c r="Q53" s="49">
        <f t="shared" si="28"/>
        <v>4.1079586482275632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35.305704365079364</v>
      </c>
      <c r="AO53">
        <v>12.241977880098416</v>
      </c>
      <c r="AP53">
        <v>132.19936526175641</v>
      </c>
      <c r="AQ53">
        <v>94.027570269893914</v>
      </c>
      <c r="AR53">
        <v>11.629348917717946</v>
      </c>
      <c r="AS53">
        <v>149.26612470475808</v>
      </c>
      <c r="AT53">
        <v>7.5921013741846393</v>
      </c>
      <c r="AU53">
        <v>43.129497805848061</v>
      </c>
      <c r="AV53"/>
      <c r="AW53"/>
      <c r="FY53" s="210">
        <v>48</v>
      </c>
      <c r="FZ53">
        <v>14.48798105148053</v>
      </c>
      <c r="GA53">
        <v>23.102027813482657</v>
      </c>
      <c r="GB53">
        <v>6.7315957624170162</v>
      </c>
      <c r="GC53">
        <v>2.0250384468060858</v>
      </c>
      <c r="GD53">
        <v>0.79932325532802651</v>
      </c>
      <c r="GE53">
        <v>0.14225726660651461</v>
      </c>
      <c r="GF53">
        <v>5.9566653322924674</v>
      </c>
      <c r="GG53">
        <v>5.7545157900582939</v>
      </c>
      <c r="GH53">
        <v>0.22645271853449905</v>
      </c>
      <c r="GI53">
        <v>5.6188382111885167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22.441846081179271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2.7520013295010762E-2</v>
      </c>
      <c r="I54" s="49">
        <f t="shared" si="29"/>
        <v>0</v>
      </c>
      <c r="J54" s="49">
        <f t="shared" si="29"/>
        <v>2.6129203965701615</v>
      </c>
      <c r="K54" s="49">
        <f t="shared" si="29"/>
        <v>2.5279962367312185</v>
      </c>
      <c r="L54" s="49">
        <f t="shared" si="29"/>
        <v>3.5247166160297199</v>
      </c>
      <c r="M54" s="49">
        <f t="shared" si="29"/>
        <v>0.47082988884287591</v>
      </c>
      <c r="N54" s="49">
        <f t="shared" si="29"/>
        <v>2.8066115457855862</v>
      </c>
      <c r="O54" s="49">
        <f t="shared" si="29"/>
        <v>6.939105891715708</v>
      </c>
      <c r="P54" s="49">
        <f t="shared" si="29"/>
        <v>0</v>
      </c>
      <c r="Q54" s="49">
        <f t="shared" si="29"/>
        <v>3.5321454922089885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21.667773330596603</v>
      </c>
      <c r="AO54">
        <v>6.139889596582198</v>
      </c>
      <c r="AP54">
        <v>57.802059321059033</v>
      </c>
      <c r="AQ54">
        <v>41.299627808841947</v>
      </c>
      <c r="AR54">
        <v>6.0822009476322485</v>
      </c>
      <c r="AS54">
        <v>87.640446269945457</v>
      </c>
      <c r="AT54" t="e">
        <v>#DIV/0!</v>
      </c>
      <c r="AU54" t="e">
        <v>#DIV/0!</v>
      </c>
      <c r="AV54"/>
      <c r="AW54"/>
      <c r="FY54" s="210">
        <v>49</v>
      </c>
      <c r="FZ54">
        <v>3.4455733517607188</v>
      </c>
      <c r="GA54">
        <v>15.490291647539729</v>
      </c>
      <c r="GB54">
        <v>8.293382046807821</v>
      </c>
      <c r="GC54">
        <v>1.5894954424082892</v>
      </c>
      <c r="GD54">
        <v>0.65350073925910446</v>
      </c>
      <c r="GE54">
        <v>0.28451453321302922</v>
      </c>
      <c r="GF54">
        <v>3.2424884617503755</v>
      </c>
      <c r="GG54">
        <v>4.1303743134185247</v>
      </c>
      <c r="GH54">
        <v>1.5585013929330884</v>
      </c>
      <c r="GI54">
        <v>3.9976885824479802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0.76498753815499698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3.2559743175287355E-3</v>
      </c>
      <c r="I55" s="49">
        <f t="shared" si="30"/>
        <v>0.12590086517115634</v>
      </c>
      <c r="J55" s="49">
        <f t="shared" si="30"/>
        <v>0.37146842712080352</v>
      </c>
      <c r="K55" s="49">
        <f t="shared" si="30"/>
        <v>0.20865699227970083</v>
      </c>
      <c r="L55" s="49">
        <f t="shared" si="30"/>
        <v>0</v>
      </c>
      <c r="M55" s="49">
        <f t="shared" si="30"/>
        <v>5.5705279265807629E-2</v>
      </c>
      <c r="N55" s="49">
        <f t="shared" si="30"/>
        <v>0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26.224220602992155</v>
      </c>
      <c r="AO55">
        <v>11.088677977364508</v>
      </c>
      <c r="AP55">
        <v>117.70255112596223</v>
      </c>
      <c r="AQ55">
        <v>79.74943309074078</v>
      </c>
      <c r="AR55">
        <v>10.936423115096879</v>
      </c>
      <c r="AS55">
        <v>151.90782291115246</v>
      </c>
      <c r="AT55">
        <v>7.142809100216013</v>
      </c>
      <c r="AU55">
        <v>1.3613350647013505</v>
      </c>
      <c r="AV55"/>
      <c r="AW55"/>
      <c r="FY55" s="210">
        <v>50</v>
      </c>
      <c r="FZ55">
        <v>2.2337299724496038</v>
      </c>
      <c r="GA55">
        <v>10.873762809667253</v>
      </c>
      <c r="GB55">
        <v>5.2328773963303608</v>
      </c>
      <c r="GC55">
        <v>1.3723840137628196</v>
      </c>
      <c r="GD55">
        <v>0.7346635772546497</v>
      </c>
      <c r="GE55">
        <v>1.3097673109793708</v>
      </c>
      <c r="GF55">
        <v>7.212376657555895</v>
      </c>
      <c r="GG55">
        <v>5.6940979580612279</v>
      </c>
      <c r="GH55">
        <v>3.0757599845343409</v>
      </c>
      <c r="GI55">
        <v>4.1365472120518527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0.34593426555480777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4.6248124999999991E-4</v>
      </c>
      <c r="I56" s="49">
        <f t="shared" si="31"/>
        <v>0.10791502728956255</v>
      </c>
      <c r="J56" s="49">
        <f t="shared" si="31"/>
        <v>0.1645985856960783</v>
      </c>
      <c r="K56" s="49">
        <f t="shared" si="31"/>
        <v>7.2958171319166917E-2</v>
      </c>
      <c r="L56" s="49">
        <f t="shared" si="31"/>
        <v>0</v>
      </c>
      <c r="M56" s="49">
        <f t="shared" si="31"/>
        <v>0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28.357804232804234</v>
      </c>
      <c r="AO56">
        <v>9.5736891951091128</v>
      </c>
      <c r="AP56">
        <v>104.01304139599767</v>
      </c>
      <c r="AQ56">
        <v>75.472748752352913</v>
      </c>
      <c r="AR56">
        <v>9.0828123837543693</v>
      </c>
      <c r="AS56">
        <v>135.26403534194344</v>
      </c>
      <c r="AT56" t="e">
        <v>#DIV/0!</v>
      </c>
      <c r="AU56" t="e">
        <v>#DIV/0!</v>
      </c>
      <c r="AV56"/>
      <c r="AW56"/>
      <c r="FY56" s="210">
        <v>51</v>
      </c>
      <c r="FZ56">
        <v>13.987770711991736</v>
      </c>
      <c r="GA56">
        <v>33.611772118428782</v>
      </c>
      <c r="GB56">
        <v>12.2999201192732</v>
      </c>
      <c r="GC56">
        <v>2.5866842461123678</v>
      </c>
      <c r="GD56">
        <v>0.91416229224708134</v>
      </c>
      <c r="GE56">
        <v>0.14225726660651461</v>
      </c>
      <c r="GF56">
        <v>5.5814155660736819</v>
      </c>
      <c r="GG56">
        <v>6.3014552559061823</v>
      </c>
      <c r="GH56">
        <v>2.2546840703091551</v>
      </c>
      <c r="GI56">
        <v>7.2977387742313642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0.89337041326550637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9.2496249999999983E-4</v>
      </c>
      <c r="I57" s="49">
        <f t="shared" si="32"/>
        <v>0</v>
      </c>
      <c r="J57" s="49">
        <f t="shared" si="32"/>
        <v>0.10323507787078595</v>
      </c>
      <c r="K57" s="49">
        <f t="shared" si="32"/>
        <v>0.10867727602750905</v>
      </c>
      <c r="L57" s="49">
        <f t="shared" si="32"/>
        <v>0</v>
      </c>
      <c r="M57" s="49">
        <f t="shared" si="32"/>
        <v>0</v>
      </c>
      <c r="N57" s="49">
        <f t="shared" si="32"/>
        <v>0.177888497280597</v>
      </c>
      <c r="O57" s="49">
        <f t="shared" si="32"/>
        <v>0.50264459958661434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33.467541849115115</v>
      </c>
      <c r="AO57">
        <v>9.695387342263059</v>
      </c>
      <c r="AP57">
        <v>97.409929689140554</v>
      </c>
      <c r="AQ57">
        <v>71.74777426367649</v>
      </c>
      <c r="AR57">
        <v>9.1971969747677687</v>
      </c>
      <c r="AS57">
        <v>112.77576725211195</v>
      </c>
      <c r="AT57">
        <v>6.1985814855517196</v>
      </c>
      <c r="AU57">
        <v>29.65492043346417</v>
      </c>
      <c r="AV57"/>
      <c r="AW57"/>
      <c r="FY57" s="210">
        <v>52</v>
      </c>
      <c r="FZ57">
        <v>13.874859128751908</v>
      </c>
      <c r="GA57">
        <v>27.475234183429357</v>
      </c>
      <c r="GB57">
        <v>9.8820464422846612</v>
      </c>
      <c r="GC57">
        <v>2.2216092995425938</v>
      </c>
      <c r="GD57">
        <v>0.78101810138967864</v>
      </c>
      <c r="GE57">
        <v>1.3077114570000252</v>
      </c>
      <c r="GF57">
        <v>5.5959570317266998</v>
      </c>
      <c r="GG57">
        <v>5.5045590518005607</v>
      </c>
      <c r="GH57">
        <v>5.1754447517255056</v>
      </c>
      <c r="GI57">
        <v>7.0827766801697605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16.685046530673421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0.28930401522368676</v>
      </c>
      <c r="K58" s="49">
        <f t="shared" si="33"/>
        <v>1.2617283859559534</v>
      </c>
      <c r="L58" s="49">
        <f t="shared" si="33"/>
        <v>0</v>
      </c>
      <c r="M58" s="49">
        <f t="shared" si="33"/>
        <v>0.99399005973471788</v>
      </c>
      <c r="N58" s="49">
        <f t="shared" si="33"/>
        <v>2.407097590739478</v>
      </c>
      <c r="O58" s="49">
        <f t="shared" si="33"/>
        <v>8.8943132674107765</v>
      </c>
      <c r="P58" s="49">
        <f t="shared" si="33"/>
        <v>2.8386132116088092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20.971923462871736</v>
      </c>
      <c r="AO58">
        <v>9.3256873994847176</v>
      </c>
      <c r="AP58">
        <v>96.939676455862383</v>
      </c>
      <c r="AQ58">
        <v>65.387812547309878</v>
      </c>
      <c r="AR58">
        <v>9.0507810182065889</v>
      </c>
      <c r="AS58">
        <v>127.06927995625684</v>
      </c>
      <c r="AT58" t="e">
        <v>#DIV/0!</v>
      </c>
      <c r="AU58" t="e">
        <v>#DIV/0!</v>
      </c>
      <c r="AV58"/>
      <c r="AW58"/>
      <c r="FY58" s="210">
        <v>53</v>
      </c>
      <c r="FZ58">
        <v>5.5204654190371079</v>
      </c>
      <c r="GA58">
        <v>20.697812461152346</v>
      </c>
      <c r="GB58">
        <v>9.7498178493909222</v>
      </c>
      <c r="GC58">
        <v>1.7043785855821283</v>
      </c>
      <c r="GD58">
        <v>0.86055702350275842</v>
      </c>
      <c r="GE58">
        <v>0.28040282525433813</v>
      </c>
      <c r="GF58">
        <v>4.3148540702691154</v>
      </c>
      <c r="GG58">
        <v>4.7981918851348908</v>
      </c>
      <c r="GH58">
        <v>1.6868330592426739</v>
      </c>
      <c r="GI58">
        <v>5.0508728136131218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8.2574335384506359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5.1168466346655062E-2</v>
      </c>
      <c r="K59" s="49">
        <f t="shared" si="34"/>
        <v>0.64639070235641838</v>
      </c>
      <c r="L59" s="49">
        <f t="shared" si="34"/>
        <v>0.38386362470267732</v>
      </c>
      <c r="M59" s="49">
        <f t="shared" si="34"/>
        <v>0.61531574003188816</v>
      </c>
      <c r="N59" s="49">
        <f t="shared" si="34"/>
        <v>0.91697251024213</v>
      </c>
      <c r="O59" s="49">
        <f t="shared" si="34"/>
        <v>3.8865184142476443</v>
      </c>
      <c r="P59" s="49">
        <f t="shared" si="34"/>
        <v>1.7572040805232241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24.291432904579459</v>
      </c>
      <c r="AO59">
        <v>8.0859767051610856</v>
      </c>
      <c r="AP59">
        <v>75.493602578739512</v>
      </c>
      <c r="AQ59">
        <v>53.635556908370454</v>
      </c>
      <c r="AR59">
        <v>7.9270816574359175</v>
      </c>
      <c r="AS59">
        <v>115.14382596861822</v>
      </c>
      <c r="AT59">
        <v>5.4103994256411765</v>
      </c>
      <c r="AU59">
        <v>8.1043507722752501</v>
      </c>
      <c r="AV59"/>
      <c r="AW59"/>
      <c r="FY59" s="210">
        <v>54</v>
      </c>
      <c r="FZ59">
        <v>5.2312918667220432</v>
      </c>
      <c r="GA59">
        <v>28.460036408025335</v>
      </c>
      <c r="GB59">
        <v>14.669671555167358</v>
      </c>
      <c r="GC59">
        <v>2.3282076509555165</v>
      </c>
      <c r="GD59">
        <v>0.70741781560768491</v>
      </c>
      <c r="GE59">
        <v>0.14225726660651461</v>
      </c>
      <c r="GF59">
        <v>1.0723656085187396</v>
      </c>
      <c r="GG59">
        <v>1.3478858715197117</v>
      </c>
      <c r="GH59">
        <v>1.8452707918211315</v>
      </c>
      <c r="GI59">
        <v>5.4424559247749809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3.3041112584340526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</v>
      </c>
      <c r="K60" s="49">
        <f t="shared" si="35"/>
        <v>0</v>
      </c>
      <c r="L60" s="49">
        <f t="shared" si="35"/>
        <v>1.2490945299880662</v>
      </c>
      <c r="M60" s="49">
        <f t="shared" si="35"/>
        <v>1.0011205485863661</v>
      </c>
      <c r="N60" s="49">
        <f t="shared" si="35"/>
        <v>0</v>
      </c>
      <c r="O60" s="49">
        <f t="shared" si="35"/>
        <v>1.0538961798596207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36.01881499726327</v>
      </c>
      <c r="AO60">
        <v>10.279062600719906</v>
      </c>
      <c r="AP60">
        <v>107.72637581560917</v>
      </c>
      <c r="AQ60">
        <v>78.603387456575547</v>
      </c>
      <c r="AR60">
        <v>9.8793042917415779</v>
      </c>
      <c r="AS60">
        <v>127.0017777094228</v>
      </c>
      <c r="AT60">
        <v>6.2937687705877048</v>
      </c>
      <c r="AU60">
        <v>20.041444751136574</v>
      </c>
      <c r="AV60"/>
      <c r="AW60"/>
      <c r="FY60" s="210">
        <v>55</v>
      </c>
      <c r="FZ60">
        <v>6.2531557780150928</v>
      </c>
      <c r="GA60">
        <v>20.456469823938384</v>
      </c>
      <c r="GB60">
        <v>9.6827969842002748</v>
      </c>
      <c r="GC60">
        <v>1.657625912002648</v>
      </c>
      <c r="GD60">
        <v>1.0230120170448624</v>
      </c>
      <c r="GE60">
        <v>1.4479128696271943</v>
      </c>
      <c r="GF60">
        <v>7.212376657555895</v>
      </c>
      <c r="GG60">
        <v>4.9345659664372041</v>
      </c>
      <c r="GH60">
        <v>2.3150007506626995</v>
      </c>
      <c r="GI60">
        <v>5.9635197567915226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10.5009238620503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2.3053892931034489E-2</v>
      </c>
      <c r="I61" s="49">
        <f t="shared" si="36"/>
        <v>0.41714185842805018</v>
      </c>
      <c r="J61" s="49">
        <f t="shared" si="36"/>
        <v>1.1714252983782278</v>
      </c>
      <c r="K61" s="49">
        <f t="shared" si="36"/>
        <v>3.0591107907142963</v>
      </c>
      <c r="L61" s="49">
        <f t="shared" si="36"/>
        <v>1.4345476542598254</v>
      </c>
      <c r="M61" s="49">
        <f t="shared" si="36"/>
        <v>0.46792434583278414</v>
      </c>
      <c r="N61" s="49">
        <f t="shared" si="36"/>
        <v>0.72222729895922388</v>
      </c>
      <c r="O61" s="49">
        <f t="shared" si="36"/>
        <v>2.3222180500901586</v>
      </c>
      <c r="P61" s="49">
        <f t="shared" si="36"/>
        <v>0.38179635330956457</v>
      </c>
      <c r="Q61" s="49">
        <f t="shared" si="36"/>
        <v>0.50147831914713603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19.744460978835974</v>
      </c>
      <c r="AO61">
        <v>7.1660411257623036</v>
      </c>
      <c r="AP61">
        <v>71.366171317309963</v>
      </c>
      <c r="AQ61">
        <v>48.730783866072017</v>
      </c>
      <c r="AR61">
        <v>6.7771580051340141</v>
      </c>
      <c r="AS61">
        <v>109.95483476172662</v>
      </c>
      <c r="AT61" t="e">
        <v>#DIV/0!</v>
      </c>
      <c r="AU61" t="e">
        <v>#DIV/0!</v>
      </c>
      <c r="AV61"/>
      <c r="AW61"/>
      <c r="FY61" s="210">
        <v>56</v>
      </c>
      <c r="FZ61">
        <v>11.868121767105844</v>
      </c>
      <c r="GA61">
        <v>34.720485695665744</v>
      </c>
      <c r="GB61">
        <v>12.781557733394468</v>
      </c>
      <c r="GC61">
        <v>2.402194643304679</v>
      </c>
      <c r="GD61">
        <v>1.0448614609815254</v>
      </c>
      <c r="GE61">
        <v>1.5881142822543635</v>
      </c>
      <c r="GF61">
        <v>4.300763490811514</v>
      </c>
      <c r="GG61">
        <v>2.5330076751272994</v>
      </c>
      <c r="GH61">
        <v>1.2605952589820808</v>
      </c>
      <c r="GI61">
        <v>6.710422516524968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40.873197751322749</v>
      </c>
      <c r="AO62">
        <v>11.387988533276499</v>
      </c>
      <c r="AP62">
        <v>123.02825444656948</v>
      </c>
      <c r="AQ62">
        <v>92.288846349364931</v>
      </c>
      <c r="AR62">
        <v>10.968128583728612</v>
      </c>
      <c r="AS62">
        <v>175.48311752533016</v>
      </c>
      <c r="AT62" t="e">
        <v>#DIV/0!</v>
      </c>
      <c r="AU62" t="e">
        <v>#DIV/0!</v>
      </c>
      <c r="AV62"/>
      <c r="AW62"/>
      <c r="FY62" s="210">
        <v>57</v>
      </c>
      <c r="FZ62">
        <v>12.758111947285322</v>
      </c>
      <c r="GA62">
        <v>36.678189743684399</v>
      </c>
      <c r="GB62">
        <v>12.508223595703559</v>
      </c>
      <c r="GC62">
        <v>2.0553169818321968</v>
      </c>
      <c r="GD62">
        <v>0.9354590727151173</v>
      </c>
      <c r="GE62">
        <v>1.3097673109793708</v>
      </c>
      <c r="GF62">
        <v>4.5235914232079599</v>
      </c>
      <c r="GG62">
        <v>2.2181113553104512</v>
      </c>
      <c r="GH62">
        <v>1.2774197807546503</v>
      </c>
      <c r="GI62">
        <v>6.8068677955769514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139.14450440107959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34.329546957671958</v>
      </c>
      <c r="AO63">
        <v>9.3773405238707532</v>
      </c>
      <c r="AP63">
        <v>101.28605990023672</v>
      </c>
      <c r="AQ63">
        <v>75.019432591041891</v>
      </c>
      <c r="AR63">
        <v>9.0897501273654893</v>
      </c>
      <c r="AS63">
        <v>118.79934618850051</v>
      </c>
      <c r="AT63">
        <v>5.9449088203080693</v>
      </c>
      <c r="AU63">
        <v>20.876757302640495</v>
      </c>
      <c r="AV63"/>
      <c r="AW63"/>
      <c r="FY63" s="210">
        <v>58</v>
      </c>
      <c r="FZ63">
        <v>4.429087441169286</v>
      </c>
      <c r="GA63">
        <v>22.133614657378484</v>
      </c>
      <c r="GB63">
        <v>10.947255077276997</v>
      </c>
      <c r="GC63">
        <v>1.5689895234005959</v>
      </c>
      <c r="GD63">
        <v>0.49697022193893925</v>
      </c>
      <c r="GE63">
        <v>0.28245867923368362</v>
      </c>
      <c r="GF63">
        <v>4.2608303889643402</v>
      </c>
      <c r="GG63">
        <v>4.7511614723120967</v>
      </c>
      <c r="GH63">
        <v>2.9642528399973243</v>
      </c>
      <c r="GI63">
        <v>5.1750061044902456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34.624387087210359</v>
      </c>
      <c r="AO64">
        <v>8.41509287053292</v>
      </c>
      <c r="AP64">
        <v>85.577161171671221</v>
      </c>
      <c r="AQ64">
        <v>64.844695648194602</v>
      </c>
      <c r="AR64">
        <v>8.1127536588416742</v>
      </c>
      <c r="AS64">
        <v>128.85846157551876</v>
      </c>
      <c r="AT64" t="e">
        <v>#DIV/0!</v>
      </c>
      <c r="AU64" t="e">
        <v>#DIV/0!</v>
      </c>
      <c r="AV64"/>
      <c r="AW64"/>
      <c r="FY64" s="210">
        <v>59</v>
      </c>
      <c r="FZ64">
        <v>14.160769480713659</v>
      </c>
      <c r="GA64">
        <v>33.050250596149219</v>
      </c>
      <c r="GB64">
        <v>12.423560798689934</v>
      </c>
      <c r="GC64">
        <v>2.0309242368703275</v>
      </c>
      <c r="GD64">
        <v>0.49231355971725005</v>
      </c>
      <c r="GE64">
        <v>2.6154229140000504</v>
      </c>
      <c r="GF64">
        <v>10.119548454934661</v>
      </c>
      <c r="GG64">
        <v>6.3736234988138012</v>
      </c>
      <c r="GH64">
        <v>3.1907055585318234</v>
      </c>
      <c r="GI64">
        <v>8.22702986413932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15.109424603174599</v>
      </c>
      <c r="AO65">
        <v>6.2052992315088193</v>
      </c>
      <c r="AP65">
        <v>63.032622157172078</v>
      </c>
      <c r="AQ65">
        <v>42.685810511538655</v>
      </c>
      <c r="AR65">
        <v>5.9554401155782406</v>
      </c>
      <c r="AS65">
        <v>64.943661447237091</v>
      </c>
      <c r="AT65" t="e">
        <v>#DIV/0!</v>
      </c>
      <c r="AU65" t="e">
        <v>#DIV/0!</v>
      </c>
      <c r="AV65"/>
      <c r="AW65"/>
      <c r="FY65" s="210">
        <v>60</v>
      </c>
      <c r="FZ65">
        <v>5.559075001241669</v>
      </c>
      <c r="GA65">
        <v>19.523920939590077</v>
      </c>
      <c r="GB65">
        <v>8.632288592788445</v>
      </c>
      <c r="GC65">
        <v>1.3215981873930518</v>
      </c>
      <c r="GD65">
        <v>0.70536359022437467</v>
      </c>
      <c r="GE65">
        <v>1.3097673109793708</v>
      </c>
      <c r="GF65">
        <v>5.3287546281174638</v>
      </c>
      <c r="GG65">
        <v>3.2774484517487781</v>
      </c>
      <c r="GH65">
        <v>1.0341425404475817</v>
      </c>
      <c r="GI65">
        <v>4.7376674724977645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16.740459656084653</v>
      </c>
      <c r="AO66">
        <v>6.3590462526309208</v>
      </c>
      <c r="AP66">
        <v>61.502067193441519</v>
      </c>
      <c r="AQ66">
        <v>41.875966892647376</v>
      </c>
      <c r="AR66">
        <v>6.0474382875383199</v>
      </c>
      <c r="AS66">
        <v>61.154418916038331</v>
      </c>
      <c r="AT66">
        <v>4.1735331725129337</v>
      </c>
      <c r="AU66">
        <v>-2.5278795295267082</v>
      </c>
      <c r="AV66"/>
      <c r="AW66"/>
      <c r="FY66" s="210">
        <v>61</v>
      </c>
      <c r="FZ66">
        <v>22.534283504968254</v>
      </c>
      <c r="GA66">
        <v>38.808559834840082</v>
      </c>
      <c r="GB66">
        <v>10.208117610781159</v>
      </c>
      <c r="GC66">
        <v>2.3281343730475399</v>
      </c>
      <c r="GD66">
        <v>0.72305018672680355</v>
      </c>
      <c r="GE66">
        <v>1.3077114570000252</v>
      </c>
      <c r="GF66">
        <v>8.0429314986595557</v>
      </c>
      <c r="GG66">
        <v>5.4911048450617344</v>
      </c>
      <c r="GH66">
        <v>1.2774197807546503</v>
      </c>
      <c r="GI66">
        <v>8.2481648373212249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36.920319626892898</v>
      </c>
      <c r="AO67">
        <v>11.142717008876209</v>
      </c>
      <c r="AP67">
        <v>116.25587268280519</v>
      </c>
      <c r="AQ67">
        <v>84.977860421180054</v>
      </c>
      <c r="AR67">
        <v>10.62888276023482</v>
      </c>
      <c r="AS67">
        <v>133.96903832214181</v>
      </c>
      <c r="AT67" t="e">
        <v>#DIV/0!</v>
      </c>
      <c r="AU67" t="e">
        <v>#DIV/0!</v>
      </c>
      <c r="AV67"/>
      <c r="AW67"/>
      <c r="FY67" s="210">
        <v>62</v>
      </c>
      <c r="FZ67">
        <v>12.820343014038674</v>
      </c>
      <c r="GA67">
        <v>28.02680094990998</v>
      </c>
      <c r="GB67">
        <v>10.641866844074269</v>
      </c>
      <c r="GC67">
        <v>2.3684684536298457</v>
      </c>
      <c r="GD67">
        <v>0.77914964305154744</v>
      </c>
      <c r="GE67">
        <v>1.5901701362337088</v>
      </c>
      <c r="GF67">
        <v>7.212376657555895</v>
      </c>
      <c r="GG67">
        <v>5.6940979580612279</v>
      </c>
      <c r="GH67">
        <v>1.913285777777173</v>
      </c>
      <c r="GI67">
        <v>6.895393721737876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37.941879333150887</v>
      </c>
      <c r="AO68">
        <v>10.583966486959547</v>
      </c>
      <c r="AP68">
        <v>108.4792479699818</v>
      </c>
      <c r="AQ68">
        <v>78.901216127820746</v>
      </c>
      <c r="AR68">
        <v>10.287613661836216</v>
      </c>
      <c r="AS68">
        <v>149.51038815518302</v>
      </c>
      <c r="AT68" t="e">
        <v>#DIV/0!</v>
      </c>
      <c r="AU68" t="e">
        <v>#DIV/0!</v>
      </c>
      <c r="AV68"/>
      <c r="AW68"/>
      <c r="FY68" s="210">
        <v>63</v>
      </c>
      <c r="FZ68">
        <v>11.742128643511453</v>
      </c>
      <c r="GA68">
        <v>29.320857386069818</v>
      </c>
      <c r="GB68">
        <v>10.368774468954944</v>
      </c>
      <c r="GC68">
        <v>2.2603447037711777</v>
      </c>
      <c r="GD68">
        <v>0.95530276996941477</v>
      </c>
      <c r="GE68">
        <v>4.2055930502337597</v>
      </c>
      <c r="GF68">
        <v>6.6147498451360818</v>
      </c>
      <c r="GG68">
        <v>1.1247039716105218</v>
      </c>
      <c r="GH68">
        <v>3.1907055585318234</v>
      </c>
      <c r="GI68">
        <v>6.8308026524471428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21.773758780332052</v>
      </c>
      <c r="AO69">
        <v>7.7318096098208908</v>
      </c>
      <c r="AP69">
        <v>79.796782360446045</v>
      </c>
      <c r="AQ69">
        <v>54.664185992179398</v>
      </c>
      <c r="AR69">
        <v>7.5004098576338016</v>
      </c>
      <c r="AS69">
        <v>102.03506851940786</v>
      </c>
      <c r="AT69" t="e">
        <v>#DIV/0!</v>
      </c>
      <c r="AU69" t="e">
        <v>#DIV/0!</v>
      </c>
      <c r="AV69"/>
      <c r="AW69"/>
      <c r="FY69" s="210">
        <v>64</v>
      </c>
      <c r="FZ69">
        <v>16.184967681639034</v>
      </c>
      <c r="GA69">
        <v>32.481324459596927</v>
      </c>
      <c r="GB69">
        <v>10.338309828349061</v>
      </c>
      <c r="GC69">
        <v>1.4864342258894312</v>
      </c>
      <c r="GD69">
        <v>0.61676732283356517</v>
      </c>
      <c r="GE69">
        <v>4.1117079586910979E-3</v>
      </c>
      <c r="GF69">
        <v>3.4112927128420463</v>
      </c>
      <c r="GG69">
        <v>4.1084817306805563</v>
      </c>
      <c r="GH69">
        <v>1.3320486743985893</v>
      </c>
      <c r="GI69">
        <v>6.3316418699930539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40.625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4.1666666666666661</v>
      </c>
      <c r="J70" s="18">
        <f t="shared" si="39"/>
        <v>12.5</v>
      </c>
      <c r="K70" s="18">
        <f t="shared" si="39"/>
        <v>23.958333333333336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25.039432243203798</v>
      </c>
      <c r="AO70">
        <v>8.1514684970588664</v>
      </c>
      <c r="AP70">
        <v>86.798161869362161</v>
      </c>
      <c r="AQ70">
        <v>61.246860759719013</v>
      </c>
      <c r="AR70">
        <v>7.8772345369450489</v>
      </c>
      <c r="AS70">
        <v>109.89385497947606</v>
      </c>
      <c r="AT70" t="e">
        <v>#DIV/0!</v>
      </c>
      <c r="AU70" t="e">
        <v>#DIV/0!</v>
      </c>
      <c r="AV70"/>
      <c r="AW70"/>
      <c r="FY70" s="210">
        <v>65</v>
      </c>
      <c r="FZ70">
        <v>14.116035956534777</v>
      </c>
      <c r="GA70">
        <v>29.621179552947552</v>
      </c>
      <c r="GB70">
        <v>10.984694915399048</v>
      </c>
      <c r="GC70">
        <v>2.5645870529054018</v>
      </c>
      <c r="GD70">
        <v>0.86283109888686782</v>
      </c>
      <c r="GE70">
        <v>0.14020141262716906</v>
      </c>
      <c r="GF70">
        <v>7.2804909183182716</v>
      </c>
      <c r="GG70">
        <v>6.8272827475452411</v>
      </c>
      <c r="GH70">
        <v>1.2774197807546503</v>
      </c>
      <c r="GI70">
        <v>7.1459098079284473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239.4047619047619</v>
      </c>
      <c r="E71" s="64"/>
      <c r="F71" s="64"/>
      <c r="G71" s="18">
        <f>AVERAGE(E238:E247)</f>
        <v>0</v>
      </c>
      <c r="H71" s="18">
        <f t="shared" ref="H71:AK71" si="40">AVERAGE(F238:F247)</f>
        <v>29.761904761904766</v>
      </c>
      <c r="I71" s="18">
        <f t="shared" si="40"/>
        <v>67.023809523809518</v>
      </c>
      <c r="J71" s="18">
        <f t="shared" si="40"/>
        <v>37.261904761904759</v>
      </c>
      <c r="K71" s="18">
        <f t="shared" si="40"/>
        <v>84.107142857142861</v>
      </c>
      <c r="L71" s="18">
        <f t="shared" si="40"/>
        <v>19.166666666666664</v>
      </c>
      <c r="M71" s="18">
        <f t="shared" si="40"/>
        <v>2.083333333333333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22.252215608465612</v>
      </c>
      <c r="AO71">
        <v>8.8315878257759497</v>
      </c>
      <c r="AP71">
        <v>89.350627388593523</v>
      </c>
      <c r="AQ71">
        <v>60.946436516275774</v>
      </c>
      <c r="AR71">
        <v>8.7576714534957372</v>
      </c>
      <c r="AS71">
        <v>129.38941901061384</v>
      </c>
      <c r="AT71">
        <v>6.4062746342704884</v>
      </c>
      <c r="AU71">
        <v>8.9762372822741536</v>
      </c>
      <c r="AV71"/>
      <c r="AW71"/>
      <c r="FY71" s="210">
        <v>66</v>
      </c>
      <c r="FZ71">
        <v>21.164909123853455</v>
      </c>
      <c r="GA71">
        <v>46.112810148188409</v>
      </c>
      <c r="GB71">
        <v>13.296582100112843</v>
      </c>
      <c r="GC71">
        <v>1.9419830880356239</v>
      </c>
      <c r="GD71">
        <v>0.66666814938195518</v>
      </c>
      <c r="GE71">
        <v>5.6514500658816083</v>
      </c>
      <c r="GF71">
        <v>10.692685403551151</v>
      </c>
      <c r="GG71">
        <v>2.9525055168496497</v>
      </c>
      <c r="GH71">
        <v>1.913285777777173</v>
      </c>
      <c r="GI71">
        <v>9.5423688128232751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43.75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10.416666666666668</v>
      </c>
      <c r="K72" s="18">
        <f t="shared" si="41"/>
        <v>7.291666666666667</v>
      </c>
      <c r="L72" s="18">
        <f t="shared" si="41"/>
        <v>12.5</v>
      </c>
      <c r="M72" s="18">
        <f t="shared" si="41"/>
        <v>0</v>
      </c>
      <c r="N72" s="18">
        <f t="shared" si="41"/>
        <v>4.1666666666666661</v>
      </c>
      <c r="O72" s="18">
        <f t="shared" si="41"/>
        <v>7.2916666666666661</v>
      </c>
      <c r="P72" s="18">
        <f t="shared" si="41"/>
        <v>0</v>
      </c>
      <c r="Q72" s="18">
        <f t="shared" si="41"/>
        <v>2.083333333333333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38.15585203430031</v>
      </c>
      <c r="AO72">
        <v>10.27587535822116</v>
      </c>
      <c r="AP72">
        <v>106.00096787595102</v>
      </c>
      <c r="AQ72">
        <v>79.210124524152491</v>
      </c>
      <c r="AR72">
        <v>9.528687942974587</v>
      </c>
      <c r="AS72">
        <v>149.60276871670754</v>
      </c>
      <c r="AT72">
        <v>6.1347235672362466</v>
      </c>
      <c r="AU72">
        <v>17.583325239864191</v>
      </c>
      <c r="AV72"/>
      <c r="AW72"/>
      <c r="FY72" s="210">
        <v>67</v>
      </c>
      <c r="FZ72">
        <v>3.0234244214005539</v>
      </c>
      <c r="GA72">
        <v>13.183696171410176</v>
      </c>
      <c r="GB72">
        <v>6.4182269328359336</v>
      </c>
      <c r="GC72">
        <v>1.1652218852738341</v>
      </c>
      <c r="GD72">
        <v>0.6166606540646109</v>
      </c>
      <c r="GE72">
        <v>2.9040491551717711</v>
      </c>
      <c r="GF72">
        <v>6.3870296571786032</v>
      </c>
      <c r="GG72">
        <v>1.9295625802290663</v>
      </c>
      <c r="GH72">
        <v>0.69618267737606665</v>
      </c>
      <c r="GI72">
        <v>3.8635891433965694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40.349616858237546</v>
      </c>
      <c r="E73" s="64"/>
      <c r="F73" s="64"/>
      <c r="G73" s="18">
        <f>AVERAGE(E258:E267)</f>
        <v>0</v>
      </c>
      <c r="H73" s="18">
        <f t="shared" ref="H73:AK73" si="42">AVERAGE(F258:F267)</f>
        <v>6.2859195402298846</v>
      </c>
      <c r="I73" s="18">
        <f t="shared" si="42"/>
        <v>0</v>
      </c>
      <c r="J73" s="18">
        <f t="shared" si="42"/>
        <v>24.341475095785441</v>
      </c>
      <c r="K73" s="18">
        <f t="shared" si="42"/>
        <v>8.6805555555555554</v>
      </c>
      <c r="L73" s="18">
        <f t="shared" si="42"/>
        <v>0</v>
      </c>
      <c r="M73" s="18">
        <f t="shared" si="42"/>
        <v>1.0416666666666665</v>
      </c>
      <c r="N73" s="18">
        <f t="shared" si="42"/>
        <v>0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37.598692642765918</v>
      </c>
      <c r="AO73">
        <v>10.452467978723131</v>
      </c>
      <c r="AP73">
        <v>110.78340376457449</v>
      </c>
      <c r="AQ73">
        <v>81.071059007049982</v>
      </c>
      <c r="AR73">
        <v>9.7944607133122688</v>
      </c>
      <c r="AS73">
        <v>155.76444906672594</v>
      </c>
      <c r="AT73" t="e">
        <v>#DIV/0!</v>
      </c>
      <c r="AU73" t="e">
        <v>#DIV/0!</v>
      </c>
      <c r="AV73"/>
      <c r="AW73"/>
      <c r="FY73" s="210">
        <v>68</v>
      </c>
      <c r="FZ73">
        <v>21.908790725431377</v>
      </c>
      <c r="GA73">
        <v>48.97073790801538</v>
      </c>
      <c r="GB73">
        <v>12.940141616845869</v>
      </c>
      <c r="GC73">
        <v>1.4834537896054387</v>
      </c>
      <c r="GD73">
        <v>0.96023780227996891</v>
      </c>
      <c r="GE73">
        <v>1.5901701362337088</v>
      </c>
      <c r="GF73">
        <v>3.7026857921962844</v>
      </c>
      <c r="GG73">
        <v>2.2047239361361788</v>
      </c>
      <c r="GH73">
        <v>3.0791984139948072</v>
      </c>
      <c r="GI73">
        <v>8.4345670066956995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60.311447811447799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40.425084175084166</v>
      </c>
      <c r="J74" s="18">
        <f t="shared" si="43"/>
        <v>17.424242424242422</v>
      </c>
      <c r="K74" s="18">
        <f t="shared" si="43"/>
        <v>2.4621212121212119</v>
      </c>
      <c r="L74" s="18">
        <f t="shared" si="43"/>
        <v>0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20.891300629447183</v>
      </c>
      <c r="AO74">
        <v>7.9379340992378626</v>
      </c>
      <c r="AP74">
        <v>84.654861104798584</v>
      </c>
      <c r="AQ74">
        <v>57.009626406161992</v>
      </c>
      <c r="AR74">
        <v>7.7093445661427502</v>
      </c>
      <c r="AS74">
        <v>87.302012521316612</v>
      </c>
      <c r="AT74" t="e">
        <v>#DIV/0!</v>
      </c>
      <c r="AU74" t="e">
        <v>#DIV/0!</v>
      </c>
      <c r="AV74"/>
      <c r="AW74"/>
      <c r="FY74" s="210">
        <v>69</v>
      </c>
      <c r="FZ74">
        <v>2.8211352393475146</v>
      </c>
      <c r="GA74">
        <v>16.007011252187326</v>
      </c>
      <c r="GB74">
        <v>9.783059401992622</v>
      </c>
      <c r="GC74">
        <v>2.5484079232630958</v>
      </c>
      <c r="GD74">
        <v>0.70313375605063499</v>
      </c>
      <c r="GE74">
        <v>1.4479128696271943</v>
      </c>
      <c r="GF74">
        <v>9.9551855732086061</v>
      </c>
      <c r="GG74">
        <v>7.3580168404850799</v>
      </c>
      <c r="GH74">
        <v>0</v>
      </c>
      <c r="GI74">
        <v>5.4754064698355371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7.2916666666666652</v>
      </c>
      <c r="E75" s="64"/>
      <c r="F75" s="64"/>
      <c r="G75" s="18">
        <f>AVERAGE(E278:E287)</f>
        <v>0</v>
      </c>
      <c r="H75" s="18">
        <f t="shared" ref="H75:AK75" si="44">AVERAGE(F278:F287)</f>
        <v>1.0416666666666665</v>
      </c>
      <c r="I75" s="18">
        <f t="shared" si="44"/>
        <v>0</v>
      </c>
      <c r="J75" s="18">
        <f t="shared" si="44"/>
        <v>4.1666666666666661</v>
      </c>
      <c r="K75" s="18">
        <f t="shared" si="44"/>
        <v>2.083333333333333</v>
      </c>
      <c r="L75" s="18">
        <f t="shared" si="44"/>
        <v>0</v>
      </c>
      <c r="M75" s="18">
        <f t="shared" si="44"/>
        <v>0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37.505932425652254</v>
      </c>
      <c r="AO75">
        <v>12.462283798335106</v>
      </c>
      <c r="AP75">
        <v>129.77243593514717</v>
      </c>
      <c r="AQ75">
        <v>92.684148962560045</v>
      </c>
      <c r="AR75">
        <v>11.854785578789551</v>
      </c>
      <c r="AS75">
        <v>137.73651847054367</v>
      </c>
      <c r="AT75" t="e">
        <v>#DIV/0!</v>
      </c>
      <c r="AU75" t="e">
        <v>#DIV/0!</v>
      </c>
      <c r="AV75"/>
      <c r="AW75"/>
      <c r="FY75" s="210">
        <v>70</v>
      </c>
      <c r="FZ75">
        <v>21.120527813457475</v>
      </c>
      <c r="GA75">
        <v>44.272605727875074</v>
      </c>
      <c r="GB75">
        <v>11.76565181573347</v>
      </c>
      <c r="GC75">
        <v>1.6991038958212674</v>
      </c>
      <c r="GD75">
        <v>0.81928494892042691</v>
      </c>
      <c r="GE75">
        <v>1.3138790189380618</v>
      </c>
      <c r="GF75">
        <v>5.3477374631360988</v>
      </c>
      <c r="GG75">
        <v>3.5336063897066263</v>
      </c>
      <c r="GH75">
        <v>2.6529606137342139</v>
      </c>
      <c r="GI75">
        <v>8.1835439027304719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7.8125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2.6041666666666665</v>
      </c>
      <c r="K76" s="18">
        <f t="shared" si="45"/>
        <v>1.3020833333333333</v>
      </c>
      <c r="L76" s="18">
        <f t="shared" si="45"/>
        <v>0</v>
      </c>
      <c r="M76" s="18">
        <f t="shared" si="45"/>
        <v>0</v>
      </c>
      <c r="N76" s="18">
        <f t="shared" si="45"/>
        <v>1.3020833333333333</v>
      </c>
      <c r="O76" s="18">
        <f t="shared" si="45"/>
        <v>2.6041666666666665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21.591614782886335</v>
      </c>
      <c r="AO76">
        <v>7.1524690099014308</v>
      </c>
      <c r="AP76">
        <v>73.513330883351273</v>
      </c>
      <c r="AQ76">
        <v>51.430026715028568</v>
      </c>
      <c r="AR76">
        <v>6.8464440221744685</v>
      </c>
      <c r="AS76">
        <v>112.66361922523758</v>
      </c>
      <c r="AT76">
        <v>4.5061722776723645</v>
      </c>
      <c r="AU76">
        <v>-1.2583547168180731</v>
      </c>
      <c r="AV76"/>
      <c r="AW76"/>
      <c r="FY76" s="210">
        <v>71</v>
      </c>
      <c r="FZ76">
        <v>4.8486848844156833</v>
      </c>
      <c r="GA76">
        <v>20.632717475165631</v>
      </c>
      <c r="GB76">
        <v>11.019638125596265</v>
      </c>
      <c r="GC76">
        <v>2.1167732092403053</v>
      </c>
      <c r="GD76">
        <v>0.82541901741817847</v>
      </c>
      <c r="GE76">
        <v>2.6174787679793958</v>
      </c>
      <c r="GF76">
        <v>12.085826210788484</v>
      </c>
      <c r="GG76">
        <v>7.5280339154359162</v>
      </c>
      <c r="GH76">
        <v>0.80768982191308281</v>
      </c>
      <c r="GI76">
        <v>6.675316718792625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19.791666666666664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1.0416666666666665</v>
      </c>
      <c r="K77" s="18">
        <f t="shared" si="46"/>
        <v>6.25</v>
      </c>
      <c r="L77" s="18">
        <f t="shared" si="46"/>
        <v>0</v>
      </c>
      <c r="M77" s="18">
        <f t="shared" si="46"/>
        <v>2.083333333333333</v>
      </c>
      <c r="N77" s="18">
        <f t="shared" si="46"/>
        <v>2.083333333333333</v>
      </c>
      <c r="O77" s="18">
        <f t="shared" si="46"/>
        <v>6.25</v>
      </c>
      <c r="P77" s="18">
        <f t="shared" si="46"/>
        <v>2.083333333333333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49.477743568691849</v>
      </c>
      <c r="AO77">
        <v>12.375156672859404</v>
      </c>
      <c r="AP77">
        <v>129.85689732579559</v>
      </c>
      <c r="AQ77">
        <v>98.969477929161044</v>
      </c>
      <c r="AR77">
        <v>11.784228982160251</v>
      </c>
      <c r="AS77">
        <v>172.36420738403601</v>
      </c>
      <c r="AT77" t="e">
        <v>#DIV/0!</v>
      </c>
      <c r="AU77" t="e">
        <v>#DIV/0!</v>
      </c>
      <c r="AV77"/>
      <c r="AW77"/>
      <c r="FY77" s="210">
        <v>72</v>
      </c>
      <c r="FZ77">
        <v>6.0429265064907387</v>
      </c>
      <c r="GA77">
        <v>17.05047219574476</v>
      </c>
      <c r="GB77">
        <v>7.6218862490401769</v>
      </c>
      <c r="GC77">
        <v>1.6705442924380594</v>
      </c>
      <c r="GD77">
        <v>0.93603610004550564</v>
      </c>
      <c r="GE77">
        <v>1.3077114570000252</v>
      </c>
      <c r="GF77">
        <v>4.8004430369091802</v>
      </c>
      <c r="GG77">
        <v>3.2198286647929297</v>
      </c>
      <c r="GH77">
        <v>1.1055959558640902</v>
      </c>
      <c r="GI77">
        <v>4.5625790681762259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2.083333333333333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0</v>
      </c>
      <c r="K78" s="18">
        <f t="shared" si="47"/>
        <v>0</v>
      </c>
      <c r="L78" s="18">
        <f t="shared" si="47"/>
        <v>2.083333333333333</v>
      </c>
      <c r="M78" s="18">
        <f t="shared" si="47"/>
        <v>0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36.356150793650784</v>
      </c>
      <c r="AO78">
        <v>10.473357473910427</v>
      </c>
      <c r="AP78">
        <v>106.40030239953836</v>
      </c>
      <c r="AQ78">
        <v>77.941953156070198</v>
      </c>
      <c r="AR78">
        <v>9.9123083179268932</v>
      </c>
      <c r="AS78">
        <v>163.10744305043164</v>
      </c>
      <c r="AT78">
        <v>6.6846635336782221</v>
      </c>
      <c r="AU78">
        <v>26.368592003115971</v>
      </c>
      <c r="AV78"/>
      <c r="AW78"/>
      <c r="FY78" s="210">
        <v>73</v>
      </c>
      <c r="FZ78">
        <v>3.33476961808217</v>
      </c>
      <c r="GA78">
        <v>11.115937572080027</v>
      </c>
      <c r="GB78">
        <v>6.8848656131707475</v>
      </c>
      <c r="GC78">
        <v>2.0990456764695864</v>
      </c>
      <c r="GD78">
        <v>0.75348814607105929</v>
      </c>
      <c r="GE78">
        <v>2.8999374472130799</v>
      </c>
      <c r="GF78">
        <v>8.0478237542205893</v>
      </c>
      <c r="GG78">
        <v>3.7315593397835043</v>
      </c>
      <c r="GH78">
        <v>1.9701640286702504</v>
      </c>
      <c r="GI78">
        <v>4.6673521732395367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5.2083333333333321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2.083333333333333</v>
      </c>
      <c r="M79" s="18">
        <f t="shared" si="48"/>
        <v>2.083333333333333</v>
      </c>
      <c r="N79" s="18">
        <f t="shared" si="48"/>
        <v>0</v>
      </c>
      <c r="O79" s="18">
        <f t="shared" si="48"/>
        <v>1.0416666666666665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39.69169631454114</v>
      </c>
      <c r="AO79">
        <v>10.379764908821818</v>
      </c>
      <c r="AP79">
        <v>102.47968542022568</v>
      </c>
      <c r="AQ79">
        <v>76.613963050236123</v>
      </c>
      <c r="AR79">
        <v>9.5579075268412375</v>
      </c>
      <c r="AS79">
        <v>139.55069437913104</v>
      </c>
      <c r="AT79">
        <v>6.2133407990045235</v>
      </c>
      <c r="AU79">
        <v>16.508644496735108</v>
      </c>
      <c r="AV79"/>
      <c r="AW79"/>
      <c r="FY79" s="210">
        <v>74</v>
      </c>
      <c r="FZ79">
        <v>4.564392351078606</v>
      </c>
      <c r="GA79">
        <v>15.897130452110407</v>
      </c>
      <c r="GB79">
        <v>8.1681037533424803</v>
      </c>
      <c r="GC79">
        <v>1.5642579898556721</v>
      </c>
      <c r="GD79">
        <v>0.54516446323441592</v>
      </c>
      <c r="GE79">
        <v>1.4520245775858855</v>
      </c>
      <c r="GF79">
        <v>2.6303201836775441</v>
      </c>
      <c r="GG79">
        <v>2.1264212810930005</v>
      </c>
      <c r="GH79">
        <v>5.5737212951505644</v>
      </c>
      <c r="GI79">
        <v>4.46446679527235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35.501353539500094</v>
      </c>
      <c r="AO80">
        <v>9.422382271125894</v>
      </c>
      <c r="AP80">
        <v>102.23476901551149</v>
      </c>
      <c r="AQ80">
        <v>76.295380214180952</v>
      </c>
      <c r="AR80">
        <v>9.1579128418270184</v>
      </c>
      <c r="AS80">
        <v>123.74947818270101</v>
      </c>
      <c r="AT80" t="e">
        <v>#DIV/0!</v>
      </c>
      <c r="AU80" t="e">
        <v>#DIV/0!</v>
      </c>
      <c r="AV80"/>
      <c r="AW80"/>
      <c r="FY80" s="210">
        <v>75</v>
      </c>
      <c r="FZ80">
        <v>31.696437311050133</v>
      </c>
      <c r="GA80">
        <v>55.47036131730485</v>
      </c>
      <c r="GB80">
        <v>11.513279545632562</v>
      </c>
      <c r="GC80">
        <v>1.5644293024230225</v>
      </c>
      <c r="GD80">
        <v>0.67636000234384608</v>
      </c>
      <c r="GE80">
        <v>2.6195346219587416</v>
      </c>
      <c r="GF80">
        <v>9.6738925901417687</v>
      </c>
      <c r="GG80">
        <v>5.8132966137916409</v>
      </c>
      <c r="GH80">
        <v>3.1941439879922906</v>
      </c>
      <c r="GI80">
        <v>10.576945108919261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38.059092775041066</v>
      </c>
      <c r="AO81">
        <v>10.71237786376601</v>
      </c>
      <c r="AP81">
        <v>110.78165183056046</v>
      </c>
      <c r="AQ81">
        <v>80.820633243847425</v>
      </c>
      <c r="AR81">
        <v>10.393146393079142</v>
      </c>
      <c r="AS81">
        <v>128.89598458542409</v>
      </c>
      <c r="AT81" t="e">
        <v>#DIV/0!</v>
      </c>
      <c r="AU81" t="e">
        <v>#DIV/0!</v>
      </c>
      <c r="AV81"/>
      <c r="AW81"/>
      <c r="FY81" s="210">
        <v>76</v>
      </c>
      <c r="FZ81">
        <v>3.9923236480337865</v>
      </c>
      <c r="GA81">
        <v>18.4947366699448</v>
      </c>
      <c r="GB81">
        <v>8.9339199404595853</v>
      </c>
      <c r="GC81">
        <v>1.2983677738218784</v>
      </c>
      <c r="GD81">
        <v>0.64494018749041493</v>
      </c>
      <c r="GE81">
        <v>1.7324274028402236</v>
      </c>
      <c r="GF81">
        <v>5.0962774856290345</v>
      </c>
      <c r="GG81">
        <v>5.0672188289064444</v>
      </c>
      <c r="GH81">
        <v>3.8980249709708548</v>
      </c>
      <c r="GI81">
        <v>5.0199966065080641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49.266795520890341</v>
      </c>
      <c r="AO82">
        <v>14.908654236035961</v>
      </c>
      <c r="AP82">
        <v>154.45171739282139</v>
      </c>
      <c r="AQ82">
        <v>113.93524818645514</v>
      </c>
      <c r="AR82">
        <v>13.527159045189817</v>
      </c>
      <c r="AS82">
        <v>196.45666687318089</v>
      </c>
      <c r="AT82">
        <v>9.1165932035875894</v>
      </c>
      <c r="AU82">
        <v>117.47793868152864</v>
      </c>
      <c r="AV82"/>
      <c r="AW82"/>
      <c r="FY82" s="210">
        <v>77</v>
      </c>
      <c r="FZ82">
        <v>12.819558180234736</v>
      </c>
      <c r="GA82">
        <v>35.313278223511865</v>
      </c>
      <c r="GB82">
        <v>12.633593152415731</v>
      </c>
      <c r="GC82">
        <v>2.135296003103349</v>
      </c>
      <c r="GD82">
        <v>0.80254545297199109</v>
      </c>
      <c r="GE82">
        <v>1.3118231649587164</v>
      </c>
      <c r="GF82">
        <v>3.4258341784950641</v>
      </c>
      <c r="GG82">
        <v>2.1325556932285603</v>
      </c>
      <c r="GH82">
        <v>3.3056511325293063</v>
      </c>
      <c r="GI82">
        <v>6.8911999658583962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14.986259920634922</v>
      </c>
      <c r="AO83">
        <v>5.8857361407440445</v>
      </c>
      <c r="AP83">
        <v>56.280713489939394</v>
      </c>
      <c r="AQ83">
        <v>40.187643278337184</v>
      </c>
      <c r="AR83">
        <v>5.4020101154562106</v>
      </c>
      <c r="AS83">
        <v>89.275927619286421</v>
      </c>
      <c r="AT83" t="e">
        <v>#DIV/0!</v>
      </c>
      <c r="AU83" t="e">
        <v>#DIV/0!</v>
      </c>
      <c r="AV83"/>
      <c r="AW83"/>
      <c r="FY83" s="210">
        <v>78</v>
      </c>
      <c r="FZ83">
        <v>5.0704252155858311</v>
      </c>
      <c r="GA83">
        <v>16.088606233756511</v>
      </c>
      <c r="GB83">
        <v>9.2578104839305126</v>
      </c>
      <c r="GC83">
        <v>2.1818466805771206</v>
      </c>
      <c r="GD83">
        <v>0.84304277376046743</v>
      </c>
      <c r="GE83">
        <v>4.1117079586910979E-3</v>
      </c>
      <c r="GF83">
        <v>7.0290309408112073</v>
      </c>
      <c r="GG83">
        <v>7.5218995033003573</v>
      </c>
      <c r="GH83">
        <v>2.028231351774656</v>
      </c>
      <c r="GI83">
        <v>5.4425817275151074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48.940426587301587</v>
      </c>
      <c r="AO84">
        <v>12.814358328800537</v>
      </c>
      <c r="AP84">
        <v>140.00184517438117</v>
      </c>
      <c r="AQ84">
        <v>105.2747071274347</v>
      </c>
      <c r="AR84">
        <v>12.149184359491006</v>
      </c>
      <c r="AS84">
        <v>187.13009008415096</v>
      </c>
      <c r="AT84">
        <v>7.8211374009452577</v>
      </c>
      <c r="AU84">
        <v>68.089221219913568</v>
      </c>
      <c r="AV84"/>
      <c r="AW84"/>
      <c r="AX84" s="157" t="s">
        <v>111</v>
      </c>
      <c r="CJ84" s="157" t="s">
        <v>112</v>
      </c>
      <c r="FY84" s="210">
        <v>79</v>
      </c>
      <c r="FZ84">
        <v>12.10770412969466</v>
      </c>
      <c r="GA84">
        <v>24.615916707843795</v>
      </c>
      <c r="GB84">
        <v>8.9619825203084531</v>
      </c>
      <c r="GC84">
        <v>2.8191230116542498</v>
      </c>
      <c r="GD84">
        <v>0.872339214985973</v>
      </c>
      <c r="GE84">
        <v>6.1675619380366468E-3</v>
      </c>
      <c r="GF84">
        <v>5.6386796562949186</v>
      </c>
      <c r="GG84">
        <v>5.2814439259486496</v>
      </c>
      <c r="GH84">
        <v>1.3923653547521333</v>
      </c>
      <c r="GI84">
        <v>6.0204357336523424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19.177941981390259</v>
      </c>
      <c r="AO85">
        <v>8.6950186060048154</v>
      </c>
      <c r="AP85">
        <v>84.416555043649936</v>
      </c>
      <c r="AQ85">
        <v>56.099269325997611</v>
      </c>
      <c r="AR85">
        <v>8.055998699688983</v>
      </c>
      <c r="AS85">
        <v>96.887929762492575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5.0377165904128045</v>
      </c>
      <c r="GA85">
        <v>23.830519545997348</v>
      </c>
      <c r="GB85">
        <v>11.579958397968696</v>
      </c>
      <c r="GC85">
        <v>1.8662954436887627</v>
      </c>
      <c r="GD85">
        <v>0.71428610317114982</v>
      </c>
      <c r="GE85">
        <v>1.4561362855445767</v>
      </c>
      <c r="GF85">
        <v>4.0239118771102946</v>
      </c>
      <c r="GG85">
        <v>3.8098863405168908</v>
      </c>
      <c r="GH85">
        <v>4.2829154220838106</v>
      </c>
      <c r="GI85">
        <v>5.7999570848327027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47.240195105820099</v>
      </c>
      <c r="AO86">
        <v>12.315367964167205</v>
      </c>
      <c r="AP86">
        <v>133.12530402445657</v>
      </c>
      <c r="AQ86">
        <v>100.70890159005319</v>
      </c>
      <c r="AR86">
        <v>11.710309155759578</v>
      </c>
      <c r="AS86">
        <v>158.93095750892306</v>
      </c>
      <c r="AT86">
        <v>7.789462068164319</v>
      </c>
      <c r="AU86">
        <v>51.488574011887444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6" t="s">
        <v>123</v>
      </c>
      <c r="CX86" s="226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12.026068963065628</v>
      </c>
      <c r="GA86">
        <v>26.611771491844799</v>
      </c>
      <c r="GB86">
        <v>7.6554667987656408</v>
      </c>
      <c r="GC86">
        <v>1.2076329990375081</v>
      </c>
      <c r="GD86">
        <v>0.61790851093225863</v>
      </c>
      <c r="GE86">
        <v>4.067447491585936</v>
      </c>
      <c r="GF86">
        <v>10.178464391800468</v>
      </c>
      <c r="GG86">
        <v>3.9015764147343415</v>
      </c>
      <c r="GH86">
        <v>1.6153796438261656</v>
      </c>
      <c r="GI86">
        <v>6.5377694414448078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26.944177613574169</v>
      </c>
      <c r="AO87">
        <v>10.197369549266066</v>
      </c>
      <c r="AP87">
        <v>100.36666598694012</v>
      </c>
      <c r="AQ87">
        <v>69.15757814674555</v>
      </c>
      <c r="AR87">
        <v>9.5665254730766325</v>
      </c>
      <c r="AS87">
        <v>130.03716196263716</v>
      </c>
      <c r="AT87">
        <v>6.601858091747598</v>
      </c>
      <c r="AU87">
        <v>-9.5093000907604086E-2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22.251429436173908</v>
      </c>
      <c r="GA87">
        <v>45.578956173907862</v>
      </c>
      <c r="GB87">
        <v>12.675840977913351</v>
      </c>
      <c r="GC87">
        <v>1.38484660628442</v>
      </c>
      <c r="GD87">
        <v>0.53303198784856454</v>
      </c>
      <c r="GE87">
        <v>2.7597360345859103</v>
      </c>
      <c r="GF87">
        <v>4.7609608212574228</v>
      </c>
      <c r="GG87">
        <v>0.60735729784495363</v>
      </c>
      <c r="GH87">
        <v>1.9701640286702504</v>
      </c>
      <c r="GI87">
        <v>8.1513349225880933</v>
      </c>
      <c r="GJ87"/>
      <c r="GK87"/>
      <c r="GL87"/>
      <c r="GM87"/>
    </row>
    <row r="88" spans="1:195" s="7" customFormat="1">
      <c r="A88" s="128"/>
      <c r="B88" s="76">
        <f ca="1">IF(C88="", "", RAND())</f>
        <v>0.42437099086736429</v>
      </c>
      <c r="C88">
        <v>2</v>
      </c>
      <c r="D88">
        <v>39646</v>
      </c>
      <c r="E88">
        <v>0</v>
      </c>
      <c r="F88">
        <v>0</v>
      </c>
      <c r="G88">
        <v>0</v>
      </c>
      <c r="H88">
        <v>20.833333333333332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23.786522190293745</v>
      </c>
      <c r="AO88">
        <v>6.8431311733337976</v>
      </c>
      <c r="AP88">
        <v>67.112389266673759</v>
      </c>
      <c r="AQ88">
        <v>48.31802352650169</v>
      </c>
      <c r="AR88">
        <v>6.5408916706506002</v>
      </c>
      <c r="AS88">
        <v>106.14331422454691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0.18959954335430251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0.69184376039479201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0.37856094545352637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0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0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0</v>
      </c>
      <c r="FV88" s="149"/>
      <c r="FY88" s="210">
        <v>83</v>
      </c>
      <c r="FZ88">
        <v>3.7596143876213093</v>
      </c>
      <c r="GA88">
        <v>30.709365993285274</v>
      </c>
      <c r="GB88">
        <v>15.174417556380723</v>
      </c>
      <c r="GC88">
        <v>1.8498438632276371</v>
      </c>
      <c r="GD88">
        <v>0.63950485627755749</v>
      </c>
      <c r="GE88">
        <v>1.4520245775858855</v>
      </c>
      <c r="GF88">
        <v>2.6303201836775441</v>
      </c>
      <c r="GG88">
        <v>1.5369063644198138</v>
      </c>
      <c r="GH88">
        <v>2.9508667476852217</v>
      </c>
      <c r="GI88">
        <v>5.9360956466526993</v>
      </c>
      <c r="GJ88"/>
      <c r="GK88"/>
      <c r="GL88"/>
      <c r="GM88"/>
    </row>
    <row r="89" spans="1:195" s="7" customFormat="1">
      <c r="A89" s="115"/>
      <c r="B89" s="76">
        <f ca="1">IF(C89="", "", RAND())</f>
        <v>0.20776432694030755</v>
      </c>
      <c r="C89">
        <v>7</v>
      </c>
      <c r="D89">
        <v>39646</v>
      </c>
      <c r="E89">
        <v>0</v>
      </c>
      <c r="F89">
        <v>0</v>
      </c>
      <c r="G89">
        <v>0</v>
      </c>
      <c r="H89">
        <v>20.833333333333332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20.428521825396825</v>
      </c>
      <c r="AO89">
        <v>6.9631454857698092</v>
      </c>
      <c r="AP89">
        <v>63.646271517590769</v>
      </c>
      <c r="AQ89">
        <v>45.504943369000543</v>
      </c>
      <c r="AR89">
        <v>6.5475953679078103</v>
      </c>
      <c r="AS89">
        <v>82.922486981983297</v>
      </c>
      <c r="AT89">
        <v>4.6450799046138789</v>
      </c>
      <c r="AU89">
        <v>4.2469460310418947</v>
      </c>
      <c r="AV89"/>
      <c r="AW89"/>
      <c r="AX89" s="150"/>
      <c r="AY89" s="76">
        <f t="shared" ref="AY89:AY149" ca="1" si="86">IF(AZ89="", "", RAND())</f>
        <v>0.72361200218402377</v>
      </c>
      <c r="AZ89">
        <v>2</v>
      </c>
      <c r="BA89" s="129">
        <f t="shared" ref="BA89:BA97" si="87">IF(AZ89="", "",$C$4)</f>
        <v>39646</v>
      </c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8">IF(AZ89="", "", RAND())</f>
        <v>0.99313320279712425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/>
      <c r="CP89"/>
      <c r="CQ89">
        <v>1</v>
      </c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0.60549054763098931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20.833333333333332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20.833333333333332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2.6470532787381016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2.6470532787381016</v>
      </c>
      <c r="FV89" s="149"/>
      <c r="FY89" s="210">
        <v>84</v>
      </c>
      <c r="FZ89">
        <v>33.002504937190366</v>
      </c>
      <c r="GA89">
        <v>58.581699358972223</v>
      </c>
      <c r="GB89">
        <v>13.837997563522372</v>
      </c>
      <c r="GC89">
        <v>1.6361015979874973</v>
      </c>
      <c r="GD89">
        <v>0.59602488965609668</v>
      </c>
      <c r="GE89">
        <v>1.5901701362337088</v>
      </c>
      <c r="GF89">
        <v>2.3534685699763243</v>
      </c>
      <c r="GG89">
        <v>0.53518905493733482</v>
      </c>
      <c r="GH89">
        <v>1.1490881144450649</v>
      </c>
      <c r="GI89">
        <v>9.4161090769197848</v>
      </c>
      <c r="GJ89"/>
      <c r="GK89"/>
      <c r="GL89"/>
      <c r="GM89"/>
    </row>
    <row r="90" spans="1:195" s="7" customFormat="1">
      <c r="A90" s="115"/>
      <c r="B90" s="76">
        <f ca="1">IF(C90="", "", RAND())</f>
        <v>0.98690546031187587</v>
      </c>
      <c r="C90">
        <v>8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22.862859195402297</v>
      </c>
      <c r="AO90">
        <v>6.3890358142708532</v>
      </c>
      <c r="AP90">
        <v>64.223072731679451</v>
      </c>
      <c r="AQ90">
        <v>46.986003142400932</v>
      </c>
      <c r="AR90">
        <v>6.3211568870232666</v>
      </c>
      <c r="AS90">
        <v>88.276869507191606</v>
      </c>
      <c r="AT90">
        <v>4.474316481441531</v>
      </c>
      <c r="AU90">
        <v>-12.360255725833206</v>
      </c>
      <c r="AV90"/>
      <c r="AW90"/>
      <c r="AX90" s="150"/>
      <c r="AY90" s="76">
        <f t="shared" ca="1" si="86"/>
        <v>0.96148381626756785</v>
      </c>
      <c r="AZ90">
        <v>3</v>
      </c>
      <c r="BA90" s="129">
        <f t="shared" si="87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8"/>
        <v>0.43515487294132704</v>
      </c>
      <c r="CL90" s="179">
        <f t="shared" si="89"/>
        <v>3</v>
      </c>
      <c r="CM90" s="180">
        <f t="shared" si="90"/>
        <v>39646</v>
      </c>
      <c r="CN90">
        <v>0</v>
      </c>
      <c r="CO90"/>
      <c r="CP90">
        <v>1</v>
      </c>
      <c r="CQ90">
        <v>5</v>
      </c>
      <c r="CR90"/>
      <c r="CS90"/>
      <c r="CT90"/>
      <c r="CU90"/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0.80851987677993531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10.416666666666666</v>
      </c>
      <c r="DI90" s="161">
        <f t="shared" si="96"/>
        <v>52.083333333333336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62.5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0.46345599955173938</v>
      </c>
      <c r="ES90" s="139">
        <f t="shared" si="57"/>
        <v>6.6176331968452553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7.0810891963969951</v>
      </c>
      <c r="FV90" s="149"/>
      <c r="FY90" s="210">
        <v>85</v>
      </c>
      <c r="FZ90">
        <v>13.471938362566064</v>
      </c>
      <c r="GA90">
        <v>27.760837677550551</v>
      </c>
      <c r="GB90">
        <v>8.6381764030691794</v>
      </c>
      <c r="GC90">
        <v>2.0598479430974539</v>
      </c>
      <c r="GD90">
        <v>0.93833396024874194</v>
      </c>
      <c r="GE90">
        <v>0.28040282525433813</v>
      </c>
      <c r="GF90">
        <v>4.5090499575549421</v>
      </c>
      <c r="GG90">
        <v>4.5340715426641198</v>
      </c>
      <c r="GH90">
        <v>3.1226905725757819</v>
      </c>
      <c r="GI90">
        <v>6.2509683828640386</v>
      </c>
      <c r="GJ90"/>
      <c r="GK90"/>
      <c r="GL90"/>
      <c r="GM90"/>
    </row>
    <row r="91" spans="1:195" s="7" customFormat="1">
      <c r="A91" s="77"/>
      <c r="B91" s="76">
        <f ca="1">IF(C91="", "", RAND())</f>
        <v>9.1833858449298811E-2</v>
      </c>
      <c r="C91">
        <v>10</v>
      </c>
      <c r="D91">
        <v>39646</v>
      </c>
      <c r="E91">
        <v>0</v>
      </c>
      <c r="F91">
        <v>0</v>
      </c>
      <c r="G91">
        <v>41.666666666666664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63.621558565955112</v>
      </c>
      <c r="AO91">
        <v>15.983196118225251</v>
      </c>
      <c r="AP91">
        <v>172.56923279132877</v>
      </c>
      <c r="AQ91">
        <v>132.7986804015581</v>
      </c>
      <c r="AR91">
        <v>15.046822184380353</v>
      </c>
      <c r="AS91">
        <v>244.25066576433275</v>
      </c>
      <c r="AT91">
        <v>9.6812312669086324</v>
      </c>
      <c r="AU91">
        <v>78.484822755431736</v>
      </c>
      <c r="AV91"/>
      <c r="AW91"/>
      <c r="AX91" s="151"/>
      <c r="AY91" s="76">
        <f t="shared" ca="1" si="86"/>
        <v>0.64603897753174255</v>
      </c>
      <c r="AZ91">
        <v>4</v>
      </c>
      <c r="BA91" s="129">
        <f t="shared" si="87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8"/>
        <v>0.49424234124238176</v>
      </c>
      <c r="CL91" s="179">
        <f t="shared" si="89"/>
        <v>4</v>
      </c>
      <c r="CM91" s="180">
        <f t="shared" si="90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0.99371176591724986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0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</v>
      </c>
      <c r="FV91" s="149"/>
      <c r="FY91" s="210">
        <v>86</v>
      </c>
      <c r="FZ91">
        <v>31.490053604570939</v>
      </c>
      <c r="GA91">
        <v>44.360022638685884</v>
      </c>
      <c r="GB91">
        <v>7.8001843247173293</v>
      </c>
      <c r="GC91">
        <v>2.9092307746153869</v>
      </c>
      <c r="GD91">
        <v>1.031582551529874</v>
      </c>
      <c r="GE91">
        <v>1.4479128696271943</v>
      </c>
      <c r="GF91">
        <v>5.6499807130314741</v>
      </c>
      <c r="GG91">
        <v>4.2025425563261436</v>
      </c>
      <c r="GH91">
        <v>1.3320486743985893</v>
      </c>
      <c r="GI91">
        <v>8.6482534380120804</v>
      </c>
      <c r="GJ91"/>
      <c r="GK91"/>
      <c r="GL91"/>
      <c r="GM91"/>
    </row>
    <row r="92" spans="1:195" s="7" customFormat="1">
      <c r="A92" s="77"/>
      <c r="B92" s="76">
        <f ca="1">IF(C92="", "", RAND())</f>
        <v>0.18061244000574161</v>
      </c>
      <c r="C92">
        <v>4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19.533909756431306</v>
      </c>
      <c r="AO92">
        <v>7.8977349613328043</v>
      </c>
      <c r="AP92">
        <v>80.426512900519967</v>
      </c>
      <c r="AQ92">
        <v>54.17823351460509</v>
      </c>
      <c r="AR92">
        <v>7.4373399075805509</v>
      </c>
      <c r="AS92">
        <v>90.459648635477748</v>
      </c>
      <c r="AT92">
        <v>5.2527184374297402</v>
      </c>
      <c r="AU92">
        <v>-1.2816228041222728</v>
      </c>
      <c r="AV92"/>
      <c r="AW92"/>
      <c r="AX92" s="151"/>
      <c r="AY92" s="76">
        <f t="shared" ca="1" si="86"/>
        <v>0.6975012261944773</v>
      </c>
      <c r="AZ92">
        <v>5</v>
      </c>
      <c r="BA92" s="129">
        <f t="shared" si="87"/>
        <v>39646</v>
      </c>
      <c r="BB92" s="216">
        <v>0</v>
      </c>
      <c r="BC92" s="216"/>
      <c r="BD92" s="216"/>
      <c r="BE92" s="216"/>
      <c r="BF92" s="216">
        <v>7</v>
      </c>
      <c r="BG92" s="216"/>
      <c r="BH92" s="216"/>
      <c r="BI92" s="216"/>
      <c r="BJ92" s="216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8"/>
        <v>0.46102605863599777</v>
      </c>
      <c r="CL92" s="179">
        <f t="shared" si="89"/>
        <v>5</v>
      </c>
      <c r="CM92" s="180">
        <f t="shared" si="90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0.61090742166787937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72.916666666666671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72.916666666666671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19.506177748527271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19.506177748527271</v>
      </c>
      <c r="FV92" s="149"/>
      <c r="FY92" s="210">
        <v>87</v>
      </c>
      <c r="FZ92">
        <v>12.487089568283521</v>
      </c>
      <c r="GA92">
        <v>26.786924729329105</v>
      </c>
      <c r="GB92">
        <v>7.8714127522509711</v>
      </c>
      <c r="GC92">
        <v>1.6425932866891504</v>
      </c>
      <c r="GD92">
        <v>0.6882336472425904</v>
      </c>
      <c r="GE92">
        <v>2.7556243266272196</v>
      </c>
      <c r="GF92">
        <v>9.3430172951357751</v>
      </c>
      <c r="GG92">
        <v>4.9345659664372041</v>
      </c>
      <c r="GH92">
        <v>3.3625293834223839</v>
      </c>
      <c r="GI92">
        <v>6.8108024454084415</v>
      </c>
      <c r="GJ92"/>
      <c r="GK92"/>
      <c r="GL92"/>
      <c r="GM92"/>
    </row>
    <row r="93" spans="1:195" s="7" customFormat="1">
      <c r="A93" s="77"/>
      <c r="B93" s="76">
        <f ca="1">IF(C93="", "", RAND())</f>
        <v>0.59867130174615912</v>
      </c>
      <c r="C93">
        <v>9</v>
      </c>
      <c r="D93">
        <v>39646</v>
      </c>
      <c r="E93">
        <v>0</v>
      </c>
      <c r="F93">
        <v>0</v>
      </c>
      <c r="G93">
        <v>0</v>
      </c>
      <c r="H93">
        <v>10.416666666666666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34.24966931216931</v>
      </c>
      <c r="AO93">
        <v>10.483223782363828</v>
      </c>
      <c r="AP93">
        <v>111.06648491783204</v>
      </c>
      <c r="AQ93">
        <v>80.77133514730771</v>
      </c>
      <c r="AR93">
        <v>9.9649363208699739</v>
      </c>
      <c r="AS93">
        <v>121.82695304561068</v>
      </c>
      <c r="AT93">
        <v>6.4425834241386779</v>
      </c>
      <c r="AU93">
        <v>25.491365368607596</v>
      </c>
      <c r="AV93"/>
      <c r="AW93"/>
      <c r="AX93" s="151"/>
      <c r="AY93" s="76">
        <f t="shared" ca="1" si="86"/>
        <v>0.62952675764551769</v>
      </c>
      <c r="AZ93">
        <v>6</v>
      </c>
      <c r="BA93" s="129">
        <f t="shared" si="87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8"/>
        <v>0.86402900113976</v>
      </c>
      <c r="CL93" s="179">
        <f t="shared" si="89"/>
        <v>6</v>
      </c>
      <c r="CM93" s="180">
        <f t="shared" si="90"/>
        <v>39646</v>
      </c>
      <c r="CN93" s="219">
        <v>0</v>
      </c>
      <c r="CO93" s="219"/>
      <c r="CP93" s="219">
        <v>2</v>
      </c>
      <c r="CQ93" s="219">
        <v>3</v>
      </c>
      <c r="CR93" s="219">
        <v>1</v>
      </c>
      <c r="CS93" s="219"/>
      <c r="CT93"/>
      <c r="CU93"/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0.94076203038884398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41.666666666666664</v>
      </c>
      <c r="DI93" s="161">
        <f t="shared" si="96"/>
        <v>62.5</v>
      </c>
      <c r="DJ93" s="161">
        <f t="shared" si="97"/>
        <v>20.833333333333332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124.99999999999999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1.8538239982069575</v>
      </c>
      <c r="ES93" s="139">
        <f t="shared" si="57"/>
        <v>7.9411598362143057</v>
      </c>
      <c r="ET93" s="139">
        <f t="shared" si="58"/>
        <v>5.5731936424363626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15.368177476857625</v>
      </c>
      <c r="FV93" s="149"/>
      <c r="FY93" s="210">
        <v>88</v>
      </c>
      <c r="FZ93">
        <v>6.8098691590087963</v>
      </c>
      <c r="GA93">
        <v>22.789205766236414</v>
      </c>
      <c r="GB93">
        <v>8.9253634766543062</v>
      </c>
      <c r="GC93">
        <v>1.1814523672312625</v>
      </c>
      <c r="GD93">
        <v>0.83923946577716846</v>
      </c>
      <c r="GE93">
        <v>0.14431312058586016</v>
      </c>
      <c r="GF93">
        <v>3.4653163941468206</v>
      </c>
      <c r="GG93">
        <v>4.1555121435033504</v>
      </c>
      <c r="GH93">
        <v>2.028231351774656</v>
      </c>
      <c r="GI93">
        <v>4.9684075747541581</v>
      </c>
      <c r="GJ93"/>
      <c r="GK93"/>
      <c r="GL93"/>
      <c r="GM93"/>
    </row>
    <row r="94" spans="1:195" s="7" customFormat="1">
      <c r="A94" s="77"/>
      <c r="B94" s="76">
        <f ca="1">IF(C94="", "", RAND())</f>
        <v>0.23264988368368922</v>
      </c>
      <c r="C94">
        <v>6</v>
      </c>
      <c r="D94">
        <v>39646</v>
      </c>
      <c r="E94">
        <v>0</v>
      </c>
      <c r="F94">
        <v>0</v>
      </c>
      <c r="G94">
        <v>41.666666666666664</v>
      </c>
      <c r="H94">
        <v>62.5</v>
      </c>
      <c r="I94">
        <v>20.833333333333332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23.652841634738188</v>
      </c>
      <c r="AO94">
        <v>8.15799647730557</v>
      </c>
      <c r="AP94">
        <v>81.295913184037502</v>
      </c>
      <c r="AQ94">
        <v>55.467586618970465</v>
      </c>
      <c r="AR94">
        <v>8.045528858644003</v>
      </c>
      <c r="AS94">
        <v>93.353085273286254</v>
      </c>
      <c r="AT94" t="e">
        <v>#DIV/0!</v>
      </c>
      <c r="AU94" t="e">
        <v>#DIV/0!</v>
      </c>
      <c r="AV94"/>
      <c r="AW94"/>
      <c r="AX94" s="151"/>
      <c r="AY94" s="76">
        <f t="shared" ca="1" si="86"/>
        <v>0.89908507979817398</v>
      </c>
      <c r="AZ94">
        <v>7</v>
      </c>
      <c r="BA94" s="129">
        <f t="shared" si="87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8"/>
        <v>0.85088719734837803</v>
      </c>
      <c r="CL94" s="179">
        <f t="shared" si="89"/>
        <v>7</v>
      </c>
      <c r="CM94" s="180">
        <f t="shared" si="90"/>
        <v>39646</v>
      </c>
      <c r="CN94">
        <v>0</v>
      </c>
      <c r="CO94"/>
      <c r="CP94"/>
      <c r="CQ94">
        <v>1</v>
      </c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0.70164507943160892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0</v>
      </c>
      <c r="DI94" s="161">
        <f t="shared" si="96"/>
        <v>20.833333333333332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20.833333333333332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</v>
      </c>
      <c r="ES94" s="139">
        <f t="shared" si="57"/>
        <v>2.6470532787381016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2.6470532787381016</v>
      </c>
      <c r="FV94" s="149"/>
      <c r="FY94" s="210">
        <v>89</v>
      </c>
      <c r="FZ94">
        <v>11.809743192963346</v>
      </c>
      <c r="GA94">
        <v>24.644014455352643</v>
      </c>
      <c r="GB94">
        <v>7.2501266472285675</v>
      </c>
      <c r="GC94">
        <v>1.9268146989557988</v>
      </c>
      <c r="GD94">
        <v>0.84417323931873245</v>
      </c>
      <c r="GE94">
        <v>0.14020141262716906</v>
      </c>
      <c r="GF94">
        <v>2.6444107631351446</v>
      </c>
      <c r="GG94">
        <v>3.2125756577542175</v>
      </c>
      <c r="GH94">
        <v>1.6868330592426739</v>
      </c>
      <c r="GI94">
        <v>4.9669046348491639</v>
      </c>
      <c r="GJ94"/>
      <c r="GK94"/>
      <c r="GL94"/>
      <c r="GM94"/>
    </row>
    <row r="95" spans="1:195" s="7" customFormat="1">
      <c r="A95" s="77"/>
      <c r="B95" s="76">
        <f ca="1">IF(C95="", "", RAND())</f>
        <v>0.51526282052310757</v>
      </c>
      <c r="C95">
        <v>3</v>
      </c>
      <c r="D95">
        <v>39646</v>
      </c>
      <c r="E95">
        <v>0</v>
      </c>
      <c r="F95">
        <v>0</v>
      </c>
      <c r="G95">
        <v>10.416666666666666</v>
      </c>
      <c r="H95">
        <v>52.083333333333336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35.409918354314904</v>
      </c>
      <c r="AO95">
        <v>9.1134925994874543</v>
      </c>
      <c r="AP95">
        <v>92.13718244225565</v>
      </c>
      <c r="AQ95">
        <v>67.71615781707321</v>
      </c>
      <c r="AR95">
        <v>8.7729378112272354</v>
      </c>
      <c r="AS95">
        <v>120.3959469842609</v>
      </c>
      <c r="AT95" t="e">
        <v>#DIV/0!</v>
      </c>
      <c r="AU95" t="e">
        <v>#DIV/0!</v>
      </c>
      <c r="AV95"/>
      <c r="AW95"/>
      <c r="AX95" s="151"/>
      <c r="AY95" s="76">
        <f t="shared" ca="1" si="86"/>
        <v>0.16872933317944838</v>
      </c>
      <c r="AZ95">
        <v>8</v>
      </c>
      <c r="BA95" s="129">
        <f t="shared" si="87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8"/>
        <v>0.82667735108278784</v>
      </c>
      <c r="CL95" s="179">
        <f t="shared" si="89"/>
        <v>8</v>
      </c>
      <c r="CM95" s="180">
        <f t="shared" si="90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0.70025744934224932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0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0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0</v>
      </c>
      <c r="FV95" s="149"/>
      <c r="FY95" s="210">
        <v>90</v>
      </c>
      <c r="FZ95">
        <v>17.08427373809921</v>
      </c>
      <c r="GA95">
        <v>26.966218335247898</v>
      </c>
      <c r="GB95">
        <v>8.7924863815963636</v>
      </c>
      <c r="GC95">
        <v>1.8646736726677351</v>
      </c>
      <c r="GD95">
        <v>0.69958985617012615</v>
      </c>
      <c r="GE95">
        <v>2.0558539793455489E-3</v>
      </c>
      <c r="GF95">
        <v>3.5193400754515958</v>
      </c>
      <c r="GG95">
        <v>4.9620745479501673</v>
      </c>
      <c r="GH95">
        <v>3.0188817336412632</v>
      </c>
      <c r="GI95">
        <v>6.4163912672855323</v>
      </c>
      <c r="GJ95"/>
      <c r="GK95"/>
      <c r="GL95"/>
      <c r="GM95"/>
    </row>
    <row r="96" spans="1:195" s="7" customFormat="1">
      <c r="A96" s="77"/>
      <c r="B96" s="76">
        <f ca="1">IF(C96="", "", RAND())</f>
        <v>5.6727325594234657E-3</v>
      </c>
      <c r="C96">
        <v>1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18.163226372924651</v>
      </c>
      <c r="AO96">
        <v>9.0627967548239248</v>
      </c>
      <c r="AP96">
        <v>93.941895116272832</v>
      </c>
      <c r="AQ96">
        <v>62.401583091327034</v>
      </c>
      <c r="AR96">
        <v>8.6689144748616478</v>
      </c>
      <c r="AS96">
        <v>146.53690757999928</v>
      </c>
      <c r="AT96">
        <v>6.6176474878943123</v>
      </c>
      <c r="AU96">
        <v>-16.467715679796271</v>
      </c>
      <c r="AV96"/>
      <c r="AW96"/>
      <c r="AX96" s="151"/>
      <c r="AY96" s="76">
        <f t="shared" ca="1" si="86"/>
        <v>0.98640865983768311</v>
      </c>
      <c r="AZ96">
        <v>9</v>
      </c>
      <c r="BA96" s="129">
        <f t="shared" si="87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8"/>
        <v>9.8253872672318998E-2</v>
      </c>
      <c r="CL96" s="179">
        <f t="shared" si="89"/>
        <v>9</v>
      </c>
      <c r="CM96" s="180">
        <f t="shared" si="90"/>
        <v>39646</v>
      </c>
      <c r="CN96">
        <v>0</v>
      </c>
      <c r="CO96"/>
      <c r="CP96"/>
      <c r="CQ96">
        <v>1</v>
      </c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0.42205697105117207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10.416666666666666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10.416666666666666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1.3235266393690508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1.3235266393690508</v>
      </c>
      <c r="FV96" s="149"/>
      <c r="FY96" s="210">
        <v>91</v>
      </c>
      <c r="FZ96">
        <v>3.8855016358062051</v>
      </c>
      <c r="GA96">
        <v>34.329120361933626</v>
      </c>
      <c r="GB96">
        <v>17.867837598370414</v>
      </c>
      <c r="GC96">
        <v>2.4152168490746089</v>
      </c>
      <c r="GD96">
        <v>1.0191960684899679</v>
      </c>
      <c r="GE96">
        <v>0.28040282525433813</v>
      </c>
      <c r="GF96">
        <v>3.4653163941468206</v>
      </c>
      <c r="GG96">
        <v>4.1555121435033504</v>
      </c>
      <c r="GH96">
        <v>2.7244140291507226</v>
      </c>
      <c r="GI96">
        <v>6.9944005518691412</v>
      </c>
      <c r="GJ96"/>
      <c r="GK96"/>
      <c r="GL96"/>
      <c r="GM96"/>
    </row>
    <row r="97" spans="1:195" s="7" customFormat="1">
      <c r="A97" s="77"/>
      <c r="B97" s="76">
        <f ca="1">IF(C97="", "", RAND())</f>
        <v>5.6679890019709411E-2</v>
      </c>
      <c r="C97">
        <v>5</v>
      </c>
      <c r="D97">
        <v>39646</v>
      </c>
      <c r="E97">
        <v>0</v>
      </c>
      <c r="F97">
        <v>0</v>
      </c>
      <c r="G97">
        <v>0</v>
      </c>
      <c r="H97">
        <v>0</v>
      </c>
      <c r="I97">
        <v>72.916666666666671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31.04292099981755</v>
      </c>
      <c r="AO97">
        <v>10.100221644695946</v>
      </c>
      <c r="AP97">
        <v>102.23441966372496</v>
      </c>
      <c r="AQ97">
        <v>74.419486147037546</v>
      </c>
      <c r="AR97">
        <v>9.2561817093265795</v>
      </c>
      <c r="AS97">
        <v>107.82483003568234</v>
      </c>
      <c r="AT97">
        <v>6.3049303433164567</v>
      </c>
      <c r="AU97">
        <v>58.51539811427137</v>
      </c>
      <c r="AV97"/>
      <c r="AW97"/>
      <c r="AX97" s="151"/>
      <c r="AY97" s="76">
        <f t="shared" ca="1" si="86"/>
        <v>0.41851927443055903</v>
      </c>
      <c r="AZ97">
        <v>10</v>
      </c>
      <c r="BA97" s="129">
        <f t="shared" si="87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8"/>
        <v>0.24518780584275568</v>
      </c>
      <c r="CL97" s="179">
        <f t="shared" si="89"/>
        <v>10</v>
      </c>
      <c r="CM97" s="180">
        <f t="shared" si="90"/>
        <v>39646</v>
      </c>
      <c r="CN97">
        <v>0</v>
      </c>
      <c r="CO97"/>
      <c r="CP97">
        <v>2</v>
      </c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0.97667824238846235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41.666666666666664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41.666666666666664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1.8538239982069575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1.8538239982069575</v>
      </c>
      <c r="FV97" s="149"/>
      <c r="FY97" s="210">
        <v>92</v>
      </c>
      <c r="FZ97">
        <v>13.979561602301576</v>
      </c>
      <c r="GA97">
        <v>27.726072057136243</v>
      </c>
      <c r="GB97">
        <v>8.0258437100026274</v>
      </c>
      <c r="GC97">
        <v>1.7079264744265306</v>
      </c>
      <c r="GD97">
        <v>0.48612036610271198</v>
      </c>
      <c r="GE97">
        <v>0.14225726660651461</v>
      </c>
      <c r="GF97">
        <v>2.402599995720065</v>
      </c>
      <c r="GG97">
        <v>2.511782047989195</v>
      </c>
      <c r="GH97">
        <v>1.6153796438261656</v>
      </c>
      <c r="GI97">
        <v>5.2080301545670569</v>
      </c>
      <c r="GJ97"/>
      <c r="GK97"/>
      <c r="GL97"/>
      <c r="GM97"/>
    </row>
    <row r="98" spans="1:195" s="7" customFormat="1">
      <c r="A98" s="128"/>
      <c r="B98" s="76">
        <f ca="1">IF(C98="", "", RAND())</f>
        <v>0.4667121012956521</v>
      </c>
      <c r="C98">
        <v>3</v>
      </c>
      <c r="D98">
        <v>39673</v>
      </c>
      <c r="E98">
        <v>0</v>
      </c>
      <c r="F98">
        <v>0</v>
      </c>
      <c r="G98">
        <v>0</v>
      </c>
      <c r="H98">
        <v>0</v>
      </c>
      <c r="I98">
        <v>10.416666666666666</v>
      </c>
      <c r="J98">
        <v>0</v>
      </c>
      <c r="K98">
        <v>10.416666666666666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45.007787698412706</v>
      </c>
      <c r="AO98">
        <v>12.126936648454139</v>
      </c>
      <c r="AP98">
        <v>131.67623949800253</v>
      </c>
      <c r="AQ98">
        <v>100.67365828707476</v>
      </c>
      <c r="AR98">
        <v>11.472804204666733</v>
      </c>
      <c r="AS98">
        <v>176.05755886448765</v>
      </c>
      <c r="AT98">
        <v>7.4676899560710375</v>
      </c>
      <c r="AU98">
        <v>45.19898203658046</v>
      </c>
      <c r="AV98"/>
      <c r="AW98"/>
      <c r="AX98" s="128"/>
      <c r="AY98" s="76">
        <f t="shared" ca="1" si="86"/>
        <v>0.48271009294488221</v>
      </c>
      <c r="AZ98">
        <v>1</v>
      </c>
      <c r="BA98" s="129">
        <f>IF(AZ98="", "",$C$5)</f>
        <v>39673</v>
      </c>
      <c r="BB98">
        <v>0</v>
      </c>
      <c r="BC98"/>
      <c r="BD98"/>
      <c r="BE98"/>
      <c r="BF98"/>
      <c r="BG98">
        <v>2</v>
      </c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8"/>
        <v>0.62916745050519318</v>
      </c>
      <c r="CL98" s="179">
        <f t="shared" si="89"/>
        <v>1</v>
      </c>
      <c r="CM98" s="180">
        <f t="shared" si="90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0.89835414636528843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0</v>
      </c>
      <c r="DJ98" s="161">
        <f t="shared" si="97"/>
        <v>0</v>
      </c>
      <c r="DK98" s="161">
        <f t="shared" si="98"/>
        <v>20.833333333333332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20.833333333333332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0</v>
      </c>
      <c r="ET98" s="139">
        <f t="shared" si="58"/>
        <v>0</v>
      </c>
      <c r="EU98" s="139">
        <f t="shared" si="59"/>
        <v>9.9290396889522778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9.9290396889522778</v>
      </c>
      <c r="FV98" s="149"/>
      <c r="FY98" s="210">
        <v>93</v>
      </c>
      <c r="FZ98">
        <v>30.012661450086298</v>
      </c>
      <c r="GA98">
        <v>46.69634749732235</v>
      </c>
      <c r="GB98">
        <v>7.0633733402189414</v>
      </c>
      <c r="GC98">
        <v>1.4093379659127665</v>
      </c>
      <c r="GD98">
        <v>0.78226242017935077</v>
      </c>
      <c r="GE98">
        <v>0.14225726660651461</v>
      </c>
      <c r="GF98">
        <v>3.2424884617503755</v>
      </c>
      <c r="GG98">
        <v>3.3708423217945014</v>
      </c>
      <c r="GH98">
        <v>1.1490881144450649</v>
      </c>
      <c r="GI98">
        <v>7.613899467233753</v>
      </c>
      <c r="GJ98"/>
      <c r="GK98"/>
      <c r="GL98"/>
      <c r="GM98"/>
    </row>
    <row r="99" spans="1:195" s="7" customFormat="1">
      <c r="A99" s="1"/>
      <c r="B99" s="76">
        <f ca="1">IF(C99="", "", RAND())</f>
        <v>0.80758002957738051</v>
      </c>
      <c r="C99">
        <v>9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19.188541666666659</v>
      </c>
      <c r="AO99">
        <v>9.3095523801009143</v>
      </c>
      <c r="AP99">
        <v>99.862347305112579</v>
      </c>
      <c r="AQ99">
        <v>66.638960176813683</v>
      </c>
      <c r="AR99">
        <v>8.7755847894410692</v>
      </c>
      <c r="AS99">
        <v>100.5432030734241</v>
      </c>
      <c r="AT99">
        <v>5.7105786314854408</v>
      </c>
      <c r="AU99">
        <v>-9.855562281480525</v>
      </c>
      <c r="AV99"/>
      <c r="AW99"/>
      <c r="AX99" s="146"/>
      <c r="AY99" s="76">
        <f t="shared" ca="1" si="86"/>
        <v>0.38236862833578078</v>
      </c>
      <c r="AZ99">
        <v>2</v>
      </c>
      <c r="BA99" s="129">
        <f t="shared" ref="BA99:BA107" si="125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8"/>
        <v>0.81774437815559597</v>
      </c>
      <c r="CL99" s="179">
        <f t="shared" si="89"/>
        <v>2</v>
      </c>
      <c r="CM99" s="180">
        <f t="shared" si="90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0.56253931725370165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0">
        <v>94</v>
      </c>
      <c r="FZ99">
        <v>2.4040309277675243</v>
      </c>
      <c r="GA99">
        <v>17.290358186717036</v>
      </c>
      <c r="GB99">
        <v>8.5871204291039671</v>
      </c>
      <c r="GC99">
        <v>1.3167657184692938</v>
      </c>
      <c r="GD99">
        <v>0.67620469266552408</v>
      </c>
      <c r="GE99">
        <v>0.14225726660651461</v>
      </c>
      <c r="GF99">
        <v>3.4112927128420463</v>
      </c>
      <c r="GG99">
        <v>3.6889838889582065</v>
      </c>
      <c r="GH99">
        <v>2.4230694657392489</v>
      </c>
      <c r="GI99">
        <v>4.0549945873765711</v>
      </c>
      <c r="GJ99"/>
      <c r="GK99"/>
      <c r="GL99"/>
      <c r="GM99"/>
    </row>
    <row r="100" spans="1:195" s="7" customFormat="1">
      <c r="A100" s="1"/>
      <c r="B100" s="76">
        <f ca="1">IF(C100="", "", RAND())</f>
        <v>3.6635905231066523E-2</v>
      </c>
      <c r="C100">
        <v>8</v>
      </c>
      <c r="D100">
        <v>39673</v>
      </c>
      <c r="E100">
        <v>0</v>
      </c>
      <c r="F100">
        <v>0</v>
      </c>
      <c r="G100">
        <v>0</v>
      </c>
      <c r="H100">
        <v>20.833333333333332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64.808016899288447</v>
      </c>
      <c r="AO100">
        <v>13.958601242293213</v>
      </c>
      <c r="AP100">
        <v>154.94292046316062</v>
      </c>
      <c r="AQ100">
        <v>122.69835329984078</v>
      </c>
      <c r="AR100">
        <v>13.264578447327295</v>
      </c>
      <c r="AS100">
        <v>207.67036289216639</v>
      </c>
      <c r="AT100">
        <v>8.5010395717764435</v>
      </c>
      <c r="AU100">
        <v>53.859674355114599</v>
      </c>
      <c r="AV100"/>
      <c r="AW100"/>
      <c r="AX100" s="146"/>
      <c r="AY100" s="76">
        <f t="shared" ca="1" si="86"/>
        <v>0.96034416812941181</v>
      </c>
      <c r="AZ100">
        <v>3</v>
      </c>
      <c r="BA100" s="129">
        <f t="shared" si="125"/>
        <v>39673</v>
      </c>
      <c r="BB100">
        <v>0</v>
      </c>
      <c r="BC100"/>
      <c r="BD100"/>
      <c r="BE100"/>
      <c r="BF100">
        <v>1</v>
      </c>
      <c r="BG100"/>
      <c r="BH100">
        <v>1</v>
      </c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8"/>
        <v>0.69768411888978754</v>
      </c>
      <c r="CL100" s="179">
        <f t="shared" si="89"/>
        <v>3</v>
      </c>
      <c r="CM100" s="180">
        <f t="shared" si="90"/>
        <v>39673</v>
      </c>
      <c r="CN100">
        <v>0</v>
      </c>
      <c r="CO100"/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0.88558593599824587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10.416666666666666</v>
      </c>
      <c r="DK100" s="161">
        <f t="shared" si="98"/>
        <v>0</v>
      </c>
      <c r="DL100" s="161">
        <f t="shared" si="99"/>
        <v>10.416666666666666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20.833333333333332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2.7865968212181813</v>
      </c>
      <c r="EU100" s="139">
        <f t="shared" si="59"/>
        <v>0</v>
      </c>
      <c r="EV100" s="139">
        <f t="shared" si="60"/>
        <v>7.9578970379725193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10.744493859190701</v>
      </c>
      <c r="FV100" s="149"/>
      <c r="FY100" s="210">
        <v>95</v>
      </c>
      <c r="FZ100">
        <v>13.856799737316287</v>
      </c>
      <c r="GA100">
        <v>21.226437912224675</v>
      </c>
      <c r="GB100">
        <v>6.1176229532059345</v>
      </c>
      <c r="GC100">
        <v>1.6187577895972027</v>
      </c>
      <c r="GD100">
        <v>0.58971652980770506</v>
      </c>
      <c r="GE100">
        <v>1.3138790189380618</v>
      </c>
      <c r="GF100">
        <v>5.9268323267326943</v>
      </c>
      <c r="GG100">
        <v>4.614744949135436</v>
      </c>
      <c r="GH100">
        <v>3.6470494250612888</v>
      </c>
      <c r="GI100">
        <v>5.7703352331064126</v>
      </c>
      <c r="GJ100"/>
      <c r="GK100"/>
      <c r="GL100"/>
      <c r="GM100"/>
    </row>
    <row r="101" spans="1:195" s="7" customFormat="1">
      <c r="A101" s="1"/>
      <c r="B101" s="76">
        <f ca="1">IF(C101="", "", RAND())</f>
        <v>0.78583678508095933</v>
      </c>
      <c r="C101">
        <v>6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33.655836640211639</v>
      </c>
      <c r="AO101">
        <v>9.3327793177025686</v>
      </c>
      <c r="AP101">
        <v>97.216605610304853</v>
      </c>
      <c r="AQ101">
        <v>71.566317627445216</v>
      </c>
      <c r="AR101">
        <v>9.1540762994475831</v>
      </c>
      <c r="AS101">
        <v>116.53430442362142</v>
      </c>
      <c r="AT101" t="e">
        <v>#DIV/0!</v>
      </c>
      <c r="AU101" t="e">
        <v>#DIV/0!</v>
      </c>
      <c r="AV101"/>
      <c r="AW101"/>
      <c r="AX101" s="146"/>
      <c r="AY101" s="76">
        <f t="shared" ca="1" si="86"/>
        <v>0.5624586855479663</v>
      </c>
      <c r="AZ101">
        <v>4</v>
      </c>
      <c r="BA101" s="129">
        <f t="shared" si="125"/>
        <v>39673</v>
      </c>
      <c r="BB101">
        <v>0</v>
      </c>
      <c r="BC101"/>
      <c r="BD101"/>
      <c r="BE101"/>
      <c r="BF101">
        <v>1</v>
      </c>
      <c r="BG101"/>
      <c r="BH101">
        <v>1</v>
      </c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8"/>
        <v>0.23715495181639845</v>
      </c>
      <c r="CL101" s="179">
        <f t="shared" si="89"/>
        <v>4</v>
      </c>
      <c r="CM101" s="180">
        <f t="shared" si="90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0.28551220887563034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0</v>
      </c>
      <c r="DJ101" s="161">
        <f t="shared" si="97"/>
        <v>10.416666666666666</v>
      </c>
      <c r="DK101" s="161">
        <f t="shared" si="98"/>
        <v>0</v>
      </c>
      <c r="DL101" s="161">
        <f t="shared" si="99"/>
        <v>10.416666666666666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20.833333333333332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</v>
      </c>
      <c r="ET101" s="139">
        <f t="shared" si="58"/>
        <v>2.7865968212181813</v>
      </c>
      <c r="EU101" s="139">
        <f t="shared" si="59"/>
        <v>0</v>
      </c>
      <c r="EV101" s="139">
        <f t="shared" si="60"/>
        <v>7.9578970379725193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10.744493859190701</v>
      </c>
      <c r="FV101" s="149"/>
      <c r="FY101" s="210">
        <v>96</v>
      </c>
      <c r="FZ101">
        <v>21.995896203295935</v>
      </c>
      <c r="GA101">
        <v>36.862728507842967</v>
      </c>
      <c r="GB101">
        <v>8.7733906703318283</v>
      </c>
      <c r="GC101">
        <v>1.9985297928942392</v>
      </c>
      <c r="GD101">
        <v>0.83719522311018024</v>
      </c>
      <c r="GE101">
        <v>1.4520245775858855</v>
      </c>
      <c r="GF101">
        <v>8.0175398624654015</v>
      </c>
      <c r="GG101">
        <v>6.2433838296470467</v>
      </c>
      <c r="GH101">
        <v>2.9642528399973243</v>
      </c>
      <c r="GI101">
        <v>8.0876390247018151</v>
      </c>
      <c r="GJ101"/>
      <c r="GK101"/>
      <c r="GL101"/>
      <c r="GM101"/>
    </row>
    <row r="102" spans="1:195" s="7" customFormat="1">
      <c r="A102" s="1"/>
      <c r="B102" s="76">
        <f ca="1">IF(C102="", "", RAND())</f>
        <v>0.66955504333526061</v>
      </c>
      <c r="C102">
        <v>5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60.71081349206348</v>
      </c>
      <c r="AO102">
        <v>13.10223574467874</v>
      </c>
      <c r="AP102">
        <v>134.9821278570532</v>
      </c>
      <c r="AQ102">
        <v>108.87181214551489</v>
      </c>
      <c r="AR102">
        <v>12.245446146321155</v>
      </c>
      <c r="AS102">
        <v>197.09997429298949</v>
      </c>
      <c r="AT102" t="e">
        <v>#DIV/0!</v>
      </c>
      <c r="AU102" t="e">
        <v>#DIV/0!</v>
      </c>
      <c r="AV102"/>
      <c r="AW102"/>
      <c r="AX102" s="146"/>
      <c r="AY102" s="76">
        <f t="shared" ca="1" si="86"/>
        <v>0.91064194886637129</v>
      </c>
      <c r="AZ102">
        <v>5</v>
      </c>
      <c r="BA102" s="129">
        <f t="shared" si="125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8"/>
        <v>0.24435603346499368</v>
      </c>
      <c r="CL102" s="179">
        <f t="shared" si="89"/>
        <v>5</v>
      </c>
      <c r="CM102" s="180">
        <f t="shared" si="90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0.53283591271119946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0">
        <v>97</v>
      </c>
      <c r="FZ102">
        <v>14.185383459919608</v>
      </c>
      <c r="GA102">
        <v>32.880785361121625</v>
      </c>
      <c r="GB102">
        <v>10.724753791277589</v>
      </c>
      <c r="GC102">
        <v>1.8246062649455708</v>
      </c>
      <c r="GD102">
        <v>0.77315073690480696</v>
      </c>
      <c r="GE102">
        <v>4.0633357836272452</v>
      </c>
      <c r="GF102">
        <v>11.919313797508543</v>
      </c>
      <c r="GG102">
        <v>6.0844077681325519</v>
      </c>
      <c r="GH102">
        <v>2.7244140291507226</v>
      </c>
      <c r="GI102">
        <v>8.2593788507548265</v>
      </c>
      <c r="GJ102"/>
      <c r="GK102"/>
      <c r="GL102"/>
      <c r="GM102"/>
    </row>
    <row r="103" spans="1:195" s="7" customFormat="1">
      <c r="A103" s="1"/>
      <c r="B103" s="76">
        <f ca="1">IF(C103="", "", RAND())</f>
        <v>0.67630116850715338</v>
      </c>
      <c r="C103">
        <v>4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10.416666666666666</v>
      </c>
      <c r="J103">
        <v>0</v>
      </c>
      <c r="K103">
        <v>10.416666666666666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31.273213145411422</v>
      </c>
      <c r="AO103">
        <v>10.336007761395198</v>
      </c>
      <c r="AP103">
        <v>105.58619054578514</v>
      </c>
      <c r="AQ103">
        <v>76.682793400826355</v>
      </c>
      <c r="AR103">
        <v>9.7845642761769742</v>
      </c>
      <c r="AS103">
        <v>110.3459242602314</v>
      </c>
      <c r="AT103">
        <v>6.7433378579744812</v>
      </c>
      <c r="AU103">
        <v>64.731453247863328</v>
      </c>
      <c r="AV103"/>
      <c r="AW103"/>
      <c r="AX103" s="146"/>
      <c r="AY103" s="76">
        <f ca="1">IF(AZ103="", "", RAND())</f>
        <v>0.1995023191761085</v>
      </c>
      <c r="AZ103">
        <v>6</v>
      </c>
      <c r="BA103" s="129">
        <f t="shared" si="125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8"/>
        <v>0.33228860293112539</v>
      </c>
      <c r="CL103" s="179">
        <f t="shared" si="89"/>
        <v>6</v>
      </c>
      <c r="CM103" s="180">
        <f t="shared" si="90"/>
        <v>39673</v>
      </c>
      <c r="CN103">
        <v>0</v>
      </c>
      <c r="CO103"/>
      <c r="CP103"/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0.11771706047210029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0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0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0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</v>
      </c>
      <c r="FV103" s="149"/>
      <c r="FY103" s="210">
        <v>98</v>
      </c>
      <c r="FZ103">
        <v>13.015241977690438</v>
      </c>
      <c r="GA103">
        <v>24.997218729497558</v>
      </c>
      <c r="GB103">
        <v>7.277250045493477</v>
      </c>
      <c r="GC103">
        <v>2.365869136186225</v>
      </c>
      <c r="GD103">
        <v>1.3208445405194267</v>
      </c>
      <c r="GE103">
        <v>4.3519620247989659</v>
      </c>
      <c r="GF103">
        <v>11.750509546416874</v>
      </c>
      <c r="GG103">
        <v>5.936283275919684</v>
      </c>
      <c r="GH103">
        <v>2.6094684551532397</v>
      </c>
      <c r="GI103">
        <v>7.4209100226764084</v>
      </c>
      <c r="GJ103"/>
      <c r="GK103"/>
      <c r="GL103"/>
      <c r="GM103"/>
    </row>
    <row r="104" spans="1:195" s="7" customFormat="1">
      <c r="A104" s="1"/>
      <c r="B104" s="76">
        <f ca="1">IF(C104="", "", RAND())</f>
        <v>0.32108798830750196</v>
      </c>
      <c r="C104">
        <v>2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18.507919973544972</v>
      </c>
      <c r="AO104">
        <v>7.7065226878964008</v>
      </c>
      <c r="AP104">
        <v>82.185384556346008</v>
      </c>
      <c r="AQ104">
        <v>55.306910819672794</v>
      </c>
      <c r="AR104">
        <v>7.5242804933851302</v>
      </c>
      <c r="AS104">
        <v>95.064206672162769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3.7216049530295781E-2</v>
      </c>
      <c r="AZ104">
        <v>7</v>
      </c>
      <c r="BA104" s="129">
        <f t="shared" si="125"/>
        <v>39673</v>
      </c>
      <c r="BB104">
        <v>0</v>
      </c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8"/>
        <v>0.97585346184732424</v>
      </c>
      <c r="CL104" s="179">
        <f t="shared" si="89"/>
        <v>7</v>
      </c>
      <c r="CM104" s="180">
        <f t="shared" si="90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0.94586063221585936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0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</v>
      </c>
      <c r="FV104" s="149"/>
      <c r="FY104" s="210">
        <v>99</v>
      </c>
      <c r="FZ104">
        <v>12.873603490728549</v>
      </c>
      <c r="GA104">
        <v>31.105550958807143</v>
      </c>
      <c r="GB104">
        <v>10.045167148716542</v>
      </c>
      <c r="GC104">
        <v>1.2040347433233065</v>
      </c>
      <c r="GD104">
        <v>0.80480855049325117</v>
      </c>
      <c r="GE104">
        <v>4.2035371962544144</v>
      </c>
      <c r="GF104">
        <v>8.508021084666499</v>
      </c>
      <c r="GG104">
        <v>3.0754921789776928</v>
      </c>
      <c r="GH104">
        <v>2.2546840703091551</v>
      </c>
      <c r="GI104">
        <v>7.0745379868691201</v>
      </c>
      <c r="GJ104"/>
      <c r="GK104"/>
      <c r="GL104"/>
      <c r="GM104"/>
    </row>
    <row r="105" spans="1:195" s="7" customFormat="1">
      <c r="A105" s="1"/>
      <c r="B105" s="76">
        <f ca="1">IF(C105="", "", RAND())</f>
        <v>0.88947769968284307</v>
      </c>
      <c r="C105">
        <v>7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28.668568121693124</v>
      </c>
      <c r="AO105">
        <v>7.6760861969639835</v>
      </c>
      <c r="AP105">
        <v>79.394879122664662</v>
      </c>
      <c r="AQ105">
        <v>59.125797761427457</v>
      </c>
      <c r="AR105">
        <v>7.2708531596730781</v>
      </c>
      <c r="AS105">
        <v>109.94473770561312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0.39059296057955528</v>
      </c>
      <c r="AZ105">
        <v>8</v>
      </c>
      <c r="BA105" s="129">
        <f t="shared" si="125"/>
        <v>39673</v>
      </c>
      <c r="BB105">
        <v>0</v>
      </c>
      <c r="BC105" s="215"/>
      <c r="BD105" s="215"/>
      <c r="BE105" s="215"/>
      <c r="BF105" s="215"/>
      <c r="BG105" s="215"/>
      <c r="BH105" s="21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8"/>
        <v>0.88658313556706903</v>
      </c>
      <c r="CL105" s="179">
        <f t="shared" si="89"/>
        <v>8</v>
      </c>
      <c r="CM105" s="180">
        <f t="shared" si="90"/>
        <v>39673</v>
      </c>
      <c r="CN105" s="223">
        <v>0</v>
      </c>
      <c r="CO105" s="223"/>
      <c r="CP105" s="223"/>
      <c r="CQ105" s="223">
        <v>1</v>
      </c>
      <c r="CR105" s="223"/>
      <c r="CS105" s="223"/>
      <c r="CT105"/>
      <c r="CU105"/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0.60339163214169167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20.833333333333332</v>
      </c>
      <c r="DJ105" s="161">
        <f t="shared" si="97"/>
        <v>0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20.833333333333332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2.6470532787381016</v>
      </c>
      <c r="ET105" s="139">
        <f t="shared" si="58"/>
        <v>0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2.6470532787381016</v>
      </c>
      <c r="FV105" s="149"/>
      <c r="FY105" s="210">
        <v>100</v>
      </c>
      <c r="FZ105">
        <v>4.7902829568425629</v>
      </c>
      <c r="GA105">
        <v>21.716048958514396</v>
      </c>
      <c r="GB105">
        <v>11.186449610151197</v>
      </c>
      <c r="GC105">
        <v>2.0918536110084633</v>
      </c>
      <c r="GD105">
        <v>0.94577811218443464</v>
      </c>
      <c r="GE105">
        <v>0.28451453321302922</v>
      </c>
      <c r="GF105">
        <v>2.9212623768363648</v>
      </c>
      <c r="GG105">
        <v>2.6952289839886494</v>
      </c>
      <c r="GH105">
        <v>0</v>
      </c>
      <c r="GI105">
        <v>4.7910999116098996</v>
      </c>
      <c r="GJ105"/>
      <c r="GK105"/>
      <c r="GL105"/>
      <c r="GM105"/>
    </row>
    <row r="106" spans="1:195" s="7" customFormat="1">
      <c r="A106" s="1"/>
      <c r="B106" s="76">
        <f ca="1">IF(C106="", "", RAND())</f>
        <v>0.48993193211592545</v>
      </c>
      <c r="C106">
        <v>10</v>
      </c>
      <c r="D106">
        <v>39673</v>
      </c>
      <c r="E106">
        <v>0</v>
      </c>
      <c r="F106">
        <v>148.80952380952382</v>
      </c>
      <c r="G106">
        <v>335.11904761904759</v>
      </c>
      <c r="H106">
        <v>186.3095238095238</v>
      </c>
      <c r="I106">
        <v>410.11904761904765</v>
      </c>
      <c r="J106">
        <v>75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38.039896346469632</v>
      </c>
      <c r="AO106">
        <v>9.2946355458148027</v>
      </c>
      <c r="AP106">
        <v>97.574908199498921</v>
      </c>
      <c r="AQ106">
        <v>73.325985462089236</v>
      </c>
      <c r="AR106">
        <v>9.2991771564358725</v>
      </c>
      <c r="AS106">
        <v>137.58015500666482</v>
      </c>
      <c r="AT106" t="e">
        <v>#DIV/0!</v>
      </c>
      <c r="AU106" t="e">
        <v>#DIV/0!</v>
      </c>
      <c r="AV106"/>
      <c r="AW106"/>
      <c r="AX106" s="146"/>
      <c r="AY106" s="76">
        <f t="shared" ca="1" si="86"/>
        <v>0.59420019094932486</v>
      </c>
      <c r="AZ106">
        <v>9</v>
      </c>
      <c r="BA106" s="129">
        <f t="shared" si="125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8"/>
        <v>0.5261953949016045</v>
      </c>
      <c r="CL106" s="179">
        <f t="shared" si="89"/>
        <v>9</v>
      </c>
      <c r="CM106" s="180">
        <f t="shared" si="90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0.31257455801209866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0</v>
      </c>
      <c r="DI106" s="161">
        <f t="shared" si="96"/>
        <v>0</v>
      </c>
      <c r="DJ106" s="161">
        <f t="shared" si="97"/>
        <v>0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0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</v>
      </c>
      <c r="ES106" s="139">
        <f t="shared" si="57"/>
        <v>0</v>
      </c>
      <c r="ET106" s="139">
        <f t="shared" si="58"/>
        <v>0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0</v>
      </c>
      <c r="FV106" s="149"/>
      <c r="FY106" s="210">
        <v>101</v>
      </c>
      <c r="FZ106">
        <v>23.29663376457221</v>
      </c>
      <c r="GA106">
        <v>42.286064630688259</v>
      </c>
      <c r="GB106">
        <v>12.004293920152072</v>
      </c>
      <c r="GC106">
        <v>2.3327387915980369</v>
      </c>
      <c r="GD106">
        <v>0.65071431166246985</v>
      </c>
      <c r="GE106">
        <v>1.3118231649587164</v>
      </c>
      <c r="GF106">
        <v>8.0873059698723448</v>
      </c>
      <c r="GG106">
        <v>6.8540819315839911</v>
      </c>
      <c r="GH106">
        <v>5.6172134537315399</v>
      </c>
      <c r="GI106">
        <v>9.497444413646539</v>
      </c>
      <c r="GJ106"/>
      <c r="GK106"/>
      <c r="GL106"/>
      <c r="GM106"/>
    </row>
    <row r="107" spans="1:195" s="7" customFormat="1">
      <c r="A107" s="1"/>
      <c r="B107" s="76">
        <f ca="1">IF(C107="", "", RAND())</f>
        <v>0.80665338609677928</v>
      </c>
      <c r="C107">
        <v>1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20.833333333333332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26.746990740740738</v>
      </c>
      <c r="AO107">
        <v>10.818245209954192</v>
      </c>
      <c r="AP107">
        <v>115.5554768537778</v>
      </c>
      <c r="AQ107">
        <v>77.136918457599194</v>
      </c>
      <c r="AR107">
        <v>10.410366763923115</v>
      </c>
      <c r="AS107">
        <v>160.82268303398837</v>
      </c>
      <c r="AT107" t="e">
        <v>#DIV/0!</v>
      </c>
      <c r="AU107" t="e">
        <v>#DIV/0!</v>
      </c>
      <c r="AV107"/>
      <c r="AW107"/>
      <c r="AX107" s="146"/>
      <c r="AY107" s="76">
        <f t="shared" ca="1" si="86"/>
        <v>0.41016893603066418</v>
      </c>
      <c r="AZ107">
        <v>10</v>
      </c>
      <c r="BA107" s="129">
        <f t="shared" si="125"/>
        <v>39673</v>
      </c>
      <c r="BB107">
        <v>0</v>
      </c>
      <c r="BC107"/>
      <c r="BD107">
        <v>2</v>
      </c>
      <c r="BE107">
        <v>2</v>
      </c>
      <c r="BF107">
        <v>6</v>
      </c>
      <c r="BG107">
        <v>4</v>
      </c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8"/>
        <v>0.6102087470324824</v>
      </c>
      <c r="CL107" s="179">
        <f t="shared" si="89"/>
        <v>10</v>
      </c>
      <c r="CM107" s="180">
        <f t="shared" si="90"/>
        <v>39673</v>
      </c>
      <c r="CN107">
        <v>0</v>
      </c>
      <c r="CO107">
        <v>1</v>
      </c>
      <c r="CP107">
        <v>2</v>
      </c>
      <c r="CQ107">
        <v>1</v>
      </c>
      <c r="CR107">
        <v>2</v>
      </c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0.8544203208919956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148.80952380952382</v>
      </c>
      <c r="DH107" s="161">
        <f t="shared" si="95"/>
        <v>335.11904761904759</v>
      </c>
      <c r="DI107" s="161">
        <f t="shared" si="96"/>
        <v>186.3095238095238</v>
      </c>
      <c r="DJ107" s="161">
        <f t="shared" si="97"/>
        <v>410.11904761904765</v>
      </c>
      <c r="DK107" s="161">
        <f t="shared" si="98"/>
        <v>75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1155.3571428571429</v>
      </c>
      <c r="EL107" s="149"/>
      <c r="EN107" s="146"/>
      <c r="EO107" s="146"/>
      <c r="EP107" s="139">
        <f t="shared" si="54"/>
        <v>0</v>
      </c>
      <c r="EQ107" s="139">
        <f t="shared" si="55"/>
        <v>1.1011458333333335</v>
      </c>
      <c r="ER107" s="139">
        <f t="shared" si="56"/>
        <v>14.910041585578815</v>
      </c>
      <c r="ES107" s="139">
        <f t="shared" si="57"/>
        <v>23.672219321286452</v>
      </c>
      <c r="ET107" s="139">
        <f t="shared" si="58"/>
        <v>109.71229770396155</v>
      </c>
      <c r="EU107" s="139">
        <f t="shared" si="59"/>
        <v>35.744542880228202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185.14024732438835</v>
      </c>
      <c r="FV107" s="149"/>
      <c r="FY107" s="210">
        <v>102</v>
      </c>
      <c r="FZ107">
        <v>10.567792169780132</v>
      </c>
      <c r="GA107">
        <v>43.388515046409857</v>
      </c>
      <c r="GB107">
        <v>16.090490875045205</v>
      </c>
      <c r="GC107">
        <v>1.639569801328923</v>
      </c>
      <c r="GD107">
        <v>0.94973458312756875</v>
      </c>
      <c r="GE107">
        <v>0.14431312058586016</v>
      </c>
      <c r="GF107">
        <v>0.49967954609766535</v>
      </c>
      <c r="GG107">
        <v>1.5369063644198138</v>
      </c>
      <c r="GH107">
        <v>1.5585013929330884</v>
      </c>
      <c r="GI107">
        <v>6.6379589323105304</v>
      </c>
      <c r="GJ107"/>
      <c r="GK107"/>
      <c r="GL107"/>
      <c r="GM107"/>
    </row>
    <row r="108" spans="1:195" s="7" customFormat="1">
      <c r="A108" s="128"/>
      <c r="B108" s="76">
        <f ca="1">IF(C108="", "", RAND())</f>
        <v>0.21868191391219938</v>
      </c>
      <c r="C108">
        <v>8</v>
      </c>
      <c r="D108">
        <v>39714</v>
      </c>
      <c r="E108">
        <v>0</v>
      </c>
      <c r="F108">
        <v>0</v>
      </c>
      <c r="G108">
        <v>0</v>
      </c>
      <c r="H108">
        <v>10.416666666666666</v>
      </c>
      <c r="I108">
        <v>10.416666666666666</v>
      </c>
      <c r="J108">
        <v>20.833333333333332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30.268252827951109</v>
      </c>
      <c r="AO108">
        <v>7.9414642040317318</v>
      </c>
      <c r="AP108">
        <v>85.530383538967058</v>
      </c>
      <c r="AQ108">
        <v>63.805573318678682</v>
      </c>
      <c r="AR108">
        <v>7.6034361590098429</v>
      </c>
      <c r="AS108">
        <v>106.37214610573281</v>
      </c>
      <c r="AT108" t="e">
        <v>#DIV/0!</v>
      </c>
      <c r="AU108" t="e">
        <v>#DIV/0!</v>
      </c>
      <c r="AV108"/>
      <c r="AW108"/>
      <c r="AX108" s="128"/>
      <c r="AY108" s="76">
        <f t="shared" ca="1" si="86"/>
        <v>0.16986148376490462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/>
      <c r="BG108"/>
      <c r="BH108"/>
      <c r="BI108"/>
      <c r="BJ108">
        <v>1</v>
      </c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8"/>
        <v>0.43149779244249231</v>
      </c>
      <c r="CL108" s="179">
        <f t="shared" si="89"/>
        <v>1</v>
      </c>
      <c r="CM108" s="180">
        <f t="shared" si="90"/>
        <v>39714</v>
      </c>
      <c r="CN108">
        <v>0</v>
      </c>
      <c r="CO108"/>
      <c r="CP108"/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0.16749828231604358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0</v>
      </c>
      <c r="DI108" s="161">
        <f t="shared" si="96"/>
        <v>0</v>
      </c>
      <c r="DJ108" s="161">
        <f t="shared" si="97"/>
        <v>0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10.416666666666666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10.416666666666666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</v>
      </c>
      <c r="ES108" s="139">
        <f t="shared" si="57"/>
        <v>0</v>
      </c>
      <c r="ET108" s="139">
        <f t="shared" si="58"/>
        <v>0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16.754819986220479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16.754819986220479</v>
      </c>
      <c r="FV108" s="149"/>
      <c r="FY108" s="210">
        <v>103</v>
      </c>
      <c r="FZ108">
        <v>22.590680671063669</v>
      </c>
      <c r="GA108">
        <v>33.859522561587852</v>
      </c>
      <c r="GB108">
        <v>6.6267267412991808</v>
      </c>
      <c r="GC108">
        <v>2.1936837089921228</v>
      </c>
      <c r="GD108">
        <v>0.95952588721930288</v>
      </c>
      <c r="GE108">
        <v>4.2076489042131051</v>
      </c>
      <c r="GF108">
        <v>11.919313797508543</v>
      </c>
      <c r="GG108">
        <v>6.2544248430833882</v>
      </c>
      <c r="GH108">
        <v>2.1397384963116721</v>
      </c>
      <c r="GI108">
        <v>8.4313215062503879</v>
      </c>
      <c r="GJ108"/>
      <c r="GK108"/>
      <c r="GL108"/>
      <c r="GM108"/>
    </row>
    <row r="109" spans="1:195" s="7" customFormat="1">
      <c r="A109" s="1"/>
      <c r="B109" s="76">
        <f ca="1">IF(C109="", "", RAND())</f>
        <v>0.78655474136262971</v>
      </c>
      <c r="C109">
        <v>4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54.596162880861151</v>
      </c>
      <c r="AO109">
        <v>11.549888303339102</v>
      </c>
      <c r="AP109">
        <v>127.12551496518391</v>
      </c>
      <c r="AQ109">
        <v>101.48255830554992</v>
      </c>
      <c r="AR109">
        <v>10.929482927839821</v>
      </c>
      <c r="AS109">
        <v>190.82332084619483</v>
      </c>
      <c r="AT109" t="e">
        <v>#DIV/0!</v>
      </c>
      <c r="AU109" t="e">
        <v>#DIV/0!</v>
      </c>
      <c r="AV109"/>
      <c r="AW109"/>
      <c r="AX109" s="146"/>
      <c r="AY109" s="76">
        <f t="shared" ca="1" si="86"/>
        <v>0.24356104314765892</v>
      </c>
      <c r="AZ109">
        <v>2</v>
      </c>
      <c r="BA109" s="129">
        <f t="shared" ref="BA109:BA117" si="127">IF(AZ109="", "",$C$6)</f>
        <v>39714</v>
      </c>
      <c r="BB109">
        <v>0</v>
      </c>
      <c r="BC109"/>
      <c r="BD109"/>
      <c r="BE109">
        <v>3</v>
      </c>
      <c r="BF109"/>
      <c r="BG109"/>
      <c r="BH109"/>
      <c r="BI109">
        <v>4</v>
      </c>
      <c r="BJ109"/>
      <c r="BK109"/>
      <c r="BL109">
        <v>1</v>
      </c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8"/>
        <v>0.8580981304292834</v>
      </c>
      <c r="CL109" s="179">
        <f t="shared" si="89"/>
        <v>2</v>
      </c>
      <c r="CM109" s="180">
        <f t="shared" si="90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0.37288794008868398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31.25</v>
      </c>
      <c r="DJ109" s="161">
        <f t="shared" si="97"/>
        <v>0</v>
      </c>
      <c r="DK109" s="161">
        <f t="shared" si="98"/>
        <v>0</v>
      </c>
      <c r="DL109" s="161">
        <f t="shared" si="99"/>
        <v>0</v>
      </c>
      <c r="DM109" s="161">
        <f t="shared" si="100"/>
        <v>41.666666666666664</v>
      </c>
      <c r="DN109" s="161">
        <f t="shared" si="101"/>
        <v>0</v>
      </c>
      <c r="DO109" s="161">
        <f t="shared" si="102"/>
        <v>0</v>
      </c>
      <c r="DP109" s="161">
        <f t="shared" si="103"/>
        <v>10.416666666666666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83.333333333333329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3.9705799181071528</v>
      </c>
      <c r="ET109" s="139">
        <f t="shared" si="58"/>
        <v>0</v>
      </c>
      <c r="EU109" s="139">
        <f t="shared" si="59"/>
        <v>0</v>
      </c>
      <c r="EV109" s="139">
        <f t="shared" si="60"/>
        <v>0</v>
      </c>
      <c r="EW109" s="139">
        <f t="shared" si="61"/>
        <v>47.436932608159204</v>
      </c>
      <c r="EX109" s="139">
        <f t="shared" si="62"/>
        <v>0</v>
      </c>
      <c r="EY109" s="139">
        <f t="shared" si="63"/>
        <v>0</v>
      </c>
      <c r="EZ109" s="139">
        <f t="shared" si="64"/>
        <v>29.849899949234292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81.257412475500644</v>
      </c>
      <c r="FV109" s="149"/>
      <c r="FY109" s="210">
        <v>104</v>
      </c>
      <c r="FZ109">
        <v>31.700011068550527</v>
      </c>
      <c r="GA109">
        <v>54.415038472469277</v>
      </c>
      <c r="GB109">
        <v>11.037306766763482</v>
      </c>
      <c r="GC109">
        <v>1.1738998560129383</v>
      </c>
      <c r="GD109">
        <v>0.51511929335861129</v>
      </c>
      <c r="GE109">
        <v>0.28245867923368362</v>
      </c>
      <c r="GF109">
        <v>4.7859015712561614</v>
      </c>
      <c r="GG109">
        <v>5.955286693868949</v>
      </c>
      <c r="GH109">
        <v>2.9073745891042471</v>
      </c>
      <c r="GI109">
        <v>9.2755768596256605</v>
      </c>
      <c r="GJ109"/>
      <c r="GK109"/>
      <c r="GL109"/>
      <c r="GM109"/>
    </row>
    <row r="110" spans="1:195" s="7" customFormat="1">
      <c r="A110" s="1"/>
      <c r="B110" s="76">
        <f ca="1">IF(C110="", "", RAND())</f>
        <v>0.76165090346369002</v>
      </c>
      <c r="C110">
        <v>9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10.416666666666666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19.732439335887612</v>
      </c>
      <c r="AO110">
        <v>6.0938595599941383</v>
      </c>
      <c r="AP110">
        <v>63.814058360898386</v>
      </c>
      <c r="AQ110">
        <v>43.995077876245929</v>
      </c>
      <c r="AR110">
        <v>5.9343525524711254</v>
      </c>
      <c r="AS110">
        <v>82.025040701683864</v>
      </c>
      <c r="AT110" t="e">
        <v>#DIV/0!</v>
      </c>
      <c r="AU110" t="e">
        <v>#DIV/0!</v>
      </c>
      <c r="AV110"/>
      <c r="AW110"/>
      <c r="AX110" s="146"/>
      <c r="AY110" s="76">
        <f t="shared" ca="1" si="86"/>
        <v>5.0338647931527092E-2</v>
      </c>
      <c r="AZ110">
        <v>3</v>
      </c>
      <c r="BA110" s="129">
        <f t="shared" si="127"/>
        <v>39714</v>
      </c>
      <c r="BB110">
        <v>0</v>
      </c>
      <c r="BC110"/>
      <c r="BD110"/>
      <c r="BE110"/>
      <c r="BF110"/>
      <c r="BG110"/>
      <c r="BH110"/>
      <c r="BI110"/>
      <c r="BJ110"/>
      <c r="BK110">
        <v>4</v>
      </c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8"/>
        <v>0.82451464794817353</v>
      </c>
      <c r="CL110" s="179">
        <f t="shared" si="89"/>
        <v>3</v>
      </c>
      <c r="CM110" s="180">
        <f t="shared" si="90"/>
        <v>39714</v>
      </c>
      <c r="CN110">
        <v>0</v>
      </c>
      <c r="CO110"/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0.62599354913057725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0</v>
      </c>
      <c r="DJ110" s="161">
        <f t="shared" si="97"/>
        <v>0</v>
      </c>
      <c r="DK110" s="161">
        <f t="shared" si="98"/>
        <v>0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41.666666666666664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41.666666666666664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</v>
      </c>
      <c r="ET110" s="139">
        <f t="shared" si="58"/>
        <v>0</v>
      </c>
      <c r="EU110" s="139">
        <f t="shared" si="59"/>
        <v>0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90.903893645134417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90.903893645134417</v>
      </c>
      <c r="FV110" s="149"/>
      <c r="FY110" s="210">
        <v>105</v>
      </c>
      <c r="FZ110">
        <v>13.476000490255164</v>
      </c>
      <c r="GA110">
        <v>34.093297870031876</v>
      </c>
      <c r="GB110">
        <v>11.960797166516764</v>
      </c>
      <c r="GC110">
        <v>2.0081903796523641</v>
      </c>
      <c r="GD110">
        <v>0.84703881756254773</v>
      </c>
      <c r="GE110">
        <v>0</v>
      </c>
      <c r="GF110">
        <v>5.135759701280791</v>
      </c>
      <c r="GG110">
        <v>7.0901752791812331</v>
      </c>
      <c r="GH110">
        <v>3.8980249709708548</v>
      </c>
      <c r="GI110">
        <v>7.3130011928910958</v>
      </c>
      <c r="GJ110"/>
      <c r="GK110"/>
      <c r="GL110"/>
      <c r="GM110"/>
    </row>
    <row r="111" spans="1:195" s="7" customFormat="1">
      <c r="A111" s="1"/>
      <c r="B111" s="76">
        <f ca="1">IF(C111="", "", RAND())</f>
        <v>0.63997138244073781</v>
      </c>
      <c r="C111">
        <v>1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10.416666666666666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32.01914568509396</v>
      </c>
      <c r="AO111">
        <v>8.3804684056405314</v>
      </c>
      <c r="AP111">
        <v>85.320240264470542</v>
      </c>
      <c r="AQ111">
        <v>64.682175875125694</v>
      </c>
      <c r="AR111">
        <v>8.2409761062822575</v>
      </c>
      <c r="AS111">
        <v>140.03366164425637</v>
      </c>
      <c r="AT111">
        <v>5.4486084690209013</v>
      </c>
      <c r="AU111">
        <v>28.949763620061454</v>
      </c>
      <c r="AV111"/>
      <c r="AW111"/>
      <c r="AX111" s="146"/>
      <c r="AY111" s="76">
        <f t="shared" ca="1" si="86"/>
        <v>0.31615132136895352</v>
      </c>
      <c r="AZ111">
        <v>4</v>
      </c>
      <c r="BA111" s="129">
        <f t="shared" si="127"/>
        <v>39714</v>
      </c>
      <c r="BB111">
        <v>0</v>
      </c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8"/>
        <v>9.3736929109928591E-2</v>
      </c>
      <c r="CL111" s="179">
        <f t="shared" si="89"/>
        <v>4</v>
      </c>
      <c r="CM111" s="180">
        <f t="shared" si="90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0.32970935792588185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0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0</v>
      </c>
      <c r="FV111" s="149"/>
      <c r="FY111" s="210">
        <v>106</v>
      </c>
      <c r="FZ111">
        <v>14.371216975629851</v>
      </c>
      <c r="GA111">
        <v>34.241063760810938</v>
      </c>
      <c r="GB111">
        <v>11.240965242802503</v>
      </c>
      <c r="GC111">
        <v>1.2188916424901524</v>
      </c>
      <c r="GD111">
        <v>0.7387216657323572</v>
      </c>
      <c r="GE111">
        <v>0.56286150448802175</v>
      </c>
      <c r="GF111">
        <v>1.5720451546164049</v>
      </c>
      <c r="GG111">
        <v>2.9642559277602025</v>
      </c>
      <c r="GH111">
        <v>4.6510858992399982</v>
      </c>
      <c r="GI111">
        <v>6.5536219802790718</v>
      </c>
      <c r="GJ111"/>
      <c r="GK111"/>
      <c r="GL111"/>
      <c r="GM111"/>
    </row>
    <row r="112" spans="1:195" s="7" customFormat="1">
      <c r="A112" s="1"/>
      <c r="B112" s="76">
        <f ca="1">IF(C112="", "", RAND())</f>
        <v>0.85714651280763565</v>
      </c>
      <c r="C112">
        <v>3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41.666666666666664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49.612549603174607</v>
      </c>
      <c r="AO112">
        <v>12.038244207018204</v>
      </c>
      <c r="AP112">
        <v>125.48273522358147</v>
      </c>
      <c r="AQ112">
        <v>97.232580531872628</v>
      </c>
      <c r="AR112">
        <v>11.481049262141024</v>
      </c>
      <c r="AS112">
        <v>172.68457571948889</v>
      </c>
      <c r="AT112">
        <v>7.6814635052082423</v>
      </c>
      <c r="AU112">
        <v>45.409696663947287</v>
      </c>
      <c r="AV112"/>
      <c r="AW112"/>
      <c r="AX112" s="146"/>
      <c r="AY112" s="76">
        <f t="shared" ca="1" si="86"/>
        <v>0.56643686012756156</v>
      </c>
      <c r="AZ112">
        <v>5</v>
      </c>
      <c r="BA112" s="129">
        <f t="shared" si="127"/>
        <v>39714</v>
      </c>
      <c r="BB112">
        <v>0</v>
      </c>
      <c r="BC112"/>
      <c r="BD112"/>
      <c r="BE112">
        <v>5</v>
      </c>
      <c r="BF112">
        <v>5</v>
      </c>
      <c r="BG112">
        <v>8</v>
      </c>
      <c r="BH112"/>
      <c r="BI112"/>
      <c r="BJ112">
        <v>1</v>
      </c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8"/>
        <v>0.10519716331283657</v>
      </c>
      <c r="CL112" s="179">
        <f t="shared" si="89"/>
        <v>5</v>
      </c>
      <c r="CM112" s="180">
        <f t="shared" si="90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0.9511401704425364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52.083333333333336</v>
      </c>
      <c r="DJ112" s="161">
        <f t="shared" si="97"/>
        <v>52.083333333333336</v>
      </c>
      <c r="DK112" s="161">
        <f t="shared" si="98"/>
        <v>83.333333333333329</v>
      </c>
      <c r="DL112" s="161">
        <f t="shared" si="99"/>
        <v>0</v>
      </c>
      <c r="DM112" s="161">
        <f t="shared" si="100"/>
        <v>0</v>
      </c>
      <c r="DN112" s="161">
        <f t="shared" si="101"/>
        <v>10.416666666666666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197.91666666666666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6.6176331968452553</v>
      </c>
      <c r="ET112" s="139">
        <f t="shared" si="58"/>
        <v>13.932984106090908</v>
      </c>
      <c r="EU112" s="139">
        <f t="shared" si="59"/>
        <v>39.716158755809111</v>
      </c>
      <c r="EV112" s="139">
        <f t="shared" si="60"/>
        <v>0</v>
      </c>
      <c r="EW112" s="139">
        <f t="shared" si="61"/>
        <v>0</v>
      </c>
      <c r="EX112" s="139">
        <f t="shared" si="62"/>
        <v>16.754819986220479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77.021596044965762</v>
      </c>
      <c r="FV112" s="149"/>
      <c r="FY112" s="210">
        <v>107</v>
      </c>
      <c r="FZ112">
        <v>49.373288326482012</v>
      </c>
      <c r="GA112">
        <v>60.899508633769649</v>
      </c>
      <c r="GB112">
        <v>5.168037487914896</v>
      </c>
      <c r="GC112">
        <v>2.3979447355029646</v>
      </c>
      <c r="GD112">
        <v>1.1135864528985144</v>
      </c>
      <c r="GE112">
        <v>0.42471594584019828</v>
      </c>
      <c r="GF112">
        <v>1.0723656085187396</v>
      </c>
      <c r="GG112">
        <v>1.767383713242062</v>
      </c>
      <c r="GH112">
        <v>3.5454899433759084</v>
      </c>
      <c r="GI112">
        <v>10.061867764318871</v>
      </c>
      <c r="GJ112"/>
      <c r="GK112"/>
      <c r="GL112"/>
      <c r="GM112"/>
    </row>
    <row r="113" spans="1:195" s="7" customFormat="1">
      <c r="A113" s="1"/>
      <c r="B113" s="76">
        <f ca="1">IF(C113="", "", RAND())</f>
        <v>0.26540875343923909</v>
      </c>
      <c r="C113">
        <v>2</v>
      </c>
      <c r="D113">
        <v>39714</v>
      </c>
      <c r="E113">
        <v>0</v>
      </c>
      <c r="F113">
        <v>0</v>
      </c>
      <c r="G113">
        <v>0</v>
      </c>
      <c r="H113">
        <v>31.25</v>
      </c>
      <c r="I113">
        <v>0</v>
      </c>
      <c r="J113">
        <v>0</v>
      </c>
      <c r="K113">
        <v>0</v>
      </c>
      <c r="L113">
        <v>41.666666666666664</v>
      </c>
      <c r="M113">
        <v>0</v>
      </c>
      <c r="N113">
        <v>0</v>
      </c>
      <c r="O113">
        <v>10.416666666666666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36.687249703521253</v>
      </c>
      <c r="AO113">
        <v>12.714398245706207</v>
      </c>
      <c r="AP113">
        <v>129.15144430830262</v>
      </c>
      <c r="AQ113">
        <v>93.439529843343109</v>
      </c>
      <c r="AR113">
        <v>11.791274573885266</v>
      </c>
      <c r="AS113">
        <v>132.85082623901883</v>
      </c>
      <c r="AT113">
        <v>7.5897302662857378</v>
      </c>
      <c r="AU113">
        <v>41.514770470753213</v>
      </c>
      <c r="AV113"/>
      <c r="AW113"/>
      <c r="AX113" s="146"/>
      <c r="AY113" s="76">
        <f t="shared" ca="1" si="86"/>
        <v>0.64925947686991003</v>
      </c>
      <c r="AZ113">
        <v>6</v>
      </c>
      <c r="BA113" s="129">
        <f t="shared" si="127"/>
        <v>39714</v>
      </c>
      <c r="BB113">
        <v>0</v>
      </c>
      <c r="BC113"/>
      <c r="BD113"/>
      <c r="BE113"/>
      <c r="BF113"/>
      <c r="BG113"/>
      <c r="BH113"/>
      <c r="BI113"/>
      <c r="BJ113">
        <v>2</v>
      </c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8"/>
        <v>0.48278677866586683</v>
      </c>
      <c r="CL113" s="179">
        <f t="shared" si="89"/>
        <v>6</v>
      </c>
      <c r="CM113" s="180">
        <f t="shared" si="90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0.11392618785301067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0</v>
      </c>
      <c r="DJ113" s="161">
        <f t="shared" si="97"/>
        <v>0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20.833333333333332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20.833333333333332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</v>
      </c>
      <c r="ET113" s="139">
        <f t="shared" si="58"/>
        <v>0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33.509639972440958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33.509639972440958</v>
      </c>
      <c r="FV113" s="149"/>
      <c r="FY113" s="210">
        <v>108</v>
      </c>
      <c r="FZ113">
        <v>13.182265639123194</v>
      </c>
      <c r="GA113">
        <v>32.02833230369</v>
      </c>
      <c r="GB113">
        <v>12.921455107651223</v>
      </c>
      <c r="GC113">
        <v>2.7900485380202609</v>
      </c>
      <c r="GD113">
        <v>0.71889650733008059</v>
      </c>
      <c r="GE113">
        <v>0.14225726660651461</v>
      </c>
      <c r="GF113">
        <v>3.7167763716538849</v>
      </c>
      <c r="GG113">
        <v>4.9799593709962808</v>
      </c>
      <c r="GH113">
        <v>3.954903221863932</v>
      </c>
      <c r="GI113">
        <v>7.1172761373437234</v>
      </c>
      <c r="GJ113"/>
      <c r="GK113"/>
      <c r="GL113"/>
      <c r="GM113"/>
    </row>
    <row r="114" spans="1:195" s="7" customFormat="1">
      <c r="A114" s="1"/>
      <c r="B114" s="76">
        <f ca="1">IF(C114="", "", RAND())</f>
        <v>0.15896699108048118</v>
      </c>
      <c r="C114">
        <v>6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20.833333333333332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37.011359126984139</v>
      </c>
      <c r="AO114">
        <v>11.359540436274749</v>
      </c>
      <c r="AP114">
        <v>107.71994852798524</v>
      </c>
      <c r="AQ114">
        <v>81.045557754352288</v>
      </c>
      <c r="AR114">
        <v>10.443760975856163</v>
      </c>
      <c r="AS114">
        <v>127.24097691620936</v>
      </c>
      <c r="AT114">
        <v>6.8747272597796858</v>
      </c>
      <c r="AU114">
        <v>38.27597707609624</v>
      </c>
      <c r="AV114"/>
      <c r="AW114"/>
      <c r="AX114" s="146"/>
      <c r="AY114" s="76">
        <f t="shared" ca="1" si="86"/>
        <v>0.19700091785994212</v>
      </c>
      <c r="AZ114">
        <v>7</v>
      </c>
      <c r="BA114" s="129">
        <f t="shared" si="127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8"/>
        <v>0.65068037364125875</v>
      </c>
      <c r="CL114" s="179">
        <f t="shared" si="89"/>
        <v>7</v>
      </c>
      <c r="CM114" s="180">
        <f t="shared" si="90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0.54125332093732315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0">
        <v>109</v>
      </c>
      <c r="FZ114">
        <v>3.6593489373890833</v>
      </c>
      <c r="GA114">
        <v>11.057831143713251</v>
      </c>
      <c r="GB114">
        <v>6.6185878683599055</v>
      </c>
      <c r="GC114">
        <v>1.9591225185693997</v>
      </c>
      <c r="GD114">
        <v>0.82601892193195414</v>
      </c>
      <c r="GE114">
        <v>0.28040282525433813</v>
      </c>
      <c r="GF114">
        <v>0.49967954609766535</v>
      </c>
      <c r="GG114">
        <v>1.5369063644198138</v>
      </c>
      <c r="GH114">
        <v>4.6945780578209728</v>
      </c>
      <c r="GI114">
        <v>3.5875576164677501</v>
      </c>
      <c r="GJ114"/>
      <c r="GK114"/>
      <c r="GL114"/>
      <c r="GM114"/>
    </row>
    <row r="115" spans="1:195" s="7" customFormat="1">
      <c r="A115" s="1"/>
      <c r="B115" s="76">
        <f ca="1">IF(C115="", "", RAND())</f>
        <v>8.960348644720928E-2</v>
      </c>
      <c r="C115">
        <v>5</v>
      </c>
      <c r="D115">
        <v>39714</v>
      </c>
      <c r="E115">
        <v>0</v>
      </c>
      <c r="F115">
        <v>0</v>
      </c>
      <c r="G115">
        <v>0</v>
      </c>
      <c r="H115">
        <v>52.083333333333336</v>
      </c>
      <c r="I115">
        <v>52.083333333333336</v>
      </c>
      <c r="J115">
        <v>83.333333333333329</v>
      </c>
      <c r="K115">
        <v>0</v>
      </c>
      <c r="L115">
        <v>0</v>
      </c>
      <c r="M115">
        <v>10.416666666666666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36.749486293559571</v>
      </c>
      <c r="AO115">
        <v>10.741698289047955</v>
      </c>
      <c r="AP115">
        <v>109.59277951369955</v>
      </c>
      <c r="AQ115">
        <v>81.149437409145676</v>
      </c>
      <c r="AR115">
        <v>9.9281753327069708</v>
      </c>
      <c r="AS115">
        <v>131.08732937566469</v>
      </c>
      <c r="AT115">
        <v>6.5815022536119665</v>
      </c>
      <c r="AU115">
        <v>36.623521045821676</v>
      </c>
      <c r="AV115"/>
      <c r="AW115"/>
      <c r="AX115" s="146"/>
      <c r="AY115" s="76">
        <f t="shared" ca="1" si="86"/>
        <v>0.44043217413495306</v>
      </c>
      <c r="AZ115">
        <v>8</v>
      </c>
      <c r="BA115" s="129">
        <f t="shared" si="127"/>
        <v>39714</v>
      </c>
      <c r="BB115">
        <v>0</v>
      </c>
      <c r="BC115"/>
      <c r="BD115"/>
      <c r="BE115">
        <v>1</v>
      </c>
      <c r="BF115">
        <v>1</v>
      </c>
      <c r="BG115">
        <v>2</v>
      </c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8"/>
        <v>0.77290272632183044</v>
      </c>
      <c r="CL115" s="179">
        <f t="shared" si="89"/>
        <v>8</v>
      </c>
      <c r="CM115" s="180">
        <f t="shared" si="90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0.85278932140427965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10.416666666666666</v>
      </c>
      <c r="DJ115" s="161">
        <f t="shared" si="97"/>
        <v>10.416666666666666</v>
      </c>
      <c r="DK115" s="161">
        <f t="shared" si="98"/>
        <v>20.833333333333332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41.666666666666664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1.3235266393690508</v>
      </c>
      <c r="ET115" s="139">
        <f t="shared" si="58"/>
        <v>2.7865968212181813</v>
      </c>
      <c r="EU115" s="139">
        <f t="shared" si="59"/>
        <v>9.9290396889522778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14.03916314953951</v>
      </c>
      <c r="FV115" s="149"/>
      <c r="FY115" s="210">
        <v>110</v>
      </c>
      <c r="FZ115">
        <v>14.919438133182689</v>
      </c>
      <c r="GA115">
        <v>36.516560848667943</v>
      </c>
      <c r="GB115">
        <v>12.714580799469891</v>
      </c>
      <c r="GC115">
        <v>1.8319300206598987</v>
      </c>
      <c r="GD115">
        <v>0.70556970451996204</v>
      </c>
      <c r="GE115">
        <v>4.1117079586910979E-3</v>
      </c>
      <c r="GF115">
        <v>4.8589080875795707</v>
      </c>
      <c r="GG115">
        <v>4.739411061401543</v>
      </c>
      <c r="GH115">
        <v>2.3150007506626995</v>
      </c>
      <c r="GI115">
        <v>7.3397535331974568</v>
      </c>
      <c r="GJ115"/>
      <c r="GK115"/>
      <c r="GL115"/>
      <c r="GM115"/>
    </row>
    <row r="116" spans="1:195" s="7" customFormat="1">
      <c r="A116" s="1"/>
      <c r="B116" s="76">
        <f ca="1">IF(C116="", "", RAND())</f>
        <v>0.28577226270180045</v>
      </c>
      <c r="C116">
        <v>7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21.594624042145593</v>
      </c>
      <c r="AO116">
        <v>7.3404477160438431</v>
      </c>
      <c r="AP116">
        <v>75.120592508787752</v>
      </c>
      <c r="AQ116">
        <v>51.422519054348989</v>
      </c>
      <c r="AR116">
        <v>7.0854303264089484</v>
      </c>
      <c r="AS116">
        <v>80.232921040149066</v>
      </c>
      <c r="AT116" t="e">
        <v>#DIV/0!</v>
      </c>
      <c r="AU116" t="e">
        <v>#DIV/0!</v>
      </c>
      <c r="AV116"/>
      <c r="AW116"/>
      <c r="AX116" s="146"/>
      <c r="AY116" s="76">
        <f t="shared" ca="1" si="86"/>
        <v>0.32803353643238964</v>
      </c>
      <c r="AZ116">
        <v>9</v>
      </c>
      <c r="BA116" s="129">
        <f t="shared" si="127"/>
        <v>39714</v>
      </c>
      <c r="BB116">
        <v>0</v>
      </c>
      <c r="BC116"/>
      <c r="BD116"/>
      <c r="BE116"/>
      <c r="BF116"/>
      <c r="BG116"/>
      <c r="BH116"/>
      <c r="BI116"/>
      <c r="BJ116"/>
      <c r="BK116"/>
      <c r="BL116">
        <v>1</v>
      </c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8"/>
        <v>0.93277804337455339</v>
      </c>
      <c r="CL116" s="179">
        <f t="shared" si="89"/>
        <v>9</v>
      </c>
      <c r="CM116" s="180">
        <f t="shared" si="90"/>
        <v>39714</v>
      </c>
      <c r="CN116" s="220">
        <v>0</v>
      </c>
      <c r="CO116" s="220"/>
      <c r="CP116" s="220"/>
      <c r="CQ116" s="220"/>
      <c r="CR116" s="220"/>
      <c r="CS116" s="220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0.379450381587499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0</v>
      </c>
      <c r="DJ116" s="161">
        <f t="shared" si="97"/>
        <v>0</v>
      </c>
      <c r="DK116" s="161">
        <f t="shared" si="98"/>
        <v>0</v>
      </c>
      <c r="DL116" s="161">
        <f t="shared" si="99"/>
        <v>0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10.416666666666666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10.416666666666666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</v>
      </c>
      <c r="ET116" s="139">
        <f t="shared" si="58"/>
        <v>0</v>
      </c>
      <c r="EU116" s="139">
        <f t="shared" si="59"/>
        <v>0</v>
      </c>
      <c r="EV116" s="139">
        <f t="shared" si="60"/>
        <v>0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29.849899949234292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29.849899949234292</v>
      </c>
      <c r="FV116" s="149"/>
      <c r="FY116" s="210">
        <v>111</v>
      </c>
      <c r="FZ116">
        <v>14.122910361350963</v>
      </c>
      <c r="GA116">
        <v>32.034035911739387</v>
      </c>
      <c r="GB116">
        <v>11.784484843990242</v>
      </c>
      <c r="GC116">
        <v>2.58461186357045</v>
      </c>
      <c r="GD116">
        <v>1.0223495080071241</v>
      </c>
      <c r="GE116">
        <v>1.5922259902130544</v>
      </c>
      <c r="GF116">
        <v>7.43520458995234</v>
      </c>
      <c r="GG116">
        <v>6.2292870129985634</v>
      </c>
      <c r="GH116">
        <v>3.7585565695983041</v>
      </c>
      <c r="GI116">
        <v>7.8394871774106196</v>
      </c>
      <c r="GJ116"/>
      <c r="GK116"/>
      <c r="GL116"/>
      <c r="GM116"/>
    </row>
    <row r="117" spans="1:195" s="7" customFormat="1">
      <c r="A117" s="1"/>
      <c r="B117" s="76">
        <f ca="1">IF(C117="", "", RAND())</f>
        <v>0.15846749685164019</v>
      </c>
      <c r="C117">
        <v>10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50.132488939062213</v>
      </c>
      <c r="AO117">
        <v>14.015590166478958</v>
      </c>
      <c r="AP117">
        <v>148.66216967769114</v>
      </c>
      <c r="AQ117">
        <v>111.93831435246616</v>
      </c>
      <c r="AR117">
        <v>13.62760675051868</v>
      </c>
      <c r="AS117">
        <v>193.35354772098913</v>
      </c>
      <c r="AT117">
        <v>8.9035669836880516</v>
      </c>
      <c r="AU117">
        <v>35.30328211475252</v>
      </c>
      <c r="AV117"/>
      <c r="AW117"/>
      <c r="AX117" s="146"/>
      <c r="AY117" s="76">
        <f t="shared" ca="1" si="86"/>
        <v>0.96449275162182335</v>
      </c>
      <c r="AZ117">
        <v>10</v>
      </c>
      <c r="BA117" s="129">
        <f t="shared" si="127"/>
        <v>39714</v>
      </c>
      <c r="BB117">
        <v>0</v>
      </c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8"/>
        <v>0.45088712927358388</v>
      </c>
      <c r="CL117" s="179">
        <f t="shared" si="89"/>
        <v>10</v>
      </c>
      <c r="CM117" s="180">
        <f t="shared" si="90"/>
        <v>39714</v>
      </c>
      <c r="CN117">
        <v>0</v>
      </c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0.8059456301231851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0</v>
      </c>
      <c r="DI117" s="161">
        <f t="shared" si="96"/>
        <v>0</v>
      </c>
      <c r="DJ117" s="161">
        <f t="shared" si="97"/>
        <v>0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0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0</v>
      </c>
      <c r="ES117" s="139">
        <f t="shared" si="57"/>
        <v>0</v>
      </c>
      <c r="ET117" s="139">
        <f t="shared" si="58"/>
        <v>0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0</v>
      </c>
      <c r="FV117" s="149"/>
      <c r="FY117" s="210">
        <v>112</v>
      </c>
      <c r="FZ117">
        <v>21.294555108546533</v>
      </c>
      <c r="GA117">
        <v>34.695621541501779</v>
      </c>
      <c r="GB117">
        <v>7.061593580766675</v>
      </c>
      <c r="GC117">
        <v>1.8704531850977479</v>
      </c>
      <c r="GD117">
        <v>0.8179419454850263</v>
      </c>
      <c r="GE117">
        <v>2.8958257392543887</v>
      </c>
      <c r="GF117">
        <v>4.9837887536538688</v>
      </c>
      <c r="GG117">
        <v>1.3920271195538023</v>
      </c>
      <c r="GH117">
        <v>2.3830157366187406</v>
      </c>
      <c r="GI117">
        <v>6.883091136524377</v>
      </c>
      <c r="GJ117"/>
      <c r="GK117"/>
      <c r="GL117"/>
      <c r="GM117"/>
    </row>
    <row r="118" spans="1:195" s="7" customFormat="1">
      <c r="A118" s="128"/>
      <c r="B118" s="76">
        <f ca="1">IF(C118="", "", RAND())</f>
        <v>0.61550071619879798</v>
      </c>
      <c r="C118">
        <v>4</v>
      </c>
      <c r="D118">
        <v>39747</v>
      </c>
      <c r="E118">
        <v>0</v>
      </c>
      <c r="F118">
        <v>62.859195402298845</v>
      </c>
      <c r="G118">
        <v>0</v>
      </c>
      <c r="H118">
        <v>91.268286311389758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37.035397851669408</v>
      </c>
      <c r="AO118">
        <v>10.422662664447389</v>
      </c>
      <c r="AP118">
        <v>115.97655981346848</v>
      </c>
      <c r="AQ118">
        <v>83.013461832038629</v>
      </c>
      <c r="AR118">
        <v>9.7041315436178088</v>
      </c>
      <c r="AS118">
        <v>117.92404797542774</v>
      </c>
      <c r="AT118" t="e">
        <v>#DIV/0!</v>
      </c>
      <c r="AU118" t="e">
        <v>#DIV/0!</v>
      </c>
      <c r="AV118"/>
      <c r="AW118"/>
      <c r="AX118" s="128"/>
      <c r="AY118" s="76">
        <f t="shared" ca="1" si="86"/>
        <v>0.17942845964935383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>
        <v>1</v>
      </c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8"/>
        <v>0.52529851626636148</v>
      </c>
      <c r="CL118" s="179">
        <f t="shared" si="89"/>
        <v>1</v>
      </c>
      <c r="CM118" s="180">
        <f t="shared" si="90"/>
        <v>39747</v>
      </c>
      <c r="CN118">
        <v>0</v>
      </c>
      <c r="CO118"/>
      <c r="CP118"/>
      <c r="CQ118"/>
      <c r="CR118">
        <v>1</v>
      </c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0.33262899211667918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0</v>
      </c>
      <c r="DJ118" s="161">
        <f t="shared" si="97"/>
        <v>86.805555555555557</v>
      </c>
      <c r="DK118" s="161">
        <f t="shared" si="98"/>
        <v>0</v>
      </c>
      <c r="DL118" s="161">
        <f t="shared" si="99"/>
        <v>10.416666666666666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97.222222222222229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0</v>
      </c>
      <c r="ET118" s="139">
        <f t="shared" si="58"/>
        <v>23.22164017681818</v>
      </c>
      <c r="EU118" s="139">
        <f t="shared" si="59"/>
        <v>0</v>
      </c>
      <c r="EV118" s="139">
        <f t="shared" si="60"/>
        <v>7.9578970379725193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31.179537214790699</v>
      </c>
      <c r="FV118" s="149"/>
      <c r="FY118" s="210">
        <v>113</v>
      </c>
      <c r="FZ118">
        <v>20.92938758631389</v>
      </c>
      <c r="GA118">
        <v>29.775094892311461</v>
      </c>
      <c r="GB118">
        <v>4.1613486453187569</v>
      </c>
      <c r="GC118">
        <v>1.2293575546483648</v>
      </c>
      <c r="GD118">
        <v>0.69484116852043409</v>
      </c>
      <c r="GE118">
        <v>2.0558539793455489E-3</v>
      </c>
      <c r="GF118">
        <v>5.6354392473784563</v>
      </c>
      <c r="GG118">
        <v>6.1784685937781401</v>
      </c>
      <c r="GH118">
        <v>2.028231351774656</v>
      </c>
      <c r="GI118">
        <v>6.0685406911467252</v>
      </c>
      <c r="GJ118"/>
      <c r="GK118"/>
      <c r="GL118"/>
      <c r="GM118"/>
    </row>
    <row r="119" spans="1:195" s="7" customFormat="1">
      <c r="A119" s="1"/>
      <c r="B119" s="76">
        <f ca="1">IF(C119="", "", RAND())</f>
        <v>0.42445996448488432</v>
      </c>
      <c r="C119">
        <v>5</v>
      </c>
      <c r="D119">
        <v>39747</v>
      </c>
      <c r="E119">
        <v>0</v>
      </c>
      <c r="F119">
        <v>0</v>
      </c>
      <c r="G119">
        <v>0</v>
      </c>
      <c r="H119">
        <v>110.47979797979797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50.166464833059663</v>
      </c>
      <c r="AO119">
        <v>12.923882031120224</v>
      </c>
      <c r="AP119">
        <v>128.13438397000183</v>
      </c>
      <c r="AQ119">
        <v>99.182587117529209</v>
      </c>
      <c r="AR119">
        <v>11.860638362000573</v>
      </c>
      <c r="AS119">
        <v>184.1984501570318</v>
      </c>
      <c r="AT119">
        <v>7.6784453920606204</v>
      </c>
      <c r="AU119">
        <v>74.195863650688139</v>
      </c>
      <c r="AV119"/>
      <c r="AW119"/>
      <c r="AX119" s="146"/>
      <c r="AY119" s="76">
        <f t="shared" ca="1" si="86"/>
        <v>0.49324115839026139</v>
      </c>
      <c r="AZ119">
        <v>2</v>
      </c>
      <c r="BA119" s="129">
        <f t="shared" ref="BA119:BA127" si="129">IF(AZ119="", "",$C$7)</f>
        <v>39747</v>
      </c>
      <c r="BB119">
        <v>0</v>
      </c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8"/>
        <v>0.95766008084001886</v>
      </c>
      <c r="CL119" s="179">
        <f t="shared" si="89"/>
        <v>2</v>
      </c>
      <c r="CM119" s="180">
        <f t="shared" si="90"/>
        <v>39747</v>
      </c>
      <c r="CN119">
        <v>0</v>
      </c>
      <c r="CO119"/>
      <c r="CP119"/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0.19908870108022048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0</v>
      </c>
      <c r="DJ119" s="161">
        <f t="shared" si="97"/>
        <v>0</v>
      </c>
      <c r="DK119" s="161">
        <f t="shared" si="98"/>
        <v>0</v>
      </c>
      <c r="DL119" s="161">
        <f t="shared" si="99"/>
        <v>0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0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0</v>
      </c>
      <c r="ET119" s="139">
        <f t="shared" si="58"/>
        <v>0</v>
      </c>
      <c r="EU119" s="139">
        <f t="shared" si="59"/>
        <v>0</v>
      </c>
      <c r="EV119" s="139">
        <f t="shared" si="60"/>
        <v>0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0</v>
      </c>
      <c r="FV119" s="149"/>
      <c r="FY119" s="210">
        <v>114</v>
      </c>
      <c r="FZ119">
        <v>21.588618820030781</v>
      </c>
      <c r="GA119">
        <v>32.812109560166398</v>
      </c>
      <c r="GB119">
        <v>5.5174604886585259</v>
      </c>
      <c r="GC119">
        <v>1.5676146131581588</v>
      </c>
      <c r="GD119">
        <v>0.75096971572916105</v>
      </c>
      <c r="GE119">
        <v>1.4499687236065399</v>
      </c>
      <c r="GF119">
        <v>4.8290750820197985</v>
      </c>
      <c r="GG119">
        <v>4.1891551371518716</v>
      </c>
      <c r="GH119">
        <v>4.411247088393397</v>
      </c>
      <c r="GI119">
        <v>6.815559317774456</v>
      </c>
      <c r="GJ119"/>
      <c r="GK119"/>
      <c r="GL119"/>
      <c r="GM119"/>
    </row>
    <row r="120" spans="1:195" s="7" customFormat="1">
      <c r="A120" s="1"/>
      <c r="B120" s="76">
        <f ca="1">IF(C120="", "", RAND())</f>
        <v>0.42950595658036272</v>
      </c>
      <c r="C120">
        <v>1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86.805555555555557</v>
      </c>
      <c r="J120">
        <v>0</v>
      </c>
      <c r="K120">
        <v>10.416666666666666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61.676651158547713</v>
      </c>
      <c r="AO120">
        <v>14.031630652009955</v>
      </c>
      <c r="AP120">
        <v>156.70435930411989</v>
      </c>
      <c r="AQ120">
        <v>122.04797385024352</v>
      </c>
      <c r="AR120">
        <v>13.331637668300448</v>
      </c>
      <c r="AS120">
        <v>197.95915897156161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0.86281569434273209</v>
      </c>
      <c r="AZ120">
        <v>3</v>
      </c>
      <c r="BA120" s="129">
        <f t="shared" si="129"/>
        <v>39747</v>
      </c>
      <c r="BB120">
        <v>0</v>
      </c>
      <c r="BC120"/>
      <c r="BD120"/>
      <c r="BE120"/>
      <c r="BF120">
        <v>1</v>
      </c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8"/>
        <v>0.10268021233741997</v>
      </c>
      <c r="CL120" s="179">
        <f t="shared" si="89"/>
        <v>3</v>
      </c>
      <c r="CM120" s="180">
        <f t="shared" si="90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0.15848882243806894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10.416666666666666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10.416666666666666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2.7865968212181813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2.7865968212181813</v>
      </c>
      <c r="FV120" s="149"/>
      <c r="FY120" s="210">
        <v>115</v>
      </c>
      <c r="FZ120">
        <v>23.575938731936628</v>
      </c>
      <c r="GA120">
        <v>37.003406705384748</v>
      </c>
      <c r="GB120">
        <v>6.1551046932816469</v>
      </c>
      <c r="GC120">
        <v>1.098961941713908</v>
      </c>
      <c r="GD120">
        <v>0.8803520742444777</v>
      </c>
      <c r="GE120">
        <v>1.4520245775858855</v>
      </c>
      <c r="GF120">
        <v>3.7026857921962844</v>
      </c>
      <c r="GG120">
        <v>1.4451919445121555</v>
      </c>
      <c r="GH120">
        <v>1.2774197807546503</v>
      </c>
      <c r="GI120">
        <v>6.5934403282351184</v>
      </c>
      <c r="GJ120"/>
      <c r="GK120"/>
      <c r="GL120"/>
      <c r="GM120"/>
    </row>
    <row r="121" spans="1:195" s="7" customFormat="1">
      <c r="A121" s="1"/>
      <c r="B121" s="76">
        <f ca="1">IF(C121="", "", RAND())</f>
        <v>0.38612101914320807</v>
      </c>
      <c r="C121">
        <v>9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38.324270206166759</v>
      </c>
      <c r="AO121">
        <v>11.284417961012894</v>
      </c>
      <c r="AP121">
        <v>120.05499416067465</v>
      </c>
      <c r="AQ121">
        <v>85.822285868342689</v>
      </c>
      <c r="AR121">
        <v>10.785993394712667</v>
      </c>
      <c r="AS121">
        <v>131.04561673308297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0.14005443293553554</v>
      </c>
      <c r="AZ121">
        <v>4</v>
      </c>
      <c r="BA121" s="129">
        <f t="shared" si="129"/>
        <v>39747</v>
      </c>
      <c r="BB121">
        <v>0</v>
      </c>
      <c r="BC121"/>
      <c r="BD121"/>
      <c r="BE121">
        <v>1</v>
      </c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8"/>
        <v>0.19391664831406263</v>
      </c>
      <c r="CL121" s="179">
        <f t="shared" si="89"/>
        <v>4</v>
      </c>
      <c r="CM121" s="180">
        <f t="shared" si="90"/>
        <v>39747</v>
      </c>
      <c r="CN121">
        <v>0</v>
      </c>
      <c r="CO121">
        <v>1</v>
      </c>
      <c r="CP121"/>
      <c r="CQ121">
        <v>1</v>
      </c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9.125103271595858E-2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62.859195402298845</v>
      </c>
      <c r="DH121" s="161">
        <f t="shared" si="95"/>
        <v>0</v>
      </c>
      <c r="DI121" s="161">
        <f t="shared" si="96"/>
        <v>91.268286311389758</v>
      </c>
      <c r="DJ121" s="161">
        <f t="shared" si="97"/>
        <v>0</v>
      </c>
      <c r="DK121" s="161">
        <f t="shared" si="98"/>
        <v>0</v>
      </c>
      <c r="DL121" s="161">
        <f t="shared" si="99"/>
        <v>0</v>
      </c>
      <c r="DM121" s="161">
        <f t="shared" si="100"/>
        <v>0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154.12748171368861</v>
      </c>
      <c r="EL121" s="149"/>
      <c r="EN121" s="146"/>
      <c r="EO121" s="146"/>
      <c r="EP121" s="139">
        <f t="shared" si="131"/>
        <v>0</v>
      </c>
      <c r="EQ121" s="139">
        <f t="shared" si="132"/>
        <v>0.46513918821839079</v>
      </c>
      <c r="ER121" s="139">
        <f t="shared" si="133"/>
        <v>0</v>
      </c>
      <c r="ES121" s="139">
        <f t="shared" si="134"/>
        <v>11.596416793217861</v>
      </c>
      <c r="ET121" s="139">
        <f t="shared" si="135"/>
        <v>0</v>
      </c>
      <c r="EU121" s="139">
        <f t="shared" si="136"/>
        <v>0</v>
      </c>
      <c r="EV121" s="139">
        <f t="shared" si="137"/>
        <v>0</v>
      </c>
      <c r="EW121" s="139">
        <f t="shared" si="138"/>
        <v>0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12.061555981436252</v>
      </c>
      <c r="FV121" s="149"/>
      <c r="FY121" s="210">
        <v>116</v>
      </c>
      <c r="FZ121">
        <v>14.867144176711786</v>
      </c>
      <c r="GA121">
        <v>34.463695928827981</v>
      </c>
      <c r="GB121">
        <v>12.309671447977617</v>
      </c>
      <c r="GC121">
        <v>1.9056795526017047</v>
      </c>
      <c r="GD121">
        <v>0.73498595291770707</v>
      </c>
      <c r="GE121">
        <v>4.2035371962544144</v>
      </c>
      <c r="GF121">
        <v>10.108698284393522</v>
      </c>
      <c r="GG121">
        <v>5.1499764459471171</v>
      </c>
      <c r="GH121">
        <v>3.8300099850148128</v>
      </c>
      <c r="GI121">
        <v>8.5630545858421527</v>
      </c>
      <c r="GJ121"/>
      <c r="GK121"/>
      <c r="GL121"/>
      <c r="GM121"/>
    </row>
    <row r="122" spans="1:195" s="7" customFormat="1">
      <c r="A122" s="1"/>
      <c r="B122" s="76">
        <f ca="1">IF(C122="", "", RAND())</f>
        <v>0.63544984210125932</v>
      </c>
      <c r="C122">
        <v>10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33.851900314723586</v>
      </c>
      <c r="AO122">
        <v>9.7310052347992055</v>
      </c>
      <c r="AP122">
        <v>106.41244302444048</v>
      </c>
      <c r="AQ122">
        <v>78.114729753849502</v>
      </c>
      <c r="AR122">
        <v>9.5773244128402659</v>
      </c>
      <c r="AS122">
        <v>137.69284581510067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0.82708511665448725</v>
      </c>
      <c r="AZ122">
        <v>5</v>
      </c>
      <c r="BA122" s="129">
        <f t="shared" si="129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8"/>
        <v>0.95706108941227264</v>
      </c>
      <c r="CL122" s="179">
        <f t="shared" si="89"/>
        <v>5</v>
      </c>
      <c r="CM122" s="180">
        <f t="shared" si="90"/>
        <v>39747</v>
      </c>
      <c r="CN122">
        <v>0</v>
      </c>
      <c r="CO122"/>
      <c r="CP122"/>
      <c r="CQ122">
        <v>1</v>
      </c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0.80355882130200595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110.47979797979797</v>
      </c>
      <c r="DJ122" s="161">
        <f t="shared" si="97"/>
        <v>0</v>
      </c>
      <c r="DK122" s="161">
        <f t="shared" si="98"/>
        <v>0</v>
      </c>
      <c r="DL122" s="161">
        <f t="shared" si="99"/>
        <v>0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110.47979797979797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14.037403750883872</v>
      </c>
      <c r="ET122" s="139">
        <f t="shared" si="135"/>
        <v>0</v>
      </c>
      <c r="EU122" s="139">
        <f t="shared" si="136"/>
        <v>0</v>
      </c>
      <c r="EV122" s="139">
        <f t="shared" si="137"/>
        <v>0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14.037403750883872</v>
      </c>
      <c r="FV122" s="149"/>
      <c r="FY122" s="210">
        <v>117</v>
      </c>
      <c r="FZ122">
        <v>3.9950624464884199</v>
      </c>
      <c r="GA122">
        <v>21.701731256904338</v>
      </c>
      <c r="GB122">
        <v>11.831448014700777</v>
      </c>
      <c r="GC122">
        <v>2.2782032905057159</v>
      </c>
      <c r="GD122">
        <v>0.83004109885255806</v>
      </c>
      <c r="GE122">
        <v>1.4561362855445767</v>
      </c>
      <c r="GF122">
        <v>5.5419333504219246</v>
      </c>
      <c r="GG122">
        <v>4.2784988056313926</v>
      </c>
      <c r="GH122">
        <v>2.7209755996902558</v>
      </c>
      <c r="GI122">
        <v>5.7228821901899876</v>
      </c>
      <c r="GJ122"/>
      <c r="GK122"/>
      <c r="GL122"/>
      <c r="GM122"/>
    </row>
    <row r="123" spans="1:195" s="7" customFormat="1">
      <c r="A123" s="1"/>
      <c r="B123" s="76">
        <f ca="1">IF(C123="", "", RAND())</f>
        <v>0.71471370237437082</v>
      </c>
      <c r="C123">
        <v>3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10.416666666666666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83.306480341178613</v>
      </c>
      <c r="AO123">
        <v>14.708254078906227</v>
      </c>
      <c r="AP123">
        <v>158.72197867459977</v>
      </c>
      <c r="AQ123">
        <v>135.82418861186383</v>
      </c>
      <c r="AR123">
        <v>14.17019316804998</v>
      </c>
      <c r="AS123">
        <v>223.00780524484622</v>
      </c>
      <c r="AT123" t="e">
        <v>#DIV/0!</v>
      </c>
      <c r="AU123" t="e">
        <v>#DIV/0!</v>
      </c>
      <c r="AV123"/>
      <c r="AW123"/>
      <c r="AX123" s="146"/>
      <c r="AY123" s="76">
        <f t="shared" ca="1" si="86"/>
        <v>0.25009062498561363</v>
      </c>
      <c r="AZ123">
        <v>6</v>
      </c>
      <c r="BA123" s="129">
        <f t="shared" si="129"/>
        <v>39747</v>
      </c>
      <c r="BB123">
        <v>0</v>
      </c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8"/>
        <v>0.86890905242885008</v>
      </c>
      <c r="CL123" s="179">
        <f t="shared" si="89"/>
        <v>6</v>
      </c>
      <c r="CM123" s="180">
        <f t="shared" si="90"/>
        <v>39747</v>
      </c>
      <c r="CN123" s="218">
        <v>0</v>
      </c>
      <c r="CO123" s="218"/>
      <c r="CP123" s="218"/>
      <c r="CQ123" s="218"/>
      <c r="CR123" s="218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0.59246817706647992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0</v>
      </c>
      <c r="DI123" s="161">
        <f t="shared" si="96"/>
        <v>0</v>
      </c>
      <c r="DJ123" s="161">
        <f t="shared" si="97"/>
        <v>0</v>
      </c>
      <c r="DK123" s="161">
        <f t="shared" si="98"/>
        <v>0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0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0</v>
      </c>
      <c r="ES123" s="139">
        <f t="shared" si="134"/>
        <v>0</v>
      </c>
      <c r="ET123" s="139">
        <f t="shared" si="135"/>
        <v>0</v>
      </c>
      <c r="EU123" s="139">
        <f t="shared" si="136"/>
        <v>0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0</v>
      </c>
      <c r="FV123" s="149"/>
      <c r="FY123" s="210">
        <v>118</v>
      </c>
      <c r="FZ123">
        <v>1.9058733592575268</v>
      </c>
      <c r="GA123">
        <v>14.630385308493789</v>
      </c>
      <c r="GB123">
        <v>6.7129423572801414</v>
      </c>
      <c r="GC123">
        <v>1.2666562257721128</v>
      </c>
      <c r="GD123">
        <v>1.0434020760395506</v>
      </c>
      <c r="GE123">
        <v>1.5942818441924</v>
      </c>
      <c r="GF123">
        <v>6.8911505726418847</v>
      </c>
      <c r="GG123">
        <v>5.3585187701570511</v>
      </c>
      <c r="GH123">
        <v>2.028231351774656</v>
      </c>
      <c r="GI123">
        <v>4.4290424846063878</v>
      </c>
      <c r="GJ123"/>
      <c r="GK123"/>
      <c r="GL123"/>
      <c r="GM123"/>
    </row>
    <row r="124" spans="1:195" s="7" customFormat="1">
      <c r="A124" s="1"/>
      <c r="B124" s="76">
        <f ca="1">IF(C124="", "", RAND())</f>
        <v>0.51800920945962581</v>
      </c>
      <c r="C124">
        <v>2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36.886491402116398</v>
      </c>
      <c r="AO124">
        <v>10.750784543640924</v>
      </c>
      <c r="AP124">
        <v>112.61873237919616</v>
      </c>
      <c r="AQ124">
        <v>81.552170464279087</v>
      </c>
      <c r="AR124">
        <v>10.39519890997482</v>
      </c>
      <c r="AS124">
        <v>141.58784556866289</v>
      </c>
      <c r="AT124" t="e">
        <v>#DIV/0!</v>
      </c>
      <c r="AU124" t="e">
        <v>#DIV/0!</v>
      </c>
      <c r="AV124"/>
      <c r="AW124"/>
      <c r="AX124" s="146"/>
      <c r="AY124" s="76">
        <f t="shared" ca="1" si="86"/>
        <v>0.76240380796894502</v>
      </c>
      <c r="AZ124">
        <v>7</v>
      </c>
      <c r="BA124" s="129">
        <f t="shared" si="129"/>
        <v>39747</v>
      </c>
      <c r="BB124">
        <v>0</v>
      </c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8"/>
        <v>0.69083726482579699</v>
      </c>
      <c r="CL124" s="179">
        <f t="shared" si="89"/>
        <v>7</v>
      </c>
      <c r="CM124" s="180">
        <f t="shared" si="90"/>
        <v>39747</v>
      </c>
      <c r="CN124">
        <v>0</v>
      </c>
      <c r="CO124"/>
      <c r="CP124"/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0.92335136138856555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0</v>
      </c>
      <c r="DI124" s="161">
        <f t="shared" si="96"/>
        <v>0</v>
      </c>
      <c r="DJ124" s="161">
        <f t="shared" si="97"/>
        <v>0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0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0</v>
      </c>
      <c r="ES124" s="139">
        <f t="shared" si="134"/>
        <v>0</v>
      </c>
      <c r="ET124" s="139">
        <f t="shared" si="135"/>
        <v>0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0</v>
      </c>
      <c r="FV124" s="149"/>
      <c r="FY124" s="210">
        <v>119</v>
      </c>
      <c r="FZ124">
        <v>23.527927913872581</v>
      </c>
      <c r="GA124">
        <v>33.36268331016273</v>
      </c>
      <c r="GB124">
        <v>7.2449260136520541</v>
      </c>
      <c r="GC124">
        <v>2.4718236245417513</v>
      </c>
      <c r="GD124">
        <v>0.85153732524471049</v>
      </c>
      <c r="GE124">
        <v>0.14020141262716906</v>
      </c>
      <c r="GF124">
        <v>5.4126113149820103</v>
      </c>
      <c r="GG124">
        <v>6.5728286054156637</v>
      </c>
      <c r="GH124">
        <v>4.1847943698588974</v>
      </c>
      <c r="GI124">
        <v>7.6692708757106356</v>
      </c>
      <c r="GJ124"/>
      <c r="GK124"/>
      <c r="GL124"/>
      <c r="GM124"/>
    </row>
    <row r="125" spans="1:195" s="7" customFormat="1">
      <c r="A125" s="1"/>
      <c r="B125" s="76">
        <f ca="1">IF(C125="", "", RAND())</f>
        <v>0.58445144399433091</v>
      </c>
      <c r="C125">
        <v>6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17.86785714285714</v>
      </c>
      <c r="AO125">
        <v>5.0341988804191695</v>
      </c>
      <c r="AP125">
        <v>48.507182436505687</v>
      </c>
      <c r="AQ125">
        <v>34.720033800024133</v>
      </c>
      <c r="AR125">
        <v>5.2488883313560075</v>
      </c>
      <c r="AS125">
        <v>71.220303239734605</v>
      </c>
      <c r="AT125" t="e">
        <v>#DIV/0!</v>
      </c>
      <c r="AU125" t="e">
        <v>#DIV/0!</v>
      </c>
      <c r="AV125"/>
      <c r="AW125"/>
      <c r="AX125" s="146"/>
      <c r="AY125" s="76">
        <f t="shared" ca="1" si="86"/>
        <v>0.1705498132568124</v>
      </c>
      <c r="AZ125">
        <v>8</v>
      </c>
      <c r="BA125" s="129">
        <f t="shared" si="129"/>
        <v>39747</v>
      </c>
      <c r="BB125">
        <v>0</v>
      </c>
      <c r="BC125"/>
      <c r="BD125"/>
      <c r="BE125">
        <v>2</v>
      </c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8"/>
        <v>0.25092884571836782</v>
      </c>
      <c r="CL125" s="179">
        <f t="shared" si="89"/>
        <v>8</v>
      </c>
      <c r="CM125" s="180">
        <f t="shared" si="90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0.64194470312454088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0</v>
      </c>
      <c r="DI125" s="161">
        <f t="shared" si="96"/>
        <v>20.833333333333332</v>
      </c>
      <c r="DJ125" s="161">
        <f t="shared" si="97"/>
        <v>0</v>
      </c>
      <c r="DK125" s="161">
        <f t="shared" si="98"/>
        <v>0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20.833333333333332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0</v>
      </c>
      <c r="ES125" s="139">
        <f t="shared" si="134"/>
        <v>2.6470532787381016</v>
      </c>
      <c r="ET125" s="139">
        <f t="shared" si="135"/>
        <v>0</v>
      </c>
      <c r="EU125" s="139">
        <f t="shared" si="136"/>
        <v>0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2.6470532787381016</v>
      </c>
      <c r="FV125" s="149"/>
      <c r="FY125" s="210">
        <v>120</v>
      </c>
      <c r="FZ125">
        <v>7.1280591510954778</v>
      </c>
      <c r="GA125">
        <v>26.789126304832408</v>
      </c>
      <c r="GB125">
        <v>14.438362472956204</v>
      </c>
      <c r="GC125">
        <v>1.899905986867267</v>
      </c>
      <c r="GD125">
        <v>0.50973153321095888</v>
      </c>
      <c r="GE125">
        <v>0.14225726660651461</v>
      </c>
      <c r="GF125">
        <v>1.5180214733116304</v>
      </c>
      <c r="GG125">
        <v>2.9172255149374089</v>
      </c>
      <c r="GH125">
        <v>4.6510858992399982</v>
      </c>
      <c r="GI125">
        <v>6.1422384803583681</v>
      </c>
      <c r="GJ125"/>
      <c r="GK125"/>
      <c r="GL125"/>
      <c r="GM125"/>
    </row>
    <row r="126" spans="1:195" s="7" customFormat="1">
      <c r="A126" s="1"/>
      <c r="B126" s="76">
        <f ca="1">IF(C126="", "", RAND())</f>
        <v>0.38522107660088434</v>
      </c>
      <c r="C126">
        <v>7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35.144246031746022</v>
      </c>
      <c r="AO126">
        <v>11.004600699891258</v>
      </c>
      <c r="AP126">
        <v>119.66533535433787</v>
      </c>
      <c r="AQ126">
        <v>85.94526464730032</v>
      </c>
      <c r="AR126">
        <v>10.769684658196203</v>
      </c>
      <c r="AS126">
        <v>159.07451108433963</v>
      </c>
      <c r="AT126" t="e">
        <v>#DIV/0!</v>
      </c>
      <c r="AU126" t="e">
        <v>#DIV/0!</v>
      </c>
      <c r="AV126"/>
      <c r="AW126"/>
      <c r="AX126" s="146"/>
      <c r="AY126" s="76">
        <f t="shared" ca="1" si="86"/>
        <v>8.3625855375331071E-2</v>
      </c>
      <c r="AZ126">
        <v>9</v>
      </c>
      <c r="BA126" s="129">
        <f t="shared" si="129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8"/>
        <v>1.0531292542360848E-2</v>
      </c>
      <c r="CL126" s="179">
        <f t="shared" si="89"/>
        <v>9</v>
      </c>
      <c r="CM126" s="180">
        <f t="shared" si="90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0.17059397221342132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0</v>
      </c>
      <c r="DJ126" s="161">
        <f t="shared" si="97"/>
        <v>0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0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0</v>
      </c>
      <c r="ET126" s="139">
        <f t="shared" si="135"/>
        <v>0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0</v>
      </c>
      <c r="FV126" s="149"/>
      <c r="FY126" s="210">
        <v>121</v>
      </c>
      <c r="FZ126">
        <v>15.685843592910066</v>
      </c>
      <c r="GA126">
        <v>33.369731778939489</v>
      </c>
      <c r="GB126">
        <v>10.561813790534273</v>
      </c>
      <c r="GC126">
        <v>1.5311034510695971</v>
      </c>
      <c r="GD126">
        <v>0.66278952430229476</v>
      </c>
      <c r="GE126">
        <v>1.4581921395239221</v>
      </c>
      <c r="GF126">
        <v>9.3824995107875306</v>
      </c>
      <c r="GG126">
        <v>8.4765863999600413</v>
      </c>
      <c r="GH126">
        <v>3.1338273076387462</v>
      </c>
      <c r="GI126">
        <v>7.9327571797121266</v>
      </c>
      <c r="GJ126"/>
      <c r="GK126"/>
      <c r="GL126"/>
      <c r="GM126"/>
    </row>
    <row r="127" spans="1:195" s="7" customFormat="1">
      <c r="A127" s="1"/>
      <c r="B127" s="76">
        <f ca="1">IF(C127="", "", RAND())</f>
        <v>0.64831579648697191</v>
      </c>
      <c r="C127">
        <v>8</v>
      </c>
      <c r="D127">
        <v>39747</v>
      </c>
      <c r="E127">
        <v>0</v>
      </c>
      <c r="F127">
        <v>0</v>
      </c>
      <c r="G127">
        <v>0</v>
      </c>
      <c r="H127">
        <v>20.833333333333332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42.109834542054372</v>
      </c>
      <c r="AO127">
        <v>11.735053005195352</v>
      </c>
      <c r="AP127">
        <v>119.45379257781399</v>
      </c>
      <c r="AQ127">
        <v>88.403153828831037</v>
      </c>
      <c r="AR127">
        <v>11.241581459457223</v>
      </c>
      <c r="AS127">
        <v>170.13368378268385</v>
      </c>
      <c r="AT127">
        <v>7.3212168771360817</v>
      </c>
      <c r="AU127">
        <v>15.987772987116328</v>
      </c>
      <c r="AV127"/>
      <c r="AW127"/>
      <c r="AX127" s="146"/>
      <c r="AY127" s="76">
        <f t="shared" ca="1" si="86"/>
        <v>0.29436131914181463</v>
      </c>
      <c r="AZ127">
        <v>10</v>
      </c>
      <c r="BA127" s="129">
        <f t="shared" si="129"/>
        <v>39747</v>
      </c>
      <c r="BB127">
        <v>0</v>
      </c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8"/>
        <v>6.6874521926712172E-2</v>
      </c>
      <c r="CL127" s="179">
        <f t="shared" si="89"/>
        <v>10</v>
      </c>
      <c r="CM127" s="180">
        <f t="shared" si="90"/>
        <v>39747</v>
      </c>
      <c r="CN127">
        <v>0</v>
      </c>
      <c r="CO127"/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0.16008365899981492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0</v>
      </c>
      <c r="DJ127" s="161">
        <f t="shared" si="97"/>
        <v>0</v>
      </c>
      <c r="DK127" s="161">
        <f t="shared" si="98"/>
        <v>0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0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</v>
      </c>
      <c r="ET127" s="139">
        <f t="shared" si="135"/>
        <v>0</v>
      </c>
      <c r="EU127" s="139">
        <f t="shared" si="136"/>
        <v>0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0</v>
      </c>
      <c r="FV127" s="149"/>
      <c r="FY127" s="210">
        <v>122</v>
      </c>
      <c r="FZ127">
        <v>22.945247448708987</v>
      </c>
      <c r="GA127">
        <v>48.141922389665062</v>
      </c>
      <c r="GB127">
        <v>15.278715698618379</v>
      </c>
      <c r="GC127">
        <v>3.0988920633177228</v>
      </c>
      <c r="GD127">
        <v>0.83468185123751171</v>
      </c>
      <c r="GE127">
        <v>2.6195346219587416</v>
      </c>
      <c r="GF127">
        <v>7.4497460556053579</v>
      </c>
      <c r="GG127">
        <v>4.5028417423180818</v>
      </c>
      <c r="GH127">
        <v>4.7660314732374811</v>
      </c>
      <c r="GI127">
        <v>10.146869959520478</v>
      </c>
      <c r="GJ127"/>
      <c r="GK127"/>
      <c r="GL127"/>
      <c r="GM127"/>
    </row>
    <row r="128" spans="1:195" s="7" customFormat="1">
      <c r="A128" s="128"/>
      <c r="B128" s="76">
        <f ca="1">IF(C128="", "", RAND())</f>
        <v>0.38356184326559362</v>
      </c>
      <c r="C128">
        <v>7</v>
      </c>
      <c r="D128">
        <v>39775</v>
      </c>
      <c r="E128">
        <v>0</v>
      </c>
      <c r="F128">
        <v>0</v>
      </c>
      <c r="G128">
        <v>60.500841750841751</v>
      </c>
      <c r="H128">
        <v>28.409090909090907</v>
      </c>
      <c r="I128">
        <v>14.204545454545453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42.952181399379668</v>
      </c>
      <c r="AO128">
        <v>10.46979497200773</v>
      </c>
      <c r="AP128">
        <v>107.40774860457674</v>
      </c>
      <c r="AQ128">
        <v>84.277913847002949</v>
      </c>
      <c r="AR128">
        <v>9.722142707199394</v>
      </c>
      <c r="AS128">
        <v>141.43766220207957</v>
      </c>
      <c r="AT128">
        <v>6.4074104370337617</v>
      </c>
      <c r="AU128">
        <v>123.60639387666546</v>
      </c>
      <c r="AV128"/>
      <c r="AW128"/>
      <c r="AX128" s="128"/>
      <c r="AY128" s="76">
        <f t="shared" ca="1" si="86"/>
        <v>0.21534080495911212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8"/>
        <v>0.65666607916368158</v>
      </c>
      <c r="CL128" s="179">
        <f t="shared" si="89"/>
        <v>1</v>
      </c>
      <c r="CM128" s="180">
        <f t="shared" si="90"/>
        <v>39775</v>
      </c>
      <c r="CN128">
        <v>0</v>
      </c>
      <c r="CO128">
        <v>1</v>
      </c>
      <c r="CP128">
        <v>1</v>
      </c>
      <c r="CQ128"/>
      <c r="CR128"/>
      <c r="CS128">
        <v>1</v>
      </c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0.71460836975558362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21.875</v>
      </c>
      <c r="DH128" s="161">
        <f t="shared" si="95"/>
        <v>21.875</v>
      </c>
      <c r="DI128" s="161">
        <f t="shared" si="96"/>
        <v>0</v>
      </c>
      <c r="DJ128" s="161">
        <f t="shared" si="97"/>
        <v>0</v>
      </c>
      <c r="DK128" s="161">
        <f t="shared" si="98"/>
        <v>21.875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65.625</v>
      </c>
      <c r="EL128" s="149"/>
      <c r="EN128" s="146"/>
      <c r="EO128" s="146"/>
      <c r="EP128" s="139">
        <f t="shared" si="131"/>
        <v>0</v>
      </c>
      <c r="EQ128" s="139">
        <f t="shared" si="132"/>
        <v>0.16186843750000002</v>
      </c>
      <c r="ER128" s="139">
        <f t="shared" si="133"/>
        <v>0.97325759905865272</v>
      </c>
      <c r="ES128" s="139">
        <f t="shared" si="134"/>
        <v>0</v>
      </c>
      <c r="ET128" s="139">
        <f t="shared" si="135"/>
        <v>0</v>
      </c>
      <c r="EU128" s="139">
        <f t="shared" si="136"/>
        <v>10.425491673399893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11.560617709958546</v>
      </c>
      <c r="FV128" s="149"/>
      <c r="FY128" s="210">
        <v>123</v>
      </c>
      <c r="FZ128">
        <v>16.098158667389711</v>
      </c>
      <c r="GA128">
        <v>47.049729187397944</v>
      </c>
      <c r="GB128">
        <v>19.779023940762293</v>
      </c>
      <c r="GC128">
        <v>2.7399896701689395</v>
      </c>
      <c r="GD128">
        <v>0.73495344272429697</v>
      </c>
      <c r="GE128">
        <v>1.4520245775858855</v>
      </c>
      <c r="GF128">
        <v>8.5869855159700119</v>
      </c>
      <c r="GG128">
        <v>8.3004349128736461</v>
      </c>
      <c r="GH128">
        <v>3.8980249709708548</v>
      </c>
      <c r="GI128">
        <v>10.27512752662331</v>
      </c>
      <c r="GJ128"/>
      <c r="GK128"/>
      <c r="GL128"/>
      <c r="GM128"/>
    </row>
    <row r="129" spans="1:195" s="7" customFormat="1">
      <c r="A129" s="1"/>
      <c r="B129" s="76">
        <f ca="1">IF(C129="", "", RAND())</f>
        <v>0.7734182426193279</v>
      </c>
      <c r="C129">
        <v>9</v>
      </c>
      <c r="D129">
        <v>39775</v>
      </c>
      <c r="E129">
        <v>0</v>
      </c>
      <c r="F129">
        <v>0</v>
      </c>
      <c r="G129">
        <v>41.666666666666664</v>
      </c>
      <c r="H129">
        <v>10.416666666666666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41.154447751322756</v>
      </c>
      <c r="AO129">
        <v>9.1330201793888381</v>
      </c>
      <c r="AP129">
        <v>97.059555847838425</v>
      </c>
      <c r="AQ129">
        <v>76.702765585170212</v>
      </c>
      <c r="AR129">
        <v>8.7293988248659176</v>
      </c>
      <c r="AS129">
        <v>128.08157498015984</v>
      </c>
      <c r="AT129" t="e">
        <v>#DIV/0!</v>
      </c>
      <c r="AU129" t="e">
        <v>#DIV/0!</v>
      </c>
      <c r="AV129"/>
      <c r="AW129"/>
      <c r="AX129" s="146"/>
      <c r="AY129" s="76">
        <f t="shared" ca="1" si="86"/>
        <v>8.2990985457983335E-2</v>
      </c>
      <c r="AZ129">
        <v>2</v>
      </c>
      <c r="BA129" s="129">
        <f t="shared" ref="BA129:BA137" si="164">IF(AZ129="", "",$C$8)</f>
        <v>39775</v>
      </c>
      <c r="BB129">
        <v>0</v>
      </c>
      <c r="BC129"/>
      <c r="BD129">
        <v>1</v>
      </c>
      <c r="BE129">
        <v>1</v>
      </c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8"/>
        <v>9.5269411286304173E-2</v>
      </c>
      <c r="CL129" s="179">
        <f t="shared" si="89"/>
        <v>2</v>
      </c>
      <c r="CM129" s="180">
        <f t="shared" si="90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0.39179733323574428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10.416666666666666</v>
      </c>
      <c r="DI129" s="161">
        <f t="shared" si="96"/>
        <v>10.416666666666666</v>
      </c>
      <c r="DJ129" s="161">
        <f t="shared" si="97"/>
        <v>0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20.833333333333332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0.46345599955173938</v>
      </c>
      <c r="ES129" s="139">
        <f t="shared" si="134"/>
        <v>1.3235266393690508</v>
      </c>
      <c r="ET129" s="139">
        <f t="shared" si="135"/>
        <v>0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1.7869826389207901</v>
      </c>
      <c r="FV129" s="149"/>
      <c r="FY129" s="210">
        <v>124</v>
      </c>
      <c r="FZ129">
        <v>15.637809421415398</v>
      </c>
      <c r="GA129">
        <v>37.476720219352593</v>
      </c>
      <c r="GB129">
        <v>14.718882064593341</v>
      </c>
      <c r="GC129">
        <v>3.1364471967916794</v>
      </c>
      <c r="GD129">
        <v>0.98947051643485784</v>
      </c>
      <c r="GE129">
        <v>0.14225726660651461</v>
      </c>
      <c r="GF129">
        <v>5.358587633677236</v>
      </c>
      <c r="GG129">
        <v>5.3467683592464974</v>
      </c>
      <c r="GH129">
        <v>1.7303252178236483</v>
      </c>
      <c r="GI129">
        <v>8.1247969356424878</v>
      </c>
      <c r="GJ129"/>
      <c r="GK129"/>
      <c r="GL129"/>
      <c r="GM129"/>
    </row>
    <row r="130" spans="1:195" s="7" customFormat="1">
      <c r="A130" s="1"/>
      <c r="B130" s="76">
        <f ca="1">IF(C130="", "", RAND())</f>
        <v>0.70370742480565807</v>
      </c>
      <c r="C130">
        <v>10</v>
      </c>
      <c r="D130">
        <v>39775</v>
      </c>
      <c r="E130">
        <v>0</v>
      </c>
      <c r="F130">
        <v>0</v>
      </c>
      <c r="G130">
        <v>20.833333333333332</v>
      </c>
      <c r="H130">
        <v>10.416666666666666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40.155704365079359</v>
      </c>
      <c r="AO130">
        <v>10.336235828444634</v>
      </c>
      <c r="AP130">
        <v>108.24784472166613</v>
      </c>
      <c r="AQ130">
        <v>83.931778546689088</v>
      </c>
      <c r="AR130">
        <v>9.8244411207403264</v>
      </c>
      <c r="AS130">
        <v>125.92351705033388</v>
      </c>
      <c r="AT130">
        <v>6.4683500732695078</v>
      </c>
      <c r="AU130">
        <v>134.35307722034347</v>
      </c>
      <c r="AV130"/>
      <c r="AW130"/>
      <c r="AX130" s="146"/>
      <c r="AY130" s="76">
        <f t="shared" ca="1" si="86"/>
        <v>0.70420329249625468</v>
      </c>
      <c r="AZ130">
        <v>3</v>
      </c>
      <c r="BA130" s="129">
        <f t="shared" si="164"/>
        <v>39775</v>
      </c>
      <c r="BB130">
        <v>0</v>
      </c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8"/>
        <v>0.21385107489619348</v>
      </c>
      <c r="CL130" s="179">
        <f t="shared" si="89"/>
        <v>3</v>
      </c>
      <c r="CM130" s="180">
        <f t="shared" si="90"/>
        <v>39775</v>
      </c>
      <c r="CN130" s="225">
        <v>0</v>
      </c>
      <c r="CO130" s="225"/>
      <c r="CP130" s="225">
        <v>3</v>
      </c>
      <c r="CQ130" s="225">
        <v>1</v>
      </c>
      <c r="CR130" s="225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2.4551337319297595E-2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156.25</v>
      </c>
      <c r="DI130" s="161">
        <f t="shared" si="96"/>
        <v>52.083333333333336</v>
      </c>
      <c r="DJ130" s="161">
        <f t="shared" si="97"/>
        <v>0</v>
      </c>
      <c r="DK130" s="161">
        <f t="shared" si="98"/>
        <v>0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208.33333333333334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6.9518399932760913</v>
      </c>
      <c r="ES130" s="139">
        <f t="shared" si="134"/>
        <v>6.6176331968452553</v>
      </c>
      <c r="ET130" s="139">
        <f t="shared" si="135"/>
        <v>0</v>
      </c>
      <c r="EU130" s="139">
        <f t="shared" si="136"/>
        <v>0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13.569473190121347</v>
      </c>
      <c r="FV130" s="149"/>
      <c r="FY130" s="210">
        <v>125</v>
      </c>
      <c r="FZ130">
        <v>20.511410294025254</v>
      </c>
      <c r="GA130">
        <v>39.116165463281433</v>
      </c>
      <c r="GB130">
        <v>9.3833257455190626</v>
      </c>
      <c r="GC130">
        <v>1.7842541597745758</v>
      </c>
      <c r="GD130">
        <v>0.69879022659978685</v>
      </c>
      <c r="GE130">
        <v>0</v>
      </c>
      <c r="GF130">
        <v>3.1884647804456008</v>
      </c>
      <c r="GG130">
        <v>2.9837777590700347</v>
      </c>
      <c r="GH130">
        <v>1.858656884133234</v>
      </c>
      <c r="GI130">
        <v>6.8601368123638862</v>
      </c>
      <c r="GJ130"/>
      <c r="GK130"/>
      <c r="GL130"/>
      <c r="GM130"/>
    </row>
    <row r="131" spans="1:195" s="7" customFormat="1">
      <c r="A131" s="1"/>
      <c r="B131" s="76">
        <f ca="1">IF(C131="", "", RAND())</f>
        <v>0.42219446932798377</v>
      </c>
      <c r="C131">
        <v>2</v>
      </c>
      <c r="D131">
        <v>39775</v>
      </c>
      <c r="E131">
        <v>0</v>
      </c>
      <c r="F131">
        <v>0</v>
      </c>
      <c r="G131">
        <v>10.416666666666666</v>
      </c>
      <c r="H131">
        <v>10.416666666666666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42.593336640211632</v>
      </c>
      <c r="AO131">
        <v>9.7955806720905851</v>
      </c>
      <c r="AP131">
        <v>104.94522011763404</v>
      </c>
      <c r="AQ131">
        <v>83.184526569845517</v>
      </c>
      <c r="AR131">
        <v>9.3786387690106459</v>
      </c>
      <c r="AS131">
        <v>138.7724807303066</v>
      </c>
      <c r="AT131" t="e">
        <v>#DIV/0!</v>
      </c>
      <c r="AU131" t="e">
        <v>#DIV/0!</v>
      </c>
      <c r="AV131"/>
      <c r="AW131"/>
      <c r="AX131" s="146"/>
      <c r="AY131" s="76">
        <f t="shared" ca="1" si="86"/>
        <v>0.89905151018022611</v>
      </c>
      <c r="AZ131">
        <v>4</v>
      </c>
      <c r="BA131" s="129">
        <f t="shared" si="164"/>
        <v>39775</v>
      </c>
      <c r="BB131">
        <v>0</v>
      </c>
      <c r="BC131"/>
      <c r="BD131"/>
      <c r="BE131">
        <v>1</v>
      </c>
      <c r="BF131">
        <v>1</v>
      </c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8"/>
        <v>0.19233103784811956</v>
      </c>
      <c r="CL131" s="179">
        <f t="shared" si="89"/>
        <v>4</v>
      </c>
      <c r="CM131" s="180">
        <f t="shared" si="90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0.96011468462587501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0</v>
      </c>
      <c r="DI131" s="161">
        <f t="shared" si="96"/>
        <v>10.416666666666666</v>
      </c>
      <c r="DJ131" s="161">
        <f t="shared" si="97"/>
        <v>10.416666666666666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20.833333333333332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0</v>
      </c>
      <c r="ES131" s="139">
        <f t="shared" si="134"/>
        <v>1.3235266393690508</v>
      </c>
      <c r="ET131" s="139">
        <f t="shared" si="135"/>
        <v>2.7865968212181813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4.1101234605872321</v>
      </c>
      <c r="FV131" s="149"/>
      <c r="FY131" s="210">
        <v>126</v>
      </c>
      <c r="FZ131">
        <v>12.792177959177765</v>
      </c>
      <c r="GA131">
        <v>38.055903567607395</v>
      </c>
      <c r="GB131">
        <v>14.321814370562743</v>
      </c>
      <c r="GC131">
        <v>2.2630043865830203</v>
      </c>
      <c r="GD131">
        <v>0.72501213135969067</v>
      </c>
      <c r="GE131">
        <v>1.4499687236065399</v>
      </c>
      <c r="GF131">
        <v>3.9255137245927298</v>
      </c>
      <c r="GG131">
        <v>1.9803809994494905</v>
      </c>
      <c r="GH131">
        <v>2.3115623212022323</v>
      </c>
      <c r="GI131">
        <v>7.1655415767713722</v>
      </c>
      <c r="GJ131"/>
      <c r="GK131"/>
      <c r="GL131"/>
      <c r="GM131"/>
    </row>
    <row r="132" spans="1:195" s="7" customFormat="1">
      <c r="A132" s="1"/>
      <c r="B132" s="76">
        <f ca="1">IF(C132="", "", RAND())</f>
        <v>0.44040207653289176</v>
      </c>
      <c r="C132">
        <v>5</v>
      </c>
      <c r="D132">
        <v>39775</v>
      </c>
      <c r="E132">
        <v>0</v>
      </c>
      <c r="F132">
        <v>29.761904761904763</v>
      </c>
      <c r="G132">
        <v>29.761904761904763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39.754743089764645</v>
      </c>
      <c r="AO132">
        <v>13.085335949583078</v>
      </c>
      <c r="AP132">
        <v>133.87128793489813</v>
      </c>
      <c r="AQ132">
        <v>96.136453556488817</v>
      </c>
      <c r="AR132">
        <v>12.277781030308244</v>
      </c>
      <c r="AS132">
        <v>193.739329448532</v>
      </c>
      <c r="AT132">
        <v>8.0337936204751994</v>
      </c>
      <c r="AU132">
        <v>41.95640814526238</v>
      </c>
      <c r="AV132"/>
      <c r="AW132"/>
      <c r="AX132" s="146"/>
      <c r="AY132" s="76">
        <f t="shared" ca="1" si="86"/>
        <v>0.93729338823113739</v>
      </c>
      <c r="AZ132">
        <v>5</v>
      </c>
      <c r="BA132" s="129">
        <f t="shared" si="164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8"/>
        <v>9.1902123221248466E-2</v>
      </c>
      <c r="CL132" s="179">
        <f t="shared" si="89"/>
        <v>5</v>
      </c>
      <c r="CM132" s="180">
        <f t="shared" si="90"/>
        <v>39775</v>
      </c>
      <c r="CN132">
        <v>0</v>
      </c>
      <c r="CO132">
        <v>1</v>
      </c>
      <c r="CP132">
        <v>1</v>
      </c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0.30865241371143726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29.761904761904763</v>
      </c>
      <c r="DH132" s="161">
        <f t="shared" si="95"/>
        <v>29.761904761904763</v>
      </c>
      <c r="DI132" s="161">
        <f t="shared" si="96"/>
        <v>0</v>
      </c>
      <c r="DJ132" s="161">
        <f t="shared" si="97"/>
        <v>0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59.523809523809526</v>
      </c>
      <c r="EL132" s="149"/>
      <c r="EN132" s="146"/>
      <c r="EO132" s="146"/>
      <c r="EP132" s="139">
        <f t="shared" si="131"/>
        <v>0</v>
      </c>
      <c r="EQ132" s="139">
        <f t="shared" si="132"/>
        <v>0.22022916666666667</v>
      </c>
      <c r="ER132" s="139">
        <f t="shared" si="133"/>
        <v>1.3241599987192554</v>
      </c>
      <c r="ES132" s="139">
        <f t="shared" si="134"/>
        <v>0</v>
      </c>
      <c r="ET132" s="139">
        <f t="shared" si="135"/>
        <v>0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1.5443891653859221</v>
      </c>
      <c r="FV132" s="149"/>
      <c r="FY132" s="210">
        <v>127</v>
      </c>
      <c r="FZ132">
        <v>13.166309143908205</v>
      </c>
      <c r="GA132">
        <v>31.62503434997285</v>
      </c>
      <c r="GB132">
        <v>9.2612520658965316</v>
      </c>
      <c r="GC132">
        <v>1.019823877518667</v>
      </c>
      <c r="GD132">
        <v>0.54601797195443547</v>
      </c>
      <c r="GE132">
        <v>1.4561362855445767</v>
      </c>
      <c r="GF132">
        <v>5.3191054180254795</v>
      </c>
      <c r="GG132">
        <v>4.6728588172689181</v>
      </c>
      <c r="GH132">
        <v>3.0188817336412632</v>
      </c>
      <c r="GI132">
        <v>6.296883459637133</v>
      </c>
      <c r="GJ132"/>
      <c r="GK132"/>
      <c r="GL132"/>
      <c r="GM132"/>
    </row>
    <row r="133" spans="1:195" s="7" customFormat="1">
      <c r="A133" s="1"/>
      <c r="B133" s="76">
        <f ca="1">IF(C133="", "", RAND())</f>
        <v>0.79246520713014856</v>
      </c>
      <c r="C133">
        <v>1</v>
      </c>
      <c r="D133">
        <v>39775</v>
      </c>
      <c r="E133">
        <v>0</v>
      </c>
      <c r="F133">
        <v>21.875</v>
      </c>
      <c r="G133">
        <v>21.875</v>
      </c>
      <c r="H133">
        <v>0</v>
      </c>
      <c r="I133">
        <v>0</v>
      </c>
      <c r="J133">
        <v>21.875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25.826106663929949</v>
      </c>
      <c r="AO133">
        <v>8.7487130990498088</v>
      </c>
      <c r="AP133">
        <v>88.011365470276289</v>
      </c>
      <c r="AQ133">
        <v>60.356912338929938</v>
      </c>
      <c r="AR133">
        <v>8.3228127233123157</v>
      </c>
      <c r="AS133">
        <v>106.22996785677208</v>
      </c>
      <c r="AT133">
        <v>5.5233153171043803</v>
      </c>
      <c r="AU133">
        <v>-4.8917683351333103</v>
      </c>
      <c r="AV133"/>
      <c r="AW133"/>
      <c r="AX133" s="146"/>
      <c r="AY133" s="76">
        <f t="shared" ca="1" si="86"/>
        <v>0.29072723491424224</v>
      </c>
      <c r="AZ133">
        <v>6</v>
      </c>
      <c r="BA133" s="129">
        <f t="shared" si="164"/>
        <v>39775</v>
      </c>
      <c r="BB133">
        <v>0</v>
      </c>
      <c r="BC133"/>
      <c r="BD133">
        <v>1</v>
      </c>
      <c r="BE133">
        <v>2</v>
      </c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8"/>
        <v>3.3810407723180447E-2</v>
      </c>
      <c r="CL133" s="179">
        <f t="shared" si="89"/>
        <v>6</v>
      </c>
      <c r="CM133" s="180">
        <f t="shared" si="90"/>
        <v>39775</v>
      </c>
      <c r="CN133">
        <v>0</v>
      </c>
      <c r="CO133"/>
      <c r="CP133">
        <v>1</v>
      </c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0.71337385362684458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20.833333333333332</v>
      </c>
      <c r="DI133" s="161">
        <f t="shared" si="96"/>
        <v>20.833333333333332</v>
      </c>
      <c r="DJ133" s="161">
        <f t="shared" si="97"/>
        <v>0</v>
      </c>
      <c r="DK133" s="161">
        <f t="shared" si="98"/>
        <v>0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41.666666666666664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0.92691199910347877</v>
      </c>
      <c r="ES133" s="139">
        <f t="shared" si="134"/>
        <v>2.6470532787381016</v>
      </c>
      <c r="ET133" s="139">
        <f t="shared" si="135"/>
        <v>0</v>
      </c>
      <c r="EU133" s="139">
        <f t="shared" si="136"/>
        <v>0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3.5739652778415802</v>
      </c>
      <c r="FV133" s="149"/>
      <c r="FY133" s="210">
        <v>128</v>
      </c>
      <c r="FZ133">
        <v>13.558077320211652</v>
      </c>
      <c r="GA133">
        <v>22.827247533922115</v>
      </c>
      <c r="GB133">
        <v>5.3688581623477436</v>
      </c>
      <c r="GC133">
        <v>1.1873209192735872</v>
      </c>
      <c r="GD133">
        <v>0.71440765864402689</v>
      </c>
      <c r="GE133">
        <v>0.28451453321302922</v>
      </c>
      <c r="GF133">
        <v>1.2951935409151849</v>
      </c>
      <c r="GG133">
        <v>2.1325556932285603</v>
      </c>
      <c r="GH133">
        <v>3.0757599845343409</v>
      </c>
      <c r="GI133">
        <v>4.5760867074361755</v>
      </c>
      <c r="GJ133"/>
      <c r="GK133"/>
      <c r="GL133"/>
      <c r="GM133"/>
    </row>
    <row r="134" spans="1:195" s="7" customFormat="1">
      <c r="A134" s="1"/>
      <c r="B134" s="76">
        <f ca="1">IF(C134="", "", RAND())</f>
        <v>0.33358885386437098</v>
      </c>
      <c r="C134">
        <v>8</v>
      </c>
      <c r="D134">
        <v>39775</v>
      </c>
      <c r="E134">
        <v>0</v>
      </c>
      <c r="F134">
        <v>0</v>
      </c>
      <c r="G134">
        <v>52.083333333333336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18.287086640211637</v>
      </c>
      <c r="AO134">
        <v>6.9604677730534634</v>
      </c>
      <c r="AP134">
        <v>67.897652865813825</v>
      </c>
      <c r="AQ134">
        <v>45.860484350215501</v>
      </c>
      <c r="AR134">
        <v>6.5213511445986327</v>
      </c>
      <c r="AS134">
        <v>82.672007202281435</v>
      </c>
      <c r="AT134">
        <v>4.3376727744245622</v>
      </c>
      <c r="AU134">
        <v>7.5815472270424387</v>
      </c>
      <c r="AV134"/>
      <c r="AW134"/>
      <c r="AX134" s="146"/>
      <c r="AY134" s="76">
        <f t="shared" ca="1" si="86"/>
        <v>0.96859797517958968</v>
      </c>
      <c r="AZ134">
        <v>7</v>
      </c>
      <c r="BA134" s="129">
        <f t="shared" si="164"/>
        <v>39775</v>
      </c>
      <c r="BB134">
        <v>0</v>
      </c>
      <c r="BC134"/>
      <c r="BD134">
        <v>1</v>
      </c>
      <c r="BE134">
        <v>2</v>
      </c>
      <c r="BF134">
        <v>1</v>
      </c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8"/>
        <v>0.68565107748989362</v>
      </c>
      <c r="CL134" s="179">
        <f t="shared" si="89"/>
        <v>7</v>
      </c>
      <c r="CM134" s="180">
        <f t="shared" si="90"/>
        <v>39775</v>
      </c>
      <c r="CN134">
        <v>0</v>
      </c>
      <c r="CO134"/>
      <c r="CP134">
        <v>2</v>
      </c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0.30096493240580457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60.500841750841751</v>
      </c>
      <c r="DI134" s="161">
        <f t="shared" si="96"/>
        <v>28.409090909090907</v>
      </c>
      <c r="DJ134" s="161">
        <f t="shared" si="97"/>
        <v>14.204545454545453</v>
      </c>
      <c r="DK134" s="161">
        <f t="shared" si="98"/>
        <v>0</v>
      </c>
      <c r="DL134" s="161">
        <f t="shared" si="99"/>
        <v>0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103.1144781144781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2.6917898963863651</v>
      </c>
      <c r="ES134" s="139">
        <f t="shared" si="134"/>
        <v>3.6096181073701388</v>
      </c>
      <c r="ET134" s="139">
        <f t="shared" si="135"/>
        <v>3.7999047562066108</v>
      </c>
      <c r="EU134" s="139">
        <f t="shared" si="136"/>
        <v>0</v>
      </c>
      <c r="EV134" s="139">
        <f t="shared" si="137"/>
        <v>0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10.101312759963115</v>
      </c>
      <c r="FV134" s="149"/>
      <c r="FY134" s="210">
        <v>129</v>
      </c>
      <c r="FZ134">
        <v>20.810245514105063</v>
      </c>
      <c r="GA134">
        <v>39.340046259499438</v>
      </c>
      <c r="GB134">
        <v>10.025927979212208</v>
      </c>
      <c r="GC134">
        <v>2.3544172737151974</v>
      </c>
      <c r="GD134">
        <v>1.1242506375003927</v>
      </c>
      <c r="GE134">
        <v>1.5942818441924</v>
      </c>
      <c r="GF134">
        <v>4.5235914232079599</v>
      </c>
      <c r="GG134">
        <v>3.7371753385584983</v>
      </c>
      <c r="GH134">
        <v>2.7924290151067641</v>
      </c>
      <c r="GI134">
        <v>7.687466665547789</v>
      </c>
      <c r="GJ134"/>
      <c r="GK134"/>
      <c r="GL134"/>
      <c r="GM134"/>
    </row>
    <row r="135" spans="1:195" s="7" customFormat="1">
      <c r="A135" s="1"/>
      <c r="B135" s="76">
        <f ca="1">IF(C135="", "", RAND())</f>
        <v>0.68317299481763527</v>
      </c>
      <c r="C135">
        <v>3</v>
      </c>
      <c r="D135">
        <v>39775</v>
      </c>
      <c r="E135">
        <v>0</v>
      </c>
      <c r="F135">
        <v>0</v>
      </c>
      <c r="G135">
        <v>156.25</v>
      </c>
      <c r="H135">
        <v>52.083333333333336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46.630090311986855</v>
      </c>
      <c r="AO135">
        <v>11.416276221533264</v>
      </c>
      <c r="AP135">
        <v>118.53507073162014</v>
      </c>
      <c r="AQ135">
        <v>91.438604766068195</v>
      </c>
      <c r="AR135">
        <v>11.133643830275677</v>
      </c>
      <c r="AS135">
        <v>154.96008700219551</v>
      </c>
      <c r="AT135" t="e">
        <v>#DIV/0!</v>
      </c>
      <c r="AU135" t="e">
        <v>#DIV/0!</v>
      </c>
      <c r="AV135"/>
      <c r="AW135"/>
      <c r="AX135" s="146"/>
      <c r="AY135" s="76">
        <f t="shared" ca="1" si="86"/>
        <v>0.34882585765218099</v>
      </c>
      <c r="AZ135">
        <v>8</v>
      </c>
      <c r="BA135" s="129">
        <f t="shared" si="164"/>
        <v>39775</v>
      </c>
      <c r="BB135">
        <v>0</v>
      </c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8"/>
        <v>0.40156005413616613</v>
      </c>
      <c r="CL135" s="179">
        <f t="shared" si="89"/>
        <v>8</v>
      </c>
      <c r="CM135" s="180">
        <f t="shared" si="90"/>
        <v>39775</v>
      </c>
      <c r="CN135">
        <v>0</v>
      </c>
      <c r="CO135"/>
      <c r="CP135">
        <v>1</v>
      </c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0.95256429057975067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52.083333333333336</v>
      </c>
      <c r="DI135" s="161">
        <f t="shared" si="96"/>
        <v>0</v>
      </c>
      <c r="DJ135" s="161">
        <f t="shared" si="97"/>
        <v>0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52.083333333333336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2.3172799977586971</v>
      </c>
      <c r="ES135" s="139">
        <f t="shared" si="134"/>
        <v>0</v>
      </c>
      <c r="ET135" s="139">
        <f t="shared" si="135"/>
        <v>0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2.3172799977586971</v>
      </c>
      <c r="FV135" s="149"/>
      <c r="FY135" s="210">
        <v>130</v>
      </c>
      <c r="FZ135">
        <v>2.4267433998976919</v>
      </c>
      <c r="GA135">
        <v>22.806854026824656</v>
      </c>
      <c r="GB135">
        <v>11.190364499790942</v>
      </c>
      <c r="GC135">
        <v>1.1709745199380344</v>
      </c>
      <c r="GD135">
        <v>0.45859588466058238</v>
      </c>
      <c r="GE135">
        <v>0</v>
      </c>
      <c r="GF135">
        <v>4.4836583213607852</v>
      </c>
      <c r="GG135">
        <v>5.116333452298595</v>
      </c>
      <c r="GH135">
        <v>2.6094684551532397</v>
      </c>
      <c r="GI135">
        <v>4.931200882702238</v>
      </c>
      <c r="GJ135"/>
      <c r="GK135"/>
      <c r="GL135"/>
      <c r="GM135"/>
    </row>
    <row r="136" spans="1:195" s="7" customFormat="1">
      <c r="A136" s="1"/>
      <c r="B136" s="76">
        <f ca="1">IF(C136="", "", RAND())</f>
        <v>0.24222473964816782</v>
      </c>
      <c r="C136">
        <v>6</v>
      </c>
      <c r="D136">
        <v>39775</v>
      </c>
      <c r="E136">
        <v>0</v>
      </c>
      <c r="F136">
        <v>0</v>
      </c>
      <c r="G136">
        <v>20.833333333333332</v>
      </c>
      <c r="H136">
        <v>20.833333333333332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22.736607142857146</v>
      </c>
      <c r="AO136">
        <v>8.9115116390418301</v>
      </c>
      <c r="AP136">
        <v>96.251251789834427</v>
      </c>
      <c r="AQ136">
        <v>66.136014083416242</v>
      </c>
      <c r="AR136">
        <v>9.0348283442909363</v>
      </c>
      <c r="AS136">
        <v>120.19342582840639</v>
      </c>
      <c r="AT136" t="e">
        <v>#DIV/0!</v>
      </c>
      <c r="AU136" t="e">
        <v>#DIV/0!</v>
      </c>
      <c r="AV136"/>
      <c r="AW136"/>
      <c r="AX136" s="146"/>
      <c r="AY136" s="76">
        <f t="shared" ca="1" si="86"/>
        <v>0.66247353354172045</v>
      </c>
      <c r="AZ136">
        <v>9</v>
      </c>
      <c r="BA136" s="129">
        <f t="shared" si="164"/>
        <v>39775</v>
      </c>
      <c r="BB136">
        <v>0</v>
      </c>
      <c r="BC136"/>
      <c r="BD136">
        <v>1</v>
      </c>
      <c r="BE136">
        <v>1</v>
      </c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8"/>
        <v>0.523536041195104</v>
      </c>
      <c r="CL136" s="179">
        <f t="shared" si="89"/>
        <v>9</v>
      </c>
      <c r="CM136" s="180">
        <f t="shared" si="90"/>
        <v>39775</v>
      </c>
      <c r="CN136" s="225">
        <v>0</v>
      </c>
      <c r="CO136"/>
      <c r="CP136">
        <v>3</v>
      </c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0.19111920031798135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41.666666666666664</v>
      </c>
      <c r="DI136" s="161">
        <f t="shared" si="96"/>
        <v>10.416666666666666</v>
      </c>
      <c r="DJ136" s="161">
        <f t="shared" si="97"/>
        <v>0</v>
      </c>
      <c r="DK136" s="161">
        <f t="shared" si="98"/>
        <v>0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52.083333333333329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1.8538239982069575</v>
      </c>
      <c r="ES136" s="139">
        <f t="shared" si="134"/>
        <v>1.3235266393690508</v>
      </c>
      <c r="ET136" s="139">
        <f t="shared" si="135"/>
        <v>0</v>
      </c>
      <c r="EU136" s="139">
        <f t="shared" si="136"/>
        <v>0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3.1773506375760086</v>
      </c>
      <c r="FV136" s="149"/>
      <c r="FY136" s="210">
        <v>131</v>
      </c>
      <c r="FZ136">
        <v>13.581333912698186</v>
      </c>
      <c r="GA136">
        <v>36.122964817141217</v>
      </c>
      <c r="GB136">
        <v>12.817893097531289</v>
      </c>
      <c r="GC136">
        <v>2.0291821629227176</v>
      </c>
      <c r="GD136">
        <v>1.0092891897872813</v>
      </c>
      <c r="GE136">
        <v>1.7283156948815326</v>
      </c>
      <c r="GF136">
        <v>5.3191054180254795</v>
      </c>
      <c r="GG136">
        <v>4.6728588172689181</v>
      </c>
      <c r="GH136">
        <v>4.9924841917719807</v>
      </c>
      <c r="GI136">
        <v>7.8937807900104167</v>
      </c>
      <c r="GJ136"/>
      <c r="GK136"/>
      <c r="GL136"/>
      <c r="GM136"/>
    </row>
    <row r="137" spans="1:195" s="7" customFormat="1">
      <c r="A137" s="1"/>
      <c r="B137" s="76">
        <f ca="1">IF(C137="", "", RAND())</f>
        <v>0.26136421724059211</v>
      </c>
      <c r="C137">
        <v>4</v>
      </c>
      <c r="D137">
        <v>39775</v>
      </c>
      <c r="E137">
        <v>0</v>
      </c>
      <c r="F137">
        <v>0</v>
      </c>
      <c r="G137">
        <v>0</v>
      </c>
      <c r="H137">
        <v>10.416666666666666</v>
      </c>
      <c r="I137">
        <v>10.416666666666666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35.038490923189194</v>
      </c>
      <c r="AO137">
        <v>12.159224258044503</v>
      </c>
      <c r="AP137">
        <v>128.11883455281688</v>
      </c>
      <c r="AQ137">
        <v>92.195144675378089</v>
      </c>
      <c r="AR137">
        <v>11.570014386576359</v>
      </c>
      <c r="AS137">
        <v>165.30623545777448</v>
      </c>
      <c r="AT137">
        <v>7.6026234377361837</v>
      </c>
      <c r="AU137">
        <v>45.144414138305244</v>
      </c>
      <c r="AV137"/>
      <c r="AW137"/>
      <c r="AX137" s="146"/>
      <c r="AY137" s="76">
        <f t="shared" ca="1" si="86"/>
        <v>6.496195694977569E-2</v>
      </c>
      <c r="AZ137">
        <v>10</v>
      </c>
      <c r="BA137" s="129">
        <f t="shared" si="164"/>
        <v>39775</v>
      </c>
      <c r="BB137">
        <v>0</v>
      </c>
      <c r="BC137"/>
      <c r="BD137">
        <v>1</v>
      </c>
      <c r="BE137">
        <v>1</v>
      </c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8"/>
        <v>0.79332088160776926</v>
      </c>
      <c r="CL137" s="179">
        <f t="shared" si="89"/>
        <v>10</v>
      </c>
      <c r="CM137" s="180">
        <f t="shared" si="90"/>
        <v>39775</v>
      </c>
      <c r="CN137" s="224">
        <v>0</v>
      </c>
      <c r="CO137" s="224"/>
      <c r="CP137" s="224">
        <v>1</v>
      </c>
      <c r="CQ137" s="224"/>
      <c r="CR137" s="224"/>
      <c r="CS137"/>
      <c r="CT137"/>
      <c r="CU137"/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0.38423324392061398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0</v>
      </c>
      <c r="DH137" s="161">
        <f t="shared" si="95"/>
        <v>20.833333333333332</v>
      </c>
      <c r="DI137" s="161">
        <f t="shared" si="96"/>
        <v>10.416666666666666</v>
      </c>
      <c r="DJ137" s="161">
        <f t="shared" si="97"/>
        <v>0</v>
      </c>
      <c r="DK137" s="161">
        <f t="shared" si="98"/>
        <v>0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31.25</v>
      </c>
      <c r="EL137" s="149"/>
      <c r="EN137" s="146"/>
      <c r="EO137" s="146"/>
      <c r="EP137" s="139">
        <f t="shared" si="131"/>
        <v>0</v>
      </c>
      <c r="EQ137" s="139">
        <f t="shared" si="132"/>
        <v>0</v>
      </c>
      <c r="ER137" s="139">
        <f t="shared" si="133"/>
        <v>0.92691199910347877</v>
      </c>
      <c r="ES137" s="139">
        <f t="shared" si="134"/>
        <v>1.3235266393690508</v>
      </c>
      <c r="ET137" s="139">
        <f t="shared" si="135"/>
        <v>0</v>
      </c>
      <c r="EU137" s="139">
        <f t="shared" si="136"/>
        <v>0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2.2504386384725295</v>
      </c>
      <c r="FV137" s="149"/>
      <c r="FY137" s="210">
        <v>132</v>
      </c>
      <c r="FZ137">
        <v>4.4216745409225702</v>
      </c>
      <c r="GA137">
        <v>18.979956030337384</v>
      </c>
      <c r="GB137">
        <v>10.903464771930899</v>
      </c>
      <c r="GC137">
        <v>1.8010169159440803</v>
      </c>
      <c r="GD137">
        <v>0.56234661821979115</v>
      </c>
      <c r="GE137">
        <v>0.28245867923368362</v>
      </c>
      <c r="GF137">
        <v>7.5033188507147148</v>
      </c>
      <c r="GG137">
        <v>8.1220037941065968</v>
      </c>
      <c r="GH137">
        <v>3.6470494250612888</v>
      </c>
      <c r="GI137">
        <v>5.9610104139430353</v>
      </c>
      <c r="GJ137"/>
      <c r="GK137"/>
      <c r="GL137"/>
      <c r="GM137"/>
    </row>
    <row r="138" spans="1:195" s="7" customFormat="1">
      <c r="A138" s="128"/>
      <c r="B138" s="76">
        <f ca="1">IF(C138="", "", RAND())</f>
        <v>0.19027777664336587</v>
      </c>
      <c r="C138">
        <v>3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59.186204615945982</v>
      </c>
      <c r="AO138">
        <v>15.388243129820395</v>
      </c>
      <c r="AP138">
        <v>161.05490904504992</v>
      </c>
      <c r="AQ138">
        <v>119.78448330418779</v>
      </c>
      <c r="AR138">
        <v>14.539538851618495</v>
      </c>
      <c r="AS138">
        <v>221.54371005035358</v>
      </c>
      <c r="AT138">
        <v>9.421175841816904</v>
      </c>
      <c r="AU138">
        <v>44.100202654357247</v>
      </c>
      <c r="AV138"/>
      <c r="AW138"/>
      <c r="AX138" s="128"/>
      <c r="AY138" s="76">
        <f t="shared" ca="1" si="86"/>
        <v>0.58673853922502417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8"/>
        <v>0.8657183439533902</v>
      </c>
      <c r="CL138" s="179">
        <f t="shared" si="89"/>
        <v>1</v>
      </c>
      <c r="CM138" s="180">
        <f t="shared" si="90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0.74909019998224036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0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0</v>
      </c>
      <c r="FV138" s="149"/>
      <c r="FY138" s="210">
        <v>133</v>
      </c>
      <c r="FZ138">
        <v>5.0917619009066151</v>
      </c>
      <c r="GA138">
        <v>25.046966679993776</v>
      </c>
      <c r="GB138">
        <v>14.875561208836345</v>
      </c>
      <c r="GC138">
        <v>2.6106391002611185</v>
      </c>
      <c r="GD138">
        <v>0.60592919801429734</v>
      </c>
      <c r="GE138">
        <v>1.5942818441924</v>
      </c>
      <c r="GF138">
        <v>7.2664003388606702</v>
      </c>
      <c r="GG138">
        <v>5.7411283708840219</v>
      </c>
      <c r="GH138">
        <v>4.5830709132839571</v>
      </c>
      <c r="GI138">
        <v>7.2608362867768461</v>
      </c>
      <c r="GJ138"/>
      <c r="GK138"/>
      <c r="GL138"/>
      <c r="GM138"/>
    </row>
    <row r="139" spans="1:195" s="7" customFormat="1">
      <c r="A139" s="1"/>
      <c r="B139" s="76">
        <f ca="1">IF(C139="", "", RAND())</f>
        <v>0.18871755372948229</v>
      </c>
      <c r="C139">
        <v>8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46.181382275132286</v>
      </c>
      <c r="AO139">
        <v>15.64106897234918</v>
      </c>
      <c r="AP139">
        <v>166.2353808721206</v>
      </c>
      <c r="AQ139">
        <v>118.91445241246689</v>
      </c>
      <c r="AR139">
        <v>14.860656805807526</v>
      </c>
      <c r="AS139">
        <v>205.56660794214676</v>
      </c>
      <c r="AT139">
        <v>9.944506181807462</v>
      </c>
      <c r="AU139">
        <v>41.245309839144234</v>
      </c>
      <c r="AV139"/>
      <c r="AW139"/>
      <c r="AX139" s="146"/>
      <c r="AY139" s="76">
        <f t="shared" ca="1" si="86"/>
        <v>0.92570892597484145</v>
      </c>
      <c r="AZ139">
        <v>2</v>
      </c>
      <c r="BA139" s="129">
        <f t="shared" ref="BA139:BA147" si="166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8"/>
        <v>0.96956236807347373</v>
      </c>
      <c r="CL139" s="179">
        <f t="shared" si="89"/>
        <v>2</v>
      </c>
      <c r="CM139" s="180">
        <f t="shared" si="90"/>
        <v>39799</v>
      </c>
      <c r="CN139">
        <v>0</v>
      </c>
      <c r="CO139">
        <v>1</v>
      </c>
      <c r="CP139"/>
      <c r="CQ139"/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0.21573118223257048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10.416666666666666</v>
      </c>
      <c r="DH139" s="161">
        <f t="shared" si="95"/>
        <v>0</v>
      </c>
      <c r="DI139" s="161">
        <f t="shared" si="96"/>
        <v>0</v>
      </c>
      <c r="DJ139" s="161">
        <f t="shared" si="97"/>
        <v>0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10.416666666666666</v>
      </c>
      <c r="EL139" s="149"/>
      <c r="EN139" s="146"/>
      <c r="EO139" s="146"/>
      <c r="EP139" s="139">
        <f t="shared" si="131"/>
        <v>0</v>
      </c>
      <c r="EQ139" s="139">
        <f t="shared" si="132"/>
        <v>7.708020833333333E-2</v>
      </c>
      <c r="ER139" s="139">
        <f t="shared" si="133"/>
        <v>0</v>
      </c>
      <c r="ES139" s="139">
        <f t="shared" si="134"/>
        <v>0</v>
      </c>
      <c r="ET139" s="139">
        <f t="shared" si="135"/>
        <v>0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7.708020833333333E-2</v>
      </c>
      <c r="FV139" s="149"/>
      <c r="FY139" s="210">
        <v>134</v>
      </c>
      <c r="FZ139">
        <v>13.282498692618375</v>
      </c>
      <c r="GA139">
        <v>27.386681398832167</v>
      </c>
      <c r="GB139">
        <v>7.4740310389581506</v>
      </c>
      <c r="GC139">
        <v>1.3712066078703675</v>
      </c>
      <c r="GD139">
        <v>0.89760324267908242</v>
      </c>
      <c r="GE139">
        <v>2.7556243266272196</v>
      </c>
      <c r="GF139">
        <v>9.3430172951357751</v>
      </c>
      <c r="GG139">
        <v>4.7645488914863678</v>
      </c>
      <c r="GH139">
        <v>1.3923653547521333</v>
      </c>
      <c r="GI139">
        <v>6.5338980557184456</v>
      </c>
      <c r="GJ139"/>
      <c r="GK139"/>
      <c r="GL139"/>
      <c r="GM139"/>
    </row>
    <row r="140" spans="1:195" s="7" customFormat="1">
      <c r="A140" s="1"/>
      <c r="B140" s="76">
        <f ca="1">IF(C140="", "", RAND())</f>
        <v>0.63207950417252112</v>
      </c>
      <c r="C140">
        <v>2</v>
      </c>
      <c r="D140">
        <v>39799</v>
      </c>
      <c r="E140">
        <v>0</v>
      </c>
      <c r="F140">
        <v>10.416666666666666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42.78218903940887</v>
      </c>
      <c r="AO140">
        <v>12.279195625081831</v>
      </c>
      <c r="AP140">
        <v>128.49822495818799</v>
      </c>
      <c r="AQ140">
        <v>92.66206483158426</v>
      </c>
      <c r="AR140">
        <v>11.88526757461738</v>
      </c>
      <c r="AS140">
        <v>160.46006469397119</v>
      </c>
      <c r="AT140" t="e">
        <v>#DIV/0!</v>
      </c>
      <c r="AU140" t="e">
        <v>#DIV/0!</v>
      </c>
      <c r="AV140"/>
      <c r="AW140"/>
      <c r="AX140" s="146"/>
      <c r="AY140" s="76">
        <f t="shared" ca="1" si="86"/>
        <v>0.3554427620041567</v>
      </c>
      <c r="AZ140">
        <v>3</v>
      </c>
      <c r="BA140" s="129">
        <f t="shared" si="166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8"/>
        <v>0.75824886930165203</v>
      </c>
      <c r="CL140" s="179">
        <f t="shared" si="89"/>
        <v>3</v>
      </c>
      <c r="CM140" s="180">
        <f t="shared" si="90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0.62680412634308258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0</v>
      </c>
      <c r="DI140" s="161">
        <f t="shared" si="96"/>
        <v>0</v>
      </c>
      <c r="DJ140" s="161">
        <f t="shared" si="97"/>
        <v>0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0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0</v>
      </c>
      <c r="ES140" s="139">
        <f t="shared" si="134"/>
        <v>0</v>
      </c>
      <c r="ET140" s="139">
        <f t="shared" si="135"/>
        <v>0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0</v>
      </c>
      <c r="FV140" s="149"/>
      <c r="FY140" s="210">
        <v>135</v>
      </c>
      <c r="FZ140">
        <v>11.449938132331706</v>
      </c>
      <c r="GA140">
        <v>27.619585763769944</v>
      </c>
      <c r="GB140">
        <v>8.5332806787696533</v>
      </c>
      <c r="GC140">
        <v>1.3124123679062878</v>
      </c>
      <c r="GD140">
        <v>0.50466679273963999</v>
      </c>
      <c r="GE140">
        <v>0.14020141262716906</v>
      </c>
      <c r="GF140">
        <v>1.7948730870128506</v>
      </c>
      <c r="GG140">
        <v>1.8103639244986538</v>
      </c>
      <c r="GH140">
        <v>2.7812922800437998</v>
      </c>
      <c r="GI140">
        <v>5.0568111101111688</v>
      </c>
      <c r="GJ140"/>
      <c r="GK140"/>
      <c r="GL140"/>
      <c r="GM140"/>
    </row>
    <row r="141" spans="1:195" s="7" customFormat="1">
      <c r="A141" s="1"/>
      <c r="B141" s="76">
        <f ca="1">IF(C141="", "", RAND())</f>
        <v>0.7424987261389977</v>
      </c>
      <c r="C141">
        <v>1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40.384755291005298</v>
      </c>
      <c r="AO141">
        <v>10.36962296022906</v>
      </c>
      <c r="AP141">
        <v>113.12875670049633</v>
      </c>
      <c r="AQ141">
        <v>86.384982125212872</v>
      </c>
      <c r="AR141">
        <v>9.9274762544936905</v>
      </c>
      <c r="AS141">
        <v>135.95758470263365</v>
      </c>
      <c r="AT141" t="e">
        <v>#DIV/0!</v>
      </c>
      <c r="AU141" t="e">
        <v>#DIV/0!</v>
      </c>
      <c r="AV141"/>
      <c r="AW141"/>
      <c r="AX141" s="146"/>
      <c r="AY141" s="76">
        <f t="shared" ca="1" si="86"/>
        <v>0.7677108734404805</v>
      </c>
      <c r="AZ141">
        <v>4</v>
      </c>
      <c r="BA141" s="129">
        <f t="shared" si="166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8"/>
        <v>0.5570559956467509</v>
      </c>
      <c r="CL141" s="179">
        <f t="shared" si="89"/>
        <v>4</v>
      </c>
      <c r="CM141" s="180">
        <f t="shared" si="90"/>
        <v>39799</v>
      </c>
      <c r="CN141"/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0.84208937103561987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0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0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0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0</v>
      </c>
      <c r="FV141" s="149"/>
      <c r="FY141" s="210">
        <v>136</v>
      </c>
      <c r="FZ141">
        <v>7.1357831831896856</v>
      </c>
      <c r="GA141">
        <v>22.782010634904498</v>
      </c>
      <c r="GB141">
        <v>11.540702076294924</v>
      </c>
      <c r="GC141">
        <v>2.1785277238164586</v>
      </c>
      <c r="GD141">
        <v>1.0910490479588966</v>
      </c>
      <c r="GE141">
        <v>4.3457944628609297</v>
      </c>
      <c r="GF141">
        <v>8.5366531297771164</v>
      </c>
      <c r="GG141">
        <v>2.5257546680885867</v>
      </c>
      <c r="GH141">
        <v>1.2605952589820808</v>
      </c>
      <c r="GI141">
        <v>6.7112648697310266</v>
      </c>
      <c r="GJ141"/>
      <c r="GK141"/>
      <c r="GL141"/>
      <c r="GM141"/>
    </row>
    <row r="142" spans="1:195" s="7" customFormat="1">
      <c r="A142" s="1"/>
      <c r="B142" s="76">
        <f ca="1">IF(C142="", "", RAND())</f>
        <v>0.76824422633003753</v>
      </c>
      <c r="C142">
        <v>4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35.596955391351941</v>
      </c>
      <c r="AO142">
        <v>10.874227008787965</v>
      </c>
      <c r="AP142">
        <v>115.73823621985312</v>
      </c>
      <c r="AQ142">
        <v>84.990879760912989</v>
      </c>
      <c r="AR142">
        <v>10.252088685919276</v>
      </c>
      <c r="AS142">
        <v>151.19536014722229</v>
      </c>
      <c r="AT142">
        <v>6.4279563643516573</v>
      </c>
      <c r="AU142">
        <v>16.385033111398943</v>
      </c>
      <c r="AV142"/>
      <c r="AW142"/>
      <c r="AX142" s="146"/>
      <c r="AY142" s="76">
        <f t="shared" ca="1" si="86"/>
        <v>0.74534424947757727</v>
      </c>
      <c r="AZ142">
        <v>5</v>
      </c>
      <c r="BA142" s="129">
        <f t="shared" si="166"/>
        <v>39799</v>
      </c>
      <c r="BB142">
        <v>0</v>
      </c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8"/>
        <v>0.38266993180881848</v>
      </c>
      <c r="CL142" s="179">
        <f t="shared" si="89"/>
        <v>5</v>
      </c>
      <c r="CM142" s="180">
        <f t="shared" si="90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0.59779664242815667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0</v>
      </c>
      <c r="DJ142" s="161">
        <f t="shared" si="97"/>
        <v>0</v>
      </c>
      <c r="DK142" s="161">
        <f t="shared" si="98"/>
        <v>0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0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</v>
      </c>
      <c r="ET142" s="139">
        <f t="shared" si="135"/>
        <v>0</v>
      </c>
      <c r="EU142" s="139">
        <f t="shared" si="136"/>
        <v>0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0</v>
      </c>
      <c r="FV142" s="149"/>
      <c r="FY142" s="210">
        <v>137</v>
      </c>
      <c r="FZ142">
        <v>40.927540371457866</v>
      </c>
      <c r="GA142">
        <v>52.327102292649236</v>
      </c>
      <c r="GB142">
        <v>6.2393248603542775</v>
      </c>
      <c r="GC142">
        <v>2.477005403755896</v>
      </c>
      <c r="GD142">
        <v>0.90724713445796201</v>
      </c>
      <c r="GE142">
        <v>2.6195346219587416</v>
      </c>
      <c r="GF142">
        <v>7.5037697369101322</v>
      </c>
      <c r="GG142">
        <v>3.3708423217945014</v>
      </c>
      <c r="GH142">
        <v>1.1490881144450649</v>
      </c>
      <c r="GI142">
        <v>9.8766275500430201</v>
      </c>
      <c r="GJ142"/>
      <c r="GK142"/>
      <c r="GL142"/>
      <c r="GM142"/>
    </row>
    <row r="143" spans="1:195" s="7" customFormat="1">
      <c r="A143" s="1"/>
      <c r="B143" s="76">
        <f ca="1">IF(C143="", "", RAND())</f>
        <v>0.23793776692425816</v>
      </c>
      <c r="C143">
        <v>10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32.270120073891626</v>
      </c>
      <c r="AO143">
        <v>9.8098597178141524</v>
      </c>
      <c r="AP143">
        <v>105.50419342955286</v>
      </c>
      <c r="AQ143">
        <v>76.382303123368061</v>
      </c>
      <c r="AR143">
        <v>9.1724381303068476</v>
      </c>
      <c r="AS143">
        <v>106.27163879838244</v>
      </c>
      <c r="AT143">
        <v>5.8836919775877377</v>
      </c>
      <c r="AU143">
        <v>30.349956045296032</v>
      </c>
      <c r="AV143"/>
      <c r="AW143"/>
      <c r="AX143" s="146"/>
      <c r="AY143" s="76">
        <f t="shared" ca="1" si="86"/>
        <v>0.56122234914770575</v>
      </c>
      <c r="AZ143">
        <v>6</v>
      </c>
      <c r="BA143" s="129">
        <f t="shared" si="166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8"/>
        <v>0.1878866783790929</v>
      </c>
      <c r="CL143" s="179">
        <f t="shared" si="89"/>
        <v>6</v>
      </c>
      <c r="CM143" s="180">
        <f t="shared" si="90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0.90309613890690277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0">
        <v>138</v>
      </c>
      <c r="FZ143">
        <v>2.2120410733459179</v>
      </c>
      <c r="GA143">
        <v>20.432720462904747</v>
      </c>
      <c r="GB143">
        <v>11.22470532486857</v>
      </c>
      <c r="GC143">
        <v>2.5862813146550527</v>
      </c>
      <c r="GD143">
        <v>0.97947109335928462</v>
      </c>
      <c r="GE143">
        <v>4.1117079586910979E-3</v>
      </c>
      <c r="GF143">
        <v>5.135759701280791</v>
      </c>
      <c r="GG143">
        <v>4.9815963792599982</v>
      </c>
      <c r="GH143">
        <v>2.0851096026677332</v>
      </c>
      <c r="GI143">
        <v>5.2420081336060296</v>
      </c>
      <c r="GJ143"/>
      <c r="GK143"/>
      <c r="GL143"/>
      <c r="GM143"/>
    </row>
    <row r="144" spans="1:195" s="7" customFormat="1">
      <c r="A144" s="1"/>
      <c r="B144" s="76">
        <f ca="1">IF(C144="", "", RAND())</f>
        <v>0.91446332169134426</v>
      </c>
      <c r="C144">
        <v>5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27.852049124247394</v>
      </c>
      <c r="AO144">
        <v>6.6873453851442024</v>
      </c>
      <c r="AP144">
        <v>70.551949038592582</v>
      </c>
      <c r="AQ144">
        <v>55.020022053726422</v>
      </c>
      <c r="AR144">
        <v>6.5913266959674592</v>
      </c>
      <c r="AS144">
        <v>92.264919646622516</v>
      </c>
      <c r="AT144" t="e">
        <v>#DIV/0!</v>
      </c>
      <c r="AU144" t="e">
        <v>#DIV/0!</v>
      </c>
      <c r="AV144"/>
      <c r="AW144"/>
      <c r="AX144" s="146"/>
      <c r="AY144" s="76">
        <f t="shared" ca="1" si="86"/>
        <v>0.88405344636534577</v>
      </c>
      <c r="AZ144">
        <v>7</v>
      </c>
      <c r="BA144" s="129">
        <f t="shared" si="166"/>
        <v>39799</v>
      </c>
      <c r="BB144">
        <v>0</v>
      </c>
      <c r="BC144"/>
      <c r="BD144"/>
      <c r="BE144">
        <v>2</v>
      </c>
      <c r="BF144">
        <v>1</v>
      </c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8"/>
        <v>0.7937808209328181</v>
      </c>
      <c r="CL144" s="179">
        <f t="shared" si="89"/>
        <v>7</v>
      </c>
      <c r="CM144" s="180">
        <f t="shared" si="90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0.21845407219495394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20.833333333333332</v>
      </c>
      <c r="DJ144" s="161">
        <f t="shared" si="97"/>
        <v>10.416666666666666</v>
      </c>
      <c r="DK144" s="161">
        <f t="shared" si="98"/>
        <v>0</v>
      </c>
      <c r="DL144" s="161">
        <f t="shared" si="99"/>
        <v>0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31.25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2.6470532787381016</v>
      </c>
      <c r="ET144" s="139">
        <f t="shared" si="135"/>
        <v>2.7865968212181813</v>
      </c>
      <c r="EU144" s="139">
        <f t="shared" si="136"/>
        <v>0</v>
      </c>
      <c r="EV144" s="139">
        <f t="shared" si="137"/>
        <v>0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5.4336500999562833</v>
      </c>
      <c r="FV144" s="149"/>
      <c r="FY144" s="210">
        <v>139</v>
      </c>
      <c r="FZ144">
        <v>3.4167893952311461</v>
      </c>
      <c r="GA144">
        <v>9.4684004483513711</v>
      </c>
      <c r="GB144">
        <v>5.9444532056062718</v>
      </c>
      <c r="GC144">
        <v>1.9063461543470335</v>
      </c>
      <c r="GD144">
        <v>0.64578968520229174</v>
      </c>
      <c r="GE144">
        <v>2.7556243266272196</v>
      </c>
      <c r="GF144">
        <v>8.0478237542205893</v>
      </c>
      <c r="GG144">
        <v>3.561542264832668</v>
      </c>
      <c r="GH144">
        <v>1.1624742067571674</v>
      </c>
      <c r="GI144">
        <v>4.2736257475961636</v>
      </c>
      <c r="GJ144"/>
      <c r="GK144"/>
      <c r="GL144"/>
      <c r="GM144"/>
    </row>
    <row r="145" spans="1:195" s="7" customFormat="1">
      <c r="A145" s="1"/>
      <c r="B145" s="76">
        <f ca="1">IF(C145="", "", RAND())</f>
        <v>0.45470652883996943</v>
      </c>
      <c r="C145">
        <v>6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52.041731663929944</v>
      </c>
      <c r="AO145">
        <v>11.738131579126708</v>
      </c>
      <c r="AP145">
        <v>121.4688941232195</v>
      </c>
      <c r="AQ145">
        <v>93.989831950645709</v>
      </c>
      <c r="AR145">
        <v>10.962560615967796</v>
      </c>
      <c r="AS145">
        <v>177.96022970386213</v>
      </c>
      <c r="AT145">
        <v>7.1747859647229921</v>
      </c>
      <c r="AU145">
        <v>60.32993100596061</v>
      </c>
      <c r="AV145"/>
      <c r="AW145"/>
      <c r="AX145" s="146"/>
      <c r="AY145" s="76">
        <f t="shared" ca="1" si="86"/>
        <v>4.0859686514490789E-2</v>
      </c>
      <c r="AZ145">
        <v>8</v>
      </c>
      <c r="BA145" s="129">
        <f t="shared" si="166"/>
        <v>39799</v>
      </c>
      <c r="BB145">
        <v>0</v>
      </c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8"/>
        <v>0.79641787360562155</v>
      </c>
      <c r="CL145" s="179">
        <f t="shared" si="89"/>
        <v>8</v>
      </c>
      <c r="CM145" s="180">
        <f t="shared" si="90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0.90139391143973402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0</v>
      </c>
      <c r="DI145" s="161">
        <f t="shared" si="96"/>
        <v>0</v>
      </c>
      <c r="DJ145" s="161">
        <f t="shared" si="97"/>
        <v>0</v>
      </c>
      <c r="DK145" s="161">
        <f t="shared" si="98"/>
        <v>0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0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0</v>
      </c>
      <c r="ES145" s="139">
        <f t="shared" si="134"/>
        <v>0</v>
      </c>
      <c r="ET145" s="139">
        <f t="shared" si="135"/>
        <v>0</v>
      </c>
      <c r="EU145" s="139">
        <f t="shared" si="136"/>
        <v>0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0</v>
      </c>
      <c r="FV145" s="149"/>
      <c r="FY145" s="210">
        <v>140</v>
      </c>
      <c r="FZ145">
        <v>12.468933344744828</v>
      </c>
      <c r="GA145">
        <v>33.23591146787998</v>
      </c>
      <c r="GB145">
        <v>11.065097689908326</v>
      </c>
      <c r="GC145">
        <v>1.3585869827598134</v>
      </c>
      <c r="GD145">
        <v>0.6552227076770758</v>
      </c>
      <c r="GE145">
        <v>1.5881142822543635</v>
      </c>
      <c r="GF145">
        <v>5.3191054180254795</v>
      </c>
      <c r="GG145">
        <v>4.8428758922197552</v>
      </c>
      <c r="GH145">
        <v>4.0564627035493119</v>
      </c>
      <c r="GI145">
        <v>6.901982020027603</v>
      </c>
      <c r="GJ145"/>
      <c r="GK145"/>
      <c r="GL145"/>
      <c r="GM145"/>
    </row>
    <row r="146" spans="1:195" s="7" customFormat="1">
      <c r="A146" s="1"/>
      <c r="B146" s="76">
        <f ca="1">IF(C146="", "", RAND())</f>
        <v>0.35741477168533486</v>
      </c>
      <c r="C146">
        <v>7</v>
      </c>
      <c r="D146">
        <v>39799</v>
      </c>
      <c r="E146">
        <v>0</v>
      </c>
      <c r="F146">
        <v>0</v>
      </c>
      <c r="G146">
        <v>0</v>
      </c>
      <c r="H146">
        <v>20.833333333333332</v>
      </c>
      <c r="I146">
        <v>10.416666666666666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16.053867907316178</v>
      </c>
      <c r="AO146">
        <v>7.7277471319841755</v>
      </c>
      <c r="AP146">
        <v>84.389988445688701</v>
      </c>
      <c r="AQ146">
        <v>55.194193442626762</v>
      </c>
      <c r="AR146">
        <v>7.4168195637171355</v>
      </c>
      <c r="AS146">
        <v>74.937647109557815</v>
      </c>
      <c r="AT146" t="e">
        <v>#DIV/0!</v>
      </c>
      <c r="AU146" t="e">
        <v>#DIV/0!</v>
      </c>
      <c r="AV146"/>
      <c r="AW146"/>
      <c r="AX146" s="146"/>
      <c r="AY146" s="76">
        <f t="shared" ca="1" si="86"/>
        <v>0.69884161362969044</v>
      </c>
      <c r="AZ146">
        <v>9</v>
      </c>
      <c r="BA146" s="129">
        <f t="shared" si="166"/>
        <v>39799</v>
      </c>
      <c r="BB146">
        <v>0</v>
      </c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8"/>
        <v>0.1168731374394909</v>
      </c>
      <c r="CL146" s="179">
        <f t="shared" si="89"/>
        <v>9</v>
      </c>
      <c r="CM146" s="180">
        <f t="shared" si="90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0.39318671630873347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0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0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0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0</v>
      </c>
      <c r="FV146" s="149"/>
      <c r="FY146" s="210">
        <v>141</v>
      </c>
      <c r="FZ146">
        <v>14.226268126460575</v>
      </c>
      <c r="GA146">
        <v>33.217003421148839</v>
      </c>
      <c r="GB146">
        <v>11.073085419866032</v>
      </c>
      <c r="GC146">
        <v>1.7445642018330296</v>
      </c>
      <c r="GD146">
        <v>0.61956288418158123</v>
      </c>
      <c r="GE146">
        <v>0.14225726660651461</v>
      </c>
      <c r="GF146">
        <v>4.8145336163667807</v>
      </c>
      <c r="GG146">
        <v>6.1650811746038681</v>
      </c>
      <c r="GH146">
        <v>3.6001188370198469</v>
      </c>
      <c r="GI146">
        <v>6.8812736380328667</v>
      </c>
      <c r="GJ146"/>
      <c r="GK146"/>
      <c r="GL146"/>
      <c r="GM146"/>
    </row>
    <row r="147" spans="1:195" s="7" customFormat="1">
      <c r="A147" s="1"/>
      <c r="B147" s="76">
        <f ca="1">IF(C147="", "", RAND())</f>
        <v>0.94026523340872892</v>
      </c>
      <c r="C147">
        <v>9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36.174238277686555</v>
      </c>
      <c r="AO147">
        <v>12.036132600397563</v>
      </c>
      <c r="AP147">
        <v>126.34300491018159</v>
      </c>
      <c r="AQ147">
        <v>90.167208092039019</v>
      </c>
      <c r="AR147">
        <v>11.563251797673246</v>
      </c>
      <c r="AS147">
        <v>136.10644192841295</v>
      </c>
      <c r="AT147">
        <v>7.6685327101418324</v>
      </c>
      <c r="AU147">
        <v>45.074965874353701</v>
      </c>
      <c r="AV147"/>
      <c r="AW147"/>
      <c r="AX147" s="146"/>
      <c r="AY147" s="76">
        <f t="shared" ca="1" si="86"/>
        <v>0.77456436365267312</v>
      </c>
      <c r="AZ147">
        <v>10</v>
      </c>
      <c r="BA147" s="129">
        <f t="shared" si="166"/>
        <v>39799</v>
      </c>
      <c r="BB147">
        <v>0</v>
      </c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8"/>
        <v>0.13868227046600268</v>
      </c>
      <c r="CL147" s="179">
        <f t="shared" si="89"/>
        <v>10</v>
      </c>
      <c r="CM147" s="180">
        <f t="shared" si="90"/>
        <v>39799</v>
      </c>
      <c r="CN147">
        <v>0</v>
      </c>
      <c r="CO147"/>
      <c r="CP147"/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0.24944649158111609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0</v>
      </c>
      <c r="DI147" s="161">
        <f t="shared" si="96"/>
        <v>0</v>
      </c>
      <c r="DJ147" s="161">
        <f t="shared" si="97"/>
        <v>0</v>
      </c>
      <c r="DK147" s="161">
        <f t="shared" si="98"/>
        <v>0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0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</v>
      </c>
      <c r="ES147" s="139">
        <f t="shared" si="134"/>
        <v>0</v>
      </c>
      <c r="ET147" s="139">
        <f t="shared" si="135"/>
        <v>0</v>
      </c>
      <c r="EU147" s="139">
        <f t="shared" si="136"/>
        <v>0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0</v>
      </c>
      <c r="FV147" s="149"/>
      <c r="FY147" s="210">
        <v>142</v>
      </c>
      <c r="FZ147">
        <v>3.4008398275818359</v>
      </c>
      <c r="GA147">
        <v>12.825012918991495</v>
      </c>
      <c r="GB147">
        <v>7.9742296341258978</v>
      </c>
      <c r="GC147">
        <v>2.6556115448846809</v>
      </c>
      <c r="GD147">
        <v>0.97331098755383949</v>
      </c>
      <c r="GE147">
        <v>2.6154229140000504</v>
      </c>
      <c r="GF147">
        <v>7.7012060331124221</v>
      </c>
      <c r="GG147">
        <v>3.9782420615138019</v>
      </c>
      <c r="GH147">
        <v>4.2416726207519755</v>
      </c>
      <c r="GI147">
        <v>5.3496285446234584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20.065094759168037</v>
      </c>
      <c r="AO148">
        <v>8.9207540975152408</v>
      </c>
      <c r="AP148">
        <v>92.278956597299882</v>
      </c>
      <c r="AQ148">
        <v>62.184300040414051</v>
      </c>
      <c r="AR148">
        <v>8.8352442309179455</v>
      </c>
      <c r="AS148">
        <v>117.92237168424148</v>
      </c>
      <c r="AT148" t="e">
        <v>#DIV/0!</v>
      </c>
      <c r="AU148" t="e">
        <v>#DIV/0!</v>
      </c>
      <c r="AV148"/>
      <c r="AW148"/>
      <c r="AX148" s="128"/>
      <c r="AY148" s="76">
        <f t="shared" ca="1" si="86"/>
        <v>0.37125765276764433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8"/>
        <v>0.39711029847581125</v>
      </c>
      <c r="CL148" s="179">
        <f t="shared" si="89"/>
        <v>1</v>
      </c>
      <c r="CM148" s="180">
        <f t="shared" si="90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8.2550513490698307E-2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0</v>
      </c>
      <c r="DH148" s="161">
        <f t="shared" si="95"/>
        <v>0</v>
      </c>
      <c r="DI148" s="161">
        <f t="shared" si="96"/>
        <v>0</v>
      </c>
      <c r="DJ148" s="161">
        <f t="shared" si="97"/>
        <v>0</v>
      </c>
      <c r="DK148" s="161">
        <f t="shared" si="98"/>
        <v>0</v>
      </c>
      <c r="DL148" s="161">
        <f t="shared" si="99"/>
        <v>0</v>
      </c>
      <c r="DM148" s="161">
        <f t="shared" si="100"/>
        <v>0</v>
      </c>
      <c r="DN148" s="161">
        <f t="shared" si="101"/>
        <v>0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0</v>
      </c>
      <c r="EL148" s="149"/>
      <c r="EN148" s="146"/>
      <c r="EO148" s="146"/>
      <c r="EP148" s="139">
        <f t="shared" si="131"/>
        <v>0</v>
      </c>
      <c r="EQ148" s="139">
        <f t="shared" si="132"/>
        <v>0</v>
      </c>
      <c r="ER148" s="139">
        <f t="shared" si="133"/>
        <v>0</v>
      </c>
      <c r="ES148" s="139">
        <f t="shared" si="134"/>
        <v>0</v>
      </c>
      <c r="ET148" s="139">
        <f t="shared" si="135"/>
        <v>0</v>
      </c>
      <c r="EU148" s="139">
        <f t="shared" si="136"/>
        <v>0</v>
      </c>
      <c r="EV148" s="139">
        <f t="shared" si="137"/>
        <v>0</v>
      </c>
      <c r="EW148" s="139">
        <f t="shared" si="138"/>
        <v>0</v>
      </c>
      <c r="EX148" s="139">
        <f t="shared" si="139"/>
        <v>0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0</v>
      </c>
      <c r="FV148" s="149"/>
      <c r="FY148" s="210">
        <v>143</v>
      </c>
      <c r="FZ148">
        <v>5.3231688531821604</v>
      </c>
      <c r="GA148">
        <v>11.05324079859216</v>
      </c>
      <c r="GB148">
        <v>5.736068631632059</v>
      </c>
      <c r="GC148">
        <v>2.1969505605187041</v>
      </c>
      <c r="GD148">
        <v>1.0417427841463456</v>
      </c>
      <c r="GE148">
        <v>1.5881142822543635</v>
      </c>
      <c r="GF148">
        <v>7.5178603163677344</v>
      </c>
      <c r="GG148">
        <v>7.6651417399026496</v>
      </c>
      <c r="GH148">
        <v>6.0946417181756036</v>
      </c>
      <c r="GI148">
        <v>5.3932949611870891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21.317361111111111</v>
      </c>
      <c r="AO149">
        <v>10.913213074095854</v>
      </c>
      <c r="AP149">
        <v>112.10375651926563</v>
      </c>
      <c r="AQ149">
        <v>74.676575842010052</v>
      </c>
      <c r="AR149">
        <v>10.715618616397006</v>
      </c>
      <c r="AS149">
        <v>121.49285475094318</v>
      </c>
      <c r="AT149">
        <v>7.2420303648152355</v>
      </c>
      <c r="AU149">
        <v>0.80351118064677429</v>
      </c>
      <c r="AV149"/>
      <c r="AW149"/>
      <c r="AX149" s="151"/>
      <c r="AY149" s="76">
        <f t="shared" ca="1" si="86"/>
        <v>0.43664968975701446</v>
      </c>
      <c r="AZ149">
        <v>2</v>
      </c>
      <c r="BA149" s="129">
        <f t="shared" ref="BA149:BA157" si="168">IF(AZ149="", "",$C$10)</f>
        <v>39847</v>
      </c>
      <c r="BB149">
        <v>0</v>
      </c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8"/>
        <v>1.6869455266746325E-2</v>
      </c>
      <c r="CL149" s="179">
        <f t="shared" si="89"/>
        <v>2</v>
      </c>
      <c r="CM149" s="180">
        <f t="shared" si="90"/>
        <v>39847</v>
      </c>
      <c r="CN149"/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0.52937443254782046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0</v>
      </c>
      <c r="DI149" s="161">
        <f t="shared" si="96"/>
        <v>0</v>
      </c>
      <c r="DJ149" s="161">
        <f t="shared" si="97"/>
        <v>0</v>
      </c>
      <c r="DK149" s="161">
        <f t="shared" si="98"/>
        <v>0</v>
      </c>
      <c r="DL149" s="161">
        <f t="shared" si="99"/>
        <v>0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0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0</v>
      </c>
      <c r="ES149" s="139">
        <f t="shared" si="134"/>
        <v>0</v>
      </c>
      <c r="ET149" s="139">
        <f t="shared" si="135"/>
        <v>0</v>
      </c>
      <c r="EU149" s="139">
        <f t="shared" si="136"/>
        <v>0</v>
      </c>
      <c r="EV149" s="139">
        <f t="shared" si="137"/>
        <v>0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0</v>
      </c>
      <c r="FV149" s="149"/>
      <c r="FY149" s="210">
        <v>144</v>
      </c>
      <c r="FZ149">
        <v>21.497939584665822</v>
      </c>
      <c r="GA149">
        <v>44.418787493267729</v>
      </c>
      <c r="GB149">
        <v>11.814829095520818</v>
      </c>
      <c r="GC149">
        <v>1.8738734951083247</v>
      </c>
      <c r="GD149">
        <v>0.60185682150514863</v>
      </c>
      <c r="GE149">
        <v>1.4499687236065399</v>
      </c>
      <c r="GF149">
        <v>4.5235914232079599</v>
      </c>
      <c r="GG149">
        <v>2.728162580162961</v>
      </c>
      <c r="GH149">
        <v>1.2605952589820808</v>
      </c>
      <c r="GI149">
        <v>7.7616773065897897</v>
      </c>
      <c r="GJ149"/>
      <c r="GK149"/>
      <c r="GL149"/>
      <c r="GM149"/>
    </row>
    <row r="150" spans="1:195" s="7" customFormat="1">
      <c r="A150" s="77"/>
      <c r="B150" s="76">
        <f ca="1">IF(C150="", "", RAND())</f>
        <v>0.34769564394805141</v>
      </c>
      <c r="C150">
        <v>1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37.360018700966982</v>
      </c>
      <c r="AO150">
        <v>9.8153707871668949</v>
      </c>
      <c r="AP150">
        <v>99.429505650331862</v>
      </c>
      <c r="AQ150">
        <v>75.201474904678093</v>
      </c>
      <c r="AR150">
        <v>9.1840271538092253</v>
      </c>
      <c r="AS150">
        <v>129.20961452925587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/>
      <c r="CL150" s="179"/>
      <c r="CM150" s="180"/>
      <c r="CN150"/>
      <c r="CO150"/>
      <c r="CP150"/>
      <c r="CQ150"/>
      <c r="CR150"/>
      <c r="CS150"/>
      <c r="CT150"/>
      <c r="CU150"/>
      <c r="CV150" s="160"/>
      <c r="CW150"/>
      <c r="CX150"/>
      <c r="CY150" s="160"/>
      <c r="CZ150" s="177"/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0">
        <v>145</v>
      </c>
      <c r="FZ150">
        <v>11.429351909852791</v>
      </c>
      <c r="GA150">
        <v>38.813069927802736</v>
      </c>
      <c r="GB150">
        <v>14.639363506764155</v>
      </c>
      <c r="GC150">
        <v>1.8915058009373824</v>
      </c>
      <c r="GD150">
        <v>0.5878168742786104</v>
      </c>
      <c r="GE150">
        <v>0.14431312058586016</v>
      </c>
      <c r="GF150">
        <v>3.1884647804456008</v>
      </c>
      <c r="GG150">
        <v>3.9133268256448943</v>
      </c>
      <c r="GH150">
        <v>2.6094684551532397</v>
      </c>
      <c r="GI150">
        <v>6.9676849993515031</v>
      </c>
      <c r="GJ150"/>
      <c r="GK150"/>
      <c r="GL150"/>
      <c r="GM150"/>
    </row>
    <row r="151" spans="1:195" s="7" customFormat="1">
      <c r="A151" s="77"/>
      <c r="B151" s="76">
        <f ca="1">IF(C151="", "", RAND())</f>
        <v>0.29933496508119828</v>
      </c>
      <c r="C151">
        <v>6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29.256593801313624</v>
      </c>
      <c r="AO151">
        <v>7.6040808563173101</v>
      </c>
      <c r="AP151">
        <v>83.579252118660463</v>
      </c>
      <c r="AQ151">
        <v>61.003425549810878</v>
      </c>
      <c r="AR151">
        <v>7.4221895578348533</v>
      </c>
      <c r="AS151">
        <v>105.72957975271899</v>
      </c>
      <c r="AT151" t="e">
        <v>#DIV/0!</v>
      </c>
      <c r="AU151" t="e">
        <v>#DIV/0!</v>
      </c>
      <c r="AV151"/>
      <c r="AW151"/>
      <c r="AX151" s="151"/>
      <c r="AY151" s="76"/>
      <c r="AZ151"/>
      <c r="BA151" s="129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/>
      <c r="CL151" s="179"/>
      <c r="CM151" s="180"/>
      <c r="CN151"/>
      <c r="CO151"/>
      <c r="CP151"/>
      <c r="CQ151"/>
      <c r="CR151"/>
      <c r="CS151"/>
      <c r="CT151"/>
      <c r="CU151"/>
      <c r="CV151" s="160"/>
      <c r="CW151"/>
      <c r="CX151"/>
      <c r="CY151" s="160"/>
      <c r="CZ151" s="177"/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0">
        <v>146</v>
      </c>
      <c r="FZ151">
        <v>16.960447849206698</v>
      </c>
      <c r="GA151">
        <v>27.548671595995703</v>
      </c>
      <c r="GB151">
        <v>8.7005961842602808</v>
      </c>
      <c r="GC151">
        <v>1.7515493894988352</v>
      </c>
      <c r="GD151">
        <v>0.7198970969159475</v>
      </c>
      <c r="GE151">
        <v>4.2035371962544144</v>
      </c>
      <c r="GF151">
        <v>7.9639670673560419</v>
      </c>
      <c r="GG151">
        <v>2.374741011087016</v>
      </c>
      <c r="GH151">
        <v>2.6094684551532397</v>
      </c>
      <c r="GI151">
        <v>7.2681231387796572</v>
      </c>
      <c r="GJ151"/>
      <c r="GK151"/>
      <c r="GL151"/>
      <c r="GM151"/>
    </row>
    <row r="152" spans="1:195" s="7" customFormat="1">
      <c r="A152" s="77"/>
      <c r="B152" s="76">
        <f ca="1">IF(C152="", "", RAND())</f>
        <v>0.37984200438075533</v>
      </c>
      <c r="C152">
        <v>2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25.882803092501369</v>
      </c>
      <c r="AO152">
        <v>10.158705480536103</v>
      </c>
      <c r="AP152">
        <v>98.216514300341359</v>
      </c>
      <c r="AQ152">
        <v>68.108135055604194</v>
      </c>
      <c r="AR152">
        <v>9.5902969787192198</v>
      </c>
      <c r="AS152">
        <v>118.1558216307976</v>
      </c>
      <c r="AT152">
        <v>7.0718074090561878</v>
      </c>
      <c r="AU152">
        <v>7.3065176388790425</v>
      </c>
      <c r="AV152"/>
      <c r="AW152"/>
      <c r="AX152" s="151"/>
      <c r="AY152" s="76">
        <f t="shared" ref="AY152:AY207" ca="1" si="169">IF(AZ152="", "", RAND())</f>
        <v>0.98576470541989547</v>
      </c>
      <c r="AZ152">
        <v>5</v>
      </c>
      <c r="BA152" s="129">
        <f t="shared" si="168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8"/>
        <v>0.39072541085747847</v>
      </c>
      <c r="CL152" s="179">
        <f t="shared" si="89"/>
        <v>5</v>
      </c>
      <c r="CM152" s="180">
        <f t="shared" si="90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0.42949729301249429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0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0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0</v>
      </c>
      <c r="FV152" s="149"/>
      <c r="FY152" s="210">
        <v>147</v>
      </c>
      <c r="FZ152">
        <v>12.714657377812751</v>
      </c>
      <c r="GA152">
        <v>37.205327925182516</v>
      </c>
      <c r="GB152">
        <v>13.372554135939813</v>
      </c>
      <c r="GC152">
        <v>2.1247519305391673</v>
      </c>
      <c r="GD152">
        <v>0.97952922475649484</v>
      </c>
      <c r="GE152">
        <v>1.5901701362337088</v>
      </c>
      <c r="GF152">
        <v>6.140011049037156</v>
      </c>
      <c r="GG152">
        <v>4.8562633113940263</v>
      </c>
      <c r="GH152">
        <v>3.6470494250612888</v>
      </c>
      <c r="GI152">
        <v>7.8270105504908276</v>
      </c>
      <c r="GJ152"/>
      <c r="GK152"/>
      <c r="GL152"/>
      <c r="GM152"/>
    </row>
    <row r="153" spans="1:195" s="7" customFormat="1">
      <c r="A153" s="77"/>
      <c r="B153" s="76">
        <f ca="1">IF(C153="", "", RAND())</f>
        <v>0.35286190901475489</v>
      </c>
      <c r="C153">
        <v>8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74.822635582010577</v>
      </c>
      <c r="AO153">
        <v>14.664032002295764</v>
      </c>
      <c r="AP153">
        <v>152.93892017195802</v>
      </c>
      <c r="AQ153">
        <v>127.39808240782669</v>
      </c>
      <c r="AR153">
        <v>13.721327509759464</v>
      </c>
      <c r="AS153">
        <v>223.01667727511534</v>
      </c>
      <c r="AT153">
        <v>9.0157902018788736</v>
      </c>
      <c r="AU153">
        <v>67.162378246691205</v>
      </c>
      <c r="AV153"/>
      <c r="AW153"/>
      <c r="AX153" s="151"/>
      <c r="AY153" s="76">
        <f t="shared" ca="1" si="169"/>
        <v>1.0694562062051993E-2</v>
      </c>
      <c r="AZ153">
        <v>6</v>
      </c>
      <c r="BA153" s="129">
        <f t="shared" si="168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4">IF(AZ153="", "", RAND())</f>
        <v>0.48981424244311089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1.8558143627181778E-2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0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0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0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</v>
      </c>
      <c r="EU153" s="139">
        <f t="shared" si="177"/>
        <v>0</v>
      </c>
      <c r="EV153" s="139">
        <f t="shared" si="178"/>
        <v>0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0</v>
      </c>
      <c r="FV153" s="149"/>
      <c r="FY153" s="210">
        <v>148</v>
      </c>
      <c r="FZ153">
        <v>3.9247414953189383</v>
      </c>
      <c r="GA153">
        <v>26.332687223087461</v>
      </c>
      <c r="GB153">
        <v>13.790758133157173</v>
      </c>
      <c r="GC153">
        <v>2.534705951210328</v>
      </c>
      <c r="GD153">
        <v>0.87988402191312098</v>
      </c>
      <c r="GE153">
        <v>1.3077114570000252</v>
      </c>
      <c r="GF153">
        <v>4.746419355604405</v>
      </c>
      <c r="GG153">
        <v>3.1727982519701365</v>
      </c>
      <c r="GH153">
        <v>3.0791984139948072</v>
      </c>
      <c r="GI153">
        <v>6.1953334274978085</v>
      </c>
      <c r="GJ153"/>
      <c r="GK153"/>
      <c r="GL153"/>
      <c r="GM153"/>
    </row>
    <row r="154" spans="1:195" s="7" customFormat="1">
      <c r="A154" s="77"/>
      <c r="B154" s="76">
        <f ca="1">IF(C154="", "", RAND())</f>
        <v>0.14450020565520516</v>
      </c>
      <c r="C154">
        <v>9</v>
      </c>
      <c r="D154">
        <v>39847</v>
      </c>
      <c r="E154">
        <v>0</v>
      </c>
      <c r="F154">
        <v>0</v>
      </c>
      <c r="G154">
        <v>0</v>
      </c>
      <c r="H154">
        <v>20.833333333333332</v>
      </c>
      <c r="I154">
        <v>10.416666666666666</v>
      </c>
      <c r="J154">
        <v>0</v>
      </c>
      <c r="K154">
        <v>0</v>
      </c>
      <c r="L154">
        <v>10.416666666666666</v>
      </c>
      <c r="M154">
        <v>20.833333333333332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20.037432722130998</v>
      </c>
      <c r="AO154">
        <v>8.112165440226585</v>
      </c>
      <c r="AP154">
        <v>81.6978950089715</v>
      </c>
      <c r="AQ154">
        <v>54.883804793906819</v>
      </c>
      <c r="AR154">
        <v>7.7826448743466869</v>
      </c>
      <c r="AS154">
        <v>95.089155439162099</v>
      </c>
      <c r="AT154" t="e">
        <v>#DIV/0!</v>
      </c>
      <c r="AU154" t="e">
        <v>#DIV/0!</v>
      </c>
      <c r="AV154"/>
      <c r="AW154"/>
      <c r="AX154" s="151"/>
      <c r="AY154" s="76">
        <f t="shared" ca="1" si="169"/>
        <v>0.57425266509603379</v>
      </c>
      <c r="AZ154">
        <v>7</v>
      </c>
      <c r="BA154" s="129">
        <f t="shared" si="168"/>
        <v>39847</v>
      </c>
      <c r="BB154">
        <v>0</v>
      </c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4"/>
        <v>0.33201507142120712</v>
      </c>
      <c r="CL154" s="179">
        <f t="shared" si="205"/>
        <v>7</v>
      </c>
      <c r="CM154" s="180">
        <f t="shared" si="206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0.30736006610361799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0</v>
      </c>
      <c r="DK154" s="161">
        <f t="shared" si="214"/>
        <v>0</v>
      </c>
      <c r="DL154" s="161">
        <f t="shared" si="215"/>
        <v>0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0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0</v>
      </c>
      <c r="EU154" s="139">
        <f t="shared" si="177"/>
        <v>0</v>
      </c>
      <c r="EV154" s="139">
        <f t="shared" si="178"/>
        <v>0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0</v>
      </c>
      <c r="FV154" s="149"/>
      <c r="FY154" s="210">
        <v>149</v>
      </c>
      <c r="FZ154">
        <v>5.4434496337257308</v>
      </c>
      <c r="GA154">
        <v>18.559971819246769</v>
      </c>
      <c r="GB154">
        <v>10.243941370609079</v>
      </c>
      <c r="GC154">
        <v>1.9841031285779192</v>
      </c>
      <c r="GD154">
        <v>0.75066306800817328</v>
      </c>
      <c r="GE154">
        <v>1.5901701362337088</v>
      </c>
      <c r="GF154">
        <v>4.2467398095067397</v>
      </c>
      <c r="GG154">
        <v>3.0754921789776928</v>
      </c>
      <c r="GH154">
        <v>3.6470494250612888</v>
      </c>
      <c r="GI154">
        <v>5.3605110549260875</v>
      </c>
      <c r="GJ154"/>
      <c r="GK154"/>
      <c r="GL154"/>
      <c r="GM154"/>
    </row>
    <row r="155" spans="1:195" s="7" customFormat="1">
      <c r="A155" s="77"/>
      <c r="B155" s="76">
        <f ca="1">IF(C155="", "", RAND())</f>
        <v>9.3205647444386308E-2</v>
      </c>
      <c r="C155">
        <v>7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18.781130838350666</v>
      </c>
      <c r="AO155">
        <v>6.4256296233726076</v>
      </c>
      <c r="AP155">
        <v>58.665093436977315</v>
      </c>
      <c r="AQ155">
        <v>41.182869188771924</v>
      </c>
      <c r="AR155">
        <v>6.0334782776902607</v>
      </c>
      <c r="AS155">
        <v>69.671625243854223</v>
      </c>
      <c r="AT155" t="e">
        <v>#DIV/0!</v>
      </c>
      <c r="AU155" t="e">
        <v>#DIV/0!</v>
      </c>
      <c r="AV155"/>
      <c r="AW155"/>
      <c r="AX155" s="151"/>
      <c r="AY155" s="76">
        <f t="shared" ca="1" si="169"/>
        <v>0.73848753975542358</v>
      </c>
      <c r="AZ155">
        <v>8</v>
      </c>
      <c r="BA155" s="129">
        <f t="shared" si="168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4"/>
        <v>0.98957621629824821</v>
      </c>
      <c r="CL155" s="179">
        <f t="shared" si="205"/>
        <v>8</v>
      </c>
      <c r="CM155" s="180">
        <f t="shared" si="206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0.13854109117085667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0</v>
      </c>
      <c r="DI155" s="161">
        <f t="shared" si="212"/>
        <v>0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0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</v>
      </c>
      <c r="ES155" s="139">
        <f t="shared" si="175"/>
        <v>0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0</v>
      </c>
      <c r="FV155" s="149"/>
      <c r="FY155" s="210">
        <v>150</v>
      </c>
      <c r="FZ155">
        <v>12.720853495819675</v>
      </c>
      <c r="GA155">
        <v>22.270242765265909</v>
      </c>
      <c r="GB155">
        <v>5.7012796508231229</v>
      </c>
      <c r="GC155">
        <v>1.2931944682445651</v>
      </c>
      <c r="GD155">
        <v>0.65715114009693387</v>
      </c>
      <c r="GE155">
        <v>1.5901701362337088</v>
      </c>
      <c r="GF155">
        <v>3.7026857921962844</v>
      </c>
      <c r="GG155">
        <v>3.304290077661876</v>
      </c>
      <c r="GH155">
        <v>3.2453344521757623</v>
      </c>
      <c r="GI155">
        <v>5.045339493235609</v>
      </c>
      <c r="GJ155"/>
      <c r="GK155"/>
      <c r="GL155"/>
      <c r="GM155"/>
    </row>
    <row r="156" spans="1:195" s="7" customFormat="1">
      <c r="A156" s="77"/>
      <c r="B156" s="76">
        <f ca="1">IF(C156="", "", RAND())</f>
        <v>0.71799429115819158</v>
      </c>
      <c r="C156">
        <v>10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33.621294015690566</v>
      </c>
      <c r="AO156">
        <v>10.670809843221116</v>
      </c>
      <c r="AP156">
        <v>113.96653822800246</v>
      </c>
      <c r="AQ156">
        <v>81.492292509046536</v>
      </c>
      <c r="AR156">
        <v>10.091525072093383</v>
      </c>
      <c r="AS156">
        <v>139.90810537343989</v>
      </c>
      <c r="AT156">
        <v>6.5568426661351538</v>
      </c>
      <c r="AU156">
        <v>38.085205274575017</v>
      </c>
      <c r="AV156"/>
      <c r="AW156"/>
      <c r="AX156" s="151"/>
      <c r="AY156" s="76">
        <f t="shared" ca="1" si="169"/>
        <v>0.46685287189711655</v>
      </c>
      <c r="AZ156">
        <v>9</v>
      </c>
      <c r="BA156" s="129">
        <f t="shared" si="168"/>
        <v>39847</v>
      </c>
      <c r="BB156">
        <v>0</v>
      </c>
      <c r="BC156"/>
      <c r="BD156"/>
      <c r="BE156">
        <v>2</v>
      </c>
      <c r="BF156">
        <v>1</v>
      </c>
      <c r="BG156"/>
      <c r="BH156"/>
      <c r="BI156">
        <v>1</v>
      </c>
      <c r="BJ156">
        <v>2</v>
      </c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4"/>
        <v>0.95632278871089049</v>
      </c>
      <c r="CL156" s="179">
        <f t="shared" si="205"/>
        <v>9</v>
      </c>
      <c r="CM156" s="180">
        <f t="shared" si="206"/>
        <v>39847</v>
      </c>
      <c r="CN156" s="220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0.40271155706731854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0</v>
      </c>
      <c r="DI156" s="161">
        <f t="shared" si="212"/>
        <v>20.833333333333332</v>
      </c>
      <c r="DJ156" s="161">
        <f t="shared" si="213"/>
        <v>10.416666666666666</v>
      </c>
      <c r="DK156" s="161">
        <f t="shared" si="214"/>
        <v>0</v>
      </c>
      <c r="DL156" s="161">
        <f t="shared" si="215"/>
        <v>0</v>
      </c>
      <c r="DM156" s="161">
        <f t="shared" si="216"/>
        <v>10.416666666666666</v>
      </c>
      <c r="DN156" s="161">
        <f t="shared" si="217"/>
        <v>20.833333333333332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62.5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0</v>
      </c>
      <c r="ES156" s="139">
        <f t="shared" si="175"/>
        <v>2.6470532787381016</v>
      </c>
      <c r="ET156" s="139">
        <f t="shared" si="176"/>
        <v>2.7865968212181813</v>
      </c>
      <c r="EU156" s="139">
        <f t="shared" si="177"/>
        <v>0</v>
      </c>
      <c r="EV156" s="139">
        <f t="shared" si="178"/>
        <v>0</v>
      </c>
      <c r="EW156" s="139">
        <f t="shared" si="179"/>
        <v>11.859233152039801</v>
      </c>
      <c r="EX156" s="139">
        <f t="shared" si="180"/>
        <v>33.509639972440958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50.802523224437039</v>
      </c>
      <c r="FV156" s="149"/>
      <c r="FY156" s="210">
        <v>151</v>
      </c>
      <c r="FZ156">
        <v>22.573792384699836</v>
      </c>
      <c r="GA156">
        <v>38.124610580907365</v>
      </c>
      <c r="GB156">
        <v>9.132964159127372</v>
      </c>
      <c r="GC156">
        <v>1.6465752738809196</v>
      </c>
      <c r="GD156">
        <v>0.46653551266552595</v>
      </c>
      <c r="GE156">
        <v>1.5881142822543635</v>
      </c>
      <c r="GF156">
        <v>3.4258341784950641</v>
      </c>
      <c r="GG156">
        <v>2.8920876848525836</v>
      </c>
      <c r="GH156">
        <v>4.411247088393397</v>
      </c>
      <c r="GI156">
        <v>7.3310508288873315</v>
      </c>
      <c r="GJ156"/>
      <c r="GK156"/>
      <c r="GL156"/>
      <c r="GM156"/>
    </row>
    <row r="157" spans="1:195" s="7" customFormat="1">
      <c r="A157" s="77"/>
      <c r="B157" s="76">
        <f ca="1">IF(C157="", "", RAND())</f>
        <v>0.35842374866324911</v>
      </c>
      <c r="C157">
        <v>5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35.612333515781778</v>
      </c>
      <c r="AO157">
        <v>10.454039131399506</v>
      </c>
      <c r="AP157">
        <v>112.28225944651169</v>
      </c>
      <c r="AQ157">
        <v>82.483748586119944</v>
      </c>
      <c r="AR157">
        <v>10.00917081685281</v>
      </c>
      <c r="AS157">
        <v>139.64158172161515</v>
      </c>
      <c r="AT157" t="e">
        <v>#DIV/0!</v>
      </c>
      <c r="AU157" t="e">
        <v>#DIV/0!</v>
      </c>
      <c r="AV157"/>
      <c r="AW157"/>
      <c r="AX157" s="151"/>
      <c r="AY157" s="76">
        <f t="shared" ca="1" si="169"/>
        <v>0.74444979401013156</v>
      </c>
      <c r="AZ157">
        <v>10</v>
      </c>
      <c r="BA157" s="129">
        <f t="shared" si="168"/>
        <v>39847</v>
      </c>
      <c r="BB157">
        <v>0</v>
      </c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4"/>
        <v>0.91593776375225744</v>
      </c>
      <c r="CL157" s="179">
        <f t="shared" si="205"/>
        <v>10</v>
      </c>
      <c r="CM157" s="180">
        <f t="shared" si="206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0.48195309489460403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0</v>
      </c>
      <c r="DK157" s="161">
        <f t="shared" si="214"/>
        <v>0</v>
      </c>
      <c r="DL157" s="161">
        <f t="shared" si="215"/>
        <v>0</v>
      </c>
      <c r="DM157" s="161">
        <f t="shared" si="216"/>
        <v>0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0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0</v>
      </c>
      <c r="EU157" s="139">
        <f t="shared" si="177"/>
        <v>0</v>
      </c>
      <c r="EV157" s="139">
        <f t="shared" si="178"/>
        <v>0</v>
      </c>
      <c r="EW157" s="139">
        <f t="shared" si="179"/>
        <v>0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0</v>
      </c>
      <c r="FV157" s="149"/>
      <c r="FY157" s="210">
        <v>152</v>
      </c>
      <c r="FZ157">
        <v>6.665175691519349</v>
      </c>
      <c r="GA157">
        <v>16.500864601582705</v>
      </c>
      <c r="GB157">
        <v>9.4268663717495862</v>
      </c>
      <c r="GC157">
        <v>2.5211356132983496</v>
      </c>
      <c r="GD157">
        <v>0.67773168685918028</v>
      </c>
      <c r="GE157">
        <v>1.3138790189380618</v>
      </c>
      <c r="GF157">
        <v>3.4798578597998393</v>
      </c>
      <c r="GG157">
        <v>2.0095690311005177</v>
      </c>
      <c r="GH157">
        <v>1.1055959558640902</v>
      </c>
      <c r="GI157">
        <v>4.6746752423305695</v>
      </c>
      <c r="GJ157"/>
      <c r="GK157"/>
      <c r="GL157"/>
      <c r="GM157"/>
    </row>
    <row r="158" spans="1:195" s="7" customFormat="1">
      <c r="A158" s="128"/>
      <c r="B158" s="76">
        <f ca="1">IF(C158="", "", RAND())</f>
        <v>0.46153567965167586</v>
      </c>
      <c r="C158">
        <v>1</v>
      </c>
      <c r="D158">
        <v>39910</v>
      </c>
      <c r="E158">
        <v>0</v>
      </c>
      <c r="F158">
        <v>0</v>
      </c>
      <c r="G158">
        <v>0</v>
      </c>
      <c r="H158">
        <v>10.416666666666666</v>
      </c>
      <c r="I158">
        <v>20.833333333333332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24.553851372924647</v>
      </c>
      <c r="AO158">
        <v>7.8509534014059188</v>
      </c>
      <c r="AP158">
        <v>71.924603232689776</v>
      </c>
      <c r="AQ158">
        <v>51.715177087139459</v>
      </c>
      <c r="AR158">
        <v>7.5327287154914471</v>
      </c>
      <c r="AS158">
        <v>94.783857543643578</v>
      </c>
      <c r="AT158" t="e">
        <v>#DIV/0!</v>
      </c>
      <c r="AU158" t="e">
        <v>#DIV/0!</v>
      </c>
      <c r="AV158"/>
      <c r="AW158"/>
      <c r="AX158" s="128"/>
      <c r="AY158" s="76">
        <f t="shared" ca="1" si="169"/>
        <v>0.47485593615513116</v>
      </c>
      <c r="AZ158">
        <v>1</v>
      </c>
      <c r="BA158" s="129">
        <f>IF(AZ158="", "",$C$11)</f>
        <v>39910</v>
      </c>
      <c r="BB158">
        <v>0</v>
      </c>
      <c r="BC158"/>
      <c r="BD158"/>
      <c r="BE158">
        <v>1</v>
      </c>
      <c r="BF158">
        <v>2</v>
      </c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4"/>
        <v>0.35007350091680856</v>
      </c>
      <c r="CL158" s="179">
        <f t="shared" si="205"/>
        <v>1</v>
      </c>
      <c r="CM158" s="180">
        <f t="shared" si="206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0.71360306257969164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10.416666666666666</v>
      </c>
      <c r="DJ158" s="161">
        <f t="shared" si="213"/>
        <v>20.833333333333332</v>
      </c>
      <c r="DK158" s="161">
        <f t="shared" si="214"/>
        <v>0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31.25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1.3235266393690508</v>
      </c>
      <c r="ET158" s="139">
        <f t="shared" si="176"/>
        <v>5.5731936424363626</v>
      </c>
      <c r="EU158" s="139">
        <f t="shared" si="177"/>
        <v>0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6.896720281805413</v>
      </c>
      <c r="FV158" s="149"/>
      <c r="FY158" s="210">
        <v>153</v>
      </c>
      <c r="FZ158">
        <v>39.048088095596853</v>
      </c>
      <c r="GA158">
        <v>56.332431015264561</v>
      </c>
      <c r="GB158">
        <v>8.0066293394367847</v>
      </c>
      <c r="GC158">
        <v>2.0341279325054065</v>
      </c>
      <c r="GD158">
        <v>0.88922385600174192</v>
      </c>
      <c r="GE158">
        <v>0.14225726660651461</v>
      </c>
      <c r="GF158">
        <v>4.2608303889643402</v>
      </c>
      <c r="GG158">
        <v>7.0297574471841671</v>
      </c>
      <c r="GH158">
        <v>4.4223838234563608</v>
      </c>
      <c r="GI158">
        <v>9.9951287460169933</v>
      </c>
      <c r="GJ158"/>
      <c r="GK158"/>
      <c r="GL158"/>
      <c r="GM158"/>
    </row>
    <row r="159" spans="1:195" s="7" customFormat="1">
      <c r="A159" s="1"/>
      <c r="B159" s="76">
        <f ca="1">IF(C159="", "", RAND())</f>
        <v>0.60861805177725325</v>
      </c>
      <c r="C159">
        <v>4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21.843783068783072</v>
      </c>
      <c r="AO159">
        <v>8.0108559362140479</v>
      </c>
      <c r="AP159">
        <v>74.259058900833367</v>
      </c>
      <c r="AQ159">
        <v>53.610224645958866</v>
      </c>
      <c r="AR159">
        <v>7.7850794273464672</v>
      </c>
      <c r="AS159">
        <v>103.1105242837651</v>
      </c>
      <c r="AT159">
        <v>5.4660844628960303</v>
      </c>
      <c r="AU159">
        <v>6.0088831846896191</v>
      </c>
      <c r="AV159"/>
      <c r="AW159"/>
      <c r="AX159" s="146"/>
      <c r="AY159" s="76">
        <f t="shared" ca="1" si="169"/>
        <v>0.28023617773889153</v>
      </c>
      <c r="AZ159">
        <v>2</v>
      </c>
      <c r="BA159" s="129">
        <f t="shared" ref="BA159:BA167" si="241">IF(AZ159="", "",$C$11)</f>
        <v>39910</v>
      </c>
      <c r="BB159">
        <v>0</v>
      </c>
      <c r="BC159"/>
      <c r="BD159"/>
      <c r="BE159"/>
      <c r="BF159">
        <v>2</v>
      </c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4"/>
        <v>0.37668414365233627</v>
      </c>
      <c r="CL159" s="179">
        <f t="shared" si="205"/>
        <v>2</v>
      </c>
      <c r="CM159" s="180">
        <f t="shared" si="206"/>
        <v>39910</v>
      </c>
      <c r="CN159" s="221">
        <v>0</v>
      </c>
      <c r="CO159" s="221"/>
      <c r="CP159" s="221"/>
      <c r="CQ159" s="221"/>
      <c r="CR159" s="221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0.4811006800373141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0</v>
      </c>
      <c r="DH159" s="161">
        <f t="shared" si="211"/>
        <v>0</v>
      </c>
      <c r="DI159" s="161">
        <f t="shared" si="212"/>
        <v>0</v>
      </c>
      <c r="DJ159" s="161">
        <f t="shared" si="213"/>
        <v>20.833333333333332</v>
      </c>
      <c r="DK159" s="161">
        <f t="shared" si="214"/>
        <v>0</v>
      </c>
      <c r="DL159" s="161">
        <f t="shared" si="215"/>
        <v>0</v>
      </c>
      <c r="DM159" s="161">
        <f t="shared" si="216"/>
        <v>0</v>
      </c>
      <c r="DN159" s="161">
        <f t="shared" si="217"/>
        <v>0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20.833333333333332</v>
      </c>
      <c r="EL159" s="149"/>
      <c r="EN159" s="146"/>
      <c r="EO159" s="146"/>
      <c r="EP159" s="139">
        <f t="shared" si="172"/>
        <v>0</v>
      </c>
      <c r="EQ159" s="139">
        <f t="shared" si="173"/>
        <v>0</v>
      </c>
      <c r="ER159" s="139">
        <f t="shared" si="174"/>
        <v>0</v>
      </c>
      <c r="ES159" s="139">
        <f t="shared" si="175"/>
        <v>0</v>
      </c>
      <c r="ET159" s="139">
        <f t="shared" si="176"/>
        <v>5.5731936424363626</v>
      </c>
      <c r="EU159" s="139">
        <f t="shared" si="177"/>
        <v>0</v>
      </c>
      <c r="EV159" s="139">
        <f t="shared" si="178"/>
        <v>0</v>
      </c>
      <c r="EW159" s="139">
        <f t="shared" si="179"/>
        <v>0</v>
      </c>
      <c r="EX159" s="139">
        <f t="shared" si="180"/>
        <v>0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5.5731936424363626</v>
      </c>
      <c r="FV159" s="149"/>
      <c r="FY159" s="210">
        <v>154</v>
      </c>
      <c r="FZ159">
        <v>21.942226460015647</v>
      </c>
      <c r="GA159">
        <v>52.178784926477441</v>
      </c>
      <c r="GB159">
        <v>17.851743326868391</v>
      </c>
      <c r="GC159">
        <v>2.7790701877314499</v>
      </c>
      <c r="GD159">
        <v>0.8037355429056835</v>
      </c>
      <c r="GE159">
        <v>3.0360271518815578</v>
      </c>
      <c r="GF159">
        <v>6.8516683569901282</v>
      </c>
      <c r="GG159">
        <v>2.4060132533074001</v>
      </c>
      <c r="GH159">
        <v>0</v>
      </c>
      <c r="GI159">
        <v>9.7040501671740902</v>
      </c>
      <c r="GJ159"/>
      <c r="GK159"/>
      <c r="GL159"/>
      <c r="GM159"/>
    </row>
    <row r="160" spans="1:195" s="7" customFormat="1">
      <c r="A160" s="1"/>
      <c r="B160" s="76">
        <f ca="1">IF(C160="", "", RAND())</f>
        <v>0.51628111769649543</v>
      </c>
      <c r="C160">
        <v>5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42.504580026455017</v>
      </c>
      <c r="AO160">
        <v>11.998855702972788</v>
      </c>
      <c r="AP160">
        <v>130.00022679426073</v>
      </c>
      <c r="AQ160">
        <v>97.931281782617191</v>
      </c>
      <c r="AR160">
        <v>11.162613253108386</v>
      </c>
      <c r="AS160">
        <v>150.77137043638123</v>
      </c>
      <c r="AT160">
        <v>7.172400933463269</v>
      </c>
      <c r="AU160">
        <v>87.210878272756204</v>
      </c>
      <c r="AV160"/>
      <c r="AW160"/>
      <c r="AX160" s="146"/>
      <c r="AY160" s="76">
        <f t="shared" ca="1" si="169"/>
        <v>0.98951468140347298</v>
      </c>
      <c r="AZ160">
        <v>3</v>
      </c>
      <c r="BA160" s="129">
        <f t="shared" si="241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4"/>
        <v>0.36798674891309102</v>
      </c>
      <c r="CL160" s="179">
        <f t="shared" si="205"/>
        <v>3</v>
      </c>
      <c r="CM160" s="180">
        <f t="shared" si="206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0.96530076604691217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0</v>
      </c>
      <c r="DJ160" s="161">
        <f t="shared" si="213"/>
        <v>0</v>
      </c>
      <c r="DK160" s="161">
        <f t="shared" si="214"/>
        <v>0</v>
      </c>
      <c r="DL160" s="161">
        <f t="shared" si="215"/>
        <v>0</v>
      </c>
      <c r="DM160" s="161">
        <f t="shared" si="216"/>
        <v>0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0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0</v>
      </c>
      <c r="ET160" s="139">
        <f t="shared" si="176"/>
        <v>0</v>
      </c>
      <c r="EU160" s="139">
        <f t="shared" si="177"/>
        <v>0</v>
      </c>
      <c r="EV160" s="139">
        <f t="shared" si="178"/>
        <v>0</v>
      </c>
      <c r="EW160" s="139">
        <f t="shared" si="179"/>
        <v>0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0</v>
      </c>
      <c r="FV160" s="149"/>
      <c r="FY160" s="210">
        <v>155</v>
      </c>
      <c r="FZ160">
        <v>14.503898222392799</v>
      </c>
      <c r="GA160">
        <v>18.171159063866639</v>
      </c>
      <c r="GB160">
        <v>4.8546437129009519</v>
      </c>
      <c r="GC160">
        <v>1.7843228791195058</v>
      </c>
      <c r="GD160">
        <v>0.67590510810201809</v>
      </c>
      <c r="GE160">
        <v>0.14020141262716906</v>
      </c>
      <c r="GF160">
        <v>1.7948730870128506</v>
      </c>
      <c r="GG160">
        <v>1.8103639244986538</v>
      </c>
      <c r="GH160">
        <v>2.2000551766652161</v>
      </c>
      <c r="GI160">
        <v>4.4655689375836687</v>
      </c>
      <c r="GJ160"/>
      <c r="GK160"/>
      <c r="GL160"/>
      <c r="GM160"/>
    </row>
    <row r="161" spans="1:195" s="7" customFormat="1">
      <c r="A161" s="1"/>
      <c r="B161" s="76">
        <f ca="1">IF(C161="", "", RAND())</f>
        <v>0.66083012690911724</v>
      </c>
      <c r="C161">
        <v>9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32.621592775041059</v>
      </c>
      <c r="AO161">
        <v>10.908702871669819</v>
      </c>
      <c r="AP161">
        <v>120.14955586161176</v>
      </c>
      <c r="AQ161">
        <v>84.184366200816768</v>
      </c>
      <c r="AR161">
        <v>10.320887638938597</v>
      </c>
      <c r="AS161">
        <v>139.72781845896569</v>
      </c>
      <c r="AT161" t="e">
        <v>#DIV/0!</v>
      </c>
      <c r="AU161" t="e">
        <v>#DIV/0!</v>
      </c>
      <c r="AV161"/>
      <c r="AW161"/>
      <c r="AX161" s="146"/>
      <c r="AY161" s="76">
        <f t="shared" ca="1" si="169"/>
        <v>0.8431391755570683</v>
      </c>
      <c r="AZ161">
        <v>4</v>
      </c>
      <c r="BA161" s="129">
        <f t="shared" si="241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4"/>
        <v>0.71209149023929275</v>
      </c>
      <c r="CL161" s="179">
        <f t="shared" si="205"/>
        <v>4</v>
      </c>
      <c r="CM161" s="180">
        <f t="shared" si="206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0.93578451405423912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0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0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</v>
      </c>
      <c r="FV161" s="149"/>
      <c r="FY161" s="210">
        <v>156</v>
      </c>
      <c r="FZ161">
        <v>16.404775427364079</v>
      </c>
      <c r="GA161">
        <v>32.950220704141614</v>
      </c>
      <c r="GB161">
        <v>10.651517928603017</v>
      </c>
      <c r="GC161">
        <v>1.8517089369328588</v>
      </c>
      <c r="GD161">
        <v>0.67359761488875913</v>
      </c>
      <c r="GE161">
        <v>2.6195346219587416</v>
      </c>
      <c r="GF161">
        <v>9.3970409764405503</v>
      </c>
      <c r="GG161">
        <v>5.5711112959331857</v>
      </c>
      <c r="GH161">
        <v>2.4979613106162235</v>
      </c>
      <c r="GI161">
        <v>7.9084666450780929</v>
      </c>
      <c r="GJ161"/>
      <c r="GK161"/>
      <c r="GL161"/>
      <c r="GM161"/>
    </row>
    <row r="162" spans="1:195" s="7" customFormat="1">
      <c r="A162" s="1"/>
      <c r="B162" s="76">
        <f ca="1">IF(C162="", "", RAND())</f>
        <v>0.59289942821353314</v>
      </c>
      <c r="C162">
        <v>7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38.400907110928664</v>
      </c>
      <c r="AO162">
        <v>10.71565626833789</v>
      </c>
      <c r="AP162">
        <v>107.15604956334839</v>
      </c>
      <c r="AQ162">
        <v>80.100998984507825</v>
      </c>
      <c r="AR162">
        <v>10.25107456704427</v>
      </c>
      <c r="AS162">
        <v>137.16221458151051</v>
      </c>
      <c r="AT162">
        <v>6.8365855162744866</v>
      </c>
      <c r="AU162">
        <v>52.90142348498636</v>
      </c>
      <c r="AV162"/>
      <c r="AW162"/>
      <c r="AX162" s="146"/>
      <c r="AY162" s="76">
        <f t="shared" ca="1" si="169"/>
        <v>9.2166846873569686E-2</v>
      </c>
      <c r="AZ162">
        <v>5</v>
      </c>
      <c r="BA162" s="129">
        <f t="shared" si="241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4"/>
        <v>8.5638785898999537E-2</v>
      </c>
      <c r="CL162" s="179">
        <f t="shared" si="205"/>
        <v>5</v>
      </c>
      <c r="CM162" s="180">
        <f t="shared" si="206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0.7535783658147448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0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0</v>
      </c>
      <c r="FV162" s="149"/>
      <c r="FY162" s="210">
        <v>157</v>
      </c>
      <c r="FZ162">
        <v>21.466368007079634</v>
      </c>
      <c r="GA162">
        <v>42.493653421955649</v>
      </c>
      <c r="GB162">
        <v>10.032293039795272</v>
      </c>
      <c r="GC162">
        <v>2.245837013957392</v>
      </c>
      <c r="GD162">
        <v>1.293659607109501</v>
      </c>
      <c r="GE162">
        <v>2.6174787679793958</v>
      </c>
      <c r="GF162">
        <v>7.7806213506113524</v>
      </c>
      <c r="GG162">
        <v>3.272993489751284</v>
      </c>
      <c r="GH162">
        <v>0.69618267737606665</v>
      </c>
      <c r="GI162">
        <v>8.2660869623241933</v>
      </c>
      <c r="GJ162"/>
      <c r="GK162"/>
      <c r="GL162"/>
      <c r="GM162"/>
    </row>
    <row r="163" spans="1:195" s="7" customFormat="1">
      <c r="A163" s="1"/>
      <c r="B163" s="76">
        <f ca="1">IF(C163="", "", RAND())</f>
        <v>0.6066286424263283</v>
      </c>
      <c r="C163">
        <v>8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38.175395685093946</v>
      </c>
      <c r="AO163">
        <v>12.042357646887952</v>
      </c>
      <c r="AP163">
        <v>126.7659076295876</v>
      </c>
      <c r="AQ163">
        <v>90.457325066447737</v>
      </c>
      <c r="AR163">
        <v>11.427792585116043</v>
      </c>
      <c r="AS163">
        <v>158.54504824244898</v>
      </c>
      <c r="AT163">
        <v>7.3974320593895442</v>
      </c>
      <c r="AU163">
        <v>32.308421783630827</v>
      </c>
      <c r="AV163"/>
      <c r="AW163"/>
      <c r="AX163" s="146"/>
      <c r="AY163" s="76">
        <f t="shared" ca="1" si="169"/>
        <v>0.34934796310003957</v>
      </c>
      <c r="AZ163">
        <v>6</v>
      </c>
      <c r="BA163" s="129">
        <f t="shared" si="241"/>
        <v>39910</v>
      </c>
      <c r="BB163">
        <v>0</v>
      </c>
      <c r="BC163"/>
      <c r="BD163"/>
      <c r="BE163"/>
      <c r="BF163"/>
      <c r="BG163"/>
      <c r="BH163"/>
      <c r="BI163"/>
      <c r="BJ163">
        <v>2</v>
      </c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4"/>
        <v>0.81995916198689045</v>
      </c>
      <c r="CL163" s="179">
        <f t="shared" si="205"/>
        <v>6</v>
      </c>
      <c r="CM163" s="180">
        <f t="shared" si="206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0.64477492697834138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0</v>
      </c>
      <c r="DK163" s="161">
        <f t="shared" si="214"/>
        <v>0</v>
      </c>
      <c r="DL163" s="161">
        <f t="shared" si="215"/>
        <v>0</v>
      </c>
      <c r="DM163" s="161">
        <f t="shared" si="216"/>
        <v>0</v>
      </c>
      <c r="DN163" s="161">
        <f t="shared" si="217"/>
        <v>20.833333333333332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20.833333333333332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0</v>
      </c>
      <c r="EU163" s="139">
        <f t="shared" si="177"/>
        <v>0</v>
      </c>
      <c r="EV163" s="139">
        <f t="shared" si="178"/>
        <v>0</v>
      </c>
      <c r="EW163" s="139">
        <f t="shared" si="179"/>
        <v>0</v>
      </c>
      <c r="EX163" s="139">
        <f t="shared" si="180"/>
        <v>33.509639972440958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33.509639972440958</v>
      </c>
      <c r="FV163" s="149"/>
      <c r="FY163" s="210">
        <v>158</v>
      </c>
      <c r="FZ163">
        <v>3.8213279800416662</v>
      </c>
      <c r="GA163">
        <v>30.085804423694981</v>
      </c>
      <c r="GB163">
        <v>15.122198625969133</v>
      </c>
      <c r="GC163">
        <v>1.8517855383518094</v>
      </c>
      <c r="GD163">
        <v>0.82223216007187316</v>
      </c>
      <c r="GE163">
        <v>1.3097673109793708</v>
      </c>
      <c r="GF163">
        <v>8.3387659473794109</v>
      </c>
      <c r="GG163">
        <v>5.8194310259272015</v>
      </c>
      <c r="GH163">
        <v>1.973602458130717</v>
      </c>
      <c r="GI163">
        <v>7.0462487664926075</v>
      </c>
      <c r="GJ163"/>
      <c r="GK163"/>
      <c r="GL163"/>
      <c r="GM163"/>
    </row>
    <row r="164" spans="1:195" s="7" customFormat="1">
      <c r="A164" s="1"/>
      <c r="B164" s="76">
        <f ca="1">IF(C164="", "", RAND())</f>
        <v>0.77307015538176937</v>
      </c>
      <c r="C164">
        <v>3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22.535217113665386</v>
      </c>
      <c r="AO164">
        <v>9.5779970390264602</v>
      </c>
      <c r="AP164">
        <v>98.237675073294326</v>
      </c>
      <c r="AQ164">
        <v>65.964237730754206</v>
      </c>
      <c r="AR164">
        <v>9.1361128930651283</v>
      </c>
      <c r="AS164">
        <v>97.767747681111786</v>
      </c>
      <c r="AT164" t="e">
        <v>#DIV/0!</v>
      </c>
      <c r="AU164" t="e">
        <v>#DIV/0!</v>
      </c>
      <c r="AV164"/>
      <c r="AW164"/>
      <c r="AX164" s="146"/>
      <c r="AY164" s="76">
        <f t="shared" ca="1" si="169"/>
        <v>0.77510192999974192</v>
      </c>
      <c r="AZ164">
        <v>7</v>
      </c>
      <c r="BA164" s="129">
        <f t="shared" si="241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4"/>
        <v>0.97470004621351114</v>
      </c>
      <c r="CL164" s="179">
        <f t="shared" si="205"/>
        <v>7</v>
      </c>
      <c r="CM164" s="180">
        <f t="shared" si="206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0.92206047034420413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0">
        <v>159</v>
      </c>
      <c r="FZ164">
        <v>50.982246372825479</v>
      </c>
      <c r="GA164">
        <v>74.973444833782423</v>
      </c>
      <c r="GB164">
        <v>12.664150756786217</v>
      </c>
      <c r="GC164">
        <v>2.3524296091432291</v>
      </c>
      <c r="GD164">
        <v>0.53458115981300858</v>
      </c>
      <c r="GE164">
        <v>0</v>
      </c>
      <c r="GF164">
        <v>4.0380024565678951</v>
      </c>
      <c r="GG164">
        <v>3.7964745756524119</v>
      </c>
      <c r="GH164">
        <v>1.1624742067571674</v>
      </c>
      <c r="GI164">
        <v>12.191474840016289</v>
      </c>
      <c r="GJ164"/>
      <c r="GK164"/>
      <c r="GL164"/>
      <c r="GM164"/>
    </row>
    <row r="165" spans="1:195" s="7" customFormat="1">
      <c r="A165" s="1"/>
      <c r="B165" s="76">
        <f ca="1">IF(C165="", "", RAND())</f>
        <v>5.8635615020595111E-2</v>
      </c>
      <c r="C165">
        <v>2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20.833333333333332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22.164663724685276</v>
      </c>
      <c r="AO165">
        <v>7.859383473195912</v>
      </c>
      <c r="AP165">
        <v>78.555985170158323</v>
      </c>
      <c r="AQ165">
        <v>54.902091624873194</v>
      </c>
      <c r="AR165">
        <v>7.7621020380183019</v>
      </c>
      <c r="AS165">
        <v>122.7040785653036</v>
      </c>
      <c r="AT165">
        <v>5.1491452214177036</v>
      </c>
      <c r="AU165">
        <v>3.2914294061044309</v>
      </c>
      <c r="AV165"/>
      <c r="AW165"/>
      <c r="AX165" s="146"/>
      <c r="AY165" s="76">
        <f t="shared" ca="1" si="169"/>
        <v>0.9535653189317792</v>
      </c>
      <c r="AZ165">
        <v>8</v>
      </c>
      <c r="BA165" s="129">
        <f t="shared" si="241"/>
        <v>39910</v>
      </c>
      <c r="BB165">
        <v>0</v>
      </c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4"/>
        <v>0.27402508737821107</v>
      </c>
      <c r="CL165" s="179">
        <f t="shared" si="205"/>
        <v>8</v>
      </c>
      <c r="CM165" s="180">
        <f t="shared" si="206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0.63672502931556263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0</v>
      </c>
      <c r="DJ165" s="161">
        <f t="shared" si="213"/>
        <v>0</v>
      </c>
      <c r="DK165" s="161">
        <f t="shared" si="214"/>
        <v>0</v>
      </c>
      <c r="DL165" s="161">
        <f t="shared" si="215"/>
        <v>0</v>
      </c>
      <c r="DM165" s="161">
        <f t="shared" si="216"/>
        <v>0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0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</v>
      </c>
      <c r="ET165" s="139">
        <f t="shared" si="176"/>
        <v>0</v>
      </c>
      <c r="EU165" s="139">
        <f t="shared" si="177"/>
        <v>0</v>
      </c>
      <c r="EV165" s="139">
        <f t="shared" si="178"/>
        <v>0</v>
      </c>
      <c r="EW165" s="139">
        <f t="shared" si="179"/>
        <v>0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0</v>
      </c>
      <c r="FV165" s="149"/>
      <c r="FY165" s="210">
        <v>160</v>
      </c>
      <c r="FZ165">
        <v>6.3855418638026524</v>
      </c>
      <c r="GA165">
        <v>22.451727920066297</v>
      </c>
      <c r="GB165">
        <v>10.847031624523707</v>
      </c>
      <c r="GC165">
        <v>1.7413502200455984</v>
      </c>
      <c r="GD165">
        <v>0.72943247724135629</v>
      </c>
      <c r="GE165">
        <v>2.0558539793455489E-3</v>
      </c>
      <c r="GF165">
        <v>0.55370322740244005</v>
      </c>
      <c r="GG165">
        <v>1.2439026273409342</v>
      </c>
      <c r="GH165">
        <v>2.3830157366187406</v>
      </c>
      <c r="GI165">
        <v>4.7073281483378819</v>
      </c>
      <c r="GJ165"/>
      <c r="GK165"/>
      <c r="GL165"/>
      <c r="GM165"/>
    </row>
    <row r="166" spans="1:195" s="7" customFormat="1">
      <c r="A166" s="1"/>
      <c r="B166" s="76">
        <f ca="1">IF(C166="", "", RAND())</f>
        <v>0.35769499486794953</v>
      </c>
      <c r="C166">
        <v>10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10.416666666666666</v>
      </c>
      <c r="L166">
        <v>10.416666666666666</v>
      </c>
      <c r="M166">
        <v>10.416666666666666</v>
      </c>
      <c r="N166">
        <v>10.416666666666666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29.717558383506656</v>
      </c>
      <c r="AO166">
        <v>7.6868296840220465</v>
      </c>
      <c r="AP166">
        <v>78.584602977683247</v>
      </c>
      <c r="AQ166">
        <v>59.530541471753452</v>
      </c>
      <c r="AR166">
        <v>7.2522078961686178</v>
      </c>
      <c r="AS166">
        <v>92.231183443092533</v>
      </c>
      <c r="AT166">
        <v>4.5981217351944679</v>
      </c>
      <c r="AU166">
        <v>33.352682528401097</v>
      </c>
      <c r="AV166"/>
      <c r="AW166"/>
      <c r="AX166" s="146"/>
      <c r="AY166" s="76">
        <f t="shared" ca="1" si="169"/>
        <v>0.2861144696203195</v>
      </c>
      <c r="AZ166">
        <v>9</v>
      </c>
      <c r="BA166" s="129">
        <f t="shared" si="241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4"/>
        <v>0.14928608447051062</v>
      </c>
      <c r="CL166" s="179">
        <f t="shared" si="205"/>
        <v>9</v>
      </c>
      <c r="CM166" s="180">
        <f t="shared" si="206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0.72273900013061776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0</v>
      </c>
      <c r="DI166" s="161">
        <f t="shared" si="212"/>
        <v>0</v>
      </c>
      <c r="DJ166" s="161">
        <f t="shared" si="213"/>
        <v>0</v>
      </c>
      <c r="DK166" s="161">
        <f t="shared" si="214"/>
        <v>0</v>
      </c>
      <c r="DL166" s="161">
        <f t="shared" si="215"/>
        <v>0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0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0</v>
      </c>
      <c r="ES166" s="139">
        <f t="shared" si="175"/>
        <v>0</v>
      </c>
      <c r="ET166" s="139">
        <f t="shared" si="176"/>
        <v>0</v>
      </c>
      <c r="EU166" s="139">
        <f t="shared" si="177"/>
        <v>0</v>
      </c>
      <c r="EV166" s="139">
        <f t="shared" si="178"/>
        <v>0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0</v>
      </c>
      <c r="FV166" s="149"/>
      <c r="FY166" s="210">
        <v>161</v>
      </c>
      <c r="FZ166">
        <v>34.933256797524869</v>
      </c>
      <c r="GA166">
        <v>48.107327191019365</v>
      </c>
      <c r="GB166">
        <v>9.3995834680152548</v>
      </c>
      <c r="GC166">
        <v>2.6471665211449076</v>
      </c>
      <c r="GD166">
        <v>0.63987968450967103</v>
      </c>
      <c r="GE166">
        <v>1.3118231649587164</v>
      </c>
      <c r="GF166">
        <v>6.9451742539466599</v>
      </c>
      <c r="GG166">
        <v>4.4760001164049843</v>
      </c>
      <c r="GH166">
        <v>1.2774197807546503</v>
      </c>
      <c r="GI166">
        <v>9.5593003241048802</v>
      </c>
      <c r="GJ166"/>
      <c r="GK166"/>
      <c r="GL166"/>
      <c r="GM166"/>
    </row>
    <row r="167" spans="1:195" s="7" customFormat="1">
      <c r="A167" s="1"/>
      <c r="B167" s="76">
        <f ca="1">IF(C167="", "", RAND())</f>
        <v>0.51400733791244524</v>
      </c>
      <c r="C167">
        <v>6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20.833333333333332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47.072336822660091</v>
      </c>
      <c r="AO167">
        <v>10.87832014305369</v>
      </c>
      <c r="AP167">
        <v>116.48543615501225</v>
      </c>
      <c r="AQ167">
        <v>91.592811974163752</v>
      </c>
      <c r="AR167">
        <v>10.369882333942487</v>
      </c>
      <c r="AS167">
        <v>134.73947115805049</v>
      </c>
      <c r="AT167">
        <v>6.8370123118427664</v>
      </c>
      <c r="AU167">
        <v>36.847497531138174</v>
      </c>
      <c r="AV167"/>
      <c r="AW167"/>
      <c r="AX167" s="146"/>
      <c r="AY167" s="76">
        <f t="shared" ca="1" si="169"/>
        <v>0.52098989358971814</v>
      </c>
      <c r="AZ167">
        <v>10</v>
      </c>
      <c r="BA167" s="129">
        <f t="shared" si="241"/>
        <v>39910</v>
      </c>
      <c r="BB167">
        <v>0</v>
      </c>
      <c r="BC167"/>
      <c r="BD167"/>
      <c r="BE167"/>
      <c r="BF167"/>
      <c r="BG167"/>
      <c r="BH167">
        <v>1</v>
      </c>
      <c r="BI167">
        <v>1</v>
      </c>
      <c r="BJ167">
        <v>1</v>
      </c>
      <c r="BK167">
        <v>1</v>
      </c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4"/>
        <v>0.1246833340661162</v>
      </c>
      <c r="CL167" s="179">
        <f t="shared" si="205"/>
        <v>10</v>
      </c>
      <c r="CM167" s="180">
        <f t="shared" si="206"/>
        <v>39910</v>
      </c>
      <c r="CN167" s="222">
        <v>0</v>
      </c>
      <c r="CO167" s="222"/>
      <c r="CP167" s="222"/>
      <c r="CQ167" s="222"/>
      <c r="CR167" s="222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0.9552447349024753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0</v>
      </c>
      <c r="DI167" s="161">
        <f t="shared" si="212"/>
        <v>0</v>
      </c>
      <c r="DJ167" s="161">
        <f t="shared" si="213"/>
        <v>0</v>
      </c>
      <c r="DK167" s="161">
        <f t="shared" si="214"/>
        <v>0</v>
      </c>
      <c r="DL167" s="161">
        <f t="shared" si="215"/>
        <v>10.416666666666666</v>
      </c>
      <c r="DM167" s="161">
        <f t="shared" si="216"/>
        <v>10.416666666666666</v>
      </c>
      <c r="DN167" s="161">
        <f t="shared" si="217"/>
        <v>10.416666666666666</v>
      </c>
      <c r="DO167" s="161">
        <f t="shared" si="218"/>
        <v>10.416666666666666</v>
      </c>
      <c r="DP167" s="161">
        <f t="shared" si="219"/>
        <v>0</v>
      </c>
      <c r="DQ167" s="161">
        <f t="shared" si="220"/>
        <v>0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41.666666666666664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0</v>
      </c>
      <c r="ES167" s="139">
        <f t="shared" si="175"/>
        <v>0</v>
      </c>
      <c r="ET167" s="139">
        <f t="shared" si="176"/>
        <v>0</v>
      </c>
      <c r="EU167" s="139">
        <f t="shared" si="177"/>
        <v>0</v>
      </c>
      <c r="EV167" s="139">
        <f t="shared" si="178"/>
        <v>7.9578970379725193</v>
      </c>
      <c r="EW167" s="139">
        <f t="shared" si="179"/>
        <v>11.859233152039801</v>
      </c>
      <c r="EX167" s="139">
        <f t="shared" si="180"/>
        <v>16.754819986220479</v>
      </c>
      <c r="EY167" s="139">
        <f t="shared" si="181"/>
        <v>22.725973411283604</v>
      </c>
      <c r="EZ167" s="139">
        <f t="shared" si="182"/>
        <v>0</v>
      </c>
      <c r="FA167" s="139">
        <f t="shared" si="183"/>
        <v>0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59.297923587516408</v>
      </c>
      <c r="FV167" s="149"/>
      <c r="FY167" s="210">
        <v>162</v>
      </c>
      <c r="FZ167">
        <v>14.736876958016961</v>
      </c>
      <c r="GA167">
        <v>29.955313934533329</v>
      </c>
      <c r="GB167">
        <v>10.060298691416239</v>
      </c>
      <c r="GC167">
        <v>1.779050510136551</v>
      </c>
      <c r="GD167">
        <v>0.71578781321122342</v>
      </c>
      <c r="GE167">
        <v>1.5901701362337088</v>
      </c>
      <c r="GF167">
        <v>4.8290750820197985</v>
      </c>
      <c r="GG167">
        <v>3.0101253038054976</v>
      </c>
      <c r="GH167">
        <v>1.9567779363581475</v>
      </c>
      <c r="GI167">
        <v>6.5240862382624449</v>
      </c>
      <c r="GJ167"/>
      <c r="GK167"/>
      <c r="GL167"/>
      <c r="GM167"/>
    </row>
    <row r="168" spans="1:195" s="7" customFormat="1">
      <c r="A168" s="128"/>
      <c r="B168" s="76">
        <f ca="1">IF(C168="", "", RAND())</f>
        <v>7.9156987741265006E-2</v>
      </c>
      <c r="C168">
        <v>3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25.788043354314901</v>
      </c>
      <c r="AO168">
        <v>6.9244217069119784</v>
      </c>
      <c r="AP168">
        <v>66.8885022419054</v>
      </c>
      <c r="AQ168">
        <v>48.375351073042253</v>
      </c>
      <c r="AR168">
        <v>6.6571458664660605</v>
      </c>
      <c r="AS168">
        <v>91.264489067237989</v>
      </c>
      <c r="AT168" t="e">
        <v>#DIV/0!</v>
      </c>
      <c r="AU168" t="e">
        <v>#DIV/0!</v>
      </c>
      <c r="AV168"/>
      <c r="AW168"/>
      <c r="AX168" s="128"/>
      <c r="AY168" s="76">
        <f t="shared" ca="1" si="169"/>
        <v>0.11495509228577294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4"/>
        <v>0.3341062621015114</v>
      </c>
      <c r="CL168" s="179">
        <f t="shared" si="205"/>
        <v>1</v>
      </c>
      <c r="CM168" s="180">
        <f t="shared" si="206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0.56809368663855686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0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0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0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0</v>
      </c>
      <c r="FV168" s="149"/>
      <c r="FY168" s="210">
        <v>163</v>
      </c>
      <c r="FZ168">
        <v>4.8398815291273278</v>
      </c>
      <c r="GA168">
        <v>14.210874233695909</v>
      </c>
      <c r="GB168">
        <v>8.0494764002466628</v>
      </c>
      <c r="GC168">
        <v>1.6714706614355135</v>
      </c>
      <c r="GD168">
        <v>0.65676609351232074</v>
      </c>
      <c r="GE168">
        <v>2.8999374472130799</v>
      </c>
      <c r="GF168">
        <v>8.2706516866170343</v>
      </c>
      <c r="GG168">
        <v>3.9267142448191663</v>
      </c>
      <c r="GH168">
        <v>1.6188180732866324</v>
      </c>
      <c r="GI168">
        <v>5.1420252116902523</v>
      </c>
      <c r="GJ168"/>
      <c r="GK168"/>
      <c r="GL168"/>
      <c r="GM168"/>
    </row>
    <row r="169" spans="1:195" s="7" customFormat="1">
      <c r="A169" s="1"/>
      <c r="B169" s="76">
        <f ca="1">IF(C169="", "", RAND())</f>
        <v>0.4681428198132962</v>
      </c>
      <c r="C169">
        <v>10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72.358595602992168</v>
      </c>
      <c r="AO169">
        <v>15.297071880861051</v>
      </c>
      <c r="AP169">
        <v>165.67059077072656</v>
      </c>
      <c r="AQ169">
        <v>132.16085791103373</v>
      </c>
      <c r="AR169">
        <v>14.409387417214603</v>
      </c>
      <c r="AS169">
        <v>201.912077706406</v>
      </c>
      <c r="AT169" t="e">
        <v>#DIV/0!</v>
      </c>
      <c r="AU169" t="e">
        <v>#DIV/0!</v>
      </c>
      <c r="AV169"/>
      <c r="AW169"/>
      <c r="AX169" s="146"/>
      <c r="AY169" s="76">
        <f t="shared" ca="1" si="169"/>
        <v>0.21438005693733264</v>
      </c>
      <c r="AZ169">
        <v>2</v>
      </c>
      <c r="BA169" s="129">
        <f t="shared" ref="BA169:BA177" si="243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4"/>
        <v>0.24805138697792284</v>
      </c>
      <c r="CL169" s="179">
        <f t="shared" si="205"/>
        <v>2</v>
      </c>
      <c r="CM169" s="180">
        <f t="shared" si="206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0.67192616610837774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0</v>
      </c>
      <c r="DJ169" s="161">
        <f t="shared" si="213"/>
        <v>0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0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0</v>
      </c>
      <c r="ET169" s="139">
        <f t="shared" si="176"/>
        <v>0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0</v>
      </c>
      <c r="FV169" s="149"/>
      <c r="FY169" s="210">
        <v>164</v>
      </c>
      <c r="FZ169">
        <v>1.2100025757436519</v>
      </c>
      <c r="GA169">
        <v>21.539730622853796</v>
      </c>
      <c r="GB169">
        <v>11.624780662447037</v>
      </c>
      <c r="GC169">
        <v>1.9297985481433901</v>
      </c>
      <c r="GD169">
        <v>0.83835727597721532</v>
      </c>
      <c r="GE169">
        <v>1.3118231649587164</v>
      </c>
      <c r="GF169">
        <v>5.3731290993302547</v>
      </c>
      <c r="GG169">
        <v>4.549872155140875</v>
      </c>
      <c r="GH169">
        <v>3.3736661184853478</v>
      </c>
      <c r="GI169">
        <v>5.3445432717329275</v>
      </c>
      <c r="GJ169"/>
      <c r="GK169"/>
      <c r="GL169"/>
      <c r="GM169"/>
    </row>
    <row r="170" spans="1:195" s="7" customFormat="1">
      <c r="A170" s="1"/>
      <c r="B170" s="76">
        <f ca="1">IF(C170="", "", RAND())</f>
        <v>0.99939275494341029</v>
      </c>
      <c r="C170">
        <v>7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10.416666666666666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55.478669494617769</v>
      </c>
      <c r="AO170">
        <v>14.86141370897839</v>
      </c>
      <c r="AP170">
        <v>157.34485010144067</v>
      </c>
      <c r="AQ170">
        <v>117.55331937335178</v>
      </c>
      <c r="AR170">
        <v>13.764471693627844</v>
      </c>
      <c r="AS170">
        <v>208.52050334797715</v>
      </c>
      <c r="AT170" t="e">
        <v>#DIV/0!</v>
      </c>
      <c r="AU170" t="e">
        <v>#DIV/0!</v>
      </c>
      <c r="AV170"/>
      <c r="AW170"/>
      <c r="AX170" s="146"/>
      <c r="AY170" s="76">
        <f t="shared" ca="1" si="169"/>
        <v>0.61990386676234355</v>
      </c>
      <c r="AZ170">
        <v>3</v>
      </c>
      <c r="BA170" s="129">
        <f t="shared" si="243"/>
        <v>39949</v>
      </c>
      <c r="BB170">
        <v>0</v>
      </c>
      <c r="BC170" s="225"/>
      <c r="BD170" s="225"/>
      <c r="BE170" s="225"/>
      <c r="BF170" s="225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4"/>
        <v>0.67924467685669487</v>
      </c>
      <c r="CL170" s="179">
        <f t="shared" si="205"/>
        <v>3</v>
      </c>
      <c r="CM170" s="180">
        <f t="shared" si="206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0.43963637106023512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0</v>
      </c>
      <c r="DJ170" s="161">
        <f t="shared" si="213"/>
        <v>0</v>
      </c>
      <c r="DK170" s="161">
        <f t="shared" si="214"/>
        <v>0</v>
      </c>
      <c r="DL170" s="161">
        <f t="shared" si="215"/>
        <v>0</v>
      </c>
      <c r="DM170" s="161">
        <f t="shared" si="216"/>
        <v>0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0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0</v>
      </c>
      <c r="ET170" s="139">
        <f t="shared" si="176"/>
        <v>0</v>
      </c>
      <c r="EU170" s="139">
        <f t="shared" si="177"/>
        <v>0</v>
      </c>
      <c r="EV170" s="139">
        <f t="shared" si="178"/>
        <v>0</v>
      </c>
      <c r="EW170" s="139">
        <f t="shared" si="179"/>
        <v>0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0</v>
      </c>
      <c r="FV170" s="149"/>
      <c r="FY170" s="210">
        <v>165</v>
      </c>
      <c r="FZ170">
        <v>3.1309000643669282</v>
      </c>
      <c r="GA170">
        <v>14.846343973034676</v>
      </c>
      <c r="GB170">
        <v>6.8351125834856337</v>
      </c>
      <c r="GC170">
        <v>1.4708418763408284</v>
      </c>
      <c r="GD170">
        <v>0.79348185828058559</v>
      </c>
      <c r="GE170">
        <v>0.14225726660651461</v>
      </c>
      <c r="GF170">
        <v>1.5720451546164049</v>
      </c>
      <c r="GG170">
        <v>1.4451919445121555</v>
      </c>
      <c r="GH170">
        <v>0.69618267737606665</v>
      </c>
      <c r="GI170">
        <v>3.1273193843144584</v>
      </c>
      <c r="GJ170"/>
      <c r="GK170"/>
      <c r="GL170"/>
      <c r="GM170"/>
    </row>
    <row r="171" spans="1:195" s="7" customFormat="1">
      <c r="A171" s="1"/>
      <c r="B171" s="76">
        <f ca="1">IF(C171="", "", RAND())</f>
        <v>0.48191636871734911</v>
      </c>
      <c r="C171">
        <v>4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34.716796661193207</v>
      </c>
      <c r="AO171">
        <v>6.1413476565378202</v>
      </c>
      <c r="AP171">
        <v>62.17640616944422</v>
      </c>
      <c r="AQ171">
        <v>50.400991524769474</v>
      </c>
      <c r="AR171">
        <v>6.3149576982130124</v>
      </c>
      <c r="AS171">
        <v>99.07665804988774</v>
      </c>
      <c r="AT171" t="e">
        <v>#DIV/0!</v>
      </c>
      <c r="AU171" t="e">
        <v>#DIV/0!</v>
      </c>
      <c r="AV171"/>
      <c r="AW171"/>
      <c r="AX171" s="146"/>
      <c r="AY171" s="76">
        <f t="shared" ca="1" si="169"/>
        <v>0.27086882096858922</v>
      </c>
      <c r="AZ171">
        <v>4</v>
      </c>
      <c r="BA171" s="129">
        <f t="shared" si="243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4"/>
        <v>6.187086723650137E-2</v>
      </c>
      <c r="CL171" s="179">
        <f t="shared" si="205"/>
        <v>4</v>
      </c>
      <c r="CM171" s="180">
        <f t="shared" si="206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0.19415345807518314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0">
        <v>166</v>
      </c>
      <c r="FZ171">
        <v>3.6264750516659632</v>
      </c>
      <c r="GA171">
        <v>25.769954268998067</v>
      </c>
      <c r="GB171">
        <v>11.902811747028839</v>
      </c>
      <c r="GC171">
        <v>1.6897342457192315</v>
      </c>
      <c r="GD171">
        <v>0.75588768439856424</v>
      </c>
      <c r="GE171">
        <v>5.37104724062727</v>
      </c>
      <c r="GF171">
        <v>12.531932961776791</v>
      </c>
      <c r="GG171">
        <v>4.2667483947208398</v>
      </c>
      <c r="GH171">
        <v>3.0043065691178317</v>
      </c>
      <c r="GI171">
        <v>7.1874887987416543</v>
      </c>
      <c r="GJ171"/>
      <c r="GK171"/>
      <c r="GL171"/>
      <c r="GM171"/>
    </row>
    <row r="172" spans="1:195" s="7" customFormat="1">
      <c r="A172" s="1"/>
      <c r="B172" s="76">
        <f ca="1">IF(C172="", "", RAND())</f>
        <v>0.53488810648278173</v>
      </c>
      <c r="C172">
        <v>8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10.416666666666666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40.859288907133738</v>
      </c>
      <c r="AO172">
        <v>11.87005376738219</v>
      </c>
      <c r="AP172">
        <v>122.79274996650062</v>
      </c>
      <c r="AQ172">
        <v>90.525935461957118</v>
      </c>
      <c r="AR172">
        <v>11.28158340526366</v>
      </c>
      <c r="AS172">
        <v>156.84491114844553</v>
      </c>
      <c r="AT172">
        <v>7.5549951035322787</v>
      </c>
      <c r="AU172">
        <v>24.708666361502146</v>
      </c>
      <c r="AV172"/>
      <c r="AW172"/>
      <c r="AX172" s="146"/>
      <c r="AY172" s="76">
        <f t="shared" ca="1" si="169"/>
        <v>0.93952759477452208</v>
      </c>
      <c r="AZ172">
        <v>5</v>
      </c>
      <c r="BA172" s="129">
        <f t="shared" si="243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4"/>
        <v>3.4461793224807913E-2</v>
      </c>
      <c r="CL172" s="179">
        <f t="shared" si="205"/>
        <v>5</v>
      </c>
      <c r="CM172" s="180">
        <f t="shared" si="206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0.68155395101703498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0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0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</v>
      </c>
      <c r="FV172" s="149"/>
      <c r="FY172" s="210">
        <v>167</v>
      </c>
      <c r="FZ172">
        <v>12.543063829249501</v>
      </c>
      <c r="GA172">
        <v>38.425254935292742</v>
      </c>
      <c r="GB172">
        <v>15.849005168546242</v>
      </c>
      <c r="GC172">
        <v>2.2175417598589013</v>
      </c>
      <c r="GD172">
        <v>0.62134463918340299</v>
      </c>
      <c r="GE172">
        <v>1.4520245775858855</v>
      </c>
      <c r="GF172">
        <v>6.140011049037156</v>
      </c>
      <c r="GG172">
        <v>4.8562633113940263</v>
      </c>
      <c r="GH172">
        <v>3.4171582770663225</v>
      </c>
      <c r="GI172">
        <v>8.0937096980699046</v>
      </c>
      <c r="GJ172"/>
      <c r="GK172"/>
      <c r="GL172"/>
      <c r="GM172"/>
    </row>
    <row r="173" spans="1:195" s="7" customFormat="1">
      <c r="A173" s="1"/>
      <c r="B173" s="76">
        <f ca="1">IF(C173="", "", RAND())</f>
        <v>0.38514967339429251</v>
      </c>
      <c r="C173">
        <v>1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49.943088624338614</v>
      </c>
      <c r="AO173">
        <v>12.705838429688693</v>
      </c>
      <c r="AP173">
        <v>130.81633825777016</v>
      </c>
      <c r="AQ173">
        <v>100.16517433793976</v>
      </c>
      <c r="AR173">
        <v>11.736692618376402</v>
      </c>
      <c r="AS173">
        <v>157.77825594630431</v>
      </c>
      <c r="AT173" t="e">
        <v>#DIV/0!</v>
      </c>
      <c r="AU173" t="e">
        <v>#DIV/0!</v>
      </c>
      <c r="AV173"/>
      <c r="AW173"/>
      <c r="AX173" s="146"/>
      <c r="AY173" s="76">
        <f t="shared" ca="1" si="169"/>
        <v>0.9557511716003777</v>
      </c>
      <c r="AZ173">
        <v>6</v>
      </c>
      <c r="BA173" s="129">
        <f t="shared" si="243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4"/>
        <v>0.22024289009153186</v>
      </c>
      <c r="CL173" s="179">
        <f t="shared" si="205"/>
        <v>6</v>
      </c>
      <c r="CM173" s="180">
        <f t="shared" si="206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0.51607022354383547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0">
        <v>168</v>
      </c>
      <c r="FZ173">
        <v>23.134783950759747</v>
      </c>
      <c r="GA173">
        <v>41.974749787864745</v>
      </c>
      <c r="GB173">
        <v>9.5362916984371111</v>
      </c>
      <c r="GC173">
        <v>1.7131216314454585</v>
      </c>
      <c r="GD173">
        <v>0.72290851963969605</v>
      </c>
      <c r="GE173">
        <v>2.0558539793455489E-3</v>
      </c>
      <c r="GF173">
        <v>0.77653115979888554</v>
      </c>
      <c r="GG173">
        <v>2.1985895240006195</v>
      </c>
      <c r="GH173">
        <v>2.9073745891042471</v>
      </c>
      <c r="GI173">
        <v>6.9973757115062591</v>
      </c>
      <c r="GJ173"/>
      <c r="GK173"/>
      <c r="GL173"/>
      <c r="GM173"/>
    </row>
    <row r="174" spans="1:195" s="7" customFormat="1">
      <c r="A174" s="1"/>
      <c r="B174" s="76">
        <f ca="1">IF(C174="", "", RAND())</f>
        <v>0.44628997279682991</v>
      </c>
      <c r="C174">
        <v>5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25.519576719576722</v>
      </c>
      <c r="AO174">
        <v>10.820872577601515</v>
      </c>
      <c r="AP174">
        <v>114.23688864698111</v>
      </c>
      <c r="AQ174">
        <v>76.191164237038763</v>
      </c>
      <c r="AR174">
        <v>10.358346505436684</v>
      </c>
      <c r="AS174">
        <v>113.15145733868786</v>
      </c>
      <c r="AT174" t="e">
        <v>#DIV/0!</v>
      </c>
      <c r="AU174" t="e">
        <v>#DIV/0!</v>
      </c>
      <c r="AV174"/>
      <c r="AW174"/>
      <c r="AX174" s="146"/>
      <c r="AY174" s="76">
        <f t="shared" ca="1" si="169"/>
        <v>0.67091682126568486</v>
      </c>
      <c r="AZ174">
        <v>7</v>
      </c>
      <c r="BA174" s="129">
        <f t="shared" si="243"/>
        <v>39949</v>
      </c>
      <c r="BB174" s="217">
        <v>0</v>
      </c>
      <c r="BC174" s="217"/>
      <c r="BD174" s="217"/>
      <c r="BE174" s="217"/>
      <c r="BF174" s="217"/>
      <c r="BG174" s="217">
        <v>1</v>
      </c>
      <c r="BH174" s="217"/>
      <c r="BI174" s="217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4"/>
        <v>0.68048760271715047</v>
      </c>
      <c r="CL174" s="179">
        <f t="shared" si="205"/>
        <v>7</v>
      </c>
      <c r="CM174" s="180">
        <f t="shared" si="206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0.70576145217981079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0</v>
      </c>
      <c r="DJ174" s="161">
        <f t="shared" si="213"/>
        <v>0</v>
      </c>
      <c r="DK174" s="161">
        <f t="shared" si="214"/>
        <v>10.416666666666666</v>
      </c>
      <c r="DL174" s="161">
        <f t="shared" si="215"/>
        <v>0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10.416666666666666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</v>
      </c>
      <c r="ET174" s="139">
        <f t="shared" si="176"/>
        <v>0</v>
      </c>
      <c r="EU174" s="139">
        <f t="shared" si="177"/>
        <v>4.9645198444761389</v>
      </c>
      <c r="EV174" s="139">
        <f t="shared" si="178"/>
        <v>0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4.9645198444761389</v>
      </c>
      <c r="FV174" s="149"/>
      <c r="FY174" s="210">
        <v>169</v>
      </c>
      <c r="FZ174">
        <v>6.7361142417176456</v>
      </c>
      <c r="GA174">
        <v>31.606202600919588</v>
      </c>
      <c r="GB174">
        <v>13.742694488613131</v>
      </c>
      <c r="GC174">
        <v>1.122812950414162</v>
      </c>
      <c r="GD174">
        <v>0.77568416029395648</v>
      </c>
      <c r="GE174">
        <v>1.5922259902130544</v>
      </c>
      <c r="GF174">
        <v>3.9795374058975046</v>
      </c>
      <c r="GG174">
        <v>3.2064412456186582</v>
      </c>
      <c r="GH174">
        <v>3.4886116924828308</v>
      </c>
      <c r="GI174">
        <v>6.4419244581259285</v>
      </c>
      <c r="GJ174"/>
      <c r="GK174"/>
      <c r="GL174"/>
      <c r="GM174"/>
    </row>
    <row r="175" spans="1:195" s="7" customFormat="1">
      <c r="A175" s="1"/>
      <c r="B175" s="76">
        <f ca="1">IF(C175="", "", RAND())</f>
        <v>0.52588070870542047</v>
      </c>
      <c r="C175">
        <v>6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87.037744594964423</v>
      </c>
      <c r="AO175">
        <v>18.205274483133689</v>
      </c>
      <c r="AP175">
        <v>203.52536097044626</v>
      </c>
      <c r="AQ175">
        <v>162.69527881134411</v>
      </c>
      <c r="AR175">
        <v>17.435828148770621</v>
      </c>
      <c r="AS175">
        <v>266.33962401425515</v>
      </c>
      <c r="AT175" t="e">
        <v>#DIV/0!</v>
      </c>
      <c r="AU175" t="e">
        <v>#DIV/0!</v>
      </c>
      <c r="AV175"/>
      <c r="AW175"/>
      <c r="AX175" s="146"/>
      <c r="AY175" s="76">
        <f t="shared" ca="1" si="169"/>
        <v>0.56748654225589856</v>
      </c>
      <c r="AZ175">
        <v>8</v>
      </c>
      <c r="BA175" s="129">
        <f t="shared" si="243"/>
        <v>39949</v>
      </c>
      <c r="BB175">
        <v>0</v>
      </c>
      <c r="BC175"/>
      <c r="BD175"/>
      <c r="BE175"/>
      <c r="BF175"/>
      <c r="BG175"/>
      <c r="BH175"/>
      <c r="BI175"/>
      <c r="BJ175"/>
      <c r="BK175"/>
      <c r="BL175">
        <v>1</v>
      </c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4"/>
        <v>0.27634245221157894</v>
      </c>
      <c r="CL175" s="179">
        <f t="shared" si="205"/>
        <v>8</v>
      </c>
      <c r="CM175" s="180">
        <f t="shared" si="206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0.41399297393290269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0</v>
      </c>
      <c r="DI175" s="161">
        <f t="shared" si="212"/>
        <v>0</v>
      </c>
      <c r="DJ175" s="161">
        <f t="shared" si="213"/>
        <v>0</v>
      </c>
      <c r="DK175" s="161">
        <f t="shared" si="214"/>
        <v>0</v>
      </c>
      <c r="DL175" s="161">
        <f t="shared" si="215"/>
        <v>0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10.416666666666666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10.416666666666666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0</v>
      </c>
      <c r="ES175" s="139">
        <f t="shared" si="175"/>
        <v>0</v>
      </c>
      <c r="ET175" s="139">
        <f t="shared" si="176"/>
        <v>0</v>
      </c>
      <c r="EU175" s="139">
        <f t="shared" si="177"/>
        <v>0</v>
      </c>
      <c r="EV175" s="139">
        <f t="shared" si="178"/>
        <v>0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29.849899949234292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29.849899949234292</v>
      </c>
      <c r="FV175" s="149"/>
      <c r="FY175" s="210">
        <v>170</v>
      </c>
      <c r="FZ175">
        <v>21.323314409005633</v>
      </c>
      <c r="GA175">
        <v>34.196893021263051</v>
      </c>
      <c r="GB175">
        <v>6.3630964090477935</v>
      </c>
      <c r="GC175">
        <v>1.2280148052226663</v>
      </c>
      <c r="GD175">
        <v>0.60719701201454679</v>
      </c>
      <c r="GE175">
        <v>0.14225726660651461</v>
      </c>
      <c r="GF175">
        <v>3.6881443265432665</v>
      </c>
      <c r="GG175">
        <v>3.5911350569149882</v>
      </c>
      <c r="GH175">
        <v>4.1736576347959335</v>
      </c>
      <c r="GI175">
        <v>6.5754575579333334</v>
      </c>
      <c r="GJ175"/>
      <c r="GK175"/>
      <c r="GL175"/>
      <c r="GM175"/>
    </row>
    <row r="176" spans="1:195" s="7" customFormat="1">
      <c r="A176" s="1"/>
      <c r="B176" s="76">
        <f ca="1">IF(C176="", "", RAND())</f>
        <v>0.85296528583276232</v>
      </c>
      <c r="C176">
        <v>2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23.052379812078094</v>
      </c>
      <c r="AO176">
        <v>6.9545430310919212</v>
      </c>
      <c r="AP176">
        <v>74.055511352330086</v>
      </c>
      <c r="AQ176">
        <v>51.04508969935894</v>
      </c>
      <c r="AR176">
        <v>6.9712698744790611</v>
      </c>
      <c r="AS176">
        <v>86.524410421129005</v>
      </c>
      <c r="AT176" t="e">
        <v>#DIV/0!</v>
      </c>
      <c r="AU176" t="e">
        <v>#DIV/0!</v>
      </c>
      <c r="AV176"/>
      <c r="AW176"/>
      <c r="AX176" s="146"/>
      <c r="AY176" s="76">
        <f t="shared" ca="1" si="169"/>
        <v>0.99254687110129769</v>
      </c>
      <c r="AZ176">
        <v>9</v>
      </c>
      <c r="BA176" s="129">
        <f t="shared" si="243"/>
        <v>39949</v>
      </c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4"/>
        <v>0.14665075614537404</v>
      </c>
      <c r="CL176" s="179">
        <f t="shared" si="205"/>
        <v>9</v>
      </c>
      <c r="CM176" s="180">
        <f t="shared" si="206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0.37744775770159222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0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0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0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0</v>
      </c>
      <c r="FV176" s="149"/>
      <c r="FY176" s="210">
        <v>171</v>
      </c>
      <c r="FZ176">
        <v>12.735396182562406</v>
      </c>
      <c r="GA176">
        <v>16.754756899849731</v>
      </c>
      <c r="GB176">
        <v>4.2811682836667666</v>
      </c>
      <c r="GC176">
        <v>2.4543406763567885</v>
      </c>
      <c r="GD176">
        <v>0.93038494316999598</v>
      </c>
      <c r="GE176">
        <v>0.28245867923368362</v>
      </c>
      <c r="GF176">
        <v>0.49967954609766535</v>
      </c>
      <c r="GG176">
        <v>1.1968722145181405</v>
      </c>
      <c r="GH176">
        <v>1.8017786332401569</v>
      </c>
      <c r="GI176">
        <v>3.8975208490840698</v>
      </c>
      <c r="GJ176"/>
      <c r="GK176"/>
      <c r="GL176"/>
      <c r="GM176"/>
    </row>
    <row r="177" spans="1:195" s="7" customFormat="1">
      <c r="A177" s="1"/>
      <c r="B177" s="76">
        <f ca="1">IF(C177="", "", RAND())</f>
        <v>0.15314085550976131</v>
      </c>
      <c r="C177">
        <v>9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65.080122240467063</v>
      </c>
      <c r="AO177">
        <v>14.048556572928737</v>
      </c>
      <c r="AP177">
        <v>148.75872555151037</v>
      </c>
      <c r="AQ177">
        <v>119.29693130238395</v>
      </c>
      <c r="AR177">
        <v>13.486106832031476</v>
      </c>
      <c r="AS177">
        <v>248.55662819846879</v>
      </c>
      <c r="AT177" t="e">
        <v>#DIV/0!</v>
      </c>
      <c r="AU177" t="e">
        <v>#DIV/0!</v>
      </c>
      <c r="AV177"/>
      <c r="AW177"/>
      <c r="AX177" s="146"/>
      <c r="AY177" s="76">
        <f t="shared" ca="1" si="169"/>
        <v>0.4836488069459266</v>
      </c>
      <c r="AZ177">
        <v>10</v>
      </c>
      <c r="BA177" s="129">
        <f t="shared" si="243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4"/>
        <v>0.61840232049181232</v>
      </c>
      <c r="CL177" s="179">
        <f t="shared" si="205"/>
        <v>10</v>
      </c>
      <c r="CM177" s="180">
        <f t="shared" si="206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0.27079467308990957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0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0</v>
      </c>
      <c r="FV177" s="149"/>
      <c r="FY177" s="210">
        <v>172</v>
      </c>
      <c r="FZ177">
        <v>5.6052126190012093</v>
      </c>
      <c r="GA177">
        <v>26.520245350047855</v>
      </c>
      <c r="GB177">
        <v>12.498674228736917</v>
      </c>
      <c r="GC177">
        <v>1.4787537960760271</v>
      </c>
      <c r="GD177">
        <v>0.59378075412091114</v>
      </c>
      <c r="GE177">
        <v>5.5133045072337854</v>
      </c>
      <c r="GF177">
        <v>10.317435637332366</v>
      </c>
      <c r="GG177">
        <v>2.7399129910735143</v>
      </c>
      <c r="GH177">
        <v>2.1397384963116721</v>
      </c>
      <c r="GI177">
        <v>6.8970726313035122</v>
      </c>
      <c r="GJ177"/>
      <c r="GK177"/>
      <c r="GL177"/>
      <c r="GM177"/>
    </row>
    <row r="178" spans="1:195" s="7" customFormat="1">
      <c r="A178" s="128"/>
      <c r="B178" s="76">
        <f ca="1">IF(C178="", "", RAND())</f>
        <v>0.45792603572976542</v>
      </c>
      <c r="C178">
        <v>6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34.102148330596606</v>
      </c>
      <c r="AO178">
        <v>9.6959880418034654</v>
      </c>
      <c r="AP178">
        <v>101.33556357750994</v>
      </c>
      <c r="AQ178">
        <v>75.157562603993895</v>
      </c>
      <c r="AR178">
        <v>9.3665982050584962</v>
      </c>
      <c r="AS178">
        <v>130.18095430948816</v>
      </c>
      <c r="AT178">
        <v>6.0415651904656862</v>
      </c>
      <c r="AU178">
        <v>28.421282231588286</v>
      </c>
      <c r="AV178"/>
      <c r="AW178"/>
      <c r="AX178" s="128"/>
      <c r="AY178" s="76">
        <f t="shared" ca="1" si="169"/>
        <v>8.9295494956981081E-2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4"/>
        <v>0.42951038982506606</v>
      </c>
      <c r="CL178" s="179">
        <f t="shared" si="205"/>
        <v>1</v>
      </c>
      <c r="CM178" s="180">
        <f t="shared" si="206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0.2939828459674132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0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</v>
      </c>
      <c r="FV178" s="149"/>
      <c r="FY178" s="210">
        <v>173</v>
      </c>
      <c r="FZ178">
        <v>23.654598021636385</v>
      </c>
      <c r="GA178">
        <v>31.338565244832111</v>
      </c>
      <c r="GB178">
        <v>5.1658077396625757</v>
      </c>
      <c r="GC178">
        <v>1.725653079218441</v>
      </c>
      <c r="GD178">
        <v>0.67378303222763858</v>
      </c>
      <c r="GE178">
        <v>1.4499687236065399</v>
      </c>
      <c r="GF178">
        <v>6.1496602591291394</v>
      </c>
      <c r="GG178">
        <v>3.8803507875962375</v>
      </c>
      <c r="GH178">
        <v>1.6188180732866324</v>
      </c>
      <c r="GI178">
        <v>6.6997021769701259</v>
      </c>
      <c r="GJ178"/>
      <c r="GK178"/>
      <c r="GL178"/>
      <c r="GM178"/>
    </row>
    <row r="179" spans="1:195" s="7" customFormat="1">
      <c r="A179" s="1"/>
      <c r="B179" s="76">
        <f ca="1">IF(C179="", "", RAND())</f>
        <v>0.58773916084131717</v>
      </c>
      <c r="C179">
        <v>5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22.649932722130998</v>
      </c>
      <c r="AO179">
        <v>7.5990461257993713</v>
      </c>
      <c r="AP179">
        <v>73.157486659873783</v>
      </c>
      <c r="AQ179">
        <v>51.2866155816439</v>
      </c>
      <c r="AR179">
        <v>7.2996402283536632</v>
      </c>
      <c r="AS179">
        <v>101.90348764319269</v>
      </c>
      <c r="AT179">
        <v>5.0690860549571228</v>
      </c>
      <c r="AU179">
        <v>5.3430386546873692</v>
      </c>
      <c r="AV179"/>
      <c r="AW179"/>
      <c r="AX179" s="146"/>
      <c r="AY179" s="76">
        <f t="shared" ca="1" si="169"/>
        <v>0.4365819270208835</v>
      </c>
      <c r="AZ179">
        <v>2</v>
      </c>
      <c r="BA179" s="129">
        <f t="shared" ref="BA179:BA187" si="245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4"/>
        <v>0.27906712605659978</v>
      </c>
      <c r="CL179" s="179">
        <f t="shared" si="205"/>
        <v>2</v>
      </c>
      <c r="CM179" s="180">
        <f t="shared" si="206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0.36441692997212982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0">
        <v>174</v>
      </c>
      <c r="FZ179">
        <v>12.374960844622596</v>
      </c>
      <c r="GA179">
        <v>23.583832811837038</v>
      </c>
      <c r="GB179">
        <v>6.3944342133492613</v>
      </c>
      <c r="GC179">
        <v>1.179360021366644</v>
      </c>
      <c r="GD179">
        <v>0.64216972840131503</v>
      </c>
      <c r="GE179">
        <v>1.4561362855445767</v>
      </c>
      <c r="GF179">
        <v>6.1496602591291394</v>
      </c>
      <c r="GG179">
        <v>4.6398827792202608</v>
      </c>
      <c r="GH179">
        <v>1.913285777777173</v>
      </c>
      <c r="GI179">
        <v>5.414426321788679</v>
      </c>
      <c r="GJ179"/>
      <c r="GK179"/>
      <c r="GL179"/>
      <c r="GM179"/>
    </row>
    <row r="180" spans="1:195" s="7" customFormat="1">
      <c r="A180" s="1"/>
      <c r="B180" s="76">
        <f ca="1">IF(C180="", "", RAND())</f>
        <v>0.68700652984140609</v>
      </c>
      <c r="C180">
        <v>10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21.451900314723588</v>
      </c>
      <c r="AO180">
        <v>8.385083329134007</v>
      </c>
      <c r="AP180">
        <v>85.193457246410205</v>
      </c>
      <c r="AQ180">
        <v>57.095703494813208</v>
      </c>
      <c r="AR180">
        <v>7.8324938570073597</v>
      </c>
      <c r="AS180">
        <v>90.201445136069978</v>
      </c>
      <c r="AT180">
        <v>5.1345514890970394</v>
      </c>
      <c r="AU180">
        <v>-8.4619658488522536</v>
      </c>
      <c r="AV180"/>
      <c r="AW180"/>
      <c r="AX180" s="146"/>
      <c r="AY180" s="76">
        <f t="shared" ca="1" si="169"/>
        <v>0.45743275245394899</v>
      </c>
      <c r="AZ180">
        <v>3</v>
      </c>
      <c r="BA180" s="129">
        <f t="shared" si="245"/>
        <v>39987</v>
      </c>
      <c r="BB180">
        <v>0</v>
      </c>
      <c r="BC180"/>
      <c r="BD180"/>
      <c r="BE180"/>
      <c r="BF180"/>
      <c r="BG180"/>
      <c r="BH180"/>
      <c r="BI180"/>
      <c r="BJ180">
        <v>1</v>
      </c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4"/>
        <v>0.86678076008757365</v>
      </c>
      <c r="CL180" s="179">
        <f t="shared" si="205"/>
        <v>3</v>
      </c>
      <c r="CM180" s="180">
        <f t="shared" si="206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0.88106256489484114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10.416666666666666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10.416666666666666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16.754819986220479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16.754819986220479</v>
      </c>
      <c r="FV180" s="149"/>
      <c r="FY180" s="210">
        <v>175</v>
      </c>
      <c r="FZ180">
        <v>14.090553949960839</v>
      </c>
      <c r="GA180">
        <v>31.034009758833172</v>
      </c>
      <c r="GB180">
        <v>10.781048685506214</v>
      </c>
      <c r="GC180">
        <v>2.5345456304192604</v>
      </c>
      <c r="GD180">
        <v>0.73665104870745823</v>
      </c>
      <c r="GE180">
        <v>1.3097673109793708</v>
      </c>
      <c r="GF180">
        <v>4.5776151045127342</v>
      </c>
      <c r="GG180">
        <v>3.1946908347081049</v>
      </c>
      <c r="GH180">
        <v>4.3531797652889903</v>
      </c>
      <c r="GI180">
        <v>6.9588750651745261</v>
      </c>
      <c r="GJ180"/>
      <c r="GK180"/>
      <c r="GL180"/>
      <c r="GM180"/>
    </row>
    <row r="181" spans="1:195" s="7" customFormat="1">
      <c r="A181" s="1"/>
      <c r="B181" s="76">
        <f ca="1">IF(C181="", "", RAND())</f>
        <v>0.61470521524600308</v>
      </c>
      <c r="C181">
        <v>1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16.469377166575448</v>
      </c>
      <c r="AO181">
        <v>4.7663121387605525</v>
      </c>
      <c r="AP181">
        <v>48.230382409377739</v>
      </c>
      <c r="AQ181">
        <v>34.059676782934254</v>
      </c>
      <c r="AR181">
        <v>4.5835660825998081</v>
      </c>
      <c r="AS181">
        <v>62.424048169399555</v>
      </c>
      <c r="AT181" t="e">
        <v>#DIV/0!</v>
      </c>
      <c r="AU181" t="e">
        <v>#DIV/0!</v>
      </c>
      <c r="AV181"/>
      <c r="AW181"/>
      <c r="AX181" s="146"/>
      <c r="AY181" s="76">
        <f t="shared" ca="1" si="169"/>
        <v>0.95086532606762408</v>
      </c>
      <c r="AZ181">
        <v>4</v>
      </c>
      <c r="BA181" s="129">
        <f t="shared" si="245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4"/>
        <v>0.72972770379102059</v>
      </c>
      <c r="CL181" s="179">
        <f t="shared" si="205"/>
        <v>4</v>
      </c>
      <c r="CM181" s="180">
        <f t="shared" si="206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0.2462112955883029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0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0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0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0</v>
      </c>
      <c r="FV181" s="149"/>
      <c r="FY181" s="210">
        <v>176</v>
      </c>
      <c r="FZ181">
        <v>12.880402084539197</v>
      </c>
      <c r="GA181">
        <v>28.816313384229655</v>
      </c>
      <c r="GB181">
        <v>9.2135348114174072</v>
      </c>
      <c r="GC181">
        <v>2.1576127702860601</v>
      </c>
      <c r="GD181">
        <v>0.90011644531316692</v>
      </c>
      <c r="GE181">
        <v>4.1117079586910979E-3</v>
      </c>
      <c r="GF181">
        <v>0.27685161370122002</v>
      </c>
      <c r="GG181">
        <v>0.41220239280929194</v>
      </c>
      <c r="GH181">
        <v>2.0851096026677332</v>
      </c>
      <c r="GI181">
        <v>5.1892508894778073</v>
      </c>
      <c r="GJ181"/>
      <c r="GK181"/>
      <c r="GL181"/>
      <c r="GM181"/>
    </row>
    <row r="182" spans="1:195" s="7" customFormat="1">
      <c r="A182" s="1"/>
      <c r="B182" s="76">
        <f ca="1">IF(C182="", "", RAND())</f>
        <v>0.61907483848191358</v>
      </c>
      <c r="C182">
        <v>7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27.441964285714288</v>
      </c>
      <c r="AO182">
        <v>11.271330779443412</v>
      </c>
      <c r="AP182">
        <v>112.06212763779654</v>
      </c>
      <c r="AQ182">
        <v>76.106386962795042</v>
      </c>
      <c r="AR182">
        <v>10.234533710939651</v>
      </c>
      <c r="AS182">
        <v>131.40957038489529</v>
      </c>
      <c r="AT182">
        <v>6.9871150431244624</v>
      </c>
      <c r="AU182">
        <v>4.2855411500130787</v>
      </c>
      <c r="AV182"/>
      <c r="AW182"/>
      <c r="AX182" s="146"/>
      <c r="AY182" s="76">
        <f t="shared" ca="1" si="169"/>
        <v>0.88566519152402012</v>
      </c>
      <c r="AZ182">
        <v>5</v>
      </c>
      <c r="BA182" s="129">
        <f t="shared" si="245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4"/>
        <v>0.13663663501032186</v>
      </c>
      <c r="CL182" s="179">
        <f t="shared" si="205"/>
        <v>5</v>
      </c>
      <c r="CM182" s="180">
        <f t="shared" si="206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0.28290035338703579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0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0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</v>
      </c>
      <c r="FV182" s="149"/>
      <c r="FY182" s="210">
        <v>177</v>
      </c>
      <c r="FZ182">
        <v>6.2019296722140478</v>
      </c>
      <c r="GA182">
        <v>22.637737370367216</v>
      </c>
      <c r="GB182">
        <v>10.5155731180012</v>
      </c>
      <c r="GC182">
        <v>1.866024162009942</v>
      </c>
      <c r="GD182">
        <v>0.89284989440476126</v>
      </c>
      <c r="GE182">
        <v>2.7576801806065649</v>
      </c>
      <c r="GF182">
        <v>8.576135345428872</v>
      </c>
      <c r="GG182">
        <v>4.9682089600857271</v>
      </c>
      <c r="GH182">
        <v>3.3056511325293063</v>
      </c>
      <c r="GI182">
        <v>6.5183060136445592</v>
      </c>
      <c r="GJ182"/>
      <c r="GK182"/>
      <c r="GL182"/>
      <c r="GM182"/>
    </row>
    <row r="183" spans="1:195" s="7" customFormat="1">
      <c r="A183" s="1"/>
      <c r="B183" s="76">
        <f ca="1">IF(C183="", "", RAND())</f>
        <v>0.95420822104483083</v>
      </c>
      <c r="C183">
        <v>2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39.992674124247394</v>
      </c>
      <c r="AO183">
        <v>12.187476572463463</v>
      </c>
      <c r="AP183">
        <v>129.82683077604949</v>
      </c>
      <c r="AQ183">
        <v>93.615377245284094</v>
      </c>
      <c r="AR183">
        <v>11.627019126707607</v>
      </c>
      <c r="AS183">
        <v>149.78330227775595</v>
      </c>
      <c r="AT183">
        <v>7.6119960591523617</v>
      </c>
      <c r="AU183">
        <v>12.667070854424711</v>
      </c>
      <c r="AV183"/>
      <c r="AW183"/>
      <c r="AX183" s="146"/>
      <c r="AY183" s="76">
        <f t="shared" ca="1" si="169"/>
        <v>0.65259617294557448</v>
      </c>
      <c r="AZ183">
        <v>6</v>
      </c>
      <c r="BA183" s="129">
        <f t="shared" si="245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4"/>
        <v>0.29764787729248887</v>
      </c>
      <c r="CL183" s="179">
        <f t="shared" si="205"/>
        <v>6</v>
      </c>
      <c r="CM183" s="180">
        <f t="shared" si="206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0.15622313695776069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0">
        <v>178</v>
      </c>
      <c r="FZ183">
        <v>21.471373301557083</v>
      </c>
      <c r="GA183">
        <v>37.623428521977999</v>
      </c>
      <c r="GB183">
        <v>8.5631424106372744</v>
      </c>
      <c r="GC183">
        <v>2.1455436012217062</v>
      </c>
      <c r="GD183">
        <v>1.0996627390531601</v>
      </c>
      <c r="GE183">
        <v>0.42060423788150719</v>
      </c>
      <c r="GF183">
        <v>3.5193400754515958</v>
      </c>
      <c r="GG183">
        <v>4.3725596312769808</v>
      </c>
      <c r="GH183">
        <v>2.2546840703091551</v>
      </c>
      <c r="GI183">
        <v>7.1795804905958764</v>
      </c>
      <c r="GJ183"/>
      <c r="GK183"/>
      <c r="GL183"/>
      <c r="GM183"/>
    </row>
    <row r="184" spans="1:195" s="7" customFormat="1">
      <c r="A184" s="1"/>
      <c r="B184" s="76">
        <f ca="1">IF(C184="", "", RAND())</f>
        <v>0.55600748711714054</v>
      </c>
      <c r="C184">
        <v>8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10.416666666666666</v>
      </c>
      <c r="K184">
        <v>10.416666666666666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45.814448777595331</v>
      </c>
      <c r="AO184">
        <v>10.711351708909005</v>
      </c>
      <c r="AP184">
        <v>117.88224276282334</v>
      </c>
      <c r="AQ184">
        <v>89.963782426536142</v>
      </c>
      <c r="AR184">
        <v>10.223367146694709</v>
      </c>
      <c r="AS184">
        <v>154.35574221374949</v>
      </c>
      <c r="AT184" t="e">
        <v>#DIV/0!</v>
      </c>
      <c r="AU184" t="e">
        <v>#DIV/0!</v>
      </c>
      <c r="AV184"/>
      <c r="AW184"/>
      <c r="AX184" s="146"/>
      <c r="AY184" s="76">
        <f t="shared" ca="1" si="169"/>
        <v>0.87015594103180405</v>
      </c>
      <c r="AZ184">
        <v>7</v>
      </c>
      <c r="BA184" s="129">
        <f t="shared" si="245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4"/>
        <v>0.52215343058265185</v>
      </c>
      <c r="CL184" s="179">
        <f t="shared" si="205"/>
        <v>7</v>
      </c>
      <c r="CM184" s="180">
        <f t="shared" si="206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0.87913828491199908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0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0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0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0</v>
      </c>
      <c r="FV184" s="149"/>
      <c r="FY184" s="210">
        <v>179</v>
      </c>
      <c r="FZ184">
        <v>5.0602961987299233</v>
      </c>
      <c r="GA184">
        <v>18.561439799208959</v>
      </c>
      <c r="GB184">
        <v>9.9553948204969203</v>
      </c>
      <c r="GC184">
        <v>2.2658933617748853</v>
      </c>
      <c r="GD184">
        <v>0.83432964486636507</v>
      </c>
      <c r="GE184">
        <v>1.7324274028402236</v>
      </c>
      <c r="GF184">
        <v>7.43520458995234</v>
      </c>
      <c r="GG184">
        <v>7.1588360795734225</v>
      </c>
      <c r="GH184">
        <v>3.6982398892447601</v>
      </c>
      <c r="GI184">
        <v>6.0017690682801828</v>
      </c>
      <c r="GJ184"/>
      <c r="GK184"/>
      <c r="GL184"/>
      <c r="GM184"/>
    </row>
    <row r="185" spans="1:195" s="7" customFormat="1">
      <c r="A185" s="1"/>
      <c r="B185" s="76">
        <f ca="1">IF(C185="", "", RAND())</f>
        <v>0.63828181583336208</v>
      </c>
      <c r="C185">
        <v>9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21.620881796205072</v>
      </c>
      <c r="AO185">
        <v>9.8856125080547574</v>
      </c>
      <c r="AP185">
        <v>106.57059498517434</v>
      </c>
      <c r="AQ185">
        <v>72.692249234296455</v>
      </c>
      <c r="AR185">
        <v>9.4893790124302182</v>
      </c>
      <c r="AS185">
        <v>110.80073827197067</v>
      </c>
      <c r="AT185">
        <v>6.1530704502144031</v>
      </c>
      <c r="AU185">
        <v>13.859128184401911</v>
      </c>
      <c r="AV185"/>
      <c r="AW185"/>
      <c r="AX185" s="146"/>
      <c r="AY185" s="76">
        <f t="shared" ca="1" si="169"/>
        <v>0.72825897260523931</v>
      </c>
      <c r="AZ185">
        <v>8</v>
      </c>
      <c r="BA185" s="129">
        <f t="shared" si="245"/>
        <v>39987</v>
      </c>
      <c r="BB185">
        <v>0</v>
      </c>
      <c r="BC185"/>
      <c r="BD185"/>
      <c r="BE185"/>
      <c r="BF185"/>
      <c r="BG185">
        <v>1</v>
      </c>
      <c r="BH185">
        <v>1</v>
      </c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4"/>
        <v>0.36884583113033109</v>
      </c>
      <c r="CL185" s="179">
        <f t="shared" si="205"/>
        <v>8</v>
      </c>
      <c r="CM185" s="180">
        <f t="shared" si="206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0.39483761088777047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0</v>
      </c>
      <c r="DJ185" s="161">
        <f t="shared" si="213"/>
        <v>0</v>
      </c>
      <c r="DK185" s="161">
        <f t="shared" si="214"/>
        <v>10.416666666666666</v>
      </c>
      <c r="DL185" s="161">
        <f t="shared" si="215"/>
        <v>10.416666666666666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20.833333333333332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0</v>
      </c>
      <c r="ET185" s="139">
        <f t="shared" si="251"/>
        <v>0</v>
      </c>
      <c r="EU185" s="139">
        <f t="shared" si="252"/>
        <v>4.9645198444761389</v>
      </c>
      <c r="EV185" s="139">
        <f t="shared" si="253"/>
        <v>7.9578970379725193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12.922416882448658</v>
      </c>
      <c r="FV185" s="149"/>
      <c r="FY185" s="210">
        <v>180</v>
      </c>
      <c r="FZ185">
        <v>4.9226119898226095</v>
      </c>
      <c r="GA185">
        <v>12.654789150262822</v>
      </c>
      <c r="GB185">
        <v>7.856595592287686</v>
      </c>
      <c r="GC185">
        <v>2.3387653945050841</v>
      </c>
      <c r="GD185">
        <v>0.78270169561994396</v>
      </c>
      <c r="GE185">
        <v>1.5942818441924</v>
      </c>
      <c r="GF185">
        <v>6.1940347303419303</v>
      </c>
      <c r="GG185">
        <v>6.0823235575631944</v>
      </c>
      <c r="GH185">
        <v>5.2903903257229885</v>
      </c>
      <c r="GI185">
        <v>5.3848850128925267</v>
      </c>
      <c r="GJ185"/>
      <c r="GK185"/>
      <c r="GL185"/>
      <c r="GM185"/>
    </row>
    <row r="186" spans="1:195" s="7" customFormat="1">
      <c r="A186" s="1"/>
      <c r="B186" s="76">
        <f ca="1">IF(C186="", "", RAND())</f>
        <v>0.50871990587657923</v>
      </c>
      <c r="C186">
        <v>4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43.285713145411428</v>
      </c>
      <c r="AO186">
        <v>9.5323908782298226</v>
      </c>
      <c r="AP186">
        <v>104.27910170483867</v>
      </c>
      <c r="AQ186">
        <v>81.889167499347721</v>
      </c>
      <c r="AR186">
        <v>9.4409165501548955</v>
      </c>
      <c r="AS186">
        <v>130.79619131910837</v>
      </c>
      <c r="AT186" t="e">
        <v>#DIV/0!</v>
      </c>
      <c r="AU186" t="e">
        <v>#DIV/0!</v>
      </c>
      <c r="AV186"/>
      <c r="AW186"/>
      <c r="AX186" s="146"/>
      <c r="AY186" s="76">
        <f t="shared" ca="1" si="169"/>
        <v>0.43789045686438155</v>
      </c>
      <c r="AZ186">
        <v>9</v>
      </c>
      <c r="BA186" s="129">
        <f t="shared" si="245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4"/>
        <v>0.62923674211102365</v>
      </c>
      <c r="CL186" s="179">
        <f t="shared" si="205"/>
        <v>9</v>
      </c>
      <c r="CM186" s="180">
        <f t="shared" si="206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0.51377119010606886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0">
        <v>181</v>
      </c>
      <c r="FZ186">
        <v>4.4558944377255987</v>
      </c>
      <c r="GA186">
        <v>25.572596646953521</v>
      </c>
      <c r="GB186">
        <v>12.90070242964647</v>
      </c>
      <c r="GC186">
        <v>2.3792751548697604</v>
      </c>
      <c r="GD186">
        <v>0.99427234341012416</v>
      </c>
      <c r="GE186">
        <v>1.5881142822543635</v>
      </c>
      <c r="GF186">
        <v>6.1940347303419303</v>
      </c>
      <c r="GG186">
        <v>4.9032937242168204</v>
      </c>
      <c r="GH186">
        <v>2.1397384963116721</v>
      </c>
      <c r="GI186">
        <v>6.2187177707475048</v>
      </c>
      <c r="GJ186"/>
      <c r="GK186"/>
      <c r="GL186"/>
      <c r="GM186"/>
    </row>
    <row r="187" spans="1:195" s="7" customFormat="1">
      <c r="A187" s="1"/>
      <c r="B187" s="76">
        <f ca="1">IF(C187="", "", RAND())</f>
        <v>0.7834453081362065</v>
      </c>
      <c r="C187">
        <v>3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10.416666666666666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30.848691502463055</v>
      </c>
      <c r="AO187">
        <v>5.7399186255271477</v>
      </c>
      <c r="AP187">
        <v>54.256139207276426</v>
      </c>
      <c r="AQ187">
        <v>44.834356907779394</v>
      </c>
      <c r="AR187">
        <v>5.5457294478662202</v>
      </c>
      <c r="AS187">
        <v>84.028989423510879</v>
      </c>
      <c r="AT187" t="e">
        <v>#DIV/0!</v>
      </c>
      <c r="AU187" t="e">
        <v>#DIV/0!</v>
      </c>
      <c r="AV187"/>
      <c r="AW187"/>
      <c r="AX187" s="146"/>
      <c r="AY187" s="76">
        <f t="shared" ca="1" si="169"/>
        <v>0.31085433145518326</v>
      </c>
      <c r="AZ187">
        <v>10</v>
      </c>
      <c r="BA187" s="129">
        <f t="shared" si="245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4"/>
        <v>0.10710795149832997</v>
      </c>
      <c r="CL187" s="179">
        <f t="shared" si="205"/>
        <v>10</v>
      </c>
      <c r="CM187" s="180">
        <f t="shared" si="206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0.71518074044756741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0">
        <v>182</v>
      </c>
      <c r="FZ187">
        <v>31.690665582858713</v>
      </c>
      <c r="GA187">
        <v>48.008868154183801</v>
      </c>
      <c r="GB187">
        <v>7.9677793780237316</v>
      </c>
      <c r="GC187">
        <v>1.738210612635076</v>
      </c>
      <c r="GD187">
        <v>0.89513436088229159</v>
      </c>
      <c r="GE187">
        <v>1.3118231649587164</v>
      </c>
      <c r="GF187">
        <v>6.140011049037156</v>
      </c>
      <c r="GG187">
        <v>3.9267142448191663</v>
      </c>
      <c r="GH187">
        <v>0.22645271853449905</v>
      </c>
      <c r="GI187">
        <v>8.5567164698808469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27.008329912424738</v>
      </c>
      <c r="AO188">
        <v>10.742120264848072</v>
      </c>
      <c r="AP188">
        <v>107.48762048783325</v>
      </c>
      <c r="AQ188">
        <v>74.304131011237772</v>
      </c>
      <c r="AR188">
        <v>9.7395194806195438</v>
      </c>
      <c r="AS188">
        <v>143.37929305759053</v>
      </c>
      <c r="AT188">
        <v>6.5494381343422239</v>
      </c>
      <c r="AU188">
        <v>-3.0819568713744889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0">
        <v>183</v>
      </c>
      <c r="FZ188">
        <v>11.723956449100655</v>
      </c>
      <c r="GA188">
        <v>23.444966412026986</v>
      </c>
      <c r="GB188">
        <v>8.4654517937176905</v>
      </c>
      <c r="GC188">
        <v>2.663836931232098</v>
      </c>
      <c r="GD188">
        <v>0.86172425033609645</v>
      </c>
      <c r="GE188">
        <v>8.2234159173821958E-3</v>
      </c>
      <c r="GF188">
        <v>3.1884647804456008</v>
      </c>
      <c r="GG188">
        <v>4.6728588172689181</v>
      </c>
      <c r="GH188">
        <v>3.1338273076387462</v>
      </c>
      <c r="GI188">
        <v>5.603020586769083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46.663755473453747</v>
      </c>
      <c r="AO189">
        <v>9.7997136057823742</v>
      </c>
      <c r="AP189">
        <v>101.42084779997101</v>
      </c>
      <c r="AQ189">
        <v>82.356907138165823</v>
      </c>
      <c r="AR189">
        <v>9.3949373371620535</v>
      </c>
      <c r="AS189">
        <v>136.88386238359749</v>
      </c>
      <c r="AT189">
        <v>6.0719187701460982</v>
      </c>
      <c r="AU189">
        <v>32.856537389329404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0">
        <v>184</v>
      </c>
      <c r="FZ189">
        <v>22.318038141104108</v>
      </c>
      <c r="GA189">
        <v>30.500010464586243</v>
      </c>
      <c r="GB189">
        <v>3.6894491334446267</v>
      </c>
      <c r="GC189">
        <v>1.6139573011631283</v>
      </c>
      <c r="GD189">
        <v>0.94858814906176869</v>
      </c>
      <c r="GE189">
        <v>4.1117079586910979E-3</v>
      </c>
      <c r="GF189">
        <v>0.89131172958578142</v>
      </c>
      <c r="GG189">
        <v>1.7101686867175068</v>
      </c>
      <c r="GH189">
        <v>2.4945228811557567</v>
      </c>
      <c r="GI189">
        <v>5.4023414282209732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30.866367907316182</v>
      </c>
      <c r="AO190">
        <v>8.1833271063278037</v>
      </c>
      <c r="AP190">
        <v>84.522721809671765</v>
      </c>
      <c r="AQ190">
        <v>63.748149043036683</v>
      </c>
      <c r="AR190">
        <v>7.7225986214981743</v>
      </c>
      <c r="AS190">
        <v>112.16761577327964</v>
      </c>
      <c r="AT190">
        <v>4.9310268157477131</v>
      </c>
      <c r="AU190">
        <v>26.896738010958202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0">
        <v>185</v>
      </c>
      <c r="FZ190">
        <v>3.2240490779676754</v>
      </c>
      <c r="GA190">
        <v>8.8245948159464511</v>
      </c>
      <c r="GB190">
        <v>5.4761626138047133</v>
      </c>
      <c r="GC190">
        <v>1.778674693700891</v>
      </c>
      <c r="GD190">
        <v>0.78092607596167607</v>
      </c>
      <c r="GE190">
        <v>1.4499687236065399</v>
      </c>
      <c r="GF190">
        <v>6.9165422088360407</v>
      </c>
      <c r="GG190">
        <v>6.1253037688197853</v>
      </c>
      <c r="GH190">
        <v>5.1074297657694636</v>
      </c>
      <c r="GI190">
        <v>4.5958405246027256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36.421592775041049</v>
      </c>
      <c r="AO191">
        <v>10.42750985377884</v>
      </c>
      <c r="AP191">
        <v>108.00889888071538</v>
      </c>
      <c r="AQ191">
        <v>79.570937154090657</v>
      </c>
      <c r="AR191">
        <v>10.03659256033275</v>
      </c>
      <c r="AS191">
        <v>128.72088050744057</v>
      </c>
      <c r="AT191">
        <v>6.4794596577314314</v>
      </c>
      <c r="AU191">
        <v>23.346240345617197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0">
        <v>186</v>
      </c>
      <c r="FZ191">
        <v>3.3413750026795084</v>
      </c>
      <c r="GA191">
        <v>12.339893526744371</v>
      </c>
      <c r="GB191">
        <v>6.7742842125542904</v>
      </c>
      <c r="GC191">
        <v>1.5881558749319824</v>
      </c>
      <c r="GD191">
        <v>0.7971428271772143</v>
      </c>
      <c r="GE191">
        <v>5.9339087451152928</v>
      </c>
      <c r="GF191">
        <v>10.969537017252371</v>
      </c>
      <c r="GG191">
        <v>3.0246737597572686</v>
      </c>
      <c r="GH191">
        <v>2.9642528399973243</v>
      </c>
      <c r="GI191">
        <v>5.4606664565502809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34.445998677248681</v>
      </c>
      <c r="AO192">
        <v>7.6758800219863108</v>
      </c>
      <c r="AP192">
        <v>80.941314554588573</v>
      </c>
      <c r="AQ192">
        <v>61.935505702400228</v>
      </c>
      <c r="AR192">
        <v>7.455892314158735</v>
      </c>
      <c r="AS192">
        <v>107.4318772826182</v>
      </c>
      <c r="AT192" t="e">
        <v>#DIV/0!</v>
      </c>
      <c r="AU192" t="e">
        <v>#DIV/0!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0">
        <v>187</v>
      </c>
      <c r="FZ192">
        <v>7.0094144923817714</v>
      </c>
      <c r="GA192">
        <v>28.570154907069274</v>
      </c>
      <c r="GB192">
        <v>14.57380389328203</v>
      </c>
      <c r="GC192">
        <v>2.0698249974981708</v>
      </c>
      <c r="GD192">
        <v>0.57120060094914082</v>
      </c>
      <c r="GE192">
        <v>1.3118231649587164</v>
      </c>
      <c r="GF192">
        <v>7.43520458995234</v>
      </c>
      <c r="GG192">
        <v>5.2997379464237033</v>
      </c>
      <c r="GH192">
        <v>2.4265078951997152</v>
      </c>
      <c r="GI192">
        <v>7.1669569826666759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25.528537219485493</v>
      </c>
      <c r="AO193">
        <v>9.9161549637416133</v>
      </c>
      <c r="AP193">
        <v>99.151393284866359</v>
      </c>
      <c r="AQ193">
        <v>68.240095849292189</v>
      </c>
      <c r="AR193">
        <v>9.4552312715985316</v>
      </c>
      <c r="AS193">
        <v>95.015178463976113</v>
      </c>
      <c r="AT193">
        <v>6.2643883371979854</v>
      </c>
      <c r="AU193">
        <v>12.477324702574347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0">
        <v>188</v>
      </c>
      <c r="FZ193">
        <v>15.040370212131968</v>
      </c>
      <c r="GA193">
        <v>32.254183950254884</v>
      </c>
      <c r="GB193">
        <v>11.066416468125674</v>
      </c>
      <c r="GC193">
        <v>2.531412405643013</v>
      </c>
      <c r="GD193">
        <v>0.81070457984448308</v>
      </c>
      <c r="GE193">
        <v>2.7556243266272196</v>
      </c>
      <c r="GF193">
        <v>5.0378124349586431</v>
      </c>
      <c r="GG193">
        <v>0.84954261570340917</v>
      </c>
      <c r="GH193">
        <v>1.3889269252916665</v>
      </c>
      <c r="GI193">
        <v>6.8077220870711663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45.577032589855868</v>
      </c>
      <c r="AO194">
        <v>11.000663930078474</v>
      </c>
      <c r="AP194">
        <v>115.70359679047452</v>
      </c>
      <c r="AQ194">
        <v>88.649919079962331</v>
      </c>
      <c r="AR194">
        <v>10.454838061511097</v>
      </c>
      <c r="AS194">
        <v>157.49202811636158</v>
      </c>
      <c r="AT194" t="e">
        <v>#DIV/0!</v>
      </c>
      <c r="AU194" t="e">
        <v>#DIV/0!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0">
        <v>189</v>
      </c>
      <c r="FZ194">
        <v>12.50929923431295</v>
      </c>
      <c r="GA194">
        <v>19.619216121052716</v>
      </c>
      <c r="GB194">
        <v>4.6709347884129251</v>
      </c>
      <c r="GC194">
        <v>1.8511478922510562</v>
      </c>
      <c r="GD194">
        <v>0.97336062921294442</v>
      </c>
      <c r="GE194">
        <v>4.2035371962544144</v>
      </c>
      <c r="GF194">
        <v>8.1867949997524878</v>
      </c>
      <c r="GG194">
        <v>1.6403468495478173</v>
      </c>
      <c r="GH194">
        <v>1.2774197807546503</v>
      </c>
      <c r="GI194">
        <v>5.4742606564511354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22.50115512680167</v>
      </c>
      <c r="AO195">
        <v>9.3572597585843198</v>
      </c>
      <c r="AP195">
        <v>92.095358693182916</v>
      </c>
      <c r="AQ195">
        <v>62.70383085496799</v>
      </c>
      <c r="AR195">
        <v>8.8491993202044803</v>
      </c>
      <c r="AS195">
        <v>123.52970689221581</v>
      </c>
      <c r="AT195">
        <v>6.2048362571237776</v>
      </c>
      <c r="AU195">
        <v>-18.655810614867459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0">
        <v>190</v>
      </c>
      <c r="FZ195">
        <v>13.131219558989278</v>
      </c>
      <c r="GA195">
        <v>27.252442060562526</v>
      </c>
      <c r="GB195">
        <v>9.2854582854898311</v>
      </c>
      <c r="GC195">
        <v>2.3245275164921178</v>
      </c>
      <c r="GD195">
        <v>0.5864558361791179</v>
      </c>
      <c r="GE195">
        <v>4.1117079586910979E-3</v>
      </c>
      <c r="GF195">
        <v>2.1701228532316357</v>
      </c>
      <c r="GG195">
        <v>2.3629906001764627</v>
      </c>
      <c r="GH195">
        <v>1.1490881144450649</v>
      </c>
      <c r="GI195">
        <v>5.3740969007306152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18.896081349206348</v>
      </c>
      <c r="AO196">
        <v>8.1013435369313953</v>
      </c>
      <c r="AP196">
        <v>77.27415601449411</v>
      </c>
      <c r="AQ196">
        <v>53.101379293211188</v>
      </c>
      <c r="AR196">
        <v>7.9168447845973029</v>
      </c>
      <c r="AS196">
        <v>93.245623371595485</v>
      </c>
      <c r="AT196">
        <v>5.574720928297066</v>
      </c>
      <c r="AU196">
        <v>12.737370679322105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0">
        <v>191</v>
      </c>
      <c r="FZ196">
        <v>12.60009127265309</v>
      </c>
      <c r="GA196">
        <v>36.25847868028773</v>
      </c>
      <c r="GB196">
        <v>13.791005947368848</v>
      </c>
      <c r="GC196">
        <v>2.5664622465095066</v>
      </c>
      <c r="GD196">
        <v>0.92136025426726231</v>
      </c>
      <c r="GE196">
        <v>1.5901701362337088</v>
      </c>
      <c r="GF196">
        <v>6.9895487251594499</v>
      </c>
      <c r="GG196">
        <v>5.3289259780747305</v>
      </c>
      <c r="GH196">
        <v>1.6868330592426739</v>
      </c>
      <c r="GI196">
        <v>7.6957572696732894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28.264747536945823</v>
      </c>
      <c r="AO197">
        <v>9.7044067789444917</v>
      </c>
      <c r="AP197">
        <v>98.039126120648831</v>
      </c>
      <c r="AQ197">
        <v>67.346640016477778</v>
      </c>
      <c r="AR197">
        <v>9.0743053421193807</v>
      </c>
      <c r="AS197">
        <v>114.51764099298764</v>
      </c>
      <c r="AT197">
        <v>5.9602017758091792</v>
      </c>
      <c r="AU197">
        <v>-3.1039334928637166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0">
        <v>192</v>
      </c>
      <c r="FZ197">
        <v>13.305844734649465</v>
      </c>
      <c r="GA197">
        <v>41.516534801653854</v>
      </c>
      <c r="GB197">
        <v>14.904910259169272</v>
      </c>
      <c r="GC197">
        <v>1.4815798078664406</v>
      </c>
      <c r="GD197">
        <v>0.56452373620201102</v>
      </c>
      <c r="GE197">
        <v>1.4499687236065399</v>
      </c>
      <c r="GF197">
        <v>5.5769741967080648</v>
      </c>
      <c r="GG197">
        <v>3.6498734387739891</v>
      </c>
      <c r="GH197">
        <v>1.9567779363581475</v>
      </c>
      <c r="GI197">
        <v>7.5106178673154425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60.275775976099247</v>
      </c>
      <c r="AO198">
        <v>12.853258279983166</v>
      </c>
      <c r="AP198">
        <v>137.48294368780773</v>
      </c>
      <c r="AQ198">
        <v>110.46237573581399</v>
      </c>
      <c r="AR198">
        <v>12.072890561750551</v>
      </c>
      <c r="AS198">
        <v>170.50511235309497</v>
      </c>
      <c r="AT198" t="e">
        <v>#DIV/0!</v>
      </c>
      <c r="AU198" t="e">
        <v>#DIV/0!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0">
        <v>193</v>
      </c>
      <c r="FZ198">
        <v>21.461194159459343</v>
      </c>
      <c r="GA198">
        <v>36.314971808725936</v>
      </c>
      <c r="GB198">
        <v>7.9793792509698793</v>
      </c>
      <c r="GC198">
        <v>2.0785825515184464</v>
      </c>
      <c r="GD198">
        <v>1.0814578723715369</v>
      </c>
      <c r="GE198">
        <v>0.42060423788150719</v>
      </c>
      <c r="GF198">
        <v>5.804243498470127</v>
      </c>
      <c r="GG198">
        <v>6.3265930859910071</v>
      </c>
      <c r="GH198">
        <v>1.913285777777173</v>
      </c>
      <c r="GI198">
        <v>7.3781606780886086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38.077492131910233</v>
      </c>
      <c r="AO199">
        <v>8.5501348895750233</v>
      </c>
      <c r="AP199">
        <v>86.237325302722979</v>
      </c>
      <c r="AQ199">
        <v>63.766330744453256</v>
      </c>
      <c r="AR199">
        <v>8.1893633258103797</v>
      </c>
      <c r="AS199">
        <v>136.17854662977024</v>
      </c>
      <c r="AT199" t="e">
        <v>#DIV/0!</v>
      </c>
      <c r="AU199" t="e">
        <v>#DIV/0!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0">
        <v>194</v>
      </c>
      <c r="FZ199">
        <v>13.482605874852503</v>
      </c>
      <c r="GA199">
        <v>33.705339880879237</v>
      </c>
      <c r="GB199">
        <v>11.421195464592266</v>
      </c>
      <c r="GC199">
        <v>1.5373712104284225</v>
      </c>
      <c r="GD199">
        <v>0.71884262818040057</v>
      </c>
      <c r="GE199">
        <v>1.5881142822543635</v>
      </c>
      <c r="GF199">
        <v>5.0519030144162436</v>
      </c>
      <c r="GG199">
        <v>2.8652460589394861</v>
      </c>
      <c r="GH199">
        <v>0.80768982191308281</v>
      </c>
      <c r="GI199">
        <v>6.5614257585416755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42.499486293559571</v>
      </c>
      <c r="AO200">
        <v>8.0091505215747265</v>
      </c>
      <c r="AP200">
        <v>84.450961230949645</v>
      </c>
      <c r="AQ200">
        <v>69.572499622998592</v>
      </c>
      <c r="AR200">
        <v>7.7280795212388149</v>
      </c>
      <c r="AS200">
        <v>122.27398937414434</v>
      </c>
      <c r="AT200" t="e">
        <v>#DIV/0!</v>
      </c>
      <c r="AU200" t="e">
        <v>#DIV/0!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0">
        <v>195</v>
      </c>
      <c r="FZ200">
        <v>3.3482494074956941</v>
      </c>
      <c r="GA200">
        <v>26.608413340777336</v>
      </c>
      <c r="GB200">
        <v>12.734530784445365</v>
      </c>
      <c r="GC200">
        <v>1.4940703560247361</v>
      </c>
      <c r="GD200">
        <v>0.87188406542172425</v>
      </c>
      <c r="GE200">
        <v>3.0380830058609032</v>
      </c>
      <c r="GF200">
        <v>4.5381328888609778</v>
      </c>
      <c r="GG200">
        <v>1.1717343844333155</v>
      </c>
      <c r="GH200">
        <v>2.6094684551532397</v>
      </c>
      <c r="GI200">
        <v>5.6540568574388441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20.039383780332052</v>
      </c>
      <c r="AO201">
        <v>6.7557884990764991</v>
      </c>
      <c r="AP201">
        <v>63.626381643339201</v>
      </c>
      <c r="AQ201">
        <v>44.279492269015968</v>
      </c>
      <c r="AR201">
        <v>6.6859851026452279</v>
      </c>
      <c r="AS201">
        <v>88.786678437849289</v>
      </c>
      <c r="AT201">
        <v>4.5076392936175864</v>
      </c>
      <c r="AU201">
        <v>5.5850480048558042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0">
        <v>196</v>
      </c>
      <c r="FZ201">
        <v>25.323831195857483</v>
      </c>
      <c r="GA201">
        <v>38.043809010080103</v>
      </c>
      <c r="GB201">
        <v>9.2730135462978325</v>
      </c>
      <c r="GC201">
        <v>2.4433039923325537</v>
      </c>
      <c r="GD201">
        <v>0.88056576921548002</v>
      </c>
      <c r="GE201">
        <v>1.5922259902130544</v>
      </c>
      <c r="GF201">
        <v>6.3470965553314294</v>
      </c>
      <c r="GG201">
        <v>4.6577676022663743</v>
      </c>
      <c r="GH201">
        <v>2.3830157366187406</v>
      </c>
      <c r="GI201">
        <v>8.3234235494371021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17.709160052910054</v>
      </c>
      <c r="AO202">
        <v>8.3644569177316193</v>
      </c>
      <c r="AP202">
        <v>75.657474001244893</v>
      </c>
      <c r="AQ202">
        <v>53.193890262759901</v>
      </c>
      <c r="AR202">
        <v>7.6071787429639413</v>
      </c>
      <c r="AS202">
        <v>81.094353507203209</v>
      </c>
      <c r="AT202">
        <v>5.7817431509904829</v>
      </c>
      <c r="AU202">
        <v>4.8250750200553263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0">
        <v>197</v>
      </c>
      <c r="FZ202">
        <v>7.0755024303862255</v>
      </c>
      <c r="GA202">
        <v>20.480303651432386</v>
      </c>
      <c r="GB202">
        <v>10.189974252333871</v>
      </c>
      <c r="GC202">
        <v>2.0143813048495036</v>
      </c>
      <c r="GD202">
        <v>0.45435047556978392</v>
      </c>
      <c r="GE202">
        <v>1.3077114570000252</v>
      </c>
      <c r="GF202">
        <v>8.6156175610806294</v>
      </c>
      <c r="GG202">
        <v>7.5806803270337024</v>
      </c>
      <c r="GH202">
        <v>2.9073745891042471</v>
      </c>
      <c r="GI202">
        <v>6.25555414633636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20.803125000000001</v>
      </c>
      <c r="AO203">
        <v>10.861681404142487</v>
      </c>
      <c r="AP203">
        <v>114.58522071090087</v>
      </c>
      <c r="AQ203">
        <v>76.434629470381552</v>
      </c>
      <c r="AR203">
        <v>10.599399537571117</v>
      </c>
      <c r="AS203">
        <v>118.10643907268044</v>
      </c>
      <c r="AT203">
        <v>7.1422353534435254</v>
      </c>
      <c r="AU203">
        <v>-0.98051329553032573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0">
        <v>198</v>
      </c>
      <c r="FZ203">
        <v>13.317053074699521</v>
      </c>
      <c r="GA203">
        <v>39.383033844807407</v>
      </c>
      <c r="GB203">
        <v>14.378421066638118</v>
      </c>
      <c r="GC203">
        <v>1.4304520378206855</v>
      </c>
      <c r="GD203">
        <v>0.59358968101087595</v>
      </c>
      <c r="GE203">
        <v>2.8978815932337341</v>
      </c>
      <c r="GF203">
        <v>8.1722535340994682</v>
      </c>
      <c r="GG203">
        <v>4.3758048786238373</v>
      </c>
      <c r="GH203">
        <v>2.9642528399973243</v>
      </c>
      <c r="GI203">
        <v>8.2126118133906285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34.499570105820119</v>
      </c>
      <c r="AO204">
        <v>10.286480297568275</v>
      </c>
      <c r="AP204">
        <v>104.31746344159548</v>
      </c>
      <c r="AQ204">
        <v>78.542716005652125</v>
      </c>
      <c r="AR204">
        <v>9.6147409958761436</v>
      </c>
      <c r="AS204">
        <v>141.49621596810348</v>
      </c>
      <c r="AT204">
        <v>6.3431766446811464</v>
      </c>
      <c r="AU204">
        <v>34.415674838648627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0">
        <v>199</v>
      </c>
      <c r="FZ204">
        <v>11.079244548695875</v>
      </c>
      <c r="GA204">
        <v>26.942114244987042</v>
      </c>
      <c r="GB204">
        <v>10.84566017932465</v>
      </c>
      <c r="GC204">
        <v>2.5816819582921346</v>
      </c>
      <c r="GD204">
        <v>0.57929762891254954</v>
      </c>
      <c r="GE204">
        <v>8.2234159173821958E-3</v>
      </c>
      <c r="GF204">
        <v>3.4399247579526651</v>
      </c>
      <c r="GG204">
        <v>4.1482591364646382</v>
      </c>
      <c r="GH204">
        <v>1.913285777777173</v>
      </c>
      <c r="GI204">
        <v>5.7732507000653728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35.310812351760624</v>
      </c>
      <c r="AO205">
        <v>8.1821566317962642</v>
      </c>
      <c r="AP205">
        <v>76.317661441319345</v>
      </c>
      <c r="AQ205">
        <v>60.406318148003088</v>
      </c>
      <c r="AR205">
        <v>7.4909969748335561</v>
      </c>
      <c r="AS205">
        <v>110.77132063478581</v>
      </c>
      <c r="AT205" t="e">
        <v>#DIV/0!</v>
      </c>
      <c r="AU205" t="e">
        <v>#DIV/0!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0">
        <v>200</v>
      </c>
      <c r="FZ205">
        <v>24.027321022820395</v>
      </c>
      <c r="GA205">
        <v>40.009435853176228</v>
      </c>
      <c r="GB205">
        <v>10.389227933135075</v>
      </c>
      <c r="GC205">
        <v>2.3361675353465707</v>
      </c>
      <c r="GD205">
        <v>0.70061513821085997</v>
      </c>
      <c r="GE205">
        <v>2.6154229140000504</v>
      </c>
      <c r="GF205">
        <v>6.6542320607878382</v>
      </c>
      <c r="GG205">
        <v>3.317677496836148</v>
      </c>
      <c r="GH205">
        <v>3.4171582770663225</v>
      </c>
      <c r="GI205">
        <v>8.5260314545287361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28.092840608465611</v>
      </c>
      <c r="AO206">
        <v>8.2372430076546301</v>
      </c>
      <c r="AP206">
        <v>86.752180674237749</v>
      </c>
      <c r="AQ206">
        <v>63.640513434255332</v>
      </c>
      <c r="AR206">
        <v>7.8840094759552928</v>
      </c>
      <c r="AS206">
        <v>129.68576843817979</v>
      </c>
      <c r="AT206" t="e">
        <v>#DIV/0!</v>
      </c>
      <c r="AU206" t="e">
        <v>#DIV/0!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0">
        <v>201</v>
      </c>
      <c r="FZ206">
        <v>14.472188156067727</v>
      </c>
      <c r="GA206">
        <v>34.032707363763279</v>
      </c>
      <c r="GB206">
        <v>11.747555480587501</v>
      </c>
      <c r="GC206">
        <v>2.277331634892259</v>
      </c>
      <c r="GD206">
        <v>0.80538575971830584</v>
      </c>
      <c r="GE206">
        <v>1.3138790189380618</v>
      </c>
      <c r="GF206">
        <v>4.0239118771102946</v>
      </c>
      <c r="GG206">
        <v>2.5403031240403573</v>
      </c>
      <c r="GH206">
        <v>2.3830157366187406</v>
      </c>
      <c r="GI206">
        <v>6.9215052742451695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37.358961640211639</v>
      </c>
      <c r="AO207">
        <v>11.969181323068884</v>
      </c>
      <c r="AP207">
        <v>124.0328063319633</v>
      </c>
      <c r="AQ207">
        <v>89.428633569470293</v>
      </c>
      <c r="AR207">
        <v>11.136305534838034</v>
      </c>
      <c r="AS207">
        <v>134.93046753127351</v>
      </c>
      <c r="AT207">
        <v>7.4764804078111338</v>
      </c>
      <c r="AU207">
        <v>36.900120839035466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0">
        <v>202</v>
      </c>
      <c r="FZ207">
        <v>11.203772435936326</v>
      </c>
      <c r="GA207">
        <v>29.349551821451758</v>
      </c>
      <c r="GB207">
        <v>10.56399086479885</v>
      </c>
      <c r="GC207">
        <v>2.2200458344331992</v>
      </c>
      <c r="GD207">
        <v>0.73493747421676214</v>
      </c>
      <c r="GE207">
        <v>1.3077114570000252</v>
      </c>
      <c r="GF207">
        <v>5.9171831166407101</v>
      </c>
      <c r="GG207">
        <v>4.6611084063583652</v>
      </c>
      <c r="GH207">
        <v>3.4171582770663225</v>
      </c>
      <c r="GI207">
        <v>6.6553170084005311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39.196576240649513</v>
      </c>
      <c r="AO208">
        <v>11.379295467146566</v>
      </c>
      <c r="AP208">
        <v>124.40407939594208</v>
      </c>
      <c r="AQ208">
        <v>91.917605502303232</v>
      </c>
      <c r="AR208">
        <v>10.663134938925349</v>
      </c>
      <c r="AS208">
        <v>150.49395266711116</v>
      </c>
      <c r="AT208">
        <v>6.9680267842947323</v>
      </c>
      <c r="AU208">
        <v>17.215724177146214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4.821340695068689</v>
      </c>
      <c r="GA208">
        <v>19.637841665385345</v>
      </c>
      <c r="GB208">
        <v>10.627905056454729</v>
      </c>
      <c r="GC208">
        <v>2.3973675196806066</v>
      </c>
      <c r="GD208">
        <v>1.0021885949730391</v>
      </c>
      <c r="GE208">
        <v>2.6174787679793958</v>
      </c>
      <c r="GF208">
        <v>6.6002083794830639</v>
      </c>
      <c r="GG208">
        <v>3.1006300090625176</v>
      </c>
      <c r="GH208">
        <v>4.0018338099053734</v>
      </c>
      <c r="GI208">
        <v>6.0525620341751107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51.515575396825398</v>
      </c>
      <c r="AO209">
        <v>11.242928226567948</v>
      </c>
      <c r="AP209">
        <v>117.51522417956387</v>
      </c>
      <c r="AQ209">
        <v>90.758472921253571</v>
      </c>
      <c r="AR209">
        <v>10.657031777655545</v>
      </c>
      <c r="AS209">
        <v>156.70282002516782</v>
      </c>
      <c r="AT209" t="e">
        <v>#DIV/0!</v>
      </c>
      <c r="AU209" t="e">
        <v>#DIV/0!</v>
      </c>
      <c r="AV209"/>
      <c r="AW209"/>
      <c r="FY209" s="210">
        <v>204</v>
      </c>
      <c r="FZ209">
        <v>4.6362576422003121</v>
      </c>
      <c r="GA209">
        <v>28.90007637136009</v>
      </c>
      <c r="GB209">
        <v>14.690740645798627</v>
      </c>
      <c r="GC209">
        <v>2.3316129649698234</v>
      </c>
      <c r="GD209">
        <v>0.82821126859760263</v>
      </c>
      <c r="GE209">
        <v>0.14020141262716906</v>
      </c>
      <c r="GF209">
        <v>2.1701228532316357</v>
      </c>
      <c r="GG209">
        <v>3.122522591800486</v>
      </c>
      <c r="GH209">
        <v>2.2546840703091551</v>
      </c>
      <c r="GI209">
        <v>5.8058679065983609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33.280257936507937</v>
      </c>
      <c r="AO210">
        <v>10.008518748845059</v>
      </c>
      <c r="AP210">
        <v>106.59521327497275</v>
      </c>
      <c r="AQ210">
        <v>77.739733994997692</v>
      </c>
      <c r="AR210">
        <v>9.4616240914988605</v>
      </c>
      <c r="AS210">
        <v>137.75773327980659</v>
      </c>
      <c r="AT210">
        <v>5.9818538495105322</v>
      </c>
      <c r="AU210">
        <v>26.32673736280492</v>
      </c>
      <c r="AV210"/>
      <c r="AW210"/>
      <c r="FY210" s="210">
        <v>205</v>
      </c>
      <c r="FZ210">
        <v>11.828937657760775</v>
      </c>
      <c r="GA210">
        <v>35.325572233384825</v>
      </c>
      <c r="GB210">
        <v>12.634839118275014</v>
      </c>
      <c r="GC210">
        <v>2.3398636096839951</v>
      </c>
      <c r="GD210">
        <v>1.0801119538146386</v>
      </c>
      <c r="GE210">
        <v>1.3097673109793708</v>
      </c>
      <c r="GF210">
        <v>3.64866211089151</v>
      </c>
      <c r="GG210">
        <v>2.1576935233133856</v>
      </c>
      <c r="GH210">
        <v>2.3830157366187406</v>
      </c>
      <c r="GI210">
        <v>6.7846544449644943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24.044739782886332</v>
      </c>
      <c r="AO211">
        <v>8.7537819239123937</v>
      </c>
      <c r="AP211">
        <v>89.874103844360945</v>
      </c>
      <c r="AQ211">
        <v>62.068623545912139</v>
      </c>
      <c r="AR211">
        <v>8.1069581791156722</v>
      </c>
      <c r="AS211">
        <v>101.89180181683867</v>
      </c>
      <c r="AT211">
        <v>5.3364016032904287</v>
      </c>
      <c r="AU211">
        <v>-6.375580702710506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4.7108297900324443</v>
      </c>
      <c r="GA211">
        <v>20.539301620016214</v>
      </c>
      <c r="GB211">
        <v>11.936499094426235</v>
      </c>
      <c r="GC211">
        <v>2.6897249100331733</v>
      </c>
      <c r="GD211">
        <v>0.83944551224821162</v>
      </c>
      <c r="GE211">
        <v>0.28451453321302922</v>
      </c>
      <c r="GF211">
        <v>4.8145336163667807</v>
      </c>
      <c r="GG211">
        <v>6.1650811746038681</v>
      </c>
      <c r="GH211">
        <v>3.6001188370198469</v>
      </c>
      <c r="GI211">
        <v>5.8406998490068593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53.583495256340086</v>
      </c>
      <c r="AO212">
        <v>12.29167151333613</v>
      </c>
      <c r="AP212">
        <v>127.21562207592437</v>
      </c>
      <c r="AQ212">
        <v>99.268052947650176</v>
      </c>
      <c r="AR212">
        <v>11.845203697767611</v>
      </c>
      <c r="AS212">
        <v>184.45658244709327</v>
      </c>
      <c r="AT212">
        <v>7.5647220335649434</v>
      </c>
      <c r="AU212">
        <v>58.249224790465725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5">AVERAGE(DF88:DF97)</f>
        <v>0</v>
      </c>
      <c r="DG212" s="182">
        <f t="shared" ref="DG212:DQ212" si="336">AVERAGE(DG88:DG97)</f>
        <v>0</v>
      </c>
      <c r="DH212" s="182">
        <f t="shared" si="336"/>
        <v>9.375</v>
      </c>
      <c r="DI212" s="182">
        <f t="shared" si="336"/>
        <v>16.666666666666668</v>
      </c>
      <c r="DJ212" s="182">
        <f t="shared" si="336"/>
        <v>9.375</v>
      </c>
      <c r="DK212" s="182">
        <f t="shared" si="336"/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0</v>
      </c>
      <c r="DP212" s="182">
        <f t="shared" si="336"/>
        <v>0</v>
      </c>
      <c r="DQ212" s="182">
        <f t="shared" si="336"/>
        <v>0</v>
      </c>
      <c r="DR212" s="182">
        <f t="shared" si="335"/>
        <v>0</v>
      </c>
      <c r="DS212" s="182">
        <f t="shared" si="335"/>
        <v>0</v>
      </c>
      <c r="DT212" s="182">
        <f t="shared" si="335"/>
        <v>0</v>
      </c>
      <c r="DU212" s="182">
        <f t="shared" si="335"/>
        <v>0</v>
      </c>
      <c r="DV212" s="182">
        <f t="shared" si="335"/>
        <v>0</v>
      </c>
      <c r="DW212" s="182">
        <f t="shared" si="335"/>
        <v>0</v>
      </c>
      <c r="DX212" s="182">
        <f t="shared" si="335"/>
        <v>0</v>
      </c>
      <c r="DY212" s="182">
        <f t="shared" si="335"/>
        <v>0</v>
      </c>
      <c r="DZ212" s="182">
        <f t="shared" si="335"/>
        <v>0</v>
      </c>
      <c r="EA212" s="182">
        <f t="shared" si="335"/>
        <v>0</v>
      </c>
      <c r="EB212" s="182">
        <f t="shared" si="335"/>
        <v>0</v>
      </c>
      <c r="EC212" s="182">
        <f t="shared" si="335"/>
        <v>0</v>
      </c>
      <c r="ED212" s="182">
        <f t="shared" si="335"/>
        <v>0</v>
      </c>
      <c r="EE212" s="182">
        <f t="shared" si="335"/>
        <v>0</v>
      </c>
      <c r="EF212" s="182">
        <f t="shared" si="335"/>
        <v>0</v>
      </c>
      <c r="EG212" s="182">
        <f t="shared" si="335"/>
        <v>0</v>
      </c>
      <c r="EH212" s="182">
        <f t="shared" si="335"/>
        <v>0</v>
      </c>
      <c r="EI212" s="182">
        <f t="shared" si="335"/>
        <v>0</v>
      </c>
      <c r="EJ212" s="182">
        <f t="shared" si="335"/>
        <v>0</v>
      </c>
      <c r="FY212" s="210">
        <v>207</v>
      </c>
      <c r="FZ212">
        <v>29.805162388702996</v>
      </c>
      <c r="GA212">
        <v>42.344848792208275</v>
      </c>
      <c r="GB212">
        <v>6.1111042776672839</v>
      </c>
      <c r="GC212">
        <v>2.5080264428384922</v>
      </c>
      <c r="GD212">
        <v>1.0788383896593541</v>
      </c>
      <c r="GE212">
        <v>1.7283156948815326</v>
      </c>
      <c r="GF212">
        <v>2.3534685699763243</v>
      </c>
      <c r="GG212">
        <v>2.8137850298094058</v>
      </c>
      <c r="GH212">
        <v>5.5134046147970199</v>
      </c>
      <c r="GI212">
        <v>8.0219290683643116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21.199733169129718</v>
      </c>
      <c r="AO213">
        <v>9.66608272016847</v>
      </c>
      <c r="AP213">
        <v>98.575594989030321</v>
      </c>
      <c r="AQ213">
        <v>66.881450195126746</v>
      </c>
      <c r="AR213">
        <v>9.2353280269341731</v>
      </c>
      <c r="AS213">
        <v>128.6505954606574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7">AVERAGE(DF98:DF107)</f>
        <v>0</v>
      </c>
      <c r="DG213" s="185">
        <f t="shared" ref="DG213:DQ213" si="338">AVERAGE(DG98:DG107)</f>
        <v>14.880952380952383</v>
      </c>
      <c r="DH213" s="185">
        <f t="shared" si="338"/>
        <v>33.511904761904759</v>
      </c>
      <c r="DI213" s="185">
        <f t="shared" si="338"/>
        <v>20.714285714285715</v>
      </c>
      <c r="DJ213" s="185">
        <f t="shared" si="338"/>
        <v>43.095238095238095</v>
      </c>
      <c r="DK213" s="185">
        <f t="shared" si="338"/>
        <v>9.5833333333333321</v>
      </c>
      <c r="DL213" s="185">
        <f t="shared" si="338"/>
        <v>2.083333333333333</v>
      </c>
      <c r="DM213" s="185">
        <f t="shared" si="338"/>
        <v>0</v>
      </c>
      <c r="DN213" s="185">
        <f t="shared" si="338"/>
        <v>0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7"/>
        <v>0</v>
      </c>
      <c r="DS213" s="185">
        <f t="shared" si="337"/>
        <v>0</v>
      </c>
      <c r="DT213" s="185">
        <f t="shared" si="337"/>
        <v>0</v>
      </c>
      <c r="DU213" s="185">
        <f t="shared" si="337"/>
        <v>0</v>
      </c>
      <c r="DV213" s="185">
        <f t="shared" si="337"/>
        <v>0</v>
      </c>
      <c r="DW213" s="185">
        <f t="shared" si="337"/>
        <v>0</v>
      </c>
      <c r="DX213" s="185">
        <f t="shared" si="337"/>
        <v>0</v>
      </c>
      <c r="DY213" s="185">
        <f t="shared" si="337"/>
        <v>0</v>
      </c>
      <c r="DZ213" s="185">
        <f t="shared" si="337"/>
        <v>0</v>
      </c>
      <c r="EA213" s="185">
        <f t="shared" si="337"/>
        <v>0</v>
      </c>
      <c r="EB213" s="185">
        <f t="shared" si="337"/>
        <v>0</v>
      </c>
      <c r="EC213" s="185">
        <f t="shared" si="337"/>
        <v>0</v>
      </c>
      <c r="ED213" s="185">
        <f t="shared" si="337"/>
        <v>0</v>
      </c>
      <c r="EE213" s="185">
        <f t="shared" si="337"/>
        <v>0</v>
      </c>
      <c r="EF213" s="185">
        <f t="shared" si="337"/>
        <v>0</v>
      </c>
      <c r="EG213" s="185">
        <f t="shared" si="337"/>
        <v>0</v>
      </c>
      <c r="EH213" s="185">
        <f t="shared" si="337"/>
        <v>0</v>
      </c>
      <c r="EI213" s="185">
        <f t="shared" si="337"/>
        <v>0</v>
      </c>
      <c r="EJ213" s="185">
        <f t="shared" si="337"/>
        <v>0</v>
      </c>
      <c r="FY213" s="210">
        <v>208</v>
      </c>
      <c r="FZ213">
        <v>2.5706306543776112</v>
      </c>
      <c r="GA213">
        <v>21.372045229939229</v>
      </c>
      <c r="GB213">
        <v>11.768898372885573</v>
      </c>
      <c r="GC213">
        <v>2.6848757708316078</v>
      </c>
      <c r="GD213">
        <v>1.2798237952716967</v>
      </c>
      <c r="GE213">
        <v>0.28040282525433813</v>
      </c>
      <c r="GF213">
        <v>4.7859015712561614</v>
      </c>
      <c r="GG213">
        <v>4.6062397855717387</v>
      </c>
      <c r="GH213">
        <v>1.6188180732866324</v>
      </c>
      <c r="GI213">
        <v>5.422421858098776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35.015590790914068</v>
      </c>
      <c r="AO214">
        <v>12.542380547607092</v>
      </c>
      <c r="AP214">
        <v>133.97677572489189</v>
      </c>
      <c r="AQ214">
        <v>95.725354364321603</v>
      </c>
      <c r="AR214">
        <v>11.813281150194149</v>
      </c>
      <c r="AS214">
        <v>150.79209121461207</v>
      </c>
      <c r="AT214">
        <v>7.5461942246722513</v>
      </c>
      <c r="AU214">
        <v>40.600416329767228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39">AVERAGE(DF108:DF117)</f>
        <v>0</v>
      </c>
      <c r="DG214" s="182">
        <f t="shared" ref="DG214:DQ214" si="340">AVERAGE(DG108:DG117)</f>
        <v>0</v>
      </c>
      <c r="DH214" s="182">
        <f t="shared" si="340"/>
        <v>0</v>
      </c>
      <c r="DI214" s="182">
        <f t="shared" si="340"/>
        <v>9.3750000000000018</v>
      </c>
      <c r="DJ214" s="182">
        <f t="shared" si="340"/>
        <v>6.25</v>
      </c>
      <c r="DK214" s="182">
        <f t="shared" si="340"/>
        <v>10.416666666666666</v>
      </c>
      <c r="DL214" s="182">
        <f t="shared" si="340"/>
        <v>0</v>
      </c>
      <c r="DM214" s="182">
        <f t="shared" si="340"/>
        <v>4.1666666666666661</v>
      </c>
      <c r="DN214" s="182">
        <f t="shared" si="340"/>
        <v>4.1666666666666661</v>
      </c>
      <c r="DO214" s="182">
        <f t="shared" si="340"/>
        <v>4.1666666666666661</v>
      </c>
      <c r="DP214" s="182">
        <f t="shared" si="340"/>
        <v>2.083333333333333</v>
      </c>
      <c r="DQ214" s="182">
        <f t="shared" si="340"/>
        <v>0</v>
      </c>
      <c r="DR214" s="182">
        <f t="shared" si="339"/>
        <v>0</v>
      </c>
      <c r="DS214" s="182">
        <f t="shared" si="339"/>
        <v>0</v>
      </c>
      <c r="DT214" s="182">
        <f t="shared" si="339"/>
        <v>0</v>
      </c>
      <c r="DU214" s="182">
        <f t="shared" si="339"/>
        <v>0</v>
      </c>
      <c r="DV214" s="182">
        <f t="shared" si="339"/>
        <v>0</v>
      </c>
      <c r="DW214" s="182">
        <f t="shared" si="339"/>
        <v>0</v>
      </c>
      <c r="DX214" s="182">
        <f t="shared" si="339"/>
        <v>0</v>
      </c>
      <c r="DY214" s="182">
        <f t="shared" si="339"/>
        <v>0</v>
      </c>
      <c r="DZ214" s="182">
        <f t="shared" si="339"/>
        <v>0</v>
      </c>
      <c r="EA214" s="182">
        <f t="shared" si="339"/>
        <v>0</v>
      </c>
      <c r="EB214" s="182">
        <f t="shared" si="339"/>
        <v>0</v>
      </c>
      <c r="EC214" s="182">
        <f t="shared" si="339"/>
        <v>0</v>
      </c>
      <c r="ED214" s="182">
        <f t="shared" si="339"/>
        <v>0</v>
      </c>
      <c r="EE214" s="182">
        <f t="shared" si="339"/>
        <v>0</v>
      </c>
      <c r="EF214" s="182">
        <f t="shared" si="339"/>
        <v>0</v>
      </c>
      <c r="EG214" s="182">
        <f t="shared" si="339"/>
        <v>0</v>
      </c>
      <c r="EH214" s="182">
        <f t="shared" si="339"/>
        <v>0</v>
      </c>
      <c r="EI214" s="182">
        <f t="shared" si="339"/>
        <v>0</v>
      </c>
      <c r="EJ214" s="182">
        <f t="shared" si="339"/>
        <v>0</v>
      </c>
      <c r="FY214" s="210">
        <v>209</v>
      </c>
      <c r="FZ214">
        <v>12.779648264118272</v>
      </c>
      <c r="GA214">
        <v>28.031146019055527</v>
      </c>
      <c r="GB214">
        <v>9.9390222746130164</v>
      </c>
      <c r="GC214">
        <v>2.1746579521895222</v>
      </c>
      <c r="GD214">
        <v>0.64961418989288444</v>
      </c>
      <c r="GE214">
        <v>3.9231343710000761</v>
      </c>
      <c r="GF214">
        <v>9.6344103744900131</v>
      </c>
      <c r="GG214">
        <v>4.8899063050425484</v>
      </c>
      <c r="GH214">
        <v>3.941517129551829</v>
      </c>
      <c r="GI214">
        <v>7.4287837139513746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31.315873015873013</v>
      </c>
      <c r="AO215">
        <v>8.8093691975019262</v>
      </c>
      <c r="AP215">
        <v>91.418660005520863</v>
      </c>
      <c r="AQ215">
        <v>67.310942348389503</v>
      </c>
      <c r="AR215">
        <v>8.3513005623792669</v>
      </c>
      <c r="AS215">
        <v>115.73757595442477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1">AVERAGE(DF118:DF127)</f>
        <v>0</v>
      </c>
      <c r="DG215" s="182">
        <f t="shared" ref="DG215:DQ215" si="342">AVERAGE(DG118:DG127)</f>
        <v>6.2859195402298846</v>
      </c>
      <c r="DH215" s="182">
        <f t="shared" si="342"/>
        <v>0</v>
      </c>
      <c r="DI215" s="182">
        <f t="shared" si="342"/>
        <v>22.258141762452105</v>
      </c>
      <c r="DJ215" s="182">
        <f t="shared" si="342"/>
        <v>9.7222222222222232</v>
      </c>
      <c r="DK215" s="182">
        <f t="shared" si="342"/>
        <v>0</v>
      </c>
      <c r="DL215" s="182">
        <f t="shared" si="342"/>
        <v>1.0416666666666665</v>
      </c>
      <c r="DM215" s="182">
        <f t="shared" si="342"/>
        <v>0</v>
      </c>
      <c r="DN215" s="182">
        <f t="shared" si="342"/>
        <v>0</v>
      </c>
      <c r="DO215" s="182">
        <f t="shared" si="342"/>
        <v>0</v>
      </c>
      <c r="DP215" s="182">
        <f t="shared" si="342"/>
        <v>0</v>
      </c>
      <c r="DQ215" s="182">
        <f t="shared" si="342"/>
        <v>0</v>
      </c>
      <c r="DR215" s="182">
        <f t="shared" si="341"/>
        <v>0</v>
      </c>
      <c r="DS215" s="182">
        <f t="shared" si="341"/>
        <v>0</v>
      </c>
      <c r="DT215" s="182">
        <f t="shared" si="341"/>
        <v>0</v>
      </c>
      <c r="DU215" s="182">
        <f t="shared" si="341"/>
        <v>0</v>
      </c>
      <c r="DV215" s="182">
        <f t="shared" si="341"/>
        <v>0</v>
      </c>
      <c r="DW215" s="182">
        <f t="shared" si="341"/>
        <v>0</v>
      </c>
      <c r="DX215" s="182">
        <f t="shared" si="341"/>
        <v>0</v>
      </c>
      <c r="DY215" s="182">
        <f t="shared" si="341"/>
        <v>0</v>
      </c>
      <c r="DZ215" s="182">
        <f t="shared" si="341"/>
        <v>0</v>
      </c>
      <c r="EA215" s="182">
        <f t="shared" si="341"/>
        <v>0</v>
      </c>
      <c r="EB215" s="182">
        <f t="shared" si="341"/>
        <v>0</v>
      </c>
      <c r="EC215" s="182">
        <f t="shared" si="341"/>
        <v>0</v>
      </c>
      <c r="ED215" s="182">
        <f t="shared" si="341"/>
        <v>0</v>
      </c>
      <c r="EE215" s="182">
        <f t="shared" si="341"/>
        <v>0</v>
      </c>
      <c r="EF215" s="182">
        <f t="shared" si="341"/>
        <v>0</v>
      </c>
      <c r="EG215" s="182">
        <f t="shared" si="341"/>
        <v>0</v>
      </c>
      <c r="EH215" s="182">
        <f t="shared" si="341"/>
        <v>0</v>
      </c>
      <c r="EI215" s="182">
        <f t="shared" si="341"/>
        <v>0</v>
      </c>
      <c r="EJ215" s="182">
        <f t="shared" si="341"/>
        <v>0</v>
      </c>
      <c r="FY215" s="210">
        <v>210</v>
      </c>
      <c r="FZ215">
        <v>12.533908260178244</v>
      </c>
      <c r="GA215">
        <v>29.34274111332445</v>
      </c>
      <c r="GB215">
        <v>9.6814235178846992</v>
      </c>
      <c r="GC215">
        <v>1.9412004646951373</v>
      </c>
      <c r="GD215">
        <v>0.99688424401994125</v>
      </c>
      <c r="GE215">
        <v>0.28245867923368362</v>
      </c>
      <c r="GF215">
        <v>4.5917056839703347</v>
      </c>
      <c r="GG215">
        <v>5.2103942779441832</v>
      </c>
      <c r="GH215">
        <v>1.3320486743985893</v>
      </c>
      <c r="GI215">
        <v>6.1380484895238947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51.176849571246123</v>
      </c>
      <c r="AO216">
        <v>12.624547846115105</v>
      </c>
      <c r="AP216">
        <v>131.08655114654451</v>
      </c>
      <c r="AQ216">
        <v>101.99328968590822</v>
      </c>
      <c r="AR216">
        <v>11.990622993703958</v>
      </c>
      <c r="AS216">
        <v>171.11504146984959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3">AVERAGE(DF128:DF137)</f>
        <v>0</v>
      </c>
      <c r="DG216" s="182">
        <f t="shared" ref="DG216:DQ216" si="344">AVERAGE(DG128:DG137)</f>
        <v>5.1636904761904763</v>
      </c>
      <c r="DH216" s="182">
        <f t="shared" si="344"/>
        <v>41.422107984607983</v>
      </c>
      <c r="DI216" s="182">
        <f t="shared" si="344"/>
        <v>14.299242424242422</v>
      </c>
      <c r="DJ216" s="182">
        <f t="shared" si="344"/>
        <v>2.4621212121212119</v>
      </c>
      <c r="DK216" s="182">
        <f t="shared" si="344"/>
        <v>2.1875</v>
      </c>
      <c r="DL216" s="182">
        <f t="shared" si="344"/>
        <v>0</v>
      </c>
      <c r="DM216" s="182">
        <f t="shared" si="344"/>
        <v>0</v>
      </c>
      <c r="DN216" s="182">
        <f t="shared" si="344"/>
        <v>0</v>
      </c>
      <c r="DO216" s="182">
        <f t="shared" si="344"/>
        <v>0</v>
      </c>
      <c r="DP216" s="182">
        <f t="shared" si="344"/>
        <v>0</v>
      </c>
      <c r="DQ216" s="182">
        <f t="shared" si="344"/>
        <v>0</v>
      </c>
      <c r="DR216" s="182">
        <f t="shared" si="343"/>
        <v>0</v>
      </c>
      <c r="DS216" s="182">
        <f t="shared" si="343"/>
        <v>0</v>
      </c>
      <c r="DT216" s="182">
        <f t="shared" si="343"/>
        <v>0</v>
      </c>
      <c r="DU216" s="182">
        <f t="shared" si="343"/>
        <v>0</v>
      </c>
      <c r="DV216" s="182">
        <f t="shared" si="343"/>
        <v>0</v>
      </c>
      <c r="DW216" s="182">
        <f t="shared" si="343"/>
        <v>0</v>
      </c>
      <c r="DX216" s="182">
        <f t="shared" si="343"/>
        <v>0</v>
      </c>
      <c r="DY216" s="182">
        <f t="shared" si="343"/>
        <v>0</v>
      </c>
      <c r="DZ216" s="182">
        <f t="shared" si="343"/>
        <v>0</v>
      </c>
      <c r="EA216" s="182">
        <f t="shared" si="343"/>
        <v>0</v>
      </c>
      <c r="EB216" s="182">
        <f t="shared" si="343"/>
        <v>0</v>
      </c>
      <c r="EC216" s="182">
        <f t="shared" si="343"/>
        <v>0</v>
      </c>
      <c r="ED216" s="182">
        <f t="shared" si="343"/>
        <v>0</v>
      </c>
      <c r="EE216" s="182">
        <f t="shared" si="343"/>
        <v>0</v>
      </c>
      <c r="EF216" s="182">
        <f t="shared" si="343"/>
        <v>0</v>
      </c>
      <c r="EG216" s="182">
        <f t="shared" si="343"/>
        <v>0</v>
      </c>
      <c r="EH216" s="182">
        <f t="shared" si="343"/>
        <v>0</v>
      </c>
      <c r="EI216" s="182">
        <f t="shared" si="343"/>
        <v>0</v>
      </c>
      <c r="EJ216" s="182">
        <f t="shared" si="343"/>
        <v>0</v>
      </c>
      <c r="FY216" s="210">
        <v>211</v>
      </c>
      <c r="FZ216">
        <v>20.970026586066627</v>
      </c>
      <c r="GA216">
        <v>47.446539528628072</v>
      </c>
      <c r="GB216">
        <v>14.119094053673157</v>
      </c>
      <c r="GC216">
        <v>2.2729732116711765</v>
      </c>
      <c r="GD216">
        <v>1.0614402334728994</v>
      </c>
      <c r="GE216">
        <v>4.067447491585936</v>
      </c>
      <c r="GF216">
        <v>12.055993205228711</v>
      </c>
      <c r="GG216">
        <v>6.218245999562221</v>
      </c>
      <c r="GH216">
        <v>3.1907055585318234</v>
      </c>
      <c r="GI216">
        <v>10.390519808598309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35.638985814632363</v>
      </c>
      <c r="AO217">
        <v>10.564902937626931</v>
      </c>
      <c r="AP217">
        <v>110.88524328067605</v>
      </c>
      <c r="AQ217">
        <v>80.517783425981705</v>
      </c>
      <c r="AR217">
        <v>10.056992509975551</v>
      </c>
      <c r="AS217">
        <v>121.11112636041848</v>
      </c>
      <c r="AT217">
        <v>6.6059182542177943</v>
      </c>
      <c r="AU217">
        <v>26.856612703304283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5">AVERAGE(DF138:DF147)</f>
        <v>0</v>
      </c>
      <c r="DG217" s="182">
        <f t="shared" ref="DG217:DQ217" si="346">AVERAGE(DG138:DG147)</f>
        <v>1.0416666666666665</v>
      </c>
      <c r="DH217" s="182">
        <f t="shared" si="346"/>
        <v>0</v>
      </c>
      <c r="DI217" s="182">
        <f t="shared" si="346"/>
        <v>2.083333333333333</v>
      </c>
      <c r="DJ217" s="182">
        <f t="shared" si="346"/>
        <v>1.0416666666666665</v>
      </c>
      <c r="DK217" s="182">
        <f t="shared" si="346"/>
        <v>0</v>
      </c>
      <c r="DL217" s="182">
        <f t="shared" si="346"/>
        <v>0</v>
      </c>
      <c r="DM217" s="182">
        <f t="shared" si="346"/>
        <v>0</v>
      </c>
      <c r="DN217" s="182">
        <f t="shared" si="346"/>
        <v>0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5"/>
        <v>0</v>
      </c>
      <c r="DS217" s="182">
        <f t="shared" si="345"/>
        <v>0</v>
      </c>
      <c r="DT217" s="182">
        <f t="shared" si="345"/>
        <v>0</v>
      </c>
      <c r="DU217" s="182">
        <f t="shared" si="345"/>
        <v>0</v>
      </c>
      <c r="DV217" s="182">
        <f t="shared" si="345"/>
        <v>0</v>
      </c>
      <c r="DW217" s="182">
        <f t="shared" si="345"/>
        <v>0</v>
      </c>
      <c r="DX217" s="182">
        <f t="shared" si="345"/>
        <v>0</v>
      </c>
      <c r="DY217" s="182">
        <f t="shared" si="345"/>
        <v>0</v>
      </c>
      <c r="DZ217" s="182">
        <f t="shared" si="345"/>
        <v>0</v>
      </c>
      <c r="EA217" s="182">
        <f t="shared" si="345"/>
        <v>0</v>
      </c>
      <c r="EB217" s="182">
        <f t="shared" si="345"/>
        <v>0</v>
      </c>
      <c r="EC217" s="182">
        <f t="shared" si="345"/>
        <v>0</v>
      </c>
      <c r="ED217" s="182">
        <f t="shared" si="345"/>
        <v>0</v>
      </c>
      <c r="EE217" s="182">
        <f t="shared" si="345"/>
        <v>0</v>
      </c>
      <c r="EF217" s="182">
        <f t="shared" si="345"/>
        <v>0</v>
      </c>
      <c r="EG217" s="182">
        <f t="shared" si="345"/>
        <v>0</v>
      </c>
      <c r="EH217" s="182">
        <f t="shared" si="345"/>
        <v>0</v>
      </c>
      <c r="EI217" s="182">
        <f t="shared" si="345"/>
        <v>0</v>
      </c>
      <c r="EJ217" s="182">
        <f t="shared" si="345"/>
        <v>0</v>
      </c>
      <c r="FY217" s="210">
        <v>212</v>
      </c>
      <c r="FZ217">
        <v>12.644359780073888</v>
      </c>
      <c r="GA217">
        <v>29.872424152550437</v>
      </c>
      <c r="GB217">
        <v>9.3055598148792598</v>
      </c>
      <c r="GC217">
        <v>1.270858656706217</v>
      </c>
      <c r="GD217">
        <v>0.77637161710898228</v>
      </c>
      <c r="GE217">
        <v>3.0360271518815578</v>
      </c>
      <c r="GF217">
        <v>10.119548454934661</v>
      </c>
      <c r="GG217">
        <v>7.133155490437824</v>
      </c>
      <c r="GH217">
        <v>4.296301514395914</v>
      </c>
      <c r="GI217">
        <v>7.4857191303592936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34.354810367633647</v>
      </c>
      <c r="AO218">
        <v>10.271171184904333</v>
      </c>
      <c r="AP218">
        <v>106.59686189396359</v>
      </c>
      <c r="AQ218">
        <v>76.030776696302851</v>
      </c>
      <c r="AR218">
        <v>9.7114690739709193</v>
      </c>
      <c r="AS218">
        <v>124.40357049444944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7">AVERAGE(DF148:DF157)</f>
        <v>0</v>
      </c>
      <c r="DG218" s="182">
        <f t="shared" ref="DG218:DQ218" si="348">AVERAGE(DG148:DG157)</f>
        <v>0</v>
      </c>
      <c r="DH218" s="182">
        <f t="shared" si="348"/>
        <v>0</v>
      </c>
      <c r="DI218" s="182">
        <f t="shared" si="348"/>
        <v>2.6041666666666665</v>
      </c>
      <c r="DJ218" s="182">
        <f t="shared" si="348"/>
        <v>1.3020833333333333</v>
      </c>
      <c r="DK218" s="182">
        <f t="shared" si="348"/>
        <v>0</v>
      </c>
      <c r="DL218" s="182">
        <f t="shared" si="348"/>
        <v>0</v>
      </c>
      <c r="DM218" s="182">
        <f t="shared" si="348"/>
        <v>1.3020833333333333</v>
      </c>
      <c r="DN218" s="182">
        <f t="shared" si="348"/>
        <v>2.6041666666666665</v>
      </c>
      <c r="DO218" s="182">
        <f t="shared" si="348"/>
        <v>0</v>
      </c>
      <c r="DP218" s="182">
        <f t="shared" si="348"/>
        <v>0</v>
      </c>
      <c r="DQ218" s="182">
        <f t="shared" si="348"/>
        <v>0</v>
      </c>
      <c r="DR218" s="182">
        <f t="shared" si="347"/>
        <v>0</v>
      </c>
      <c r="DS218" s="182">
        <f t="shared" si="347"/>
        <v>0</v>
      </c>
      <c r="DT218" s="182">
        <f t="shared" si="347"/>
        <v>0</v>
      </c>
      <c r="DU218" s="182">
        <f t="shared" si="347"/>
        <v>0</v>
      </c>
      <c r="DV218" s="182">
        <f t="shared" si="347"/>
        <v>0</v>
      </c>
      <c r="DW218" s="182">
        <f t="shared" si="347"/>
        <v>0</v>
      </c>
      <c r="DX218" s="182">
        <f t="shared" si="347"/>
        <v>0</v>
      </c>
      <c r="DY218" s="182">
        <f t="shared" si="347"/>
        <v>0</v>
      </c>
      <c r="DZ218" s="182">
        <f t="shared" si="347"/>
        <v>0</v>
      </c>
      <c r="EA218" s="182">
        <f t="shared" si="347"/>
        <v>0</v>
      </c>
      <c r="EB218" s="182">
        <f t="shared" si="347"/>
        <v>0</v>
      </c>
      <c r="EC218" s="182">
        <f t="shared" si="347"/>
        <v>0</v>
      </c>
      <c r="ED218" s="182">
        <f t="shared" si="347"/>
        <v>0</v>
      </c>
      <c r="EE218" s="182">
        <f t="shared" si="347"/>
        <v>0</v>
      </c>
      <c r="EF218" s="182">
        <f t="shared" si="347"/>
        <v>0</v>
      </c>
      <c r="EG218" s="182">
        <f t="shared" si="347"/>
        <v>0</v>
      </c>
      <c r="EH218" s="182">
        <f t="shared" si="347"/>
        <v>0</v>
      </c>
      <c r="EI218" s="182">
        <f t="shared" si="347"/>
        <v>0</v>
      </c>
      <c r="EJ218" s="182">
        <f t="shared" si="347"/>
        <v>0</v>
      </c>
      <c r="FY218" s="210">
        <v>213</v>
      </c>
      <c r="FZ218">
        <v>2.9264129116228714</v>
      </c>
      <c r="GA218">
        <v>20.813349742523407</v>
      </c>
      <c r="GB218">
        <v>8.8912450282601654</v>
      </c>
      <c r="GC218">
        <v>0.96886098699689338</v>
      </c>
      <c r="GD218">
        <v>0.71079574606402574</v>
      </c>
      <c r="GE218">
        <v>2.0558539793455489E-3</v>
      </c>
      <c r="GF218">
        <v>1.8488967683176252</v>
      </c>
      <c r="GG218">
        <v>2.6169263289454712</v>
      </c>
      <c r="GH218">
        <v>3.3056511325293063</v>
      </c>
      <c r="GI218">
        <v>4.134773092496471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23.41365740740741</v>
      </c>
      <c r="AO219">
        <v>8.9674024159477081</v>
      </c>
      <c r="AP219">
        <v>87.000488961845804</v>
      </c>
      <c r="AQ219">
        <v>60.859356532167865</v>
      </c>
      <c r="AR219">
        <v>8.6674230959989007</v>
      </c>
      <c r="AS219">
        <v>97.79135369350773</v>
      </c>
      <c r="AT219">
        <v>5.9836813433759017</v>
      </c>
      <c r="AU219">
        <v>-1.9912168326249091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9">AVERAGE(DF158:DF167)</f>
        <v>0</v>
      </c>
      <c r="DG219" s="182">
        <f t="shared" ref="DG219:DQ219" si="350">AVERAGE(DG158:DG167)</f>
        <v>0</v>
      </c>
      <c r="DH219" s="182">
        <f t="shared" si="350"/>
        <v>0</v>
      </c>
      <c r="DI219" s="182">
        <f t="shared" si="350"/>
        <v>1.0416666666666665</v>
      </c>
      <c r="DJ219" s="182">
        <f t="shared" si="350"/>
        <v>4.1666666666666661</v>
      </c>
      <c r="DK219" s="182">
        <f t="shared" si="350"/>
        <v>0</v>
      </c>
      <c r="DL219" s="182">
        <f t="shared" si="350"/>
        <v>1.0416666666666665</v>
      </c>
      <c r="DM219" s="182">
        <f t="shared" si="350"/>
        <v>1.0416666666666665</v>
      </c>
      <c r="DN219" s="182">
        <f t="shared" si="350"/>
        <v>3.125</v>
      </c>
      <c r="DO219" s="182">
        <f t="shared" si="350"/>
        <v>1.0416666666666665</v>
      </c>
      <c r="DP219" s="182">
        <f t="shared" si="350"/>
        <v>0</v>
      </c>
      <c r="DQ219" s="182">
        <f t="shared" si="350"/>
        <v>0</v>
      </c>
      <c r="DR219" s="182">
        <f t="shared" si="349"/>
        <v>0</v>
      </c>
      <c r="DS219" s="182">
        <f t="shared" si="349"/>
        <v>0</v>
      </c>
      <c r="DT219" s="182">
        <f t="shared" si="349"/>
        <v>0</v>
      </c>
      <c r="DU219" s="182">
        <f t="shared" si="349"/>
        <v>0</v>
      </c>
      <c r="DV219" s="182">
        <f t="shared" si="349"/>
        <v>0</v>
      </c>
      <c r="DW219" s="182">
        <f t="shared" si="349"/>
        <v>0</v>
      </c>
      <c r="DX219" s="182">
        <f t="shared" si="349"/>
        <v>0</v>
      </c>
      <c r="DY219" s="182">
        <f t="shared" si="349"/>
        <v>0</v>
      </c>
      <c r="DZ219" s="182">
        <f t="shared" si="349"/>
        <v>0</v>
      </c>
      <c r="EA219" s="182">
        <f t="shared" si="349"/>
        <v>0</v>
      </c>
      <c r="EB219" s="182">
        <f t="shared" si="349"/>
        <v>0</v>
      </c>
      <c r="EC219" s="182">
        <f t="shared" si="349"/>
        <v>0</v>
      </c>
      <c r="ED219" s="182">
        <f t="shared" si="349"/>
        <v>0</v>
      </c>
      <c r="EE219" s="182">
        <f t="shared" si="349"/>
        <v>0</v>
      </c>
      <c r="EF219" s="182">
        <f t="shared" si="349"/>
        <v>0</v>
      </c>
      <c r="EG219" s="182">
        <f t="shared" si="349"/>
        <v>0</v>
      </c>
      <c r="EH219" s="182">
        <f t="shared" si="349"/>
        <v>0</v>
      </c>
      <c r="EI219" s="182">
        <f t="shared" si="349"/>
        <v>0</v>
      </c>
      <c r="EJ219" s="182">
        <f t="shared" si="349"/>
        <v>0</v>
      </c>
      <c r="FY219" s="210">
        <v>214</v>
      </c>
      <c r="FZ219">
        <v>21.617999354491634</v>
      </c>
      <c r="GA219">
        <v>50.796143512583697</v>
      </c>
      <c r="GB219">
        <v>14.492418024391061</v>
      </c>
      <c r="GC219">
        <v>1.1498768098969412</v>
      </c>
      <c r="GD219">
        <v>0.46558497454281361</v>
      </c>
      <c r="GE219">
        <v>4.1117079586910979E-3</v>
      </c>
      <c r="GF219">
        <v>3.8855806227455556</v>
      </c>
      <c r="GG219">
        <v>4.5385689465359622</v>
      </c>
      <c r="GH219">
        <v>2.7244140291507226</v>
      </c>
      <c r="GI219">
        <v>8.5244088038174883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25.078703703703706</v>
      </c>
      <c r="AO220">
        <v>9.0106847856984853</v>
      </c>
      <c r="AP220">
        <v>95.550476542500874</v>
      </c>
      <c r="AQ220">
        <v>64.880297727493272</v>
      </c>
      <c r="AR220">
        <v>8.6035354296711937</v>
      </c>
      <c r="AS220">
        <v>128.95547411379485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1">AVERAGE(DF168:DF177)</f>
        <v>0</v>
      </c>
      <c r="DG220" s="182">
        <f t="shared" ref="DG220:DQ220" si="352">AVERAGE(DG168:DG177)</f>
        <v>0</v>
      </c>
      <c r="DH220" s="182">
        <f t="shared" si="352"/>
        <v>0</v>
      </c>
      <c r="DI220" s="182">
        <f t="shared" si="352"/>
        <v>0</v>
      </c>
      <c r="DJ220" s="182">
        <f t="shared" si="352"/>
        <v>0</v>
      </c>
      <c r="DK220" s="182">
        <f t="shared" si="352"/>
        <v>1.0416666666666665</v>
      </c>
      <c r="DL220" s="182">
        <f t="shared" si="352"/>
        <v>0</v>
      </c>
      <c r="DM220" s="182">
        <f t="shared" si="352"/>
        <v>0</v>
      </c>
      <c r="DN220" s="182">
        <f t="shared" si="352"/>
        <v>0</v>
      </c>
      <c r="DO220" s="182">
        <f t="shared" si="352"/>
        <v>0</v>
      </c>
      <c r="DP220" s="182">
        <f t="shared" si="352"/>
        <v>1.0416666666666665</v>
      </c>
      <c r="DQ220" s="182">
        <f t="shared" si="352"/>
        <v>0</v>
      </c>
      <c r="DR220" s="182">
        <f t="shared" si="351"/>
        <v>0</v>
      </c>
      <c r="DS220" s="182">
        <f t="shared" si="351"/>
        <v>0</v>
      </c>
      <c r="DT220" s="182">
        <f t="shared" si="351"/>
        <v>0</v>
      </c>
      <c r="DU220" s="182">
        <f t="shared" si="351"/>
        <v>0</v>
      </c>
      <c r="DV220" s="182">
        <f t="shared" si="351"/>
        <v>0</v>
      </c>
      <c r="DW220" s="182">
        <f t="shared" si="351"/>
        <v>0</v>
      </c>
      <c r="DX220" s="182">
        <f t="shared" si="351"/>
        <v>0</v>
      </c>
      <c r="DY220" s="182">
        <f t="shared" si="351"/>
        <v>0</v>
      </c>
      <c r="DZ220" s="182">
        <f t="shared" si="351"/>
        <v>0</v>
      </c>
      <c r="EA220" s="182">
        <f t="shared" si="351"/>
        <v>0</v>
      </c>
      <c r="EB220" s="182">
        <f t="shared" si="351"/>
        <v>0</v>
      </c>
      <c r="EC220" s="182">
        <f t="shared" si="351"/>
        <v>0</v>
      </c>
      <c r="ED220" s="182">
        <f t="shared" si="351"/>
        <v>0</v>
      </c>
      <c r="EE220" s="182">
        <f t="shared" si="351"/>
        <v>0</v>
      </c>
      <c r="EF220" s="182">
        <f t="shared" si="351"/>
        <v>0</v>
      </c>
      <c r="EG220" s="182">
        <f t="shared" si="351"/>
        <v>0</v>
      </c>
      <c r="EH220" s="182">
        <f t="shared" si="351"/>
        <v>0</v>
      </c>
      <c r="EI220" s="182">
        <f t="shared" si="351"/>
        <v>0</v>
      </c>
      <c r="EJ220" s="182">
        <f t="shared" si="351"/>
        <v>0</v>
      </c>
      <c r="FY220" s="210">
        <v>215</v>
      </c>
      <c r="FZ220">
        <v>21.759966701805808</v>
      </c>
      <c r="GA220">
        <v>37.54316527026235</v>
      </c>
      <c r="GB220">
        <v>8.8971109661321499</v>
      </c>
      <c r="GC220">
        <v>2.0962376513026353</v>
      </c>
      <c r="GD220">
        <v>0.61759038751673179</v>
      </c>
      <c r="GE220">
        <v>2.6174787679793958</v>
      </c>
      <c r="GF220">
        <v>6.7082557420926134</v>
      </c>
      <c r="GG220">
        <v>3.1946908347081049</v>
      </c>
      <c r="GH220">
        <v>4.0018338099053734</v>
      </c>
      <c r="GI220">
        <v>7.9560382926183237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39.54849194946177</v>
      </c>
      <c r="AO221">
        <v>10.41425883936688</v>
      </c>
      <c r="AP221">
        <v>108.64110430299482</v>
      </c>
      <c r="AQ221">
        <v>79.493117699686749</v>
      </c>
      <c r="AR221">
        <v>9.7732083719904725</v>
      </c>
      <c r="AS221">
        <v>150.49776875213973</v>
      </c>
      <c r="AT221">
        <v>6.2136176526060325</v>
      </c>
      <c r="AU221">
        <v>16.170773220068863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3">AVERAGE(DF178:DF187)</f>
        <v>0</v>
      </c>
      <c r="DG221" s="182">
        <f t="shared" ref="DG221:DQ221" si="354">AVERAGE(DG178:DG187)</f>
        <v>0</v>
      </c>
      <c r="DH221" s="182">
        <f t="shared" si="354"/>
        <v>0</v>
      </c>
      <c r="DI221" s="182">
        <f t="shared" si="354"/>
        <v>0</v>
      </c>
      <c r="DJ221" s="182">
        <f t="shared" si="354"/>
        <v>0</v>
      </c>
      <c r="DK221" s="182">
        <f t="shared" si="354"/>
        <v>1.0416666666666665</v>
      </c>
      <c r="DL221" s="182">
        <f t="shared" si="354"/>
        <v>1.0416666666666665</v>
      </c>
      <c r="DM221" s="182">
        <f t="shared" si="354"/>
        <v>0</v>
      </c>
      <c r="DN221" s="182">
        <f t="shared" si="354"/>
        <v>1.0416666666666665</v>
      </c>
      <c r="DO221" s="182">
        <f t="shared" si="354"/>
        <v>0</v>
      </c>
      <c r="DP221" s="182">
        <f t="shared" si="354"/>
        <v>0</v>
      </c>
      <c r="DQ221" s="182">
        <f t="shared" si="354"/>
        <v>0</v>
      </c>
      <c r="DR221" s="182">
        <f t="shared" si="353"/>
        <v>0</v>
      </c>
      <c r="DS221" s="182">
        <f t="shared" si="353"/>
        <v>0</v>
      </c>
      <c r="DT221" s="182">
        <f t="shared" si="353"/>
        <v>0</v>
      </c>
      <c r="DU221" s="182">
        <f t="shared" si="353"/>
        <v>0</v>
      </c>
      <c r="DV221" s="182">
        <f t="shared" si="353"/>
        <v>0</v>
      </c>
      <c r="DW221" s="182">
        <f t="shared" si="353"/>
        <v>0</v>
      </c>
      <c r="DX221" s="182">
        <f t="shared" si="353"/>
        <v>0</v>
      </c>
      <c r="DY221" s="182">
        <f t="shared" si="353"/>
        <v>0</v>
      </c>
      <c r="DZ221" s="182">
        <f t="shared" si="353"/>
        <v>0</v>
      </c>
      <c r="EA221" s="182">
        <f t="shared" si="353"/>
        <v>0</v>
      </c>
      <c r="EB221" s="182">
        <f t="shared" si="353"/>
        <v>0</v>
      </c>
      <c r="EC221" s="182">
        <f t="shared" si="353"/>
        <v>0</v>
      </c>
      <c r="ED221" s="182">
        <f t="shared" si="353"/>
        <v>0</v>
      </c>
      <c r="EE221" s="182">
        <f t="shared" si="353"/>
        <v>0</v>
      </c>
      <c r="EF221" s="182">
        <f t="shared" si="353"/>
        <v>0</v>
      </c>
      <c r="EG221" s="182">
        <f t="shared" si="353"/>
        <v>0</v>
      </c>
      <c r="EH221" s="182">
        <f t="shared" si="353"/>
        <v>0</v>
      </c>
      <c r="EI221" s="182">
        <f t="shared" si="353"/>
        <v>0</v>
      </c>
      <c r="EJ221" s="182">
        <f t="shared" si="353"/>
        <v>0</v>
      </c>
      <c r="FY221" s="210">
        <v>216</v>
      </c>
      <c r="FZ221">
        <v>6.0380454875127523</v>
      </c>
      <c r="GA221">
        <v>19.240975113184479</v>
      </c>
      <c r="GB221">
        <v>8.3099211945430671</v>
      </c>
      <c r="GC221">
        <v>1.1624379579219601</v>
      </c>
      <c r="GD221">
        <v>0.60902076066745969</v>
      </c>
      <c r="GE221">
        <v>2.6174787679793958</v>
      </c>
      <c r="GF221">
        <v>8.9931591651111447</v>
      </c>
      <c r="GG221">
        <v>5.6587755142746419</v>
      </c>
      <c r="GH221">
        <v>1.7849541114675875</v>
      </c>
      <c r="GI221">
        <v>5.5396108355821427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25.549022190293744</v>
      </c>
      <c r="AO222">
        <v>8.8935325701562498</v>
      </c>
      <c r="AP222">
        <v>89.332245748159778</v>
      </c>
      <c r="AQ222">
        <v>61.42074893696666</v>
      </c>
      <c r="AR222">
        <v>8.6146997543865034</v>
      </c>
      <c r="AS222">
        <v>104.27687461716594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21.227349825685057</v>
      </c>
      <c r="GA222">
        <v>43.484847053782353</v>
      </c>
      <c r="GB222">
        <v>13.628842359297519</v>
      </c>
      <c r="GC222">
        <v>2.7548398963006382</v>
      </c>
      <c r="GD222">
        <v>0.59083675875417807</v>
      </c>
      <c r="GE222">
        <v>2.6174787679793958</v>
      </c>
      <c r="GF222">
        <v>7.2269181232089119</v>
      </c>
      <c r="GG222">
        <v>5.0672188289064444</v>
      </c>
      <c r="GH222">
        <v>5.1754447517255056</v>
      </c>
      <c r="GI222">
        <v>9.3217593441972717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61.437015941434041</v>
      </c>
      <c r="AO223">
        <v>12.21689503510385</v>
      </c>
      <c r="AP223">
        <v>126.12305063787977</v>
      </c>
      <c r="AQ223">
        <v>102.27888326890501</v>
      </c>
      <c r="AR223">
        <v>11.437169191685079</v>
      </c>
      <c r="AS223">
        <v>171.57062713348648</v>
      </c>
      <c r="AT223">
        <v>7.5261441670699085</v>
      </c>
      <c r="AU223">
        <v>273.57810132316865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2.7296338201009203</v>
      </c>
      <c r="GA223">
        <v>23.674192351448109</v>
      </c>
      <c r="GB223">
        <v>12.878917591030987</v>
      </c>
      <c r="GC223">
        <v>2.0588189421666483</v>
      </c>
      <c r="GD223">
        <v>0.65496461701407482</v>
      </c>
      <c r="GE223">
        <v>0</v>
      </c>
      <c r="GF223">
        <v>2.1160991719268609</v>
      </c>
      <c r="GG223">
        <v>3.2455092539285291</v>
      </c>
      <c r="GH223">
        <v>2.9474283182247545</v>
      </c>
      <c r="GI223">
        <v>5.0637468917576829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28.720118933588765</v>
      </c>
      <c r="AO224">
        <v>8.3052762586247724</v>
      </c>
      <c r="AP224">
        <v>82.429766527324645</v>
      </c>
      <c r="AQ224">
        <v>56.39005793677336</v>
      </c>
      <c r="AR224">
        <v>7.9932085154058719</v>
      </c>
      <c r="AS224">
        <v>93.753981919369551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12.715065341763317</v>
      </c>
      <c r="GA224">
        <v>34.409583157709207</v>
      </c>
      <c r="GB224">
        <v>11.499475565877521</v>
      </c>
      <c r="GC224">
        <v>1.3648014782150577</v>
      </c>
      <c r="GD224">
        <v>0.83419235652213053</v>
      </c>
      <c r="GE224">
        <v>0.14225726660651461</v>
      </c>
      <c r="GF224">
        <v>2.4215828307386991</v>
      </c>
      <c r="GG224">
        <v>3.9469698192934159</v>
      </c>
      <c r="GH224">
        <v>2.4376446302626795</v>
      </c>
      <c r="GI224">
        <v>6.3383986714910359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37.168485449735442</v>
      </c>
      <c r="AO225">
        <v>11.323411144210599</v>
      </c>
      <c r="AP225">
        <v>112.63145292036262</v>
      </c>
      <c r="AQ225">
        <v>83.391840593905059</v>
      </c>
      <c r="AR225">
        <v>10.445164183740451</v>
      </c>
      <c r="AS225">
        <v>132.68250480308251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0.14238183985929626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14.44086094262992</v>
      </c>
      <c r="GA225">
        <v>23.213057325214802</v>
      </c>
      <c r="GB225">
        <v>6.90072113349947</v>
      </c>
      <c r="GC225">
        <v>2.2508678958046073</v>
      </c>
      <c r="GD225">
        <v>0.81708395030824998</v>
      </c>
      <c r="GE225">
        <v>2.6174787679793958</v>
      </c>
      <c r="GF225">
        <v>5.3336468836784974</v>
      </c>
      <c r="GG225">
        <v>1.0078517216180385</v>
      </c>
      <c r="GH225">
        <v>1.973602458130717</v>
      </c>
      <c r="GI225">
        <v>5.7990805331399109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35.112927613574165</v>
      </c>
      <c r="AO226">
        <v>9.4696876084554251</v>
      </c>
      <c r="AP226">
        <v>98.681220134189672</v>
      </c>
      <c r="AQ226">
        <v>72.050813405173159</v>
      </c>
      <c r="AR226">
        <v>8.9913730027439911</v>
      </c>
      <c r="AS226">
        <v>120.40970552874035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55">((DG213*$H$372)+(DH213*$I$372)+(DI213*$J$372)+(DJ213*$K$372)+(DK213*$L$372)+(DL213*$M$372)+(DM213*$N$372)+(DN213*$O$372)+(DO213*$P$372)+(DP213*$Q$372)+(DQ213*$R$372)+(DR213*$S$372)+(DS213*$T$372)+(DT213*$U$372))/SUM(DG213:DT213)</f>
        <v>0.17696537773069343</v>
      </c>
      <c r="DH226" s="205">
        <f>(LN(DG226/DG225))/(DE213-DE212)</f>
        <v>8.0533942826598853E-3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30.822311844208002</v>
      </c>
      <c r="GA226">
        <v>51.640598137040797</v>
      </c>
      <c r="GB226">
        <v>11.911019475803311</v>
      </c>
      <c r="GC226">
        <v>2.1936822775218165</v>
      </c>
      <c r="GD226">
        <v>0.48560743627450348</v>
      </c>
      <c r="GE226">
        <v>0.14431312058586016</v>
      </c>
      <c r="GF226">
        <v>3.6881443265432665</v>
      </c>
      <c r="GG226">
        <v>3.421117981964152</v>
      </c>
      <c r="GH226">
        <v>0.5812371033785837</v>
      </c>
      <c r="GI226">
        <v>8.7529346001425825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54.69533616128443</v>
      </c>
      <c r="AO227">
        <v>15.898605569926474</v>
      </c>
      <c r="AP227">
        <v>164.78795671265482</v>
      </c>
      <c r="AQ227">
        <v>121.79298567701893</v>
      </c>
      <c r="AR227">
        <v>14.78955227452197</v>
      </c>
      <c r="AS227">
        <v>190.68838847154151</v>
      </c>
      <c r="AT227">
        <v>9.6255466819633462</v>
      </c>
      <c r="AU227">
        <v>54.333326212282458</v>
      </c>
      <c r="AV227"/>
      <c r="AW227"/>
      <c r="DE227" s="187">
        <f>DE111</f>
        <v>39714</v>
      </c>
      <c r="DF227" s="205"/>
      <c r="DG227" s="205">
        <f t="shared" si="355"/>
        <v>0.84513581593362719</v>
      </c>
      <c r="DH227" s="205">
        <f t="shared" ref="DH227:DH234" si="356">(LN(DG227/DG226))/(DE214-DE213)</f>
        <v>3.81352008770246E-2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14.896092091151601</v>
      </c>
      <c r="GA227">
        <v>39.656694340119486</v>
      </c>
      <c r="GB227">
        <v>15.50872830667063</v>
      </c>
      <c r="GC227">
        <v>2.1039294517866525</v>
      </c>
      <c r="GD227">
        <v>0.78325776379811152</v>
      </c>
      <c r="GE227">
        <v>0.14020141262716906</v>
      </c>
      <c r="GF227">
        <v>1.2951935409151849</v>
      </c>
      <c r="GG227">
        <v>1.9625386182777236</v>
      </c>
      <c r="GH227">
        <v>1.8017786332401569</v>
      </c>
      <c r="GI227">
        <v>7.2234562365783983</v>
      </c>
      <c r="GJ227"/>
      <c r="GK227"/>
      <c r="GL227"/>
      <c r="GM227"/>
    </row>
    <row r="228" spans="1:195" s="7" customFormat="1">
      <c r="A228" s="9" t="s">
        <v>60</v>
      </c>
      <c r="B228">
        <v>0.55409387621817197</v>
      </c>
      <c r="C228">
        <v>9</v>
      </c>
      <c r="D228">
        <v>39646</v>
      </c>
      <c r="E228">
        <v>0</v>
      </c>
      <c r="F228">
        <v>0</v>
      </c>
      <c r="G228">
        <v>0</v>
      </c>
      <c r="H228">
        <v>10.416666666666666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35.535266716839999</v>
      </c>
      <c r="AO228">
        <v>11.400308791369815</v>
      </c>
      <c r="AP228">
        <v>117.06018940655734</v>
      </c>
      <c r="AQ228">
        <v>85.940325763328033</v>
      </c>
      <c r="AR228">
        <v>10.682254387283205</v>
      </c>
      <c r="AS228">
        <v>139.91151774456395</v>
      </c>
      <c r="AT228">
        <v>7.0152143715899262</v>
      </c>
      <c r="AU228">
        <v>30.29619914170156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5"/>
        <v>0.15954061898784785</v>
      </c>
      <c r="DH228" s="205">
        <f t="shared" si="356"/>
        <v>-5.0521175425854173E-2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11.597643508460404</v>
      </c>
      <c r="GA228">
        <v>29.783598642522126</v>
      </c>
      <c r="GB228">
        <v>10.638440100250438</v>
      </c>
      <c r="GC228">
        <v>1.9970976811288557</v>
      </c>
      <c r="GD228">
        <v>0.74600193265973158</v>
      </c>
      <c r="GE228">
        <v>0.28040282525433813</v>
      </c>
      <c r="GF228">
        <v>4.3148540702691154</v>
      </c>
      <c r="GG228">
        <v>5.72774095170975</v>
      </c>
      <c r="GH228">
        <v>4.9924841917719807</v>
      </c>
      <c r="GI228">
        <v>6.6532207848980098</v>
      </c>
      <c r="GJ228"/>
      <c r="GK228"/>
      <c r="GL228"/>
      <c r="GM228"/>
    </row>
    <row r="229" spans="1:195" s="7" customFormat="1">
      <c r="A229" s="90"/>
      <c r="B229">
        <v>9.119499316683477E-2</v>
      </c>
      <c r="C229">
        <v>6</v>
      </c>
      <c r="D229">
        <v>39646</v>
      </c>
      <c r="E229">
        <v>0</v>
      </c>
      <c r="F229">
        <v>0</v>
      </c>
      <c r="G229">
        <v>41.666666666666664</v>
      </c>
      <c r="H229">
        <v>62.5</v>
      </c>
      <c r="I229">
        <v>20.833333333333332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14.533217592592589</v>
      </c>
      <c r="AO229">
        <v>6.3912698575881119</v>
      </c>
      <c r="AP229">
        <v>69.635460506974027</v>
      </c>
      <c r="AQ229">
        <v>46.218967591735591</v>
      </c>
      <c r="AR229">
        <v>6.2491635619682668</v>
      </c>
      <c r="AS229">
        <v>64.093452276352551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5"/>
        <v>8.2386834308441223E-2</v>
      </c>
      <c r="DH229" s="205">
        <f t="shared" si="356"/>
        <v>-2.360260385587859E-2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22.624208187525582</v>
      </c>
      <c r="GA229">
        <v>48.616543986315548</v>
      </c>
      <c r="GB229">
        <v>14.717102993152425</v>
      </c>
      <c r="GC229">
        <v>1.8832211454949825</v>
      </c>
      <c r="GD229">
        <v>0.48780069057589176</v>
      </c>
      <c r="GE229">
        <v>4.1117079586910979E-3</v>
      </c>
      <c r="GF229">
        <v>0.49967954609766535</v>
      </c>
      <c r="GG229">
        <v>2.2964383560438373</v>
      </c>
      <c r="GH229">
        <v>3.2453344521757623</v>
      </c>
      <c r="GI229">
        <v>8.1517762200014907</v>
      </c>
      <c r="GJ229"/>
      <c r="GK229"/>
      <c r="GL229"/>
      <c r="GM229"/>
    </row>
    <row r="230" spans="1:195" s="7" customFormat="1">
      <c r="A230" s="77"/>
      <c r="B230">
        <v>0.7367593780779389</v>
      </c>
      <c r="C230">
        <v>4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44.067658730158726</v>
      </c>
      <c r="AO230">
        <v>13.058324897848987</v>
      </c>
      <c r="AP230">
        <v>148.18365427725402</v>
      </c>
      <c r="AQ230">
        <v>108.19910678611454</v>
      </c>
      <c r="AR230">
        <v>12.500330351578084</v>
      </c>
      <c r="AS230">
        <v>165.36214773467373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5"/>
        <v>0.13225752739895077</v>
      </c>
      <c r="DH230" s="205">
        <f t="shared" si="356"/>
        <v>1.9721889197071234E-2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4.2659486690844242</v>
      </c>
      <c r="GA230">
        <v>25.639524725056688</v>
      </c>
      <c r="GB230">
        <v>12.698761398450964</v>
      </c>
      <c r="GC230">
        <v>1.4883825933543462</v>
      </c>
      <c r="GD230">
        <v>0.53200136402989462</v>
      </c>
      <c r="GE230">
        <v>2.6174787679793958</v>
      </c>
      <c r="GF230">
        <v>9.12018936273933</v>
      </c>
      <c r="GG230">
        <v>6.1790113528289137</v>
      </c>
      <c r="GH230">
        <v>3.4003337552937527</v>
      </c>
      <c r="GI230">
        <v>6.7337801205484595</v>
      </c>
      <c r="GJ230"/>
      <c r="GK230"/>
      <c r="GL230"/>
      <c r="GM230"/>
    </row>
    <row r="231" spans="1:195" s="7" customFormat="1">
      <c r="A231" s="77"/>
      <c r="B231">
        <v>0.37859797506799353</v>
      </c>
      <c r="C231">
        <v>9</v>
      </c>
      <c r="D231">
        <v>39646</v>
      </c>
      <c r="E231">
        <v>0</v>
      </c>
      <c r="F231">
        <v>0</v>
      </c>
      <c r="G231">
        <v>0</v>
      </c>
      <c r="H231">
        <v>10.416666666666666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51.02234879584018</v>
      </c>
      <c r="AO231">
        <v>12.03912510998166</v>
      </c>
      <c r="AP231">
        <v>125.88427918109778</v>
      </c>
      <c r="AQ231">
        <v>95.392368424323479</v>
      </c>
      <c r="AR231">
        <v>11.380464424813574</v>
      </c>
      <c r="AS231">
        <v>154.83912704726185</v>
      </c>
      <c r="AT231">
        <v>7.5285493940463981</v>
      </c>
      <c r="AU231">
        <v>92.448073137925661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 t="str">
        <f>DE151</f>
        <v/>
      </c>
      <c r="DF231" s="205"/>
      <c r="DG231" s="205">
        <f t="shared" si="355"/>
        <v>0.81284037159099265</v>
      </c>
      <c r="DH231" s="205">
        <f t="shared" si="356"/>
        <v>3.7828828297791162E-2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22.407914814160343</v>
      </c>
      <c r="GA231">
        <v>44.561386267923865</v>
      </c>
      <c r="GB231">
        <v>10.791831553172795</v>
      </c>
      <c r="GC231">
        <v>0.79441417001726489</v>
      </c>
      <c r="GD231">
        <v>0.42184666193593129</v>
      </c>
      <c r="GE231">
        <v>2.0558539793455489E-3</v>
      </c>
      <c r="GF231">
        <v>2.9466540130305208</v>
      </c>
      <c r="GG231">
        <v>2.8724990659781984</v>
      </c>
      <c r="GH231">
        <v>2.2000551766652161</v>
      </c>
      <c r="GI231">
        <v>7.2578004653098374</v>
      </c>
      <c r="GJ231"/>
      <c r="GK231"/>
      <c r="GL231"/>
      <c r="GM231"/>
    </row>
    <row r="232" spans="1:195" s="7" customFormat="1">
      <c r="A232" s="77"/>
      <c r="B232">
        <v>0.55109018476243499</v>
      </c>
      <c r="C232">
        <v>5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72.916666666666671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21.419477513227513</v>
      </c>
      <c r="AO232">
        <v>8.50706740878055</v>
      </c>
      <c r="AP232">
        <v>85.608521927368173</v>
      </c>
      <c r="AQ232">
        <v>59.954378908244628</v>
      </c>
      <c r="AR232">
        <v>7.9275321227213604</v>
      </c>
      <c r="AS232">
        <v>100.04122866672098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5"/>
        <v>0.91878525804391986</v>
      </c>
      <c r="DH232" s="205">
        <f t="shared" si="356"/>
        <v>1.9447250877750871E-3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13.329726651103513</v>
      </c>
      <c r="GA232">
        <v>40.446327060289569</v>
      </c>
      <c r="GB232">
        <v>15.553169084822489</v>
      </c>
      <c r="GC232">
        <v>2.3113919435849977</v>
      </c>
      <c r="GD232">
        <v>0.81914316776319673</v>
      </c>
      <c r="GE232">
        <v>1.3097673109793708</v>
      </c>
      <c r="GF232">
        <v>6.8911505726418847</v>
      </c>
      <c r="GG232">
        <v>4.4289697035821902</v>
      </c>
      <c r="GH232">
        <v>2.0885480321282004</v>
      </c>
      <c r="GI232">
        <v>8.2937236743396117</v>
      </c>
      <c r="GJ232"/>
      <c r="GK232"/>
      <c r="GL232"/>
      <c r="GM232"/>
    </row>
    <row r="233" spans="1:195" s="7" customFormat="1">
      <c r="A233" s="77"/>
      <c r="B233">
        <v>0.79011535718028991</v>
      </c>
      <c r="C233">
        <v>1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52.074072933771205</v>
      </c>
      <c r="AO233">
        <v>14.236391600437589</v>
      </c>
      <c r="AP233">
        <v>148.74750971416029</v>
      </c>
      <c r="AQ233">
        <v>111.09553570983729</v>
      </c>
      <c r="AR233">
        <v>13.318491252308069</v>
      </c>
      <c r="AS233">
        <v>173.49475884910268</v>
      </c>
      <c r="AT233">
        <v>8.9167168763749469</v>
      </c>
      <c r="AU233">
        <v>42.857533983420304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5"/>
        <v>1.6710921500981006</v>
      </c>
      <c r="DH233" s="205">
        <f t="shared" si="356"/>
        <v>1.5337955073319028E-2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4.4194257734045408</v>
      </c>
      <c r="GA233">
        <v>23.448879817116552</v>
      </c>
      <c r="GB233">
        <v>10.714106275586222</v>
      </c>
      <c r="GC233">
        <v>0.98940648297275491</v>
      </c>
      <c r="GD233">
        <v>0.53938167378582813</v>
      </c>
      <c r="GE233">
        <v>0.1463689745652057</v>
      </c>
      <c r="GF233">
        <v>3.1884647804456008</v>
      </c>
      <c r="GG233">
        <v>2.9837777590700347</v>
      </c>
      <c r="GH233">
        <v>0.69618267737606665</v>
      </c>
      <c r="GI233">
        <v>4.5522221204704358</v>
      </c>
      <c r="GJ233"/>
      <c r="GK233"/>
      <c r="GL233"/>
      <c r="GM233"/>
    </row>
    <row r="234" spans="1:195" s="7" customFormat="1">
      <c r="A234" s="77"/>
      <c r="B234">
        <v>0.58283704289977312</v>
      </c>
      <c r="C234">
        <v>2</v>
      </c>
      <c r="D234">
        <v>39646</v>
      </c>
      <c r="E234">
        <v>0</v>
      </c>
      <c r="F234">
        <v>0</v>
      </c>
      <c r="G234">
        <v>0</v>
      </c>
      <c r="H234">
        <v>20.833333333333332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17.969029944353217</v>
      </c>
      <c r="AO234">
        <v>7.8270269126878578</v>
      </c>
      <c r="AP234">
        <v>82.914963292988134</v>
      </c>
      <c r="AQ234">
        <v>55.369310957598557</v>
      </c>
      <c r="AR234">
        <v>7.5287496807242835</v>
      </c>
      <c r="AS234">
        <v>114.23028743298387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5"/>
        <v>0.94967157979741246</v>
      </c>
      <c r="DH234" s="205">
        <f t="shared" si="356"/>
        <v>-1.4871485642213305E-2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4.2091668924690655</v>
      </c>
      <c r="GA234">
        <v>18.952378163020089</v>
      </c>
      <c r="GB234">
        <v>10.279255361431419</v>
      </c>
      <c r="GC234">
        <v>1.9473627188399818</v>
      </c>
      <c r="GD234">
        <v>0.89295766603412585</v>
      </c>
      <c r="GE234">
        <v>2.8958257392543887</v>
      </c>
      <c r="GF234">
        <v>9.12018936273933</v>
      </c>
      <c r="GG234">
        <v>6.2584750446495896</v>
      </c>
      <c r="GH234">
        <v>3.0188817336412632</v>
      </c>
      <c r="GI234">
        <v>6.2085768876622769</v>
      </c>
      <c r="GJ234"/>
      <c r="GK234"/>
      <c r="GL234"/>
      <c r="GM234"/>
    </row>
    <row r="235" spans="1:195" s="7" customFormat="1">
      <c r="A235" s="77"/>
      <c r="B235">
        <v>0.29724832920993993</v>
      </c>
      <c r="C235">
        <v>5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72.916666666666671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32.888971560846556</v>
      </c>
      <c r="AO235">
        <v>9.8713558894230751</v>
      </c>
      <c r="AP235">
        <v>107.7078487499671</v>
      </c>
      <c r="AQ235">
        <v>76.109971118479578</v>
      </c>
      <c r="AR235">
        <v>9.4382638125052694</v>
      </c>
      <c r="AS235">
        <v>150.19577692454166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11.835061599735095</v>
      </c>
      <c r="GA235">
        <v>33.890243173451424</v>
      </c>
      <c r="GB235">
        <v>11.698893485537617</v>
      </c>
      <c r="GC235">
        <v>1.5227320532095057</v>
      </c>
      <c r="GD235">
        <v>0.77525936038268128</v>
      </c>
      <c r="GE235">
        <v>0.14225726660651461</v>
      </c>
      <c r="GF235">
        <v>3.4112927128420463</v>
      </c>
      <c r="GG235">
        <v>3.348949739056533</v>
      </c>
      <c r="GH235">
        <v>0.92263539591056576</v>
      </c>
      <c r="GI235">
        <v>6.0562441106901783</v>
      </c>
      <c r="GJ235"/>
      <c r="GK235"/>
      <c r="GL235"/>
      <c r="GM235"/>
    </row>
    <row r="236" spans="1:195" s="7" customFormat="1">
      <c r="A236" s="77"/>
      <c r="B236">
        <v>0.90858625501287293</v>
      </c>
      <c r="C236">
        <v>7</v>
      </c>
      <c r="D236">
        <v>39646</v>
      </c>
      <c r="E236">
        <v>0</v>
      </c>
      <c r="F236">
        <v>0</v>
      </c>
      <c r="G236">
        <v>0</v>
      </c>
      <c r="H236">
        <v>20.833333333333332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34.075890576537134</v>
      </c>
      <c r="AO236">
        <v>8.471281800787267</v>
      </c>
      <c r="AP236">
        <v>82.87695196794435</v>
      </c>
      <c r="AQ236">
        <v>64.354251612003608</v>
      </c>
      <c r="AR236">
        <v>8.1049321424934035</v>
      </c>
      <c r="AS236">
        <v>112.09640597090159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15.734070468351218</v>
      </c>
      <c r="GA236">
        <v>20.731545927711544</v>
      </c>
      <c r="GB236">
        <v>5.7649194199670086</v>
      </c>
      <c r="GC236">
        <v>2.2245289051651245</v>
      </c>
      <c r="GD236">
        <v>1.0096508012590673</v>
      </c>
      <c r="GE236">
        <v>1.5901701362337088</v>
      </c>
      <c r="GF236">
        <v>5.3191054180254795</v>
      </c>
      <c r="GG236">
        <v>5.2623737339421055</v>
      </c>
      <c r="GH236">
        <v>4.0129705449683382</v>
      </c>
      <c r="GI236">
        <v>6.1563065552082339</v>
      </c>
      <c r="GJ236"/>
      <c r="GK236"/>
      <c r="GL236"/>
      <c r="GM236"/>
    </row>
    <row r="237" spans="1:195" s="7" customFormat="1">
      <c r="A237" s="77"/>
      <c r="B237">
        <v>0.87198245686406395</v>
      </c>
      <c r="C237">
        <v>5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72.916666666666671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61.991762452107288</v>
      </c>
      <c r="AO237">
        <v>13.158271135709587</v>
      </c>
      <c r="AP237">
        <v>144.98031757039027</v>
      </c>
      <c r="AQ237">
        <v>113.64096630346289</v>
      </c>
      <c r="AR237">
        <v>12.513070590322357</v>
      </c>
      <c r="AS237">
        <v>182.26865116144009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5.6992523418153889</v>
      </c>
      <c r="GA237">
        <v>19.864434875250833</v>
      </c>
      <c r="GB237">
        <v>9.7832959971369959</v>
      </c>
      <c r="GC237">
        <v>1.7238025243874364</v>
      </c>
      <c r="GD237">
        <v>0.71691528529094839</v>
      </c>
      <c r="GE237">
        <v>1.4540804315652309</v>
      </c>
      <c r="GF237">
        <v>4.943855651806695</v>
      </c>
      <c r="GG237">
        <v>4.8797641332151329</v>
      </c>
      <c r="GH237">
        <v>4.0129705449683382</v>
      </c>
      <c r="GI237">
        <v>5.5209631648301558</v>
      </c>
      <c r="GJ237"/>
      <c r="GK237"/>
      <c r="GL237"/>
      <c r="GM237"/>
    </row>
    <row r="238" spans="1:195" s="7" customFormat="1">
      <c r="A238" s="77"/>
      <c r="B238">
        <v>0.60515969120091273</v>
      </c>
      <c r="C238">
        <v>1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20.833333333333332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40.349602034300311</v>
      </c>
      <c r="AO238">
        <v>10.766547228345868</v>
      </c>
      <c r="AP238">
        <v>117.5546548971473</v>
      </c>
      <c r="AQ238">
        <v>85.371870395165104</v>
      </c>
      <c r="AR238">
        <v>10.50146598690921</v>
      </c>
      <c r="AS238">
        <v>184.05761511971161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14.974539413440027</v>
      </c>
      <c r="GA238">
        <v>40.050847910606286</v>
      </c>
      <c r="GB238">
        <v>16.473538690400161</v>
      </c>
      <c r="GC238">
        <v>2.4732120380249256</v>
      </c>
      <c r="GD238">
        <v>0.49469971204584279</v>
      </c>
      <c r="GE238">
        <v>2.6174787679793958</v>
      </c>
      <c r="GF238">
        <v>7.5037697369101322</v>
      </c>
      <c r="GG238">
        <v>4.549872155140875</v>
      </c>
      <c r="GH238">
        <v>3.4886116924828308</v>
      </c>
      <c r="GI238">
        <v>8.9091289066007846</v>
      </c>
      <c r="GJ238"/>
      <c r="GK238"/>
      <c r="GL238"/>
      <c r="GM238"/>
    </row>
    <row r="239" spans="1:195" s="7" customFormat="1">
      <c r="A239" s="77" t="s">
        <v>61</v>
      </c>
      <c r="B239">
        <v>0.91318952264218289</v>
      </c>
      <c r="C239">
        <v>10</v>
      </c>
      <c r="D239">
        <v>39673</v>
      </c>
      <c r="E239">
        <v>0</v>
      </c>
      <c r="F239">
        <v>148.80952380952382</v>
      </c>
      <c r="G239">
        <v>335.11904761904759</v>
      </c>
      <c r="H239">
        <v>186.3095238095238</v>
      </c>
      <c r="I239">
        <v>410.11904761904765</v>
      </c>
      <c r="J239">
        <v>75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29.743104018427296</v>
      </c>
      <c r="AO239">
        <v>10.159337891773795</v>
      </c>
      <c r="AP239">
        <v>107.40114668143184</v>
      </c>
      <c r="AQ239">
        <v>76.731484688924738</v>
      </c>
      <c r="AR239">
        <v>9.8309951949951397</v>
      </c>
      <c r="AS239">
        <v>101.74465564777877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4.5766402350272468</v>
      </c>
      <c r="GA239">
        <v>20.816208392786706</v>
      </c>
      <c r="GB239">
        <v>10.499596021812106</v>
      </c>
      <c r="GC239">
        <v>1.6295983991368401</v>
      </c>
      <c r="GD239">
        <v>0.63470138184244562</v>
      </c>
      <c r="GE239">
        <v>0.28245867923368362</v>
      </c>
      <c r="GF239">
        <v>0.77653115979888554</v>
      </c>
      <c r="GG239">
        <v>1.6090746073274327</v>
      </c>
      <c r="GH239">
        <v>4.812962061278923</v>
      </c>
      <c r="GI239">
        <v>4.7393639480493102</v>
      </c>
      <c r="GJ239"/>
      <c r="GK239"/>
      <c r="GL239"/>
      <c r="GM239"/>
    </row>
    <row r="240" spans="1:195" s="7" customFormat="1">
      <c r="A240" s="77" t="s">
        <v>62</v>
      </c>
      <c r="B240">
        <v>0.66606193533884706</v>
      </c>
      <c r="C240">
        <v>2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43.792657589855864</v>
      </c>
      <c r="AO240">
        <v>12.472073299139128</v>
      </c>
      <c r="AP240">
        <v>139.66089739766846</v>
      </c>
      <c r="AQ240">
        <v>102.52621728534189</v>
      </c>
      <c r="AR240">
        <v>11.979326394822799</v>
      </c>
      <c r="AS240">
        <v>161.52396026354543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9.375</v>
      </c>
      <c r="DI240" s="182">
        <v>16.666666666666668</v>
      </c>
      <c r="DJ240" s="182">
        <v>9.375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6.903075225417056</v>
      </c>
      <c r="GA240">
        <v>32.786732748917167</v>
      </c>
      <c r="GB240">
        <v>15.052798995299561</v>
      </c>
      <c r="GC240">
        <v>1.5839610124937114</v>
      </c>
      <c r="GD240">
        <v>0.76203365665419709</v>
      </c>
      <c r="GE240">
        <v>2.0558539793455489E-3</v>
      </c>
      <c r="GF240">
        <v>2.4469744669328555</v>
      </c>
      <c r="GG240">
        <v>2.4351588430840816</v>
      </c>
      <c r="GH240">
        <v>1.5038724992891495</v>
      </c>
      <c r="GI240">
        <v>6.1654831694180761</v>
      </c>
      <c r="GJ240"/>
      <c r="GK240"/>
      <c r="GL240"/>
      <c r="GM240"/>
    </row>
    <row r="241" spans="1:195" s="7" customFormat="1">
      <c r="A241" s="77"/>
      <c r="B241">
        <v>0.16739091629255842</v>
      </c>
      <c r="C241">
        <v>2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19.863358648056927</v>
      </c>
      <c r="AO241">
        <v>10.481834143711676</v>
      </c>
      <c r="AP241">
        <v>108.70444338700599</v>
      </c>
      <c r="AQ241">
        <v>72.675412109366178</v>
      </c>
      <c r="AR241">
        <v>9.8265751974739963</v>
      </c>
      <c r="AS241">
        <v>100.64485757009639</v>
      </c>
      <c r="AT241">
        <v>6.5433541524120677</v>
      </c>
      <c r="AU241">
        <v>2.9016933474611672</v>
      </c>
      <c r="AV241"/>
      <c r="AW241"/>
      <c r="DE241" s="187">
        <v>39673</v>
      </c>
      <c r="DF241" s="185">
        <v>0</v>
      </c>
      <c r="DG241" s="185">
        <v>14.880952380952383</v>
      </c>
      <c r="DH241" s="185">
        <v>33.511904761904759</v>
      </c>
      <c r="DI241" s="185">
        <v>20.714285714285715</v>
      </c>
      <c r="DJ241" s="185">
        <v>43.095238095238095</v>
      </c>
      <c r="DK241" s="185">
        <v>9.5833333333333321</v>
      </c>
      <c r="DL241" s="185">
        <v>2.083333333333333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13.239236029719265</v>
      </c>
      <c r="GA241">
        <v>27.467051243921009</v>
      </c>
      <c r="GB241">
        <v>8.1925317613770261</v>
      </c>
      <c r="GC241">
        <v>1.7013850321367863</v>
      </c>
      <c r="GD241">
        <v>0.95444591806455548</v>
      </c>
      <c r="GE241">
        <v>2.7576801806065649</v>
      </c>
      <c r="GF241">
        <v>6.7082557420926134</v>
      </c>
      <c r="GG241">
        <v>2.2651417681332449</v>
      </c>
      <c r="GH241">
        <v>1.2774197807546503</v>
      </c>
      <c r="GI241">
        <v>6.2154582117879364</v>
      </c>
      <c r="GJ241"/>
      <c r="GK241"/>
      <c r="GL241"/>
      <c r="GM241"/>
    </row>
    <row r="242" spans="1:195" s="7" customFormat="1">
      <c r="A242" s="1"/>
      <c r="B242">
        <v>0.90005886159377835</v>
      </c>
      <c r="C242">
        <v>6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46.046625843824138</v>
      </c>
      <c r="AO242">
        <v>10.699337374871366</v>
      </c>
      <c r="AP242">
        <v>122.0023102316166</v>
      </c>
      <c r="AQ242">
        <v>94.256458042173321</v>
      </c>
      <c r="AR242">
        <v>10.367068529150902</v>
      </c>
      <c r="AS242">
        <v>167.73297428782834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0</v>
      </c>
      <c r="DI242" s="182">
        <v>9.3750000000000018</v>
      </c>
      <c r="DJ242" s="182">
        <v>6.25</v>
      </c>
      <c r="DK242" s="182">
        <v>10.416666666666666</v>
      </c>
      <c r="DL242" s="182">
        <v>0</v>
      </c>
      <c r="DM242" s="182">
        <v>4.1666666666666661</v>
      </c>
      <c r="DN242" s="182">
        <v>4.1666666666666661</v>
      </c>
      <c r="DO242" s="182">
        <v>4.1666666666666661</v>
      </c>
      <c r="DP242" s="182">
        <v>2.083333333333333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6.3894084499453569</v>
      </c>
      <c r="GA242">
        <v>26.733566664578092</v>
      </c>
      <c r="GB242">
        <v>11.848435048637089</v>
      </c>
      <c r="GC242">
        <v>1.43129390619068</v>
      </c>
      <c r="GD242">
        <v>0.91932573069413315</v>
      </c>
      <c r="GE242">
        <v>0.14225726660651461</v>
      </c>
      <c r="GF242">
        <v>6.2081253097995308</v>
      </c>
      <c r="GG242">
        <v>7.089014242403735</v>
      </c>
      <c r="GH242">
        <v>3.7585565695983041</v>
      </c>
      <c r="GI242">
        <v>6.5078869818313834</v>
      </c>
      <c r="GJ242"/>
      <c r="GK242"/>
      <c r="GL242"/>
      <c r="GM242"/>
    </row>
    <row r="243" spans="1:195" s="7" customFormat="1">
      <c r="A243" s="1"/>
      <c r="B243">
        <v>0.17500155345389956</v>
      </c>
      <c r="C243">
        <v>4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10.416666666666666</v>
      </c>
      <c r="J243">
        <v>0</v>
      </c>
      <c r="K243">
        <v>10.416666666666666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39.166216817186644</v>
      </c>
      <c r="AO243">
        <v>12.669764516768772</v>
      </c>
      <c r="AP243">
        <v>135.34226197161746</v>
      </c>
      <c r="AQ243">
        <v>95.47191720123503</v>
      </c>
      <c r="AR243">
        <v>12.113330736122499</v>
      </c>
      <c r="AS243">
        <v>159.07883711164894</v>
      </c>
      <c r="AT243" t="e">
        <v>#DIV/0!</v>
      </c>
      <c r="AU243" t="e">
        <v>#DIV/0!</v>
      </c>
      <c r="AV243"/>
      <c r="AW243"/>
      <c r="DE243" s="187">
        <v>39747</v>
      </c>
      <c r="DF243" s="182">
        <v>0</v>
      </c>
      <c r="DG243" s="182">
        <v>6.2859195402298846</v>
      </c>
      <c r="DH243" s="182">
        <v>0</v>
      </c>
      <c r="DI243" s="182">
        <v>22.258141762452105</v>
      </c>
      <c r="DJ243" s="182">
        <v>9.7222222222222232</v>
      </c>
      <c r="DK243" s="182">
        <v>0</v>
      </c>
      <c r="DL243" s="182">
        <v>1.0416666666666665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3.257786229507837</v>
      </c>
      <c r="GA243">
        <v>21.302720766522373</v>
      </c>
      <c r="GB243">
        <v>11.03700899588781</v>
      </c>
      <c r="GC243">
        <v>1.8459133573588815</v>
      </c>
      <c r="GD243">
        <v>0.77676332291132111</v>
      </c>
      <c r="GE243">
        <v>1.3118231649587164</v>
      </c>
      <c r="GF243">
        <v>2.9071717973787643</v>
      </c>
      <c r="GG243">
        <v>1.4390575323765962</v>
      </c>
      <c r="GH243">
        <v>3.1941439879922906</v>
      </c>
      <c r="GI243">
        <v>4.9475822003836809</v>
      </c>
      <c r="GJ243"/>
      <c r="GK243"/>
      <c r="GL243"/>
      <c r="GM243"/>
    </row>
    <row r="244" spans="1:195" s="7" customFormat="1">
      <c r="A244" s="1"/>
      <c r="B244">
        <v>0.88534020020957449</v>
      </c>
      <c r="C244">
        <v>10</v>
      </c>
      <c r="D244">
        <v>39673</v>
      </c>
      <c r="E244">
        <v>0</v>
      </c>
      <c r="F244">
        <v>148.80952380952382</v>
      </c>
      <c r="G244">
        <v>335.11904761904759</v>
      </c>
      <c r="H244">
        <v>186.3095238095238</v>
      </c>
      <c r="I244">
        <v>410.11904761904765</v>
      </c>
      <c r="J244">
        <v>75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18.058828224776498</v>
      </c>
      <c r="AO244">
        <v>6.9803865951012316</v>
      </c>
      <c r="AP244">
        <v>76.733254701247375</v>
      </c>
      <c r="AQ244">
        <v>51.678216334793234</v>
      </c>
      <c r="AR244">
        <v>6.7640436506080714</v>
      </c>
      <c r="AS244">
        <v>113.14033108358664</v>
      </c>
      <c r="AT244" t="e">
        <v>#DIV/0!</v>
      </c>
      <c r="AU244" t="e">
        <v>#DIV/0!</v>
      </c>
      <c r="AV244"/>
      <c r="AW244"/>
      <c r="DE244" s="187">
        <v>39775</v>
      </c>
      <c r="DF244" s="182">
        <v>0</v>
      </c>
      <c r="DG244" s="182">
        <v>5.1636904761904763</v>
      </c>
      <c r="DH244" s="182">
        <v>41.422107984607983</v>
      </c>
      <c r="DI244" s="182">
        <v>14.299242424242422</v>
      </c>
      <c r="DJ244" s="182">
        <v>2.4621212121212119</v>
      </c>
      <c r="DK244" s="182">
        <v>2.1875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22.659629925389538</v>
      </c>
      <c r="GA244">
        <v>36.070176666702977</v>
      </c>
      <c r="GB244">
        <v>7.5879822595919144</v>
      </c>
      <c r="GC244">
        <v>1.6445937313175807</v>
      </c>
      <c r="GD244">
        <v>0.79496077722110781</v>
      </c>
      <c r="GE244">
        <v>2.7556243266272196</v>
      </c>
      <c r="GF244">
        <v>6.1101780434773829</v>
      </c>
      <c r="GG244">
        <v>3.2064412456186582</v>
      </c>
      <c r="GH244">
        <v>4.7660314732374811</v>
      </c>
      <c r="GI244">
        <v>7.7629278488804196</v>
      </c>
      <c r="GJ244"/>
      <c r="GK244"/>
      <c r="GL244"/>
      <c r="GM244"/>
    </row>
    <row r="245" spans="1:195" s="7" customFormat="1">
      <c r="A245" s="1"/>
      <c r="B245">
        <v>2.2465802361728571E-2</v>
      </c>
      <c r="C245">
        <v>9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21.015856481481485</v>
      </c>
      <c r="AO245">
        <v>9.5753806689844279</v>
      </c>
      <c r="AP245">
        <v>93.409770154611977</v>
      </c>
      <c r="AQ245">
        <v>63.783069569741542</v>
      </c>
      <c r="AR245">
        <v>8.9847756259073002</v>
      </c>
      <c r="AS245">
        <v>139.74718199028101</v>
      </c>
      <c r="AT245">
        <v>6.2801480361179083</v>
      </c>
      <c r="AU245">
        <v>16.09828707889875</v>
      </c>
      <c r="AV245"/>
      <c r="AW245"/>
      <c r="DE245" s="187">
        <v>39799</v>
      </c>
      <c r="DF245" s="182">
        <v>0</v>
      </c>
      <c r="DG245" s="182">
        <v>1.0416666666666665</v>
      </c>
      <c r="DH245" s="182">
        <v>0</v>
      </c>
      <c r="DI245" s="182">
        <v>2.083333333333333</v>
      </c>
      <c r="DJ245" s="182">
        <v>1.0416666666666665</v>
      </c>
      <c r="DK245" s="182">
        <v>0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0">
        <v>240</v>
      </c>
      <c r="FZ245">
        <v>4.8064457945430563</v>
      </c>
      <c r="GA245">
        <v>26.38192955761243</v>
      </c>
      <c r="GB245">
        <v>14.108668086710448</v>
      </c>
      <c r="GC245">
        <v>2.2552978078876906</v>
      </c>
      <c r="GD245">
        <v>0.85384672124023597</v>
      </c>
      <c r="GE245">
        <v>1.4479128696271943</v>
      </c>
      <c r="GF245">
        <v>7.5178603163677344</v>
      </c>
      <c r="GG245">
        <v>5.0465116151289049</v>
      </c>
      <c r="GH245">
        <v>1.2774197807546503</v>
      </c>
      <c r="GI245">
        <v>6.6019849511353996</v>
      </c>
      <c r="GJ245"/>
      <c r="GK245"/>
      <c r="GL245"/>
      <c r="GM245"/>
    </row>
    <row r="246" spans="1:195" s="7" customFormat="1">
      <c r="A246" s="1"/>
      <c r="B246">
        <v>0.62434086546767031</v>
      </c>
      <c r="C246">
        <v>3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10.416666666666666</v>
      </c>
      <c r="J246">
        <v>0</v>
      </c>
      <c r="K246">
        <v>10.416666666666666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35.377910052910053</v>
      </c>
      <c r="AO246">
        <v>9.2047752686312059</v>
      </c>
      <c r="AP246">
        <v>100.21356660302811</v>
      </c>
      <c r="AQ246">
        <v>73.60356889742215</v>
      </c>
      <c r="AR246">
        <v>8.7577325676308782</v>
      </c>
      <c r="AS246">
        <v>117.57521384139487</v>
      </c>
      <c r="AT246" t="e">
        <v>#DIV/0!</v>
      </c>
      <c r="AU246" t="e">
        <v>#DIV/0!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2.6041666666666665</v>
      </c>
      <c r="DJ246" s="182">
        <v>1.3020833333333333</v>
      </c>
      <c r="DK246" s="182">
        <v>0</v>
      </c>
      <c r="DL246" s="182">
        <v>0</v>
      </c>
      <c r="DM246" s="182">
        <v>1.3020833333333333</v>
      </c>
      <c r="DN246" s="182">
        <v>2.6041666666666665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5.3294220239965977</v>
      </c>
      <c r="GA246">
        <v>33.609902657316461</v>
      </c>
      <c r="GB246">
        <v>15.240857779939198</v>
      </c>
      <c r="GC246">
        <v>1.3266903727173744</v>
      </c>
      <c r="GD246">
        <v>0.58958332447241657</v>
      </c>
      <c r="GE246">
        <v>1.4520245775858855</v>
      </c>
      <c r="GF246">
        <v>9.3824995107875306</v>
      </c>
      <c r="GG246">
        <v>6.9575224167119947</v>
      </c>
      <c r="GH246">
        <v>0.22645271853449905</v>
      </c>
      <c r="GI246">
        <v>7.1108608915149372</v>
      </c>
      <c r="GJ246"/>
      <c r="GK246"/>
      <c r="GL246"/>
      <c r="GM246"/>
    </row>
    <row r="247" spans="1:195" s="7" customFormat="1">
      <c r="A247" s="77" t="s">
        <v>61</v>
      </c>
      <c r="B247">
        <v>0.49542179643155948</v>
      </c>
      <c r="C247">
        <v>1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20.833333333333332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34.250826719576722</v>
      </c>
      <c r="AO247">
        <v>9.1021386638954418</v>
      </c>
      <c r="AP247">
        <v>88.373702853269805</v>
      </c>
      <c r="AQ247">
        <v>67.805641910831838</v>
      </c>
      <c r="AR247">
        <v>8.84011563847735</v>
      </c>
      <c r="AS247">
        <v>118.76778674111917</v>
      </c>
      <c r="AT247">
        <v>6.1124875616532393</v>
      </c>
      <c r="AU247">
        <v>29.997836988236074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1.0416666666666665</v>
      </c>
      <c r="DJ247" s="182">
        <v>4.1666666666666661</v>
      </c>
      <c r="DK247" s="182">
        <v>0</v>
      </c>
      <c r="DL247" s="182">
        <v>1.0416666666666665</v>
      </c>
      <c r="DM247" s="182">
        <v>1.0416666666666665</v>
      </c>
      <c r="DN247" s="182">
        <v>3.125</v>
      </c>
      <c r="DO247" s="182">
        <v>1.0416666666666665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4.3826209630574651</v>
      </c>
      <c r="GA247">
        <v>19.402642774257533</v>
      </c>
      <c r="GB247">
        <v>10.385762279391106</v>
      </c>
      <c r="GC247">
        <v>2.0096091481489378</v>
      </c>
      <c r="GD247">
        <v>0.53913970167464831</v>
      </c>
      <c r="GE247">
        <v>1.3097673109793708</v>
      </c>
      <c r="GF247">
        <v>5.8187849641231448</v>
      </c>
      <c r="GG247">
        <v>3.9311692068166617</v>
      </c>
      <c r="GH247">
        <v>1.8418323623606643</v>
      </c>
      <c r="GI247">
        <v>5.0870853840972989</v>
      </c>
      <c r="GJ247"/>
      <c r="GK247"/>
      <c r="GL247"/>
      <c r="GM247"/>
    </row>
    <row r="248" spans="1:195" s="7" customFormat="1">
      <c r="A248" s="77" t="s">
        <v>62</v>
      </c>
      <c r="B248">
        <v>0.84855474315912982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10.416666666666666</v>
      </c>
      <c r="I248">
        <v>10.416666666666666</v>
      </c>
      <c r="J248">
        <v>20.833333333333332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18.87633814541142</v>
      </c>
      <c r="AO248">
        <v>8.5054656573014427</v>
      </c>
      <c r="AP248">
        <v>86.270313189619117</v>
      </c>
      <c r="AQ248">
        <v>58.599334950267163</v>
      </c>
      <c r="AR248">
        <v>8.1697468988434476</v>
      </c>
      <c r="AS248">
        <v>96.950853365531515</v>
      </c>
      <c r="AT248">
        <v>5.5956504502112097</v>
      </c>
      <c r="AU248">
        <v>9.3004077974892887</v>
      </c>
      <c r="AV248"/>
      <c r="AW248"/>
      <c r="DE248" s="187">
        <v>39949</v>
      </c>
      <c r="DF248" s="182">
        <v>0</v>
      </c>
      <c r="DG248" s="182">
        <v>0</v>
      </c>
      <c r="DH248" s="182">
        <v>0</v>
      </c>
      <c r="DI248" s="182">
        <v>0</v>
      </c>
      <c r="DJ248" s="182">
        <v>0</v>
      </c>
      <c r="DK248" s="182">
        <v>1.0416666666666665</v>
      </c>
      <c r="DL248" s="182">
        <v>0</v>
      </c>
      <c r="DM248" s="182">
        <v>0</v>
      </c>
      <c r="DN248" s="182">
        <v>0</v>
      </c>
      <c r="DO248" s="182">
        <v>0</v>
      </c>
      <c r="DP248" s="182">
        <v>1.0416666666666665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0">
        <v>243</v>
      </c>
      <c r="FZ248">
        <v>13.517405923721872</v>
      </c>
      <c r="GA248">
        <v>29.042879742876735</v>
      </c>
      <c r="GB248">
        <v>9.6628767877633539</v>
      </c>
      <c r="GC248">
        <v>1.7139227879596515</v>
      </c>
      <c r="GD248">
        <v>0.53804708666077872</v>
      </c>
      <c r="GE248">
        <v>0.28657038719237471</v>
      </c>
      <c r="GF248">
        <v>2.9656368480491553</v>
      </c>
      <c r="GG248">
        <v>5.0672188289064444</v>
      </c>
      <c r="GH248">
        <v>5.1754447517255056</v>
      </c>
      <c r="GI248">
        <v>6.3154477769969661</v>
      </c>
      <c r="GJ248"/>
      <c r="GK248"/>
      <c r="GL248"/>
      <c r="GM248"/>
    </row>
    <row r="249" spans="1:195" s="7" customFormat="1">
      <c r="A249" s="1"/>
      <c r="B249">
        <v>0.75800723636351641</v>
      </c>
      <c r="C249">
        <v>8</v>
      </c>
      <c r="D249">
        <v>39714</v>
      </c>
      <c r="E249">
        <v>0</v>
      </c>
      <c r="F249">
        <v>0</v>
      </c>
      <c r="G249">
        <v>0</v>
      </c>
      <c r="H249">
        <v>10.416666666666666</v>
      </c>
      <c r="I249">
        <v>10.416666666666666</v>
      </c>
      <c r="J249">
        <v>20.833333333333332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37.441054894179892</v>
      </c>
      <c r="AO249">
        <v>13.577702942339494</v>
      </c>
      <c r="AP249">
        <v>143.08353193985229</v>
      </c>
      <c r="AQ249">
        <v>101.53569902363127</v>
      </c>
      <c r="AR249">
        <v>12.87183025969733</v>
      </c>
      <c r="AS249">
        <v>143.27288915511355</v>
      </c>
      <c r="AT249">
        <v>8.4964499634343866</v>
      </c>
      <c r="AU249">
        <v>37.080386313512406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0</v>
      </c>
      <c r="DK249" s="182">
        <v>1.0416666666666665</v>
      </c>
      <c r="DL249" s="182">
        <v>1.0416666666666665</v>
      </c>
      <c r="DM249" s="182">
        <v>0</v>
      </c>
      <c r="DN249" s="182">
        <v>1.0416666666666665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13.867729342255888</v>
      </c>
      <c r="GA249">
        <v>26.883310114344944</v>
      </c>
      <c r="GB249">
        <v>7.4845562844011795</v>
      </c>
      <c r="GC249">
        <v>1.2540569980475649</v>
      </c>
      <c r="GD249">
        <v>0.69454890051793439</v>
      </c>
      <c r="GE249">
        <v>1.4479128696271943</v>
      </c>
      <c r="GF249">
        <v>6.6396905951348213</v>
      </c>
      <c r="GG249">
        <v>4.953569384386471</v>
      </c>
      <c r="GH249">
        <v>2.3830157366187406</v>
      </c>
      <c r="GI249">
        <v>6.1651577731439389</v>
      </c>
      <c r="GJ249"/>
      <c r="GK249"/>
      <c r="GL249"/>
      <c r="GM249"/>
    </row>
    <row r="250" spans="1:195" s="7" customFormat="1">
      <c r="A250" s="1"/>
      <c r="B250">
        <v>5.6811960946802964E-2</v>
      </c>
      <c r="C250">
        <v>5</v>
      </c>
      <c r="D250">
        <v>39714</v>
      </c>
      <c r="E250">
        <v>0</v>
      </c>
      <c r="F250">
        <v>0</v>
      </c>
      <c r="G250">
        <v>0</v>
      </c>
      <c r="H250">
        <v>52.083333333333336</v>
      </c>
      <c r="I250">
        <v>52.083333333333336</v>
      </c>
      <c r="J250">
        <v>83.333333333333329</v>
      </c>
      <c r="K250">
        <v>0</v>
      </c>
      <c r="L250">
        <v>0</v>
      </c>
      <c r="M250">
        <v>10.416666666666666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19.300064997263277</v>
      </c>
      <c r="AO250">
        <v>6.9531195411084381</v>
      </c>
      <c r="AP250">
        <v>74.203207026446265</v>
      </c>
      <c r="AQ250">
        <v>50.377134886293582</v>
      </c>
      <c r="AR250">
        <v>7.0764609480957406</v>
      </c>
      <c r="AS250">
        <v>101.3079909090097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15.163946686650672</v>
      </c>
      <c r="GA250">
        <v>28.51557754767715</v>
      </c>
      <c r="GB250">
        <v>9.3484901897075616</v>
      </c>
      <c r="GC250">
        <v>2.2727055251252786</v>
      </c>
      <c r="GD250">
        <v>1.1050508893186191</v>
      </c>
      <c r="GE250">
        <v>1.4479128696271943</v>
      </c>
      <c r="GF250">
        <v>5.3191054180254795</v>
      </c>
      <c r="GG250">
        <v>3.3238119089717082</v>
      </c>
      <c r="GH250">
        <v>0.45290543706899811</v>
      </c>
      <c r="GI250">
        <v>6.5149058895268164</v>
      </c>
      <c r="GJ250"/>
      <c r="GK250"/>
      <c r="GL250"/>
      <c r="GM250"/>
    </row>
    <row r="251" spans="1:195" s="7" customFormat="1">
      <c r="A251" s="1"/>
      <c r="B251">
        <v>0.22628195016344055</v>
      </c>
      <c r="C251">
        <v>9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10.416666666666666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20.551058201058201</v>
      </c>
      <c r="AO251">
        <v>9.3249339762249033</v>
      </c>
      <c r="AP251">
        <v>102.73096651408399</v>
      </c>
      <c r="AQ251">
        <v>69.642146471485205</v>
      </c>
      <c r="AR251">
        <v>9.1498408704489229</v>
      </c>
      <c r="AS251">
        <v>99.638628129542482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5.0912210731430001</v>
      </c>
      <c r="GA251">
        <v>19.668070652546998</v>
      </c>
      <c r="GB251">
        <v>8.5980023068160651</v>
      </c>
      <c r="GC251">
        <v>0.81689334463935359</v>
      </c>
      <c r="GD251">
        <v>0.66192302722327589</v>
      </c>
      <c r="GE251">
        <v>4.2035371962544144</v>
      </c>
      <c r="GF251">
        <v>9.6090187382958554</v>
      </c>
      <c r="GG251">
        <v>5.3021511397261873</v>
      </c>
      <c r="GH251">
        <v>3.8980249709708548</v>
      </c>
      <c r="GI251">
        <v>5.9726936545574123</v>
      </c>
      <c r="GJ251"/>
      <c r="GK251"/>
      <c r="GL251"/>
      <c r="GM251"/>
    </row>
    <row r="252" spans="1:195" s="7" customFormat="1">
      <c r="A252" s="1"/>
      <c r="B252">
        <v>8.6058443942327312E-2</v>
      </c>
      <c r="C252">
        <v>6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20.833333333333332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32.304414682539672</v>
      </c>
      <c r="AO252">
        <v>9.3080635697186871</v>
      </c>
      <c r="AP252">
        <v>93.459520921513445</v>
      </c>
      <c r="AQ252">
        <v>70.778605668593642</v>
      </c>
      <c r="AR252">
        <v>8.7485944057868075</v>
      </c>
      <c r="AS252">
        <v>108.47275516262194</v>
      </c>
      <c r="AT252" t="e">
        <v>#DIV/0!</v>
      </c>
      <c r="AU252" t="e">
        <v>#DIV/0!</v>
      </c>
      <c r="AV252"/>
      <c r="AW252"/>
      <c r="FY252" s="210">
        <v>247</v>
      </c>
      <c r="FZ252">
        <v>23.000019868614043</v>
      </c>
      <c r="GA252">
        <v>34.953142419136114</v>
      </c>
      <c r="GB252">
        <v>7.8520585897708894</v>
      </c>
      <c r="GC252">
        <v>2.1414212722538171</v>
      </c>
      <c r="GD252">
        <v>0.83744948465970492</v>
      </c>
      <c r="GE252">
        <v>0.28451453321302922</v>
      </c>
      <c r="GF252">
        <v>2.9656368480491553</v>
      </c>
      <c r="GG252">
        <v>3.5481548456583969</v>
      </c>
      <c r="GH252">
        <v>3.1941439879922906</v>
      </c>
      <c r="GI252">
        <v>7.0347409277492741</v>
      </c>
      <c r="GJ252"/>
      <c r="GK252"/>
      <c r="GL252"/>
      <c r="GM252"/>
    </row>
    <row r="253" spans="1:195" s="7" customFormat="1">
      <c r="A253" s="1"/>
      <c r="B253">
        <v>0.20173555616341243</v>
      </c>
      <c r="C253">
        <v>2</v>
      </c>
      <c r="D253">
        <v>39714</v>
      </c>
      <c r="E253">
        <v>0</v>
      </c>
      <c r="F253">
        <v>0</v>
      </c>
      <c r="G253">
        <v>0</v>
      </c>
      <c r="H253">
        <v>31.25</v>
      </c>
      <c r="I253">
        <v>0</v>
      </c>
      <c r="J253">
        <v>0</v>
      </c>
      <c r="K253">
        <v>0</v>
      </c>
      <c r="L253">
        <v>41.666666666666664</v>
      </c>
      <c r="M253">
        <v>0</v>
      </c>
      <c r="N253">
        <v>0</v>
      </c>
      <c r="O253">
        <v>10.416666666666666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22.028257275132276</v>
      </c>
      <c r="AO253">
        <v>9.8549417633104248</v>
      </c>
      <c r="AP253">
        <v>104.86359703775673</v>
      </c>
      <c r="AQ253">
        <v>71.027870170284814</v>
      </c>
      <c r="AR253">
        <v>9.7044745752993364</v>
      </c>
      <c r="AS253">
        <v>101.72674043944912</v>
      </c>
      <c r="AT253" t="e">
        <v>#DIV/0!</v>
      </c>
      <c r="AU253" t="e">
        <v>#DIV/0!</v>
      </c>
      <c r="AV253"/>
      <c r="AW253"/>
      <c r="FY253" s="210">
        <v>248</v>
      </c>
      <c r="FZ253">
        <v>13.740525692402208</v>
      </c>
      <c r="GA253">
        <v>28.600295253070811</v>
      </c>
      <c r="GB253">
        <v>9.1347671747085286</v>
      </c>
      <c r="GC253">
        <v>1.7409184424761381</v>
      </c>
      <c r="GD253">
        <v>0.69494468932921927</v>
      </c>
      <c r="GE253">
        <v>4.1117079586910979E-3</v>
      </c>
      <c r="GF253">
        <v>2.8386066504209717</v>
      </c>
      <c r="GG253">
        <v>4.1274851486298214</v>
      </c>
      <c r="GH253">
        <v>2.9073745891042471</v>
      </c>
      <c r="GI253">
        <v>5.8822389501433232</v>
      </c>
      <c r="GJ253"/>
      <c r="GK253"/>
      <c r="GL253"/>
      <c r="GM253"/>
    </row>
    <row r="254" spans="1:195" s="7" customFormat="1">
      <c r="A254" s="1"/>
      <c r="B254">
        <v>0.41942561279539348</v>
      </c>
      <c r="C254">
        <v>6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20.833333333333332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20.39818007662835</v>
      </c>
      <c r="AO254">
        <v>7.5104260624434689</v>
      </c>
      <c r="AP254">
        <v>77.365600216986465</v>
      </c>
      <c r="AQ254">
        <v>52.019971355278265</v>
      </c>
      <c r="AR254">
        <v>7.2801851627669709</v>
      </c>
      <c r="AS254">
        <v>98.798214904397113</v>
      </c>
      <c r="AT254">
        <v>4.9147514111552058</v>
      </c>
      <c r="AU254">
        <v>-4.4348205166111399</v>
      </c>
      <c r="AV254"/>
      <c r="AW254"/>
      <c r="FY254" s="210">
        <v>249</v>
      </c>
      <c r="FZ254">
        <v>3.7673060229784756</v>
      </c>
      <c r="GA254">
        <v>18.25617625816901</v>
      </c>
      <c r="GB254">
        <v>10.009443811874931</v>
      </c>
      <c r="GC254">
        <v>1.8916910572540913</v>
      </c>
      <c r="GD254">
        <v>0.37638272103618581</v>
      </c>
      <c r="GE254">
        <v>2.6154229140000504</v>
      </c>
      <c r="GF254">
        <v>6.1101780434773829</v>
      </c>
      <c r="GG254">
        <v>1.6873772623706111</v>
      </c>
      <c r="GH254">
        <v>1.2774197807546503</v>
      </c>
      <c r="GI254">
        <v>4.8158447994248306</v>
      </c>
      <c r="GJ254"/>
      <c r="GK254"/>
      <c r="GL254"/>
      <c r="GM254"/>
    </row>
    <row r="255" spans="1:195" s="7" customFormat="1">
      <c r="A255" s="1"/>
      <c r="B255">
        <v>0.17609204836349601</v>
      </c>
      <c r="C255">
        <v>6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20.833333333333332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48.610677796022621</v>
      </c>
      <c r="AO255">
        <v>11.445526174159529</v>
      </c>
      <c r="AP255">
        <v>118.60022857009524</v>
      </c>
      <c r="AQ255">
        <v>93.358546298064269</v>
      </c>
      <c r="AR255">
        <v>10.91357253630418</v>
      </c>
      <c r="AS255">
        <v>187.15950714901638</v>
      </c>
      <c r="AT255">
        <v>7.1686613435459421</v>
      </c>
      <c r="AU255">
        <v>37.989669101866625</v>
      </c>
      <c r="AV255"/>
      <c r="AW255"/>
      <c r="FY255" s="210">
        <v>250</v>
      </c>
      <c r="FZ255">
        <v>25.153546211411662</v>
      </c>
      <c r="GA255">
        <v>39.883538466915532</v>
      </c>
      <c r="GB255">
        <v>7.9075190633555996</v>
      </c>
      <c r="GC255">
        <v>1.1558504882191936</v>
      </c>
      <c r="GD255">
        <v>0.76791905927583026</v>
      </c>
      <c r="GE255">
        <v>2.7576801806065649</v>
      </c>
      <c r="GF255">
        <v>7.3513479030877944</v>
      </c>
      <c r="GG255">
        <v>3.6028854678255406</v>
      </c>
      <c r="GH255">
        <v>2.3830157366187406</v>
      </c>
      <c r="GI255">
        <v>8.1389061452821156</v>
      </c>
      <c r="GJ255"/>
      <c r="GK255"/>
      <c r="GL255"/>
      <c r="GM255"/>
    </row>
    <row r="256" spans="1:195" s="7" customFormat="1">
      <c r="A256" s="1"/>
      <c r="B256">
        <v>0.24226795542190604</v>
      </c>
      <c r="C256">
        <v>10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28.0593396506112</v>
      </c>
      <c r="AO256">
        <v>9.9735800905279568</v>
      </c>
      <c r="AP256">
        <v>102.24246941957529</v>
      </c>
      <c r="AQ256">
        <v>70.297877501007747</v>
      </c>
      <c r="AR256">
        <v>9.5528751995165759</v>
      </c>
      <c r="AS256">
        <v>129.98473636870889</v>
      </c>
      <c r="AT256" t="e">
        <v>#DIV/0!</v>
      </c>
      <c r="AU256" t="e">
        <v>#DIV/0!</v>
      </c>
      <c r="AV256"/>
      <c r="AW256"/>
      <c r="FY256" s="210">
        <v>251</v>
      </c>
      <c r="FZ256">
        <v>14.835604995862642</v>
      </c>
      <c r="GA256">
        <v>25.833969078053283</v>
      </c>
      <c r="GB256">
        <v>7.8579996227007669</v>
      </c>
      <c r="GC256">
        <v>1.9122074685774861</v>
      </c>
      <c r="GD256">
        <v>0.70281987012568303</v>
      </c>
      <c r="GE256">
        <v>1.3077114570000252</v>
      </c>
      <c r="GF256">
        <v>5.7933933279289898</v>
      </c>
      <c r="GG256">
        <v>3.5838820498762765</v>
      </c>
      <c r="GH256">
        <v>0.92263539591056576</v>
      </c>
      <c r="GI256">
        <v>5.9694404990828218</v>
      </c>
      <c r="GJ256"/>
      <c r="GK256"/>
      <c r="GL256"/>
      <c r="GM256"/>
    </row>
    <row r="257" spans="1:195" s="7" customFormat="1">
      <c r="A257" s="1"/>
      <c r="B257">
        <v>0.95137134455329786</v>
      </c>
      <c r="C257">
        <v>10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25.221540891260716</v>
      </c>
      <c r="AO257">
        <v>11.264658093302412</v>
      </c>
      <c r="AP257">
        <v>121.49916472768619</v>
      </c>
      <c r="AQ257">
        <v>81.225816273576896</v>
      </c>
      <c r="AR257">
        <v>10.482601832221794</v>
      </c>
      <c r="AS257">
        <v>112.32757687520562</v>
      </c>
      <c r="AT257" t="e">
        <v>#DIV/0!</v>
      </c>
      <c r="AU257" t="e">
        <v>#DIV/0!</v>
      </c>
      <c r="AV257"/>
      <c r="AW257"/>
      <c r="FY257" s="210">
        <v>252</v>
      </c>
      <c r="FZ257">
        <v>12.378238138507763</v>
      </c>
      <c r="GA257">
        <v>25.852563000992301</v>
      </c>
      <c r="GB257">
        <v>6.6416598333114703</v>
      </c>
      <c r="GC257">
        <v>1.0603139741411045</v>
      </c>
      <c r="GD257">
        <v>0.56564522249052362</v>
      </c>
      <c r="GE257">
        <v>3.9251902249794219</v>
      </c>
      <c r="GF257">
        <v>7.9099433860512676</v>
      </c>
      <c r="GG257">
        <v>3.0872425898882456</v>
      </c>
      <c r="GH257">
        <v>3.8300099850148128</v>
      </c>
      <c r="GI257">
        <v>6.1332787396582464</v>
      </c>
      <c r="GJ257"/>
      <c r="GK257"/>
      <c r="GL257"/>
      <c r="GM257"/>
    </row>
    <row r="258" spans="1:195" s="7" customFormat="1">
      <c r="A258" s="1"/>
      <c r="B258">
        <v>0.84597706486491142</v>
      </c>
      <c r="C258">
        <v>4</v>
      </c>
      <c r="D258">
        <v>39747</v>
      </c>
      <c r="E258">
        <v>0</v>
      </c>
      <c r="F258">
        <v>62.859195402298845</v>
      </c>
      <c r="G258">
        <v>0</v>
      </c>
      <c r="H258">
        <v>91.268286311389758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24.69498893906222</v>
      </c>
      <c r="AO258">
        <v>7.6501882423479541</v>
      </c>
      <c r="AP258">
        <v>77.454929572322911</v>
      </c>
      <c r="AQ258">
        <v>54.708414094906836</v>
      </c>
      <c r="AR258">
        <v>7.2553641181869519</v>
      </c>
      <c r="AS258">
        <v>100.18976984267225</v>
      </c>
      <c r="AT258">
        <v>4.9494268365107308</v>
      </c>
      <c r="AU258">
        <v>-14.532835133567785</v>
      </c>
      <c r="AV258"/>
      <c r="AW258"/>
      <c r="FY258" s="210">
        <v>253</v>
      </c>
      <c r="FZ258">
        <v>14.667013641047038</v>
      </c>
      <c r="GA258">
        <v>27.351302068544573</v>
      </c>
      <c r="GB258">
        <v>10.360792102625981</v>
      </c>
      <c r="GC258">
        <v>3.4320475083081683</v>
      </c>
      <c r="GD258">
        <v>1.0486095787315937</v>
      </c>
      <c r="GE258">
        <v>1.4520245775858855</v>
      </c>
      <c r="GF258">
        <v>4.5776151045127342</v>
      </c>
      <c r="GG258">
        <v>3.7842057513812919</v>
      </c>
      <c r="GH258">
        <v>4.7660314732374811</v>
      </c>
      <c r="GI258">
        <v>7.1661306630006898</v>
      </c>
      <c r="GJ258"/>
      <c r="GK258"/>
      <c r="GL258"/>
      <c r="GM258"/>
    </row>
    <row r="259" spans="1:195" s="7" customFormat="1">
      <c r="A259" s="90"/>
      <c r="B259">
        <v>0.95323467868960599</v>
      </c>
      <c r="C259">
        <v>1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86.805555555555557</v>
      </c>
      <c r="J259">
        <v>0</v>
      </c>
      <c r="K259">
        <v>10.416666666666666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31.954196314541143</v>
      </c>
      <c r="AO259">
        <v>9.6214894956008674</v>
      </c>
      <c r="AP259">
        <v>102.88314852068997</v>
      </c>
      <c r="AQ259">
        <v>74.285450921852842</v>
      </c>
      <c r="AR259">
        <v>9.3356849926387877</v>
      </c>
      <c r="AS259">
        <v>117.89276898284753</v>
      </c>
      <c r="AT259" t="e">
        <v>#DIV/0!</v>
      </c>
      <c r="AU259" t="e">
        <v>#DIV/0!</v>
      </c>
      <c r="AV259"/>
      <c r="AW259"/>
      <c r="FY259" s="210">
        <v>254</v>
      </c>
      <c r="FZ259">
        <v>14.291013345977866</v>
      </c>
      <c r="GA259">
        <v>22.727353533357594</v>
      </c>
      <c r="GB259">
        <v>5.5811484810964984</v>
      </c>
      <c r="GC259">
        <v>1.3773723519331178</v>
      </c>
      <c r="GD259">
        <v>0.80208715544757347</v>
      </c>
      <c r="GE259">
        <v>0.28657038719237471</v>
      </c>
      <c r="GF259">
        <v>3.4653163941468206</v>
      </c>
      <c r="GG259">
        <v>4.9150441351273741</v>
      </c>
      <c r="GH259">
        <v>4.9924841917719807</v>
      </c>
      <c r="GI259">
        <v>5.5329225644707751</v>
      </c>
      <c r="GJ259"/>
      <c r="GK259"/>
      <c r="GL259"/>
      <c r="GM259"/>
    </row>
    <row r="260" spans="1:195" s="7" customFormat="1">
      <c r="A260" s="77" t="s">
        <v>61</v>
      </c>
      <c r="B260">
        <v>0.14750503087223921</v>
      </c>
      <c r="C260">
        <v>5</v>
      </c>
      <c r="D260">
        <v>39747</v>
      </c>
      <c r="E260">
        <v>0</v>
      </c>
      <c r="F260">
        <v>0</v>
      </c>
      <c r="G260">
        <v>0</v>
      </c>
      <c r="H260">
        <v>110.47979797979797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30.649254812078084</v>
      </c>
      <c r="AO260">
        <v>9.275245269997102</v>
      </c>
      <c r="AP260">
        <v>96.806399304819962</v>
      </c>
      <c r="AQ260">
        <v>71.773547998478676</v>
      </c>
      <c r="AR260">
        <v>8.8828201112554215</v>
      </c>
      <c r="AS260">
        <v>112.73072583805748</v>
      </c>
      <c r="AT260">
        <v>5.7491763499703836</v>
      </c>
      <c r="AU260">
        <v>41.944102218231038</v>
      </c>
      <c r="AV260"/>
      <c r="AW260"/>
      <c r="FY260" s="210">
        <v>255</v>
      </c>
      <c r="FZ260">
        <v>3.8103640041399878</v>
      </c>
      <c r="GA260">
        <v>15.130799761642869</v>
      </c>
      <c r="GB260">
        <v>8.0576167481836478</v>
      </c>
      <c r="GC260">
        <v>2.3100458953168195</v>
      </c>
      <c r="GD260">
        <v>0.8232512885097607</v>
      </c>
      <c r="GE260">
        <v>5.2308458280001009</v>
      </c>
      <c r="GF260">
        <v>14.657681343795636</v>
      </c>
      <c r="GG260">
        <v>7.205323733345443</v>
      </c>
      <c r="GH260">
        <v>2.7924290151067641</v>
      </c>
      <c r="GI260">
        <v>6.5838943766776277</v>
      </c>
      <c r="GJ260"/>
      <c r="GK260"/>
      <c r="GL260"/>
      <c r="GM260"/>
    </row>
    <row r="261" spans="1:195" s="7" customFormat="1">
      <c r="A261" s="77" t="s">
        <v>62</v>
      </c>
      <c r="B261">
        <v>0.61264495542791853</v>
      </c>
      <c r="C261">
        <v>2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38.036422983944533</v>
      </c>
      <c r="AO261">
        <v>9.7508232310113669</v>
      </c>
      <c r="AP261">
        <v>98.365138247933828</v>
      </c>
      <c r="AQ261">
        <v>73.464412361699473</v>
      </c>
      <c r="AR261">
        <v>9.3556043081242848</v>
      </c>
      <c r="AS261">
        <v>132.76549328931662</v>
      </c>
      <c r="AT261" t="e">
        <v>#DIV/0!</v>
      </c>
      <c r="AU261" t="e">
        <v>#DIV/0!</v>
      </c>
      <c r="AV261"/>
      <c r="AW261"/>
      <c r="FY261" s="210">
        <v>256</v>
      </c>
      <c r="FZ261">
        <v>7.2711684993371382</v>
      </c>
      <c r="GA261">
        <v>35.858452126239698</v>
      </c>
      <c r="GB261">
        <v>18.983387416865625</v>
      </c>
      <c r="GC261">
        <v>2.4407781763025445</v>
      </c>
      <c r="GD261">
        <v>0.65394548857618706</v>
      </c>
      <c r="GE261">
        <v>1.3097673109793708</v>
      </c>
      <c r="GF261">
        <v>9.3824995107875306</v>
      </c>
      <c r="GG261">
        <v>6.7875053417611584</v>
      </c>
      <c r="GH261">
        <v>2.6697851355067841</v>
      </c>
      <c r="GI261">
        <v>8.7122022045832566</v>
      </c>
      <c r="GJ261"/>
      <c r="GK261"/>
      <c r="GL261"/>
      <c r="GM261"/>
    </row>
    <row r="262" spans="1:195" s="7" customFormat="1" ht="12.75" customHeight="1">
      <c r="A262" s="77"/>
      <c r="B262">
        <v>0.21241154538611662</v>
      </c>
      <c r="C262">
        <v>10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20.531167328042326</v>
      </c>
      <c r="AO262">
        <v>9.2028944871923315</v>
      </c>
      <c r="AP262">
        <v>91.330497971118859</v>
      </c>
      <c r="AQ262">
        <v>63.821536104173404</v>
      </c>
      <c r="AR262">
        <v>8.4793404056025903</v>
      </c>
      <c r="AS262">
        <v>124.41020752628685</v>
      </c>
      <c r="AT262">
        <v>6.1111547365842016</v>
      </c>
      <c r="AU262">
        <v>24.392283693709924</v>
      </c>
      <c r="AV262"/>
      <c r="AW262"/>
      <c r="FY262" s="210">
        <v>257</v>
      </c>
      <c r="FZ262">
        <v>20.438601836115197</v>
      </c>
      <c r="GA262">
        <v>36.198185807439643</v>
      </c>
      <c r="GB262">
        <v>7.8414762286101469</v>
      </c>
      <c r="GC262">
        <v>1.6844497884910616</v>
      </c>
      <c r="GD262">
        <v>0.56487420199931437</v>
      </c>
      <c r="GE262">
        <v>1.3118231649587164</v>
      </c>
      <c r="GF262">
        <v>2.1306406375798788</v>
      </c>
      <c r="GG262">
        <v>3.0381279664960941</v>
      </c>
      <c r="GH262">
        <v>5.5848580302135282</v>
      </c>
      <c r="GI262">
        <v>6.7551996855178729</v>
      </c>
      <c r="GJ262"/>
      <c r="GK262"/>
      <c r="GL262"/>
      <c r="GM262"/>
    </row>
    <row r="263" spans="1:195" s="7" customFormat="1">
      <c r="A263" s="77"/>
      <c r="B263">
        <v>0.67880141197188704</v>
      </c>
      <c r="C263">
        <v>6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47.250113460135005</v>
      </c>
      <c r="AO263">
        <v>10.312298053397578</v>
      </c>
      <c r="AP263">
        <v>108.70886902636485</v>
      </c>
      <c r="AQ263">
        <v>85.811282777096721</v>
      </c>
      <c r="AR263">
        <v>10.090021523439606</v>
      </c>
      <c r="AS263">
        <v>142.9643691693401</v>
      </c>
      <c r="AT263" t="e">
        <v>#DIV/0!</v>
      </c>
      <c r="AU263" t="e">
        <v>#DIV/0!</v>
      </c>
      <c r="AV263"/>
      <c r="AW263"/>
      <c r="FY263" s="210">
        <v>258</v>
      </c>
      <c r="FZ263">
        <v>5.1151079429377031</v>
      </c>
      <c r="GA263">
        <v>15.674603831209799</v>
      </c>
      <c r="GB263">
        <v>8.1208533129945728</v>
      </c>
      <c r="GC263">
        <v>1.8072196626685897</v>
      </c>
      <c r="GD263">
        <v>0.68013288597653543</v>
      </c>
      <c r="GE263">
        <v>0.14020141262716906</v>
      </c>
      <c r="GF263">
        <v>3.4653163941468206</v>
      </c>
      <c r="GG263">
        <v>3.2259630769284899</v>
      </c>
      <c r="GH263">
        <v>2.3249484135143348</v>
      </c>
      <c r="GI263">
        <v>4.3558685013471061</v>
      </c>
      <c r="GJ263"/>
      <c r="GK263"/>
      <c r="GL263"/>
      <c r="GM263"/>
    </row>
    <row r="264" spans="1:195" s="7" customFormat="1">
      <c r="A264" s="77"/>
      <c r="B264">
        <v>0.50489309534245863</v>
      </c>
      <c r="C264">
        <v>8</v>
      </c>
      <c r="D264">
        <v>39747</v>
      </c>
      <c r="E264">
        <v>0</v>
      </c>
      <c r="F264">
        <v>0</v>
      </c>
      <c r="G264">
        <v>0</v>
      </c>
      <c r="H264">
        <v>20.833333333333332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31.819492907316182</v>
      </c>
      <c r="AO264">
        <v>8.9169492111158668</v>
      </c>
      <c r="AP264">
        <v>94.971881369487818</v>
      </c>
      <c r="AQ264">
        <v>69.671268298243959</v>
      </c>
      <c r="AR264">
        <v>8.6317648968037304</v>
      </c>
      <c r="AS264">
        <v>126.43531442814232</v>
      </c>
      <c r="AT264" t="e">
        <v>#DIV/0!</v>
      </c>
      <c r="AU264" t="e">
        <v>#DIV/0!</v>
      </c>
      <c r="AV264"/>
      <c r="AW264"/>
      <c r="FY264" s="210">
        <v>259</v>
      </c>
      <c r="FZ264">
        <v>15.467679351573405</v>
      </c>
      <c r="GA264">
        <v>31.304694573621763</v>
      </c>
      <c r="GB264">
        <v>11.939313804565554</v>
      </c>
      <c r="GC264">
        <v>2.5887758126840055</v>
      </c>
      <c r="GD264">
        <v>0.7766741818210241</v>
      </c>
      <c r="GE264">
        <v>2.6154229140000504</v>
      </c>
      <c r="GF264">
        <v>9.3716493402463925</v>
      </c>
      <c r="GG264">
        <v>5.5638582888944743</v>
      </c>
      <c r="GH264">
        <v>1.8017786332401569</v>
      </c>
      <c r="GI264">
        <v>8.1047162222021569</v>
      </c>
      <c r="GJ264"/>
      <c r="GK264"/>
      <c r="GL264"/>
      <c r="GM264"/>
    </row>
    <row r="265" spans="1:195" s="7" customFormat="1">
      <c r="A265" s="77"/>
      <c r="B265">
        <v>0.17531108398106721</v>
      </c>
      <c r="C265">
        <v>10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21.568315544608648</v>
      </c>
      <c r="AO265">
        <v>7.3530370189291059</v>
      </c>
      <c r="AP265">
        <v>73.518978444428029</v>
      </c>
      <c r="AQ265">
        <v>50.807242671340219</v>
      </c>
      <c r="AR265">
        <v>6.8436456833463781</v>
      </c>
      <c r="AS265">
        <v>87.653732252971366</v>
      </c>
      <c r="AT265" t="e">
        <v>#DIV/0!</v>
      </c>
      <c r="AU265" t="e">
        <v>#DIV/0!</v>
      </c>
      <c r="AV265"/>
      <c r="AW265"/>
      <c r="FY265" s="210">
        <v>260</v>
      </c>
      <c r="FZ265">
        <v>14.897311660717317</v>
      </c>
      <c r="GA265">
        <v>40.205145314361083</v>
      </c>
      <c r="GB265">
        <v>15.482345366429934</v>
      </c>
      <c r="GC265">
        <v>2.0596428866895868</v>
      </c>
      <c r="GD265">
        <v>0.56546512724333753</v>
      </c>
      <c r="GE265">
        <v>2.6215904759380875</v>
      </c>
      <c r="GF265">
        <v>10.886430404641562</v>
      </c>
      <c r="GG265">
        <v>6.1699634302144428</v>
      </c>
      <c r="GH265">
        <v>1.3923653547521333</v>
      </c>
      <c r="GI265">
        <v>9.100473412580623</v>
      </c>
      <c r="GJ265"/>
      <c r="GK265"/>
      <c r="GL265"/>
      <c r="GM265"/>
    </row>
    <row r="266" spans="1:195" s="7" customFormat="1">
      <c r="A266" s="1"/>
      <c r="B266">
        <v>0.83309665700254198</v>
      </c>
      <c r="C266">
        <v>9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47.278917510490778</v>
      </c>
      <c r="AO266">
        <v>12.126479503317933</v>
      </c>
      <c r="AP266">
        <v>128.33117800871082</v>
      </c>
      <c r="AQ266">
        <v>99.102208722598576</v>
      </c>
      <c r="AR266">
        <v>11.558145473207528</v>
      </c>
      <c r="AS266">
        <v>169.97636376039003</v>
      </c>
      <c r="AT266">
        <v>7.4029432259981141</v>
      </c>
      <c r="AU266">
        <v>78.973541805468273</v>
      </c>
      <c r="AV266"/>
      <c r="AW266"/>
      <c r="FY266" s="210">
        <v>261</v>
      </c>
      <c r="FZ266">
        <v>12.98042550295613</v>
      </c>
      <c r="GA266">
        <v>25.137599351189074</v>
      </c>
      <c r="GB266">
        <v>6.9097373948844769</v>
      </c>
      <c r="GC266">
        <v>1.0145971567310743</v>
      </c>
      <c r="GD266">
        <v>0.62243368870625981</v>
      </c>
      <c r="GE266">
        <v>1.4479128696271943</v>
      </c>
      <c r="GF266">
        <v>5.5959570317266998</v>
      </c>
      <c r="GG266">
        <v>3.9854950685525132</v>
      </c>
      <c r="GH266">
        <v>3.7753810913708743</v>
      </c>
      <c r="GI266">
        <v>5.8340904077477722</v>
      </c>
      <c r="GJ266"/>
      <c r="GK266"/>
      <c r="GL266"/>
      <c r="GM266"/>
    </row>
    <row r="267" spans="1:195" s="7" customFormat="1">
      <c r="A267" s="1"/>
      <c r="B267">
        <v>0.9923192702699466</v>
      </c>
      <c r="C267">
        <v>8</v>
      </c>
      <c r="D267">
        <v>39747</v>
      </c>
      <c r="E267">
        <v>0</v>
      </c>
      <c r="F267">
        <v>0</v>
      </c>
      <c r="G267">
        <v>0</v>
      </c>
      <c r="H267">
        <v>20.833333333333332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35.826502349023897</v>
      </c>
      <c r="AO267">
        <v>8.8640642590230705</v>
      </c>
      <c r="AP267">
        <v>90.775214642229443</v>
      </c>
      <c r="AQ267">
        <v>68.719663765118526</v>
      </c>
      <c r="AR267">
        <v>8.5034617162415405</v>
      </c>
      <c r="AS267">
        <v>139.95858988280963</v>
      </c>
      <c r="AT267" t="e">
        <v>#DIV/0!</v>
      </c>
      <c r="AU267" t="e">
        <v>#DIV/0!</v>
      </c>
      <c r="AV267"/>
      <c r="AW267"/>
      <c r="FY267" s="210">
        <v>262</v>
      </c>
      <c r="FZ267">
        <v>4.5613931207187122</v>
      </c>
      <c r="GA267">
        <v>24.437116617605113</v>
      </c>
      <c r="GB267">
        <v>10.693687079816826</v>
      </c>
      <c r="GC267">
        <v>1.2734902600285751</v>
      </c>
      <c r="GD267">
        <v>0.76448293102468601</v>
      </c>
      <c r="GE267">
        <v>0.14225726660651461</v>
      </c>
      <c r="GF267">
        <v>5.3331959974830809</v>
      </c>
      <c r="GG267">
        <v>6.8585793354558326</v>
      </c>
      <c r="GH267">
        <v>3.826571555554346</v>
      </c>
      <c r="GI267">
        <v>5.6592733290665986</v>
      </c>
      <c r="GJ267"/>
      <c r="GK267"/>
      <c r="GL267"/>
      <c r="GM267"/>
    </row>
    <row r="268" spans="1:195" s="7" customFormat="1">
      <c r="A268" s="1"/>
      <c r="B268">
        <v>0.19936639568818504</v>
      </c>
      <c r="C268">
        <v>7</v>
      </c>
      <c r="D268">
        <v>39775</v>
      </c>
      <c r="E268">
        <v>0</v>
      </c>
      <c r="F268">
        <v>0</v>
      </c>
      <c r="G268">
        <v>60.500841750841751</v>
      </c>
      <c r="H268">
        <v>28.409090909090907</v>
      </c>
      <c r="I268">
        <v>14.204545454545453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29.937185846560844</v>
      </c>
      <c r="AO268">
        <v>9.4431455873268781</v>
      </c>
      <c r="AP268">
        <v>95.767791149032178</v>
      </c>
      <c r="AQ268">
        <v>71.384085095035175</v>
      </c>
      <c r="AR268">
        <v>8.6333998121932929</v>
      </c>
      <c r="AS268">
        <v>110.02857210621062</v>
      </c>
      <c r="AT268">
        <v>5.7648860362043566</v>
      </c>
      <c r="AU268">
        <v>39.32342051486053</v>
      </c>
      <c r="AV268"/>
      <c r="AW268"/>
      <c r="FY268" s="210">
        <v>263</v>
      </c>
      <c r="FZ268">
        <v>3.8246856801649631</v>
      </c>
      <c r="GA268">
        <v>24.251218429763753</v>
      </c>
      <c r="GB268">
        <v>11.345007113974624</v>
      </c>
      <c r="GC268">
        <v>1.195992196130194</v>
      </c>
      <c r="GD268">
        <v>0.54153343418671096</v>
      </c>
      <c r="GE268">
        <v>1.4520245775858855</v>
      </c>
      <c r="GF268">
        <v>10.731716733007492</v>
      </c>
      <c r="GG268">
        <v>9.1371085227633486</v>
      </c>
      <c r="GH268">
        <v>2.2546840703091551</v>
      </c>
      <c r="GI268">
        <v>6.3969428934067603</v>
      </c>
      <c r="GJ268"/>
      <c r="GK268"/>
      <c r="GL268"/>
      <c r="GM268"/>
    </row>
    <row r="269" spans="1:195" s="7" customFormat="1">
      <c r="A269" s="1"/>
      <c r="B269">
        <v>0.80997607569291152</v>
      </c>
      <c r="C269">
        <v>9</v>
      </c>
      <c r="D269">
        <v>39775</v>
      </c>
      <c r="E269">
        <v>0</v>
      </c>
      <c r="F269">
        <v>0</v>
      </c>
      <c r="G269">
        <v>41.666666666666664</v>
      </c>
      <c r="H269">
        <v>10.416666666666666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42.354610814632373</v>
      </c>
      <c r="AO269">
        <v>10.668090402826994</v>
      </c>
      <c r="AP269">
        <v>105.27609914569021</v>
      </c>
      <c r="AQ269">
        <v>78.605772468975431</v>
      </c>
      <c r="AR269">
        <v>10.320355672847686</v>
      </c>
      <c r="AS269">
        <v>149.10062869681536</v>
      </c>
      <c r="AT269">
        <v>6.8800821679396895</v>
      </c>
      <c r="AU269">
        <v>23.323032168666128</v>
      </c>
      <c r="AV269"/>
      <c r="AW269"/>
      <c r="FY269" s="210">
        <v>264</v>
      </c>
      <c r="FZ269">
        <v>3.303582651015927</v>
      </c>
      <c r="GA269">
        <v>22.392153511737334</v>
      </c>
      <c r="GB269">
        <v>12.20721962682873</v>
      </c>
      <c r="GC269">
        <v>1.8666479197828196</v>
      </c>
      <c r="GD269">
        <v>0.64553169035012081</v>
      </c>
      <c r="GE269">
        <v>4.1117079586910979E-3</v>
      </c>
      <c r="GF269">
        <v>0.7225074784941109</v>
      </c>
      <c r="GG269">
        <v>1.5620441945046388</v>
      </c>
      <c r="GH269">
        <v>2.7244140291507226</v>
      </c>
      <c r="GI269">
        <v>4.605968392900734</v>
      </c>
      <c r="GJ269"/>
      <c r="GK269"/>
      <c r="GL269"/>
      <c r="GM269"/>
    </row>
    <row r="270" spans="1:195" s="7" customFormat="1">
      <c r="A270" s="1"/>
      <c r="B270">
        <v>0.4206486939988423</v>
      </c>
      <c r="C270">
        <v>10</v>
      </c>
      <c r="D270">
        <v>39775</v>
      </c>
      <c r="E270">
        <v>0</v>
      </c>
      <c r="F270">
        <v>0</v>
      </c>
      <c r="G270">
        <v>20.833333333333332</v>
      </c>
      <c r="H270">
        <v>10.416666666666666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31.41392195767196</v>
      </c>
      <c r="AO270">
        <v>8.0257049393989934</v>
      </c>
      <c r="AP270">
        <v>83.244821355932501</v>
      </c>
      <c r="AQ270">
        <v>63.971312540521971</v>
      </c>
      <c r="AR270">
        <v>8.005676832777052</v>
      </c>
      <c r="AS270">
        <v>115.95105264727087</v>
      </c>
      <c r="AT270" t="e">
        <v>#DIV/0!</v>
      </c>
      <c r="AU270" t="e">
        <v>#DIV/0!</v>
      </c>
      <c r="AV270"/>
      <c r="AW270"/>
      <c r="FY270" s="210">
        <v>265</v>
      </c>
      <c r="FZ270">
        <v>4.958843575669027</v>
      </c>
      <c r="GA270">
        <v>30.202615795486789</v>
      </c>
      <c r="GB270">
        <v>14.538444008747957</v>
      </c>
      <c r="GC270">
        <v>1.9174227339028602</v>
      </c>
      <c r="GD270">
        <v>0.98153497143886059</v>
      </c>
      <c r="GE270">
        <v>2.7576801806065649</v>
      </c>
      <c r="GF270">
        <v>9.12018936273933</v>
      </c>
      <c r="GG270">
        <v>5.3289259780747305</v>
      </c>
      <c r="GH270">
        <v>2.9642528399973243</v>
      </c>
      <c r="GI270">
        <v>7.5745441787305854</v>
      </c>
      <c r="GJ270"/>
      <c r="GK270"/>
      <c r="GL270"/>
      <c r="GM270"/>
    </row>
    <row r="271" spans="1:195" s="7" customFormat="1">
      <c r="A271" s="77"/>
      <c r="B271">
        <v>9.1739501303398363E-2</v>
      </c>
      <c r="C271">
        <v>10</v>
      </c>
      <c r="D271">
        <v>39775</v>
      </c>
      <c r="E271">
        <v>0</v>
      </c>
      <c r="F271">
        <v>0</v>
      </c>
      <c r="G271">
        <v>20.833333333333332</v>
      </c>
      <c r="H271">
        <v>10.416666666666666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25.019824735449738</v>
      </c>
      <c r="AO271">
        <v>10.348051829466463</v>
      </c>
      <c r="AP271">
        <v>95.341630191715041</v>
      </c>
      <c r="AQ271">
        <v>66.602251994718657</v>
      </c>
      <c r="AR271">
        <v>9.2588022190649539</v>
      </c>
      <c r="AS271">
        <v>149.51442009663324</v>
      </c>
      <c r="AT271" t="e">
        <v>#DIV/0!</v>
      </c>
      <c r="AU271" t="e">
        <v>#DIV/0!</v>
      </c>
      <c r="AV271"/>
      <c r="AW271"/>
      <c r="FY271" s="210">
        <v>266</v>
      </c>
      <c r="FZ271">
        <v>22.263510085347427</v>
      </c>
      <c r="GA271">
        <v>40.128612855689788</v>
      </c>
      <c r="GB271">
        <v>8.7789176957315096</v>
      </c>
      <c r="GC271">
        <v>1.4483069419774017</v>
      </c>
      <c r="GD271">
        <v>0.7160411671250082</v>
      </c>
      <c r="GE271">
        <v>0.28245867923368362</v>
      </c>
      <c r="GF271">
        <v>3.2424884617503755</v>
      </c>
      <c r="GG271">
        <v>3.9603572384676884</v>
      </c>
      <c r="GH271">
        <v>2.028231351774656</v>
      </c>
      <c r="GI271">
        <v>7.0352492588771298</v>
      </c>
      <c r="GJ271"/>
      <c r="GK271"/>
      <c r="GL271"/>
      <c r="GM271"/>
    </row>
    <row r="272" spans="1:195" s="7" customFormat="1">
      <c r="A272" s="77"/>
      <c r="B272">
        <v>0.14203682399372486</v>
      </c>
      <c r="C272">
        <v>9</v>
      </c>
      <c r="D272">
        <v>39775</v>
      </c>
      <c r="E272">
        <v>0</v>
      </c>
      <c r="F272">
        <v>0</v>
      </c>
      <c r="G272">
        <v>41.666666666666664</v>
      </c>
      <c r="H272">
        <v>10.416666666666666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32.218781928480198</v>
      </c>
      <c r="AO272">
        <v>12.977164243586458</v>
      </c>
      <c r="AP272">
        <v>137.74800336416948</v>
      </c>
      <c r="AQ272">
        <v>94.069491210939276</v>
      </c>
      <c r="AR272">
        <v>12.660767015117781</v>
      </c>
      <c r="AS272">
        <v>190.42890051638497</v>
      </c>
      <c r="AT272" t="e">
        <v>#DIV/0!</v>
      </c>
      <c r="AU272" t="e">
        <v>#DIV/0!</v>
      </c>
      <c r="AV272"/>
      <c r="AW272"/>
      <c r="FY272" s="210">
        <v>267</v>
      </c>
      <c r="FZ272">
        <v>5.3831511524174829</v>
      </c>
      <c r="GA272">
        <v>17.075080150339208</v>
      </c>
      <c r="GB272">
        <v>8.0256919526827772</v>
      </c>
      <c r="GC272">
        <v>1.2567058361121324</v>
      </c>
      <c r="GD272">
        <v>0.69855660190922031</v>
      </c>
      <c r="GE272">
        <v>2.9019933011924257</v>
      </c>
      <c r="GF272">
        <v>4.4841092075562035</v>
      </c>
      <c r="GG272">
        <v>0.9546868966596852</v>
      </c>
      <c r="GH272">
        <v>2.3830157366187406</v>
      </c>
      <c r="GI272">
        <v>4.5993353248506939</v>
      </c>
      <c r="GJ272"/>
      <c r="GK272"/>
      <c r="GL272"/>
      <c r="GM272"/>
    </row>
    <row r="273" spans="1:195" s="7" customFormat="1">
      <c r="A273" s="1"/>
      <c r="B273">
        <v>0.72586900400711407</v>
      </c>
      <c r="C273">
        <v>10</v>
      </c>
      <c r="D273">
        <v>39775</v>
      </c>
      <c r="E273">
        <v>0</v>
      </c>
      <c r="F273">
        <v>0</v>
      </c>
      <c r="G273">
        <v>20.833333333333332</v>
      </c>
      <c r="H273">
        <v>10.416666666666666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42.84793092045247</v>
      </c>
      <c r="AO273">
        <v>10.457567170048369</v>
      </c>
      <c r="AP273">
        <v>111.50642830263092</v>
      </c>
      <c r="AQ273">
        <v>85.548237347421434</v>
      </c>
      <c r="AR273">
        <v>9.7513414400423404</v>
      </c>
      <c r="AS273">
        <v>145.66409384331948</v>
      </c>
      <c r="AT273" t="e">
        <v>#DIV/0!</v>
      </c>
      <c r="AU273" t="e">
        <v>#DIV/0!</v>
      </c>
      <c r="AV273"/>
      <c r="AW273"/>
      <c r="FY273" s="210">
        <v>268</v>
      </c>
      <c r="FZ273">
        <v>2.8820639979639338</v>
      </c>
      <c r="GA273">
        <v>25.894230813453021</v>
      </c>
      <c r="GB273">
        <v>12.04536779942161</v>
      </c>
      <c r="GC273">
        <v>1.3582030675875698</v>
      </c>
      <c r="GD273">
        <v>0.9231022742017142</v>
      </c>
      <c r="GE273">
        <v>1.5901701362337088</v>
      </c>
      <c r="GF273">
        <v>4.6923956742996307</v>
      </c>
      <c r="GG273">
        <v>3.1257678391473425</v>
      </c>
      <c r="GH273">
        <v>3.0791984139948072</v>
      </c>
      <c r="GI273">
        <v>5.5946861101264851</v>
      </c>
      <c r="GJ273"/>
      <c r="GK273"/>
      <c r="GL273"/>
      <c r="GM273"/>
    </row>
    <row r="274" spans="1:195" s="7" customFormat="1">
      <c r="A274" s="1"/>
      <c r="B274">
        <v>0.45999279481859823</v>
      </c>
      <c r="C274">
        <v>3</v>
      </c>
      <c r="D274">
        <v>39775</v>
      </c>
      <c r="E274">
        <v>0</v>
      </c>
      <c r="F274">
        <v>0</v>
      </c>
      <c r="G274">
        <v>156.25</v>
      </c>
      <c r="H274">
        <v>52.083333333333336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21.257702745849294</v>
      </c>
      <c r="AO274">
        <v>6.3265830524693527</v>
      </c>
      <c r="AP274">
        <v>64.550251206895851</v>
      </c>
      <c r="AQ274">
        <v>44.910215434351116</v>
      </c>
      <c r="AR274">
        <v>6.393714511850666</v>
      </c>
      <c r="AS274">
        <v>100.2500847631472</v>
      </c>
      <c r="AT274" t="e">
        <v>#DIV/0!</v>
      </c>
      <c r="AU274" t="e">
        <v>#DIV/0!</v>
      </c>
      <c r="AV274"/>
      <c r="AW274"/>
      <c r="FY274" s="210">
        <v>269</v>
      </c>
      <c r="FZ274">
        <v>13.648483445392001</v>
      </c>
      <c r="GA274">
        <v>22.149675000736984</v>
      </c>
      <c r="GB274">
        <v>6.0812401572349675</v>
      </c>
      <c r="GC274">
        <v>2.2795913100666558</v>
      </c>
      <c r="GD274">
        <v>1.142336014865696</v>
      </c>
      <c r="GE274">
        <v>0.28040282525433813</v>
      </c>
      <c r="GF274">
        <v>2.3389271043233064</v>
      </c>
      <c r="GG274">
        <v>3.8601620006865409</v>
      </c>
      <c r="GH274">
        <v>3.0188817336412632</v>
      </c>
      <c r="GI274">
        <v>5.1915410081185955</v>
      </c>
      <c r="GJ274"/>
      <c r="GK274"/>
      <c r="GL274"/>
      <c r="GM274"/>
    </row>
    <row r="275" spans="1:195" s="7" customFormat="1">
      <c r="A275" s="1"/>
      <c r="B275">
        <v>0.99659435992227419</v>
      </c>
      <c r="C275">
        <v>6</v>
      </c>
      <c r="D275">
        <v>39775</v>
      </c>
      <c r="E275">
        <v>0</v>
      </c>
      <c r="F275">
        <v>0</v>
      </c>
      <c r="G275">
        <v>20.833333333333332</v>
      </c>
      <c r="H275">
        <v>20.833333333333332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38.630025314723589</v>
      </c>
      <c r="AO275">
        <v>12.252459853467595</v>
      </c>
      <c r="AP275">
        <v>124.23053429561966</v>
      </c>
      <c r="AQ275">
        <v>89.534563122848994</v>
      </c>
      <c r="AR275">
        <v>11.66446665501557</v>
      </c>
      <c r="AS275">
        <v>145.87604969861269</v>
      </c>
      <c r="AT275" t="e">
        <v>#DIV/0!</v>
      </c>
      <c r="AU275" t="e">
        <v>#DIV/0!</v>
      </c>
      <c r="AV275"/>
      <c r="AW275"/>
      <c r="FY275" s="210">
        <v>270</v>
      </c>
      <c r="FZ275">
        <v>32.462472828489815</v>
      </c>
      <c r="GA275">
        <v>57.409831529147048</v>
      </c>
      <c r="GB275">
        <v>11.798143529154117</v>
      </c>
      <c r="GC275">
        <v>1.0220840122150494</v>
      </c>
      <c r="GD275">
        <v>0.63085166575210194</v>
      </c>
      <c r="GE275">
        <v>0.14225726660651461</v>
      </c>
      <c r="GF275">
        <v>3.2424884617503755</v>
      </c>
      <c r="GG275">
        <v>4.7198892300917121</v>
      </c>
      <c r="GH275">
        <v>2.4376446302626795</v>
      </c>
      <c r="GI275">
        <v>9.2902906991879775</v>
      </c>
      <c r="GJ275"/>
      <c r="GK275"/>
      <c r="GL275"/>
      <c r="GM275"/>
    </row>
    <row r="276" spans="1:195" s="7" customFormat="1">
      <c r="A276" s="1"/>
      <c r="B276">
        <v>0.38916281386550011</v>
      </c>
      <c r="C276">
        <v>10</v>
      </c>
      <c r="D276">
        <v>39775</v>
      </c>
      <c r="E276">
        <v>0</v>
      </c>
      <c r="F276">
        <v>0</v>
      </c>
      <c r="G276">
        <v>20.833333333333332</v>
      </c>
      <c r="H276">
        <v>10.416666666666666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36.761160714285722</v>
      </c>
      <c r="AO276">
        <v>13.953407653957504</v>
      </c>
      <c r="AP276">
        <v>147.90285546716188</v>
      </c>
      <c r="AQ276">
        <v>103.38073343356811</v>
      </c>
      <c r="AR276">
        <v>13.243668185366699</v>
      </c>
      <c r="AS276">
        <v>189.48358345833651</v>
      </c>
      <c r="AT276" t="e">
        <v>#DIV/0!</v>
      </c>
      <c r="AU276" t="e">
        <v>#DIV/0!</v>
      </c>
      <c r="AV276"/>
      <c r="AW276"/>
      <c r="FY276" s="210">
        <v>271</v>
      </c>
      <c r="FZ276">
        <v>12.201472044964071</v>
      </c>
      <c r="GA276">
        <v>36.043536523951772</v>
      </c>
      <c r="GB276">
        <v>15.684180429476759</v>
      </c>
      <c r="GC276">
        <v>3.3442049154559124</v>
      </c>
      <c r="GD276">
        <v>0.68260633528395798</v>
      </c>
      <c r="GE276">
        <v>0</v>
      </c>
      <c r="GF276">
        <v>4.7605099350620055</v>
      </c>
      <c r="GG276">
        <v>6.118050761781074</v>
      </c>
      <c r="GH276">
        <v>3.6001188370198469</v>
      </c>
      <c r="GI276">
        <v>7.8347821244853364</v>
      </c>
      <c r="GJ276"/>
      <c r="GK276"/>
      <c r="GL276"/>
      <c r="GM276"/>
    </row>
    <row r="277" spans="1:195" s="7" customFormat="1">
      <c r="A277" s="1"/>
      <c r="B277">
        <v>0.81847072463466031</v>
      </c>
      <c r="C277">
        <v>4</v>
      </c>
      <c r="D277">
        <v>39775</v>
      </c>
      <c r="E277">
        <v>0</v>
      </c>
      <c r="F277">
        <v>0</v>
      </c>
      <c r="G277">
        <v>0</v>
      </c>
      <c r="H277">
        <v>10.416666666666666</v>
      </c>
      <c r="I277">
        <v>10.416666666666666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28.967872536945812</v>
      </c>
      <c r="AO277">
        <v>8.5644123574959146</v>
      </c>
      <c r="AP277">
        <v>90.057291286810013</v>
      </c>
      <c r="AQ277">
        <v>67.303629563492052</v>
      </c>
      <c r="AR277">
        <v>8.3687960331201978</v>
      </c>
      <c r="AS277">
        <v>137.10150292283268</v>
      </c>
      <c r="AT277">
        <v>5.4948639743560372</v>
      </c>
      <c r="AU277">
        <v>36.410593521470602</v>
      </c>
      <c r="AV277"/>
      <c r="AW277"/>
      <c r="FY277" s="210">
        <v>272</v>
      </c>
      <c r="FZ277">
        <v>4.6778791330441241</v>
      </c>
      <c r="GA277">
        <v>21.340967159371608</v>
      </c>
      <c r="GB277">
        <v>9.828171113106059</v>
      </c>
      <c r="GC277">
        <v>1.3523720931401373</v>
      </c>
      <c r="GD277">
        <v>0.82530586359937086</v>
      </c>
      <c r="GE277">
        <v>0.14431312058586016</v>
      </c>
      <c r="GF277">
        <v>7.8245449356287269</v>
      </c>
      <c r="GG277">
        <v>8.1175488321091027</v>
      </c>
      <c r="GH277">
        <v>3.5454899433759084</v>
      </c>
      <c r="GI277">
        <v>5.9887942645579653</v>
      </c>
      <c r="GJ277"/>
      <c r="GK277"/>
      <c r="GL277"/>
      <c r="GM277"/>
    </row>
    <row r="278" spans="1:195" s="7" customFormat="1">
      <c r="A278" s="1"/>
      <c r="B278">
        <v>0.33823064992297969</v>
      </c>
      <c r="C278">
        <v>8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19.898974867724867</v>
      </c>
      <c r="AO278">
        <v>8.8275587859386331</v>
      </c>
      <c r="AP278">
        <v>94.076458692332935</v>
      </c>
      <c r="AQ278">
        <v>63.550047493360282</v>
      </c>
      <c r="AR278">
        <v>8.4545807615017115</v>
      </c>
      <c r="AS278">
        <v>91.552921737667432</v>
      </c>
      <c r="AT278" t="e">
        <v>#DIV/0!</v>
      </c>
      <c r="AU278" t="e">
        <v>#DIV/0!</v>
      </c>
      <c r="AV278"/>
      <c r="AW278"/>
      <c r="FY278" s="210">
        <v>273</v>
      </c>
      <c r="FZ278">
        <v>15.565753758680295</v>
      </c>
      <c r="GA278">
        <v>36.005251416645649</v>
      </c>
      <c r="GB278">
        <v>13.074574954656011</v>
      </c>
      <c r="GC278">
        <v>1.8505235538680562</v>
      </c>
      <c r="GD278">
        <v>0.6594939001800979</v>
      </c>
      <c r="GE278">
        <v>1.3159348729174076</v>
      </c>
      <c r="GF278">
        <v>7.2664003388606702</v>
      </c>
      <c r="GG278">
        <v>6.5006603625080448</v>
      </c>
      <c r="GH278">
        <v>4.296301514395914</v>
      </c>
      <c r="GI278">
        <v>8.3500203203879586</v>
      </c>
      <c r="GJ278"/>
      <c r="GK278"/>
      <c r="GL278"/>
      <c r="GM278"/>
    </row>
    <row r="279" spans="1:195" s="7" customFormat="1">
      <c r="A279" s="1"/>
      <c r="B279">
        <v>0.40525179911534881</v>
      </c>
      <c r="C279">
        <v>7</v>
      </c>
      <c r="D279">
        <v>39799</v>
      </c>
      <c r="E279">
        <v>0</v>
      </c>
      <c r="F279">
        <v>0</v>
      </c>
      <c r="G279">
        <v>0</v>
      </c>
      <c r="H279">
        <v>20.833333333333332</v>
      </c>
      <c r="I279">
        <v>10.416666666666666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23.146012931034484</v>
      </c>
      <c r="AO279">
        <v>10.020674477896828</v>
      </c>
      <c r="AP279">
        <v>104.98797261064544</v>
      </c>
      <c r="AQ279">
        <v>71.130913651292886</v>
      </c>
      <c r="AR279">
        <v>9.3563787722650282</v>
      </c>
      <c r="AS279">
        <v>121.94943581193139</v>
      </c>
      <c r="AT279">
        <v>6.2288414093557423</v>
      </c>
      <c r="AU279">
        <v>-2.3180627755447545</v>
      </c>
      <c r="AV279"/>
      <c r="AW279"/>
      <c r="FY279" s="210">
        <v>274</v>
      </c>
      <c r="FZ279">
        <v>3.6053036268952718</v>
      </c>
      <c r="GA279">
        <v>29.043752948024281</v>
      </c>
      <c r="GB279">
        <v>14.358946596565202</v>
      </c>
      <c r="GC279">
        <v>1.8384007621455938</v>
      </c>
      <c r="GD279">
        <v>0.75005244095396928</v>
      </c>
      <c r="GE279">
        <v>1.5881142822543635</v>
      </c>
      <c r="GF279">
        <v>4.300763490811514</v>
      </c>
      <c r="GG279">
        <v>2.9525055168496497</v>
      </c>
      <c r="GH279">
        <v>2.6094684551532397</v>
      </c>
      <c r="GI279">
        <v>6.0092544735097437</v>
      </c>
      <c r="GJ279"/>
      <c r="GK279"/>
      <c r="GL279"/>
      <c r="GM279"/>
    </row>
    <row r="280" spans="1:195" s="7" customFormat="1">
      <c r="A280" s="1"/>
      <c r="B280">
        <v>0.4298687818150162</v>
      </c>
      <c r="C280">
        <v>1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21.417624521072799</v>
      </c>
      <c r="AO280">
        <v>6.9076537959749231</v>
      </c>
      <c r="AP280">
        <v>73.731548439691352</v>
      </c>
      <c r="AQ280">
        <v>50.034181202723822</v>
      </c>
      <c r="AR280">
        <v>6.7977032854339763</v>
      </c>
      <c r="AS280">
        <v>111.95857465858548</v>
      </c>
      <c r="AT280" t="e">
        <v>#DIV/0!</v>
      </c>
      <c r="AU280" t="e">
        <v>#DIV/0!</v>
      </c>
      <c r="AV280"/>
      <c r="AW280"/>
      <c r="FY280" s="210">
        <v>275</v>
      </c>
      <c r="FZ280">
        <v>12.151932857819904</v>
      </c>
      <c r="GA280">
        <v>46.43854603034795</v>
      </c>
      <c r="GB280">
        <v>19.869248498353421</v>
      </c>
      <c r="GC280">
        <v>2.7113623438388124</v>
      </c>
      <c r="GD280">
        <v>0.87764688943766767</v>
      </c>
      <c r="GE280">
        <v>0.28040282525433813</v>
      </c>
      <c r="GF280">
        <v>3.9649959402444863</v>
      </c>
      <c r="GG280">
        <v>3.8333203747734439</v>
      </c>
      <c r="GH280">
        <v>0.92263539591056576</v>
      </c>
      <c r="GI280">
        <v>8.4032850357324413</v>
      </c>
      <c r="GJ280"/>
      <c r="GK280"/>
      <c r="GL280"/>
      <c r="GM280"/>
    </row>
    <row r="281" spans="1:195" s="7" customFormat="1">
      <c r="A281" s="1"/>
      <c r="B281">
        <v>0.77206994467981893</v>
      </c>
      <c r="C281">
        <v>7</v>
      </c>
      <c r="D281">
        <v>39799</v>
      </c>
      <c r="E281">
        <v>0</v>
      </c>
      <c r="F281">
        <v>0</v>
      </c>
      <c r="G281">
        <v>0</v>
      </c>
      <c r="H281">
        <v>20.833333333333332</v>
      </c>
      <c r="I281">
        <v>10.416666666666666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25.589184227330779</v>
      </c>
      <c r="AO281">
        <v>11.797172962794011</v>
      </c>
      <c r="AP281">
        <v>121.77603033191357</v>
      </c>
      <c r="AQ281">
        <v>80.344453625394038</v>
      </c>
      <c r="AR281">
        <v>11.18850920919629</v>
      </c>
      <c r="AS281">
        <v>167.53626481239661</v>
      </c>
      <c r="AT281">
        <v>7.892739319018979</v>
      </c>
      <c r="AU281">
        <v>2.3259098338283399</v>
      </c>
      <c r="AV281"/>
      <c r="AW281"/>
      <c r="FY281" s="210">
        <v>276</v>
      </c>
      <c r="FZ281">
        <v>12.179277047166899</v>
      </c>
      <c r="GA281">
        <v>28.293696808161631</v>
      </c>
      <c r="GB281">
        <v>9.184307363253108</v>
      </c>
      <c r="GC281">
        <v>1.6485154995505034</v>
      </c>
      <c r="GD281">
        <v>0.72948337624250081</v>
      </c>
      <c r="GE281">
        <v>0.42677179981954383</v>
      </c>
      <c r="GF281">
        <v>2.1447312170374793</v>
      </c>
      <c r="GG281">
        <v>2.9452525098109374</v>
      </c>
      <c r="GH281">
        <v>3.0757599845343409</v>
      </c>
      <c r="GI281">
        <v>5.6098605710087019</v>
      </c>
      <c r="GJ281"/>
      <c r="GK281"/>
      <c r="GL281"/>
      <c r="GM281"/>
    </row>
    <row r="282" spans="1:195" s="7" customFormat="1">
      <c r="A282" s="1"/>
      <c r="B282">
        <v>0.21360352907650992</v>
      </c>
      <c r="C282">
        <v>6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45.821359012953835</v>
      </c>
      <c r="AO282">
        <v>10.790185758905718</v>
      </c>
      <c r="AP282">
        <v>117.90327401960644</v>
      </c>
      <c r="AQ282">
        <v>89.88417373597467</v>
      </c>
      <c r="AR282">
        <v>10.24777524875735</v>
      </c>
      <c r="AS282">
        <v>142.15228453866169</v>
      </c>
      <c r="AT282" t="e">
        <v>#DIV/0!</v>
      </c>
      <c r="AU282" t="e">
        <v>#DIV/0!</v>
      </c>
      <c r="AV282"/>
      <c r="AW282"/>
      <c r="FY282" s="210">
        <v>277</v>
      </c>
      <c r="FZ282">
        <v>15.929032109736328</v>
      </c>
      <c r="GA282">
        <v>22.146001617938172</v>
      </c>
      <c r="GB282">
        <v>6.7552304173498907</v>
      </c>
      <c r="GC282">
        <v>2.467740706288561</v>
      </c>
      <c r="GD282">
        <v>0.79046261924524486</v>
      </c>
      <c r="GE282">
        <v>2.7597360345859103</v>
      </c>
      <c r="GF282">
        <v>5.6104984973797176</v>
      </c>
      <c r="GG282">
        <v>2.0095690311005177</v>
      </c>
      <c r="GH282">
        <v>1.8017786332401569</v>
      </c>
      <c r="GI282">
        <v>6.004807002230188</v>
      </c>
      <c r="GJ282"/>
      <c r="GK282"/>
      <c r="GL282"/>
      <c r="GM282"/>
    </row>
    <row r="283" spans="1:195" s="7" customFormat="1">
      <c r="A283" s="1"/>
      <c r="B283">
        <v>7.3729785574593087E-2</v>
      </c>
      <c r="C283">
        <v>10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18.736870552818829</v>
      </c>
      <c r="AO283">
        <v>6.8269548843548549</v>
      </c>
      <c r="AP283">
        <v>67.319023364059646</v>
      </c>
      <c r="AQ283">
        <v>47.762326160338567</v>
      </c>
      <c r="AR283">
        <v>6.5277982785359026</v>
      </c>
      <c r="AS283">
        <v>100.62016978954563</v>
      </c>
      <c r="AT283">
        <v>4.4987426450048362</v>
      </c>
      <c r="AU283">
        <v>5.6562681624594866</v>
      </c>
      <c r="AV283"/>
      <c r="AW283"/>
      <c r="FY283" s="210">
        <v>278</v>
      </c>
      <c r="FZ283">
        <v>13.706247713098429</v>
      </c>
      <c r="GA283">
        <v>35.841156831047712</v>
      </c>
      <c r="GB283">
        <v>12.475660401764484</v>
      </c>
      <c r="GC283">
        <v>1.9856836259993551</v>
      </c>
      <c r="GD283">
        <v>0.87260194658735968</v>
      </c>
      <c r="GE283">
        <v>0.14225726660651461</v>
      </c>
      <c r="GF283">
        <v>3.223505626731741</v>
      </c>
      <c r="GG283">
        <v>3.8742163754606773</v>
      </c>
      <c r="GH283">
        <v>2.6094684551532397</v>
      </c>
      <c r="GI283">
        <v>6.857775313612013</v>
      </c>
      <c r="GJ283"/>
      <c r="GK283"/>
      <c r="GL283"/>
      <c r="GM283"/>
    </row>
    <row r="284" spans="1:195" s="7" customFormat="1">
      <c r="A284" s="1"/>
      <c r="B284">
        <v>0.48160005279160178</v>
      </c>
      <c r="C284">
        <v>5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21.914400314723586</v>
      </c>
      <c r="AO284">
        <v>8.6688723867859494</v>
      </c>
      <c r="AP284">
        <v>91.087940182599169</v>
      </c>
      <c r="AQ284">
        <v>61.185186126429826</v>
      </c>
      <c r="AR284">
        <v>8.2437372205139905</v>
      </c>
      <c r="AS284">
        <v>93.453508081919324</v>
      </c>
      <c r="AT284">
        <v>5.3868553445574676</v>
      </c>
      <c r="AU284">
        <v>7.9268238633583596</v>
      </c>
      <c r="AV284"/>
      <c r="AW284"/>
      <c r="FY284" s="210">
        <v>279</v>
      </c>
      <c r="FZ284">
        <v>4.2601769408930057</v>
      </c>
      <c r="GA284">
        <v>25.789950716045052</v>
      </c>
      <c r="GB284">
        <v>14.509974684239356</v>
      </c>
      <c r="GC284">
        <v>2.1693253243488484</v>
      </c>
      <c r="GD284">
        <v>0.62949445676608562</v>
      </c>
      <c r="GE284">
        <v>2.7576801806065649</v>
      </c>
      <c r="GF284">
        <v>7.9494256017030231</v>
      </c>
      <c r="GG284">
        <v>6.4592459484602465</v>
      </c>
      <c r="GH284">
        <v>5.6998036042110112</v>
      </c>
      <c r="GI284">
        <v>7.2838813106775877</v>
      </c>
      <c r="GJ284"/>
      <c r="GK284"/>
      <c r="GL284"/>
      <c r="GM284"/>
    </row>
    <row r="285" spans="1:195" s="7" customFormat="1">
      <c r="A285" s="1"/>
      <c r="B285">
        <v>1.9706775556712408E-2</v>
      </c>
      <c r="C285">
        <v>10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34.846312830687836</v>
      </c>
      <c r="AO285">
        <v>7.7403102710748071</v>
      </c>
      <c r="AP285">
        <v>76.271168669020355</v>
      </c>
      <c r="AQ285">
        <v>59.991240600320353</v>
      </c>
      <c r="AR285">
        <v>7.4535126938617147</v>
      </c>
      <c r="AS285">
        <v>110.63405317759546</v>
      </c>
      <c r="AT285" t="e">
        <v>#DIV/0!</v>
      </c>
      <c r="AU285" t="e">
        <v>#DIV/0!</v>
      </c>
      <c r="AV285"/>
      <c r="AW285"/>
      <c r="FY285" s="210">
        <v>280</v>
      </c>
      <c r="FZ285">
        <v>14.128658736111761</v>
      </c>
      <c r="GA285">
        <v>26.246652052060568</v>
      </c>
      <c r="GB285">
        <v>7.6928715884966277</v>
      </c>
      <c r="GC285">
        <v>1.5414110544803372</v>
      </c>
      <c r="GD285">
        <v>0.45380313276589895</v>
      </c>
      <c r="GE285">
        <v>1.4499687236065399</v>
      </c>
      <c r="GF285">
        <v>4.498199787013804</v>
      </c>
      <c r="GG285">
        <v>3.8999394064706223</v>
      </c>
      <c r="GH285">
        <v>4.9924841917719807</v>
      </c>
      <c r="GI285">
        <v>6.058454287706776</v>
      </c>
      <c r="GJ285"/>
      <c r="GK285"/>
      <c r="GL285"/>
      <c r="GM285"/>
    </row>
    <row r="286" spans="1:195" s="7" customFormat="1">
      <c r="A286" s="1"/>
      <c r="B286">
        <v>0.16010046961980073</v>
      </c>
      <c r="C286">
        <v>2</v>
      </c>
      <c r="D286">
        <v>39799</v>
      </c>
      <c r="E286">
        <v>0</v>
      </c>
      <c r="F286">
        <v>10.416666666666666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59.718500843824117</v>
      </c>
      <c r="AO286">
        <v>14.077120298109577</v>
      </c>
      <c r="AP286">
        <v>158.45648763561437</v>
      </c>
      <c r="AQ286">
        <v>123.15595385265739</v>
      </c>
      <c r="AR286">
        <v>13.372558668412957</v>
      </c>
      <c r="AS286">
        <v>189.11281191466833</v>
      </c>
      <c r="AT286" t="e">
        <v>#DIV/0!</v>
      </c>
      <c r="AU286" t="e">
        <v>#DIV/0!</v>
      </c>
      <c r="AV286"/>
      <c r="AW286"/>
      <c r="FY286" s="210">
        <v>281</v>
      </c>
      <c r="FZ286">
        <v>21.176655959334038</v>
      </c>
      <c r="GA286">
        <v>33.566008841196123</v>
      </c>
      <c r="GB286">
        <v>5.5012684432744683</v>
      </c>
      <c r="GC286">
        <v>0.85978389369753394</v>
      </c>
      <c r="GD286">
        <v>0.52317157592372154</v>
      </c>
      <c r="GE286">
        <v>2.0558539793455489E-3</v>
      </c>
      <c r="GF286">
        <v>4.5376820026655604</v>
      </c>
      <c r="GG286">
        <v>4.2338147985465291</v>
      </c>
      <c r="GH286">
        <v>1.858656884133234</v>
      </c>
      <c r="GI286">
        <v>6.0812847154066318</v>
      </c>
      <c r="GJ286"/>
      <c r="GK286"/>
      <c r="GL286"/>
      <c r="GM286"/>
    </row>
    <row r="287" spans="1:195" s="7" customFormat="1">
      <c r="A287" s="1"/>
      <c r="B287">
        <v>0.16670451933601882</v>
      </c>
      <c r="C287">
        <v>9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36.909240444261989</v>
      </c>
      <c r="AO287">
        <v>12.1263319960175</v>
      </c>
      <c r="AP287">
        <v>127.27708065514038</v>
      </c>
      <c r="AQ287">
        <v>90.269461907480746</v>
      </c>
      <c r="AR287">
        <v>11.508374878626515</v>
      </c>
      <c r="AS287">
        <v>156.19079952808553</v>
      </c>
      <c r="AT287" t="e">
        <v>#DIV/0!</v>
      </c>
      <c r="AU287" t="e">
        <v>#DIV/0!</v>
      </c>
      <c r="AV287"/>
      <c r="AW287"/>
      <c r="FY287" s="210">
        <v>282</v>
      </c>
      <c r="FZ287">
        <v>4.6729473172391263</v>
      </c>
      <c r="GA287">
        <v>17.999547954302823</v>
      </c>
      <c r="GB287">
        <v>7.5984681222825854</v>
      </c>
      <c r="GC287">
        <v>1.5091457248555482</v>
      </c>
      <c r="GD287">
        <v>0.96179438518929861</v>
      </c>
      <c r="GE287">
        <v>1.730371548860878</v>
      </c>
      <c r="GF287">
        <v>4.7750514007150233</v>
      </c>
      <c r="GG287">
        <v>2.4530436661301942</v>
      </c>
      <c r="GH287">
        <v>1.858656884133234</v>
      </c>
      <c r="GI287">
        <v>4.5021855547595031</v>
      </c>
      <c r="GJ287"/>
      <c r="GK287"/>
      <c r="GL287"/>
      <c r="GM287"/>
    </row>
    <row r="288" spans="1:195" s="7" customFormat="1">
      <c r="A288" s="1"/>
      <c r="B288">
        <v>6.2499350556691535E-2</v>
      </c>
      <c r="C288">
        <v>6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21.357457010582007</v>
      </c>
      <c r="AO288">
        <v>9.0914003027232049</v>
      </c>
      <c r="AP288">
        <v>95.360192075810275</v>
      </c>
      <c r="AQ288">
        <v>63.645386458518864</v>
      </c>
      <c r="AR288">
        <v>8.9631228187208549</v>
      </c>
      <c r="AS288">
        <v>96.795866730187001</v>
      </c>
      <c r="AT288" t="e">
        <v>#DIV/0!</v>
      </c>
      <c r="AU288" t="e">
        <v>#DIV/0!</v>
      </c>
      <c r="AV288"/>
      <c r="AW288"/>
      <c r="FY288" s="210">
        <v>283</v>
      </c>
      <c r="FZ288">
        <v>22.193027508600785</v>
      </c>
      <c r="GA288">
        <v>45.908447791245152</v>
      </c>
      <c r="GB288">
        <v>11.953938767829458</v>
      </c>
      <c r="GC288">
        <v>1.6548562375307621</v>
      </c>
      <c r="GD288">
        <v>0.95331763273296977</v>
      </c>
      <c r="GE288">
        <v>0.28245867923368362</v>
      </c>
      <c r="GF288">
        <v>1.5180214733116304</v>
      </c>
      <c r="GG288">
        <v>3.0872425898882456</v>
      </c>
      <c r="GH288">
        <v>4.8775386177744977</v>
      </c>
      <c r="GI288">
        <v>8.1673622899790512</v>
      </c>
      <c r="GJ288"/>
      <c r="GK288"/>
      <c r="GL288"/>
      <c r="GM288"/>
    </row>
    <row r="289" spans="1:195" s="7" customFormat="1">
      <c r="A289" s="1"/>
      <c r="B289">
        <v>0.42342253471074187</v>
      </c>
      <c r="C289">
        <v>9</v>
      </c>
      <c r="D289">
        <v>39847</v>
      </c>
      <c r="E289">
        <v>0</v>
      </c>
      <c r="F289">
        <v>0</v>
      </c>
      <c r="G289">
        <v>0</v>
      </c>
      <c r="H289">
        <v>20.833333333333332</v>
      </c>
      <c r="I289">
        <v>10.416666666666666</v>
      </c>
      <c r="J289">
        <v>0</v>
      </c>
      <c r="K289">
        <v>0</v>
      </c>
      <c r="L289">
        <v>10.416666666666666</v>
      </c>
      <c r="M289">
        <v>20.833333333333332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37.704627349023895</v>
      </c>
      <c r="AO289">
        <v>12.597124769069676</v>
      </c>
      <c r="AP289">
        <v>134.11805261755626</v>
      </c>
      <c r="AQ289">
        <v>94.884914993100097</v>
      </c>
      <c r="AR289">
        <v>12.239493973841343</v>
      </c>
      <c r="AS289">
        <v>151.66243162503073</v>
      </c>
      <c r="AT289">
        <v>7.9589934587813351</v>
      </c>
      <c r="AU289">
        <v>40.292463876985636</v>
      </c>
      <c r="AV289"/>
      <c r="AW289"/>
      <c r="FY289" s="210">
        <v>284</v>
      </c>
      <c r="FZ289">
        <v>5.4495375439900746</v>
      </c>
      <c r="GA289">
        <v>28.352335849521825</v>
      </c>
      <c r="GB289">
        <v>16.646447642327647</v>
      </c>
      <c r="GC289">
        <v>2.6650053977729264</v>
      </c>
      <c r="GD289">
        <v>0.35222129107326833</v>
      </c>
      <c r="GE289">
        <v>1.3097673109793708</v>
      </c>
      <c r="GF289">
        <v>6.8371268913371104</v>
      </c>
      <c r="GG289">
        <v>5.3114883573342571</v>
      </c>
      <c r="GH289">
        <v>1.913285777777173</v>
      </c>
      <c r="GI289">
        <v>6.9454289537473644</v>
      </c>
      <c r="GJ289"/>
      <c r="GK289"/>
      <c r="GL289"/>
      <c r="GM289"/>
    </row>
    <row r="290" spans="1:195" s="7" customFormat="1">
      <c r="A290" s="1"/>
      <c r="B290">
        <v>0.99343226092455961</v>
      </c>
      <c r="C290">
        <v>8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23.202395206166759</v>
      </c>
      <c r="AO290">
        <v>9.3677137880813213</v>
      </c>
      <c r="AP290">
        <v>98.743122625527235</v>
      </c>
      <c r="AQ290">
        <v>67.056562593162838</v>
      </c>
      <c r="AR290">
        <v>8.7845160592821543</v>
      </c>
      <c r="AS290">
        <v>91.830459431511642</v>
      </c>
      <c r="AT290">
        <v>5.678881872367211</v>
      </c>
      <c r="AU290">
        <v>-6.5527821244827713</v>
      </c>
      <c r="AV290"/>
      <c r="AW290"/>
      <c r="FY290" s="210">
        <v>285</v>
      </c>
      <c r="FZ290">
        <v>12.596461764985024</v>
      </c>
      <c r="GA290">
        <v>27.242769384842259</v>
      </c>
      <c r="GB290">
        <v>8.6988673538878771</v>
      </c>
      <c r="GC290">
        <v>2.2169439479676796</v>
      </c>
      <c r="GD290">
        <v>0.98249648742442197</v>
      </c>
      <c r="GE290">
        <v>1.730371548860878</v>
      </c>
      <c r="GF290">
        <v>8.3101339022687917</v>
      </c>
      <c r="GG290">
        <v>6.4597219199464657</v>
      </c>
      <c r="GH290">
        <v>1.4870479775165797</v>
      </c>
      <c r="GI290">
        <v>6.6616496194252885</v>
      </c>
      <c r="GJ290"/>
      <c r="GK290"/>
      <c r="GL290"/>
      <c r="GM290"/>
    </row>
    <row r="291" spans="1:195" s="7" customFormat="1">
      <c r="A291" s="1"/>
      <c r="B291">
        <v>0.41724019347134811</v>
      </c>
      <c r="C291">
        <v>6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43.686687534209092</v>
      </c>
      <c r="AO291">
        <v>12.921291264272261</v>
      </c>
      <c r="AP291">
        <v>140.49298323062567</v>
      </c>
      <c r="AQ291">
        <v>99.453376191713048</v>
      </c>
      <c r="AR291">
        <v>12.258745203262915</v>
      </c>
      <c r="AS291">
        <v>181.54224442227081</v>
      </c>
      <c r="AT291" t="e">
        <v>#DIV/0!</v>
      </c>
      <c r="AU291" t="e">
        <v>#DIV/0!</v>
      </c>
      <c r="AV291"/>
      <c r="AW291"/>
      <c r="FY291" s="210">
        <v>286</v>
      </c>
      <c r="FZ291">
        <v>12.178141973805086</v>
      </c>
      <c r="GA291">
        <v>33.36056013422543</v>
      </c>
      <c r="GB291">
        <v>11.124680094980388</v>
      </c>
      <c r="GC291">
        <v>1.2793458463861151</v>
      </c>
      <c r="GD291">
        <v>0.69808589364148643</v>
      </c>
      <c r="GE291">
        <v>1.3077114570000252</v>
      </c>
      <c r="GF291">
        <v>4.0335610872022789</v>
      </c>
      <c r="GG291">
        <v>3.7635228832939616</v>
      </c>
      <c r="GH291">
        <v>4.1679698480863276</v>
      </c>
      <c r="GI291">
        <v>6.6139362370066159</v>
      </c>
      <c r="GJ291"/>
      <c r="GK291"/>
      <c r="GL291"/>
      <c r="GM291"/>
    </row>
    <row r="292" spans="1:195" s="7" customFormat="1">
      <c r="A292" s="1"/>
      <c r="B292">
        <v>0.16050544364257968</v>
      </c>
      <c r="C292">
        <v>7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29.054646164021165</v>
      </c>
      <c r="AO292">
        <v>8.5551061432568947</v>
      </c>
      <c r="AP292">
        <v>91.166195118653746</v>
      </c>
      <c r="AQ292">
        <v>66.237656176585645</v>
      </c>
      <c r="AR292">
        <v>8.265014926893647</v>
      </c>
      <c r="AS292">
        <v>108.41944705956141</v>
      </c>
      <c r="AT292" t="e">
        <v>#DIV/0!</v>
      </c>
      <c r="AU292" t="e">
        <v>#DIV/0!</v>
      </c>
      <c r="AV292"/>
      <c r="AW292"/>
      <c r="FY292" s="210">
        <v>287</v>
      </c>
      <c r="FZ292">
        <v>38.588203866380624</v>
      </c>
      <c r="GA292">
        <v>68.569461011577971</v>
      </c>
      <c r="GB292">
        <v>14.349665189435548</v>
      </c>
      <c r="GC292">
        <v>1.9139609131957096</v>
      </c>
      <c r="GD292">
        <v>0.40089088349376051</v>
      </c>
      <c r="GE292">
        <v>4.067447491585936</v>
      </c>
      <c r="GF292">
        <v>9.3385759257701579</v>
      </c>
      <c r="GG292">
        <v>2.8724990659781984</v>
      </c>
      <c r="GH292">
        <v>0.80768982191308281</v>
      </c>
      <c r="GI292">
        <v>11.731463906622787</v>
      </c>
      <c r="GJ292"/>
      <c r="GK292"/>
      <c r="GL292"/>
      <c r="GM292"/>
    </row>
    <row r="293" spans="1:195" s="7" customFormat="1">
      <c r="A293" s="1"/>
      <c r="B293">
        <v>0.7774708714785854</v>
      </c>
      <c r="C293">
        <v>1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35.32296512953841</v>
      </c>
      <c r="AO293">
        <v>8.8698660137215377</v>
      </c>
      <c r="AP293">
        <v>85.581644835533481</v>
      </c>
      <c r="AQ293">
        <v>66.274856669094689</v>
      </c>
      <c r="AR293">
        <v>8.4446975945487193</v>
      </c>
      <c r="AS293">
        <v>131.77393540033336</v>
      </c>
      <c r="AT293">
        <v>5.6566523232829686</v>
      </c>
      <c r="AU293">
        <v>50.420647640653584</v>
      </c>
      <c r="AV293"/>
      <c r="AW293"/>
      <c r="FY293" s="210">
        <v>288</v>
      </c>
      <c r="FZ293">
        <v>5.6888037245059655</v>
      </c>
      <c r="GA293">
        <v>14.938404606609918</v>
      </c>
      <c r="GB293">
        <v>8.9991563857824914</v>
      </c>
      <c r="GC293">
        <v>2.3569501438624014</v>
      </c>
      <c r="GD293">
        <v>0.78004780135903551</v>
      </c>
      <c r="GE293">
        <v>1.4540804315652309</v>
      </c>
      <c r="GF293">
        <v>7.4892282712571152</v>
      </c>
      <c r="GG293">
        <v>7.7953814090694049</v>
      </c>
      <c r="GH293">
        <v>7.1322226880836528</v>
      </c>
      <c r="GI293">
        <v>6.3347987099997596</v>
      </c>
      <c r="GJ293"/>
      <c r="GK293"/>
      <c r="GL293"/>
      <c r="GM293"/>
    </row>
    <row r="294" spans="1:195" s="7" customFormat="1">
      <c r="A294" s="1"/>
      <c r="B294">
        <v>0.43839939932060545</v>
      </c>
      <c r="C294">
        <v>1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35.392062351760629</v>
      </c>
      <c r="AO294">
        <v>10.418995686738324</v>
      </c>
      <c r="AP294">
        <v>112.03063858865985</v>
      </c>
      <c r="AQ294">
        <v>81.588573556061519</v>
      </c>
      <c r="AR294">
        <v>10.021245458391485</v>
      </c>
      <c r="AS294">
        <v>134.53428561545826</v>
      </c>
      <c r="AT294" t="e">
        <v>#DIV/0!</v>
      </c>
      <c r="AU294" t="e">
        <v>#DIV/0!</v>
      </c>
      <c r="AV294"/>
      <c r="AW294"/>
      <c r="FY294" s="210">
        <v>289</v>
      </c>
      <c r="FZ294">
        <v>13.96126017905066</v>
      </c>
      <c r="GA294">
        <v>41.578713573735051</v>
      </c>
      <c r="GB294">
        <v>15.921507404259065</v>
      </c>
      <c r="GC294">
        <v>2.1254658644806841</v>
      </c>
      <c r="GD294">
        <v>0.85058022371510256</v>
      </c>
      <c r="GE294">
        <v>2.8978815932337341</v>
      </c>
      <c r="GF294">
        <v>5.8333264297761627</v>
      </c>
      <c r="GG294">
        <v>3.1342730027110393</v>
      </c>
      <c r="GH294">
        <v>3.7150644110173299</v>
      </c>
      <c r="GI294">
        <v>8.4860232794241348</v>
      </c>
      <c r="GJ294"/>
      <c r="GK294"/>
      <c r="GL294"/>
      <c r="GM294"/>
    </row>
    <row r="295" spans="1:195" s="7" customFormat="1">
      <c r="A295" s="1"/>
      <c r="B295">
        <v>0.76992536618191476</v>
      </c>
      <c r="C295">
        <v>5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25.999122536945816</v>
      </c>
      <c r="AO295">
        <v>11.187343185464087</v>
      </c>
      <c r="AP295">
        <v>113.56257842012593</v>
      </c>
      <c r="AQ295">
        <v>77.508958767950773</v>
      </c>
      <c r="AR295">
        <v>10.544164468010388</v>
      </c>
      <c r="AS295">
        <v>131.31104932558011</v>
      </c>
      <c r="AT295">
        <v>7.1433600534292649</v>
      </c>
      <c r="AU295">
        <v>9.2002559274062179</v>
      </c>
      <c r="AV295"/>
      <c r="AW295"/>
      <c r="FY295" s="210">
        <v>290</v>
      </c>
      <c r="FZ295">
        <v>13.443398412076814</v>
      </c>
      <c r="GA295">
        <v>28.899304180614784</v>
      </c>
      <c r="GB295">
        <v>9.2211151341464088</v>
      </c>
      <c r="GC295">
        <v>1.4778802464741774</v>
      </c>
      <c r="GD295">
        <v>0.62576606051244155</v>
      </c>
      <c r="GE295">
        <v>1.4479128696271943</v>
      </c>
      <c r="GF295">
        <v>2.4074922512810986</v>
      </c>
      <c r="GG295">
        <v>1.341751459384152</v>
      </c>
      <c r="GH295">
        <v>4.2282865284398721</v>
      </c>
      <c r="GI295">
        <v>5.9098698805071743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32.379743089764645</v>
      </c>
      <c r="AO296">
        <v>9.0015715833331136</v>
      </c>
      <c r="AP296">
        <v>94.204132860342426</v>
      </c>
      <c r="AQ296">
        <v>70.962442960484921</v>
      </c>
      <c r="AR296">
        <v>8.6783522371734385</v>
      </c>
      <c r="AS296">
        <v>103.80739896312188</v>
      </c>
      <c r="AT296">
        <v>5.6959858361354101</v>
      </c>
      <c r="AU296">
        <v>21.387301870271838</v>
      </c>
      <c r="AV296"/>
      <c r="AW296"/>
      <c r="FY296" s="210">
        <v>291</v>
      </c>
      <c r="FZ296">
        <v>4.8311676233835268</v>
      </c>
      <c r="GA296">
        <v>18.970720659326496</v>
      </c>
      <c r="GB296">
        <v>10.696748916156473</v>
      </c>
      <c r="GC296">
        <v>2.1931004811470394</v>
      </c>
      <c r="GD296">
        <v>0.65826407024974798</v>
      </c>
      <c r="GE296">
        <v>1.5901701362337088</v>
      </c>
      <c r="GF296">
        <v>8.3387659473794109</v>
      </c>
      <c r="GG296">
        <v>7.3384950091752472</v>
      </c>
      <c r="GH296">
        <v>3.4886116924828308</v>
      </c>
      <c r="GI296">
        <v>6.132173865904079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39.141732804232795</v>
      </c>
      <c r="AO297">
        <v>8.9935251517264412</v>
      </c>
      <c r="AP297">
        <v>99.161359777294578</v>
      </c>
      <c r="AQ297">
        <v>78.340382968157201</v>
      </c>
      <c r="AR297">
        <v>8.6943858267076806</v>
      </c>
      <c r="AS297">
        <v>120.30046719407537</v>
      </c>
      <c r="AT297" t="e">
        <v>#DIV/0!</v>
      </c>
      <c r="AU297" t="e">
        <v>#DIV/0!</v>
      </c>
      <c r="AV297"/>
      <c r="AW297"/>
      <c r="FY297" s="210">
        <v>292</v>
      </c>
      <c r="FZ297">
        <v>4.6809911663791945</v>
      </c>
      <c r="GA297">
        <v>18.084318975657382</v>
      </c>
      <c r="GB297">
        <v>8.1339389532786619</v>
      </c>
      <c r="GC297">
        <v>0.91738563430776188</v>
      </c>
      <c r="GD297">
        <v>0.42877205776379368</v>
      </c>
      <c r="GE297">
        <v>1.4479128696271943</v>
      </c>
      <c r="GF297">
        <v>8.0619143336781889</v>
      </c>
      <c r="GG297">
        <v>5.7472627830195826</v>
      </c>
      <c r="GH297">
        <v>2.2000551766652161</v>
      </c>
      <c r="GI297">
        <v>5.1080867221134127</v>
      </c>
      <c r="GJ297"/>
      <c r="GK297"/>
      <c r="GL297"/>
      <c r="GM297"/>
    </row>
    <row r="298" spans="1:195" s="7" customFormat="1">
      <c r="A298" s="1"/>
      <c r="B298">
        <v>0.18835360185406458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10.416666666666666</v>
      </c>
      <c r="I298">
        <v>20.833333333333332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20.273990261813537</v>
      </c>
      <c r="AO298">
        <v>6.7936737166634327</v>
      </c>
      <c r="AP298">
        <v>67.16287372074008</v>
      </c>
      <c r="AQ298">
        <v>48.061212558468213</v>
      </c>
      <c r="AR298">
        <v>6.4745320841507645</v>
      </c>
      <c r="AS298">
        <v>89.230367651007725</v>
      </c>
      <c r="AT298" t="e">
        <v>#DIV/0!</v>
      </c>
      <c r="AU298" t="e">
        <v>#DIV/0!</v>
      </c>
      <c r="AV298"/>
      <c r="AW298"/>
      <c r="FY298" s="210">
        <v>293</v>
      </c>
      <c r="FZ298">
        <v>21.558182315806405</v>
      </c>
      <c r="GA298">
        <v>46.217367613562786</v>
      </c>
      <c r="GB298">
        <v>11.871030107041042</v>
      </c>
      <c r="GC298">
        <v>1.5195731716311631</v>
      </c>
      <c r="GD298">
        <v>0.83304760293242397</v>
      </c>
      <c r="GE298">
        <v>0.14225726660651461</v>
      </c>
      <c r="GF298">
        <v>2.3929507856280807</v>
      </c>
      <c r="GG298">
        <v>3.7371753385584983</v>
      </c>
      <c r="GH298">
        <v>3.4886116924828308</v>
      </c>
      <c r="GI298">
        <v>7.8408015487927347</v>
      </c>
      <c r="GJ298"/>
      <c r="GK298"/>
      <c r="GL298"/>
      <c r="GM298"/>
    </row>
    <row r="299" spans="1:195" s="7" customFormat="1">
      <c r="A299" s="1"/>
      <c r="B299">
        <v>0.62198746659127591</v>
      </c>
      <c r="C299">
        <v>6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20.833333333333332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41.621676587301586</v>
      </c>
      <c r="AO299">
        <v>12.425016017949572</v>
      </c>
      <c r="AP299">
        <v>136.55906953779964</v>
      </c>
      <c r="AQ299">
        <v>100.59621158812624</v>
      </c>
      <c r="AR299">
        <v>12.068353448958872</v>
      </c>
      <c r="AS299">
        <v>158.02069854169989</v>
      </c>
      <c r="AT299" t="e">
        <v>#DIV/0!</v>
      </c>
      <c r="AU299" t="e">
        <v>#DIV/0!</v>
      </c>
      <c r="AV299"/>
      <c r="AW299"/>
      <c r="FY299" s="210">
        <v>294</v>
      </c>
      <c r="FZ299">
        <v>12.842814772721269</v>
      </c>
      <c r="GA299">
        <v>31.442917925374115</v>
      </c>
      <c r="GB299">
        <v>9.9087395489215222</v>
      </c>
      <c r="GC299">
        <v>1.3469997210745701</v>
      </c>
      <c r="GD299">
        <v>0.60694459314953897</v>
      </c>
      <c r="GE299">
        <v>8.2234159173821958E-3</v>
      </c>
      <c r="GF299">
        <v>3.1884647804456008</v>
      </c>
      <c r="GG299">
        <v>3.9133268256448943</v>
      </c>
      <c r="GH299">
        <v>5.049362442665057</v>
      </c>
      <c r="GI299">
        <v>6.360946267367571</v>
      </c>
      <c r="GJ299"/>
      <c r="GK299"/>
      <c r="GL299"/>
      <c r="GM299"/>
    </row>
    <row r="300" spans="1:195" s="7" customFormat="1">
      <c r="A300" s="1"/>
      <c r="B300">
        <v>0.96294978277625676</v>
      </c>
      <c r="C300">
        <v>8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26.259638409961685</v>
      </c>
      <c r="AO300">
        <v>10.50853342507642</v>
      </c>
      <c r="AP300">
        <v>109.31066661442792</v>
      </c>
      <c r="AQ300">
        <v>75.782645015861021</v>
      </c>
      <c r="AR300">
        <v>9.967576098953705</v>
      </c>
      <c r="AS300">
        <v>132.15713474928685</v>
      </c>
      <c r="AT300">
        <v>6.7709811322536604</v>
      </c>
      <c r="AU300">
        <v>-0.70901124714636765</v>
      </c>
      <c r="AV300"/>
      <c r="AW300"/>
      <c r="FY300" s="210">
        <v>295</v>
      </c>
      <c r="FZ300">
        <v>15.262615339355756</v>
      </c>
      <c r="GA300">
        <v>32.678682081641469</v>
      </c>
      <c r="GB300">
        <v>12.104357855208255</v>
      </c>
      <c r="GC300">
        <v>2.9070860523512847</v>
      </c>
      <c r="GD300">
        <v>0.90423081547340689</v>
      </c>
      <c r="GE300">
        <v>1.3138790189380618</v>
      </c>
      <c r="GF300">
        <v>8.5869855159700119</v>
      </c>
      <c r="GG300">
        <v>6.9513880045764349</v>
      </c>
      <c r="GH300">
        <v>2.4945228811557567</v>
      </c>
      <c r="GI300">
        <v>8.1072802226488214</v>
      </c>
      <c r="GJ300"/>
      <c r="GK300"/>
      <c r="GL300"/>
      <c r="GM300"/>
    </row>
    <row r="301" spans="1:195" s="7" customFormat="1">
      <c r="A301" s="1"/>
      <c r="B301">
        <v>9.2638260256466154E-2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20.833333333333332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35.255935846560853</v>
      </c>
      <c r="AO301">
        <v>10.307284439575167</v>
      </c>
      <c r="AP301">
        <v>103.47360406970962</v>
      </c>
      <c r="AQ301">
        <v>76.386463907125261</v>
      </c>
      <c r="AR301">
        <v>9.5943471950512542</v>
      </c>
      <c r="AS301">
        <v>117.5910100328048</v>
      </c>
      <c r="AT301">
        <v>6.3076489071685389</v>
      </c>
      <c r="AU301">
        <v>29.877129441636924</v>
      </c>
      <c r="AV301"/>
      <c r="AW301"/>
      <c r="FY301" s="210">
        <v>296</v>
      </c>
      <c r="FZ301">
        <v>20.798980121247496</v>
      </c>
      <c r="GA301">
        <v>29.144210712244529</v>
      </c>
      <c r="GB301">
        <v>6.172143714135256</v>
      </c>
      <c r="GC301">
        <v>2.2956349648810424</v>
      </c>
      <c r="GD301">
        <v>0.44151982082847824</v>
      </c>
      <c r="GE301">
        <v>1.3077114570000252</v>
      </c>
      <c r="GF301">
        <v>3.2030062460986191</v>
      </c>
      <c r="GG301">
        <v>2.107417863143735</v>
      </c>
      <c r="GH301">
        <v>2.7209755996902558</v>
      </c>
      <c r="GI301">
        <v>5.978536449966664</v>
      </c>
      <c r="GJ301"/>
      <c r="GK301"/>
      <c r="GL301"/>
      <c r="GM301"/>
    </row>
    <row r="302" spans="1:195" s="7" customFormat="1">
      <c r="A302" s="1"/>
      <c r="B302">
        <v>0.94033991294364405</v>
      </c>
      <c r="C302">
        <v>2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20.833333333333332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33.800281084656078</v>
      </c>
      <c r="AO302">
        <v>10.106482153428276</v>
      </c>
      <c r="AP302">
        <v>108.81527447700967</v>
      </c>
      <c r="AQ302">
        <v>78.527515455627722</v>
      </c>
      <c r="AR302">
        <v>9.6054251190829572</v>
      </c>
      <c r="AS302">
        <v>159.44297028858833</v>
      </c>
      <c r="AT302" t="e">
        <v>#DIV/0!</v>
      </c>
      <c r="AU302" t="e">
        <v>#DIV/0!</v>
      </c>
      <c r="AV302"/>
      <c r="AW302"/>
      <c r="FY302" s="210">
        <v>297</v>
      </c>
      <c r="FZ302">
        <v>39.742985431326083</v>
      </c>
      <c r="GA302">
        <v>61.056298589407078</v>
      </c>
      <c r="GB302">
        <v>8.1658877051474565</v>
      </c>
      <c r="GC302">
        <v>0.93483749559933838</v>
      </c>
      <c r="GD302">
        <v>0.60673871449012906</v>
      </c>
      <c r="GE302">
        <v>0.28451453321302922</v>
      </c>
      <c r="GF302">
        <v>0.77653115979888554</v>
      </c>
      <c r="GG302">
        <v>3.1281385905754799</v>
      </c>
      <c r="GH302">
        <v>4.9356059408789035</v>
      </c>
      <c r="GI302">
        <v>9.3595917888112297</v>
      </c>
      <c r="GJ302"/>
      <c r="GK302"/>
      <c r="GL302"/>
      <c r="GM302"/>
    </row>
    <row r="303" spans="1:195" s="7" customFormat="1">
      <c r="A303" s="1"/>
      <c r="B303">
        <v>0.64356738825108017</v>
      </c>
      <c r="C303">
        <v>10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10.416666666666666</v>
      </c>
      <c r="L303">
        <v>10.416666666666666</v>
      </c>
      <c r="M303">
        <v>10.416666666666666</v>
      </c>
      <c r="N303">
        <v>10.416666666666666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73.604777298850578</v>
      </c>
      <c r="AO303">
        <v>18.096307766167904</v>
      </c>
      <c r="AP303">
        <v>197.05096422523778</v>
      </c>
      <c r="AQ303">
        <v>152.63985807595378</v>
      </c>
      <c r="AR303">
        <v>16.572867339069827</v>
      </c>
      <c r="AS303">
        <v>246.7333966502232</v>
      </c>
      <c r="AT303">
        <v>10.466185239163226</v>
      </c>
      <c r="AU303">
        <v>122.46459496637699</v>
      </c>
      <c r="AV303"/>
      <c r="AW303"/>
      <c r="FY303" s="210">
        <v>298</v>
      </c>
      <c r="FZ303">
        <v>14.846534600802249</v>
      </c>
      <c r="GA303">
        <v>29.058252709316715</v>
      </c>
      <c r="GB303">
        <v>9.5464302144068736</v>
      </c>
      <c r="GC303">
        <v>1.7054098019992674</v>
      </c>
      <c r="GD303">
        <v>0.48872744387947686</v>
      </c>
      <c r="GE303">
        <v>0.28040282525433813</v>
      </c>
      <c r="GF303">
        <v>7.4492951694099405</v>
      </c>
      <c r="GG303">
        <v>7.9049563063329673</v>
      </c>
      <c r="GH303">
        <v>2.028231351774656</v>
      </c>
      <c r="GI303">
        <v>6.8492888926594064</v>
      </c>
      <c r="GJ303"/>
      <c r="GK303"/>
      <c r="GL303"/>
      <c r="GM303"/>
    </row>
    <row r="304" spans="1:195" s="7" customFormat="1">
      <c r="A304" s="1"/>
      <c r="B304">
        <v>0.59678276530898611</v>
      </c>
      <c r="C304">
        <v>10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10.416666666666666</v>
      </c>
      <c r="L304">
        <v>10.416666666666666</v>
      </c>
      <c r="M304">
        <v>10.416666666666666</v>
      </c>
      <c r="N304">
        <v>10.416666666666666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26.897450282795109</v>
      </c>
      <c r="AO304">
        <v>9.3241059445636232</v>
      </c>
      <c r="AP304">
        <v>91.04925831516816</v>
      </c>
      <c r="AQ304">
        <v>62.96907417209497</v>
      </c>
      <c r="AR304">
        <v>9.2627516152962137</v>
      </c>
      <c r="AS304">
        <v>119.29388258096208</v>
      </c>
      <c r="AT304">
        <v>6.3466746459061243</v>
      </c>
      <c r="AU304">
        <v>-14.129038744980722</v>
      </c>
      <c r="AV304"/>
      <c r="AW304"/>
      <c r="FY304" s="210">
        <v>299</v>
      </c>
      <c r="FZ304">
        <v>5.3555019111416655</v>
      </c>
      <c r="GA304">
        <v>17.309840794408434</v>
      </c>
      <c r="GB304">
        <v>7.9047545000166792</v>
      </c>
      <c r="GC304">
        <v>1.2729290198237886</v>
      </c>
      <c r="GD304">
        <v>0.70188415088234979</v>
      </c>
      <c r="GE304">
        <v>5.5133045072337854</v>
      </c>
      <c r="GF304">
        <v>11.711027330765116</v>
      </c>
      <c r="GG304">
        <v>3.153794834020871</v>
      </c>
      <c r="GH304">
        <v>1.5038724992891495</v>
      </c>
      <c r="GI304">
        <v>5.9227097235410016</v>
      </c>
      <c r="GJ304"/>
      <c r="GK304"/>
      <c r="GL304"/>
      <c r="GM304"/>
    </row>
    <row r="305" spans="1:195" s="7" customFormat="1">
      <c r="A305" s="1"/>
      <c r="B305">
        <v>0.44123744068630977</v>
      </c>
      <c r="C305">
        <v>3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44.171458219303041</v>
      </c>
      <c r="AO305">
        <v>12.98653655188868</v>
      </c>
      <c r="AP305">
        <v>136.83572539950654</v>
      </c>
      <c r="AQ305">
        <v>98.504095961402953</v>
      </c>
      <c r="AR305">
        <v>12.195201596651117</v>
      </c>
      <c r="AS305">
        <v>161.02153761685216</v>
      </c>
      <c r="AT305">
        <v>7.7769563837356976</v>
      </c>
      <c r="AU305">
        <v>23.548860626815245</v>
      </c>
      <c r="AV305"/>
      <c r="AW305"/>
      <c r="FY305" s="210">
        <v>300</v>
      </c>
      <c r="FZ305">
        <v>15.034241316816994</v>
      </c>
      <c r="GA305">
        <v>43.990580233372263</v>
      </c>
      <c r="GB305">
        <v>18.067893433977304</v>
      </c>
      <c r="GC305">
        <v>2.5534909963349457</v>
      </c>
      <c r="GD305">
        <v>0.67476891064801003</v>
      </c>
      <c r="GE305">
        <v>1.4479128696271943</v>
      </c>
      <c r="GF305">
        <v>5.2207072655079143</v>
      </c>
      <c r="GG305">
        <v>3.0133705511523541</v>
      </c>
      <c r="GH305">
        <v>1.3889269252916665</v>
      </c>
      <c r="GI305">
        <v>8.5638045502106745</v>
      </c>
      <c r="GJ305"/>
      <c r="GK305"/>
      <c r="GL305"/>
      <c r="GM305"/>
    </row>
    <row r="306" spans="1:195" s="7" customFormat="1">
      <c r="A306" s="1"/>
      <c r="B306">
        <v>0.19742652003214056</v>
      </c>
      <c r="C306">
        <v>5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30.549437830687832</v>
      </c>
      <c r="AO306">
        <v>8.6686555722710334</v>
      </c>
      <c r="AP306">
        <v>92.008855794035767</v>
      </c>
      <c r="AQ306">
        <v>69.002777023064112</v>
      </c>
      <c r="AR306">
        <v>8.4604443542171541</v>
      </c>
      <c r="AS306">
        <v>143.80340596411426</v>
      </c>
      <c r="AT306">
        <v>5.564494231698518</v>
      </c>
      <c r="AU306">
        <v>23.773648016774381</v>
      </c>
      <c r="AV306"/>
      <c r="AW306"/>
      <c r="FY306" s="210">
        <v>301</v>
      </c>
      <c r="FZ306">
        <v>4.9575363141914419</v>
      </c>
      <c r="GA306">
        <v>11.149000619927856</v>
      </c>
      <c r="GB306">
        <v>5.2334175281226774</v>
      </c>
      <c r="GC306">
        <v>1.3777468540751656</v>
      </c>
      <c r="GD306">
        <v>0.67645254528978205</v>
      </c>
      <c r="GE306">
        <v>0.14225726660651461</v>
      </c>
      <c r="GF306">
        <v>7.2518588732076523</v>
      </c>
      <c r="GG306">
        <v>9.0661013166332296</v>
      </c>
      <c r="GH306">
        <v>4.0129705449683382</v>
      </c>
      <c r="GI306">
        <v>4.6873974722873841</v>
      </c>
      <c r="GJ306"/>
      <c r="GK306"/>
      <c r="GL306"/>
      <c r="GM306"/>
    </row>
    <row r="307" spans="1:195" s="7" customFormat="1">
      <c r="A307" s="1"/>
      <c r="B307">
        <v>5.8881794594159764E-2</v>
      </c>
      <c r="C307">
        <v>6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20.833333333333332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24.19816468253968</v>
      </c>
      <c r="AO307">
        <v>9.3409305327185574</v>
      </c>
      <c r="AP307">
        <v>92.994807760001308</v>
      </c>
      <c r="AQ307">
        <v>64.238218401438573</v>
      </c>
      <c r="AR307">
        <v>8.9106775813372234</v>
      </c>
      <c r="AS307">
        <v>118.15793432674742</v>
      </c>
      <c r="AT307">
        <v>6.2514771624554379</v>
      </c>
      <c r="AU307">
        <v>14.493922036983726</v>
      </c>
      <c r="AV307"/>
      <c r="AW307"/>
      <c r="FY307" s="210">
        <v>302</v>
      </c>
      <c r="FZ307">
        <v>13.568933446478805</v>
      </c>
      <c r="GA307">
        <v>22.42918288166949</v>
      </c>
      <c r="GB307">
        <v>6.328351088826949</v>
      </c>
      <c r="GC307">
        <v>1.8207772145853687</v>
      </c>
      <c r="GD307">
        <v>0.72868132637196159</v>
      </c>
      <c r="GE307">
        <v>1.3077114570000252</v>
      </c>
      <c r="GF307">
        <v>6.8911505726418847</v>
      </c>
      <c r="GG307">
        <v>4.5989867785330274</v>
      </c>
      <c r="GH307">
        <v>2.2000551766652161</v>
      </c>
      <c r="GI307">
        <v>5.8055112855434263</v>
      </c>
      <c r="GJ307"/>
      <c r="GK307"/>
      <c r="GL307"/>
      <c r="GM307"/>
    </row>
    <row r="308" spans="1:195" s="7" customFormat="1">
      <c r="A308" s="1"/>
      <c r="B308">
        <v>0.39951859774292497</v>
      </c>
      <c r="C308">
        <v>7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10.416666666666666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18.756131978653528</v>
      </c>
      <c r="AO308">
        <v>7.7267462187739229</v>
      </c>
      <c r="AP308">
        <v>80.718056972452018</v>
      </c>
      <c r="AQ308">
        <v>54.810638672490384</v>
      </c>
      <c r="AR308">
        <v>7.4704360288308909</v>
      </c>
      <c r="AS308">
        <v>88.196531767753299</v>
      </c>
      <c r="AT308">
        <v>5.1567624190517698</v>
      </c>
      <c r="AU308">
        <v>2.2516534052381987</v>
      </c>
      <c r="AV308"/>
      <c r="AW308"/>
      <c r="FY308" s="210">
        <v>303</v>
      </c>
      <c r="FZ308">
        <v>21.500974846735694</v>
      </c>
      <c r="GA308">
        <v>49.236914953165055</v>
      </c>
      <c r="GB308">
        <v>13.9357103871024</v>
      </c>
      <c r="GC308">
        <v>1.1253866807306534</v>
      </c>
      <c r="GD308">
        <v>0.62385211134869523</v>
      </c>
      <c r="GE308">
        <v>1.7324274028402236</v>
      </c>
      <c r="GF308">
        <v>9.1596715783910856</v>
      </c>
      <c r="GG308">
        <v>7.6919165782511936</v>
      </c>
      <c r="GH308">
        <v>3.4171582770663225</v>
      </c>
      <c r="GI308">
        <v>9.6343842877587935</v>
      </c>
      <c r="GJ308"/>
      <c r="GK308"/>
      <c r="GL308"/>
      <c r="GM308"/>
    </row>
    <row r="309" spans="1:195" s="7" customFormat="1">
      <c r="A309" s="1"/>
      <c r="B309">
        <v>0.96307744222683311</v>
      </c>
      <c r="C309">
        <v>7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10.416666666666666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46.316963145411428</v>
      </c>
      <c r="AO309">
        <v>12.014351636837011</v>
      </c>
      <c r="AP309">
        <v>132.81495706936988</v>
      </c>
      <c r="AQ309">
        <v>99.600997443042502</v>
      </c>
      <c r="AR309">
        <v>11.439159377257322</v>
      </c>
      <c r="AS309">
        <v>149.73997843559869</v>
      </c>
      <c r="AT309" t="e">
        <v>#DIV/0!</v>
      </c>
      <c r="AU309" t="e">
        <v>#DIV/0!</v>
      </c>
      <c r="AV309"/>
      <c r="AW309"/>
      <c r="FY309" s="210">
        <v>304</v>
      </c>
      <c r="FZ309">
        <v>13.167338341860518</v>
      </c>
      <c r="GA309">
        <v>27.991633513627765</v>
      </c>
      <c r="GB309">
        <v>8.4355399655246401</v>
      </c>
      <c r="GC309">
        <v>1.5359868365396441</v>
      </c>
      <c r="GD309">
        <v>0.93143850426980346</v>
      </c>
      <c r="GE309">
        <v>0.14225726660651461</v>
      </c>
      <c r="GF309">
        <v>2.4215828307386991</v>
      </c>
      <c r="GG309">
        <v>3.7769527443425792</v>
      </c>
      <c r="GH309">
        <v>2.7924290151067641</v>
      </c>
      <c r="GI309">
        <v>5.6459628547856857</v>
      </c>
      <c r="GJ309"/>
      <c r="GK309"/>
      <c r="GL309"/>
      <c r="GM309"/>
    </row>
    <row r="310" spans="1:195" s="7" customFormat="1">
      <c r="A310" s="1"/>
      <c r="B310">
        <v>0.21121240958060605</v>
      </c>
      <c r="C310">
        <v>3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30.153025793650794</v>
      </c>
      <c r="AO310">
        <v>9.4842433950098162</v>
      </c>
      <c r="AP310">
        <v>104.14419907926161</v>
      </c>
      <c r="AQ310">
        <v>74.668740293281516</v>
      </c>
      <c r="AR310">
        <v>9.3919137536646264</v>
      </c>
      <c r="AS310">
        <v>114.78631652293399</v>
      </c>
      <c r="AT310" t="e">
        <v>#DIV/0!</v>
      </c>
      <c r="AU310" t="e">
        <v>#DIV/0!</v>
      </c>
      <c r="AV310"/>
      <c r="AW310"/>
      <c r="FY310" s="210">
        <v>305</v>
      </c>
      <c r="FZ310">
        <v>11.794121183026466</v>
      </c>
      <c r="GA310">
        <v>28.153538873667834</v>
      </c>
      <c r="GB310">
        <v>9.5198065828375036</v>
      </c>
      <c r="GC310">
        <v>1.7478706035526992</v>
      </c>
      <c r="GD310">
        <v>0.80366270176992871</v>
      </c>
      <c r="GE310">
        <v>1.4499687236065399</v>
      </c>
      <c r="GF310">
        <v>7.6866645674594043</v>
      </c>
      <c r="GG310">
        <v>5.9541680989657966</v>
      </c>
      <c r="GH310">
        <v>3.0791984139948072</v>
      </c>
      <c r="GI310">
        <v>6.7672266468337634</v>
      </c>
      <c r="GJ310"/>
      <c r="GK310"/>
      <c r="GL310"/>
      <c r="GM310"/>
    </row>
    <row r="311" spans="1:195" s="7" customFormat="1">
      <c r="A311" s="1"/>
      <c r="B311">
        <v>0.73258477050425563</v>
      </c>
      <c r="C311">
        <v>10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41.552180259076813</v>
      </c>
      <c r="AO311">
        <v>12.315683418585909</v>
      </c>
      <c r="AP311">
        <v>125.75005552514055</v>
      </c>
      <c r="AQ311">
        <v>91.311027787319262</v>
      </c>
      <c r="AR311">
        <v>11.739207834294991</v>
      </c>
      <c r="AS311">
        <v>162.8935833559882</v>
      </c>
      <c r="AT311">
        <v>7.4910771272390733</v>
      </c>
      <c r="AU311">
        <v>21.963403181036735</v>
      </c>
      <c r="AV311"/>
      <c r="AW311"/>
      <c r="FY311" s="210">
        <v>306</v>
      </c>
      <c r="FZ311">
        <v>21.188198113077028</v>
      </c>
      <c r="GA311">
        <v>33.1429069590816</v>
      </c>
      <c r="GB311">
        <v>6.0328753890305791</v>
      </c>
      <c r="GC311">
        <v>1.6101767722789186</v>
      </c>
      <c r="GD311">
        <v>0.8191275489619616</v>
      </c>
      <c r="GE311">
        <v>2.7576801806065649</v>
      </c>
      <c r="GF311">
        <v>5.0918361162634174</v>
      </c>
      <c r="GG311">
        <v>1.9961391700518996</v>
      </c>
      <c r="GH311">
        <v>2.4811367888436542</v>
      </c>
      <c r="GI311">
        <v>6.5952813393982055</v>
      </c>
      <c r="GJ311"/>
      <c r="GK311"/>
      <c r="GL311"/>
      <c r="GM311"/>
    </row>
    <row r="312" spans="1:195" s="7" customFormat="1">
      <c r="A312" s="1"/>
      <c r="B312">
        <v>0.31401883347141224</v>
      </c>
      <c r="C312">
        <v>4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42.976933383506662</v>
      </c>
      <c r="AO312">
        <v>8.8963939237875742</v>
      </c>
      <c r="AP312">
        <v>91.383528211353919</v>
      </c>
      <c r="AQ312">
        <v>74.17013694923611</v>
      </c>
      <c r="AR312">
        <v>8.3645917754078241</v>
      </c>
      <c r="AS312">
        <v>140.97985775257433</v>
      </c>
      <c r="AT312" t="e">
        <v>#DIV/0!</v>
      </c>
      <c r="AU312" t="e">
        <v>#DIV/0!</v>
      </c>
      <c r="AV312"/>
      <c r="AW312"/>
      <c r="FY312" s="210">
        <v>307</v>
      </c>
      <c r="FZ312">
        <v>11.59656418526626</v>
      </c>
      <c r="GA312">
        <v>26.572645847041514</v>
      </c>
      <c r="GB312">
        <v>8.110093486517659</v>
      </c>
      <c r="GC312">
        <v>1.6356867500547987</v>
      </c>
      <c r="GD312">
        <v>0.76382007228064785</v>
      </c>
      <c r="GE312">
        <v>1.3097673109793708</v>
      </c>
      <c r="GF312">
        <v>5.0962774856290345</v>
      </c>
      <c r="GG312">
        <v>3.7181719206092332</v>
      </c>
      <c r="GH312">
        <v>1.913285777777173</v>
      </c>
      <c r="GI312">
        <v>5.6695345795475758</v>
      </c>
      <c r="GJ312"/>
      <c r="GK312"/>
      <c r="GL312"/>
      <c r="GM312"/>
    </row>
    <row r="313" spans="1:195" s="7" customFormat="1">
      <c r="A313" s="1"/>
      <c r="B313">
        <v>0.50556986333694987</v>
      </c>
      <c r="C313">
        <v>6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64.604712301587284</v>
      </c>
      <c r="AO313">
        <v>14.249799177486526</v>
      </c>
      <c r="AP313">
        <v>161.21500512132548</v>
      </c>
      <c r="AQ313">
        <v>128.99112994924761</v>
      </c>
      <c r="AR313">
        <v>13.518666331404923</v>
      </c>
      <c r="AS313">
        <v>216.40623055882688</v>
      </c>
      <c r="AT313" t="e">
        <v>#DIV/0!</v>
      </c>
      <c r="AU313" t="e">
        <v>#DIV/0!</v>
      </c>
      <c r="AV313"/>
      <c r="AW313"/>
      <c r="FY313" s="210">
        <v>308</v>
      </c>
      <c r="FZ313">
        <v>11.158794547609066</v>
      </c>
      <c r="GA313">
        <v>29.694928827664732</v>
      </c>
      <c r="GB313">
        <v>9.0761511776053023</v>
      </c>
      <c r="GC313">
        <v>1.635862141200076</v>
      </c>
      <c r="GD313">
        <v>1.0067746549564525</v>
      </c>
      <c r="GE313">
        <v>2.6154229140000504</v>
      </c>
      <c r="GF313">
        <v>6.6828641058984584</v>
      </c>
      <c r="GG313">
        <v>2.5979229109962056</v>
      </c>
      <c r="GH313">
        <v>3.8188732499518485</v>
      </c>
      <c r="GI313">
        <v>6.5740523157886921</v>
      </c>
      <c r="GJ313"/>
      <c r="GK313"/>
      <c r="GL313"/>
      <c r="GM313"/>
    </row>
    <row r="314" spans="1:195" s="7" customFormat="1">
      <c r="A314" s="1"/>
      <c r="B314">
        <v>0.60868568387122335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30.064053092501371</v>
      </c>
      <c r="AO314">
        <v>10.436148369275566</v>
      </c>
      <c r="AP314">
        <v>110.68370262015418</v>
      </c>
      <c r="AQ314">
        <v>80.157529315835873</v>
      </c>
      <c r="AR314">
        <v>10.047802349960392</v>
      </c>
      <c r="AS314">
        <v>134.87514142348965</v>
      </c>
      <c r="AT314" t="e">
        <v>#DIV/0!</v>
      </c>
      <c r="AU314" t="e">
        <v>#DIV/0!</v>
      </c>
      <c r="AV314"/>
      <c r="AW314"/>
      <c r="FY314" s="210">
        <v>309</v>
      </c>
      <c r="FZ314">
        <v>31.511225029341627</v>
      </c>
      <c r="GA314">
        <v>52.712241665230557</v>
      </c>
      <c r="GB314">
        <v>9.9673545636803293</v>
      </c>
      <c r="GC314">
        <v>1.4698364738042415</v>
      </c>
      <c r="GD314">
        <v>0.68015142482855628</v>
      </c>
      <c r="GE314">
        <v>1.5881142822543635</v>
      </c>
      <c r="GF314">
        <v>12.946214057451918</v>
      </c>
      <c r="GG314">
        <v>11.083441768133024</v>
      </c>
      <c r="GH314">
        <v>1.913285777777173</v>
      </c>
      <c r="GI314">
        <v>10.704105480428851</v>
      </c>
      <c r="GJ314"/>
      <c r="GK314"/>
      <c r="GL314"/>
      <c r="GM314"/>
    </row>
    <row r="315" spans="1:195" s="7" customFormat="1">
      <c r="A315" s="1"/>
      <c r="B315">
        <v>0.46613209106528819</v>
      </c>
      <c r="C315">
        <v>2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21.816399835796386</v>
      </c>
      <c r="AO315">
        <v>9.0102027880420241</v>
      </c>
      <c r="AP315">
        <v>85.873717059696688</v>
      </c>
      <c r="AQ315">
        <v>60.34961927112284</v>
      </c>
      <c r="AR315">
        <v>8.2609830107113869</v>
      </c>
      <c r="AS315">
        <v>109.51671863717827</v>
      </c>
      <c r="AT315">
        <v>5.6989803310730105</v>
      </c>
      <c r="AU315">
        <v>13.135229980406674</v>
      </c>
      <c r="AV315"/>
      <c r="AW315"/>
      <c r="FY315" s="210">
        <v>310</v>
      </c>
      <c r="FZ315">
        <v>21.665119463342247</v>
      </c>
      <c r="GA315">
        <v>46.763360908687574</v>
      </c>
      <c r="GB315">
        <v>14.302186050086089</v>
      </c>
      <c r="GC315">
        <v>2.3887654780277394</v>
      </c>
      <c r="GD315">
        <v>0.65636505873392958</v>
      </c>
      <c r="GE315">
        <v>2.6154229140000504</v>
      </c>
      <c r="GF315">
        <v>7.7265976693065772</v>
      </c>
      <c r="GG315">
        <v>5.674576126751397</v>
      </c>
      <c r="GH315">
        <v>6.5643716770171707</v>
      </c>
      <c r="GI315">
        <v>10.034896457746207</v>
      </c>
      <c r="GJ315"/>
      <c r="GK315"/>
      <c r="GL315"/>
      <c r="GM315"/>
    </row>
    <row r="316" spans="1:195" s="7" customFormat="1">
      <c r="A316" s="1"/>
      <c r="B316">
        <v>0.39952729652472918</v>
      </c>
      <c r="C316">
        <v>10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41.08050481207809</v>
      </c>
      <c r="AO316">
        <v>12.914832069268034</v>
      </c>
      <c r="AP316">
        <v>138.81090494919755</v>
      </c>
      <c r="AQ316">
        <v>99.955697052939314</v>
      </c>
      <c r="AR316">
        <v>12.326164895183428</v>
      </c>
      <c r="AS316">
        <v>152.40295748226555</v>
      </c>
      <c r="AT316">
        <v>7.9116247030974476</v>
      </c>
      <c r="AU316">
        <v>13.775404983888929</v>
      </c>
      <c r="AV316"/>
      <c r="AW316"/>
      <c r="FY316" s="210">
        <v>311</v>
      </c>
      <c r="FZ316">
        <v>3.7827183978371037</v>
      </c>
      <c r="GA316">
        <v>27.157477180170783</v>
      </c>
      <c r="GB316">
        <v>14.372222763960709</v>
      </c>
      <c r="GC316">
        <v>1.7824960559683021</v>
      </c>
      <c r="GD316">
        <v>0.53603307814969092</v>
      </c>
      <c r="GE316">
        <v>2.0558539793455489E-3</v>
      </c>
      <c r="GF316">
        <v>2.6157787180245267</v>
      </c>
      <c r="GG316">
        <v>4.6918622352181831</v>
      </c>
      <c r="GH316">
        <v>4.5942076483469219</v>
      </c>
      <c r="GI316">
        <v>5.8823660823080761</v>
      </c>
      <c r="GJ316"/>
      <c r="GK316"/>
      <c r="GL316"/>
      <c r="GM316"/>
    </row>
    <row r="317" spans="1:195" s="7" customFormat="1">
      <c r="A317" s="1"/>
      <c r="B317">
        <v>0.1463952223042464</v>
      </c>
      <c r="C317">
        <v>9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17.102742428388986</v>
      </c>
      <c r="AO317">
        <v>7.2136629489382686</v>
      </c>
      <c r="AP317">
        <v>71.582950781837226</v>
      </c>
      <c r="AQ317">
        <v>48.554739335310046</v>
      </c>
      <c r="AR317">
        <v>7.0523449719138753</v>
      </c>
      <c r="AS317">
        <v>81.658183810176368</v>
      </c>
      <c r="AT317" t="e">
        <v>#DIV/0!</v>
      </c>
      <c r="AU317" t="e">
        <v>#DIV/0!</v>
      </c>
      <c r="AV317"/>
      <c r="AW317"/>
      <c r="FY317" s="210">
        <v>312</v>
      </c>
      <c r="FZ317">
        <v>13.525113984943978</v>
      </c>
      <c r="GA317">
        <v>22.750036770411491</v>
      </c>
      <c r="GB317">
        <v>7.3273926612810758</v>
      </c>
      <c r="GC317">
        <v>2.2702342668293296</v>
      </c>
      <c r="GD317">
        <v>0.56757330520408211</v>
      </c>
      <c r="GE317">
        <v>2.6154229140000504</v>
      </c>
      <c r="GF317">
        <v>9.3716493402463925</v>
      </c>
      <c r="GG317">
        <v>7.0829222721425218</v>
      </c>
      <c r="GH317">
        <v>4.0129705449683382</v>
      </c>
      <c r="GI317">
        <v>6.7981671903202932</v>
      </c>
      <c r="GJ317"/>
      <c r="GK317"/>
      <c r="GL317"/>
      <c r="GM317"/>
    </row>
    <row r="318" spans="1:195" s="7" customFormat="1">
      <c r="A318" s="1"/>
      <c r="B318">
        <v>0.62427734443930838</v>
      </c>
      <c r="C318">
        <v>7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31.988921957671959</v>
      </c>
      <c r="AO318">
        <v>8.497773286702806</v>
      </c>
      <c r="AP318">
        <v>85.699724479608733</v>
      </c>
      <c r="AQ318">
        <v>65.679341228316162</v>
      </c>
      <c r="AR318">
        <v>8.2231273838427796</v>
      </c>
      <c r="AS318">
        <v>120.43089458630102</v>
      </c>
      <c r="AT318" t="e">
        <v>#DIV/0!</v>
      </c>
      <c r="AU318" t="e">
        <v>#DIV/0!</v>
      </c>
      <c r="AV318"/>
      <c r="AW318"/>
      <c r="FY318" s="210">
        <v>313</v>
      </c>
      <c r="FZ318">
        <v>3.4466526749548652</v>
      </c>
      <c r="GA318">
        <v>12.755476561569267</v>
      </c>
      <c r="GB318">
        <v>7.2288910822105592</v>
      </c>
      <c r="GC318">
        <v>2.0590237529657665</v>
      </c>
      <c r="GD318">
        <v>0.72965232581520434</v>
      </c>
      <c r="GE318">
        <v>0.14225726660651461</v>
      </c>
      <c r="GF318">
        <v>5.804243498470127</v>
      </c>
      <c r="GG318">
        <v>6.4966101609418434</v>
      </c>
      <c r="GH318">
        <v>2.9508667476852217</v>
      </c>
      <c r="GI318">
        <v>4.5312425342753855</v>
      </c>
      <c r="GJ318"/>
      <c r="GK318"/>
      <c r="GL318"/>
      <c r="GM318"/>
    </row>
    <row r="319" spans="1:195" s="7" customFormat="1">
      <c r="A319" s="1"/>
      <c r="B319">
        <v>0.59139797800752425</v>
      </c>
      <c r="C319">
        <v>2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49.873542692939246</v>
      </c>
      <c r="AO319">
        <v>14.727142117352784</v>
      </c>
      <c r="AP319">
        <v>161.12970063156621</v>
      </c>
      <c r="AQ319">
        <v>118.05839710339013</v>
      </c>
      <c r="AR319">
        <v>13.952826599218948</v>
      </c>
      <c r="AS319">
        <v>217.93787322260764</v>
      </c>
      <c r="AT319">
        <v>8.993975065120571</v>
      </c>
      <c r="AU319">
        <v>58.98109023660512</v>
      </c>
      <c r="AV319"/>
      <c r="AW319"/>
      <c r="FY319" s="210">
        <v>314</v>
      </c>
      <c r="FZ319">
        <v>11.917161783122204</v>
      </c>
      <c r="GA319">
        <v>30.889952076294033</v>
      </c>
      <c r="GB319">
        <v>9.1840987530252765</v>
      </c>
      <c r="GC319">
        <v>0.82818237117596261</v>
      </c>
      <c r="GD319">
        <v>0.48264749016758279</v>
      </c>
      <c r="GE319">
        <v>4.1117079586910979E-3</v>
      </c>
      <c r="GF319">
        <v>6.752179327109987</v>
      </c>
      <c r="GG319">
        <v>8.0392461770659249</v>
      </c>
      <c r="GH319">
        <v>5.8036124431455303</v>
      </c>
      <c r="GI319">
        <v>6.8845155406312823</v>
      </c>
      <c r="GJ319"/>
      <c r="GK319"/>
      <c r="GL319"/>
      <c r="GM319"/>
    </row>
    <row r="320" spans="1:195" s="7" customFormat="1">
      <c r="A320" s="1"/>
      <c r="B320">
        <v>0.82437939604197319</v>
      </c>
      <c r="C320">
        <v>6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33.744477513227508</v>
      </c>
      <c r="AO320">
        <v>8.5306319851047299</v>
      </c>
      <c r="AP320">
        <v>90.15115709610572</v>
      </c>
      <c r="AQ320">
        <v>66.841121873402614</v>
      </c>
      <c r="AR320">
        <v>8.2514818603004283</v>
      </c>
      <c r="AS320">
        <v>128.08459769347715</v>
      </c>
      <c r="AT320" t="e">
        <v>#DIV/0!</v>
      </c>
      <c r="AU320" t="e">
        <v>#DIV/0!</v>
      </c>
      <c r="AV320"/>
      <c r="AW320"/>
      <c r="FY320" s="210">
        <v>315</v>
      </c>
      <c r="FZ320">
        <v>13.96126017905066</v>
      </c>
      <c r="GA320">
        <v>29.643538295279797</v>
      </c>
      <c r="GB320">
        <v>10.392998967022715</v>
      </c>
      <c r="GC320">
        <v>2.5421248079200756</v>
      </c>
      <c r="GD320">
        <v>0.82706849440669461</v>
      </c>
      <c r="GE320">
        <v>2.6195346219587416</v>
      </c>
      <c r="GF320">
        <v>5.3336468836784974</v>
      </c>
      <c r="GG320">
        <v>1.767383713242062</v>
      </c>
      <c r="GH320">
        <v>1.1055959558640902</v>
      </c>
      <c r="GI320">
        <v>6.598311353451896</v>
      </c>
      <c r="GJ320"/>
      <c r="GK320"/>
      <c r="GL320"/>
      <c r="GM320"/>
    </row>
    <row r="321" spans="1:195" s="7" customFormat="1">
      <c r="A321" s="1"/>
      <c r="B321">
        <v>1.1478290648370582E-2</v>
      </c>
      <c r="C321">
        <v>10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34.343715790914061</v>
      </c>
      <c r="AO321">
        <v>10.236929518902048</v>
      </c>
      <c r="AP321">
        <v>105.8890359136183</v>
      </c>
      <c r="AQ321">
        <v>76.956226395714737</v>
      </c>
      <c r="AR321">
        <v>9.7774414944259398</v>
      </c>
      <c r="AS321">
        <v>149.62118153151192</v>
      </c>
      <c r="AT321">
        <v>6.4385187379878452</v>
      </c>
      <c r="AU321">
        <v>35.324715767521873</v>
      </c>
      <c r="AV321"/>
      <c r="AW321"/>
      <c r="FY321" s="210">
        <v>316</v>
      </c>
      <c r="FZ321">
        <v>21.888533363304738</v>
      </c>
      <c r="GA321">
        <v>44.292581737964433</v>
      </c>
      <c r="GB321">
        <v>10.862817759409104</v>
      </c>
      <c r="GC321">
        <v>2.0681763204053487</v>
      </c>
      <c r="GD321">
        <v>1.2159643229573915</v>
      </c>
      <c r="GE321">
        <v>1.4479128696271943</v>
      </c>
      <c r="GF321">
        <v>3.7567094735010591</v>
      </c>
      <c r="GG321">
        <v>1.6622394322857859</v>
      </c>
      <c r="GH321">
        <v>1.3889269252916665</v>
      </c>
      <c r="GI321">
        <v>7.7737847289071116</v>
      </c>
      <c r="GJ321"/>
      <c r="GK321"/>
      <c r="GL321"/>
      <c r="GM321"/>
    </row>
    <row r="322" spans="1:195" s="7" customFormat="1">
      <c r="A322" s="1"/>
      <c r="B322">
        <v>0.31443715517832094</v>
      </c>
      <c r="C322">
        <v>8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10.416666666666666</v>
      </c>
      <c r="K322">
        <v>10.416666666666666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44.639417989417993</v>
      </c>
      <c r="AO322">
        <v>9.9674463873394412</v>
      </c>
      <c r="AP322">
        <v>102.14922558994525</v>
      </c>
      <c r="AQ322">
        <v>81.715358377593844</v>
      </c>
      <c r="AR322">
        <v>9.219230830856123</v>
      </c>
      <c r="AS322">
        <v>143.23464823529713</v>
      </c>
      <c r="AT322">
        <v>6.0915328327083786</v>
      </c>
      <c r="AU322">
        <v>74.906471271373476</v>
      </c>
      <c r="AV322"/>
      <c r="AW322"/>
      <c r="FY322" s="210">
        <v>317</v>
      </c>
      <c r="FZ322">
        <v>23.038629450818604</v>
      </c>
      <c r="GA322">
        <v>52.995247402792977</v>
      </c>
      <c r="GB322">
        <v>16.550556912741122</v>
      </c>
      <c r="GC322">
        <v>2.3435605168537053</v>
      </c>
      <c r="GD322">
        <v>0.91943298480556446</v>
      </c>
      <c r="GE322">
        <v>0.14020141262716906</v>
      </c>
      <c r="GF322">
        <v>6.4849769235007511</v>
      </c>
      <c r="GG322">
        <v>6.2316334187364939</v>
      </c>
      <c r="GH322">
        <v>2.2000551766652161</v>
      </c>
      <c r="GI322">
        <v>9.9110041163085292</v>
      </c>
      <c r="GJ322"/>
      <c r="GK322"/>
      <c r="GL322"/>
      <c r="GM322"/>
    </row>
    <row r="323" spans="1:195" s="7" customFormat="1">
      <c r="A323" s="1"/>
      <c r="B323">
        <v>0.68423323116925605</v>
      </c>
      <c r="C323">
        <v>4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30.699154465426012</v>
      </c>
      <c r="AO323">
        <v>8.7724731245609782</v>
      </c>
      <c r="AP323">
        <v>90.787532351516617</v>
      </c>
      <c r="AQ323">
        <v>66.385847415703267</v>
      </c>
      <c r="AR323">
        <v>8.2078068117299594</v>
      </c>
      <c r="AS323">
        <v>121.52676630162411</v>
      </c>
      <c r="AT323">
        <v>5.4200676265866479</v>
      </c>
      <c r="AU323">
        <v>38.410743619403036</v>
      </c>
      <c r="AV323"/>
      <c r="AW323"/>
      <c r="FY323" s="210">
        <v>318</v>
      </c>
      <c r="FZ323">
        <v>21.399531363865997</v>
      </c>
      <c r="GA323">
        <v>45.192631698538172</v>
      </c>
      <c r="GB323">
        <v>13.006000737220161</v>
      </c>
      <c r="GC323">
        <v>2.0043844902565016</v>
      </c>
      <c r="GD323">
        <v>0.6581120707400181</v>
      </c>
      <c r="GE323">
        <v>0.14020141262716906</v>
      </c>
      <c r="GF323">
        <v>5.6354392473784563</v>
      </c>
      <c r="GG323">
        <v>5.5889536771049526</v>
      </c>
      <c r="GH323">
        <v>1.1490881144450649</v>
      </c>
      <c r="GI323">
        <v>8.3341884877643242</v>
      </c>
      <c r="GJ323"/>
      <c r="GK323"/>
      <c r="GL323"/>
      <c r="GM323"/>
    </row>
    <row r="324" spans="1:195" s="7" customFormat="1">
      <c r="A324" s="1"/>
      <c r="B324">
        <v>0.88865973805555676</v>
      </c>
      <c r="C324">
        <v>2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33.473296957671955</v>
      </c>
      <c r="AO324">
        <v>9.8465109597498124</v>
      </c>
      <c r="AP324">
        <v>100.86813372748702</v>
      </c>
      <c r="AQ324">
        <v>74.86164684567089</v>
      </c>
      <c r="AR324">
        <v>9.3239201589110881</v>
      </c>
      <c r="AS324">
        <v>162.10473343113438</v>
      </c>
      <c r="AT324" t="e">
        <v>#DIV/0!</v>
      </c>
      <c r="AU324" t="e">
        <v>#DIV/0!</v>
      </c>
      <c r="AV324"/>
      <c r="AW324"/>
      <c r="FY324" s="210">
        <v>319</v>
      </c>
      <c r="FZ324">
        <v>4.0811620798312855</v>
      </c>
      <c r="GA324">
        <v>19.180348365067243</v>
      </c>
      <c r="GB324">
        <v>8.4476782858008619</v>
      </c>
      <c r="GC324">
        <v>1.1820930827114671</v>
      </c>
      <c r="GD324">
        <v>0.72103081840934857</v>
      </c>
      <c r="GE324">
        <v>8.2234159173821958E-3</v>
      </c>
      <c r="GF324">
        <v>4.7605099350620055</v>
      </c>
      <c r="GG324">
        <v>5.188501695206214</v>
      </c>
      <c r="GH324">
        <v>2.9642528399973243</v>
      </c>
      <c r="GI324">
        <v>4.7172415943861292</v>
      </c>
      <c r="GJ324"/>
      <c r="GK324"/>
      <c r="GL324"/>
      <c r="GM324"/>
    </row>
    <row r="325" spans="1:195" s="7" customFormat="1">
      <c r="A325" s="1"/>
      <c r="B325">
        <v>0.71694328922974737</v>
      </c>
      <c r="C325">
        <v>8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10.416666666666666</v>
      </c>
      <c r="K325">
        <v>10.416666666666666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59.216764732713003</v>
      </c>
      <c r="AO325">
        <v>16.554146955883891</v>
      </c>
      <c r="AP325">
        <v>178.28875352255301</v>
      </c>
      <c r="AQ325">
        <v>134.57597052293062</v>
      </c>
      <c r="AR325">
        <v>15.490640267315367</v>
      </c>
      <c r="AS325">
        <v>202.99357646532266</v>
      </c>
      <c r="AT325">
        <v>10.260327280552948</v>
      </c>
      <c r="AU325">
        <v>146.39727957042533</v>
      </c>
      <c r="AV325"/>
      <c r="AW325"/>
      <c r="FY325" s="210">
        <v>320</v>
      </c>
      <c r="FZ325">
        <v>8.2650339189592206</v>
      </c>
      <c r="GA325">
        <v>14.04046744676892</v>
      </c>
      <c r="GB325">
        <v>6.580236561429162</v>
      </c>
      <c r="GC325">
        <v>2.1416016115365597</v>
      </c>
      <c r="GD325">
        <v>1.0323389483663752</v>
      </c>
      <c r="GE325">
        <v>2.7576801806065649</v>
      </c>
      <c r="GF325">
        <v>6.0561543621726077</v>
      </c>
      <c r="GG325">
        <v>1.9803809994494905</v>
      </c>
      <c r="GH325">
        <v>2.3115623212022323</v>
      </c>
      <c r="GI325">
        <v>5.1030305132396334</v>
      </c>
      <c r="GJ325"/>
      <c r="GK325"/>
      <c r="GL325"/>
      <c r="GM325"/>
    </row>
    <row r="326" spans="1:195" s="7" customFormat="1">
      <c r="A326" s="1"/>
      <c r="B326">
        <v>0.62258163901395691</v>
      </c>
      <c r="C326">
        <v>1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47.365375843824125</v>
      </c>
      <c r="AO326">
        <v>15.36086663953326</v>
      </c>
      <c r="AP326">
        <v>162.93118480739372</v>
      </c>
      <c r="AQ326">
        <v>118.39166180369898</v>
      </c>
      <c r="AR326">
        <v>14.567495749981839</v>
      </c>
      <c r="AS326">
        <v>177.9543086197092</v>
      </c>
      <c r="AT326" t="e">
        <v>#DIV/0!</v>
      </c>
      <c r="AU326" t="e">
        <v>#DIV/0!</v>
      </c>
      <c r="AV326"/>
      <c r="AW326"/>
      <c r="FY326" s="210">
        <v>321</v>
      </c>
      <c r="FZ326">
        <v>13.659452374634327</v>
      </c>
      <c r="GA326">
        <v>30.498758963594469</v>
      </c>
      <c r="GB326">
        <v>9.7787153564216744</v>
      </c>
      <c r="GC326">
        <v>2.1472953209025252</v>
      </c>
      <c r="GD326">
        <v>0.84808713126829793</v>
      </c>
      <c r="GE326">
        <v>1.3077114570000252</v>
      </c>
      <c r="GF326">
        <v>2.7991244347692152</v>
      </c>
      <c r="GG326">
        <v>1.5150137816818452</v>
      </c>
      <c r="GH326">
        <v>2.6094684551532397</v>
      </c>
      <c r="GI326">
        <v>6.035129652058008</v>
      </c>
      <c r="GJ326"/>
      <c r="GK326"/>
      <c r="GL326"/>
      <c r="GM326"/>
    </row>
    <row r="327" spans="1:195" s="7" customFormat="1">
      <c r="A327" s="1"/>
      <c r="B327">
        <v>0.56120163815120661</v>
      </c>
      <c r="C327">
        <v>3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10.416666666666666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22.53941570881226</v>
      </c>
      <c r="AO327">
        <v>9.0354687661785551</v>
      </c>
      <c r="AP327">
        <v>97.63504730775125</v>
      </c>
      <c r="AQ327">
        <v>65.417218013963648</v>
      </c>
      <c r="AR327">
        <v>8.7532369745881926</v>
      </c>
      <c r="AS327">
        <v>110.99042357559004</v>
      </c>
      <c r="AT327" t="e">
        <v>#DIV/0!</v>
      </c>
      <c r="AU327" t="e">
        <v>#DIV/0!</v>
      </c>
      <c r="AV327"/>
      <c r="AW327"/>
      <c r="FY327" s="210">
        <v>322</v>
      </c>
      <c r="FZ327">
        <v>15.03730897562391</v>
      </c>
      <c r="GA327">
        <v>30.097441834538031</v>
      </c>
      <c r="GB327">
        <v>9.1360050673891475</v>
      </c>
      <c r="GC327">
        <v>1.4115275007424257</v>
      </c>
      <c r="GD327">
        <v>0.78840597213478381</v>
      </c>
      <c r="GE327">
        <v>2.6154229140000504</v>
      </c>
      <c r="GF327">
        <v>8.5221116641240968</v>
      </c>
      <c r="GG327">
        <v>4.9211785472629339</v>
      </c>
      <c r="GH327">
        <v>1.913285777777173</v>
      </c>
      <c r="GI327">
        <v>7.1775537227177928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33.822634441707713</v>
      </c>
      <c r="AO328">
        <v>10.436851069478147</v>
      </c>
      <c r="AP328">
        <v>102.82647005221882</v>
      </c>
      <c r="AQ328">
        <v>76.321483250347555</v>
      </c>
      <c r="AR328">
        <v>9.6987837356056037</v>
      </c>
      <c r="AS328">
        <v>121.35261200211414</v>
      </c>
      <c r="AT328" t="e">
        <v>#DIV/0!</v>
      </c>
      <c r="AU328" t="e">
        <v>#DIV/0!</v>
      </c>
      <c r="AV328"/>
      <c r="AW328"/>
      <c r="FY328" s="210">
        <v>323</v>
      </c>
      <c r="FZ328">
        <v>4.9917151290590605</v>
      </c>
      <c r="GA328">
        <v>18.454048181434146</v>
      </c>
      <c r="GB328">
        <v>9.0544867867359748</v>
      </c>
      <c r="GC328">
        <v>1.7257059641879695</v>
      </c>
      <c r="GD328">
        <v>0.71762710454078438</v>
      </c>
      <c r="GE328">
        <v>1.4479128696271943</v>
      </c>
      <c r="GF328">
        <v>5.5705653955325438</v>
      </c>
      <c r="GG328">
        <v>3.5587442197914516</v>
      </c>
      <c r="GH328">
        <v>3.0077449985782989</v>
      </c>
      <c r="GI328">
        <v>5.132345086126926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19.275691023535849</v>
      </c>
      <c r="AO329">
        <v>6.9671462076535704</v>
      </c>
      <c r="AP329">
        <v>68.748623484224709</v>
      </c>
      <c r="AQ329">
        <v>46.14491660549475</v>
      </c>
      <c r="AR329">
        <v>6.7970217449090944</v>
      </c>
      <c r="AS329">
        <v>75.036650191114944</v>
      </c>
      <c r="AT329" t="e">
        <v>#DIV/0!</v>
      </c>
      <c r="AU329" t="e">
        <v>#DIV/0!</v>
      </c>
      <c r="AV329"/>
      <c r="AW329"/>
      <c r="FY329" s="210">
        <v>324</v>
      </c>
      <c r="FZ329">
        <v>23.579455436629516</v>
      </c>
      <c r="GA329">
        <v>51.420216984523321</v>
      </c>
      <c r="GB329">
        <v>15.090084425644752</v>
      </c>
      <c r="GC329">
        <v>1.637482508574589</v>
      </c>
      <c r="GD329">
        <v>0.64935236592723755</v>
      </c>
      <c r="GE329">
        <v>1.3118231649587164</v>
      </c>
      <c r="GF329">
        <v>6.140011049037156</v>
      </c>
      <c r="GG329">
        <v>3.75669716986833</v>
      </c>
      <c r="GH329">
        <v>1.1624742067571674</v>
      </c>
      <c r="GI329">
        <v>9.2710484754812974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26.038590129538402</v>
      </c>
      <c r="AO330">
        <v>10.574701092507187</v>
      </c>
      <c r="AP330">
        <v>116.53523514996482</v>
      </c>
      <c r="AQ330">
        <v>80.785707669696464</v>
      </c>
      <c r="AR330">
        <v>10.338187145061987</v>
      </c>
      <c r="AS330">
        <v>131.3320605919825</v>
      </c>
      <c r="AT330" t="e">
        <v>#DIV/0!</v>
      </c>
      <c r="AU330" t="e">
        <v>#DIV/0!</v>
      </c>
      <c r="AV330"/>
      <c r="AW330"/>
      <c r="FY330" s="210">
        <v>325</v>
      </c>
      <c r="FZ330">
        <v>12.295002881758842</v>
      </c>
      <c r="GA330">
        <v>29.981987511505562</v>
      </c>
      <c r="GB330">
        <v>11.734701469220777</v>
      </c>
      <c r="GC330">
        <v>2.7039287760115713</v>
      </c>
      <c r="GD330">
        <v>0.61285883133273478</v>
      </c>
      <c r="GE330">
        <v>2.6215904759380875</v>
      </c>
      <c r="GF330">
        <v>11.290312215970964</v>
      </c>
      <c r="GG330">
        <v>7.1024016615780061</v>
      </c>
      <c r="GH330">
        <v>2.5380150397367309</v>
      </c>
      <c r="GI330">
        <v>7.9586963426415549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37.037712666484218</v>
      </c>
      <c r="AO331">
        <v>10.228472904936702</v>
      </c>
      <c r="AP331">
        <v>103.08714970698642</v>
      </c>
      <c r="AQ331">
        <v>74.79146327187523</v>
      </c>
      <c r="AR331">
        <v>9.5113290874659295</v>
      </c>
      <c r="AS331">
        <v>140.88733655453592</v>
      </c>
      <c r="AT331" t="e">
        <v>#DIV/0!</v>
      </c>
      <c r="AU331" t="e">
        <v>#DIV/0!</v>
      </c>
      <c r="AV331"/>
      <c r="AW331"/>
      <c r="FY331" s="210">
        <v>326</v>
      </c>
      <c r="FZ331">
        <v>4.5153346065574569</v>
      </c>
      <c r="GA331">
        <v>16.152433228379827</v>
      </c>
      <c r="GB331">
        <v>9.8497387031062278</v>
      </c>
      <c r="GC331">
        <v>3.2275313087294295</v>
      </c>
      <c r="GD331">
        <v>1.1634679677545301</v>
      </c>
      <c r="GE331">
        <v>0</v>
      </c>
      <c r="GF331">
        <v>3.7167763716538849</v>
      </c>
      <c r="GG331">
        <v>4.9799593709962808</v>
      </c>
      <c r="GH331">
        <v>2.9073745891042471</v>
      </c>
      <c r="GI331">
        <v>5.0963743847179597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49.409439997263277</v>
      </c>
      <c r="AO332">
        <v>11.807414210216743</v>
      </c>
      <c r="AP332">
        <v>125.18297829069685</v>
      </c>
      <c r="AQ332">
        <v>96.357646933653825</v>
      </c>
      <c r="AR332">
        <v>11.105960167786559</v>
      </c>
      <c r="AS332">
        <v>163.12519353326678</v>
      </c>
      <c r="AT332">
        <v>7.0307643617175515</v>
      </c>
      <c r="AU332">
        <v>62.43089876664029</v>
      </c>
      <c r="AV332"/>
      <c r="AW332"/>
      <c r="FY332" s="210">
        <v>327</v>
      </c>
      <c r="FZ332">
        <v>10.90063765158472</v>
      </c>
      <c r="GA332">
        <v>43.368585107387361</v>
      </c>
      <c r="GB332">
        <v>16.138104490544546</v>
      </c>
      <c r="GC332">
        <v>1.4340104736675745</v>
      </c>
      <c r="GD332">
        <v>0.72154690392452037</v>
      </c>
      <c r="GE332">
        <v>0.14431312058586016</v>
      </c>
      <c r="GF332">
        <v>3.1884647804456008</v>
      </c>
      <c r="GG332">
        <v>3.743309750694058</v>
      </c>
      <c r="GH332">
        <v>1.6868330592426739</v>
      </c>
      <c r="GI332">
        <v>7.2582858184706556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56.974850050173323</v>
      </c>
      <c r="AO333">
        <v>14.928613368671154</v>
      </c>
      <c r="AP333">
        <v>163.06826668691701</v>
      </c>
      <c r="AQ333">
        <v>120.81529831585013</v>
      </c>
      <c r="AR333">
        <v>14.355318741920618</v>
      </c>
      <c r="AS333">
        <v>201.43383656776336</v>
      </c>
      <c r="AT333" t="e">
        <v>#DIV/0!</v>
      </c>
      <c r="AU333" t="e">
        <v>#DIV/0!</v>
      </c>
      <c r="AV333"/>
      <c r="AW333"/>
      <c r="FY333" s="210">
        <v>328</v>
      </c>
      <c r="FZ333">
        <v>13.67206889823081</v>
      </c>
      <c r="GA333">
        <v>40.652000829381414</v>
      </c>
      <c r="GB333">
        <v>16.025298098506276</v>
      </c>
      <c r="GC333">
        <v>2.0754874497426723</v>
      </c>
      <c r="GD333">
        <v>0.75237132040717603</v>
      </c>
      <c r="GE333">
        <v>0.14225726660651461</v>
      </c>
      <c r="GF333">
        <v>2.1257483820188448</v>
      </c>
      <c r="GG333">
        <v>1.9295625802290663</v>
      </c>
      <c r="GH333">
        <v>0.69618267737606665</v>
      </c>
      <c r="GI333">
        <v>7.1056102729252997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43.738128306878309</v>
      </c>
      <c r="AO334">
        <v>12.8303253777386</v>
      </c>
      <c r="AP334">
        <v>140.31800745432886</v>
      </c>
      <c r="AQ334">
        <v>103.10853129994081</v>
      </c>
      <c r="AR334">
        <v>12.203603606245727</v>
      </c>
      <c r="AS334">
        <v>149.46759068162206</v>
      </c>
      <c r="AT334" t="e">
        <v>#DIV/0!</v>
      </c>
      <c r="AU334" t="e">
        <v>#DIV/0!</v>
      </c>
      <c r="AV334"/>
      <c r="AW334"/>
      <c r="FY334" s="210">
        <v>329</v>
      </c>
      <c r="FZ334">
        <v>14.332305976469396</v>
      </c>
      <c r="GA334">
        <v>27.210582323218528</v>
      </c>
      <c r="GB334">
        <v>8.5436386266328199</v>
      </c>
      <c r="GC334">
        <v>1.7338592968966617</v>
      </c>
      <c r="GD334">
        <v>0.8410502438384293</v>
      </c>
      <c r="GE334">
        <v>2.7576801806065649</v>
      </c>
      <c r="GF334">
        <v>5.8333264297761627</v>
      </c>
      <c r="GG334">
        <v>2.9642559277602025</v>
      </c>
      <c r="GH334">
        <v>4.0698487958614145</v>
      </c>
      <c r="GI334">
        <v>6.6779324118306267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17.853619891443167</v>
      </c>
      <c r="AO335">
        <v>7.1735789136806387</v>
      </c>
      <c r="AP335">
        <v>75.890561759715752</v>
      </c>
      <c r="AQ335">
        <v>51.251042112389257</v>
      </c>
      <c r="AR335">
        <v>7.044561340025397</v>
      </c>
      <c r="AS335">
        <v>78.327299447437653</v>
      </c>
      <c r="AT335" t="e">
        <v>#DIV/0!</v>
      </c>
      <c r="AU335" t="e">
        <v>#DIV/0!</v>
      </c>
      <c r="AV335"/>
      <c r="AW335"/>
      <c r="FY335" s="210">
        <v>330</v>
      </c>
      <c r="FZ335">
        <v>33.524919317782754</v>
      </c>
      <c r="GA335">
        <v>49.901161271022389</v>
      </c>
      <c r="GB335">
        <v>8.5809522264035607</v>
      </c>
      <c r="GC335">
        <v>2.2057570779693152</v>
      </c>
      <c r="GD335">
        <v>0.98956755219378967</v>
      </c>
      <c r="GE335">
        <v>1.3097673109793708</v>
      </c>
      <c r="GF335">
        <v>8.0715635437701749</v>
      </c>
      <c r="GG335">
        <v>6.0409334756983259</v>
      </c>
      <c r="GH335">
        <v>2.6529606137342139</v>
      </c>
      <c r="GI335">
        <v>9.862539940376541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29.739464171684006</v>
      </c>
      <c r="AO336">
        <v>7.2256612938626956</v>
      </c>
      <c r="AP336">
        <v>66.67420063529066</v>
      </c>
      <c r="AQ336">
        <v>50.268486863730757</v>
      </c>
      <c r="AR336">
        <v>7.1139854201110184</v>
      </c>
      <c r="AS336">
        <v>96.824027736431702</v>
      </c>
      <c r="AT336">
        <v>4.9040930090640034</v>
      </c>
      <c r="AU336">
        <v>6.1294086434446591</v>
      </c>
      <c r="AV336"/>
      <c r="AW336"/>
      <c r="FY336" s="210">
        <v>331</v>
      </c>
      <c r="FZ336">
        <v>32.089473424528435</v>
      </c>
      <c r="GA336">
        <v>48.919200748565267</v>
      </c>
      <c r="GB336">
        <v>8.8225281553926251</v>
      </c>
      <c r="GC336">
        <v>1.6270088564998679</v>
      </c>
      <c r="GD336">
        <v>0.51647125637752134</v>
      </c>
      <c r="GE336">
        <v>1.3097673109793708</v>
      </c>
      <c r="GF336">
        <v>6.6683226402454396</v>
      </c>
      <c r="GG336">
        <v>5.9228958567454129</v>
      </c>
      <c r="GH336">
        <v>3.8300099850148128</v>
      </c>
      <c r="GI336">
        <v>9.323934489146108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35.857256317277873</v>
      </c>
      <c r="AO337">
        <v>9.1411382514915598</v>
      </c>
      <c r="AP337">
        <v>94.853144364985866</v>
      </c>
      <c r="AQ337">
        <v>71.198756927483615</v>
      </c>
      <c r="AR337">
        <v>8.6496048384970088</v>
      </c>
      <c r="AS337">
        <v>115.56800967590793</v>
      </c>
      <c r="AT337" t="e">
        <v>#DIV/0!</v>
      </c>
      <c r="AU337" t="e">
        <v>#DIV/0!</v>
      </c>
      <c r="AV337"/>
      <c r="AW337"/>
      <c r="FY337" s="210">
        <v>332</v>
      </c>
      <c r="FZ337">
        <v>4.6924775699545194</v>
      </c>
      <c r="GA337">
        <v>20.716041244528231</v>
      </c>
      <c r="GB337">
        <v>11.659961304708292</v>
      </c>
      <c r="GC337">
        <v>2.4010295791859448</v>
      </c>
      <c r="GD337">
        <v>0.67106031201537708</v>
      </c>
      <c r="GE337">
        <v>2.8978815932337341</v>
      </c>
      <c r="GF337">
        <v>10.011501092325112</v>
      </c>
      <c r="GG337">
        <v>6.8690775898413996</v>
      </c>
      <c r="GH337">
        <v>3.3736661184853478</v>
      </c>
      <c r="GI337">
        <v>6.7263366094655179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32.65249555281882</v>
      </c>
      <c r="AO338">
        <v>10.866282257451369</v>
      </c>
      <c r="AP338">
        <v>112.165835909062</v>
      </c>
      <c r="AQ338">
        <v>81.620241976310339</v>
      </c>
      <c r="AR338">
        <v>10.312505364456671</v>
      </c>
      <c r="AS338">
        <v>136.36030488008637</v>
      </c>
      <c r="AT338" t="e">
        <v>#DIV/0!</v>
      </c>
      <c r="AU338" t="e">
        <v>#DIV/0!</v>
      </c>
      <c r="AV338"/>
      <c r="AW338"/>
      <c r="FY338" s="210">
        <v>333</v>
      </c>
      <c r="FZ338">
        <v>4.2256061329469237</v>
      </c>
      <c r="GA338">
        <v>21.866625403901246</v>
      </c>
      <c r="GB338">
        <v>11.74909302976296</v>
      </c>
      <c r="GC338">
        <v>2.1573337797176753</v>
      </c>
      <c r="GD338">
        <v>0.86985310733960775</v>
      </c>
      <c r="GE338">
        <v>0.14225726660651461</v>
      </c>
      <c r="GF338">
        <v>6.2335169459936868</v>
      </c>
      <c r="GG338">
        <v>7.5157650911647966</v>
      </c>
      <c r="GH338">
        <v>4.5261926623908799</v>
      </c>
      <c r="GI338">
        <v>6.2560757768864397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19.806761425834701</v>
      </c>
      <c r="AO339">
        <v>7.5815331070914285</v>
      </c>
      <c r="AP339">
        <v>76.546915695934302</v>
      </c>
      <c r="AQ339">
        <v>53.660895735614346</v>
      </c>
      <c r="AR339">
        <v>7.4069601573049821</v>
      </c>
      <c r="AS339">
        <v>94.231597309678435</v>
      </c>
      <c r="AT339">
        <v>5.0814093067992454</v>
      </c>
      <c r="AU339">
        <v>1.4185206616032922</v>
      </c>
      <c r="AV339"/>
      <c r="AW339"/>
      <c r="FY339" s="210">
        <v>334</v>
      </c>
      <c r="FZ339">
        <v>4.7807016953159502</v>
      </c>
      <c r="GA339">
        <v>16.233537017592635</v>
      </c>
      <c r="GB339">
        <v>9.1534046368321746</v>
      </c>
      <c r="GC339">
        <v>2.4286433866428347</v>
      </c>
      <c r="GD339">
        <v>0.94940764825392265</v>
      </c>
      <c r="GE339">
        <v>2.7576801806065649</v>
      </c>
      <c r="GF339">
        <v>10.342376387331106</v>
      </c>
      <c r="GG339">
        <v>6.5687784038494623</v>
      </c>
      <c r="GH339">
        <v>2.6094684551532397</v>
      </c>
      <c r="GI339">
        <v>6.1712250526615922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48.477412880861159</v>
      </c>
      <c r="AO340">
        <v>14.015259132568719</v>
      </c>
      <c r="AP340">
        <v>154.27031423452127</v>
      </c>
      <c r="AQ340">
        <v>114.01864578740208</v>
      </c>
      <c r="AR340">
        <v>13.373438962999504</v>
      </c>
      <c r="AS340">
        <v>169.79963516113102</v>
      </c>
      <c r="AT340" t="e">
        <v>#DIV/0!</v>
      </c>
      <c r="AU340" t="e">
        <v>#DIV/0!</v>
      </c>
      <c r="AV340"/>
      <c r="AW340"/>
      <c r="FY340" s="210">
        <v>335</v>
      </c>
      <c r="FZ340">
        <v>14.17125003976729</v>
      </c>
      <c r="GA340">
        <v>37.327019760189842</v>
      </c>
      <c r="GB340">
        <v>12.732788222734706</v>
      </c>
      <c r="GC340">
        <v>1.6188262286275437</v>
      </c>
      <c r="GD340">
        <v>0.63144259099612499</v>
      </c>
      <c r="GE340">
        <v>2.7597360345859103</v>
      </c>
      <c r="GF340">
        <v>9.3970409764405503</v>
      </c>
      <c r="GG340">
        <v>5.3216305291616717</v>
      </c>
      <c r="GH340">
        <v>0.67935815560349722</v>
      </c>
      <c r="GI340">
        <v>7.880200209980897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35.289200761722313</v>
      </c>
      <c r="AO341">
        <v>12.197086241257766</v>
      </c>
      <c r="AP341">
        <v>123.32199926884721</v>
      </c>
      <c r="AQ341">
        <v>88.839495205694831</v>
      </c>
      <c r="AR341">
        <v>11.391749058282501</v>
      </c>
      <c r="AS341">
        <v>138.74435817303211</v>
      </c>
      <c r="AT341">
        <v>7.5681901768430739</v>
      </c>
      <c r="AU341">
        <v>25.049771097210382</v>
      </c>
      <c r="AV341"/>
      <c r="AW341"/>
      <c r="FY341" s="210">
        <v>336</v>
      </c>
      <c r="FZ341">
        <v>10.85565846061761</v>
      </c>
      <c r="GA341">
        <v>32.056334777188383</v>
      </c>
      <c r="GB341">
        <v>12.800023810238919</v>
      </c>
      <c r="GC341">
        <v>2.2781152732398136</v>
      </c>
      <c r="GD341">
        <v>0.74622625578728297</v>
      </c>
      <c r="GE341">
        <v>0.28040282525433813</v>
      </c>
      <c r="GF341">
        <v>2.3929507856280807</v>
      </c>
      <c r="GG341">
        <v>3.9071924135093345</v>
      </c>
      <c r="GH341">
        <v>3.8300099850148128</v>
      </c>
      <c r="GI341">
        <v>6.4646206164458855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25.254398148148148</v>
      </c>
      <c r="AO342">
        <v>7.6833647355051324</v>
      </c>
      <c r="AP342">
        <v>72.527482218733667</v>
      </c>
      <c r="AQ342">
        <v>51.608990530999847</v>
      </c>
      <c r="AR342">
        <v>7.4378095398069934</v>
      </c>
      <c r="AS342">
        <v>94.874081086013547</v>
      </c>
      <c r="AT342" t="e">
        <v>#DIV/0!</v>
      </c>
      <c r="AU342" t="e">
        <v>#DIV/0!</v>
      </c>
      <c r="AV342"/>
      <c r="AW342"/>
      <c r="FY342" s="210">
        <v>337</v>
      </c>
      <c r="FZ342">
        <v>32.639632217751817</v>
      </c>
      <c r="GA342">
        <v>54.101161618797065</v>
      </c>
      <c r="GB342">
        <v>9.8891133968486784</v>
      </c>
      <c r="GC342">
        <v>1.2471701686566663</v>
      </c>
      <c r="GD342">
        <v>0.65677980953128912</v>
      </c>
      <c r="GE342">
        <v>0.14020141262716906</v>
      </c>
      <c r="GF342">
        <v>4.8589080875795707</v>
      </c>
      <c r="GG342">
        <v>5.3289259780747305</v>
      </c>
      <c r="GH342">
        <v>2.2680701626212576</v>
      </c>
      <c r="GI342">
        <v>9.2184649820303708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31.789349571246124</v>
      </c>
      <c r="AO343">
        <v>11.502823751914573</v>
      </c>
      <c r="AP343">
        <v>128.76145810398822</v>
      </c>
      <c r="AQ343">
        <v>88.584091156547558</v>
      </c>
      <c r="AR343">
        <v>10.833290106000268</v>
      </c>
      <c r="AS343">
        <v>132.15778971991304</v>
      </c>
      <c r="AT343" t="e">
        <v>#DIV/0!</v>
      </c>
      <c r="AU343" t="e">
        <v>#DIV/0!</v>
      </c>
      <c r="AV343"/>
      <c r="AW343"/>
      <c r="FY343" s="210">
        <v>338</v>
      </c>
      <c r="FZ343">
        <v>4.3868483512966581</v>
      </c>
      <c r="GA343">
        <v>19.652706098405375</v>
      </c>
      <c r="GB343">
        <v>9.0616401603491585</v>
      </c>
      <c r="GC343">
        <v>1.524789115471052</v>
      </c>
      <c r="GD343">
        <v>0.71629076032310945</v>
      </c>
      <c r="GE343">
        <v>0.14020141262716906</v>
      </c>
      <c r="GF343">
        <v>2.6984344444399193</v>
      </c>
      <c r="GG343">
        <v>3.5996402204786841</v>
      </c>
      <c r="GH343">
        <v>3.4171582770663225</v>
      </c>
      <c r="GI343">
        <v>4.5857582545261284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39.166515576537122</v>
      </c>
      <c r="AO344">
        <v>10.636971041689545</v>
      </c>
      <c r="AP344">
        <v>116.65907078195933</v>
      </c>
      <c r="AQ344">
        <v>85.176587775424153</v>
      </c>
      <c r="AR344">
        <v>10.254970308029693</v>
      </c>
      <c r="AS344">
        <v>152.4868142190623</v>
      </c>
      <c r="AT344" t="e">
        <v>#DIV/0!</v>
      </c>
      <c r="AU344" t="e">
        <v>#DIV/0!</v>
      </c>
      <c r="AV344"/>
      <c r="AW344"/>
      <c r="FY344" s="210">
        <v>339</v>
      </c>
      <c r="FZ344">
        <v>12.498330305070617</v>
      </c>
      <c r="GA344">
        <v>25.739274411797055</v>
      </c>
      <c r="GB344">
        <v>8.7062202952612875</v>
      </c>
      <c r="GC344">
        <v>1.9967644394736126</v>
      </c>
      <c r="GD344">
        <v>0.66249541361527808</v>
      </c>
      <c r="GE344">
        <v>2.7576801806065649</v>
      </c>
      <c r="GF344">
        <v>11.23628853466619</v>
      </c>
      <c r="GG344">
        <v>6.8853541738043758</v>
      </c>
      <c r="GH344">
        <v>1.0341425404475817</v>
      </c>
      <c r="GI344">
        <v>7.0026573662180747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37.259455391351935</v>
      </c>
      <c r="AO345">
        <v>9.8948988164061671</v>
      </c>
      <c r="AP345">
        <v>100.24685521260307</v>
      </c>
      <c r="AQ345">
        <v>74.964480212890805</v>
      </c>
      <c r="AR345">
        <v>9.4921012108105032</v>
      </c>
      <c r="AS345">
        <v>156.5990618402073</v>
      </c>
      <c r="AT345">
        <v>6.3173357579471707</v>
      </c>
      <c r="AU345">
        <v>25.70004985874159</v>
      </c>
      <c r="AV345"/>
      <c r="AW345"/>
      <c r="FY345" s="210">
        <v>340</v>
      </c>
      <c r="FZ345">
        <v>3.419493464615651</v>
      </c>
      <c r="GA345">
        <v>22.1610429801819</v>
      </c>
      <c r="GB345">
        <v>11.258858821653773</v>
      </c>
      <c r="GC345">
        <v>2.362724404257075</v>
      </c>
      <c r="GD345">
        <v>0.86324533073934329</v>
      </c>
      <c r="GE345">
        <v>1.4479128696271943</v>
      </c>
      <c r="GF345">
        <v>5.6499807130314741</v>
      </c>
      <c r="GG345">
        <v>4.3725596312769808</v>
      </c>
      <c r="GH345">
        <v>1.5585013929330884</v>
      </c>
      <c r="GI345">
        <v>5.4434056901238081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62.635119047619057</v>
      </c>
      <c r="AO346">
        <v>14.716504847618657</v>
      </c>
      <c r="AP346">
        <v>156.22076934630371</v>
      </c>
      <c r="AQ346">
        <v>123.14012232993041</v>
      </c>
      <c r="AR346">
        <v>14.063176037182428</v>
      </c>
      <c r="AS346">
        <v>222.11096181542374</v>
      </c>
      <c r="AT346">
        <v>8.998321815233103</v>
      </c>
      <c r="AU346">
        <v>82.679383989352104</v>
      </c>
      <c r="AV346"/>
      <c r="AW346"/>
      <c r="FY346" s="210">
        <v>341</v>
      </c>
      <c r="FZ346">
        <v>13.482605874852503</v>
      </c>
      <c r="GA346">
        <v>31.027334890549216</v>
      </c>
      <c r="GB346">
        <v>10.714751737498947</v>
      </c>
      <c r="GC346">
        <v>2.1158904180944846</v>
      </c>
      <c r="GD346">
        <v>0.94630983618708453</v>
      </c>
      <c r="GE346">
        <v>1.5901701362337088</v>
      </c>
      <c r="GF346">
        <v>5.8474170092337641</v>
      </c>
      <c r="GG346">
        <v>3.6309124626990701</v>
      </c>
      <c r="GH346">
        <v>0.92263539591056576</v>
      </c>
      <c r="GI346">
        <v>6.6967931627088557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59.524304415252701</v>
      </c>
      <c r="AO347">
        <v>14.020465515902663</v>
      </c>
      <c r="AP347">
        <v>151.85966243280919</v>
      </c>
      <c r="AQ347">
        <v>119.02961272349488</v>
      </c>
      <c r="AR347">
        <v>13.314124327091948</v>
      </c>
      <c r="AS347">
        <v>206.35031136209841</v>
      </c>
      <c r="AT347">
        <v>8.6254235600675297</v>
      </c>
      <c r="AU347">
        <v>91.675341261187071</v>
      </c>
      <c r="AV347"/>
      <c r="AW347"/>
      <c r="FY347" s="210">
        <v>342</v>
      </c>
      <c r="FZ347">
        <v>3.6448633034538642</v>
      </c>
      <c r="GA347">
        <v>14.757260488502517</v>
      </c>
      <c r="GB347">
        <v>7.2754283017616004</v>
      </c>
      <c r="GC347">
        <v>1.2523035030599696</v>
      </c>
      <c r="GD347">
        <v>0.56569486414962844</v>
      </c>
      <c r="GE347">
        <v>1.4499687236065399</v>
      </c>
      <c r="GF347">
        <v>4.5235914232079599</v>
      </c>
      <c r="GG347">
        <v>3.9071924135093345</v>
      </c>
      <c r="GH347">
        <v>3.8300099850148128</v>
      </c>
      <c r="GI347">
        <v>4.3004143152437031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24.576388888888889</v>
      </c>
      <c r="AO348">
        <v>10.419521668210505</v>
      </c>
      <c r="AP348">
        <v>102.68697952252469</v>
      </c>
      <c r="AQ348">
        <v>70.019033013743481</v>
      </c>
      <c r="AR348">
        <v>9.7471188304482901</v>
      </c>
      <c r="AS348">
        <v>113.81327521262858</v>
      </c>
      <c r="AT348">
        <v>6.7010794712169455</v>
      </c>
      <c r="AU348">
        <v>13.686140668863928</v>
      </c>
      <c r="AV348"/>
      <c r="AW348"/>
      <c r="FY348" s="210">
        <v>343</v>
      </c>
      <c r="FZ348">
        <v>1.7556735488225736</v>
      </c>
      <c r="GA348">
        <v>9.5426935294368747</v>
      </c>
      <c r="GB348">
        <v>4.0081934829352539</v>
      </c>
      <c r="GC348">
        <v>1.0740507462863915</v>
      </c>
      <c r="GD348">
        <v>0.82485686906491906</v>
      </c>
      <c r="GE348">
        <v>2.7556243266272196</v>
      </c>
      <c r="GF348">
        <v>8.4934796190134794</v>
      </c>
      <c r="GG348">
        <v>4.2918862248056646</v>
      </c>
      <c r="GH348">
        <v>1.1490881144450649</v>
      </c>
      <c r="GI348">
        <v>3.7374299031612956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26.193583515781789</v>
      </c>
      <c r="AO349">
        <v>9.5529295620943167</v>
      </c>
      <c r="AP349">
        <v>98.518557142164823</v>
      </c>
      <c r="AQ349">
        <v>65.542319196710721</v>
      </c>
      <c r="AR349">
        <v>9.3821539847329074</v>
      </c>
      <c r="AS349">
        <v>123.7146660294168</v>
      </c>
      <c r="AT349" t="e">
        <v>#DIV/0!</v>
      </c>
      <c r="AU349" t="e">
        <v>#DIV/0!</v>
      </c>
      <c r="AV349"/>
      <c r="AW349"/>
      <c r="FY349" s="210">
        <v>344</v>
      </c>
      <c r="FZ349">
        <v>3.6604049071526092</v>
      </c>
      <c r="GA349">
        <v>17.035119547009721</v>
      </c>
      <c r="GB349">
        <v>10.052951066748545</v>
      </c>
      <c r="GC349">
        <v>2.8437673014788887</v>
      </c>
      <c r="GD349">
        <v>0.90331934459476138</v>
      </c>
      <c r="GE349">
        <v>0.14020141262716906</v>
      </c>
      <c r="GF349">
        <v>2.0177010194092957</v>
      </c>
      <c r="GG349">
        <v>4.4541318793572229</v>
      </c>
      <c r="GH349">
        <v>6.2095872921730866</v>
      </c>
      <c r="GI349">
        <v>5.106826475458309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25.60613425925926</v>
      </c>
      <c r="AO350">
        <v>9.3573061544971896</v>
      </c>
      <c r="AP350">
        <v>88.836207246926762</v>
      </c>
      <c r="AQ350">
        <v>61.995222864239487</v>
      </c>
      <c r="AR350">
        <v>8.8452240194738128</v>
      </c>
      <c r="AS350">
        <v>116.56553374650242</v>
      </c>
      <c r="AT350">
        <v>5.9442848860169564</v>
      </c>
      <c r="AU350">
        <v>10.78592094788922</v>
      </c>
      <c r="AV350"/>
      <c r="AW350"/>
      <c r="FY350" s="210">
        <v>345</v>
      </c>
      <c r="FZ350">
        <v>30.95147638627806</v>
      </c>
      <c r="GA350">
        <v>54.067637774519213</v>
      </c>
      <c r="GB350">
        <v>13.615120522175523</v>
      </c>
      <c r="GC350">
        <v>2.620675475384338</v>
      </c>
      <c r="GD350">
        <v>0.59270200130759632</v>
      </c>
      <c r="GE350">
        <v>0.14431312058586016</v>
      </c>
      <c r="GF350">
        <v>6.4309532421959759</v>
      </c>
      <c r="GG350">
        <v>9.2227309724097939</v>
      </c>
      <c r="GH350">
        <v>5.345019219366927</v>
      </c>
      <c r="GI350">
        <v>10.647593137284035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36.431841817186637</v>
      </c>
      <c r="AO351">
        <v>12.297919609657511</v>
      </c>
      <c r="AP351">
        <v>129.70602621081107</v>
      </c>
      <c r="AQ351">
        <v>92.519292748088034</v>
      </c>
      <c r="AR351">
        <v>11.377730904800258</v>
      </c>
      <c r="AS351">
        <v>154.61828663824545</v>
      </c>
      <c r="AT351" t="e">
        <v>#DIV/0!</v>
      </c>
      <c r="AU351" t="e">
        <v>#DIV/0!</v>
      </c>
      <c r="AV351"/>
      <c r="AW351"/>
      <c r="FY351" s="210">
        <v>346</v>
      </c>
      <c r="FZ351">
        <v>10.65447195518934</v>
      </c>
      <c r="GA351">
        <v>24.525777958481711</v>
      </c>
      <c r="GB351">
        <v>9.0454937061599434</v>
      </c>
      <c r="GC351">
        <v>2.4519037650967812</v>
      </c>
      <c r="GD351">
        <v>0.77056387988310704</v>
      </c>
      <c r="GE351">
        <v>0.14225726660651461</v>
      </c>
      <c r="GF351">
        <v>1.5180214733116304</v>
      </c>
      <c r="GG351">
        <v>1.5681786066401984</v>
      </c>
      <c r="GH351">
        <v>2.7812922800437998</v>
      </c>
      <c r="GI351">
        <v>5.159232357558154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34.885134441707706</v>
      </c>
      <c r="AO352">
        <v>9.898118695495528</v>
      </c>
      <c r="AP352">
        <v>104.99695049640114</v>
      </c>
      <c r="AQ352">
        <v>75.611535202924458</v>
      </c>
      <c r="AR352">
        <v>9.4695793662985359</v>
      </c>
      <c r="AS352">
        <v>130.15731783229518</v>
      </c>
      <c r="AT352" t="e">
        <v>#DIV/0!</v>
      </c>
      <c r="AU352" t="e">
        <v>#DIV/0!</v>
      </c>
      <c r="AV352"/>
      <c r="AW352"/>
      <c r="FY352" s="210">
        <v>347</v>
      </c>
      <c r="FZ352">
        <v>3.8561280289110336</v>
      </c>
      <c r="GA352">
        <v>29.667926862680055</v>
      </c>
      <c r="GB352">
        <v>15.534503940509031</v>
      </c>
      <c r="GC352">
        <v>2.2433958804460175</v>
      </c>
      <c r="GD352">
        <v>0.74141071279304849</v>
      </c>
      <c r="GE352">
        <v>2.6215904759380875</v>
      </c>
      <c r="GF352">
        <v>6.8770599931842842</v>
      </c>
      <c r="GG352">
        <v>4.6918622352181831</v>
      </c>
      <c r="GH352">
        <v>5.8716274291015722</v>
      </c>
      <c r="GI352">
        <v>7.4558600999215106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56.159820288268563</v>
      </c>
      <c r="AO353">
        <v>14.001782410275178</v>
      </c>
      <c r="AP353">
        <v>156.13533535251725</v>
      </c>
      <c r="AQ353">
        <v>120.34842783451859</v>
      </c>
      <c r="AR353">
        <v>13.378409129677134</v>
      </c>
      <c r="AS353">
        <v>211.94017086128721</v>
      </c>
      <c r="AT353" t="e">
        <v>#DIV/0!</v>
      </c>
      <c r="AU353" t="e">
        <v>#DIV/0!</v>
      </c>
      <c r="AV353"/>
      <c r="AW353"/>
      <c r="FY353" s="210">
        <v>348</v>
      </c>
      <c r="FZ353">
        <v>21.59631045538795</v>
      </c>
      <c r="GA353">
        <v>41.484008964978443</v>
      </c>
      <c r="GB353">
        <v>11.003311858918552</v>
      </c>
      <c r="GC353">
        <v>2.0896081107275908</v>
      </c>
      <c r="GD353">
        <v>0.83584790102965623</v>
      </c>
      <c r="GE353">
        <v>0.14020141262716906</v>
      </c>
      <c r="GF353">
        <v>2.3389271043233064</v>
      </c>
      <c r="GG353">
        <v>2.3410980174384939</v>
      </c>
      <c r="GH353">
        <v>0.92263539591056576</v>
      </c>
      <c r="GI353">
        <v>7.1486701786843883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15.580671296296297</v>
      </c>
      <c r="AO354">
        <v>7.014901056839733</v>
      </c>
      <c r="AP354">
        <v>73.715349840175392</v>
      </c>
      <c r="AQ354">
        <v>49.783467094983571</v>
      </c>
      <c r="AR354">
        <v>6.8765673693199387</v>
      </c>
      <c r="AS354">
        <v>70.973100420993219</v>
      </c>
      <c r="AT354" t="e">
        <v>#DIV/0!</v>
      </c>
      <c r="AU354" t="e">
        <v>#DIV/0!</v>
      </c>
      <c r="AV354"/>
      <c r="AW354"/>
      <c r="FY354" s="210">
        <v>349</v>
      </c>
      <c r="FZ354">
        <v>12.768831917146677</v>
      </c>
      <c r="GA354">
        <v>28.804184908177461</v>
      </c>
      <c r="GB354">
        <v>9.594912650019527</v>
      </c>
      <c r="GC354">
        <v>1.6940311312402985</v>
      </c>
      <c r="GD354">
        <v>0.49883751731891018</v>
      </c>
      <c r="GE354">
        <v>2.6154229140000504</v>
      </c>
      <c r="GF354">
        <v>8.5221116641240968</v>
      </c>
      <c r="GG354">
        <v>5.5106934639361205</v>
      </c>
      <c r="GH354">
        <v>4.6510858992399982</v>
      </c>
      <c r="GI354">
        <v>7.2011736467002461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38.776086708629805</v>
      </c>
      <c r="AO355">
        <v>10.777180302061794</v>
      </c>
      <c r="AP355">
        <v>108.26071128145108</v>
      </c>
      <c r="AQ355">
        <v>78.519207660960632</v>
      </c>
      <c r="AR355">
        <v>10.013909391493225</v>
      </c>
      <c r="AS355">
        <v>137.36774254937765</v>
      </c>
      <c r="AT355">
        <v>6.6956498303633838</v>
      </c>
      <c r="AU355">
        <v>21.789237462728121</v>
      </c>
      <c r="AV355"/>
      <c r="AW355"/>
      <c r="FY355" s="210">
        <v>350</v>
      </c>
      <c r="FZ355">
        <v>33.773332479056322</v>
      </c>
      <c r="GA355">
        <v>49.646573589691577</v>
      </c>
      <c r="GB355">
        <v>9.5120899354480528</v>
      </c>
      <c r="GC355">
        <v>2.4008923794316273</v>
      </c>
      <c r="GD355">
        <v>1.1030105618489432</v>
      </c>
      <c r="GE355">
        <v>4.1117079586910979E-3</v>
      </c>
      <c r="GF355">
        <v>5.358587633677236</v>
      </c>
      <c r="GG355">
        <v>5.1767512842956602</v>
      </c>
      <c r="GH355">
        <v>0.80768982191308281</v>
      </c>
      <c r="GI355">
        <v>9.3377028592816309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18.254530423280421</v>
      </c>
      <c r="AO356">
        <v>8.8049258405994486</v>
      </c>
      <c r="AP356">
        <v>88.453766754249941</v>
      </c>
      <c r="AQ356">
        <v>58.537725298440293</v>
      </c>
      <c r="AR356">
        <v>8.1165113793008707</v>
      </c>
      <c r="AS356">
        <v>110.27286082542486</v>
      </c>
      <c r="AT356" t="e">
        <v>#DIV/0!</v>
      </c>
      <c r="AU356" t="e">
        <v>#DIV/0!</v>
      </c>
      <c r="AV356"/>
      <c r="AW356"/>
      <c r="FY356" s="210">
        <v>351</v>
      </c>
      <c r="FZ356">
        <v>4.3418691603295496</v>
      </c>
      <c r="GA356">
        <v>20.995228851011547</v>
      </c>
      <c r="GB356">
        <v>10.788628025890798</v>
      </c>
      <c r="GC356">
        <v>1.9731206953937677</v>
      </c>
      <c r="GD356">
        <v>0.86299165453229598</v>
      </c>
      <c r="GE356">
        <v>1.5901701362337088</v>
      </c>
      <c r="GF356">
        <v>5.3731290993302547</v>
      </c>
      <c r="GG356">
        <v>3.7903401635168521</v>
      </c>
      <c r="GH356">
        <v>2.3830157366187406</v>
      </c>
      <c r="GI356">
        <v>5.4235488109044132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33.385896164021169</v>
      </c>
      <c r="AO357">
        <v>10.181765053838637</v>
      </c>
      <c r="AP357">
        <v>104.84379482391212</v>
      </c>
      <c r="AQ357">
        <v>76.974820923968196</v>
      </c>
      <c r="AR357">
        <v>9.6523880867735663</v>
      </c>
      <c r="AS357">
        <v>140.66832422029475</v>
      </c>
      <c r="AT357">
        <v>6.3135318761462393</v>
      </c>
      <c r="AU357">
        <v>34.297174922870219</v>
      </c>
      <c r="AV357"/>
      <c r="AW357"/>
      <c r="FY357" s="210">
        <v>352</v>
      </c>
      <c r="FZ357">
        <v>22.539482008659014</v>
      </c>
      <c r="GA357">
        <v>37.72968940464029</v>
      </c>
      <c r="GB357">
        <v>9.0029760951830582</v>
      </c>
      <c r="GC357">
        <v>2.7665723902165817</v>
      </c>
      <c r="GD357">
        <v>1.2356760736453911</v>
      </c>
      <c r="GE357">
        <v>0.28245867923368362</v>
      </c>
      <c r="GF357">
        <v>3.5193400754515958</v>
      </c>
      <c r="GG357">
        <v>4.2025425563261436</v>
      </c>
      <c r="GH357">
        <v>2.4945228811557567</v>
      </c>
      <c r="GI357">
        <v>7.4838645962127597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19.735760467980292</v>
      </c>
      <c r="AO358">
        <v>6.5134416855421566</v>
      </c>
      <c r="AP358">
        <v>65.593292901658089</v>
      </c>
      <c r="AQ358">
        <v>45.506727321509928</v>
      </c>
      <c r="AR358">
        <v>6.2526860976161718</v>
      </c>
      <c r="AS358">
        <v>81.015451159234985</v>
      </c>
      <c r="AT358">
        <v>4.1898842494827457</v>
      </c>
      <c r="AU358">
        <v>0.89167947032983896</v>
      </c>
      <c r="AV358"/>
      <c r="AW358"/>
      <c r="FY358" s="210">
        <v>353</v>
      </c>
      <c r="FZ358">
        <v>10.441775692755122</v>
      </c>
      <c r="GA358">
        <v>35.538632740083827</v>
      </c>
      <c r="GB358">
        <v>14.157629196168164</v>
      </c>
      <c r="GC358">
        <v>2.2591828686914992</v>
      </c>
      <c r="GD358">
        <v>0.78362436591458318</v>
      </c>
      <c r="GE358">
        <v>1.4499687236065399</v>
      </c>
      <c r="GF358">
        <v>3.9255137245927298</v>
      </c>
      <c r="GG358">
        <v>2.5698959161226771</v>
      </c>
      <c r="GH358">
        <v>3.1907055585318234</v>
      </c>
      <c r="GI358">
        <v>6.9305575095590619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16.559523809523807</v>
      </c>
      <c r="AO359">
        <v>5.8632481760764836</v>
      </c>
      <c r="AP359">
        <v>54.134612083305953</v>
      </c>
      <c r="AQ359">
        <v>37.632976364598733</v>
      </c>
      <c r="AR359">
        <v>5.3112414013357077</v>
      </c>
      <c r="AS359">
        <v>66.2443851359468</v>
      </c>
      <c r="AT359">
        <v>3.7972978580552446</v>
      </c>
      <c r="AU359">
        <v>5.9788732476655628</v>
      </c>
      <c r="AV359"/>
      <c r="AW359"/>
      <c r="FY359" s="210">
        <v>354</v>
      </c>
      <c r="FZ359">
        <v>14.383538338250942</v>
      </c>
      <c r="GA359">
        <v>37.858334051557478</v>
      </c>
      <c r="GB359">
        <v>13.459840281776287</v>
      </c>
      <c r="GC359">
        <v>1.982110551419543</v>
      </c>
      <c r="GD359">
        <v>0.73223918426385504</v>
      </c>
      <c r="GE359">
        <v>1.3077114570000252</v>
      </c>
      <c r="GF359">
        <v>2.3534685699763243</v>
      </c>
      <c r="GG359">
        <v>1.8842359632345453</v>
      </c>
      <c r="GH359">
        <v>3.0188817336412632</v>
      </c>
      <c r="GI359">
        <v>6.999274929725865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19.544097222222224</v>
      </c>
      <c r="AO360">
        <v>7.7638544106910361</v>
      </c>
      <c r="AP360">
        <v>76.333462050315475</v>
      </c>
      <c r="AQ360">
        <v>52.424010246009601</v>
      </c>
      <c r="AR360">
        <v>7.6038084276143003</v>
      </c>
      <c r="AS360">
        <v>90.901288642916413</v>
      </c>
      <c r="AT360" t="e">
        <v>#DIV/0!</v>
      </c>
      <c r="AU360" t="e">
        <v>#DIV/0!</v>
      </c>
      <c r="AV360"/>
      <c r="AW360"/>
      <c r="FY360" s="210">
        <v>355</v>
      </c>
      <c r="FZ360">
        <v>13.364502043902412</v>
      </c>
      <c r="GA360">
        <v>31.027890602324131</v>
      </c>
      <c r="GB360">
        <v>11.573135456532922</v>
      </c>
      <c r="GC360">
        <v>2.2422125322058064</v>
      </c>
      <c r="GD360">
        <v>0.73641674286358438</v>
      </c>
      <c r="GE360">
        <v>0.14225726660651461</v>
      </c>
      <c r="GF360">
        <v>5.9026416509876922</v>
      </c>
      <c r="GG360">
        <v>5.5374683022846645</v>
      </c>
      <c r="GH360">
        <v>1.1624742067571674</v>
      </c>
      <c r="GI360">
        <v>6.8258391698045786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62.898246214194501</v>
      </c>
      <c r="AO361">
        <v>16.315366599427502</v>
      </c>
      <c r="AP361">
        <v>176.33127935213966</v>
      </c>
      <c r="AQ361">
        <v>133.63822185150732</v>
      </c>
      <c r="AR361">
        <v>15.471007180176397</v>
      </c>
      <c r="AS361">
        <v>214.15282480142989</v>
      </c>
      <c r="AT361" t="e">
        <v>#DIV/0!</v>
      </c>
      <c r="AU361" t="e">
        <v>#DIV/0!</v>
      </c>
      <c r="AV361"/>
      <c r="AW361"/>
      <c r="FY361" s="210">
        <v>356</v>
      </c>
      <c r="FZ361">
        <v>13.03500930888047</v>
      </c>
      <c r="GA361">
        <v>34.035191441665098</v>
      </c>
      <c r="GB361">
        <v>13.808046137729047</v>
      </c>
      <c r="GC361">
        <v>2.6667399255235096</v>
      </c>
      <c r="GD361">
        <v>0.71258981019043532</v>
      </c>
      <c r="GE361">
        <v>2.7576801806065649</v>
      </c>
      <c r="GF361">
        <v>6.4314041283913932</v>
      </c>
      <c r="GG361">
        <v>3.712037508473673</v>
      </c>
      <c r="GH361">
        <v>2.4376446302626795</v>
      </c>
      <c r="GI361">
        <v>7.6641453482229096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33.442821793468347</v>
      </c>
      <c r="AO362">
        <v>7.716987678739299</v>
      </c>
      <c r="AP362">
        <v>79.882162003470782</v>
      </c>
      <c r="AQ362">
        <v>58.617193248971169</v>
      </c>
      <c r="AR362">
        <v>7.546947780686204</v>
      </c>
      <c r="AS362">
        <v>118.92005479111889</v>
      </c>
      <c r="AT362" t="e">
        <v>#DIV/0!</v>
      </c>
      <c r="AU362" t="e">
        <v>#DIV/0!</v>
      </c>
      <c r="AV362"/>
      <c r="AW362"/>
      <c r="FY362" s="210">
        <v>357</v>
      </c>
      <c r="FZ362">
        <v>6.1134041298967281</v>
      </c>
      <c r="GA362">
        <v>20.164389640924142</v>
      </c>
      <c r="GB362">
        <v>11.484308025061125</v>
      </c>
      <c r="GC362">
        <v>2.2006978568201867</v>
      </c>
      <c r="GD362">
        <v>0.59170090753380022</v>
      </c>
      <c r="GE362">
        <v>1.5881142822543635</v>
      </c>
      <c r="GF362">
        <v>3.2030062460986191</v>
      </c>
      <c r="GG362">
        <v>1.767383713242062</v>
      </c>
      <c r="GH362">
        <v>2.2680701626212576</v>
      </c>
      <c r="GI362">
        <v>5.1951552394406342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25.494756317277869</v>
      </c>
      <c r="AO363">
        <v>11.560048636833519</v>
      </c>
      <c r="AP363">
        <v>119.42550820231229</v>
      </c>
      <c r="AQ363">
        <v>79.561365658702826</v>
      </c>
      <c r="AR363">
        <v>10.952493307508318</v>
      </c>
      <c r="AS363">
        <v>138.08581875968505</v>
      </c>
      <c r="AT363">
        <v>7.1246709134478285</v>
      </c>
      <c r="AU363">
        <v>-7.024315745100111</v>
      </c>
      <c r="AV363"/>
      <c r="AW363"/>
      <c r="FY363" s="210">
        <v>358</v>
      </c>
      <c r="FZ363">
        <v>1.7174161804009134</v>
      </c>
      <c r="GA363">
        <v>15.069929598357692</v>
      </c>
      <c r="GB363">
        <v>8.6907870203034605</v>
      </c>
      <c r="GC363">
        <v>1.6436497108568986</v>
      </c>
      <c r="GD363">
        <v>0.6357952541983547</v>
      </c>
      <c r="GE363">
        <v>0.14225726660651461</v>
      </c>
      <c r="GF363">
        <v>5.135759701280791</v>
      </c>
      <c r="GG363">
        <v>4.9815963792599982</v>
      </c>
      <c r="GH363">
        <v>0.80768982191308281</v>
      </c>
      <c r="GI363">
        <v>4.0946451287826831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45.61195436507937</v>
      </c>
      <c r="AO364">
        <v>10.764112582271393</v>
      </c>
      <c r="AP364">
        <v>116.45334215723992</v>
      </c>
      <c r="AQ364">
        <v>89.900619400026102</v>
      </c>
      <c r="AR364">
        <v>10.268246315847744</v>
      </c>
      <c r="AS364">
        <v>141.50455077775962</v>
      </c>
      <c r="AT364" t="e">
        <v>#DIV/0!</v>
      </c>
      <c r="AU364" t="e">
        <v>#DIV/0!</v>
      </c>
      <c r="AV364"/>
      <c r="AW364"/>
      <c r="FY364" s="210">
        <v>359</v>
      </c>
      <c r="FZ364">
        <v>4.5123263328911403</v>
      </c>
      <c r="GA364">
        <v>39.309551720523814</v>
      </c>
      <c r="GB364">
        <v>19.575934617051946</v>
      </c>
      <c r="GC364">
        <v>1.7721485823208774</v>
      </c>
      <c r="GD364">
        <v>0.68755108668837117</v>
      </c>
      <c r="GE364">
        <v>2.6154229140000504</v>
      </c>
      <c r="GF364">
        <v>6.4314041283913932</v>
      </c>
      <c r="GG364">
        <v>2.7824884418988125</v>
      </c>
      <c r="GH364">
        <v>1.1055959558640902</v>
      </c>
      <c r="GI364">
        <v>7.6695737792830263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33.858679415252695</v>
      </c>
      <c r="AO365">
        <v>10.960590735755014</v>
      </c>
      <c r="AP365">
        <v>113.40599032094653</v>
      </c>
      <c r="AQ365">
        <v>81.861285711903392</v>
      </c>
      <c r="AR365">
        <v>10.358299771149902</v>
      </c>
      <c r="AS365">
        <v>144.62323055444426</v>
      </c>
      <c r="AT365" t="e">
        <v>#DIV/0!</v>
      </c>
      <c r="AU365" t="e">
        <v>#DIV/0!</v>
      </c>
      <c r="AV365"/>
      <c r="AW365"/>
      <c r="FY365" s="210">
        <v>360</v>
      </c>
      <c r="FZ365">
        <v>6.9993088289564822</v>
      </c>
      <c r="GA365">
        <v>21.874400799343235</v>
      </c>
      <c r="GB365">
        <v>10.481897280667884</v>
      </c>
      <c r="GC365">
        <v>1.8087705492306143</v>
      </c>
      <c r="GD365">
        <v>0.5389609371972558</v>
      </c>
      <c r="GE365">
        <v>0.14225726660651461</v>
      </c>
      <c r="GF365">
        <v>0.49967954609766535</v>
      </c>
      <c r="GG365">
        <v>1.1968722145181405</v>
      </c>
      <c r="GH365">
        <v>2.2680701626212576</v>
      </c>
      <c r="GI365">
        <v>4.5325225347682494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67.149667031563581</v>
      </c>
      <c r="AO366">
        <v>13.78912897542765</v>
      </c>
      <c r="AP366">
        <v>147.47957150008364</v>
      </c>
      <c r="AQ366">
        <v>117.12074225260282</v>
      </c>
      <c r="AR366">
        <v>13.349291225739018</v>
      </c>
      <c r="AS366">
        <v>199.5784889419607</v>
      </c>
      <c r="AT366" t="e">
        <v>#DIV/0!</v>
      </c>
      <c r="AU366" t="e">
        <v>#DIV/0!</v>
      </c>
      <c r="AV366"/>
      <c r="AW366"/>
      <c r="FY366" s="210">
        <v>361</v>
      </c>
      <c r="FZ366">
        <v>2.2486015195446165</v>
      </c>
      <c r="GA366">
        <v>14.33679516327695</v>
      </c>
      <c r="GB366">
        <v>7.5905671998109412</v>
      </c>
      <c r="GC366">
        <v>1.1753996675783287</v>
      </c>
      <c r="GD366">
        <v>0.58721147350526937</v>
      </c>
      <c r="GE366">
        <v>1.5881142822543635</v>
      </c>
      <c r="GF366">
        <v>4.2467398095067397</v>
      </c>
      <c r="GG366">
        <v>2.315960187353669</v>
      </c>
      <c r="GH366">
        <v>2.892799424580816</v>
      </c>
      <c r="GI366">
        <v>3.9310432315856123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24.244410235358512</v>
      </c>
      <c r="AO367">
        <v>8.2445351856561153</v>
      </c>
      <c r="AP367">
        <v>82.781932570734128</v>
      </c>
      <c r="AQ367">
        <v>57.522042333761931</v>
      </c>
      <c r="AR367">
        <v>7.8570904389929908</v>
      </c>
      <c r="AS367">
        <v>85.292424931765723</v>
      </c>
      <c r="AT367">
        <v>5.2214976033031286</v>
      </c>
      <c r="AU367">
        <v>5.2195117440590462</v>
      </c>
      <c r="AV367"/>
      <c r="AW367"/>
      <c r="FY367" s="210">
        <v>362</v>
      </c>
      <c r="FZ367">
        <v>3.8514356239137619</v>
      </c>
      <c r="GA367">
        <v>14.675148995671156</v>
      </c>
      <c r="GB367">
        <v>7.5038113874140961</v>
      </c>
      <c r="GC367">
        <v>1.2366837034883376</v>
      </c>
      <c r="GD367">
        <v>0.40924108347628774</v>
      </c>
      <c r="GE367">
        <v>1.4479128696271943</v>
      </c>
      <c r="GF367">
        <v>6.1686430941477743</v>
      </c>
      <c r="GG367">
        <v>3.7964745756524119</v>
      </c>
      <c r="GH367">
        <v>1.2774197807546503</v>
      </c>
      <c r="GI367">
        <v>4.2741480223484505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52.41929449461778</v>
      </c>
      <c r="AO368">
        <v>11.229920684587297</v>
      </c>
      <c r="AP368">
        <v>115.88980550385627</v>
      </c>
      <c r="AQ368">
        <v>91.257124760724267</v>
      </c>
      <c r="AR368">
        <v>10.72409536187627</v>
      </c>
      <c r="AS368">
        <v>174.84270277836214</v>
      </c>
      <c r="AT368" t="e">
        <v>#DIV/0!</v>
      </c>
      <c r="AU368" t="e">
        <v>#DIV/0!</v>
      </c>
      <c r="AV368"/>
      <c r="AW368"/>
      <c r="FY368" s="210">
        <v>363</v>
      </c>
      <c r="FZ368">
        <v>21.831774940119999</v>
      </c>
      <c r="GA368">
        <v>38.695405668568327</v>
      </c>
      <c r="GB368">
        <v>9.0817765002363284</v>
      </c>
      <c r="GC368">
        <v>1.6744809901889925</v>
      </c>
      <c r="GD368">
        <v>0.79496576929274432</v>
      </c>
      <c r="GE368">
        <v>0.14020141262716906</v>
      </c>
      <c r="GF368">
        <v>3.6881443265432665</v>
      </c>
      <c r="GG368">
        <v>5.4502331900647087</v>
      </c>
      <c r="GH368">
        <v>2.8905500673316777</v>
      </c>
      <c r="GI368">
        <v>7.3004645501345529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35.726521164021165</v>
      </c>
      <c r="AO369">
        <v>10.546890888613483</v>
      </c>
      <c r="AP369">
        <v>111.29195585084337</v>
      </c>
      <c r="AQ369">
        <v>81.247486296026025</v>
      </c>
      <c r="AR369">
        <v>9.9119145555304797</v>
      </c>
      <c r="AS369">
        <v>142.11789386519578</v>
      </c>
      <c r="AT369">
        <v>6.4941175094003443</v>
      </c>
      <c r="AU369">
        <v>19.800398856307375</v>
      </c>
      <c r="AV369"/>
      <c r="AW369"/>
      <c r="FY369" s="210">
        <v>364</v>
      </c>
      <c r="FZ369">
        <v>29.296107611990436</v>
      </c>
      <c r="GA369">
        <v>43.598114880733796</v>
      </c>
      <c r="GB369">
        <v>6.8243668011483791</v>
      </c>
      <c r="GC369">
        <v>2.1759777697802698</v>
      </c>
      <c r="GD369">
        <v>0.98477969655991293</v>
      </c>
      <c r="GE369">
        <v>1.4479128696271943</v>
      </c>
      <c r="GF369">
        <v>6.1940347303419303</v>
      </c>
      <c r="GG369">
        <v>6.2523406325140307</v>
      </c>
      <c r="GH369">
        <v>4.9356059408789035</v>
      </c>
      <c r="GI369">
        <v>8.7672877051204008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37.681199256522532</v>
      </c>
      <c r="AO370">
        <v>10.678527031767803</v>
      </c>
      <c r="AP370">
        <v>114.38317264385726</v>
      </c>
      <c r="AQ370">
        <v>83.979635060846149</v>
      </c>
      <c r="AR370">
        <v>10.07592774749298</v>
      </c>
      <c r="AS370">
        <v>165.86336887523615</v>
      </c>
      <c r="AT370" t="e">
        <v>#DIV/0!</v>
      </c>
      <c r="AU370" t="e">
        <v>#DIV/0!</v>
      </c>
      <c r="AV370"/>
      <c r="AW370"/>
      <c r="FY370" s="210">
        <v>365</v>
      </c>
      <c r="FZ370">
        <v>15.325954036074526</v>
      </c>
      <c r="GA370">
        <v>33.034997876153234</v>
      </c>
      <c r="GB370">
        <v>12.365293295431869</v>
      </c>
      <c r="GC370">
        <v>2.299650337416582</v>
      </c>
      <c r="GD370">
        <v>0.5395014809580676</v>
      </c>
      <c r="GE370">
        <v>0.14020141262716906</v>
      </c>
      <c r="GF370">
        <v>1.7948730870128506</v>
      </c>
      <c r="GG370">
        <v>2.3998788411718408</v>
      </c>
      <c r="GH370">
        <v>1.8017786332401569</v>
      </c>
      <c r="GI370">
        <v>6.4021564245843994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33.499917328042329</v>
      </c>
      <c r="AO371">
        <v>10.285153571253456</v>
      </c>
      <c r="AP371">
        <v>108.39854604979868</v>
      </c>
      <c r="AQ371">
        <v>78.514837974269469</v>
      </c>
      <c r="AR371">
        <v>9.9447643173712112</v>
      </c>
      <c r="AS371">
        <v>131.06164090991982</v>
      </c>
      <c r="AT371" t="e">
        <v>#DIV/0!</v>
      </c>
      <c r="AU371" t="e">
        <v>#DIV/0!</v>
      </c>
      <c r="AV371"/>
      <c r="AW371"/>
      <c r="FY371" s="210">
        <v>366</v>
      </c>
      <c r="FZ371">
        <v>23.922372210897322</v>
      </c>
      <c r="GA371">
        <v>48.258555529107817</v>
      </c>
      <c r="GB371">
        <v>13.695169078866629</v>
      </c>
      <c r="GC371">
        <v>2.4511058123773126</v>
      </c>
      <c r="GD371">
        <v>1.0050618202898627</v>
      </c>
      <c r="GE371">
        <v>2.0558539793455489E-3</v>
      </c>
      <c r="GF371">
        <v>1.7948730870128506</v>
      </c>
      <c r="GG371">
        <v>2.5698959161226771</v>
      </c>
      <c r="GH371">
        <v>3.1907055585318234</v>
      </c>
      <c r="GI371">
        <v>8.6410689039907407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1.2306894681605939E-3</v>
      </c>
      <c r="H372" s="59">
        <f t="shared" ref="H372:AK372" si="357">+H36</f>
        <v>7.3997000000000004E-3</v>
      </c>
      <c r="I372" s="59">
        <f t="shared" si="357"/>
        <v>4.4491775956966982E-2</v>
      </c>
      <c r="J372" s="59">
        <f t="shared" si="357"/>
        <v>0.12705855737942889</v>
      </c>
      <c r="K372" s="59">
        <f t="shared" si="357"/>
        <v>0.26751329483694541</v>
      </c>
      <c r="L372" s="59">
        <f t="shared" si="357"/>
        <v>0.47659390506970939</v>
      </c>
      <c r="M372" s="59">
        <f t="shared" si="357"/>
        <v>0.76395811564536187</v>
      </c>
      <c r="N372" s="59">
        <f t="shared" si="357"/>
        <v>1.1384863825958209</v>
      </c>
      <c r="O372" s="59">
        <f t="shared" si="357"/>
        <v>1.6084627186771661</v>
      </c>
      <c r="P372" s="59">
        <f t="shared" si="357"/>
        <v>2.1816934474832261</v>
      </c>
      <c r="Q372" s="59">
        <f t="shared" si="357"/>
        <v>2.8655903951264921</v>
      </c>
      <c r="R372" s="59">
        <f t="shared" si="357"/>
        <v>3.6672319699440723</v>
      </c>
      <c r="S372" s="59">
        <f t="shared" si="357"/>
        <v>4.5934096411746577</v>
      </c>
      <c r="T372" s="59">
        <f t="shared" si="357"/>
        <v>5.6506643198222486</v>
      </c>
      <c r="U372" s="59">
        <f t="shared" si="357"/>
        <v>6.8453154944809951</v>
      </c>
      <c r="V372" s="59">
        <f t="shared" si="357"/>
        <v>8.1834850107417534</v>
      </c>
      <c r="W372" s="59">
        <f t="shared" si="357"/>
        <v>9.6711167904804913</v>
      </c>
      <c r="X372" s="59">
        <f t="shared" si="357"/>
        <v>11.313993408037629</v>
      </c>
      <c r="Y372" s="59">
        <f t="shared" si="357"/>
        <v>13.117750188819354</v>
      </c>
      <c r="Z372" s="59">
        <f t="shared" si="357"/>
        <v>15.087887324101303</v>
      </c>
      <c r="AA372" s="59">
        <f t="shared" si="357"/>
        <v>17.229780375475261</v>
      </c>
      <c r="AB372" s="59">
        <f t="shared" si="357"/>
        <v>19.548689456160336</v>
      </c>
      <c r="AC372" s="59">
        <f t="shared" si="357"/>
        <v>22.049767313401674</v>
      </c>
      <c r="AD372" s="59">
        <f t="shared" si="357"/>
        <v>24.738066489339104</v>
      </c>
      <c r="AE372" s="59">
        <f t="shared" si="357"/>
        <v>27.61854570235483</v>
      </c>
      <c r="AF372" s="59">
        <f t="shared" si="357"/>
        <v>30.696075563819505</v>
      </c>
      <c r="AG372" s="59">
        <f t="shared" si="357"/>
        <v>33.975443724145379</v>
      </c>
      <c r="AH372" s="59">
        <f t="shared" si="357"/>
        <v>37.461359525571552</v>
      </c>
      <c r="AI372" s="59">
        <f t="shared" si="357"/>
        <v>41.15845822603665</v>
      </c>
      <c r="AJ372" s="59">
        <f t="shared" si="357"/>
        <v>45.071304848034394</v>
      </c>
      <c r="AK372" s="59">
        <f t="shared" si="357"/>
        <v>49.204397697895814</v>
      </c>
      <c r="AL372" s="78"/>
      <c r="AM372" s="43">
        <v>356</v>
      </c>
      <c r="AN372">
        <v>35.948677248677242</v>
      </c>
      <c r="AO372">
        <v>11.893361394619339</v>
      </c>
      <c r="AP372">
        <v>121.67668118840983</v>
      </c>
      <c r="AQ372">
        <v>87.260488419945773</v>
      </c>
      <c r="AR372">
        <v>11.036508168763412</v>
      </c>
      <c r="AS372">
        <v>140.69721033207495</v>
      </c>
      <c r="AT372" t="e">
        <v>#DIV/0!</v>
      </c>
      <c r="AU372" t="e">
        <v>#DIV/0!</v>
      </c>
      <c r="AV372"/>
      <c r="AW372"/>
      <c r="FY372" s="210">
        <v>367</v>
      </c>
      <c r="FZ372">
        <v>14.930993062089813</v>
      </c>
      <c r="GA372">
        <v>33.420388418800187</v>
      </c>
      <c r="GB372">
        <v>12.47599674728351</v>
      </c>
      <c r="GC372">
        <v>2.1102047796413115</v>
      </c>
      <c r="GD372">
        <v>0.96059815498276468</v>
      </c>
      <c r="GE372">
        <v>0.56080565050867626</v>
      </c>
      <c r="GF372">
        <v>2.8386066504209717</v>
      </c>
      <c r="GG372">
        <v>3.3679531570057977</v>
      </c>
      <c r="GH372">
        <v>3.1941439879922906</v>
      </c>
      <c r="GI372">
        <v>7.0044587784202443</v>
      </c>
      <c r="GJ372"/>
      <c r="GK372"/>
      <c r="GL372"/>
      <c r="GM372"/>
    </row>
    <row r="373" spans="1:195" s="7" customFormat="1">
      <c r="A373" s="95"/>
      <c r="B373" s="71">
        <f t="shared" ref="B373:B378" si="358">+C4</f>
        <v>39646</v>
      </c>
      <c r="C373" s="18">
        <f t="shared" ref="C373:C382" si="359">+D70</f>
        <v>40.625</v>
      </c>
      <c r="D373" s="18">
        <f t="shared" ref="D373:D382" si="360">SUM(G373:AK373)</f>
        <v>8.1827870558653757</v>
      </c>
      <c r="E373" s="19">
        <f t="shared" ref="E373:E382" si="361">IF(C373&lt;1, 0.000001, D373/C373)</f>
        <v>0.20142245060591693</v>
      </c>
      <c r="F373" s="19"/>
      <c r="G373" s="18">
        <f>AVERAGE(E228:E237)*G$372</f>
        <v>0</v>
      </c>
      <c r="H373" s="18">
        <f t="shared" ref="H373:AK373" si="362">AVERAGE(F228:F237)*H$372</f>
        <v>0</v>
      </c>
      <c r="I373" s="18">
        <f t="shared" si="362"/>
        <v>0.18538239982069574</v>
      </c>
      <c r="J373" s="18">
        <f t="shared" si="362"/>
        <v>1.5882319672428611</v>
      </c>
      <c r="K373" s="18">
        <f t="shared" si="362"/>
        <v>6.4091726888018181</v>
      </c>
      <c r="L373" s="18">
        <f t="shared" si="362"/>
        <v>0</v>
      </c>
      <c r="M373" s="18">
        <f t="shared" si="362"/>
        <v>0</v>
      </c>
      <c r="N373" s="18">
        <f t="shared" si="362"/>
        <v>0</v>
      </c>
      <c r="O373" s="18">
        <f t="shared" si="362"/>
        <v>0</v>
      </c>
      <c r="P373" s="18">
        <f t="shared" si="362"/>
        <v>0</v>
      </c>
      <c r="Q373" s="18">
        <f t="shared" si="362"/>
        <v>0</v>
      </c>
      <c r="R373" s="18">
        <f t="shared" si="362"/>
        <v>0</v>
      </c>
      <c r="S373" s="18">
        <f t="shared" si="362"/>
        <v>0</v>
      </c>
      <c r="T373" s="18">
        <f t="shared" si="362"/>
        <v>0</v>
      </c>
      <c r="U373" s="18">
        <f t="shared" si="362"/>
        <v>0</v>
      </c>
      <c r="V373" s="18">
        <f t="shared" si="362"/>
        <v>0</v>
      </c>
      <c r="W373" s="18">
        <f t="shared" si="362"/>
        <v>0</v>
      </c>
      <c r="X373" s="18">
        <f t="shared" si="362"/>
        <v>0</v>
      </c>
      <c r="Y373" s="18">
        <f t="shared" si="362"/>
        <v>0</v>
      </c>
      <c r="Z373" s="18">
        <f t="shared" si="362"/>
        <v>0</v>
      </c>
      <c r="AA373" s="18">
        <f t="shared" si="362"/>
        <v>0</v>
      </c>
      <c r="AB373" s="18">
        <f t="shared" si="362"/>
        <v>0</v>
      </c>
      <c r="AC373" s="18">
        <f t="shared" si="362"/>
        <v>0</v>
      </c>
      <c r="AD373" s="18">
        <f t="shared" si="362"/>
        <v>0</v>
      </c>
      <c r="AE373" s="18">
        <f t="shared" si="362"/>
        <v>0</v>
      </c>
      <c r="AF373" s="18">
        <f t="shared" si="362"/>
        <v>0</v>
      </c>
      <c r="AG373" s="18">
        <f t="shared" si="362"/>
        <v>0</v>
      </c>
      <c r="AH373" s="18">
        <f t="shared" si="362"/>
        <v>0</v>
      </c>
      <c r="AI373" s="18">
        <f t="shared" si="362"/>
        <v>0</v>
      </c>
      <c r="AJ373" s="18">
        <f t="shared" si="362"/>
        <v>0</v>
      </c>
      <c r="AK373" s="18">
        <f t="shared" si="362"/>
        <v>0</v>
      </c>
      <c r="AL373" s="78"/>
      <c r="AM373" s="43">
        <v>357</v>
      </c>
      <c r="AN373">
        <v>22.510813492063491</v>
      </c>
      <c r="AO373">
        <v>7.6085285813170405</v>
      </c>
      <c r="AP373">
        <v>76.395272400500687</v>
      </c>
      <c r="AQ373">
        <v>54.576230203892919</v>
      </c>
      <c r="AR373">
        <v>7.4024837936107604</v>
      </c>
      <c r="AS373">
        <v>103.13934199761802</v>
      </c>
      <c r="AT373">
        <v>5.1646976803102493</v>
      </c>
      <c r="AU373">
        <v>2.5579433198184072</v>
      </c>
      <c r="AV373"/>
      <c r="AW373"/>
      <c r="FY373" s="210">
        <v>368</v>
      </c>
      <c r="FZ373">
        <v>23.147400474356232</v>
      </c>
      <c r="GA373">
        <v>37.46910762650257</v>
      </c>
      <c r="GB373">
        <v>7.9592492997991346</v>
      </c>
      <c r="GC373">
        <v>1.595836795370871</v>
      </c>
      <c r="GD373">
        <v>0.99345783486265582</v>
      </c>
      <c r="GE373">
        <v>0.28245867923368362</v>
      </c>
      <c r="GF373">
        <v>5.6640712924890746</v>
      </c>
      <c r="GG373">
        <v>6.218245999562221</v>
      </c>
      <c r="GH373">
        <v>2.7244140291507226</v>
      </c>
      <c r="GI373">
        <v>7.689021163800148</v>
      </c>
      <c r="GJ373"/>
      <c r="GK373"/>
      <c r="GL373"/>
      <c r="GM373"/>
    </row>
    <row r="374" spans="1:195" s="7" customFormat="1">
      <c r="A374" s="95"/>
      <c r="B374" s="71">
        <f t="shared" si="358"/>
        <v>39673</v>
      </c>
      <c r="C374" s="18">
        <f t="shared" si="359"/>
        <v>239.4047619047619</v>
      </c>
      <c r="D374" s="18">
        <f t="shared" si="360"/>
        <v>41.162756174506264</v>
      </c>
      <c r="E374" s="19">
        <f t="shared" si="361"/>
        <v>0.17193791738729619</v>
      </c>
      <c r="F374" s="19">
        <f>IF(F388&lt;0,0,F388)</f>
        <v>0</v>
      </c>
      <c r="G374" s="18">
        <f>AVERAGE(E238:E247)*G$372</f>
        <v>0</v>
      </c>
      <c r="H374" s="18">
        <f t="shared" ref="H374:AK374" si="363">AVERAGE(F238:F247)*H$372</f>
        <v>0.2202291666666667</v>
      </c>
      <c r="I374" s="18">
        <f t="shared" si="363"/>
        <v>2.982008317115763</v>
      </c>
      <c r="J374" s="18">
        <f t="shared" si="363"/>
        <v>4.7344438642572904</v>
      </c>
      <c r="K374" s="18">
        <f t="shared" si="363"/>
        <v>22.499778905035946</v>
      </c>
      <c r="L374" s="18">
        <f t="shared" si="363"/>
        <v>9.1347165138360946</v>
      </c>
      <c r="M374" s="18">
        <f t="shared" si="363"/>
        <v>1.5915794075945036</v>
      </c>
      <c r="N374" s="18">
        <f t="shared" si="363"/>
        <v>0</v>
      </c>
      <c r="O374" s="18">
        <f t="shared" si="363"/>
        <v>0</v>
      </c>
      <c r="P374" s="18">
        <f t="shared" si="363"/>
        <v>0</v>
      </c>
      <c r="Q374" s="18">
        <f t="shared" si="363"/>
        <v>0</v>
      </c>
      <c r="R374" s="18">
        <f t="shared" si="363"/>
        <v>0</v>
      </c>
      <c r="S374" s="18">
        <f t="shared" si="363"/>
        <v>0</v>
      </c>
      <c r="T374" s="18">
        <f t="shared" si="363"/>
        <v>0</v>
      </c>
      <c r="U374" s="18">
        <f t="shared" si="363"/>
        <v>0</v>
      </c>
      <c r="V374" s="18">
        <f t="shared" si="363"/>
        <v>0</v>
      </c>
      <c r="W374" s="18">
        <f t="shared" si="363"/>
        <v>0</v>
      </c>
      <c r="X374" s="18">
        <f t="shared" si="363"/>
        <v>0</v>
      </c>
      <c r="Y374" s="18">
        <f t="shared" si="363"/>
        <v>0</v>
      </c>
      <c r="Z374" s="18">
        <f t="shared" si="363"/>
        <v>0</v>
      </c>
      <c r="AA374" s="18">
        <f t="shared" si="363"/>
        <v>0</v>
      </c>
      <c r="AB374" s="18">
        <f t="shared" si="363"/>
        <v>0</v>
      </c>
      <c r="AC374" s="18">
        <f t="shared" si="363"/>
        <v>0</v>
      </c>
      <c r="AD374" s="18">
        <f t="shared" si="363"/>
        <v>0</v>
      </c>
      <c r="AE374" s="18">
        <f t="shared" si="363"/>
        <v>0</v>
      </c>
      <c r="AF374" s="18">
        <f t="shared" si="363"/>
        <v>0</v>
      </c>
      <c r="AG374" s="18">
        <f t="shared" si="363"/>
        <v>0</v>
      </c>
      <c r="AH374" s="18">
        <f t="shared" si="363"/>
        <v>0</v>
      </c>
      <c r="AI374" s="18">
        <f t="shared" si="363"/>
        <v>0</v>
      </c>
      <c r="AJ374" s="18">
        <f t="shared" si="363"/>
        <v>0</v>
      </c>
      <c r="AK374" s="18">
        <f t="shared" si="363"/>
        <v>0</v>
      </c>
      <c r="AL374" s="78"/>
      <c r="AM374" s="43">
        <v>358</v>
      </c>
      <c r="AN374">
        <v>17.481561872833428</v>
      </c>
      <c r="AO374">
        <v>6.34237253964079</v>
      </c>
      <c r="AP374">
        <v>64.611300835705165</v>
      </c>
      <c r="AQ374">
        <v>42.919526061960383</v>
      </c>
      <c r="AR374">
        <v>6.0785281356214877</v>
      </c>
      <c r="AS374">
        <v>71.671095943756583</v>
      </c>
      <c r="AT374" t="e">
        <v>#DIV/0!</v>
      </c>
      <c r="AU374" t="e">
        <v>#DIV/0!</v>
      </c>
      <c r="AV374"/>
      <c r="AW374"/>
      <c r="FY374" s="210">
        <v>369</v>
      </c>
      <c r="FZ374">
        <v>39.230437303351252</v>
      </c>
      <c r="GA374">
        <v>62.753617582156863</v>
      </c>
      <c r="GB374">
        <v>10.791150001116108</v>
      </c>
      <c r="GC374">
        <v>2.4618692068430823</v>
      </c>
      <c r="GD374">
        <v>1.0255992251998127</v>
      </c>
      <c r="GE374">
        <v>4.2055930502337597</v>
      </c>
      <c r="GF374">
        <v>9.803214625581683</v>
      </c>
      <c r="GG374">
        <v>3.5189668140073693</v>
      </c>
      <c r="GH374">
        <v>1.1490881144450649</v>
      </c>
      <c r="GI374">
        <v>11.440703002446275</v>
      </c>
      <c r="GJ374"/>
      <c r="GK374"/>
      <c r="GL374"/>
      <c r="GM374"/>
    </row>
    <row r="375" spans="1:195" s="7" customFormat="1">
      <c r="A375" s="95"/>
      <c r="B375" s="71">
        <f t="shared" si="358"/>
        <v>39714</v>
      </c>
      <c r="C375" s="18">
        <f t="shared" si="359"/>
        <v>43.75</v>
      </c>
      <c r="D375" s="18">
        <f t="shared" si="360"/>
        <v>31.673615468610258</v>
      </c>
      <c r="E375" s="19">
        <f t="shared" si="361"/>
        <v>0.72396835356823452</v>
      </c>
      <c r="F375" s="19">
        <f>IF(F389&lt;0,0,F389)</f>
        <v>3.5063761333048588E-2</v>
      </c>
      <c r="G375" s="18">
        <f>AVERAGE(E248:E257)*G$372</f>
        <v>0</v>
      </c>
      <c r="H375" s="18">
        <f t="shared" ref="H375:AK375" si="364">AVERAGE(F248:F257)*H$372</f>
        <v>0</v>
      </c>
      <c r="I375" s="18">
        <f t="shared" si="364"/>
        <v>0</v>
      </c>
      <c r="J375" s="18">
        <f t="shared" si="364"/>
        <v>1.323526639369051</v>
      </c>
      <c r="K375" s="18">
        <f t="shared" si="364"/>
        <v>1.9506177748527271</v>
      </c>
      <c r="L375" s="18">
        <f t="shared" si="364"/>
        <v>5.9574238133713671</v>
      </c>
      <c r="M375" s="18">
        <f t="shared" si="364"/>
        <v>0</v>
      </c>
      <c r="N375" s="18">
        <f t="shared" si="364"/>
        <v>4.7436932608159195</v>
      </c>
      <c r="O375" s="18">
        <f t="shared" si="364"/>
        <v>11.728373990354335</v>
      </c>
      <c r="P375" s="18">
        <f t="shared" si="364"/>
        <v>0</v>
      </c>
      <c r="Q375" s="18">
        <f t="shared" si="364"/>
        <v>5.9699799898468573</v>
      </c>
      <c r="R375" s="18">
        <f t="shared" si="364"/>
        <v>0</v>
      </c>
      <c r="S375" s="18">
        <f t="shared" si="364"/>
        <v>0</v>
      </c>
      <c r="T375" s="18">
        <f t="shared" si="364"/>
        <v>0</v>
      </c>
      <c r="U375" s="18">
        <f t="shared" si="364"/>
        <v>0</v>
      </c>
      <c r="V375" s="18">
        <f t="shared" si="364"/>
        <v>0</v>
      </c>
      <c r="W375" s="18">
        <f t="shared" si="364"/>
        <v>0</v>
      </c>
      <c r="X375" s="18">
        <f t="shared" si="364"/>
        <v>0</v>
      </c>
      <c r="Y375" s="18">
        <f t="shared" si="364"/>
        <v>0</v>
      </c>
      <c r="Z375" s="18">
        <f t="shared" si="364"/>
        <v>0</v>
      </c>
      <c r="AA375" s="18">
        <f t="shared" si="364"/>
        <v>0</v>
      </c>
      <c r="AB375" s="18">
        <f t="shared" si="364"/>
        <v>0</v>
      </c>
      <c r="AC375" s="18">
        <f t="shared" si="364"/>
        <v>0</v>
      </c>
      <c r="AD375" s="18">
        <f t="shared" si="364"/>
        <v>0</v>
      </c>
      <c r="AE375" s="18">
        <f t="shared" si="364"/>
        <v>0</v>
      </c>
      <c r="AF375" s="18">
        <f t="shared" si="364"/>
        <v>0</v>
      </c>
      <c r="AG375" s="18">
        <f t="shared" si="364"/>
        <v>0</v>
      </c>
      <c r="AH375" s="18">
        <f t="shared" si="364"/>
        <v>0</v>
      </c>
      <c r="AI375" s="18">
        <f t="shared" si="364"/>
        <v>0</v>
      </c>
      <c r="AJ375" s="18">
        <f t="shared" si="364"/>
        <v>0</v>
      </c>
      <c r="AK375" s="18">
        <f t="shared" si="364"/>
        <v>0</v>
      </c>
      <c r="AL375" s="78"/>
      <c r="AM375" s="43">
        <v>359</v>
      </c>
      <c r="AN375">
        <v>29.052494412515962</v>
      </c>
      <c r="AO375">
        <v>12.00634438975565</v>
      </c>
      <c r="AP375">
        <v>129.05116844779783</v>
      </c>
      <c r="AQ375">
        <v>86.461997558913524</v>
      </c>
      <c r="AR375">
        <v>11.143517179727858</v>
      </c>
      <c r="AS375">
        <v>151.34438889646768</v>
      </c>
      <c r="AT375" t="e">
        <v>#DIV/0!</v>
      </c>
      <c r="AU375" t="e">
        <v>#DIV/0!</v>
      </c>
      <c r="AV375"/>
      <c r="AW375"/>
      <c r="FY375" s="210">
        <v>370</v>
      </c>
      <c r="FZ375">
        <v>10.967787184278533</v>
      </c>
      <c r="GA375">
        <v>27.644949418738079</v>
      </c>
      <c r="GB375">
        <v>11.70780193507459</v>
      </c>
      <c r="GC375">
        <v>3.8311684493686338</v>
      </c>
      <c r="GD375">
        <v>1.2227181132761729</v>
      </c>
      <c r="GE375">
        <v>0.14020141262716906</v>
      </c>
      <c r="GF375">
        <v>2.6157787180245267</v>
      </c>
      <c r="GG375">
        <v>3.9323302435941598</v>
      </c>
      <c r="GH375">
        <v>2.7924290151067641</v>
      </c>
      <c r="GI375">
        <v>6.3468455127632293</v>
      </c>
      <c r="GJ375"/>
      <c r="GK375"/>
      <c r="GL375"/>
      <c r="GM375"/>
    </row>
    <row r="376" spans="1:195" s="7" customFormat="1">
      <c r="A376" s="95"/>
      <c r="B376" s="71">
        <f t="shared" si="358"/>
        <v>39747</v>
      </c>
      <c r="C376" s="18">
        <f t="shared" si="359"/>
        <v>40.349616858237546</v>
      </c>
      <c r="D376" s="18">
        <f t="shared" si="360"/>
        <v>6.2572603504587017</v>
      </c>
      <c r="E376" s="19">
        <f t="shared" si="361"/>
        <v>0.15507607847783703</v>
      </c>
      <c r="F376" s="19">
        <f>IF(F390&lt;0,0,F390)</f>
        <v>0</v>
      </c>
      <c r="G376" s="18">
        <f>AVERAGE(E258:E267)*G$372</f>
        <v>0</v>
      </c>
      <c r="H376" s="18">
        <f t="shared" ref="H376:AK376" si="365">AVERAGE(F258:F267)*H$372</f>
        <v>4.6513918821839077E-2</v>
      </c>
      <c r="I376" s="18">
        <f t="shared" si="365"/>
        <v>0</v>
      </c>
      <c r="J376" s="18">
        <f t="shared" si="365"/>
        <v>3.0927927101577937</v>
      </c>
      <c r="K376" s="18">
        <f t="shared" si="365"/>
        <v>2.3221640176818177</v>
      </c>
      <c r="L376" s="18">
        <f t="shared" si="365"/>
        <v>0</v>
      </c>
      <c r="M376" s="18">
        <f t="shared" si="365"/>
        <v>0.79578970379725178</v>
      </c>
      <c r="N376" s="18">
        <f t="shared" si="365"/>
        <v>0</v>
      </c>
      <c r="O376" s="18">
        <f t="shared" si="365"/>
        <v>0</v>
      </c>
      <c r="P376" s="18">
        <f t="shared" si="365"/>
        <v>0</v>
      </c>
      <c r="Q376" s="18">
        <f t="shared" si="365"/>
        <v>0</v>
      </c>
      <c r="R376" s="18">
        <f t="shared" si="365"/>
        <v>0</v>
      </c>
      <c r="S376" s="18">
        <f t="shared" si="365"/>
        <v>0</v>
      </c>
      <c r="T376" s="18">
        <f t="shared" si="365"/>
        <v>0</v>
      </c>
      <c r="U376" s="18">
        <f t="shared" si="365"/>
        <v>0</v>
      </c>
      <c r="V376" s="18">
        <f t="shared" si="365"/>
        <v>0</v>
      </c>
      <c r="W376" s="18">
        <f t="shared" si="365"/>
        <v>0</v>
      </c>
      <c r="X376" s="18">
        <f t="shared" si="365"/>
        <v>0</v>
      </c>
      <c r="Y376" s="18">
        <f t="shared" si="365"/>
        <v>0</v>
      </c>
      <c r="Z376" s="18">
        <f t="shared" si="365"/>
        <v>0</v>
      </c>
      <c r="AA376" s="18">
        <f t="shared" si="365"/>
        <v>0</v>
      </c>
      <c r="AB376" s="18">
        <f t="shared" si="365"/>
        <v>0</v>
      </c>
      <c r="AC376" s="18">
        <f t="shared" si="365"/>
        <v>0</v>
      </c>
      <c r="AD376" s="18">
        <f t="shared" si="365"/>
        <v>0</v>
      </c>
      <c r="AE376" s="18">
        <f t="shared" si="365"/>
        <v>0</v>
      </c>
      <c r="AF376" s="18">
        <f t="shared" si="365"/>
        <v>0</v>
      </c>
      <c r="AG376" s="18">
        <f t="shared" si="365"/>
        <v>0</v>
      </c>
      <c r="AH376" s="18">
        <f t="shared" si="365"/>
        <v>0</v>
      </c>
      <c r="AI376" s="18">
        <f t="shared" si="365"/>
        <v>0</v>
      </c>
      <c r="AJ376" s="18">
        <f t="shared" si="365"/>
        <v>0</v>
      </c>
      <c r="AK376" s="18">
        <f t="shared" si="365"/>
        <v>0</v>
      </c>
      <c r="AL376" s="78"/>
      <c r="AM376" s="43">
        <v>360</v>
      </c>
      <c r="AN376">
        <v>22.188538245758075</v>
      </c>
      <c r="AO376">
        <v>6.7256638545100813</v>
      </c>
      <c r="AP376">
        <v>71.448779123544526</v>
      </c>
      <c r="AQ376">
        <v>50.342740120007292</v>
      </c>
      <c r="AR376">
        <v>6.6528751957083312</v>
      </c>
      <c r="AS376">
        <v>79.304758050249362</v>
      </c>
      <c r="AT376" t="e">
        <v>#DIV/0!</v>
      </c>
      <c r="AU376" t="e">
        <v>#DIV/0!</v>
      </c>
      <c r="AV376"/>
      <c r="AW376"/>
      <c r="FY376" s="210">
        <v>371</v>
      </c>
      <c r="FZ376">
        <v>2.4396088828751492</v>
      </c>
      <c r="GA376">
        <v>16.247913751364518</v>
      </c>
      <c r="GB376">
        <v>9.3003988520115559</v>
      </c>
      <c r="GC376">
        <v>2.1388719082386842</v>
      </c>
      <c r="GD376">
        <v>0.76444467067624111</v>
      </c>
      <c r="GE376">
        <v>2.7556243266272196</v>
      </c>
      <c r="GF376">
        <v>6.6002083794830639</v>
      </c>
      <c r="GG376">
        <v>3.4406641589641911</v>
      </c>
      <c r="GH376">
        <v>2.9474283182247545</v>
      </c>
      <c r="GI376">
        <v>5.0814670651815881</v>
      </c>
      <c r="GJ376"/>
      <c r="GK376"/>
      <c r="GL376"/>
      <c r="GM376"/>
    </row>
    <row r="377" spans="1:195" s="7" customFormat="1">
      <c r="A377" s="95"/>
      <c r="B377" s="71">
        <f t="shared" si="358"/>
        <v>39775</v>
      </c>
      <c r="C377" s="18">
        <f t="shared" si="359"/>
        <v>60.311447811447799</v>
      </c>
      <c r="D377" s="18">
        <f t="shared" si="360"/>
        <v>4.6711330517555405</v>
      </c>
      <c r="E377" s="19">
        <f t="shared" si="361"/>
        <v>7.7450189329875546E-2</v>
      </c>
      <c r="F377" s="19">
        <f>IF(F391&lt;0,0,F391)</f>
        <v>0</v>
      </c>
      <c r="G377" s="18">
        <f>AVERAGE(E268:E277)*G$372</f>
        <v>0</v>
      </c>
      <c r="H377" s="18">
        <f t="shared" ref="H377:AK377" si="366">AVERAGE(F268:F277)*H$372</f>
        <v>0</v>
      </c>
      <c r="I377" s="18">
        <f t="shared" si="366"/>
        <v>1.798583788159376</v>
      </c>
      <c r="J377" s="18">
        <f t="shared" si="366"/>
        <v>2.213899105853685</v>
      </c>
      <c r="K377" s="18">
        <f t="shared" si="366"/>
        <v>0.65865015774247915</v>
      </c>
      <c r="L377" s="18">
        <f t="shared" si="366"/>
        <v>0</v>
      </c>
      <c r="M377" s="18">
        <f t="shared" si="366"/>
        <v>0</v>
      </c>
      <c r="N377" s="18">
        <f t="shared" si="366"/>
        <v>0</v>
      </c>
      <c r="O377" s="18">
        <f t="shared" si="366"/>
        <v>0</v>
      </c>
      <c r="P377" s="18">
        <f t="shared" si="366"/>
        <v>0</v>
      </c>
      <c r="Q377" s="18">
        <f t="shared" si="366"/>
        <v>0</v>
      </c>
      <c r="R377" s="18">
        <f t="shared" si="366"/>
        <v>0</v>
      </c>
      <c r="S377" s="18">
        <f t="shared" si="366"/>
        <v>0</v>
      </c>
      <c r="T377" s="18">
        <f t="shared" si="366"/>
        <v>0</v>
      </c>
      <c r="U377" s="18">
        <f t="shared" si="366"/>
        <v>0</v>
      </c>
      <c r="V377" s="18">
        <f t="shared" si="366"/>
        <v>0</v>
      </c>
      <c r="W377" s="18">
        <f t="shared" si="366"/>
        <v>0</v>
      </c>
      <c r="X377" s="18">
        <f t="shared" si="366"/>
        <v>0</v>
      </c>
      <c r="Y377" s="18">
        <f t="shared" si="366"/>
        <v>0</v>
      </c>
      <c r="Z377" s="18">
        <f t="shared" si="366"/>
        <v>0</v>
      </c>
      <c r="AA377" s="18">
        <f t="shared" si="366"/>
        <v>0</v>
      </c>
      <c r="AB377" s="18">
        <f t="shared" si="366"/>
        <v>0</v>
      </c>
      <c r="AC377" s="18">
        <f t="shared" si="366"/>
        <v>0</v>
      </c>
      <c r="AD377" s="18">
        <f t="shared" si="366"/>
        <v>0</v>
      </c>
      <c r="AE377" s="18">
        <f t="shared" si="366"/>
        <v>0</v>
      </c>
      <c r="AF377" s="18">
        <f t="shared" si="366"/>
        <v>0</v>
      </c>
      <c r="AG377" s="18">
        <f t="shared" si="366"/>
        <v>0</v>
      </c>
      <c r="AH377" s="18">
        <f t="shared" si="366"/>
        <v>0</v>
      </c>
      <c r="AI377" s="18">
        <f t="shared" si="366"/>
        <v>0</v>
      </c>
      <c r="AJ377" s="18">
        <f t="shared" si="366"/>
        <v>0</v>
      </c>
      <c r="AK377" s="18">
        <f t="shared" si="366"/>
        <v>0</v>
      </c>
      <c r="AL377" s="78"/>
      <c r="AM377" s="43">
        <v>361</v>
      </c>
      <c r="AN377">
        <v>15.512301587301584</v>
      </c>
      <c r="AO377">
        <v>5.7283481959441218</v>
      </c>
      <c r="AP377">
        <v>57.431101714029587</v>
      </c>
      <c r="AQ377">
        <v>40.913231958997308</v>
      </c>
      <c r="AR377">
        <v>5.5568996053617035</v>
      </c>
      <c r="AS377">
        <v>73.778888263803253</v>
      </c>
      <c r="AT377">
        <v>3.9019663928291255</v>
      </c>
      <c r="AU377">
        <v>0.1266386056359976</v>
      </c>
      <c r="AV377"/>
      <c r="AW377"/>
      <c r="FY377" s="210">
        <v>372</v>
      </c>
      <c r="FZ377">
        <v>5.201134097608116</v>
      </c>
      <c r="GA377">
        <v>15.558089190546834</v>
      </c>
      <c r="GB377">
        <v>8.7196098333810586</v>
      </c>
      <c r="GC377">
        <v>1.9500736279551567</v>
      </c>
      <c r="GD377">
        <v>0.74067777075561803</v>
      </c>
      <c r="GE377">
        <v>1.3097673109793708</v>
      </c>
      <c r="GF377">
        <v>3.4258341784950641</v>
      </c>
      <c r="GG377">
        <v>1.2030066266537001</v>
      </c>
      <c r="GH377">
        <v>1.973602458130717</v>
      </c>
      <c r="GI377">
        <v>4.4468518393670893</v>
      </c>
      <c r="GJ377"/>
      <c r="GK377"/>
      <c r="GL377"/>
      <c r="GM377"/>
    </row>
    <row r="378" spans="1:195" s="7" customFormat="1">
      <c r="A378" s="95"/>
      <c r="B378" s="71">
        <f t="shared" si="358"/>
        <v>39799</v>
      </c>
      <c r="C378" s="18">
        <f t="shared" si="359"/>
        <v>7.2916666666666652</v>
      </c>
      <c r="D378" s="18">
        <f t="shared" si="360"/>
        <v>1.0944380408245897</v>
      </c>
      <c r="E378" s="19">
        <f t="shared" si="361"/>
        <v>0.15009435988451519</v>
      </c>
      <c r="F378" s="19">
        <f t="shared" ref="F378:F382" si="367">IF(F392&lt;0,0,F392)</f>
        <v>2.75678812837859E-2</v>
      </c>
      <c r="G378" s="18">
        <f>AVERAGE(E278:E287)*G$372</f>
        <v>0</v>
      </c>
      <c r="H378" s="18">
        <f t="shared" ref="H378:AK378" si="368">AVERAGE(F278:F287)*H$372</f>
        <v>7.7080208333333324E-3</v>
      </c>
      <c r="I378" s="18">
        <f t="shared" si="368"/>
        <v>0</v>
      </c>
      <c r="J378" s="18">
        <f t="shared" si="368"/>
        <v>0.52941065574762036</v>
      </c>
      <c r="K378" s="18">
        <f t="shared" si="368"/>
        <v>0.55731936424363615</v>
      </c>
      <c r="L378" s="18">
        <f t="shared" si="368"/>
        <v>0</v>
      </c>
      <c r="M378" s="18">
        <f t="shared" si="368"/>
        <v>0</v>
      </c>
      <c r="N378" s="18">
        <f t="shared" si="368"/>
        <v>0</v>
      </c>
      <c r="O378" s="18">
        <f t="shared" si="368"/>
        <v>0</v>
      </c>
      <c r="P378" s="18">
        <f t="shared" si="368"/>
        <v>0</v>
      </c>
      <c r="Q378" s="18">
        <f t="shared" si="368"/>
        <v>0</v>
      </c>
      <c r="R378" s="18">
        <f t="shared" si="368"/>
        <v>0</v>
      </c>
      <c r="S378" s="18">
        <f t="shared" si="368"/>
        <v>0</v>
      </c>
      <c r="T378" s="18">
        <f t="shared" si="368"/>
        <v>0</v>
      </c>
      <c r="U378" s="18">
        <f t="shared" si="368"/>
        <v>0</v>
      </c>
      <c r="V378" s="18">
        <f t="shared" si="368"/>
        <v>0</v>
      </c>
      <c r="W378" s="18">
        <f t="shared" si="368"/>
        <v>0</v>
      </c>
      <c r="X378" s="18">
        <f t="shared" si="368"/>
        <v>0</v>
      </c>
      <c r="Y378" s="18">
        <f t="shared" si="368"/>
        <v>0</v>
      </c>
      <c r="Z378" s="18">
        <f t="shared" si="368"/>
        <v>0</v>
      </c>
      <c r="AA378" s="18">
        <f t="shared" si="368"/>
        <v>0</v>
      </c>
      <c r="AB378" s="18">
        <f t="shared" si="368"/>
        <v>0</v>
      </c>
      <c r="AC378" s="18">
        <f t="shared" si="368"/>
        <v>0</v>
      </c>
      <c r="AD378" s="18">
        <f t="shared" si="368"/>
        <v>0</v>
      </c>
      <c r="AE378" s="18">
        <f t="shared" si="368"/>
        <v>0</v>
      </c>
      <c r="AF378" s="18">
        <f t="shared" si="368"/>
        <v>0</v>
      </c>
      <c r="AG378" s="18">
        <f t="shared" si="368"/>
        <v>0</v>
      </c>
      <c r="AH378" s="18">
        <f t="shared" si="368"/>
        <v>0</v>
      </c>
      <c r="AI378" s="18">
        <f t="shared" si="368"/>
        <v>0</v>
      </c>
      <c r="AJ378" s="18">
        <f t="shared" si="368"/>
        <v>0</v>
      </c>
      <c r="AK378" s="18">
        <f t="shared" si="368"/>
        <v>0</v>
      </c>
      <c r="AL378" s="78"/>
      <c r="AM378" s="43">
        <v>362</v>
      </c>
      <c r="AN378">
        <v>14.973924124247398</v>
      </c>
      <c r="AO378">
        <v>6.4956625717057506</v>
      </c>
      <c r="AP378">
        <v>66.157346306075183</v>
      </c>
      <c r="AQ378">
        <v>44.640919136494119</v>
      </c>
      <c r="AR378">
        <v>6.2467272160309273</v>
      </c>
      <c r="AS378">
        <v>72.106460410328694</v>
      </c>
      <c r="AT378" t="e">
        <v>#DIV/0!</v>
      </c>
      <c r="AU378" t="e">
        <v>#DIV/0!</v>
      </c>
      <c r="AV378"/>
      <c r="AW378"/>
      <c r="FY378" s="210">
        <v>373</v>
      </c>
      <c r="FZ378">
        <v>4.8522586419160847</v>
      </c>
      <c r="GA378">
        <v>17.925414256381021</v>
      </c>
      <c r="GB378">
        <v>10.136734039828706</v>
      </c>
      <c r="GC378">
        <v>2.0749069515157861</v>
      </c>
      <c r="GD378">
        <v>0.55759410288357358</v>
      </c>
      <c r="GE378">
        <v>2.7576801806065649</v>
      </c>
      <c r="GF378">
        <v>9.6738925901417687</v>
      </c>
      <c r="GG378">
        <v>5.2237816971184534</v>
      </c>
      <c r="GH378">
        <v>1.5038724992891495</v>
      </c>
      <c r="GI378">
        <v>5.9177300593528814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9">+C10</f>
        <v>39847</v>
      </c>
      <c r="C379" s="18">
        <f t="shared" si="359"/>
        <v>7.8125</v>
      </c>
      <c r="D379" s="18">
        <f t="shared" si="360"/>
        <v>6.3503154030546298</v>
      </c>
      <c r="E379" s="19">
        <f t="shared" si="361"/>
        <v>0.81284037159099265</v>
      </c>
      <c r="F379" s="19">
        <f t="shared" si="367"/>
        <v>3.5193137148939284E-2</v>
      </c>
      <c r="G379" s="18">
        <f>AVERAGE(E288:E297)*G$372</f>
        <v>0</v>
      </c>
      <c r="H379" s="18">
        <f t="shared" ref="H379:AK379" si="370">AVERAGE(F288:F297)*H$372</f>
        <v>0</v>
      </c>
      <c r="I379" s="18">
        <f t="shared" si="370"/>
        <v>0</v>
      </c>
      <c r="J379" s="18">
        <f t="shared" si="370"/>
        <v>0.3308816598422627</v>
      </c>
      <c r="K379" s="18">
        <f t="shared" si="370"/>
        <v>0.34832460265227266</v>
      </c>
      <c r="L379" s="18">
        <f t="shared" si="370"/>
        <v>0</v>
      </c>
      <c r="M379" s="18">
        <f t="shared" si="370"/>
        <v>0</v>
      </c>
      <c r="N379" s="18">
        <f t="shared" si="370"/>
        <v>1.4824041440049751</v>
      </c>
      <c r="O379" s="18">
        <f t="shared" si="370"/>
        <v>4.1887049965551197</v>
      </c>
      <c r="P379" s="18">
        <f t="shared" si="370"/>
        <v>0</v>
      </c>
      <c r="Q379" s="18">
        <f t="shared" si="370"/>
        <v>0</v>
      </c>
      <c r="R379" s="18">
        <f t="shared" si="370"/>
        <v>0</v>
      </c>
      <c r="S379" s="18">
        <f t="shared" si="370"/>
        <v>0</v>
      </c>
      <c r="T379" s="18">
        <f t="shared" si="370"/>
        <v>0</v>
      </c>
      <c r="U379" s="18">
        <f t="shared" si="370"/>
        <v>0</v>
      </c>
      <c r="V379" s="18">
        <f t="shared" si="370"/>
        <v>0</v>
      </c>
      <c r="W379" s="18">
        <f t="shared" si="370"/>
        <v>0</v>
      </c>
      <c r="X379" s="18">
        <f t="shared" si="370"/>
        <v>0</v>
      </c>
      <c r="Y379" s="18">
        <f t="shared" si="370"/>
        <v>0</v>
      </c>
      <c r="Z379" s="18">
        <f t="shared" si="370"/>
        <v>0</v>
      </c>
      <c r="AA379" s="18">
        <f t="shared" si="370"/>
        <v>0</v>
      </c>
      <c r="AB379" s="18">
        <f t="shared" si="370"/>
        <v>0</v>
      </c>
      <c r="AC379" s="18">
        <f t="shared" si="370"/>
        <v>0</v>
      </c>
      <c r="AD379" s="18">
        <f t="shared" si="370"/>
        <v>0</v>
      </c>
      <c r="AE379" s="18">
        <f t="shared" si="370"/>
        <v>0</v>
      </c>
      <c r="AF379" s="18">
        <f t="shared" si="370"/>
        <v>0</v>
      </c>
      <c r="AG379" s="18">
        <f t="shared" si="370"/>
        <v>0</v>
      </c>
      <c r="AH379" s="18">
        <f t="shared" si="370"/>
        <v>0</v>
      </c>
      <c r="AI379" s="18">
        <f t="shared" si="370"/>
        <v>0</v>
      </c>
      <c r="AJ379" s="18">
        <f t="shared" si="370"/>
        <v>0</v>
      </c>
      <c r="AK379" s="18">
        <f t="shared" si="370"/>
        <v>0</v>
      </c>
      <c r="AL379" s="78"/>
      <c r="AM379" s="43">
        <v>363</v>
      </c>
      <c r="AN379">
        <v>48.088076423097974</v>
      </c>
      <c r="AO379">
        <v>11.156530378709174</v>
      </c>
      <c r="AP379">
        <v>120.1947973851898</v>
      </c>
      <c r="AQ379">
        <v>91.547997415107758</v>
      </c>
      <c r="AR379">
        <v>10.613015963084058</v>
      </c>
      <c r="AS379">
        <v>150.22968215234579</v>
      </c>
      <c r="AT379" t="e">
        <v>#DIV/0!</v>
      </c>
      <c r="AU379" t="e">
        <v>#DIV/0!</v>
      </c>
      <c r="AV379"/>
      <c r="AW379"/>
      <c r="FY379" s="210">
        <v>374</v>
      </c>
      <c r="FZ379">
        <v>11.242979898712015</v>
      </c>
      <c r="GA379">
        <v>17.883888486020435</v>
      </c>
      <c r="GB379">
        <v>4.9616321586745293</v>
      </c>
      <c r="GC379">
        <v>1.908818415688373</v>
      </c>
      <c r="GD379">
        <v>0.83420849284129872</v>
      </c>
      <c r="GE379">
        <v>0.42266009186085274</v>
      </c>
      <c r="GF379">
        <v>2.0177010194092957</v>
      </c>
      <c r="GG379">
        <v>2.3455529794359888</v>
      </c>
      <c r="GH379">
        <v>2.6529606137342139</v>
      </c>
      <c r="GI379">
        <v>4.2637723292698331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9"/>
        <v>39910</v>
      </c>
      <c r="C380" s="18">
        <f t="shared" si="359"/>
        <v>19.791666666666664</v>
      </c>
      <c r="D380" s="18">
        <f t="shared" si="360"/>
        <v>20.365823468659286</v>
      </c>
      <c r="E380" s="19">
        <f t="shared" si="361"/>
        <v>1.0290100278901535</v>
      </c>
      <c r="F380" s="19">
        <f t="shared" si="367"/>
        <v>3.7431386619140306E-3</v>
      </c>
      <c r="G380" s="18">
        <f>AVERAGE(E298:E307)*G$372</f>
        <v>0</v>
      </c>
      <c r="H380" s="18">
        <f t="shared" ref="H380:AK380" si="371">AVERAGE(F298:F307)*H$372</f>
        <v>0</v>
      </c>
      <c r="I380" s="18">
        <f t="shared" si="371"/>
        <v>0</v>
      </c>
      <c r="J380" s="18">
        <f t="shared" si="371"/>
        <v>0.13235266393690509</v>
      </c>
      <c r="K380" s="18">
        <f t="shared" si="371"/>
        <v>1.6719580927309088</v>
      </c>
      <c r="L380" s="18">
        <f t="shared" si="371"/>
        <v>0</v>
      </c>
      <c r="M380" s="18">
        <f t="shared" si="371"/>
        <v>1.5915794075945036</v>
      </c>
      <c r="N380" s="18">
        <f t="shared" si="371"/>
        <v>2.3718466304079597</v>
      </c>
      <c r="O380" s="18">
        <f t="shared" si="371"/>
        <v>10.052891991732288</v>
      </c>
      <c r="P380" s="18">
        <f t="shared" si="371"/>
        <v>4.5451946822567209</v>
      </c>
      <c r="Q380" s="18">
        <f t="shared" si="371"/>
        <v>0</v>
      </c>
      <c r="R380" s="18">
        <f t="shared" si="371"/>
        <v>0</v>
      </c>
      <c r="S380" s="18">
        <f t="shared" si="371"/>
        <v>0</v>
      </c>
      <c r="T380" s="18">
        <f t="shared" si="371"/>
        <v>0</v>
      </c>
      <c r="U380" s="18">
        <f t="shared" si="371"/>
        <v>0</v>
      </c>
      <c r="V380" s="18">
        <f t="shared" si="371"/>
        <v>0</v>
      </c>
      <c r="W380" s="18">
        <f t="shared" si="371"/>
        <v>0</v>
      </c>
      <c r="X380" s="18">
        <f t="shared" si="371"/>
        <v>0</v>
      </c>
      <c r="Y380" s="18">
        <f t="shared" si="371"/>
        <v>0</v>
      </c>
      <c r="Z380" s="18">
        <f t="shared" si="371"/>
        <v>0</v>
      </c>
      <c r="AA380" s="18">
        <f t="shared" si="371"/>
        <v>0</v>
      </c>
      <c r="AB380" s="18">
        <f t="shared" si="371"/>
        <v>0</v>
      </c>
      <c r="AC380" s="18">
        <f t="shared" si="371"/>
        <v>0</v>
      </c>
      <c r="AD380" s="18">
        <f t="shared" si="371"/>
        <v>0</v>
      </c>
      <c r="AE380" s="18">
        <f t="shared" si="371"/>
        <v>0</v>
      </c>
      <c r="AF380" s="18">
        <f t="shared" si="371"/>
        <v>0</v>
      </c>
      <c r="AG380" s="18">
        <f t="shared" si="371"/>
        <v>0</v>
      </c>
      <c r="AH380" s="18">
        <f t="shared" si="371"/>
        <v>0</v>
      </c>
      <c r="AI380" s="18">
        <f t="shared" si="371"/>
        <v>0</v>
      </c>
      <c r="AJ380" s="18">
        <f t="shared" si="371"/>
        <v>0</v>
      </c>
      <c r="AK380" s="18">
        <f t="shared" si="371"/>
        <v>0</v>
      </c>
      <c r="AL380" s="78"/>
      <c r="AM380" s="43">
        <v>364</v>
      </c>
      <c r="AN380">
        <v>59.371857325305612</v>
      </c>
      <c r="AO380">
        <v>13.385554193944307</v>
      </c>
      <c r="AP380">
        <v>139.87386256857542</v>
      </c>
      <c r="AQ380">
        <v>110.47652863869524</v>
      </c>
      <c r="AR380">
        <v>12.558890760356</v>
      </c>
      <c r="AS380">
        <v>206.32235456817159</v>
      </c>
      <c r="AT380">
        <v>8.3273372065417348</v>
      </c>
      <c r="AU380">
        <v>171.67430991496741</v>
      </c>
      <c r="AV380"/>
      <c r="AW380"/>
      <c r="FY380" s="210">
        <v>375</v>
      </c>
      <c r="FZ380">
        <v>6.3219624536363073</v>
      </c>
      <c r="GA380">
        <v>19.128058211423603</v>
      </c>
      <c r="GB380">
        <v>8.6085656842322322</v>
      </c>
      <c r="GC380">
        <v>1.4205554883569964</v>
      </c>
      <c r="GD380">
        <v>0.45435047556978392</v>
      </c>
      <c r="GE380">
        <v>1.3077114570000252</v>
      </c>
      <c r="GF380">
        <v>3.64866211089151</v>
      </c>
      <c r="GG380">
        <v>1.5681786066401984</v>
      </c>
      <c r="GH380">
        <v>0.22645271853449905</v>
      </c>
      <c r="GI380">
        <v>4.2691800299914204</v>
      </c>
      <c r="GJ380"/>
      <c r="GK380"/>
      <c r="GL380"/>
      <c r="GM380"/>
    </row>
    <row r="381" spans="1:195" s="7" customFormat="1">
      <c r="A381" s="1"/>
      <c r="B381" s="71">
        <f t="shared" si="369"/>
        <v>39949</v>
      </c>
      <c r="C381" s="18">
        <f t="shared" si="359"/>
        <v>2.083333333333333</v>
      </c>
      <c r="D381" s="18">
        <f t="shared" si="360"/>
        <v>0.99290396889522781</v>
      </c>
      <c r="E381" s="19">
        <f t="shared" si="361"/>
        <v>0.47659390506970939</v>
      </c>
      <c r="F381" s="19">
        <f t="shared" si="367"/>
        <v>0</v>
      </c>
      <c r="G381" s="18">
        <f>AVERAGE(E308:E317)*G$372</f>
        <v>0</v>
      </c>
      <c r="H381" s="18">
        <f t="shared" ref="H381:AK381" si="372">AVERAGE(F308:F317)*H$372</f>
        <v>0</v>
      </c>
      <c r="I381" s="18">
        <f t="shared" si="372"/>
        <v>0</v>
      </c>
      <c r="J381" s="18">
        <f t="shared" si="372"/>
        <v>0</v>
      </c>
      <c r="K381" s="18">
        <f t="shared" si="372"/>
        <v>0</v>
      </c>
      <c r="L381" s="18">
        <f t="shared" si="372"/>
        <v>0.99290396889522781</v>
      </c>
      <c r="M381" s="18">
        <f t="shared" si="372"/>
        <v>0</v>
      </c>
      <c r="N381" s="18">
        <f t="shared" si="372"/>
        <v>0</v>
      </c>
      <c r="O381" s="18">
        <f t="shared" si="372"/>
        <v>0</v>
      </c>
      <c r="P381" s="18">
        <f t="shared" si="372"/>
        <v>0</v>
      </c>
      <c r="Q381" s="18">
        <f t="shared" si="372"/>
        <v>0</v>
      </c>
      <c r="R381" s="18">
        <f t="shared" si="372"/>
        <v>0</v>
      </c>
      <c r="S381" s="18">
        <f t="shared" si="372"/>
        <v>0</v>
      </c>
      <c r="T381" s="18">
        <f t="shared" si="372"/>
        <v>0</v>
      </c>
      <c r="U381" s="18">
        <f t="shared" si="372"/>
        <v>0</v>
      </c>
      <c r="V381" s="18">
        <f t="shared" si="372"/>
        <v>0</v>
      </c>
      <c r="W381" s="18">
        <f t="shared" si="372"/>
        <v>0</v>
      </c>
      <c r="X381" s="18">
        <f t="shared" si="372"/>
        <v>0</v>
      </c>
      <c r="Y381" s="18">
        <f t="shared" si="372"/>
        <v>0</v>
      </c>
      <c r="Z381" s="18">
        <f t="shared" si="372"/>
        <v>0</v>
      </c>
      <c r="AA381" s="18">
        <f t="shared" si="372"/>
        <v>0</v>
      </c>
      <c r="AB381" s="18">
        <f t="shared" si="372"/>
        <v>0</v>
      </c>
      <c r="AC381" s="18">
        <f t="shared" si="372"/>
        <v>0</v>
      </c>
      <c r="AD381" s="18">
        <f t="shared" si="372"/>
        <v>0</v>
      </c>
      <c r="AE381" s="18">
        <f t="shared" si="372"/>
        <v>0</v>
      </c>
      <c r="AF381" s="18">
        <f t="shared" si="372"/>
        <v>0</v>
      </c>
      <c r="AG381" s="18">
        <f t="shared" si="372"/>
        <v>0</v>
      </c>
      <c r="AH381" s="18">
        <f t="shared" si="372"/>
        <v>0</v>
      </c>
      <c r="AI381" s="18">
        <f t="shared" si="372"/>
        <v>0</v>
      </c>
      <c r="AJ381" s="18">
        <f t="shared" si="372"/>
        <v>0</v>
      </c>
      <c r="AK381" s="18">
        <f t="shared" si="372"/>
        <v>0</v>
      </c>
      <c r="AL381" s="78"/>
      <c r="AM381" s="43">
        <v>365</v>
      </c>
      <c r="AN381">
        <v>38.202411740558297</v>
      </c>
      <c r="AO381">
        <v>9.5279236283112052</v>
      </c>
      <c r="AP381">
        <v>102.15558182138106</v>
      </c>
      <c r="AQ381">
        <v>76.104285424670707</v>
      </c>
      <c r="AR381">
        <v>9.2455672888154936</v>
      </c>
      <c r="AS381">
        <v>133.60356395713703</v>
      </c>
      <c r="AT381" t="e">
        <v>#DIV/0!</v>
      </c>
      <c r="AU381" t="e">
        <v>#DIV/0!</v>
      </c>
      <c r="AV381"/>
      <c r="AW381"/>
      <c r="FY381" s="210">
        <v>376</v>
      </c>
      <c r="FZ381">
        <v>3.2331772036425424</v>
      </c>
      <c r="GA381">
        <v>31.825344976022215</v>
      </c>
      <c r="GB381">
        <v>14.737049886092647</v>
      </c>
      <c r="GC381">
        <v>1.1831839295575757</v>
      </c>
      <c r="GD381">
        <v>0.63134023314550025</v>
      </c>
      <c r="GE381">
        <v>1.4499687236065399</v>
      </c>
      <c r="GF381">
        <v>5.3191054180254795</v>
      </c>
      <c r="GG381">
        <v>4.8428758922197552</v>
      </c>
      <c r="GH381">
        <v>4.9890457623115134</v>
      </c>
      <c r="GI381">
        <v>6.6895034473812292</v>
      </c>
      <c r="GJ381"/>
      <c r="GK381"/>
      <c r="GL381"/>
      <c r="GM381"/>
    </row>
    <row r="382" spans="1:195" s="7" customFormat="1">
      <c r="A382" s="1"/>
      <c r="B382" s="71">
        <f t="shared" si="369"/>
        <v>39987</v>
      </c>
      <c r="C382" s="18">
        <f t="shared" si="359"/>
        <v>5.2083333333333321</v>
      </c>
      <c r="D382" s="18">
        <f t="shared" si="360"/>
        <v>4.2599653751117792</v>
      </c>
      <c r="E382" s="19">
        <f t="shared" si="361"/>
        <v>0.81791335202146176</v>
      </c>
      <c r="F382" s="19">
        <f t="shared" si="367"/>
        <v>1.421293758265133E-2</v>
      </c>
      <c r="G382" s="18">
        <f>AVERAGE(E318:E327)*G$372</f>
        <v>0</v>
      </c>
      <c r="H382" s="18">
        <f t="shared" ref="H382:AK382" si="373">AVERAGE(F318:F327)*H$372</f>
        <v>0</v>
      </c>
      <c r="I382" s="18">
        <f t="shared" si="373"/>
        <v>0</v>
      </c>
      <c r="J382" s="18">
        <f t="shared" si="373"/>
        <v>0</v>
      </c>
      <c r="K382" s="18">
        <f t="shared" si="373"/>
        <v>0</v>
      </c>
      <c r="L382" s="18">
        <f t="shared" si="373"/>
        <v>0.99290396889522781</v>
      </c>
      <c r="M382" s="18">
        <f t="shared" si="373"/>
        <v>1.5915794075945036</v>
      </c>
      <c r="N382" s="18">
        <f t="shared" si="373"/>
        <v>0</v>
      </c>
      <c r="O382" s="18">
        <f t="shared" si="373"/>
        <v>1.6754819986220477</v>
      </c>
      <c r="P382" s="18">
        <f t="shared" si="373"/>
        <v>0</v>
      </c>
      <c r="Q382" s="18">
        <f t="shared" si="373"/>
        <v>0</v>
      </c>
      <c r="R382" s="18">
        <f t="shared" si="373"/>
        <v>0</v>
      </c>
      <c r="S382" s="18">
        <f t="shared" si="373"/>
        <v>0</v>
      </c>
      <c r="T382" s="18">
        <f t="shared" si="373"/>
        <v>0</v>
      </c>
      <c r="U382" s="18">
        <f t="shared" si="373"/>
        <v>0</v>
      </c>
      <c r="V382" s="18">
        <f t="shared" si="373"/>
        <v>0</v>
      </c>
      <c r="W382" s="18">
        <f t="shared" si="373"/>
        <v>0</v>
      </c>
      <c r="X382" s="18">
        <f t="shared" si="373"/>
        <v>0</v>
      </c>
      <c r="Y382" s="18">
        <f t="shared" si="373"/>
        <v>0</v>
      </c>
      <c r="Z382" s="18">
        <f t="shared" si="373"/>
        <v>0</v>
      </c>
      <c r="AA382" s="18">
        <f t="shared" si="373"/>
        <v>0</v>
      </c>
      <c r="AB382" s="18">
        <f t="shared" si="373"/>
        <v>0</v>
      </c>
      <c r="AC382" s="18">
        <f t="shared" si="373"/>
        <v>0</v>
      </c>
      <c r="AD382" s="18">
        <f t="shared" si="373"/>
        <v>0</v>
      </c>
      <c r="AE382" s="18">
        <f t="shared" si="373"/>
        <v>0</v>
      </c>
      <c r="AF382" s="18">
        <f t="shared" si="373"/>
        <v>0</v>
      </c>
      <c r="AG382" s="18">
        <f t="shared" si="373"/>
        <v>0</v>
      </c>
      <c r="AH382" s="18">
        <f t="shared" si="373"/>
        <v>0</v>
      </c>
      <c r="AI382" s="18">
        <f t="shared" si="373"/>
        <v>0</v>
      </c>
      <c r="AJ382" s="18">
        <f t="shared" si="373"/>
        <v>0</v>
      </c>
      <c r="AK382" s="18">
        <f t="shared" si="373"/>
        <v>0</v>
      </c>
      <c r="AL382" s="78"/>
      <c r="AM382" s="43">
        <v>366</v>
      </c>
      <c r="AN382">
        <v>49.238192163838718</v>
      </c>
      <c r="AO382">
        <v>13.021842734552516</v>
      </c>
      <c r="AP382">
        <v>141.75974025261496</v>
      </c>
      <c r="AQ382">
        <v>105.53086377117636</v>
      </c>
      <c r="AR382">
        <v>12.648618702716377</v>
      </c>
      <c r="AS382">
        <v>181.17056705035466</v>
      </c>
      <c r="AT382" t="e">
        <v>#DIV/0!</v>
      </c>
      <c r="AU382" t="e">
        <v>#DIV/0!</v>
      </c>
      <c r="AV382"/>
      <c r="AW382"/>
      <c r="FY382" s="210">
        <v>377</v>
      </c>
      <c r="FZ382">
        <v>4.6293832373841264</v>
      </c>
      <c r="GA382">
        <v>18.133111717209967</v>
      </c>
      <c r="GB382">
        <v>9.7673865240664774</v>
      </c>
      <c r="GC382">
        <v>1.7964871283319295</v>
      </c>
      <c r="GD382">
        <v>0.45859215135793618</v>
      </c>
      <c r="GE382">
        <v>2.6195346219587416</v>
      </c>
      <c r="GF382">
        <v>11.290312215970964</v>
      </c>
      <c r="GG382">
        <v>7.6919165782511936</v>
      </c>
      <c r="GH382">
        <v>2.8359211736877388</v>
      </c>
      <c r="GI382">
        <v>6.241693611017558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41.206893700966972</v>
      </c>
      <c r="AO383">
        <v>10.140708417690004</v>
      </c>
      <c r="AP383">
        <v>106.81242234562339</v>
      </c>
      <c r="AQ383">
        <v>80.864149387145559</v>
      </c>
      <c r="AR383">
        <v>10.025777090420616</v>
      </c>
      <c r="AS383">
        <v>140.54509492041342</v>
      </c>
      <c r="AT383" t="e">
        <v>#DIV/0!</v>
      </c>
      <c r="AU383" t="e">
        <v>#DIV/0!</v>
      </c>
      <c r="AV383"/>
      <c r="AW383"/>
      <c r="FY383" s="210">
        <v>378</v>
      </c>
      <c r="FZ383">
        <v>6.6575074095928022</v>
      </c>
      <c r="GA383">
        <v>25.880091344192021</v>
      </c>
      <c r="GB383">
        <v>11.741572301216442</v>
      </c>
      <c r="GC383">
        <v>1.3625852966506997</v>
      </c>
      <c r="GD383">
        <v>0.66510580156063526</v>
      </c>
      <c r="GE383">
        <v>1.3077114570000252</v>
      </c>
      <c r="GF383">
        <v>7.9889078173547805</v>
      </c>
      <c r="GG383">
        <v>7.133155490437824</v>
      </c>
      <c r="GH383">
        <v>2.4376446302626795</v>
      </c>
      <c r="GI383">
        <v>6.512970442664054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46.686639071337339</v>
      </c>
      <c r="AO384">
        <v>11.432645580508435</v>
      </c>
      <c r="AP384">
        <v>121.61811297496297</v>
      </c>
      <c r="AQ384">
        <v>93.743263195127312</v>
      </c>
      <c r="AR384">
        <v>11.118287650436658</v>
      </c>
      <c r="AS384">
        <v>144.45495890993993</v>
      </c>
      <c r="AT384" t="e">
        <v>#DIV/0!</v>
      </c>
      <c r="AU384" t="e">
        <v>#DIV/0!</v>
      </c>
      <c r="AV384"/>
      <c r="AW384"/>
      <c r="FY384" s="210">
        <v>379</v>
      </c>
      <c r="FZ384">
        <v>13.543502236731879</v>
      </c>
      <c r="GA384">
        <v>28.824538397692677</v>
      </c>
      <c r="GB384">
        <v>9.7738995970315923</v>
      </c>
      <c r="GC384">
        <v>1.8144880363680609</v>
      </c>
      <c r="GD384">
        <v>0.6386693885778687</v>
      </c>
      <c r="GE384">
        <v>2.0558539793455489E-3</v>
      </c>
      <c r="GF384">
        <v>5.4126113149820103</v>
      </c>
      <c r="GG384">
        <v>5.8132966137916409</v>
      </c>
      <c r="GH384">
        <v>2.9642528399973243</v>
      </c>
      <c r="GI384">
        <v>6.5223834601395687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79.909836822660111</v>
      </c>
      <c r="AO385">
        <v>17.607450871442442</v>
      </c>
      <c r="AP385">
        <v>185.48097958404841</v>
      </c>
      <c r="AQ385">
        <v>146.38023892538126</v>
      </c>
      <c r="AR385">
        <v>16.135938267812801</v>
      </c>
      <c r="AS385">
        <v>218.03956275619836</v>
      </c>
      <c r="AT385">
        <v>10.351681646614869</v>
      </c>
      <c r="AU385">
        <v>145.23759177707768</v>
      </c>
      <c r="AV385"/>
      <c r="AW385"/>
      <c r="FY385" s="210">
        <v>380</v>
      </c>
      <c r="FZ385">
        <v>13.383123284199188</v>
      </c>
      <c r="GA385">
        <v>26.023817444973783</v>
      </c>
      <c r="GB385">
        <v>7.7248341068210795</v>
      </c>
      <c r="GC385">
        <v>1.9404078277027561</v>
      </c>
      <c r="GD385">
        <v>0.98219897345481599</v>
      </c>
      <c r="GE385">
        <v>2.7556243266272196</v>
      </c>
      <c r="GF385">
        <v>8.2992837317276518</v>
      </c>
      <c r="GG385">
        <v>4.8960407171781082</v>
      </c>
      <c r="GH385">
        <v>2.8359211736877388</v>
      </c>
      <c r="GI385">
        <v>6.7161242534478101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40.188921957671951</v>
      </c>
      <c r="AO386">
        <v>9.8411229790627228</v>
      </c>
      <c r="AP386">
        <v>96.962268611582942</v>
      </c>
      <c r="AQ386">
        <v>71.202010002851864</v>
      </c>
      <c r="AR386">
        <v>9.2651188762813508</v>
      </c>
      <c r="AS386">
        <v>121.66212508277164</v>
      </c>
      <c r="AT386" t="e">
        <v>#DIV/0!</v>
      </c>
      <c r="AU386" t="e">
        <v>#DIV/0!</v>
      </c>
      <c r="AV386"/>
      <c r="AW386"/>
      <c r="FY386" s="210">
        <v>381</v>
      </c>
      <c r="FZ386">
        <v>20.49584533689589</v>
      </c>
      <c r="GA386">
        <v>40.366392196586375</v>
      </c>
      <c r="GB386">
        <v>8.8882390863490208</v>
      </c>
      <c r="GC386">
        <v>1.06890173284819</v>
      </c>
      <c r="GD386">
        <v>0.70824256076694514</v>
      </c>
      <c r="GE386">
        <v>1.5881142822543635</v>
      </c>
      <c r="GF386">
        <v>10.178013505605051</v>
      </c>
      <c r="GG386">
        <v>10.931333861918509</v>
      </c>
      <c r="GH386">
        <v>6.0377634672825264</v>
      </c>
      <c r="GI386">
        <v>8.8809034623867564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20.701122058018608</v>
      </c>
      <c r="AO387">
        <v>7.9003008825211625</v>
      </c>
      <c r="AP387">
        <v>75.92562215863957</v>
      </c>
      <c r="AQ387">
        <v>51.716630313646959</v>
      </c>
      <c r="AR387">
        <v>7.31887744372714</v>
      </c>
      <c r="AS387">
        <v>75.283589745223793</v>
      </c>
      <c r="AT387">
        <v>4.9872626386065937</v>
      </c>
      <c r="AU387">
        <v>-17.67117860225369</v>
      </c>
      <c r="AV387"/>
      <c r="AW387"/>
      <c r="FY387" s="210">
        <v>382</v>
      </c>
      <c r="FZ387">
        <v>5.4084101740486368</v>
      </c>
      <c r="GA387">
        <v>18.150270676420032</v>
      </c>
      <c r="GB387">
        <v>8.02915895612146</v>
      </c>
      <c r="GC387">
        <v>1.2502584503682856</v>
      </c>
      <c r="GD387">
        <v>0.7286616245617803</v>
      </c>
      <c r="GE387">
        <v>0.28040282525433813</v>
      </c>
      <c r="GF387">
        <v>4.5630736388597164</v>
      </c>
      <c r="GG387">
        <v>6.1001659387349605</v>
      </c>
      <c r="GH387">
        <v>3.941517129551829</v>
      </c>
      <c r="GI387">
        <v>4.8523143748684028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4">IF(C374&lt;1,0,LN(E374/E373)/E21)</f>
        <v>-5.8618881688186093E-3</v>
      </c>
      <c r="G388" s="13"/>
      <c r="H388" s="19">
        <f>IF(G406&lt;0,0,G406)</f>
        <v>3.2791782294222457E-2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20.73926803959132</v>
      </c>
      <c r="AO388">
        <v>6.3094914871954959</v>
      </c>
      <c r="AP388">
        <v>61.895032933334377</v>
      </c>
      <c r="AQ388">
        <v>44.528646933872729</v>
      </c>
      <c r="AR388">
        <v>6.314039302602632</v>
      </c>
      <c r="AS388">
        <v>106.88873695993408</v>
      </c>
      <c r="AT388" t="e">
        <v>#DIV/0!</v>
      </c>
      <c r="AU388" t="e">
        <v>#DIV/0!</v>
      </c>
      <c r="AV388"/>
      <c r="AW388"/>
      <c r="FY388" s="210">
        <v>383</v>
      </c>
      <c r="FZ388">
        <v>22.101229625738952</v>
      </c>
      <c r="GA388">
        <v>40.301237743981694</v>
      </c>
      <c r="GB388">
        <v>9.4926189667110243</v>
      </c>
      <c r="GC388">
        <v>1.25928033117589</v>
      </c>
      <c r="GD388">
        <v>0.70892103831221831</v>
      </c>
      <c r="GE388">
        <v>1.5881142822543635</v>
      </c>
      <c r="GF388">
        <v>3.4608750247812048</v>
      </c>
      <c r="GG388">
        <v>1.1638961764694833</v>
      </c>
      <c r="GH388">
        <v>0.69618267737606665</v>
      </c>
      <c r="GI388">
        <v>6.8939342800253156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4"/>
        <v>3.5063761333048588E-2</v>
      </c>
      <c r="G389" s="13"/>
      <c r="H389" s="19">
        <f t="shared" ref="H389:H398" si="37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21.226652298850574</v>
      </c>
      <c r="AO389">
        <v>8.9863753421479959</v>
      </c>
      <c r="AP389">
        <v>88.439405244134775</v>
      </c>
      <c r="AQ389">
        <v>60.623865019033985</v>
      </c>
      <c r="AR389">
        <v>8.4999906923978816</v>
      </c>
      <c r="AS389">
        <v>101.41542671836821</v>
      </c>
      <c r="AT389">
        <v>5.7431373721446617</v>
      </c>
      <c r="AU389">
        <v>-4.931163564227858</v>
      </c>
      <c r="AV389"/>
      <c r="AW389"/>
      <c r="FY389" s="210">
        <v>384</v>
      </c>
      <c r="FZ389">
        <v>23.086584518714986</v>
      </c>
      <c r="GA389">
        <v>51.933222178674214</v>
      </c>
      <c r="GB389">
        <v>15.349791502010186</v>
      </c>
      <c r="GC389">
        <v>2.0097682335685199</v>
      </c>
      <c r="GD389">
        <v>0.77850907614841935</v>
      </c>
      <c r="GE389">
        <v>1.4479128696271943</v>
      </c>
      <c r="GF389">
        <v>5.0962774856290345</v>
      </c>
      <c r="GG389">
        <v>4.3076868372824197</v>
      </c>
      <c r="GH389">
        <v>2.2111919117281804</v>
      </c>
      <c r="GI389">
        <v>9.2962046826127374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4"/>
        <v>-4.669187440902578E-2</v>
      </c>
      <c r="G390" s="13"/>
      <c r="H390" s="19">
        <f t="shared" si="375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27.35142195767196</v>
      </c>
      <c r="AO390">
        <v>6.2310027019801133</v>
      </c>
      <c r="AP390">
        <v>61.73850971272541</v>
      </c>
      <c r="AQ390">
        <v>48.534174485646837</v>
      </c>
      <c r="AR390">
        <v>6.1269624730972509</v>
      </c>
      <c r="AS390">
        <v>83.789530060717141</v>
      </c>
      <c r="AT390" t="e">
        <v>#DIV/0!</v>
      </c>
      <c r="AU390" t="e">
        <v>#DIV/0!</v>
      </c>
      <c r="AV390"/>
      <c r="AW390"/>
      <c r="FY390" s="210">
        <v>385</v>
      </c>
      <c r="FZ390">
        <v>5.1921077573769745</v>
      </c>
      <c r="GA390">
        <v>21.166708705697037</v>
      </c>
      <c r="GB390">
        <v>9.6664559853715559</v>
      </c>
      <c r="GC390">
        <v>1.778730876937062</v>
      </c>
      <c r="GD390">
        <v>0.73226836953171748</v>
      </c>
      <c r="GE390">
        <v>2.0558539793455489E-3</v>
      </c>
      <c r="GF390">
        <v>4.5376820026655604</v>
      </c>
      <c r="GG390">
        <v>5.9228958567454129</v>
      </c>
      <c r="GH390">
        <v>2.4376446302626795</v>
      </c>
      <c r="GI390">
        <v>5.0856927353199524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4"/>
        <v>-2.4795743356723902E-2</v>
      </c>
      <c r="G391" s="13"/>
      <c r="H391" s="19">
        <f t="shared" si="375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14.562400793650795</v>
      </c>
      <c r="AO391">
        <v>6.5616173388058314</v>
      </c>
      <c r="AP391">
        <v>68.088506305896388</v>
      </c>
      <c r="AQ391">
        <v>46.953677236276562</v>
      </c>
      <c r="AR391">
        <v>6.2333548940293442</v>
      </c>
      <c r="AS391">
        <v>70.228053719610102</v>
      </c>
      <c r="AT391" t="e">
        <v>#DIV/0!</v>
      </c>
      <c r="AU391" t="e">
        <v>#DIV/0!</v>
      </c>
      <c r="AV391"/>
      <c r="AW391"/>
      <c r="FY391" s="210">
        <v>386</v>
      </c>
      <c r="FZ391">
        <v>13.198369091683093</v>
      </c>
      <c r="GA391">
        <v>33.43542267187091</v>
      </c>
      <c r="GB391">
        <v>13.140467027594621</v>
      </c>
      <c r="GC391">
        <v>2.6509723404537402</v>
      </c>
      <c r="GD391">
        <v>0.66085449276246055</v>
      </c>
      <c r="GE391">
        <v>2.7556243266272196</v>
      </c>
      <c r="GF391">
        <v>7.7012060331124221</v>
      </c>
      <c r="GG391">
        <v>4.1482591364646382</v>
      </c>
      <c r="GH391">
        <v>3.3056511325293063</v>
      </c>
      <c r="GI391">
        <v>7.7718170927041053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4"/>
        <v>2.75678812837859E-2</v>
      </c>
      <c r="G392" s="13"/>
      <c r="H392" s="19">
        <f t="shared" si="37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20.296608169129723</v>
      </c>
      <c r="AO392">
        <v>10.5489756645288</v>
      </c>
      <c r="AP392">
        <v>114.71011790466184</v>
      </c>
      <c r="AQ392">
        <v>74.900595472005008</v>
      </c>
      <c r="AR392">
        <v>10.01379378205259</v>
      </c>
      <c r="AS392">
        <v>142.40780026165075</v>
      </c>
      <c r="AT392">
        <v>6.4863303034763158</v>
      </c>
      <c r="AU392">
        <v>-5.2980313079244876</v>
      </c>
      <c r="AV392"/>
      <c r="AW392"/>
      <c r="FY392" s="210">
        <v>387</v>
      </c>
      <c r="FZ392">
        <v>22.275201170660353</v>
      </c>
      <c r="GA392">
        <v>46.066644891445584</v>
      </c>
      <c r="GB392">
        <v>11.386892885956897</v>
      </c>
      <c r="GC392">
        <v>1.1867309842633524</v>
      </c>
      <c r="GD392">
        <v>0.56652034913299509</v>
      </c>
      <c r="GE392">
        <v>1.4520245775858855</v>
      </c>
      <c r="GF392">
        <v>5.0962774856290345</v>
      </c>
      <c r="GG392">
        <v>2.7886228540343732</v>
      </c>
      <c r="GH392">
        <v>1.3923653547521333</v>
      </c>
      <c r="GI392">
        <v>7.932725973920963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4"/>
        <v>3.5193137148939284E-2</v>
      </c>
      <c r="G393" s="13"/>
      <c r="H393" s="19">
        <f t="shared" si="37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24.514647190293736</v>
      </c>
      <c r="AO393">
        <v>9.5103397391666142</v>
      </c>
      <c r="AP393">
        <v>94.603582355985267</v>
      </c>
      <c r="AQ393">
        <v>65.464338959236628</v>
      </c>
      <c r="AR393">
        <v>8.9284127278876451</v>
      </c>
      <c r="AS393">
        <v>120.91352402692597</v>
      </c>
      <c r="AT393">
        <v>6.1992338299871568</v>
      </c>
      <c r="AU393">
        <v>-0.52705002312461335</v>
      </c>
      <c r="AV393"/>
      <c r="AW393"/>
      <c r="FY393" s="210">
        <v>388</v>
      </c>
      <c r="FZ393">
        <v>3.7281579453433826</v>
      </c>
      <c r="GA393">
        <v>16.774773589054146</v>
      </c>
      <c r="GB393">
        <v>8.6074768479274155</v>
      </c>
      <c r="GC393">
        <v>1.293187750608916</v>
      </c>
      <c r="GD393">
        <v>0.79559687099748344</v>
      </c>
      <c r="GE393">
        <v>1.5901701362337088</v>
      </c>
      <c r="GF393">
        <v>2.6843438649823188</v>
      </c>
      <c r="GG393">
        <v>2.9329836855398179</v>
      </c>
      <c r="GH393">
        <v>6.0980801476360709</v>
      </c>
      <c r="GI393">
        <v>4.7566629888143446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4"/>
        <v>3.7431386619140306E-3</v>
      </c>
      <c r="G394" s="13"/>
      <c r="H394" s="19">
        <f t="shared" si="37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22.359108169129719</v>
      </c>
      <c r="AO394">
        <v>10.096782283788054</v>
      </c>
      <c r="AP394">
        <v>105.97019395951195</v>
      </c>
      <c r="AQ394">
        <v>71.687251990931955</v>
      </c>
      <c r="AR394">
        <v>9.611698932786318</v>
      </c>
      <c r="AS394">
        <v>110.57175088825298</v>
      </c>
      <c r="AT394" t="e">
        <v>#DIV/0!</v>
      </c>
      <c r="AU394" t="e">
        <v>#DIV/0!</v>
      </c>
      <c r="AV394"/>
      <c r="AW394"/>
      <c r="FY394" s="210">
        <v>389</v>
      </c>
      <c r="FZ394">
        <v>15.325147823064999</v>
      </c>
      <c r="GA394">
        <v>26.705301059924743</v>
      </c>
      <c r="GB394">
        <v>8.402974555110994</v>
      </c>
      <c r="GC394">
        <v>1.6256376109515795</v>
      </c>
      <c r="GD394">
        <v>0.52815366035459688</v>
      </c>
      <c r="GE394">
        <v>2.0558539793455489E-3</v>
      </c>
      <c r="GF394">
        <v>2.1701228532316357</v>
      </c>
      <c r="GG394">
        <v>3.2925396667513231</v>
      </c>
      <c r="GH394">
        <v>4.3397936729768878</v>
      </c>
      <c r="GI394">
        <v>5.879919814295639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4"/>
        <v>-1.9735582175293236E-2</v>
      </c>
      <c r="G395" s="13"/>
      <c r="H395" s="19">
        <f t="shared" si="375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33.783282589855865</v>
      </c>
      <c r="AO395">
        <v>9.7464747484030791</v>
      </c>
      <c r="AP395">
        <v>103.70372201688009</v>
      </c>
      <c r="AQ395">
        <v>75.309697739291963</v>
      </c>
      <c r="AR395">
        <v>9.5401825116910892</v>
      </c>
      <c r="AS395">
        <v>143.16598639053083</v>
      </c>
      <c r="AT395" t="e">
        <v>#DIV/0!</v>
      </c>
      <c r="AU395" t="e">
        <v>#DIV/0!</v>
      </c>
      <c r="AV395"/>
      <c r="AW395"/>
      <c r="FY395" s="210">
        <v>390</v>
      </c>
      <c r="FZ395">
        <v>21.061528005313221</v>
      </c>
      <c r="GA395">
        <v>38.396396741024354</v>
      </c>
      <c r="GB395">
        <v>10.132822273688037</v>
      </c>
      <c r="GC395">
        <v>2.466505267602181</v>
      </c>
      <c r="GD395">
        <v>0.85588124481336514</v>
      </c>
      <c r="GE395">
        <v>0.14020141262716906</v>
      </c>
      <c r="GF395">
        <v>4.8589080875795707</v>
      </c>
      <c r="GG395">
        <v>5.0794452113032165</v>
      </c>
      <c r="GH395">
        <v>1.375540832979564</v>
      </c>
      <c r="GI395">
        <v>7.5276205644297249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4"/>
        <v>1.421293758265133E-2</v>
      </c>
      <c r="G396" s="13"/>
      <c r="H396" s="19">
        <f t="shared" si="375"/>
        <v>0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33.693120552818833</v>
      </c>
      <c r="AO396">
        <v>10.140058925205697</v>
      </c>
      <c r="AP396">
        <v>100.36793765797339</v>
      </c>
      <c r="AQ396">
        <v>75.557375839820153</v>
      </c>
      <c r="AR396">
        <v>9.5064290106726475</v>
      </c>
      <c r="AS396">
        <v>142.56234114370866</v>
      </c>
      <c r="AT396">
        <v>6.2995533758722857</v>
      </c>
      <c r="AU396">
        <v>33.747587326652166</v>
      </c>
      <c r="AV396"/>
      <c r="AW396"/>
      <c r="FY396" s="210">
        <v>391</v>
      </c>
      <c r="FZ396">
        <v>13.353261307115316</v>
      </c>
      <c r="GA396">
        <v>36.518964801558568</v>
      </c>
      <c r="GB396">
        <v>13.119672866117307</v>
      </c>
      <c r="GC396">
        <v>2.2716125887677934</v>
      </c>
      <c r="GD396">
        <v>1.0915952278046213</v>
      </c>
      <c r="GE396">
        <v>0.28040282525433813</v>
      </c>
      <c r="GF396">
        <v>2.8926303317257465</v>
      </c>
      <c r="GG396">
        <v>3.1655028030570778</v>
      </c>
      <c r="GH396">
        <v>3.1192521431153155</v>
      </c>
      <c r="GI396">
        <v>7.0699844873476287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4"/>
        <v>0</v>
      </c>
      <c r="G397" s="13"/>
      <c r="H397" s="19">
        <f t="shared" si="37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43.186623677248676</v>
      </c>
      <c r="AO397">
        <v>13.876736138356279</v>
      </c>
      <c r="AP397">
        <v>147.96143225289617</v>
      </c>
      <c r="AQ397">
        <v>109.14374949289363</v>
      </c>
      <c r="AR397">
        <v>12.947357482991185</v>
      </c>
      <c r="AS397">
        <v>158.59160489916007</v>
      </c>
      <c r="AT397">
        <v>8.6303560670202639</v>
      </c>
      <c r="AU397">
        <v>66.200682830283938</v>
      </c>
      <c r="AV397"/>
      <c r="AW397"/>
      <c r="FY397" s="210">
        <v>392</v>
      </c>
      <c r="FZ397">
        <v>14.675243771834737</v>
      </c>
      <c r="GA397">
        <v>30.520325249727303</v>
      </c>
      <c r="GB397">
        <v>9.1217904324889361</v>
      </c>
      <c r="GC397">
        <v>1.6898484161447518</v>
      </c>
      <c r="GD397">
        <v>0.72294792326005808</v>
      </c>
      <c r="GE397">
        <v>0.14225726660651461</v>
      </c>
      <c r="GF397">
        <v>4.2608303889643402</v>
      </c>
      <c r="GG397">
        <v>5.0911956222137702</v>
      </c>
      <c r="GH397">
        <v>2.1397384963116721</v>
      </c>
      <c r="GI397">
        <v>6.1570791065610893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4"/>
        <v>0</v>
      </c>
      <c r="G398" s="13"/>
      <c r="H398" s="19">
        <f t="shared" si="37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22.595534573982849</v>
      </c>
      <c r="AO398">
        <v>7.2819836353597749</v>
      </c>
      <c r="AP398">
        <v>75.360994583673744</v>
      </c>
      <c r="AQ398">
        <v>53.304233788789432</v>
      </c>
      <c r="AR398">
        <v>7.1146598035158011</v>
      </c>
      <c r="AS398">
        <v>89.93973472852872</v>
      </c>
      <c r="AT398" t="e">
        <v>#DIV/0!</v>
      </c>
      <c r="AU398" t="e">
        <v>#DIV/0!</v>
      </c>
      <c r="AV398"/>
      <c r="AW398"/>
      <c r="FY398" s="210">
        <v>393</v>
      </c>
      <c r="FZ398">
        <v>23.963720591556516</v>
      </c>
      <c r="GA398">
        <v>40.643537672412528</v>
      </c>
      <c r="GB398">
        <v>11.88156585405002</v>
      </c>
      <c r="GC398">
        <v>2.3743971622712516</v>
      </c>
      <c r="GD398">
        <v>0.44355061109896127</v>
      </c>
      <c r="GE398">
        <v>1.3118231649587164</v>
      </c>
      <c r="GF398">
        <v>5.7933933279289898</v>
      </c>
      <c r="GG398">
        <v>3.9239161997779499</v>
      </c>
      <c r="GH398">
        <v>1.2605952589820808</v>
      </c>
      <c r="GI398">
        <v>8.25420090307653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46.278058862433866</v>
      </c>
      <c r="AO399">
        <v>10.225104657502243</v>
      </c>
      <c r="AP399">
        <v>110.82762051370995</v>
      </c>
      <c r="AQ399">
        <v>87.666290146826213</v>
      </c>
      <c r="AR399">
        <v>9.6856764621900293</v>
      </c>
      <c r="AS399">
        <v>150.53508254252719</v>
      </c>
      <c r="AT399" t="e">
        <v>#DIV/0!</v>
      </c>
      <c r="AU399" t="e">
        <v>#DIV/0!</v>
      </c>
      <c r="AV399"/>
      <c r="AW399"/>
      <c r="FY399" s="210">
        <v>394</v>
      </c>
      <c r="FZ399">
        <v>30.560882607639144</v>
      </c>
      <c r="GA399">
        <v>49.855904564303486</v>
      </c>
      <c r="GB399">
        <v>10.009412713886304</v>
      </c>
      <c r="GC399">
        <v>2.6422855924635371</v>
      </c>
      <c r="GD399">
        <v>1.0426847528033552</v>
      </c>
      <c r="GE399">
        <v>2.6174787679793958</v>
      </c>
      <c r="GF399">
        <v>5.5564748160749424</v>
      </c>
      <c r="GG399">
        <v>3.6516196764766073</v>
      </c>
      <c r="GH399">
        <v>4.8206603668814205</v>
      </c>
      <c r="GI399">
        <v>9.6581241668810502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49.412249703521262</v>
      </c>
      <c r="AO400">
        <v>14.39062345095677</v>
      </c>
      <c r="AP400">
        <v>156.38826406179697</v>
      </c>
      <c r="AQ400">
        <v>115.51714929599589</v>
      </c>
      <c r="AR400">
        <v>13.470398455229963</v>
      </c>
      <c r="AS400">
        <v>171.55380324669423</v>
      </c>
      <c r="AT400" t="e">
        <v>#DIV/0!</v>
      </c>
      <c r="AU400" t="e">
        <v>#DIV/0!</v>
      </c>
      <c r="AV400"/>
      <c r="AW400"/>
      <c r="FY400" s="210">
        <v>395</v>
      </c>
      <c r="FZ400">
        <v>4.7292180418203449</v>
      </c>
      <c r="GA400">
        <v>5.9555390989653221</v>
      </c>
      <c r="GB400">
        <v>4.9687882488436648</v>
      </c>
      <c r="GC400">
        <v>2.5843501238899949</v>
      </c>
      <c r="GD400">
        <v>0.7739327352588653</v>
      </c>
      <c r="GE400">
        <v>1.3097673109793708</v>
      </c>
      <c r="GF400">
        <v>5.5419333504219246</v>
      </c>
      <c r="GG400">
        <v>4.1084817306805563</v>
      </c>
      <c r="GH400">
        <v>2.028231351774656</v>
      </c>
      <c r="GI400">
        <v>3.8704796121066272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18.332175925925927</v>
      </c>
      <c r="AO401">
        <v>8.0338321201683378</v>
      </c>
      <c r="AP401">
        <v>83.524714053574598</v>
      </c>
      <c r="AQ401">
        <v>56.522242773887292</v>
      </c>
      <c r="AR401">
        <v>7.6265669412698998</v>
      </c>
      <c r="AS401">
        <v>84.710437092173748</v>
      </c>
      <c r="AT401" t="e">
        <v>#DIV/0!</v>
      </c>
      <c r="AU401" t="e">
        <v>#DIV/0!</v>
      </c>
      <c r="AV401"/>
      <c r="AW401"/>
      <c r="FY401" s="210">
        <v>396</v>
      </c>
      <c r="FZ401">
        <v>13.062173472560341</v>
      </c>
      <c r="GA401">
        <v>30.730071362533568</v>
      </c>
      <c r="GB401">
        <v>10.073365479090089</v>
      </c>
      <c r="GC401">
        <v>1.7538462914046369</v>
      </c>
      <c r="GD401">
        <v>0.84985992033037161</v>
      </c>
      <c r="GE401">
        <v>1.7283156948815326</v>
      </c>
      <c r="GF401">
        <v>9.9551855732086061</v>
      </c>
      <c r="GG401">
        <v>8.2875659070599408</v>
      </c>
      <c r="GH401">
        <v>3.0757599845343409</v>
      </c>
      <c r="GI401">
        <v>7.6032742940736844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41.607305920452475</v>
      </c>
      <c r="AO402">
        <v>11.707472794990254</v>
      </c>
      <c r="AP402">
        <v>119.33087941614282</v>
      </c>
      <c r="AQ402">
        <v>88.768643345802531</v>
      </c>
      <c r="AR402">
        <v>10.954894708941772</v>
      </c>
      <c r="AS402">
        <v>151.44482117435646</v>
      </c>
      <c r="AT402">
        <v>7.3141450051155195</v>
      </c>
      <c r="AU402">
        <v>16.046957781667466</v>
      </c>
      <c r="AV402"/>
      <c r="AW402"/>
      <c r="FY402" s="210">
        <v>397</v>
      </c>
      <c r="FZ402">
        <v>23.120577051934976</v>
      </c>
      <c r="GA402">
        <v>34.729279015581398</v>
      </c>
      <c r="GB402">
        <v>8.7140005661755406</v>
      </c>
      <c r="GC402">
        <v>3.1698675309983275</v>
      </c>
      <c r="GD402">
        <v>1.1943703796530003</v>
      </c>
      <c r="GE402">
        <v>3.9251902249794219</v>
      </c>
      <c r="GF402">
        <v>13.099726768636833</v>
      </c>
      <c r="GG402">
        <v>6.426788323772155</v>
      </c>
      <c r="GH402">
        <v>1.5038724992891495</v>
      </c>
      <c r="GI402">
        <v>9.3285053496960231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42.742590311986874</v>
      </c>
      <c r="AO403">
        <v>12.177210827995113</v>
      </c>
      <c r="AP403">
        <v>134.54449579404891</v>
      </c>
      <c r="AQ403">
        <v>100.14400652738156</v>
      </c>
      <c r="AR403">
        <v>11.49651833885645</v>
      </c>
      <c r="AS403">
        <v>133.2484784304508</v>
      </c>
      <c r="AT403" t="e">
        <v>#DIV/0!</v>
      </c>
      <c r="AU403" t="e">
        <v>#DIV/0!</v>
      </c>
      <c r="AV403"/>
      <c r="AW403"/>
      <c r="FY403" s="210">
        <v>398</v>
      </c>
      <c r="FZ403">
        <v>6.4601140116347846</v>
      </c>
      <c r="GA403">
        <v>22.506302956134682</v>
      </c>
      <c r="GB403">
        <v>11.783555463405555</v>
      </c>
      <c r="GC403">
        <v>1.9612777597285893</v>
      </c>
      <c r="GD403">
        <v>0.64962533556736712</v>
      </c>
      <c r="GE403">
        <v>2.7556243266272196</v>
      </c>
      <c r="GF403">
        <v>7.4497460556053579</v>
      </c>
      <c r="GG403">
        <v>3.743309750694058</v>
      </c>
      <c r="GH403">
        <v>2.2680701626212576</v>
      </c>
      <c r="GI403">
        <v>6.3583368335636381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21.002346743295021</v>
      </c>
      <c r="AO404">
        <v>6.9554538291986079</v>
      </c>
      <c r="AP404">
        <v>70.105358584755649</v>
      </c>
      <c r="AQ404">
        <v>49.261433827137594</v>
      </c>
      <c r="AR404">
        <v>6.8838633145901724</v>
      </c>
      <c r="AS404">
        <v>84.303115100863195</v>
      </c>
      <c r="AT404">
        <v>4.7032602039003741</v>
      </c>
      <c r="AU404">
        <v>3.9687344134783373</v>
      </c>
      <c r="AV404"/>
      <c r="AW404"/>
      <c r="FY404" s="210">
        <v>399</v>
      </c>
      <c r="FZ404">
        <v>13.413559788423562</v>
      </c>
      <c r="GA404">
        <v>19.578824363670908</v>
      </c>
      <c r="GB404">
        <v>5.3901069435505828</v>
      </c>
      <c r="GC404">
        <v>2.3202195059091859</v>
      </c>
      <c r="GD404">
        <v>0.96597194521597873</v>
      </c>
      <c r="GE404">
        <v>1.4520245775858855</v>
      </c>
      <c r="GF404">
        <v>3.1299997297752098</v>
      </c>
      <c r="GG404">
        <v>1.0446975207390707</v>
      </c>
      <c r="GH404">
        <v>0.92263539591056576</v>
      </c>
      <c r="GI404">
        <v>4.6817282903975626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6">+C4</f>
        <v>39646</v>
      </c>
      <c r="C405" s="61">
        <v>0</v>
      </c>
      <c r="D405" s="61">
        <f t="shared" ref="D405:D414" si="37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3.4871794871794877</v>
      </c>
      <c r="E405" s="108">
        <f t="shared" ref="E405:E414" si="378">IF(D405=0,0.00000001,(1-$A$43/100)*($A$39*(D405^($A$41))))</f>
        <v>0.18755886877799488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34.670369230067507</v>
      </c>
      <c r="AO405">
        <v>8.4122780808617499</v>
      </c>
      <c r="AP405">
        <v>90.187883146101754</v>
      </c>
      <c r="AQ405">
        <v>68.271646570641749</v>
      </c>
      <c r="AR405">
        <v>8.4845139443232984</v>
      </c>
      <c r="AS405">
        <v>131.99547880184275</v>
      </c>
      <c r="AT405" t="e">
        <v>#DIV/0!</v>
      </c>
      <c r="AU405" t="e">
        <v>#DIV/0!</v>
      </c>
      <c r="AV405"/>
      <c r="AW405"/>
      <c r="FY405" s="210">
        <v>400</v>
      </c>
      <c r="FZ405">
        <v>22.026388457687975</v>
      </c>
      <c r="GA405">
        <v>42.805707405017678</v>
      </c>
      <c r="GB405">
        <v>10.250332851064758</v>
      </c>
      <c r="GC405">
        <v>1.2049105480635898</v>
      </c>
      <c r="GD405">
        <v>0.71454426726190479</v>
      </c>
      <c r="GE405">
        <v>4.3437386088815835</v>
      </c>
      <c r="GF405">
        <v>6.668773526440857</v>
      </c>
      <c r="GG405">
        <v>0.58221946776012856</v>
      </c>
      <c r="GH405">
        <v>2.1966167472047493</v>
      </c>
      <c r="GI405">
        <v>8.1096114864046172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6"/>
        <v>39673</v>
      </c>
      <c r="C406" s="61">
        <f>B406-B405</f>
        <v>27</v>
      </c>
      <c r="D406" s="61">
        <f t="shared" si="377"/>
        <v>3.0089507707608156</v>
      </c>
      <c r="E406" s="108">
        <f t="shared" si="378"/>
        <v>0.12804196956651445</v>
      </c>
      <c r="F406" s="19">
        <f t="shared" ref="F406:F414" si="379">IF(C374&lt;1,0,LN(E406/E405)/E21)</f>
        <v>-1.4138320945719748E-2</v>
      </c>
      <c r="G406" s="19">
        <f t="shared" ref="G406:G414" si="380">IF(D406=0, 0, 0.051-(0.068*LN(D406))+(0.006*A406))</f>
        <v>3.2791782294222457E-2</v>
      </c>
      <c r="H406" s="19">
        <f t="shared" ref="H406:H414" si="381">+IF((G406&gt;0),G406,0)</f>
        <v>3.2791782294222457E-2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44.542459177157454</v>
      </c>
      <c r="AO406">
        <v>11.52643805562786</v>
      </c>
      <c r="AP406">
        <v>121.98326658419312</v>
      </c>
      <c r="AQ406">
        <v>91.894849641360395</v>
      </c>
      <c r="AR406">
        <v>10.961915654766399</v>
      </c>
      <c r="AS406">
        <v>139.59580372025871</v>
      </c>
      <c r="AT406" t="e">
        <v>#DIV/0!</v>
      </c>
      <c r="AU406" t="e">
        <v>#DIV/0!</v>
      </c>
      <c r="AV406"/>
      <c r="AW406"/>
      <c r="FY406" s="210">
        <v>401</v>
      </c>
      <c r="FZ406">
        <v>3.6582462607643169</v>
      </c>
      <c r="GA406">
        <v>17.502844542721068</v>
      </c>
      <c r="GB406">
        <v>8.6097896727166709</v>
      </c>
      <c r="GC406">
        <v>1.167868304968426</v>
      </c>
      <c r="GD406">
        <v>0.60479913639578831</v>
      </c>
      <c r="GE406">
        <v>0.28245867923368362</v>
      </c>
      <c r="GF406">
        <v>4.2608303889643402</v>
      </c>
      <c r="GG406">
        <v>3.9916294806880734</v>
      </c>
      <c r="GH406">
        <v>0.5812371033785837</v>
      </c>
      <c r="GI406">
        <v>4.1457753348500574</v>
      </c>
      <c r="GJ406"/>
      <c r="GK406"/>
      <c r="GL406"/>
      <c r="GM406"/>
    </row>
    <row r="407" spans="1:195" s="7" customFormat="1">
      <c r="A407" s="189">
        <v>4.03</v>
      </c>
      <c r="B407" s="71">
        <f t="shared" si="376"/>
        <v>39714</v>
      </c>
      <c r="C407" s="61">
        <f>B407-$B$405</f>
        <v>68</v>
      </c>
      <c r="D407" s="61">
        <f t="shared" si="377"/>
        <v>5.2857142857142856</v>
      </c>
      <c r="E407" s="108">
        <f t="shared" si="378"/>
        <v>0.55030878668283345</v>
      </c>
      <c r="F407" s="19">
        <f t="shared" si="379"/>
        <v>3.5563937892711152E-2</v>
      </c>
      <c r="G407" s="19">
        <f t="shared" si="380"/>
        <v>-3.8040527924045969E-2</v>
      </c>
      <c r="H407" s="19">
        <f t="shared" si="38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40.547981663929946</v>
      </c>
      <c r="AO407">
        <v>10.522748238729731</v>
      </c>
      <c r="AP407">
        <v>111.83819119010077</v>
      </c>
      <c r="AQ407">
        <v>82.882879381863702</v>
      </c>
      <c r="AR407">
        <v>10.207423862351368</v>
      </c>
      <c r="AS407">
        <v>142.21280901849235</v>
      </c>
      <c r="AT407" t="e">
        <v>#DIV/0!</v>
      </c>
      <c r="AU407" t="e">
        <v>#DIV/0!</v>
      </c>
      <c r="AV407"/>
      <c r="AW407"/>
      <c r="FY407" s="210">
        <v>402</v>
      </c>
      <c r="FZ407">
        <v>14.017183643189632</v>
      </c>
      <c r="GA407">
        <v>46.11541031394421</v>
      </c>
      <c r="GB407">
        <v>16.649342754681946</v>
      </c>
      <c r="GC407">
        <v>1.4909778120405131</v>
      </c>
      <c r="GD407">
        <v>0.64628158245052536</v>
      </c>
      <c r="GE407">
        <v>1.3097673109793708</v>
      </c>
      <c r="GF407">
        <v>4.2467398095067397</v>
      </c>
      <c r="GG407">
        <v>1.9759260374519956</v>
      </c>
      <c r="GH407">
        <v>0.69618267737606665</v>
      </c>
      <c r="GI407">
        <v>7.8213426787381222</v>
      </c>
      <c r="GJ407"/>
      <c r="GK407"/>
      <c r="GL407"/>
      <c r="GM407"/>
    </row>
    <row r="408" spans="1:195" s="7" customFormat="1">
      <c r="A408" s="189">
        <v>0.78</v>
      </c>
      <c r="B408" s="71">
        <f t="shared" si="376"/>
        <v>39747</v>
      </c>
      <c r="C408" s="61">
        <f t="shared" ref="C408:C414" si="382">B408-$B$405</f>
        <v>101</v>
      </c>
      <c r="D408" s="61">
        <f t="shared" si="377"/>
        <v>2.9810089020771513</v>
      </c>
      <c r="E408" s="108">
        <f t="shared" si="378"/>
        <v>0.12498740843913773</v>
      </c>
      <c r="F408" s="19">
        <f t="shared" si="379"/>
        <v>-4.4917168220434858E-2</v>
      </c>
      <c r="G408" s="19">
        <f t="shared" si="380"/>
        <v>-1.8593802465523623E-2</v>
      </c>
      <c r="H408" s="19">
        <f t="shared" si="381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32.155951240649514</v>
      </c>
      <c r="AO408">
        <v>9.3333020509394835</v>
      </c>
      <c r="AP408">
        <v>99.061250776906746</v>
      </c>
      <c r="AQ408">
        <v>74.521256674113161</v>
      </c>
      <c r="AR408">
        <v>8.8964834590426278</v>
      </c>
      <c r="AS408">
        <v>116.97196802713937</v>
      </c>
      <c r="AT408" t="e">
        <v>#DIV/0!</v>
      </c>
      <c r="AU408" t="e">
        <v>#DIV/0!</v>
      </c>
      <c r="AV408"/>
      <c r="AW408"/>
      <c r="FY408" s="210">
        <v>403</v>
      </c>
      <c r="FZ408">
        <v>29.787588074863322</v>
      </c>
      <c r="GA408">
        <v>60.649279725953306</v>
      </c>
      <c r="GB408">
        <v>15.168634972004007</v>
      </c>
      <c r="GC408">
        <v>2.2975179612148948</v>
      </c>
      <c r="GD408">
        <v>1.1134591472706021</v>
      </c>
      <c r="GE408">
        <v>0.28245867923368362</v>
      </c>
      <c r="GF408">
        <v>1.5180214733116304</v>
      </c>
      <c r="GG408">
        <v>2.1576935233133856</v>
      </c>
      <c r="GH408">
        <v>2.3830157366187406</v>
      </c>
      <c r="GI408">
        <v>9.6091293578969186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6"/>
        <v>39775</v>
      </c>
      <c r="C409" s="61">
        <f t="shared" si="382"/>
        <v>129</v>
      </c>
      <c r="D409" s="61">
        <f t="shared" si="377"/>
        <v>2.3705512909979065</v>
      </c>
      <c r="E409" s="108">
        <f t="shared" si="378"/>
        <v>6.907553342812417E-2</v>
      </c>
      <c r="F409" s="19">
        <f t="shared" si="379"/>
        <v>-2.1179014518338195E-2</v>
      </c>
      <c r="G409" s="19">
        <f t="shared" si="380"/>
        <v>-6.8523327426040295E-3</v>
      </c>
      <c r="H409" s="19">
        <f t="shared" si="381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47.371808862433866</v>
      </c>
      <c r="AO409">
        <v>12.26804236072234</v>
      </c>
      <c r="AP409">
        <v>130.57913196656796</v>
      </c>
      <c r="AQ409">
        <v>99.850700746113546</v>
      </c>
      <c r="AR409">
        <v>11.743575670011424</v>
      </c>
      <c r="AS409">
        <v>156.22472297638026</v>
      </c>
      <c r="AT409">
        <v>7.7595480198415148</v>
      </c>
      <c r="AU409">
        <v>58.007380352589777</v>
      </c>
      <c r="AV409"/>
      <c r="AW409"/>
      <c r="FY409" s="210">
        <v>404</v>
      </c>
      <c r="FZ409">
        <v>4.3177218586295858</v>
      </c>
      <c r="GA409">
        <v>13.013728157712162</v>
      </c>
      <c r="GB409">
        <v>6.8556899319696907</v>
      </c>
      <c r="GC409">
        <v>1.9066165866568494</v>
      </c>
      <c r="GD409">
        <v>0.61487446634754361</v>
      </c>
      <c r="GE409">
        <v>1.3097673109793708</v>
      </c>
      <c r="GF409">
        <v>2.3534685699763243</v>
      </c>
      <c r="GG409">
        <v>0.9546868966596852</v>
      </c>
      <c r="GH409">
        <v>3.0791984139948072</v>
      </c>
      <c r="GI409">
        <v>3.7780645128307588</v>
      </c>
      <c r="GJ409"/>
      <c r="GK409"/>
      <c r="GL409"/>
      <c r="GM409"/>
    </row>
    <row r="410" spans="1:195" s="7" customFormat="1">
      <c r="A410" s="189">
        <v>0.21</v>
      </c>
      <c r="B410" s="71">
        <f t="shared" si="376"/>
        <v>39799</v>
      </c>
      <c r="C410" s="61">
        <f t="shared" si="382"/>
        <v>153</v>
      </c>
      <c r="D410" s="61">
        <f t="shared" si="377"/>
        <v>3</v>
      </c>
      <c r="E410" s="108">
        <f t="shared" si="378"/>
        <v>0.12705855737942889</v>
      </c>
      <c r="F410" s="19">
        <f t="shared" si="379"/>
        <v>2.5393644528866069E-2</v>
      </c>
      <c r="G410" s="19">
        <f t="shared" si="380"/>
        <v>-2.2445635629431474E-2</v>
      </c>
      <c r="H410" s="19">
        <f t="shared" si="38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61.112681878306887</v>
      </c>
      <c r="AO410">
        <v>14.741036819886915</v>
      </c>
      <c r="AP410">
        <v>153.48478830649216</v>
      </c>
      <c r="AQ410">
        <v>120.41552802538925</v>
      </c>
      <c r="AR410">
        <v>13.725775744168045</v>
      </c>
      <c r="AS410">
        <v>220.03272857679937</v>
      </c>
      <c r="AT410">
        <v>8.8711722794178716</v>
      </c>
      <c r="AU410">
        <v>90.119064960852938</v>
      </c>
      <c r="AV410"/>
      <c r="AW410"/>
      <c r="FY410" s="210">
        <v>405</v>
      </c>
      <c r="FZ410">
        <v>22.787022189223933</v>
      </c>
      <c r="GA410">
        <v>41.684674447402244</v>
      </c>
      <c r="GB410">
        <v>9.4069351903305574</v>
      </c>
      <c r="GC410">
        <v>1.1099349496594122</v>
      </c>
      <c r="GD410">
        <v>0.63771311855941359</v>
      </c>
      <c r="GE410">
        <v>1.3097673109793708</v>
      </c>
      <c r="GF410">
        <v>4.498199787013804</v>
      </c>
      <c r="GG410">
        <v>4.6594713980946461</v>
      </c>
      <c r="GH410">
        <v>4.1244776895053539</v>
      </c>
      <c r="GI410">
        <v>7.8114796450884407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2"/>
        <v>201</v>
      </c>
      <c r="D411" s="61">
        <f t="shared" si="377"/>
        <v>5.5</v>
      </c>
      <c r="E411" s="108">
        <f t="shared" si="378"/>
        <v>0.609919829548765</v>
      </c>
      <c r="F411" s="19">
        <f t="shared" si="379"/>
        <v>3.2680822075832852E-2</v>
      </c>
      <c r="G411" s="19">
        <f t="shared" si="380"/>
        <v>-5.7242870272212941E-2</v>
      </c>
      <c r="H411" s="19">
        <f t="shared" si="38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19.934869891443171</v>
      </c>
      <c r="AO411">
        <v>5.6388418502503752</v>
      </c>
      <c r="AP411">
        <v>48.644998751395441</v>
      </c>
      <c r="AQ411">
        <v>35.870721604741327</v>
      </c>
      <c r="AR411">
        <v>5.4896650867508789</v>
      </c>
      <c r="AS411">
        <v>77.120352740525576</v>
      </c>
      <c r="AT411">
        <v>3.7816637409406897</v>
      </c>
      <c r="AU411">
        <v>-1.6784864112547311</v>
      </c>
      <c r="AV411"/>
      <c r="AW411"/>
      <c r="FY411" s="210">
        <v>406</v>
      </c>
      <c r="FZ411">
        <v>2.3585145440097328</v>
      </c>
      <c r="GA411">
        <v>33.817164281955613</v>
      </c>
      <c r="GB411">
        <v>18.327961965956661</v>
      </c>
      <c r="GC411">
        <v>1.6198326104563683</v>
      </c>
      <c r="GD411">
        <v>0.36267344198593993</v>
      </c>
      <c r="GE411">
        <v>1.4479128696271943</v>
      </c>
      <c r="GF411">
        <v>10.203405141799207</v>
      </c>
      <c r="GG411">
        <v>7.7304418275102904</v>
      </c>
      <c r="GH411">
        <v>1.6188180732866324</v>
      </c>
      <c r="GI411">
        <v>7.7063174651631838</v>
      </c>
      <c r="GJ411"/>
      <c r="GK411"/>
      <c r="GL411"/>
      <c r="GM411"/>
    </row>
    <row r="412" spans="1:195" s="7" customFormat="1">
      <c r="A412" s="189">
        <v>4</v>
      </c>
      <c r="B412" s="71">
        <f t="shared" si="376"/>
        <v>39910</v>
      </c>
      <c r="C412" s="61">
        <f t="shared" si="382"/>
        <v>264</v>
      </c>
      <c r="D412" s="61">
        <f t="shared" si="377"/>
        <v>6.2631578947368425</v>
      </c>
      <c r="E412" s="108">
        <f t="shared" si="378"/>
        <v>0.85371975221832086</v>
      </c>
      <c r="F412" s="19">
        <f t="shared" si="379"/>
        <v>5.3377057043943752E-3</v>
      </c>
      <c r="G412" s="19">
        <f t="shared" si="380"/>
        <v>-4.9758546948266057E-2</v>
      </c>
      <c r="H412" s="19">
        <f t="shared" si="38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32.848859126984124</v>
      </c>
      <c r="AO412">
        <v>11.625138953494679</v>
      </c>
      <c r="AP412">
        <v>119.95467062033352</v>
      </c>
      <c r="AQ412">
        <v>87.11941797967711</v>
      </c>
      <c r="AR412">
        <v>10.99235495398295</v>
      </c>
      <c r="AS412">
        <v>146.54630368570699</v>
      </c>
      <c r="AT412">
        <v>7.4959693126724405</v>
      </c>
      <c r="AU412">
        <v>34.969048177301524</v>
      </c>
      <c r="AV412"/>
      <c r="AW412"/>
      <c r="FY412" s="210">
        <v>407</v>
      </c>
      <c r="FZ412">
        <v>31.003213544113244</v>
      </c>
      <c r="GA412">
        <v>54.32304235831257</v>
      </c>
      <c r="GB412">
        <v>10.905758301973721</v>
      </c>
      <c r="GC412">
        <v>1.6257214107370026</v>
      </c>
      <c r="GD412">
        <v>0.56027716415305218</v>
      </c>
      <c r="GE412">
        <v>1.3097673109793708</v>
      </c>
      <c r="GF412">
        <v>7.212376657555895</v>
      </c>
      <c r="GG412">
        <v>5.1045830413880413</v>
      </c>
      <c r="GH412">
        <v>1.1490881144450649</v>
      </c>
      <c r="GI412">
        <v>9.4418225832155986</v>
      </c>
      <c r="GJ412"/>
      <c r="GK412"/>
      <c r="GL412"/>
      <c r="GM412"/>
    </row>
    <row r="413" spans="1:195" s="7" customFormat="1">
      <c r="A413" s="190">
        <v>7.33</v>
      </c>
      <c r="B413" s="71">
        <f t="shared" si="376"/>
        <v>39949</v>
      </c>
      <c r="C413" s="61">
        <f t="shared" si="382"/>
        <v>303</v>
      </c>
      <c r="D413" s="61">
        <f t="shared" si="377"/>
        <v>5</v>
      </c>
      <c r="E413" s="108">
        <f t="shared" si="378"/>
        <v>0.47659390506970939</v>
      </c>
      <c r="F413" s="19">
        <f t="shared" si="379"/>
        <v>-1.49471334541138E-2</v>
      </c>
      <c r="G413" s="19">
        <f t="shared" si="380"/>
        <v>-1.4461778045518833E-2</v>
      </c>
      <c r="H413" s="19">
        <f t="shared" si="381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54.916647851669396</v>
      </c>
      <c r="AO413">
        <v>14.031843960535415</v>
      </c>
      <c r="AP413">
        <v>137.38446660871955</v>
      </c>
      <c r="AQ413">
        <v>105.21217771071682</v>
      </c>
      <c r="AR413">
        <v>13.149320949787647</v>
      </c>
      <c r="AS413">
        <v>181.82210363924185</v>
      </c>
      <c r="AT413">
        <v>9.061543275447244</v>
      </c>
      <c r="AU413">
        <v>147.65308030072694</v>
      </c>
      <c r="AV413"/>
      <c r="AW413"/>
      <c r="FY413" s="210">
        <v>408</v>
      </c>
      <c r="FZ413">
        <v>1.732440309766663</v>
      </c>
      <c r="GA413">
        <v>20.103034435939641</v>
      </c>
      <c r="GB413">
        <v>11.336523067202283</v>
      </c>
      <c r="GC413">
        <v>2.4392210978325153</v>
      </c>
      <c r="GD413">
        <v>0.94788048624863275</v>
      </c>
      <c r="GE413">
        <v>1.4499687236065399</v>
      </c>
      <c r="GF413">
        <v>4.498199787013804</v>
      </c>
      <c r="GG413">
        <v>3.8999394064706223</v>
      </c>
      <c r="GH413">
        <v>2.4376446302626795</v>
      </c>
      <c r="GI413">
        <v>5.1015841315699255</v>
      </c>
      <c r="GJ413"/>
      <c r="GK413"/>
      <c r="GL413"/>
      <c r="GM413"/>
    </row>
    <row r="414" spans="1:195" s="7" customFormat="1">
      <c r="A414" s="189">
        <v>10.51</v>
      </c>
      <c r="B414" s="71">
        <f t="shared" si="376"/>
        <v>39987</v>
      </c>
      <c r="C414" s="61">
        <f t="shared" si="382"/>
        <v>341</v>
      </c>
      <c r="D414" s="61">
        <f t="shared" si="377"/>
        <v>6.0000000000000009</v>
      </c>
      <c r="E414" s="108">
        <f t="shared" si="378"/>
        <v>0.76395811564536253</v>
      </c>
      <c r="F414" s="19">
        <f t="shared" si="379"/>
        <v>1.2417057604809351E-2</v>
      </c>
      <c r="G414" s="19">
        <f t="shared" si="380"/>
        <v>-7.7796439075077661E-3</v>
      </c>
      <c r="H414" s="19">
        <f t="shared" si="381"/>
        <v>0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21.740689997263267</v>
      </c>
      <c r="AO414">
        <v>9.6460662867254658</v>
      </c>
      <c r="AP414">
        <v>97.32924610418587</v>
      </c>
      <c r="AQ414">
        <v>65.935962655582514</v>
      </c>
      <c r="AR414">
        <v>9.2441957727024917</v>
      </c>
      <c r="AS414">
        <v>133.77489402632924</v>
      </c>
      <c r="AT414">
        <v>6.2669306463879346</v>
      </c>
      <c r="AU414">
        <v>9.5947561972132061</v>
      </c>
      <c r="AV414"/>
      <c r="AW414"/>
      <c r="FY414" s="210">
        <v>409</v>
      </c>
      <c r="FZ414">
        <v>3.8753224937084649</v>
      </c>
      <c r="GA414">
        <v>29.029238958001525</v>
      </c>
      <c r="GB414">
        <v>14.596098682230348</v>
      </c>
      <c r="GC414">
        <v>1.6075532176073788</v>
      </c>
      <c r="GD414">
        <v>0.58715774883721839</v>
      </c>
      <c r="GE414">
        <v>1.3077114570000252</v>
      </c>
      <c r="GF414">
        <v>7.0245895714455902</v>
      </c>
      <c r="GG414">
        <v>6.3893816694162098</v>
      </c>
      <c r="GH414">
        <v>3.941517129551829</v>
      </c>
      <c r="GI414">
        <v>6.7991348580231037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34.788690476190474</v>
      </c>
      <c r="AO415">
        <v>6.8386739206758786</v>
      </c>
      <c r="AP415">
        <v>65.360009565421748</v>
      </c>
      <c r="AQ415">
        <v>52.89976806117852</v>
      </c>
      <c r="AR415">
        <v>6.5319974239524976</v>
      </c>
      <c r="AS415">
        <v>93.600001139836436</v>
      </c>
      <c r="AT415">
        <v>4.3777758848814736</v>
      </c>
      <c r="AU415">
        <v>18.657878655732997</v>
      </c>
      <c r="AV415"/>
      <c r="AW415"/>
      <c r="FY415" s="210">
        <v>410</v>
      </c>
      <c r="FZ415">
        <v>12.293325677993565</v>
      </c>
      <c r="GA415">
        <v>30.993413300740297</v>
      </c>
      <c r="GB415">
        <v>12.100609345582061</v>
      </c>
      <c r="GC415">
        <v>2.6416146143844852</v>
      </c>
      <c r="GD415">
        <v>0.75539004192458337</v>
      </c>
      <c r="GE415">
        <v>1.3077114570000252</v>
      </c>
      <c r="GF415">
        <v>3.9795374058975046</v>
      </c>
      <c r="GG415">
        <v>2.6169263289454712</v>
      </c>
      <c r="GH415">
        <v>1.3320486743985893</v>
      </c>
      <c r="GI415">
        <v>6.384146268031377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43.888343253968266</v>
      </c>
      <c r="AO416">
        <v>12.324470819825276</v>
      </c>
      <c r="AP416">
        <v>130.29796578660557</v>
      </c>
      <c r="AQ416">
        <v>98.902843365787831</v>
      </c>
      <c r="AR416">
        <v>11.447807963770938</v>
      </c>
      <c r="AS416">
        <v>149.7700327344796</v>
      </c>
      <c r="AT416">
        <v>7.7352521166188133</v>
      </c>
      <c r="AU416">
        <v>121.31113233846163</v>
      </c>
      <c r="AV416"/>
      <c r="AW416"/>
      <c r="FY416" s="210">
        <v>411</v>
      </c>
      <c r="FZ416">
        <v>30.856048995748168</v>
      </c>
      <c r="GA416">
        <v>50.561851258421356</v>
      </c>
      <c r="GB416">
        <v>12.211935191054801</v>
      </c>
      <c r="GC416">
        <v>3.414998447924261</v>
      </c>
      <c r="GD416">
        <v>0.96194638469902838</v>
      </c>
      <c r="GE416">
        <v>1.5922259902130544</v>
      </c>
      <c r="GF416">
        <v>6.0956365778243651</v>
      </c>
      <c r="GG416">
        <v>5.1823672830706542</v>
      </c>
      <c r="GH416">
        <v>2.7924290151067641</v>
      </c>
      <c r="GI416">
        <v>10.01995153194394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16.344725529100529</v>
      </c>
      <c r="AO417">
        <v>6.3501721369607544</v>
      </c>
      <c r="AP417">
        <v>66.829842782058421</v>
      </c>
      <c r="AQ417">
        <v>44.80547890468101</v>
      </c>
      <c r="AR417">
        <v>6.1727932289795966</v>
      </c>
      <c r="AS417">
        <v>73.899584999040542</v>
      </c>
      <c r="AT417" t="e">
        <v>#DIV/0!</v>
      </c>
      <c r="AU417" t="e">
        <v>#DIV/0!</v>
      </c>
      <c r="AV417"/>
      <c r="AW417"/>
      <c r="FY417" s="210">
        <v>412</v>
      </c>
      <c r="FZ417">
        <v>4.9980276850140957</v>
      </c>
      <c r="GA417">
        <v>13.104936348383651</v>
      </c>
      <c r="GB417">
        <v>6.405435418398401</v>
      </c>
      <c r="GC417">
        <v>1.5060826242783181</v>
      </c>
      <c r="GD417">
        <v>0.66500379341631044</v>
      </c>
      <c r="GE417">
        <v>1.5901701362337088</v>
      </c>
      <c r="GF417">
        <v>9.1596715783910856</v>
      </c>
      <c r="GG417">
        <v>6.7623675116763335</v>
      </c>
      <c r="GH417">
        <v>0.22645271853449905</v>
      </c>
      <c r="GI417">
        <v>4.7530784286161287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37.410234788359787</v>
      </c>
      <c r="AO418">
        <v>12.129378679159256</v>
      </c>
      <c r="AP418">
        <v>134.769648560722</v>
      </c>
      <c r="AQ418">
        <v>94.96915462035912</v>
      </c>
      <c r="AR418">
        <v>11.425613129623564</v>
      </c>
      <c r="AS418">
        <v>169.6426317965433</v>
      </c>
      <c r="AT418" t="e">
        <v>#DIV/0!</v>
      </c>
      <c r="AU418" t="e">
        <v>#DIV/0!</v>
      </c>
      <c r="AV418"/>
      <c r="AW418"/>
      <c r="FY418" s="210">
        <v>413</v>
      </c>
      <c r="FZ418">
        <v>13.462111434251224</v>
      </c>
      <c r="GA418">
        <v>28.149782532530434</v>
      </c>
      <c r="GB418">
        <v>9.1613074581773901</v>
      </c>
      <c r="GC418">
        <v>1.488793529246194</v>
      </c>
      <c r="GD418">
        <v>0.49692058027983438</v>
      </c>
      <c r="GE418">
        <v>1.4499687236065399</v>
      </c>
      <c r="GF418">
        <v>2.8531481160739895</v>
      </c>
      <c r="GG418">
        <v>1.1425463527822886</v>
      </c>
      <c r="GH418">
        <v>2.5380150397367309</v>
      </c>
      <c r="GI418">
        <v>5.6649036596554057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66.299502827951116</v>
      </c>
      <c r="AO419">
        <v>14.496870738781857</v>
      </c>
      <c r="AP419">
        <v>159.51123409789972</v>
      </c>
      <c r="AQ419">
        <v>124.96679865168051</v>
      </c>
      <c r="AR419">
        <v>13.702293812320589</v>
      </c>
      <c r="AS419">
        <v>206.42848406830456</v>
      </c>
      <c r="AT419" t="e">
        <v>#DIV/0!</v>
      </c>
      <c r="AU419" t="e">
        <v>#DIV/0!</v>
      </c>
      <c r="AV419"/>
      <c r="AW419"/>
      <c r="FY419" s="210">
        <v>414</v>
      </c>
      <c r="FZ419">
        <v>23.77731385134561</v>
      </c>
      <c r="GA419">
        <v>31.612895931420269</v>
      </c>
      <c r="GB419">
        <v>5.1519841380554432</v>
      </c>
      <c r="GC419">
        <v>1.7604185604239895</v>
      </c>
      <c r="GD419">
        <v>0.7065934935824788</v>
      </c>
      <c r="GE419">
        <v>0</v>
      </c>
      <c r="GF419">
        <v>4.3148540702691154</v>
      </c>
      <c r="GG419">
        <v>4.2086769684617034</v>
      </c>
      <c r="GH419">
        <v>1.5038724992891495</v>
      </c>
      <c r="GI419">
        <v>6.4029338679978727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17.904166666666669</v>
      </c>
      <c r="AO420">
        <v>5.6113912042362353</v>
      </c>
      <c r="AP420">
        <v>54.523429013159408</v>
      </c>
      <c r="AQ420">
        <v>38.183816705756783</v>
      </c>
      <c r="AR420">
        <v>5.4837384140780259</v>
      </c>
      <c r="AS420">
        <v>63.29758218578425</v>
      </c>
      <c r="AT420">
        <v>3.9078247809982138</v>
      </c>
      <c r="AU420">
        <v>-14.01599522674505</v>
      </c>
      <c r="AV420"/>
      <c r="AW420"/>
      <c r="FY420" s="210">
        <v>415</v>
      </c>
      <c r="FZ420">
        <v>14.386111876155484</v>
      </c>
      <c r="GA420">
        <v>29.037869577423816</v>
      </c>
      <c r="GB420">
        <v>9.2815820256981674</v>
      </c>
      <c r="GC420">
        <v>1.3773528983880341</v>
      </c>
      <c r="GD420">
        <v>0.30348534305881963</v>
      </c>
      <c r="GE420">
        <v>2.6174787679793958</v>
      </c>
      <c r="GF420">
        <v>6.0561543621726077</v>
      </c>
      <c r="GG420">
        <v>1.8103639244986538</v>
      </c>
      <c r="GH420">
        <v>1.5038724992891495</v>
      </c>
      <c r="GI420">
        <v>6.2235538887423045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43.582787698412687</v>
      </c>
      <c r="AO421">
        <v>11.919503654635987</v>
      </c>
      <c r="AP421">
        <v>129.58613097719001</v>
      </c>
      <c r="AQ421">
        <v>98.029675725857189</v>
      </c>
      <c r="AR421">
        <v>11.283369201480813</v>
      </c>
      <c r="AS421">
        <v>171.65732856676561</v>
      </c>
      <c r="AT421">
        <v>7.3388331093179611</v>
      </c>
      <c r="AU421">
        <v>35.034270938133091</v>
      </c>
      <c r="AV421"/>
      <c r="AW421"/>
      <c r="FY421" s="210">
        <v>416</v>
      </c>
      <c r="FZ421">
        <v>12.510675021122331</v>
      </c>
      <c r="GA421">
        <v>30.877700048661477</v>
      </c>
      <c r="GB421">
        <v>10.31520293024335</v>
      </c>
      <c r="GC421">
        <v>1.8797555179730046</v>
      </c>
      <c r="GD421">
        <v>0.86073321763566513</v>
      </c>
      <c r="GE421">
        <v>1.3118231649587164</v>
      </c>
      <c r="GF421">
        <v>2.1306406375798788</v>
      </c>
      <c r="GG421">
        <v>0.92954906657486014</v>
      </c>
      <c r="GH421">
        <v>4.6980164872814392</v>
      </c>
      <c r="GI421">
        <v>6.2431978061050106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1.2306894681605939E-3</v>
      </c>
      <c r="H422" s="44">
        <f t="shared" ref="H422:AK422" si="383">H372</f>
        <v>7.3997000000000004E-3</v>
      </c>
      <c r="I422" s="44">
        <f t="shared" si="383"/>
        <v>4.4491775956966982E-2</v>
      </c>
      <c r="J422" s="44">
        <f t="shared" si="383"/>
        <v>0.12705855737942889</v>
      </c>
      <c r="K422" s="44">
        <f t="shared" si="383"/>
        <v>0.26751329483694541</v>
      </c>
      <c r="L422" s="44">
        <f t="shared" si="383"/>
        <v>0.47659390506970939</v>
      </c>
      <c r="M422" s="44">
        <f t="shared" si="383"/>
        <v>0.76395811564536187</v>
      </c>
      <c r="N422" s="44">
        <f t="shared" si="383"/>
        <v>1.1384863825958209</v>
      </c>
      <c r="O422" s="44">
        <f t="shared" si="383"/>
        <v>1.6084627186771661</v>
      </c>
      <c r="P422" s="44">
        <f t="shared" si="383"/>
        <v>2.1816934474832261</v>
      </c>
      <c r="Q422" s="44">
        <f t="shared" si="383"/>
        <v>2.8655903951264921</v>
      </c>
      <c r="R422" s="44">
        <f t="shared" si="383"/>
        <v>3.6672319699440723</v>
      </c>
      <c r="S422" s="44">
        <f t="shared" si="383"/>
        <v>4.5934096411746577</v>
      </c>
      <c r="T422" s="44">
        <f t="shared" si="383"/>
        <v>5.6506643198222486</v>
      </c>
      <c r="U422" s="44">
        <f t="shared" si="383"/>
        <v>6.8453154944809951</v>
      </c>
      <c r="V422" s="44">
        <f t="shared" si="383"/>
        <v>8.1834850107417534</v>
      </c>
      <c r="W422" s="44">
        <f t="shared" si="383"/>
        <v>9.6711167904804913</v>
      </c>
      <c r="X422" s="44">
        <f t="shared" si="383"/>
        <v>11.313993408037629</v>
      </c>
      <c r="Y422" s="44">
        <f t="shared" si="383"/>
        <v>13.117750188819354</v>
      </c>
      <c r="Z422" s="44">
        <f t="shared" si="383"/>
        <v>15.087887324101303</v>
      </c>
      <c r="AA422" s="44">
        <f t="shared" si="383"/>
        <v>17.229780375475261</v>
      </c>
      <c r="AB422" s="44">
        <f t="shared" si="383"/>
        <v>19.548689456160336</v>
      </c>
      <c r="AC422" s="44">
        <f t="shared" si="383"/>
        <v>22.049767313401674</v>
      </c>
      <c r="AD422" s="44">
        <f t="shared" si="383"/>
        <v>24.738066489339104</v>
      </c>
      <c r="AE422" s="44">
        <f t="shared" si="383"/>
        <v>27.61854570235483</v>
      </c>
      <c r="AF422" s="44">
        <f t="shared" si="383"/>
        <v>30.696075563819505</v>
      </c>
      <c r="AG422" s="44">
        <f t="shared" si="383"/>
        <v>33.975443724145379</v>
      </c>
      <c r="AH422" s="44">
        <f t="shared" si="383"/>
        <v>37.461359525571552</v>
      </c>
      <c r="AI422" s="44">
        <f t="shared" si="383"/>
        <v>41.15845822603665</v>
      </c>
      <c r="AJ422" s="44">
        <f t="shared" si="383"/>
        <v>45.071304848034394</v>
      </c>
      <c r="AK422" s="44">
        <f t="shared" si="383"/>
        <v>49.204397697895814</v>
      </c>
      <c r="AL422" s="4"/>
      <c r="AM422" s="43">
        <v>406</v>
      </c>
      <c r="AN422">
        <v>24.158482142857146</v>
      </c>
      <c r="AO422">
        <v>12.013873939173978</v>
      </c>
      <c r="AP422">
        <v>130.10275141284171</v>
      </c>
      <c r="AQ422">
        <v>85.193042221750829</v>
      </c>
      <c r="AR422">
        <v>11.352821798413123</v>
      </c>
      <c r="AS422">
        <v>128.33386789099478</v>
      </c>
      <c r="AT422">
        <v>7.5066228144495568</v>
      </c>
      <c r="AU422">
        <v>3.5801513888966463</v>
      </c>
      <c r="AV422"/>
      <c r="AW422"/>
      <c r="FY422" s="210">
        <v>417</v>
      </c>
      <c r="FZ422">
        <v>11.488066271913251</v>
      </c>
      <c r="GA422">
        <v>28.378473980173251</v>
      </c>
      <c r="GB422">
        <v>9.6191422944776797</v>
      </c>
      <c r="GC422">
        <v>2.1395702579008273</v>
      </c>
      <c r="GD422">
        <v>0.88886350329894648</v>
      </c>
      <c r="GE422">
        <v>2.6195346219587416</v>
      </c>
      <c r="GF422">
        <v>5.8873501110809379</v>
      </c>
      <c r="GG422">
        <v>2.2517543489589729</v>
      </c>
      <c r="GH422">
        <v>3.0791984139948072</v>
      </c>
      <c r="GI422">
        <v>6.4543465093731367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4">SUM(G423:AK423)</f>
        <v>24.429694033676945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5">(($A$453+$A$455*(H$422)+($A$457*$D423))*($E21*H37))</f>
        <v>0.11061013179046418</v>
      </c>
      <c r="I423" s="107">
        <f t="shared" si="385"/>
        <v>1.5878259377639508</v>
      </c>
      <c r="J423" s="107">
        <f t="shared" si="385"/>
        <v>3.1562682938126376</v>
      </c>
      <c r="K423" s="107">
        <f t="shared" si="385"/>
        <v>14.327733425244789</v>
      </c>
      <c r="L423" s="107">
        <f t="shared" si="385"/>
        <v>4.4785970644790449</v>
      </c>
      <c r="M423" s="107">
        <f t="shared" si="385"/>
        <v>0.76865918058605665</v>
      </c>
      <c r="N423" s="107">
        <f t="shared" si="385"/>
        <v>0</v>
      </c>
      <c r="O423" s="107">
        <f t="shared" si="385"/>
        <v>0</v>
      </c>
      <c r="P423" s="107">
        <f t="shared" si="385"/>
        <v>0</v>
      </c>
      <c r="Q423" s="107">
        <f t="shared" si="385"/>
        <v>0</v>
      </c>
      <c r="R423" s="107">
        <f t="shared" si="385"/>
        <v>0</v>
      </c>
      <c r="S423" s="107">
        <f t="shared" si="385"/>
        <v>0</v>
      </c>
      <c r="T423" s="107">
        <f t="shared" si="385"/>
        <v>0</v>
      </c>
      <c r="U423" s="107">
        <f t="shared" si="385"/>
        <v>0</v>
      </c>
      <c r="V423" s="107">
        <f t="shared" si="385"/>
        <v>0</v>
      </c>
      <c r="W423" s="107">
        <f t="shared" si="385"/>
        <v>0</v>
      </c>
      <c r="X423" s="107">
        <f t="shared" si="385"/>
        <v>0</v>
      </c>
      <c r="Y423" s="107">
        <f t="shared" si="385"/>
        <v>0</v>
      </c>
      <c r="Z423" s="107">
        <f t="shared" si="385"/>
        <v>0</v>
      </c>
      <c r="AA423" s="107">
        <f t="shared" si="385"/>
        <v>0</v>
      </c>
      <c r="AB423" s="107">
        <f t="shared" si="385"/>
        <v>0</v>
      </c>
      <c r="AC423" s="107">
        <f t="shared" si="385"/>
        <v>0</v>
      </c>
      <c r="AD423" s="107">
        <f t="shared" si="385"/>
        <v>0</v>
      </c>
      <c r="AE423" s="107">
        <f t="shared" si="385"/>
        <v>0</v>
      </c>
      <c r="AF423" s="107">
        <f t="shared" si="385"/>
        <v>0</v>
      </c>
      <c r="AG423" s="107">
        <f t="shared" si="385"/>
        <v>0</v>
      </c>
      <c r="AH423" s="107">
        <f t="shared" si="385"/>
        <v>0</v>
      </c>
      <c r="AI423" s="107">
        <f t="shared" si="385"/>
        <v>0</v>
      </c>
      <c r="AJ423" s="107">
        <f t="shared" si="385"/>
        <v>0</v>
      </c>
      <c r="AK423" s="107">
        <f t="shared" si="385"/>
        <v>0</v>
      </c>
      <c r="AL423" s="4"/>
      <c r="AM423" s="43">
        <v>407</v>
      </c>
      <c r="AN423">
        <v>58.728338806787079</v>
      </c>
      <c r="AO423">
        <v>14.492543388744352</v>
      </c>
      <c r="AP423">
        <v>158.92025246871762</v>
      </c>
      <c r="AQ423">
        <v>122.63565048687354</v>
      </c>
      <c r="AR423">
        <v>13.521798445757097</v>
      </c>
      <c r="AS423">
        <v>203.99780400386143</v>
      </c>
      <c r="AT423">
        <v>8.6689439828898287</v>
      </c>
      <c r="AU423">
        <v>76.060458586473018</v>
      </c>
      <c r="AV423"/>
      <c r="AW423"/>
      <c r="FY423" s="210">
        <v>418</v>
      </c>
      <c r="FZ423">
        <v>29.89176307051391</v>
      </c>
      <c r="GA423">
        <v>45.763875037799167</v>
      </c>
      <c r="GB423">
        <v>6.69479364221014</v>
      </c>
      <c r="GC423">
        <v>1.3183804591918269</v>
      </c>
      <c r="GD423">
        <v>0.61799722619166908</v>
      </c>
      <c r="GE423">
        <v>2.0558539793455489E-3</v>
      </c>
      <c r="GF423">
        <v>2.3389271043233064</v>
      </c>
      <c r="GG423">
        <v>2.3410980174384939</v>
      </c>
      <c r="GH423">
        <v>1.5038724992891495</v>
      </c>
      <c r="GI423">
        <v>7.2649695492069934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4"/>
        <v>41.101495128658428</v>
      </c>
      <c r="D424" s="191">
        <f>$A$406</f>
        <v>9.4499999999999993</v>
      </c>
      <c r="E424" s="8"/>
      <c r="F424" s="124"/>
      <c r="G424" s="107">
        <f t="shared" ref="G424:V432" si="386">(($A$453+$A$455*(G$422)+($A$457*$D424))*($E22*G38))</f>
        <v>0</v>
      </c>
      <c r="H424" s="107">
        <f t="shared" si="386"/>
        <v>0.13091357471251042</v>
      </c>
      <c r="I424" s="107">
        <f t="shared" si="386"/>
        <v>1.7683485023334937</v>
      </c>
      <c r="J424" s="107">
        <f t="shared" si="386"/>
        <v>3.5730396302749527</v>
      </c>
      <c r="K424" s="107">
        <f t="shared" si="386"/>
        <v>14.288032431726315</v>
      </c>
      <c r="L424" s="107">
        <f t="shared" si="386"/>
        <v>8.6971521701714227</v>
      </c>
      <c r="M424" s="107">
        <f t="shared" si="386"/>
        <v>0.89946597122894167</v>
      </c>
      <c r="N424" s="107">
        <f t="shared" si="386"/>
        <v>2.61204244707874</v>
      </c>
      <c r="O424" s="107">
        <f t="shared" si="386"/>
        <v>6.2445649149896649</v>
      </c>
      <c r="P424" s="107">
        <f t="shared" si="386"/>
        <v>0</v>
      </c>
      <c r="Q424" s="107">
        <f t="shared" si="386"/>
        <v>2.8879354861423865</v>
      </c>
      <c r="R424" s="107">
        <f t="shared" si="386"/>
        <v>0</v>
      </c>
      <c r="S424" s="107">
        <f t="shared" si="386"/>
        <v>0</v>
      </c>
      <c r="T424" s="107">
        <f t="shared" si="386"/>
        <v>0</v>
      </c>
      <c r="U424" s="107">
        <f t="shared" si="386"/>
        <v>0</v>
      </c>
      <c r="V424" s="107">
        <f t="shared" si="386"/>
        <v>0</v>
      </c>
      <c r="W424" s="107">
        <f t="shared" si="385"/>
        <v>0</v>
      </c>
      <c r="X424" s="107">
        <f t="shared" si="385"/>
        <v>0</v>
      </c>
      <c r="Y424" s="107">
        <f t="shared" si="385"/>
        <v>0</v>
      </c>
      <c r="Z424" s="107">
        <f t="shared" si="385"/>
        <v>0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0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22.007803092501366</v>
      </c>
      <c r="AO424">
        <v>8.1699729456627388</v>
      </c>
      <c r="AP424">
        <v>80.493269852329036</v>
      </c>
      <c r="AQ424">
        <v>53.946436075913311</v>
      </c>
      <c r="AR424">
        <v>7.5130740496829116</v>
      </c>
      <c r="AS424">
        <v>107.08867694318302</v>
      </c>
      <c r="AT424" t="e">
        <v>#DIV/0!</v>
      </c>
      <c r="AU424" t="e">
        <v>#DIV/0!</v>
      </c>
      <c r="AV424"/>
      <c r="AW424"/>
      <c r="FY424" s="210">
        <v>419</v>
      </c>
      <c r="FZ424">
        <v>11.809743192963346</v>
      </c>
      <c r="GA424">
        <v>28.903215262380606</v>
      </c>
      <c r="GB424">
        <v>8.8287307622693216</v>
      </c>
      <c r="GC424">
        <v>1.308079535255815</v>
      </c>
      <c r="GD424">
        <v>0.76409339162707712</v>
      </c>
      <c r="GE424">
        <v>1.5901701362337088</v>
      </c>
      <c r="GF424">
        <v>4.2023653382939496</v>
      </c>
      <c r="GG424">
        <v>2.8120812339811332</v>
      </c>
      <c r="GH424">
        <v>2.7244140291507226</v>
      </c>
      <c r="GI424">
        <v>5.7490649382021806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4"/>
        <v>10.141065924232574</v>
      </c>
      <c r="D425" s="191">
        <f>A$407</f>
        <v>4.03</v>
      </c>
      <c r="E425" s="8"/>
      <c r="F425" s="124"/>
      <c r="G425" s="107">
        <f t="shared" si="386"/>
        <v>0</v>
      </c>
      <c r="H425" s="107">
        <f t="shared" si="385"/>
        <v>1.4203580875529755E-2</v>
      </c>
      <c r="I425" s="107">
        <f t="shared" si="385"/>
        <v>0</v>
      </c>
      <c r="J425" s="107">
        <f t="shared" si="385"/>
        <v>1.332102217488941</v>
      </c>
      <c r="K425" s="107">
        <f t="shared" si="385"/>
        <v>1.2700985315037334</v>
      </c>
      <c r="L425" s="107">
        <f t="shared" si="385"/>
        <v>1.7320348665041621</v>
      </c>
      <c r="M425" s="107">
        <f t="shared" si="385"/>
        <v>0.22423556353450505</v>
      </c>
      <c r="N425" s="107">
        <f t="shared" si="385"/>
        <v>1.2812813890033141</v>
      </c>
      <c r="O425" s="107">
        <f t="shared" si="385"/>
        <v>2.9960282696894502</v>
      </c>
      <c r="P425" s="107">
        <f t="shared" si="385"/>
        <v>0</v>
      </c>
      <c r="Q425" s="107">
        <f t="shared" si="385"/>
        <v>1.2910815056329392</v>
      </c>
      <c r="R425" s="107">
        <f t="shared" si="385"/>
        <v>0</v>
      </c>
      <c r="S425" s="107">
        <f t="shared" si="385"/>
        <v>0</v>
      </c>
      <c r="T425" s="107">
        <f t="shared" si="385"/>
        <v>0</v>
      </c>
      <c r="U425" s="107">
        <f t="shared" si="385"/>
        <v>0</v>
      </c>
      <c r="V425" s="107">
        <f t="shared" si="385"/>
        <v>0</v>
      </c>
      <c r="W425" s="107">
        <f t="shared" si="385"/>
        <v>0</v>
      </c>
      <c r="X425" s="107">
        <f t="shared" si="385"/>
        <v>0</v>
      </c>
      <c r="Y425" s="107">
        <f t="shared" si="385"/>
        <v>0</v>
      </c>
      <c r="Z425" s="107">
        <f t="shared" si="385"/>
        <v>0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0</v>
      </c>
      <c r="AE425" s="107">
        <f t="shared" si="385"/>
        <v>0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>
        <v>23.437053571428571</v>
      </c>
      <c r="AO425">
        <v>10.542794541282772</v>
      </c>
      <c r="AP425">
        <v>112.12661181455255</v>
      </c>
      <c r="AQ425">
        <v>75.157705785821705</v>
      </c>
      <c r="AR425">
        <v>10.002707136813305</v>
      </c>
      <c r="AS425">
        <v>150.29803576873206</v>
      </c>
      <c r="AT425" t="e">
        <v>#DIV/0!</v>
      </c>
      <c r="AU425" t="e">
        <v>#DIV/0!</v>
      </c>
      <c r="AV425"/>
      <c r="AW425"/>
      <c r="FY425" s="210">
        <v>420</v>
      </c>
      <c r="FZ425">
        <v>3.6771442619465082</v>
      </c>
      <c r="GA425">
        <v>22.398845812799117</v>
      </c>
      <c r="GB425">
        <v>11.116215458475066</v>
      </c>
      <c r="GC425">
        <v>2.0106684312263816</v>
      </c>
      <c r="GD425">
        <v>0.8041175960117567</v>
      </c>
      <c r="GE425">
        <v>2.6215904759380875</v>
      </c>
      <c r="GF425">
        <v>6.6542320607878382</v>
      </c>
      <c r="GG425">
        <v>3.1476604218853108</v>
      </c>
      <c r="GH425">
        <v>2.028231351774656</v>
      </c>
      <c r="GI425">
        <v>5.6607581684049348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4"/>
        <v>1.814087167805903</v>
      </c>
      <c r="D426" s="191">
        <f>A$408</f>
        <v>0.78</v>
      </c>
      <c r="E426" s="8"/>
      <c r="F426" s="124"/>
      <c r="G426" s="107">
        <f t="shared" si="386"/>
        <v>0</v>
      </c>
      <c r="H426" s="107">
        <f t="shared" si="385"/>
        <v>7.955263277591192E-3</v>
      </c>
      <c r="I426" s="107">
        <f t="shared" si="385"/>
        <v>0.305846733627062</v>
      </c>
      <c r="J426" s="107">
        <f t="shared" si="385"/>
        <v>0.890806419378119</v>
      </c>
      <c r="K426" s="107">
        <f t="shared" si="385"/>
        <v>0.48929969258497263</v>
      </c>
      <c r="L426" s="107">
        <f t="shared" si="385"/>
        <v>0</v>
      </c>
      <c r="M426" s="107">
        <f t="shared" si="385"/>
        <v>0.12017905893815818</v>
      </c>
      <c r="N426" s="107">
        <f t="shared" si="385"/>
        <v>0</v>
      </c>
      <c r="O426" s="107">
        <f t="shared" si="385"/>
        <v>0</v>
      </c>
      <c r="P426" s="107">
        <f t="shared" si="385"/>
        <v>0</v>
      </c>
      <c r="Q426" s="107">
        <f t="shared" si="385"/>
        <v>0</v>
      </c>
      <c r="R426" s="107">
        <f t="shared" si="385"/>
        <v>0</v>
      </c>
      <c r="S426" s="107">
        <f t="shared" si="385"/>
        <v>0</v>
      </c>
      <c r="T426" s="107">
        <f t="shared" si="385"/>
        <v>0</v>
      </c>
      <c r="U426" s="107">
        <f t="shared" si="385"/>
        <v>0</v>
      </c>
      <c r="V426" s="107">
        <f t="shared" si="385"/>
        <v>0</v>
      </c>
      <c r="W426" s="107">
        <f t="shared" si="385"/>
        <v>0</v>
      </c>
      <c r="X426" s="107">
        <f t="shared" si="385"/>
        <v>0</v>
      </c>
      <c r="Y426" s="107">
        <f t="shared" si="385"/>
        <v>0</v>
      </c>
      <c r="Z426" s="107">
        <f t="shared" si="385"/>
        <v>0</v>
      </c>
      <c r="AA426" s="107">
        <f t="shared" si="385"/>
        <v>0</v>
      </c>
      <c r="AB426" s="107">
        <f t="shared" si="385"/>
        <v>0</v>
      </c>
      <c r="AC426" s="107">
        <f t="shared" si="385"/>
        <v>0</v>
      </c>
      <c r="AD426" s="107">
        <f t="shared" si="385"/>
        <v>0</v>
      </c>
      <c r="AE426" s="107">
        <f t="shared" si="385"/>
        <v>0</v>
      </c>
      <c r="AF426" s="107">
        <f t="shared" si="385"/>
        <v>0</v>
      </c>
      <c r="AG426" s="107">
        <f t="shared" si="385"/>
        <v>0</v>
      </c>
      <c r="AH426" s="107">
        <f t="shared" si="385"/>
        <v>0</v>
      </c>
      <c r="AI426" s="107">
        <f t="shared" si="385"/>
        <v>0</v>
      </c>
      <c r="AJ426" s="107">
        <f t="shared" si="385"/>
        <v>0</v>
      </c>
      <c r="AK426" s="107">
        <f t="shared" si="385"/>
        <v>0</v>
      </c>
      <c r="AL426" s="4"/>
      <c r="AM426" s="43">
        <v>410</v>
      </c>
      <c r="AN426">
        <v>39.879065179711723</v>
      </c>
      <c r="AO426">
        <v>9.7750047234974069</v>
      </c>
      <c r="AP426">
        <v>100.51837098530427</v>
      </c>
      <c r="AQ426">
        <v>74.404723114897962</v>
      </c>
      <c r="AR426">
        <v>9.1191505611508603</v>
      </c>
      <c r="AS426">
        <v>132.97884220461083</v>
      </c>
      <c r="AT426" t="e">
        <v>#DIV/0!</v>
      </c>
      <c r="AU426" t="e">
        <v>#DIV/0!</v>
      </c>
      <c r="AV426"/>
      <c r="AW426"/>
      <c r="FY426" s="210">
        <v>421</v>
      </c>
      <c r="FZ426">
        <v>39.364736368738882</v>
      </c>
      <c r="GA426">
        <v>66.356570119693615</v>
      </c>
      <c r="GB426">
        <v>11.708080961150479</v>
      </c>
      <c r="GC426">
        <v>2.0795434985829564</v>
      </c>
      <c r="GD426">
        <v>0.83899009906149957</v>
      </c>
      <c r="GE426">
        <v>1.3077114570000252</v>
      </c>
      <c r="GF426">
        <v>3.2030062460986191</v>
      </c>
      <c r="GG426">
        <v>3.4564647714409458</v>
      </c>
      <c r="GH426">
        <v>4.1244776895053539</v>
      </c>
      <c r="GI426">
        <v>10.710094687271017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4"/>
        <v>0.74338629874726792</v>
      </c>
      <c r="D427" s="191">
        <f>A$409</f>
        <v>0.14000000000000001</v>
      </c>
      <c r="E427" s="8"/>
      <c r="F427" s="124"/>
      <c r="G427" s="107">
        <f t="shared" si="386"/>
        <v>0</v>
      </c>
      <c r="H427" s="107">
        <f t="shared" si="385"/>
        <v>1.0153951352415245E-3</v>
      </c>
      <c r="I427" s="107">
        <f t="shared" si="385"/>
        <v>0.23541904258808494</v>
      </c>
      <c r="J427" s="107">
        <f t="shared" si="385"/>
        <v>0.35394023215634102</v>
      </c>
      <c r="K427" s="107">
        <f t="shared" si="385"/>
        <v>0.15301162886760042</v>
      </c>
      <c r="L427" s="107">
        <f t="shared" si="385"/>
        <v>0</v>
      </c>
      <c r="M427" s="107">
        <f t="shared" si="385"/>
        <v>0</v>
      </c>
      <c r="N427" s="107">
        <f t="shared" si="385"/>
        <v>0</v>
      </c>
      <c r="O427" s="107">
        <f t="shared" si="385"/>
        <v>0</v>
      </c>
      <c r="P427" s="107">
        <f t="shared" si="385"/>
        <v>0</v>
      </c>
      <c r="Q427" s="107">
        <f t="shared" si="385"/>
        <v>0</v>
      </c>
      <c r="R427" s="107">
        <f t="shared" si="385"/>
        <v>0</v>
      </c>
      <c r="S427" s="107">
        <f t="shared" si="385"/>
        <v>0</v>
      </c>
      <c r="T427" s="107">
        <f t="shared" si="385"/>
        <v>0</v>
      </c>
      <c r="U427" s="107">
        <f t="shared" si="385"/>
        <v>0</v>
      </c>
      <c r="V427" s="107">
        <f t="shared" si="385"/>
        <v>0</v>
      </c>
      <c r="W427" s="107">
        <f t="shared" si="385"/>
        <v>0</v>
      </c>
      <c r="X427" s="107">
        <f t="shared" si="385"/>
        <v>0</v>
      </c>
      <c r="Y427" s="107">
        <f t="shared" si="385"/>
        <v>0</v>
      </c>
      <c r="Z427" s="107">
        <f t="shared" si="385"/>
        <v>0</v>
      </c>
      <c r="AA427" s="107">
        <f t="shared" si="385"/>
        <v>0</v>
      </c>
      <c r="AB427" s="107">
        <f t="shared" si="385"/>
        <v>0</v>
      </c>
      <c r="AC427" s="107">
        <f t="shared" si="385"/>
        <v>0</v>
      </c>
      <c r="AD427" s="107">
        <f t="shared" si="385"/>
        <v>0</v>
      </c>
      <c r="AE427" s="107">
        <f t="shared" si="385"/>
        <v>0</v>
      </c>
      <c r="AF427" s="107">
        <f t="shared" si="385"/>
        <v>0</v>
      </c>
      <c r="AG427" s="107">
        <f t="shared" si="385"/>
        <v>0</v>
      </c>
      <c r="AH427" s="107">
        <f t="shared" si="385"/>
        <v>0</v>
      </c>
      <c r="AI427" s="107">
        <f t="shared" si="385"/>
        <v>0</v>
      </c>
      <c r="AJ427" s="107">
        <f t="shared" si="385"/>
        <v>0</v>
      </c>
      <c r="AK427" s="107">
        <f t="shared" si="385"/>
        <v>0</v>
      </c>
      <c r="AL427" s="4"/>
      <c r="AM427" s="43">
        <v>411</v>
      </c>
      <c r="AN427">
        <v>59.964433383506659</v>
      </c>
      <c r="AO427">
        <v>15.369021813626535</v>
      </c>
      <c r="AP427">
        <v>160.16235937964603</v>
      </c>
      <c r="AQ427">
        <v>123.68939067600641</v>
      </c>
      <c r="AR427">
        <v>14.400641268708213</v>
      </c>
      <c r="AS427">
        <v>195.71086417076384</v>
      </c>
      <c r="AT427">
        <v>9.6067713745006937</v>
      </c>
      <c r="AU427">
        <v>216.18963785869173</v>
      </c>
      <c r="AV427"/>
      <c r="AW427"/>
      <c r="FY427" s="210">
        <v>422</v>
      </c>
      <c r="FZ427">
        <v>3.9482945514207084</v>
      </c>
      <c r="GA427">
        <v>18.752637288646284</v>
      </c>
      <c r="GB427">
        <v>10.461125216775029</v>
      </c>
      <c r="GC427">
        <v>2.1537230784949117</v>
      </c>
      <c r="GD427">
        <v>0.83220315596298289</v>
      </c>
      <c r="GE427">
        <v>2.6195346219587416</v>
      </c>
      <c r="GF427">
        <v>7.7265976693065772</v>
      </c>
      <c r="GG427">
        <v>4.745027060176537</v>
      </c>
      <c r="GH427">
        <v>5.3472685766160648</v>
      </c>
      <c r="GI427">
        <v>6.2472537254722269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4"/>
        <v>1.5901701362337088</v>
      </c>
      <c r="D428" s="191">
        <f>A$410</f>
        <v>0.21</v>
      </c>
      <c r="E428" s="8"/>
      <c r="F428" s="124"/>
      <c r="G428" s="107">
        <f t="shared" si="386"/>
        <v>0</v>
      </c>
      <c r="H428" s="107">
        <f t="shared" si="385"/>
        <v>2.0558539793455489E-3</v>
      </c>
      <c r="I428" s="107">
        <f t="shared" si="385"/>
        <v>0</v>
      </c>
      <c r="J428" s="107">
        <f t="shared" si="385"/>
        <v>0.2247861907224189</v>
      </c>
      <c r="K428" s="107">
        <f t="shared" si="385"/>
        <v>0.23086840031588052</v>
      </c>
      <c r="L428" s="107">
        <f t="shared" si="385"/>
        <v>0</v>
      </c>
      <c r="M428" s="107">
        <f t="shared" si="385"/>
        <v>0</v>
      </c>
      <c r="N428" s="107">
        <f t="shared" si="385"/>
        <v>0.31935299688938401</v>
      </c>
      <c r="O428" s="107">
        <f t="shared" si="385"/>
        <v>0.81310669432667992</v>
      </c>
      <c r="P428" s="107">
        <f t="shared" si="385"/>
        <v>0</v>
      </c>
      <c r="Q428" s="107">
        <f t="shared" si="385"/>
        <v>0</v>
      </c>
      <c r="R428" s="107">
        <f t="shared" si="385"/>
        <v>0</v>
      </c>
      <c r="S428" s="107">
        <f t="shared" si="385"/>
        <v>0</v>
      </c>
      <c r="T428" s="107">
        <f t="shared" si="385"/>
        <v>0</v>
      </c>
      <c r="U428" s="107">
        <f t="shared" si="385"/>
        <v>0</v>
      </c>
      <c r="V428" s="107">
        <f t="shared" si="385"/>
        <v>0</v>
      </c>
      <c r="W428" s="107">
        <f t="shared" si="385"/>
        <v>0</v>
      </c>
      <c r="X428" s="107">
        <f t="shared" si="385"/>
        <v>0</v>
      </c>
      <c r="Y428" s="107">
        <f t="shared" si="385"/>
        <v>0</v>
      </c>
      <c r="Z428" s="107">
        <f t="shared" si="385"/>
        <v>0</v>
      </c>
      <c r="AA428" s="107">
        <f t="shared" si="385"/>
        <v>0</v>
      </c>
      <c r="AB428" s="107">
        <f t="shared" si="385"/>
        <v>0</v>
      </c>
      <c r="AC428" s="107">
        <f t="shared" si="385"/>
        <v>0</v>
      </c>
      <c r="AD428" s="107">
        <f t="shared" si="385"/>
        <v>0</v>
      </c>
      <c r="AE428" s="107">
        <f t="shared" si="385"/>
        <v>0</v>
      </c>
      <c r="AF428" s="107">
        <f t="shared" si="385"/>
        <v>0</v>
      </c>
      <c r="AG428" s="107">
        <f t="shared" si="385"/>
        <v>0</v>
      </c>
      <c r="AH428" s="107">
        <f t="shared" si="385"/>
        <v>0</v>
      </c>
      <c r="AI428" s="107">
        <f t="shared" si="385"/>
        <v>0</v>
      </c>
      <c r="AJ428" s="107">
        <f t="shared" si="385"/>
        <v>0</v>
      </c>
      <c r="AK428" s="107">
        <f t="shared" si="385"/>
        <v>0</v>
      </c>
      <c r="AL428" s="4"/>
      <c r="AM428" s="43">
        <v>412</v>
      </c>
      <c r="AN428">
        <v>19.965936872833428</v>
      </c>
      <c r="AO428">
        <v>7.3239424654706538</v>
      </c>
      <c r="AP428">
        <v>71.353887273940714</v>
      </c>
      <c r="AQ428">
        <v>49.171226242942524</v>
      </c>
      <c r="AR428">
        <v>6.9202415514896689</v>
      </c>
      <c r="AS428">
        <v>83.749076806634477</v>
      </c>
      <c r="AT428" t="e">
        <v>#DIV/0!</v>
      </c>
      <c r="AU428" t="e">
        <v>#DIV/0!</v>
      </c>
      <c r="AV428"/>
      <c r="AW428"/>
      <c r="FY428" s="210">
        <v>423</v>
      </c>
      <c r="FZ428">
        <v>13.845803364677565</v>
      </c>
      <c r="GA428">
        <v>31.945407124579901</v>
      </c>
      <c r="GB428">
        <v>12.750333685905263</v>
      </c>
      <c r="GC428">
        <v>2.8311783821796728</v>
      </c>
      <c r="GD428">
        <v>0.67476965047211634</v>
      </c>
      <c r="GE428">
        <v>4.1117079586910979E-3</v>
      </c>
      <c r="GF428">
        <v>4.3148540702691154</v>
      </c>
      <c r="GG428">
        <v>4.0386598935108671</v>
      </c>
      <c r="GH428">
        <v>1.2774197807546503</v>
      </c>
      <c r="GI428">
        <v>6.8255347894947427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4"/>
        <v>8.784421812172301</v>
      </c>
      <c r="D429" s="191">
        <f>A$411</f>
        <v>1.28</v>
      </c>
      <c r="E429" s="8"/>
      <c r="F429" s="124"/>
      <c r="G429" s="107">
        <f t="shared" si="386"/>
        <v>0</v>
      </c>
      <c r="H429" s="107">
        <f t="shared" si="385"/>
        <v>0</v>
      </c>
      <c r="I429" s="107">
        <f t="shared" si="385"/>
        <v>0</v>
      </c>
      <c r="J429" s="107">
        <f t="shared" si="385"/>
        <v>0.18908288456671124</v>
      </c>
      <c r="K429" s="107">
        <f t="shared" si="385"/>
        <v>0.80775125493711464</v>
      </c>
      <c r="L429" s="107">
        <f t="shared" si="385"/>
        <v>0</v>
      </c>
      <c r="M429" s="107">
        <f t="shared" si="385"/>
        <v>0.58932367083024861</v>
      </c>
      <c r="N429" s="107">
        <f t="shared" si="385"/>
        <v>1.3412281113965212</v>
      </c>
      <c r="O429" s="107">
        <f t="shared" si="385"/>
        <v>4.5575538362046446</v>
      </c>
      <c r="P429" s="107">
        <f t="shared" si="385"/>
        <v>1.2994820542370604</v>
      </c>
      <c r="Q429" s="107">
        <f t="shared" si="385"/>
        <v>0</v>
      </c>
      <c r="R429" s="107">
        <f t="shared" si="385"/>
        <v>0</v>
      </c>
      <c r="S429" s="107">
        <f t="shared" si="385"/>
        <v>0</v>
      </c>
      <c r="T429" s="107">
        <f t="shared" si="385"/>
        <v>0</v>
      </c>
      <c r="U429" s="107">
        <f t="shared" si="385"/>
        <v>0</v>
      </c>
      <c r="V429" s="107">
        <f t="shared" si="385"/>
        <v>0</v>
      </c>
      <c r="W429" s="107">
        <f t="shared" si="385"/>
        <v>0</v>
      </c>
      <c r="X429" s="107">
        <f t="shared" si="385"/>
        <v>0</v>
      </c>
      <c r="Y429" s="107">
        <f t="shared" si="385"/>
        <v>0</v>
      </c>
      <c r="Z429" s="107">
        <f t="shared" si="385"/>
        <v>0</v>
      </c>
      <c r="AA429" s="107">
        <f t="shared" si="385"/>
        <v>0</v>
      </c>
      <c r="AB429" s="107">
        <f t="shared" si="385"/>
        <v>0</v>
      </c>
      <c r="AC429" s="107">
        <f t="shared" si="385"/>
        <v>0</v>
      </c>
      <c r="AD429" s="107">
        <f t="shared" si="385"/>
        <v>0</v>
      </c>
      <c r="AE429" s="107">
        <f t="shared" si="385"/>
        <v>0</v>
      </c>
      <c r="AF429" s="107">
        <f t="shared" si="385"/>
        <v>0</v>
      </c>
      <c r="AG429" s="107">
        <f t="shared" si="385"/>
        <v>0</v>
      </c>
      <c r="AH429" s="107">
        <f t="shared" si="385"/>
        <v>0</v>
      </c>
      <c r="AI429" s="107">
        <f t="shared" si="385"/>
        <v>0</v>
      </c>
      <c r="AJ429" s="107">
        <f t="shared" si="385"/>
        <v>0</v>
      </c>
      <c r="AK429" s="107">
        <f t="shared" si="385"/>
        <v>0</v>
      </c>
      <c r="AL429" s="4"/>
      <c r="AM429" s="43">
        <v>413</v>
      </c>
      <c r="AN429">
        <v>33.626071314541136</v>
      </c>
      <c r="AO429">
        <v>8.3828827115263476</v>
      </c>
      <c r="AP429">
        <v>89.409287037916286</v>
      </c>
      <c r="AQ429">
        <v>66.407497426340029</v>
      </c>
      <c r="AR429">
        <v>8.1252440731838984</v>
      </c>
      <c r="AS429">
        <v>122.85924206241053</v>
      </c>
      <c r="AT429">
        <v>5.3675226285240845</v>
      </c>
      <c r="AU429">
        <v>31.306146702211741</v>
      </c>
      <c r="AV429"/>
      <c r="AW429"/>
      <c r="FY429" s="210">
        <v>424</v>
      </c>
      <c r="FZ429">
        <v>13.076414742347181</v>
      </c>
      <c r="GA429">
        <v>23.951119350266296</v>
      </c>
      <c r="GB429">
        <v>7.4270686219196875</v>
      </c>
      <c r="GC429">
        <v>2.2152780343072869</v>
      </c>
      <c r="GD429">
        <v>0.84689365280897144</v>
      </c>
      <c r="GE429">
        <v>1.4520245775858855</v>
      </c>
      <c r="GF429">
        <v>5.3191054180254795</v>
      </c>
      <c r="GG429">
        <v>2.9837777590700347</v>
      </c>
      <c r="GH429">
        <v>1.3923653547521333</v>
      </c>
      <c r="GI429">
        <v>5.7004443444842368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4"/>
        <v>6.5497749859001981</v>
      </c>
      <c r="D430" s="191">
        <f>A$412</f>
        <v>4</v>
      </c>
      <c r="E430" s="8"/>
      <c r="F430" s="124"/>
      <c r="G430" s="107">
        <f t="shared" si="386"/>
        <v>0</v>
      </c>
      <c r="H430" s="107">
        <f t="shared" si="385"/>
        <v>0</v>
      </c>
      <c r="I430" s="107">
        <f t="shared" si="385"/>
        <v>0</v>
      </c>
      <c r="J430" s="107">
        <f t="shared" si="385"/>
        <v>4.703041282279373E-2</v>
      </c>
      <c r="K430" s="107">
        <f t="shared" si="385"/>
        <v>0.58546471510698506</v>
      </c>
      <c r="L430" s="107">
        <f t="shared" si="385"/>
        <v>0.34003414990167319</v>
      </c>
      <c r="M430" s="107">
        <f t="shared" si="385"/>
        <v>0.52820923835375966</v>
      </c>
      <c r="N430" s="107">
        <f t="shared" si="385"/>
        <v>0.75443525592009031</v>
      </c>
      <c r="O430" s="107">
        <f t="shared" si="385"/>
        <v>3.0235551648541166</v>
      </c>
      <c r="P430" s="107">
        <f t="shared" si="385"/>
        <v>1.2710460489407793</v>
      </c>
      <c r="Q430" s="107">
        <f t="shared" si="385"/>
        <v>0</v>
      </c>
      <c r="R430" s="107">
        <f t="shared" si="385"/>
        <v>0</v>
      </c>
      <c r="S430" s="107">
        <f t="shared" si="385"/>
        <v>0</v>
      </c>
      <c r="T430" s="107">
        <f t="shared" si="385"/>
        <v>0</v>
      </c>
      <c r="U430" s="107">
        <f t="shared" si="385"/>
        <v>0</v>
      </c>
      <c r="V430" s="107">
        <f t="shared" si="385"/>
        <v>0</v>
      </c>
      <c r="W430" s="107">
        <f t="shared" si="385"/>
        <v>0</v>
      </c>
      <c r="X430" s="107">
        <f t="shared" si="385"/>
        <v>0</v>
      </c>
      <c r="Y430" s="107">
        <f t="shared" si="385"/>
        <v>0</v>
      </c>
      <c r="Z430" s="107">
        <f t="shared" si="385"/>
        <v>0</v>
      </c>
      <c r="AA430" s="107">
        <f t="shared" si="385"/>
        <v>0</v>
      </c>
      <c r="AB430" s="107">
        <f t="shared" si="385"/>
        <v>0</v>
      </c>
      <c r="AC430" s="107">
        <f t="shared" si="385"/>
        <v>0</v>
      </c>
      <c r="AD430" s="107">
        <f t="shared" si="385"/>
        <v>0</v>
      </c>
      <c r="AE430" s="107">
        <f t="shared" si="385"/>
        <v>0</v>
      </c>
      <c r="AF430" s="107">
        <f t="shared" si="385"/>
        <v>0</v>
      </c>
      <c r="AG430" s="107">
        <f t="shared" si="385"/>
        <v>0</v>
      </c>
      <c r="AH430" s="107">
        <f t="shared" si="385"/>
        <v>0</v>
      </c>
      <c r="AI430" s="107">
        <f t="shared" si="385"/>
        <v>0</v>
      </c>
      <c r="AJ430" s="107">
        <f t="shared" si="385"/>
        <v>0</v>
      </c>
      <c r="AK430" s="107">
        <f t="shared" si="385"/>
        <v>0</v>
      </c>
      <c r="AL430" s="4"/>
      <c r="AM430" s="43">
        <v>414</v>
      </c>
      <c r="AN430">
        <v>42.649139071337352</v>
      </c>
      <c r="AO430">
        <v>9.3954490913786994</v>
      </c>
      <c r="AP430">
        <v>99.462036979217672</v>
      </c>
      <c r="AQ430">
        <v>79.43954338084562</v>
      </c>
      <c r="AR430">
        <v>9.171505602367354</v>
      </c>
      <c r="AS430">
        <v>122.62644723843688</v>
      </c>
      <c r="AT430" t="e">
        <v>#DIV/0!</v>
      </c>
      <c r="AU430" t="e">
        <v>#DIV/0!</v>
      </c>
      <c r="AV430"/>
      <c r="AW430"/>
      <c r="FY430" s="210">
        <v>425</v>
      </c>
      <c r="FZ430">
        <v>5.1041947638630365</v>
      </c>
      <c r="GA430">
        <v>20.900150606272128</v>
      </c>
      <c r="GB430">
        <v>10.757893906499801</v>
      </c>
      <c r="GC430">
        <v>1.9202708238003972</v>
      </c>
      <c r="GD430">
        <v>0.6154150101083552</v>
      </c>
      <c r="GE430">
        <v>1.3077114570000252</v>
      </c>
      <c r="GF430">
        <v>5.5705653955325438</v>
      </c>
      <c r="GG430">
        <v>3.3887271448406149</v>
      </c>
      <c r="GH430">
        <v>0.92263539591056576</v>
      </c>
      <c r="GI430">
        <v>5.2885723510499307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4"/>
        <v>2.3115623212022323</v>
      </c>
      <c r="D431" s="191">
        <f>A$413</f>
        <v>7.33</v>
      </c>
      <c r="E431" s="8"/>
      <c r="F431" s="124"/>
      <c r="G431" s="107">
        <f t="shared" si="386"/>
        <v>0</v>
      </c>
      <c r="H431" s="107">
        <f t="shared" si="385"/>
        <v>0</v>
      </c>
      <c r="I431" s="107">
        <f t="shared" si="385"/>
        <v>0</v>
      </c>
      <c r="J431" s="107">
        <f t="shared" si="385"/>
        <v>0</v>
      </c>
      <c r="K431" s="107">
        <f t="shared" si="385"/>
        <v>0</v>
      </c>
      <c r="L431" s="107">
        <f t="shared" si="385"/>
        <v>0.90581087413799621</v>
      </c>
      <c r="M431" s="107">
        <f t="shared" si="385"/>
        <v>0.70956876968816929</v>
      </c>
      <c r="N431" s="107">
        <f t="shared" si="385"/>
        <v>0</v>
      </c>
      <c r="O431" s="107">
        <f t="shared" si="385"/>
        <v>0.69618267737606665</v>
      </c>
      <c r="P431" s="107">
        <f t="shared" si="385"/>
        <v>0</v>
      </c>
      <c r="Q431" s="107">
        <f t="shared" si="385"/>
        <v>0</v>
      </c>
      <c r="R431" s="107">
        <f t="shared" si="385"/>
        <v>0</v>
      </c>
      <c r="S431" s="107">
        <f t="shared" si="385"/>
        <v>0</v>
      </c>
      <c r="T431" s="107">
        <f t="shared" si="385"/>
        <v>0</v>
      </c>
      <c r="U431" s="107">
        <f t="shared" si="385"/>
        <v>0</v>
      </c>
      <c r="V431" s="107">
        <f t="shared" si="385"/>
        <v>0</v>
      </c>
      <c r="W431" s="107">
        <f t="shared" si="385"/>
        <v>0</v>
      </c>
      <c r="X431" s="107">
        <f t="shared" si="385"/>
        <v>0</v>
      </c>
      <c r="Y431" s="107">
        <f t="shared" si="385"/>
        <v>0</v>
      </c>
      <c r="Z431" s="107">
        <f t="shared" si="385"/>
        <v>0</v>
      </c>
      <c r="AA431" s="107">
        <f t="shared" si="385"/>
        <v>0</v>
      </c>
      <c r="AB431" s="107">
        <f t="shared" si="385"/>
        <v>0</v>
      </c>
      <c r="AC431" s="107">
        <f t="shared" si="385"/>
        <v>0</v>
      </c>
      <c r="AD431" s="107">
        <f t="shared" si="385"/>
        <v>0</v>
      </c>
      <c r="AE431" s="107">
        <f t="shared" si="385"/>
        <v>0</v>
      </c>
      <c r="AF431" s="107">
        <f t="shared" si="385"/>
        <v>0</v>
      </c>
      <c r="AG431" s="107">
        <f t="shared" si="385"/>
        <v>0</v>
      </c>
      <c r="AH431" s="107">
        <f t="shared" si="385"/>
        <v>0</v>
      </c>
      <c r="AI431" s="107">
        <f t="shared" si="385"/>
        <v>0</v>
      </c>
      <c r="AJ431" s="107">
        <f t="shared" si="385"/>
        <v>0</v>
      </c>
      <c r="AK431" s="107">
        <f t="shared" si="385"/>
        <v>0</v>
      </c>
      <c r="AL431" s="4"/>
      <c r="AM431" s="43">
        <v>415</v>
      </c>
      <c r="AN431">
        <v>31.497088806787083</v>
      </c>
      <c r="AO431">
        <v>9.3575840732845528</v>
      </c>
      <c r="AP431">
        <v>98.789974020678301</v>
      </c>
      <c r="AQ431">
        <v>72.597825163406426</v>
      </c>
      <c r="AR431">
        <v>8.8616700265007058</v>
      </c>
      <c r="AS431">
        <v>109.91398246486754</v>
      </c>
      <c r="AT431">
        <v>5.9627725819321036</v>
      </c>
      <c r="AU431">
        <v>49.962762610428072</v>
      </c>
      <c r="AV431"/>
      <c r="AW431"/>
      <c r="FY431" s="210">
        <v>426</v>
      </c>
      <c r="FZ431">
        <v>24.933454777235514</v>
      </c>
      <c r="GA431">
        <v>40.54154543407067</v>
      </c>
      <c r="GB431">
        <v>8.8408006794466374</v>
      </c>
      <c r="GC431">
        <v>1.5574991141988468</v>
      </c>
      <c r="GD431">
        <v>0.99882674216506784</v>
      </c>
      <c r="GE431">
        <v>1.7324274028402236</v>
      </c>
      <c r="GF431">
        <v>9.1056478970863104</v>
      </c>
      <c r="GG431">
        <v>7.3048520155267269</v>
      </c>
      <c r="GH431">
        <v>2.9642528399973243</v>
      </c>
      <c r="GI431">
        <v>8.9572436511594642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4"/>
        <v>8.8416936460553472</v>
      </c>
      <c r="D432" s="191">
        <f>A$414</f>
        <v>10.51</v>
      </c>
      <c r="E432" s="8"/>
      <c r="F432" s="124"/>
      <c r="G432" s="107">
        <f t="shared" si="386"/>
        <v>0</v>
      </c>
      <c r="H432" s="107">
        <f t="shared" ref="H432:AK432" si="387">(($A$453+$A$455*(H$422)+($A$457*$D432))*($E30*H46))</f>
        <v>2.0451322324198589E-2</v>
      </c>
      <c r="I432" s="107">
        <f t="shared" si="387"/>
        <v>0.36921519900207189</v>
      </c>
      <c r="J432" s="107">
        <f t="shared" si="387"/>
        <v>1.0316157983791456</v>
      </c>
      <c r="K432" s="107">
        <f t="shared" si="387"/>
        <v>2.6708128002081946</v>
      </c>
      <c r="L432" s="107">
        <f t="shared" si="387"/>
        <v>1.2362675980452726</v>
      </c>
      <c r="M432" s="107">
        <f t="shared" si="387"/>
        <v>0.39599045556369011</v>
      </c>
      <c r="N432" s="107">
        <f t="shared" si="387"/>
        <v>0.59659818541002707</v>
      </c>
      <c r="O432" s="107">
        <f t="shared" si="387"/>
        <v>1.8593625974064623</v>
      </c>
      <c r="P432" s="107">
        <f t="shared" si="387"/>
        <v>0.29388426937321444</v>
      </c>
      <c r="Q432" s="107">
        <f t="shared" si="387"/>
        <v>0.36749542034307064</v>
      </c>
      <c r="R432" s="107">
        <f t="shared" si="387"/>
        <v>0</v>
      </c>
      <c r="S432" s="107">
        <f t="shared" si="387"/>
        <v>0</v>
      </c>
      <c r="T432" s="107">
        <f t="shared" si="387"/>
        <v>0</v>
      </c>
      <c r="U432" s="107">
        <f t="shared" si="387"/>
        <v>0</v>
      </c>
      <c r="V432" s="107">
        <f t="shared" si="387"/>
        <v>0</v>
      </c>
      <c r="W432" s="107">
        <f t="shared" si="387"/>
        <v>0</v>
      </c>
      <c r="X432" s="107">
        <f t="shared" si="387"/>
        <v>0</v>
      </c>
      <c r="Y432" s="107">
        <f t="shared" si="387"/>
        <v>0</v>
      </c>
      <c r="Z432" s="107">
        <f t="shared" si="387"/>
        <v>0</v>
      </c>
      <c r="AA432" s="107">
        <f t="shared" si="387"/>
        <v>0</v>
      </c>
      <c r="AB432" s="107">
        <f t="shared" si="387"/>
        <v>0</v>
      </c>
      <c r="AC432" s="107">
        <f t="shared" si="387"/>
        <v>0</v>
      </c>
      <c r="AD432" s="107">
        <f t="shared" si="387"/>
        <v>0</v>
      </c>
      <c r="AE432" s="107">
        <f t="shared" si="387"/>
        <v>0</v>
      </c>
      <c r="AF432" s="107">
        <f t="shared" si="387"/>
        <v>0</v>
      </c>
      <c r="AG432" s="107">
        <f t="shared" si="387"/>
        <v>0</v>
      </c>
      <c r="AH432" s="107">
        <f t="shared" si="387"/>
        <v>0</v>
      </c>
      <c r="AI432" s="107">
        <f t="shared" si="387"/>
        <v>0</v>
      </c>
      <c r="AJ432" s="107">
        <f t="shared" si="387"/>
        <v>0</v>
      </c>
      <c r="AK432" s="107">
        <f t="shared" si="387"/>
        <v>0</v>
      </c>
      <c r="AL432" s="4"/>
      <c r="AM432" s="43">
        <v>416</v>
      </c>
      <c r="AN432">
        <v>35.827363277686558</v>
      </c>
      <c r="AO432">
        <v>9.2418790878193118</v>
      </c>
      <c r="AP432">
        <v>97.530013411575382</v>
      </c>
      <c r="AQ432">
        <v>71.757293898135728</v>
      </c>
      <c r="AR432">
        <v>9.0190870515710628</v>
      </c>
      <c r="AS432">
        <v>152.18715203642117</v>
      </c>
      <c r="AT432" t="e">
        <v>#DIV/0!</v>
      </c>
      <c r="AU432" t="e">
        <v>#DIV/0!</v>
      </c>
      <c r="AV432"/>
      <c r="AW432"/>
      <c r="FY432" s="210">
        <v>427</v>
      </c>
      <c r="FZ432">
        <v>15.087156507289647</v>
      </c>
      <c r="GA432">
        <v>28.929188303750131</v>
      </c>
      <c r="GB432">
        <v>8.1490719280848349</v>
      </c>
      <c r="GC432">
        <v>1.3574883688987873</v>
      </c>
      <c r="GD432">
        <v>0.8518457973909227</v>
      </c>
      <c r="GE432">
        <v>1.4520245775858855</v>
      </c>
      <c r="GF432">
        <v>3.7026857921962844</v>
      </c>
      <c r="GG432">
        <v>3.7237879193842263</v>
      </c>
      <c r="GH432">
        <v>4.5942076483469219</v>
      </c>
      <c r="GI432">
        <v>6.3624465959564134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35.504678092501372</v>
      </c>
      <c r="AO433">
        <v>9.8725393122614093</v>
      </c>
      <c r="AP433">
        <v>99.952138052589973</v>
      </c>
      <c r="AQ433">
        <v>72.806300313130563</v>
      </c>
      <c r="AR433">
        <v>9.2561778255303846</v>
      </c>
      <c r="AS433">
        <v>129.7015253427308</v>
      </c>
      <c r="AT433">
        <v>6.1431889383971905</v>
      </c>
      <c r="AU433">
        <v>40.07107322854192</v>
      </c>
      <c r="AV433"/>
      <c r="AW433"/>
      <c r="FY433" s="210">
        <v>428</v>
      </c>
      <c r="FZ433">
        <v>2.6693586922232933</v>
      </c>
      <c r="GA433">
        <v>14.097999314175443</v>
      </c>
      <c r="GB433">
        <v>9.7667924841562623</v>
      </c>
      <c r="GC433">
        <v>2.9030193275006231</v>
      </c>
      <c r="GD433">
        <v>0.77335587574011044</v>
      </c>
      <c r="GE433">
        <v>0.14020141262716906</v>
      </c>
      <c r="GF433">
        <v>2.4215828307386991</v>
      </c>
      <c r="GG433">
        <v>3.9469698192934159</v>
      </c>
      <c r="GH433">
        <v>3.1338273076387462</v>
      </c>
      <c r="GI433">
        <v>4.3543809556426778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52.952017195767198</v>
      </c>
      <c r="AO434">
        <v>10.926206462429043</v>
      </c>
      <c r="AP434">
        <v>121.64291577812753</v>
      </c>
      <c r="AQ434">
        <v>97.737732460144002</v>
      </c>
      <c r="AR434">
        <v>10.402812019943415</v>
      </c>
      <c r="AS434">
        <v>151.58258940384064</v>
      </c>
      <c r="AT434" t="e">
        <v>#DIV/0!</v>
      </c>
      <c r="AU434" t="e">
        <v>#DIV/0!</v>
      </c>
      <c r="AV434"/>
      <c r="AW434"/>
      <c r="FY434" s="210">
        <v>429</v>
      </c>
      <c r="FZ434">
        <v>17.142681921652834</v>
      </c>
      <c r="GA434">
        <v>41.831886949730141</v>
      </c>
      <c r="GB434">
        <v>13.024130386829325</v>
      </c>
      <c r="GC434">
        <v>1.0094753324767747</v>
      </c>
      <c r="GD434">
        <v>0.58547485401955268</v>
      </c>
      <c r="GE434">
        <v>1.4499687236065399</v>
      </c>
      <c r="GF434">
        <v>4.0335610872022789</v>
      </c>
      <c r="GG434">
        <v>4.5230548749179853</v>
      </c>
      <c r="GH434">
        <v>5.2735658039504187</v>
      </c>
      <c r="GI434">
        <v>7.9983996555107204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106.30735145468492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32.325659095055649</v>
      </c>
      <c r="AO435">
        <v>8.7100616164959046</v>
      </c>
      <c r="AP435">
        <v>91.543858373382363</v>
      </c>
      <c r="AQ435">
        <v>68.691957820357857</v>
      </c>
      <c r="AR435">
        <v>8.2081814180296391</v>
      </c>
      <c r="AS435">
        <v>145.56903482998243</v>
      </c>
      <c r="AT435">
        <v>5.2963217983308342</v>
      </c>
      <c r="AU435">
        <v>23.306522758572289</v>
      </c>
      <c r="AV435"/>
      <c r="AW435"/>
      <c r="FY435" s="210">
        <v>430</v>
      </c>
      <c r="FZ435">
        <v>2.5191588817883397</v>
      </c>
      <c r="GA435">
        <v>13.69172996616474</v>
      </c>
      <c r="GB435">
        <v>7.3089407179184045</v>
      </c>
      <c r="GC435">
        <v>1.9928998352602774</v>
      </c>
      <c r="GD435">
        <v>0.94853426991208867</v>
      </c>
      <c r="GE435">
        <v>0.28245867923368362</v>
      </c>
      <c r="GF435">
        <v>5.135759701280791</v>
      </c>
      <c r="GG435">
        <v>5.3216305291616717</v>
      </c>
      <c r="GH435">
        <v>2.5380150397367309</v>
      </c>
      <c r="GI435">
        <v>4.2727417120893465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22.297997058018609</v>
      </c>
      <c r="AO436">
        <v>8.9282621293738629</v>
      </c>
      <c r="AP436">
        <v>89.344540367811973</v>
      </c>
      <c r="AQ436">
        <v>60.119464039249664</v>
      </c>
      <c r="AR436">
        <v>8.2515588416462577</v>
      </c>
      <c r="AS436">
        <v>134.09886938298112</v>
      </c>
      <c r="AT436">
        <v>5.8182631551451491</v>
      </c>
      <c r="AU436">
        <v>-22.009464686474889</v>
      </c>
      <c r="AV436"/>
      <c r="AW436"/>
      <c r="FY436" s="210">
        <v>431</v>
      </c>
      <c r="FZ436">
        <v>13.040484573456654</v>
      </c>
      <c r="GA436">
        <v>28.704196043867761</v>
      </c>
      <c r="GB436">
        <v>9.6453299813866593</v>
      </c>
      <c r="GC436">
        <v>2.5944467859414986</v>
      </c>
      <c r="GD436">
        <v>0.98730777817112614</v>
      </c>
      <c r="GE436">
        <v>2.8958257392543887</v>
      </c>
      <c r="GF436">
        <v>8.0478237542205893</v>
      </c>
      <c r="GG436">
        <v>3.7315593397835043</v>
      </c>
      <c r="GH436">
        <v>2.2000551766652161</v>
      </c>
      <c r="GI436">
        <v>7.0528357195859188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69.654182060755332</v>
      </c>
      <c r="AO437">
        <v>16.547278458326261</v>
      </c>
      <c r="AP437">
        <v>181.44658432657587</v>
      </c>
      <c r="AQ437">
        <v>143.14967589854336</v>
      </c>
      <c r="AR437">
        <v>15.34048726923125</v>
      </c>
      <c r="AS437">
        <v>216.3116792852083</v>
      </c>
      <c r="AT437" t="e">
        <v>#DIV/0!</v>
      </c>
      <c r="AU437" t="e">
        <v>#DIV/0!</v>
      </c>
      <c r="AV437"/>
      <c r="AW437"/>
      <c r="FY437" s="210">
        <v>432</v>
      </c>
      <c r="FZ437">
        <v>23.16226793148547</v>
      </c>
      <c r="GA437">
        <v>34.849557643109499</v>
      </c>
      <c r="GB437">
        <v>7.4904335934436093</v>
      </c>
      <c r="GC437">
        <v>1.8438778067666894</v>
      </c>
      <c r="GD437">
        <v>0.43597632786844975</v>
      </c>
      <c r="GE437">
        <v>2.0558539793455489E-3</v>
      </c>
      <c r="GF437">
        <v>4.7859015712561614</v>
      </c>
      <c r="GG437">
        <v>4.6062397855717387</v>
      </c>
      <c r="GH437">
        <v>0.22645271853449905</v>
      </c>
      <c r="GI437">
        <v>6.6050744648033044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26.353967113665391</v>
      </c>
      <c r="AO438">
        <v>9.3348034847242296</v>
      </c>
      <c r="AP438">
        <v>91.914650986507809</v>
      </c>
      <c r="AQ438">
        <v>62.833664944830076</v>
      </c>
      <c r="AR438">
        <v>9.0306123908499423</v>
      </c>
      <c r="AS438">
        <v>112.67773298348786</v>
      </c>
      <c r="AT438">
        <v>6.1181895030220206</v>
      </c>
      <c r="AU438">
        <v>-2.9269406286935897</v>
      </c>
      <c r="AV438"/>
      <c r="AW438"/>
      <c r="FY438" s="210">
        <v>433</v>
      </c>
      <c r="FZ438">
        <v>30.474499285845177</v>
      </c>
      <c r="GA438">
        <v>40.758098463160906</v>
      </c>
      <c r="GB438">
        <v>6.5301133803314819</v>
      </c>
      <c r="GC438">
        <v>2.7801521017023489</v>
      </c>
      <c r="GD438">
        <v>0.91934095937756166</v>
      </c>
      <c r="GE438">
        <v>0.28245867923368362</v>
      </c>
      <c r="GF438">
        <v>2.6157787180245267</v>
      </c>
      <c r="GG438">
        <v>2.7533004102477863</v>
      </c>
      <c r="GH438">
        <v>1.0341425404475817</v>
      </c>
      <c r="GI438">
        <v>7.4021761268360917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37.874170999817565</v>
      </c>
      <c r="AO439">
        <v>10.224326924882284</v>
      </c>
      <c r="AP439">
        <v>107.20010894478214</v>
      </c>
      <c r="AQ439">
        <v>78.508072449802583</v>
      </c>
      <c r="AR439">
        <v>9.8897454580196698</v>
      </c>
      <c r="AS439">
        <v>126.06573837150611</v>
      </c>
      <c r="AT439" t="e">
        <v>#DIV/0!</v>
      </c>
      <c r="AU439" t="e">
        <v>#DIV/0!</v>
      </c>
      <c r="AV439"/>
      <c r="AW439"/>
      <c r="FY439" s="210">
        <v>434</v>
      </c>
      <c r="FZ439">
        <v>22.968777151380138</v>
      </c>
      <c r="GA439">
        <v>30.470055671375313</v>
      </c>
      <c r="GB439">
        <v>4.2987396419958177</v>
      </c>
      <c r="GC439">
        <v>1.4776053501869733</v>
      </c>
      <c r="GD439">
        <v>1.0216953746373683</v>
      </c>
      <c r="GE439">
        <v>0.14020141262716906</v>
      </c>
      <c r="GF439">
        <v>2.1257483820188448</v>
      </c>
      <c r="GG439">
        <v>3.4486265634771134</v>
      </c>
      <c r="GH439">
        <v>3.3736661184853478</v>
      </c>
      <c r="GI439">
        <v>6.0481245940593027</v>
      </c>
      <c r="GJ439"/>
      <c r="GK439"/>
      <c r="GL439"/>
      <c r="GM439"/>
    </row>
    <row r="440" spans="1:195" s="7" customFormat="1">
      <c r="A440" s="1">
        <v>10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32.197386425834708</v>
      </c>
      <c r="AO440">
        <v>8.5858019589885082</v>
      </c>
      <c r="AP440">
        <v>86.019675738497099</v>
      </c>
      <c r="AQ440">
        <v>64.364491855567209</v>
      </c>
      <c r="AR440">
        <v>8.1956642544201106</v>
      </c>
      <c r="AS440">
        <v>110.41736432951409</v>
      </c>
      <c r="AT440" t="e">
        <v>#DIV/0!</v>
      </c>
      <c r="AU440" t="e">
        <v>#DIV/0!</v>
      </c>
      <c r="AV440"/>
      <c r="AW440"/>
      <c r="FY440" s="210">
        <v>435</v>
      </c>
      <c r="FZ440">
        <v>16.002731276859812</v>
      </c>
      <c r="GA440">
        <v>43.274918881293708</v>
      </c>
      <c r="GB440">
        <v>17.345498121509674</v>
      </c>
      <c r="GC440">
        <v>2.7225456229819445</v>
      </c>
      <c r="GD440">
        <v>0.76789028238506662</v>
      </c>
      <c r="GE440">
        <v>1.3097673109793708</v>
      </c>
      <c r="GF440">
        <v>7.7120562036535603</v>
      </c>
      <c r="GG440">
        <v>5.3719061893313222</v>
      </c>
      <c r="GH440">
        <v>2.2000551766652161</v>
      </c>
      <c r="GI440">
        <v>9.2275506017219033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8">SUM(G441:AK441)</f>
        <v>24.429694033676945</v>
      </c>
      <c r="D441" s="191">
        <f>$A$405</f>
        <v>13.69</v>
      </c>
      <c r="E441" s="8"/>
      <c r="F441" s="124"/>
      <c r="G441" s="107" t="str">
        <f t="shared" ref="G441:G450" si="389">IF(G423&lt;=0, "0.000", G423)</f>
        <v>0.000</v>
      </c>
      <c r="H441" s="107">
        <f t="shared" ref="H441:AK441" si="390">IF(H423&lt;=0, "0.000", H423)</f>
        <v>0.11061013179046418</v>
      </c>
      <c r="I441" s="107">
        <f t="shared" si="390"/>
        <v>1.5878259377639508</v>
      </c>
      <c r="J441" s="107">
        <f t="shared" si="390"/>
        <v>3.1562682938126376</v>
      </c>
      <c r="K441" s="107">
        <f t="shared" si="390"/>
        <v>14.327733425244789</v>
      </c>
      <c r="L441" s="107">
        <f t="shared" si="390"/>
        <v>4.4785970644790449</v>
      </c>
      <c r="M441" s="107">
        <f t="shared" si="390"/>
        <v>0.76865918058605665</v>
      </c>
      <c r="N441" s="107" t="str">
        <f t="shared" si="390"/>
        <v>0.000</v>
      </c>
      <c r="O441" s="107" t="str">
        <f t="shared" si="390"/>
        <v>0.000</v>
      </c>
      <c r="P441" s="107" t="str">
        <f t="shared" si="390"/>
        <v>0.000</v>
      </c>
      <c r="Q441" s="107" t="str">
        <f t="shared" si="390"/>
        <v>0.000</v>
      </c>
      <c r="R441" s="107" t="str">
        <f t="shared" si="390"/>
        <v>0.000</v>
      </c>
      <c r="S441" s="107" t="str">
        <f t="shared" si="390"/>
        <v>0.000</v>
      </c>
      <c r="T441" s="107" t="str">
        <f t="shared" si="390"/>
        <v>0.000</v>
      </c>
      <c r="U441" s="107" t="str">
        <f t="shared" si="390"/>
        <v>0.000</v>
      </c>
      <c r="V441" s="107" t="str">
        <f t="shared" si="390"/>
        <v>0.000</v>
      </c>
      <c r="W441" s="107" t="str">
        <f t="shared" si="390"/>
        <v>0.000</v>
      </c>
      <c r="X441" s="107" t="str">
        <f t="shared" si="390"/>
        <v>0.000</v>
      </c>
      <c r="Y441" s="107" t="str">
        <f t="shared" si="390"/>
        <v>0.000</v>
      </c>
      <c r="Z441" s="107" t="str">
        <f t="shared" si="390"/>
        <v>0.000</v>
      </c>
      <c r="AA441" s="107" t="str">
        <f t="shared" si="390"/>
        <v>0.000</v>
      </c>
      <c r="AB441" s="107" t="str">
        <f t="shared" si="390"/>
        <v>0.000</v>
      </c>
      <c r="AC441" s="107" t="str">
        <f t="shared" si="390"/>
        <v>0.000</v>
      </c>
      <c r="AD441" s="107" t="str">
        <f t="shared" si="390"/>
        <v>0.000</v>
      </c>
      <c r="AE441" s="107" t="str">
        <f t="shared" si="390"/>
        <v>0.000</v>
      </c>
      <c r="AF441" s="107" t="str">
        <f t="shared" si="390"/>
        <v>0.000</v>
      </c>
      <c r="AG441" s="107" t="str">
        <f t="shared" si="390"/>
        <v>0.000</v>
      </c>
      <c r="AH441" s="107" t="str">
        <f t="shared" si="390"/>
        <v>0.000</v>
      </c>
      <c r="AI441" s="107" t="str">
        <f t="shared" si="390"/>
        <v>0.000</v>
      </c>
      <c r="AJ441" s="107" t="str">
        <f t="shared" si="390"/>
        <v>0.000</v>
      </c>
      <c r="AK441" s="107" t="str">
        <f t="shared" si="390"/>
        <v>0.000</v>
      </c>
      <c r="AL441" s="4"/>
      <c r="AM441" s="43">
        <v>425</v>
      </c>
      <c r="AN441">
        <v>20.079082854406131</v>
      </c>
      <c r="AO441">
        <v>8.1587801279255601</v>
      </c>
      <c r="AP441">
        <v>83.891452628657134</v>
      </c>
      <c r="AQ441">
        <v>55.776136854877407</v>
      </c>
      <c r="AR441">
        <v>7.8252741000151698</v>
      </c>
      <c r="AS441">
        <v>97.26012219163141</v>
      </c>
      <c r="AT441" t="e">
        <v>#DIV/0!</v>
      </c>
      <c r="AU441" t="e">
        <v>#DIV/0!</v>
      </c>
      <c r="AV441"/>
      <c r="AW441"/>
      <c r="FY441" s="210">
        <v>436</v>
      </c>
      <c r="FZ441">
        <v>4.8944419816210489</v>
      </c>
      <c r="GA441">
        <v>13.400093609180038</v>
      </c>
      <c r="GB441">
        <v>6.9729018998195578</v>
      </c>
      <c r="GC441">
        <v>1.8243410195506446</v>
      </c>
      <c r="GD441">
        <v>0.8225580997989923</v>
      </c>
      <c r="GE441">
        <v>0.14020141262716906</v>
      </c>
      <c r="GF441">
        <v>4.3148540702691154</v>
      </c>
      <c r="GG441">
        <v>5.1382260350365643</v>
      </c>
      <c r="GH441">
        <v>2.2546840703091551</v>
      </c>
      <c r="GI441">
        <v>4.2864261070104899</v>
      </c>
      <c r="GJ441"/>
      <c r="GK441"/>
      <c r="GL441"/>
      <c r="GM441"/>
    </row>
    <row r="442" spans="1:195" s="7" customFormat="1">
      <c r="A442" s="1">
        <v>170</v>
      </c>
      <c r="B442" s="48" t="s">
        <v>39</v>
      </c>
      <c r="C442" s="107">
        <f t="shared" si="388"/>
        <v>41.101495128658428</v>
      </c>
      <c r="D442" s="191">
        <f>$A$406</f>
        <v>9.4499999999999993</v>
      </c>
      <c r="E442" s="8"/>
      <c r="F442" s="124"/>
      <c r="G442" s="173" t="str">
        <f t="shared" si="389"/>
        <v>0.000</v>
      </c>
      <c r="H442" s="173">
        <f t="shared" ref="H442:V442" si="391">IF(H424&lt;=0, "0.000", H424)</f>
        <v>0.13091357471251042</v>
      </c>
      <c r="I442" s="173">
        <f t="shared" si="391"/>
        <v>1.7683485023334937</v>
      </c>
      <c r="J442" s="173">
        <f t="shared" si="391"/>
        <v>3.5730396302749527</v>
      </c>
      <c r="K442" s="173">
        <f t="shared" si="391"/>
        <v>14.288032431726315</v>
      </c>
      <c r="L442" s="173">
        <f t="shared" si="391"/>
        <v>8.6971521701714227</v>
      </c>
      <c r="M442" s="173">
        <f t="shared" si="391"/>
        <v>0.89946597122894167</v>
      </c>
      <c r="N442" s="173">
        <f t="shared" si="391"/>
        <v>2.61204244707874</v>
      </c>
      <c r="O442" s="173">
        <f t="shared" si="391"/>
        <v>6.2445649149896649</v>
      </c>
      <c r="P442" s="173" t="str">
        <f t="shared" si="391"/>
        <v>0.000</v>
      </c>
      <c r="Q442" s="173">
        <f t="shared" si="391"/>
        <v>2.8879354861423865</v>
      </c>
      <c r="R442" s="173" t="str">
        <f t="shared" si="391"/>
        <v>0.000</v>
      </c>
      <c r="S442" s="173" t="str">
        <f t="shared" si="391"/>
        <v>0.000</v>
      </c>
      <c r="T442" s="173" t="str">
        <f t="shared" si="391"/>
        <v>0.000</v>
      </c>
      <c r="U442" s="173" t="str">
        <f t="shared" si="391"/>
        <v>0.000</v>
      </c>
      <c r="V442" s="173" t="str">
        <f t="shared" si="391"/>
        <v>0.000</v>
      </c>
      <c r="W442" s="173" t="str">
        <f t="shared" ref="W442:AK442" si="392">IF(W424&lt;=0, "0.000", W424)</f>
        <v>0.000</v>
      </c>
      <c r="X442" s="173" t="str">
        <f t="shared" si="392"/>
        <v>0.000</v>
      </c>
      <c r="Y442" s="173" t="str">
        <f t="shared" si="392"/>
        <v>0.000</v>
      </c>
      <c r="Z442" s="173" t="str">
        <f t="shared" si="392"/>
        <v>0.000</v>
      </c>
      <c r="AA442" s="173" t="str">
        <f t="shared" si="392"/>
        <v>0.000</v>
      </c>
      <c r="AB442" s="173" t="str">
        <f t="shared" si="392"/>
        <v>0.000</v>
      </c>
      <c r="AC442" s="173" t="str">
        <f t="shared" si="392"/>
        <v>0.000</v>
      </c>
      <c r="AD442" s="173" t="str">
        <f t="shared" si="392"/>
        <v>0.000</v>
      </c>
      <c r="AE442" s="173" t="str">
        <f t="shared" si="392"/>
        <v>0.000</v>
      </c>
      <c r="AF442" s="173" t="str">
        <f t="shared" si="392"/>
        <v>0.000</v>
      </c>
      <c r="AG442" s="173" t="str">
        <f t="shared" si="392"/>
        <v>0.000</v>
      </c>
      <c r="AH442" s="173" t="str">
        <f t="shared" si="392"/>
        <v>0.000</v>
      </c>
      <c r="AI442" s="173" t="str">
        <f t="shared" si="392"/>
        <v>0.000</v>
      </c>
      <c r="AJ442" s="173" t="str">
        <f t="shared" si="392"/>
        <v>0.000</v>
      </c>
      <c r="AK442" s="173" t="str">
        <f t="shared" si="392"/>
        <v>0.000</v>
      </c>
      <c r="AL442" s="4"/>
      <c r="AM442" s="43">
        <v>426</v>
      </c>
      <c r="AN442">
        <v>48.628537219485494</v>
      </c>
      <c r="AO442">
        <v>13.369245268437499</v>
      </c>
      <c r="AP442">
        <v>140.68494746848319</v>
      </c>
      <c r="AQ442">
        <v>106.9365505537268</v>
      </c>
      <c r="AR442">
        <v>12.890553163539655</v>
      </c>
      <c r="AS442">
        <v>181.63263664643634</v>
      </c>
      <c r="AT442">
        <v>8.5518225271184765</v>
      </c>
      <c r="AU442">
        <v>69.230175622497143</v>
      </c>
      <c r="AV442"/>
      <c r="AW442"/>
      <c r="FY442" s="210">
        <v>437</v>
      </c>
      <c r="FZ442">
        <v>13.861156354395595</v>
      </c>
      <c r="GA442">
        <v>30.897673797109544</v>
      </c>
      <c r="GB442">
        <v>10.80524603804626</v>
      </c>
      <c r="GC442">
        <v>2.0547836169487739</v>
      </c>
      <c r="GD442">
        <v>0.80673698291310969</v>
      </c>
      <c r="GE442">
        <v>1.5901701362337088</v>
      </c>
      <c r="GF442">
        <v>6.7477379577443699</v>
      </c>
      <c r="GG442">
        <v>4.4581152933588708</v>
      </c>
      <c r="GH442">
        <v>2.8962378540412832</v>
      </c>
      <c r="GI442">
        <v>7.1250185904380094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8"/>
        <v>10.141065924232574</v>
      </c>
      <c r="D443" s="191">
        <f>A$407</f>
        <v>4.03</v>
      </c>
      <c r="E443" s="8"/>
      <c r="F443" s="124"/>
      <c r="G443" s="173" t="str">
        <f t="shared" si="389"/>
        <v>0.000</v>
      </c>
      <c r="H443" s="173">
        <f t="shared" ref="H443:V443" si="393">IF(H425&lt;=0, "0.000", H425)</f>
        <v>1.4203580875529755E-2</v>
      </c>
      <c r="I443" s="173" t="str">
        <f t="shared" si="393"/>
        <v>0.000</v>
      </c>
      <c r="J443" s="173">
        <f t="shared" si="393"/>
        <v>1.332102217488941</v>
      </c>
      <c r="K443" s="173">
        <f t="shared" si="393"/>
        <v>1.2700985315037334</v>
      </c>
      <c r="L443" s="173">
        <f t="shared" si="393"/>
        <v>1.7320348665041621</v>
      </c>
      <c r="M443" s="173">
        <f t="shared" si="393"/>
        <v>0.22423556353450505</v>
      </c>
      <c r="N443" s="173">
        <f t="shared" si="393"/>
        <v>1.2812813890033141</v>
      </c>
      <c r="O443" s="173">
        <f t="shared" si="393"/>
        <v>2.9960282696894502</v>
      </c>
      <c r="P443" s="173" t="str">
        <f t="shared" si="393"/>
        <v>0.000</v>
      </c>
      <c r="Q443" s="173">
        <f t="shared" si="393"/>
        <v>1.2910815056329392</v>
      </c>
      <c r="R443" s="173" t="str">
        <f t="shared" si="393"/>
        <v>0.000</v>
      </c>
      <c r="S443" s="173" t="str">
        <f t="shared" si="393"/>
        <v>0.000</v>
      </c>
      <c r="T443" s="173" t="str">
        <f t="shared" si="393"/>
        <v>0.000</v>
      </c>
      <c r="U443" s="173" t="str">
        <f t="shared" si="393"/>
        <v>0.000</v>
      </c>
      <c r="V443" s="173" t="str">
        <f t="shared" si="393"/>
        <v>0.000</v>
      </c>
      <c r="W443" s="173" t="str">
        <f t="shared" ref="W443:AK443" si="394">IF(W425&lt;=0, "0.000", W425)</f>
        <v>0.000</v>
      </c>
      <c r="X443" s="173" t="str">
        <f t="shared" si="394"/>
        <v>0.000</v>
      </c>
      <c r="Y443" s="173" t="str">
        <f t="shared" si="394"/>
        <v>0.000</v>
      </c>
      <c r="Z443" s="173" t="str">
        <f t="shared" si="394"/>
        <v>0.000</v>
      </c>
      <c r="AA443" s="173" t="str">
        <f t="shared" si="394"/>
        <v>0.000</v>
      </c>
      <c r="AB443" s="173" t="str">
        <f t="shared" si="394"/>
        <v>0.000</v>
      </c>
      <c r="AC443" s="173" t="str">
        <f t="shared" si="394"/>
        <v>0.000</v>
      </c>
      <c r="AD443" s="173" t="str">
        <f t="shared" si="394"/>
        <v>0.000</v>
      </c>
      <c r="AE443" s="173" t="str">
        <f t="shared" si="394"/>
        <v>0.000</v>
      </c>
      <c r="AF443" s="173" t="str">
        <f t="shared" si="394"/>
        <v>0.000</v>
      </c>
      <c r="AG443" s="173" t="str">
        <f t="shared" si="394"/>
        <v>0.000</v>
      </c>
      <c r="AH443" s="173" t="str">
        <f t="shared" si="394"/>
        <v>0.000</v>
      </c>
      <c r="AI443" s="173" t="str">
        <f t="shared" si="394"/>
        <v>0.000</v>
      </c>
      <c r="AJ443" s="173" t="str">
        <f t="shared" si="394"/>
        <v>0.000</v>
      </c>
      <c r="AK443" s="173" t="str">
        <f t="shared" si="394"/>
        <v>0.000</v>
      </c>
      <c r="AL443" s="4"/>
      <c r="AM443" s="43">
        <v>427</v>
      </c>
      <c r="AN443">
        <v>33.536655605728875</v>
      </c>
      <c r="AO443">
        <v>9.5234641413321874</v>
      </c>
      <c r="AP443">
        <v>99.409674933689899</v>
      </c>
      <c r="AQ443">
        <v>74.209903438884055</v>
      </c>
      <c r="AR443">
        <v>9.1985555853922794</v>
      </c>
      <c r="AS443">
        <v>120.93960740803186</v>
      </c>
      <c r="AT443">
        <v>5.9951504502071016</v>
      </c>
      <c r="AU443">
        <v>36.902529310645157</v>
      </c>
      <c r="AV443"/>
      <c r="AW443"/>
      <c r="FY443" s="210">
        <v>438</v>
      </c>
      <c r="FZ443">
        <v>11.4709734006966</v>
      </c>
      <c r="GA443">
        <v>35.401510733659876</v>
      </c>
      <c r="GB443">
        <v>12.951881217410332</v>
      </c>
      <c r="GC443">
        <v>1.5655461189039395</v>
      </c>
      <c r="GD443">
        <v>0.52375884129285266</v>
      </c>
      <c r="GE443">
        <v>2.6154229140000504</v>
      </c>
      <c r="GF443">
        <v>5.8333264297761627</v>
      </c>
      <c r="GG443">
        <v>2.2047239361361788</v>
      </c>
      <c r="GH443">
        <v>5.404146827509142</v>
      </c>
      <c r="GI443">
        <v>7.4673079584600099</v>
      </c>
      <c r="GJ443"/>
      <c r="GK443"/>
      <c r="GL443"/>
      <c r="GM443"/>
    </row>
    <row r="444" spans="1:195" s="7" customFormat="1">
      <c r="A444" s="1">
        <v>130</v>
      </c>
      <c r="B444" s="48" t="s">
        <v>41</v>
      </c>
      <c r="C444" s="107">
        <f t="shared" si="388"/>
        <v>1.814087167805903</v>
      </c>
      <c r="D444" s="191">
        <f>A$408</f>
        <v>0.78</v>
      </c>
      <c r="E444" s="8"/>
      <c r="F444" s="124"/>
      <c r="G444" s="173" t="str">
        <f t="shared" si="389"/>
        <v>0.000</v>
      </c>
      <c r="H444" s="173">
        <f t="shared" ref="H444:V444" si="395">IF(H426&lt;=0, "0.000", H426)</f>
        <v>7.955263277591192E-3</v>
      </c>
      <c r="I444" s="173">
        <f t="shared" si="395"/>
        <v>0.305846733627062</v>
      </c>
      <c r="J444" s="173">
        <f t="shared" si="395"/>
        <v>0.890806419378119</v>
      </c>
      <c r="K444" s="173">
        <f t="shared" si="395"/>
        <v>0.48929969258497263</v>
      </c>
      <c r="L444" s="173" t="str">
        <f t="shared" si="395"/>
        <v>0.000</v>
      </c>
      <c r="M444" s="173">
        <f t="shared" si="395"/>
        <v>0.12017905893815818</v>
      </c>
      <c r="N444" s="173" t="str">
        <f t="shared" si="395"/>
        <v>0.000</v>
      </c>
      <c r="O444" s="173" t="str">
        <f t="shared" si="395"/>
        <v>0.000</v>
      </c>
      <c r="P444" s="173" t="str">
        <f t="shared" si="395"/>
        <v>0.000</v>
      </c>
      <c r="Q444" s="173" t="str">
        <f t="shared" si="395"/>
        <v>0.000</v>
      </c>
      <c r="R444" s="173" t="str">
        <f t="shared" si="395"/>
        <v>0.000</v>
      </c>
      <c r="S444" s="173" t="str">
        <f t="shared" si="395"/>
        <v>0.000</v>
      </c>
      <c r="T444" s="173" t="str">
        <f t="shared" si="395"/>
        <v>0.000</v>
      </c>
      <c r="U444" s="173" t="str">
        <f t="shared" si="395"/>
        <v>0.000</v>
      </c>
      <c r="V444" s="173" t="str">
        <f t="shared" si="395"/>
        <v>0.000</v>
      </c>
      <c r="W444" s="173" t="str">
        <f t="shared" ref="W444:AK444" si="396">IF(W426&lt;=0, "0.000", W426)</f>
        <v>0.000</v>
      </c>
      <c r="X444" s="173" t="str">
        <f t="shared" si="396"/>
        <v>0.000</v>
      </c>
      <c r="Y444" s="173" t="str">
        <f t="shared" si="396"/>
        <v>0.000</v>
      </c>
      <c r="Z444" s="173" t="str">
        <f t="shared" si="396"/>
        <v>0.000</v>
      </c>
      <c r="AA444" s="173" t="str">
        <f t="shared" si="396"/>
        <v>0.000</v>
      </c>
      <c r="AB444" s="173" t="str">
        <f t="shared" si="396"/>
        <v>0.000</v>
      </c>
      <c r="AC444" s="173" t="str">
        <f t="shared" si="396"/>
        <v>0.000</v>
      </c>
      <c r="AD444" s="173" t="str">
        <f t="shared" si="396"/>
        <v>0.000</v>
      </c>
      <c r="AE444" s="173" t="str">
        <f t="shared" si="396"/>
        <v>0.000</v>
      </c>
      <c r="AF444" s="173" t="str">
        <f t="shared" si="396"/>
        <v>0.000</v>
      </c>
      <c r="AG444" s="173" t="str">
        <f t="shared" si="396"/>
        <v>0.000</v>
      </c>
      <c r="AH444" s="173" t="str">
        <f t="shared" si="396"/>
        <v>0.000</v>
      </c>
      <c r="AI444" s="173" t="str">
        <f t="shared" si="396"/>
        <v>0.000</v>
      </c>
      <c r="AJ444" s="173" t="str">
        <f t="shared" si="396"/>
        <v>0.000</v>
      </c>
      <c r="AK444" s="173" t="str">
        <f t="shared" si="396"/>
        <v>0.000</v>
      </c>
      <c r="AL444" s="4"/>
      <c r="AM444" s="43">
        <v>428</v>
      </c>
      <c r="AN444">
        <v>21.00211526181354</v>
      </c>
      <c r="AO444">
        <v>6.6683105384734773</v>
      </c>
      <c r="AP444">
        <v>63.916584701168105</v>
      </c>
      <c r="AQ444">
        <v>44.207488019736438</v>
      </c>
      <c r="AR444">
        <v>6.4023371901244577</v>
      </c>
      <c r="AS444">
        <v>85.136418519983451</v>
      </c>
      <c r="AT444" t="e">
        <v>#DIV/0!</v>
      </c>
      <c r="AU444" t="e">
        <v>#DIV/0!</v>
      </c>
      <c r="AV444"/>
      <c r="AW444"/>
      <c r="FY444" s="210">
        <v>439</v>
      </c>
      <c r="FZ444">
        <v>14.880527134022238</v>
      </c>
      <c r="GA444">
        <v>37.318565049792873</v>
      </c>
      <c r="GB444">
        <v>14.553903547369542</v>
      </c>
      <c r="GC444">
        <v>2.0305233683081694</v>
      </c>
      <c r="GD444">
        <v>0.66624776249968276</v>
      </c>
      <c r="GE444">
        <v>1.7283156948815326</v>
      </c>
      <c r="GF444">
        <v>3.9255137245927298</v>
      </c>
      <c r="GG444">
        <v>2.3998788411718408</v>
      </c>
      <c r="GH444">
        <v>2.2680701626212576</v>
      </c>
      <c r="GI444">
        <v>7.5377963101129524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8"/>
        <v>0.74338629874726792</v>
      </c>
      <c r="D445" s="191">
        <f>A$409</f>
        <v>0.14000000000000001</v>
      </c>
      <c r="E445" s="8"/>
      <c r="F445" s="124"/>
      <c r="G445" s="173" t="str">
        <f t="shared" si="389"/>
        <v>0.000</v>
      </c>
      <c r="H445" s="173">
        <f t="shared" ref="H445:V445" si="397">IF(H427&lt;=0, "0.000", H427)</f>
        <v>1.0153951352415245E-3</v>
      </c>
      <c r="I445" s="173">
        <f t="shared" si="397"/>
        <v>0.23541904258808494</v>
      </c>
      <c r="J445" s="173">
        <f t="shared" si="397"/>
        <v>0.35394023215634102</v>
      </c>
      <c r="K445" s="173">
        <f t="shared" si="397"/>
        <v>0.15301162886760042</v>
      </c>
      <c r="L445" s="173" t="str">
        <f t="shared" si="397"/>
        <v>0.000</v>
      </c>
      <c r="M445" s="173" t="str">
        <f t="shared" si="397"/>
        <v>0.000</v>
      </c>
      <c r="N445" s="173" t="str">
        <f t="shared" si="397"/>
        <v>0.000</v>
      </c>
      <c r="O445" s="173" t="str">
        <f t="shared" si="397"/>
        <v>0.000</v>
      </c>
      <c r="P445" s="173" t="str">
        <f t="shared" si="397"/>
        <v>0.000</v>
      </c>
      <c r="Q445" s="173" t="str">
        <f t="shared" si="397"/>
        <v>0.000</v>
      </c>
      <c r="R445" s="173" t="str">
        <f t="shared" si="397"/>
        <v>0.000</v>
      </c>
      <c r="S445" s="173" t="str">
        <f t="shared" si="397"/>
        <v>0.000</v>
      </c>
      <c r="T445" s="173" t="str">
        <f t="shared" si="397"/>
        <v>0.000</v>
      </c>
      <c r="U445" s="173" t="str">
        <f t="shared" si="397"/>
        <v>0.000</v>
      </c>
      <c r="V445" s="173" t="str">
        <f t="shared" si="397"/>
        <v>0.000</v>
      </c>
      <c r="W445" s="173" t="str">
        <f t="shared" ref="W445:AK445" si="398">IF(W427&lt;=0, "0.000", W427)</f>
        <v>0.000</v>
      </c>
      <c r="X445" s="173" t="str">
        <f t="shared" si="398"/>
        <v>0.000</v>
      </c>
      <c r="Y445" s="173" t="str">
        <f t="shared" si="398"/>
        <v>0.000</v>
      </c>
      <c r="Z445" s="173" t="str">
        <f t="shared" si="398"/>
        <v>0.000</v>
      </c>
      <c r="AA445" s="173" t="str">
        <f t="shared" si="398"/>
        <v>0.000</v>
      </c>
      <c r="AB445" s="173" t="str">
        <f t="shared" si="398"/>
        <v>0.000</v>
      </c>
      <c r="AC445" s="173" t="str">
        <f t="shared" si="398"/>
        <v>0.000</v>
      </c>
      <c r="AD445" s="173" t="str">
        <f t="shared" si="398"/>
        <v>0.000</v>
      </c>
      <c r="AE445" s="173" t="str">
        <f t="shared" si="398"/>
        <v>0.000</v>
      </c>
      <c r="AF445" s="173" t="str">
        <f t="shared" si="398"/>
        <v>0.000</v>
      </c>
      <c r="AG445" s="173" t="str">
        <f t="shared" si="398"/>
        <v>0.000</v>
      </c>
      <c r="AH445" s="173" t="str">
        <f t="shared" si="398"/>
        <v>0.000</v>
      </c>
      <c r="AI445" s="173" t="str">
        <f t="shared" si="398"/>
        <v>0.000</v>
      </c>
      <c r="AJ445" s="173" t="str">
        <f t="shared" si="398"/>
        <v>0.000</v>
      </c>
      <c r="AK445" s="173" t="str">
        <f t="shared" si="398"/>
        <v>0.000</v>
      </c>
      <c r="AL445" s="4"/>
      <c r="AM445" s="43">
        <v>429</v>
      </c>
      <c r="AN445">
        <v>33.716384441707717</v>
      </c>
      <c r="AO445">
        <v>12.241675903954022</v>
      </c>
      <c r="AP445">
        <v>134.61611283431972</v>
      </c>
      <c r="AQ445">
        <v>96.872199589896567</v>
      </c>
      <c r="AR445">
        <v>11.715035583527005</v>
      </c>
      <c r="AS445">
        <v>164.37163273124213</v>
      </c>
      <c r="AT445">
        <v>7.440338043262984</v>
      </c>
      <c r="AU445">
        <v>47.493017745011159</v>
      </c>
      <c r="AV445"/>
      <c r="AW445"/>
      <c r="FY445" s="210">
        <v>440</v>
      </c>
      <c r="FZ445">
        <v>14.911525487107767</v>
      </c>
      <c r="GA445">
        <v>24.254731321459648</v>
      </c>
      <c r="GB445">
        <v>6.5343424661231708</v>
      </c>
      <c r="GC445">
        <v>1.8765322412761303</v>
      </c>
      <c r="GD445">
        <v>0.76000412515270432</v>
      </c>
      <c r="GE445">
        <v>2.6174787679793958</v>
      </c>
      <c r="GF445">
        <v>7.4497460556053579</v>
      </c>
      <c r="GG445">
        <v>3.743309750694058</v>
      </c>
      <c r="GH445">
        <v>3.0791984139948072</v>
      </c>
      <c r="GI445">
        <v>6.4243831673411167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8"/>
        <v>1.5901701362337088</v>
      </c>
      <c r="D446" s="191">
        <f>A$410</f>
        <v>0.21</v>
      </c>
      <c r="E446" s="8"/>
      <c r="F446" s="124"/>
      <c r="G446" s="173" t="str">
        <f t="shared" si="389"/>
        <v>0.000</v>
      </c>
      <c r="H446" s="173">
        <f t="shared" ref="H446:V446" si="399">IF(H428&lt;=0, "0.000", H428)</f>
        <v>2.0558539793455489E-3</v>
      </c>
      <c r="I446" s="173" t="str">
        <f t="shared" si="399"/>
        <v>0.000</v>
      </c>
      <c r="J446" s="173">
        <f t="shared" si="399"/>
        <v>0.2247861907224189</v>
      </c>
      <c r="K446" s="173">
        <f t="shared" si="399"/>
        <v>0.23086840031588052</v>
      </c>
      <c r="L446" s="173" t="str">
        <f t="shared" si="399"/>
        <v>0.000</v>
      </c>
      <c r="M446" s="173" t="str">
        <f t="shared" si="399"/>
        <v>0.000</v>
      </c>
      <c r="N446" s="173">
        <f t="shared" si="399"/>
        <v>0.31935299688938401</v>
      </c>
      <c r="O446" s="173">
        <f t="shared" si="399"/>
        <v>0.81310669432667992</v>
      </c>
      <c r="P446" s="173" t="str">
        <f t="shared" si="399"/>
        <v>0.000</v>
      </c>
      <c r="Q446" s="173" t="str">
        <f t="shared" si="399"/>
        <v>0.000</v>
      </c>
      <c r="R446" s="173" t="str">
        <f t="shared" si="399"/>
        <v>0.000</v>
      </c>
      <c r="S446" s="173" t="str">
        <f t="shared" si="399"/>
        <v>0.000</v>
      </c>
      <c r="T446" s="173" t="str">
        <f t="shared" si="399"/>
        <v>0.000</v>
      </c>
      <c r="U446" s="173" t="str">
        <f t="shared" si="399"/>
        <v>0.000</v>
      </c>
      <c r="V446" s="173" t="str">
        <f t="shared" si="399"/>
        <v>0.000</v>
      </c>
      <c r="W446" s="173" t="str">
        <f t="shared" ref="W446:AK446" si="400">IF(W428&lt;=0, "0.000", W428)</f>
        <v>0.000</v>
      </c>
      <c r="X446" s="173" t="str">
        <f t="shared" si="400"/>
        <v>0.000</v>
      </c>
      <c r="Y446" s="173" t="str">
        <f t="shared" si="400"/>
        <v>0.000</v>
      </c>
      <c r="Z446" s="173" t="str">
        <f t="shared" si="400"/>
        <v>0.000</v>
      </c>
      <c r="AA446" s="173" t="str">
        <f t="shared" si="400"/>
        <v>0.000</v>
      </c>
      <c r="AB446" s="173" t="str">
        <f t="shared" si="400"/>
        <v>0.000</v>
      </c>
      <c r="AC446" s="173" t="str">
        <f t="shared" si="400"/>
        <v>0.000</v>
      </c>
      <c r="AD446" s="173" t="str">
        <f t="shared" si="400"/>
        <v>0.000</v>
      </c>
      <c r="AE446" s="173" t="str">
        <f t="shared" si="400"/>
        <v>0.000</v>
      </c>
      <c r="AF446" s="173" t="str">
        <f t="shared" si="400"/>
        <v>0.000</v>
      </c>
      <c r="AG446" s="173" t="str">
        <f t="shared" si="400"/>
        <v>0.000</v>
      </c>
      <c r="AH446" s="173" t="str">
        <f t="shared" si="400"/>
        <v>0.000</v>
      </c>
      <c r="AI446" s="173" t="str">
        <f t="shared" si="400"/>
        <v>0.000</v>
      </c>
      <c r="AJ446" s="173" t="str">
        <f t="shared" si="400"/>
        <v>0.000</v>
      </c>
      <c r="AK446" s="173" t="str">
        <f t="shared" si="400"/>
        <v>0.000</v>
      </c>
      <c r="AL446" s="4"/>
      <c r="AM446" s="43">
        <v>430</v>
      </c>
      <c r="AN446">
        <v>21.938937351760629</v>
      </c>
      <c r="AO446">
        <v>6.4482462119599093</v>
      </c>
      <c r="AP446">
        <v>62.710667222767896</v>
      </c>
      <c r="AQ446">
        <v>44.011869332546077</v>
      </c>
      <c r="AR446">
        <v>6.2431097397756403</v>
      </c>
      <c r="AS446">
        <v>77.925251061060109</v>
      </c>
      <c r="AT446" t="e">
        <v>#DIV/0!</v>
      </c>
      <c r="AU446" t="e">
        <v>#DIV/0!</v>
      </c>
      <c r="AV446"/>
      <c r="AW446"/>
      <c r="FY446" s="210">
        <v>441</v>
      </c>
      <c r="FZ446">
        <v>30.078078028847173</v>
      </c>
      <c r="GA446">
        <v>62.047116654866379</v>
      </c>
      <c r="GB446">
        <v>15.022861564634237</v>
      </c>
      <c r="GC446">
        <v>1.6299650243979009</v>
      </c>
      <c r="GD446">
        <v>0.74610901895952941</v>
      </c>
      <c r="GE446">
        <v>0.14225726660651461</v>
      </c>
      <c r="GF446">
        <v>6.1794932646889134</v>
      </c>
      <c r="GG446">
        <v>6.5391856117671434</v>
      </c>
      <c r="GH446">
        <v>1.8017786332401569</v>
      </c>
      <c r="GI446">
        <v>10.388965492187584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8"/>
        <v>8.784421812172301</v>
      </c>
      <c r="D447" s="191">
        <f>A$411</f>
        <v>1.28</v>
      </c>
      <c r="E447" s="8"/>
      <c r="F447" s="124"/>
      <c r="G447" s="173" t="str">
        <f t="shared" si="389"/>
        <v>0.000</v>
      </c>
      <c r="H447" s="173" t="str">
        <f t="shared" ref="H447:V447" si="401">IF(H429&lt;=0, "0.000", H429)</f>
        <v>0.000</v>
      </c>
      <c r="I447" s="173" t="str">
        <f t="shared" si="401"/>
        <v>0.000</v>
      </c>
      <c r="J447" s="173">
        <f t="shared" si="401"/>
        <v>0.18908288456671124</v>
      </c>
      <c r="K447" s="173">
        <f t="shared" si="401"/>
        <v>0.80775125493711464</v>
      </c>
      <c r="L447" s="173" t="str">
        <f t="shared" si="401"/>
        <v>0.000</v>
      </c>
      <c r="M447" s="173">
        <f t="shared" si="401"/>
        <v>0.58932367083024861</v>
      </c>
      <c r="N447" s="173">
        <f t="shared" si="401"/>
        <v>1.3412281113965212</v>
      </c>
      <c r="O447" s="173">
        <f t="shared" si="401"/>
        <v>4.5575538362046446</v>
      </c>
      <c r="P447" s="173">
        <f t="shared" si="401"/>
        <v>1.2994820542370604</v>
      </c>
      <c r="Q447" s="173" t="str">
        <f t="shared" si="401"/>
        <v>0.000</v>
      </c>
      <c r="R447" s="173" t="str">
        <f t="shared" si="401"/>
        <v>0.000</v>
      </c>
      <c r="S447" s="173" t="str">
        <f t="shared" si="401"/>
        <v>0.000</v>
      </c>
      <c r="T447" s="173" t="str">
        <f t="shared" si="401"/>
        <v>0.000</v>
      </c>
      <c r="U447" s="173" t="str">
        <f t="shared" si="401"/>
        <v>0.000</v>
      </c>
      <c r="V447" s="173" t="str">
        <f t="shared" si="401"/>
        <v>0.000</v>
      </c>
      <c r="W447" s="173" t="str">
        <f t="shared" ref="W447:AK447" si="402">IF(W429&lt;=0, "0.000", W429)</f>
        <v>0.000</v>
      </c>
      <c r="X447" s="173" t="str">
        <f t="shared" si="402"/>
        <v>0.000</v>
      </c>
      <c r="Y447" s="173" t="str">
        <f t="shared" si="402"/>
        <v>0.000</v>
      </c>
      <c r="Z447" s="173" t="str">
        <f t="shared" si="402"/>
        <v>0.000</v>
      </c>
      <c r="AA447" s="173" t="str">
        <f t="shared" si="402"/>
        <v>0.000</v>
      </c>
      <c r="AB447" s="173" t="str">
        <f t="shared" si="402"/>
        <v>0.000</v>
      </c>
      <c r="AC447" s="173" t="str">
        <f t="shared" si="402"/>
        <v>0.000</v>
      </c>
      <c r="AD447" s="173" t="str">
        <f t="shared" si="402"/>
        <v>0.000</v>
      </c>
      <c r="AE447" s="173" t="str">
        <f t="shared" si="402"/>
        <v>0.000</v>
      </c>
      <c r="AF447" s="173" t="str">
        <f t="shared" si="402"/>
        <v>0.000</v>
      </c>
      <c r="AG447" s="173" t="str">
        <f t="shared" si="402"/>
        <v>0.000</v>
      </c>
      <c r="AH447" s="173" t="str">
        <f t="shared" si="402"/>
        <v>0.000</v>
      </c>
      <c r="AI447" s="173" t="str">
        <f t="shared" si="402"/>
        <v>0.000</v>
      </c>
      <c r="AJ447" s="173" t="str">
        <f t="shared" si="402"/>
        <v>0.000</v>
      </c>
      <c r="AK447" s="173" t="str">
        <f t="shared" si="402"/>
        <v>0.000</v>
      </c>
      <c r="AL447" s="4"/>
      <c r="AM447" s="43">
        <v>431</v>
      </c>
      <c r="AN447">
        <v>33.993236293559576</v>
      </c>
      <c r="AO447">
        <v>10.798424675896964</v>
      </c>
      <c r="AP447">
        <v>107.04543260550979</v>
      </c>
      <c r="AQ447">
        <v>78.899864892333312</v>
      </c>
      <c r="AR447">
        <v>10.080696425946591</v>
      </c>
      <c r="AS447">
        <v>122.4675457501851</v>
      </c>
      <c r="AT447">
        <v>6.6855463812356959</v>
      </c>
      <c r="AU447">
        <v>43.861218800161311</v>
      </c>
      <c r="AV447"/>
      <c r="AW447"/>
      <c r="FY447" s="210">
        <v>442</v>
      </c>
      <c r="FZ447">
        <v>23.351903597972392</v>
      </c>
      <c r="GA447">
        <v>33.702876971374295</v>
      </c>
      <c r="GB447">
        <v>6.724427657420625</v>
      </c>
      <c r="GC447">
        <v>1.6956581986828185</v>
      </c>
      <c r="GD447">
        <v>0.49879046519858927</v>
      </c>
      <c r="GE447">
        <v>2.6154229140000504</v>
      </c>
      <c r="GF447">
        <v>6.3773804470866189</v>
      </c>
      <c r="GG447">
        <v>2.7354580290760193</v>
      </c>
      <c r="GH447">
        <v>2.2680701626212576</v>
      </c>
      <c r="GI447">
        <v>7.1692202751402592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8"/>
        <v>6.5497749859001981</v>
      </c>
      <c r="D448" s="191">
        <f>A$412</f>
        <v>4</v>
      </c>
      <c r="E448" s="8"/>
      <c r="F448" s="124"/>
      <c r="G448" s="173" t="str">
        <f t="shared" si="389"/>
        <v>0.000</v>
      </c>
      <c r="H448" s="173" t="str">
        <f t="shared" ref="H448:V448" si="403">IF(H430&lt;=0, "0.000", H430)</f>
        <v>0.000</v>
      </c>
      <c r="I448" s="173" t="str">
        <f t="shared" si="403"/>
        <v>0.000</v>
      </c>
      <c r="J448" s="173">
        <f t="shared" si="403"/>
        <v>4.703041282279373E-2</v>
      </c>
      <c r="K448" s="173">
        <f t="shared" si="403"/>
        <v>0.58546471510698506</v>
      </c>
      <c r="L448" s="173">
        <f t="shared" si="403"/>
        <v>0.34003414990167319</v>
      </c>
      <c r="M448" s="173">
        <f t="shared" si="403"/>
        <v>0.52820923835375966</v>
      </c>
      <c r="N448" s="173">
        <f t="shared" si="403"/>
        <v>0.75443525592009031</v>
      </c>
      <c r="O448" s="173">
        <f t="shared" si="403"/>
        <v>3.0235551648541166</v>
      </c>
      <c r="P448" s="173">
        <f t="shared" si="403"/>
        <v>1.2710460489407793</v>
      </c>
      <c r="Q448" s="173" t="str">
        <f t="shared" si="403"/>
        <v>0.000</v>
      </c>
      <c r="R448" s="173" t="str">
        <f t="shared" si="403"/>
        <v>0.000</v>
      </c>
      <c r="S448" s="173" t="str">
        <f t="shared" si="403"/>
        <v>0.000</v>
      </c>
      <c r="T448" s="173" t="str">
        <f t="shared" si="403"/>
        <v>0.000</v>
      </c>
      <c r="U448" s="173" t="str">
        <f t="shared" si="403"/>
        <v>0.000</v>
      </c>
      <c r="V448" s="173" t="str">
        <f t="shared" si="403"/>
        <v>0.000</v>
      </c>
      <c r="W448" s="173" t="str">
        <f t="shared" ref="W448:AK448" si="404">IF(W430&lt;=0, "0.000", W430)</f>
        <v>0.000</v>
      </c>
      <c r="X448" s="173" t="str">
        <f t="shared" si="404"/>
        <v>0.000</v>
      </c>
      <c r="Y448" s="173" t="str">
        <f t="shared" si="404"/>
        <v>0.000</v>
      </c>
      <c r="Z448" s="173" t="str">
        <f t="shared" si="404"/>
        <v>0.000</v>
      </c>
      <c r="AA448" s="173" t="str">
        <f t="shared" si="404"/>
        <v>0.000</v>
      </c>
      <c r="AB448" s="173" t="str">
        <f t="shared" si="404"/>
        <v>0.000</v>
      </c>
      <c r="AC448" s="173" t="str">
        <f t="shared" si="404"/>
        <v>0.000</v>
      </c>
      <c r="AD448" s="173" t="str">
        <f t="shared" si="404"/>
        <v>0.000</v>
      </c>
      <c r="AE448" s="173" t="str">
        <f t="shared" si="404"/>
        <v>0.000</v>
      </c>
      <c r="AF448" s="173" t="str">
        <f t="shared" si="404"/>
        <v>0.000</v>
      </c>
      <c r="AG448" s="173" t="str">
        <f t="shared" si="404"/>
        <v>0.000</v>
      </c>
      <c r="AH448" s="173" t="str">
        <f t="shared" si="404"/>
        <v>0.000</v>
      </c>
      <c r="AI448" s="173" t="str">
        <f t="shared" si="404"/>
        <v>0.000</v>
      </c>
      <c r="AJ448" s="173" t="str">
        <f t="shared" si="404"/>
        <v>0.000</v>
      </c>
      <c r="AK448" s="173" t="str">
        <f t="shared" si="404"/>
        <v>0.000</v>
      </c>
      <c r="AL448" s="4"/>
      <c r="AM448" s="43">
        <v>432</v>
      </c>
      <c r="AN448">
        <v>46.133893222039774</v>
      </c>
      <c r="AO448">
        <v>9.8954730325002895</v>
      </c>
      <c r="AP448">
        <v>106.48112272647154</v>
      </c>
      <c r="AQ448">
        <v>84.007837696818768</v>
      </c>
      <c r="AR448">
        <v>9.4240110024465498</v>
      </c>
      <c r="AS448">
        <v>158.6543742708642</v>
      </c>
      <c r="AT448" t="e">
        <v>#DIV/0!</v>
      </c>
      <c r="AU448" t="e">
        <v>#DIV/0!</v>
      </c>
      <c r="AV448"/>
      <c r="AW448"/>
      <c r="FY448" s="210">
        <v>443</v>
      </c>
      <c r="FZ448">
        <v>14.805954986190105</v>
      </c>
      <c r="GA448">
        <v>29.231179433137743</v>
      </c>
      <c r="GB448">
        <v>9.3840325619304501</v>
      </c>
      <c r="GC448">
        <v>1.6337972615542407</v>
      </c>
      <c r="GD448">
        <v>0.73894890891069442</v>
      </c>
      <c r="GE448">
        <v>1.5901701362337088</v>
      </c>
      <c r="GF448">
        <v>3.9795374058975046</v>
      </c>
      <c r="GG448">
        <v>2.0274114122722842</v>
      </c>
      <c r="GH448">
        <v>1.0341425404475817</v>
      </c>
      <c r="GI448">
        <v>6.06001718640265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8"/>
        <v>2.3115623212022323</v>
      </c>
      <c r="D449" s="191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5">IF(H431&lt;=0, "0.000", H431)</f>
        <v>0.000</v>
      </c>
      <c r="I449" s="173" t="str">
        <f t="shared" si="405"/>
        <v>0.000</v>
      </c>
      <c r="J449" s="173" t="str">
        <f t="shared" si="405"/>
        <v>0.000</v>
      </c>
      <c r="K449" s="173" t="str">
        <f t="shared" si="405"/>
        <v>0.000</v>
      </c>
      <c r="L449" s="173">
        <f t="shared" si="405"/>
        <v>0.90581087413799621</v>
      </c>
      <c r="M449" s="173">
        <f t="shared" si="405"/>
        <v>0.70956876968816929</v>
      </c>
      <c r="N449" s="173" t="str">
        <f t="shared" si="405"/>
        <v>0.000</v>
      </c>
      <c r="O449" s="173">
        <f t="shared" si="405"/>
        <v>0.69618267737606665</v>
      </c>
      <c r="P449" s="173" t="str">
        <f t="shared" si="405"/>
        <v>0.000</v>
      </c>
      <c r="Q449" s="173" t="str">
        <f t="shared" si="405"/>
        <v>0.000</v>
      </c>
      <c r="R449" s="173" t="str">
        <f t="shared" si="405"/>
        <v>0.000</v>
      </c>
      <c r="S449" s="173" t="str">
        <f t="shared" si="405"/>
        <v>0.000</v>
      </c>
      <c r="T449" s="173" t="str">
        <f t="shared" si="405"/>
        <v>0.000</v>
      </c>
      <c r="U449" s="173" t="str">
        <f t="shared" si="405"/>
        <v>0.000</v>
      </c>
      <c r="V449" s="173" t="str">
        <f t="shared" si="405"/>
        <v>0.000</v>
      </c>
      <c r="W449" s="173" t="str">
        <f t="shared" ref="W449:AK449" si="406">IF(W431&lt;=0, "0.000", W431)</f>
        <v>0.000</v>
      </c>
      <c r="X449" s="173" t="str">
        <f t="shared" si="406"/>
        <v>0.000</v>
      </c>
      <c r="Y449" s="173" t="str">
        <f t="shared" si="406"/>
        <v>0.000</v>
      </c>
      <c r="Z449" s="173" t="str">
        <f t="shared" si="406"/>
        <v>0.000</v>
      </c>
      <c r="AA449" s="173" t="str">
        <f t="shared" si="406"/>
        <v>0.000</v>
      </c>
      <c r="AB449" s="173" t="str">
        <f t="shared" si="406"/>
        <v>0.000</v>
      </c>
      <c r="AC449" s="173" t="str">
        <f t="shared" si="406"/>
        <v>0.000</v>
      </c>
      <c r="AD449" s="173" t="str">
        <f t="shared" si="406"/>
        <v>0.000</v>
      </c>
      <c r="AE449" s="173" t="str">
        <f t="shared" si="406"/>
        <v>0.000</v>
      </c>
      <c r="AF449" s="173" t="str">
        <f t="shared" si="406"/>
        <v>0.000</v>
      </c>
      <c r="AG449" s="173" t="str">
        <f t="shared" si="406"/>
        <v>0.000</v>
      </c>
      <c r="AH449" s="173" t="str">
        <f t="shared" si="406"/>
        <v>0.000</v>
      </c>
      <c r="AI449" s="173" t="str">
        <f t="shared" si="406"/>
        <v>0.000</v>
      </c>
      <c r="AJ449" s="173" t="str">
        <f t="shared" si="406"/>
        <v>0.000</v>
      </c>
      <c r="AK449" s="173" t="str">
        <f t="shared" si="406"/>
        <v>0.000</v>
      </c>
      <c r="AL449" s="4"/>
      <c r="AM449" s="43">
        <v>433</v>
      </c>
      <c r="AN449">
        <v>58.890475050173336</v>
      </c>
      <c r="AO449">
        <v>11.039455461299966</v>
      </c>
      <c r="AP449">
        <v>115.23039458166355</v>
      </c>
      <c r="AQ449">
        <v>95.550060665207155</v>
      </c>
      <c r="AR449">
        <v>10.469368088691036</v>
      </c>
      <c r="AS449">
        <v>177.05587414108444</v>
      </c>
      <c r="AT449" t="e">
        <v>#DIV/0!</v>
      </c>
      <c r="AU449" t="e">
        <v>#DIV/0!</v>
      </c>
      <c r="AV449"/>
      <c r="AW449"/>
      <c r="FY449" s="210">
        <v>444</v>
      </c>
      <c r="FZ449">
        <v>3.6125302454943595</v>
      </c>
      <c r="GA449">
        <v>15.63075058503455</v>
      </c>
      <c r="GB449">
        <v>9.9393396363874658</v>
      </c>
      <c r="GC449">
        <v>2.9773252074041081</v>
      </c>
      <c r="GD449">
        <v>0.80565872935843541</v>
      </c>
      <c r="GE449">
        <v>1.4499687236065399</v>
      </c>
      <c r="GF449">
        <v>4.2467398095067397</v>
      </c>
      <c r="GG449">
        <v>4.4245390872749031</v>
      </c>
      <c r="GH449">
        <v>4.7057147928839376</v>
      </c>
      <c r="GI449">
        <v>5.2022993258579433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8"/>
        <v>8.8416936460553472</v>
      </c>
      <c r="D450" s="191">
        <f>A$414</f>
        <v>10.51</v>
      </c>
      <c r="E450" s="8"/>
      <c r="F450" s="124"/>
      <c r="G450" s="173" t="str">
        <f t="shared" si="389"/>
        <v>0.000</v>
      </c>
      <c r="H450" s="173">
        <f t="shared" ref="H450:V450" si="407">IF(H432&lt;=0, "0.000", H432)</f>
        <v>2.0451322324198589E-2</v>
      </c>
      <c r="I450" s="173">
        <f t="shared" si="407"/>
        <v>0.36921519900207189</v>
      </c>
      <c r="J450" s="173">
        <f t="shared" si="407"/>
        <v>1.0316157983791456</v>
      </c>
      <c r="K450" s="173">
        <f t="shared" si="407"/>
        <v>2.6708128002081946</v>
      </c>
      <c r="L450" s="173">
        <f t="shared" si="407"/>
        <v>1.2362675980452726</v>
      </c>
      <c r="M450" s="173">
        <f t="shared" si="407"/>
        <v>0.39599045556369011</v>
      </c>
      <c r="N450" s="173">
        <f t="shared" si="407"/>
        <v>0.59659818541002707</v>
      </c>
      <c r="O450" s="173">
        <f t="shared" si="407"/>
        <v>1.8593625974064623</v>
      </c>
      <c r="P450" s="173">
        <f t="shared" si="407"/>
        <v>0.29388426937321444</v>
      </c>
      <c r="Q450" s="173">
        <f t="shared" si="407"/>
        <v>0.36749542034307064</v>
      </c>
      <c r="R450" s="173" t="str">
        <f t="shared" si="407"/>
        <v>0.000</v>
      </c>
      <c r="S450" s="173" t="str">
        <f t="shared" si="407"/>
        <v>0.000</v>
      </c>
      <c r="T450" s="173" t="str">
        <f t="shared" si="407"/>
        <v>0.000</v>
      </c>
      <c r="U450" s="173" t="str">
        <f t="shared" si="407"/>
        <v>0.000</v>
      </c>
      <c r="V450" s="173" t="str">
        <f t="shared" si="407"/>
        <v>0.000</v>
      </c>
      <c r="W450" s="173" t="str">
        <f t="shared" ref="W450:AK450" si="408">IF(W432&lt;=0, "0.000", W432)</f>
        <v>0.000</v>
      </c>
      <c r="X450" s="173" t="str">
        <f t="shared" si="408"/>
        <v>0.000</v>
      </c>
      <c r="Y450" s="173" t="str">
        <f t="shared" si="408"/>
        <v>0.000</v>
      </c>
      <c r="Z450" s="173" t="str">
        <f t="shared" si="408"/>
        <v>0.000</v>
      </c>
      <c r="AA450" s="173" t="str">
        <f t="shared" si="408"/>
        <v>0.000</v>
      </c>
      <c r="AB450" s="173" t="str">
        <f t="shared" si="408"/>
        <v>0.000</v>
      </c>
      <c r="AC450" s="173" t="str">
        <f t="shared" si="408"/>
        <v>0.000</v>
      </c>
      <c r="AD450" s="173" t="str">
        <f t="shared" si="408"/>
        <v>0.000</v>
      </c>
      <c r="AE450" s="173" t="str">
        <f t="shared" si="408"/>
        <v>0.000</v>
      </c>
      <c r="AF450" s="173" t="str">
        <f t="shared" si="408"/>
        <v>0.000</v>
      </c>
      <c r="AG450" s="173" t="str">
        <f t="shared" si="408"/>
        <v>0.000</v>
      </c>
      <c r="AH450" s="173" t="str">
        <f t="shared" si="408"/>
        <v>0.000</v>
      </c>
      <c r="AI450" s="173" t="str">
        <f t="shared" si="408"/>
        <v>0.000</v>
      </c>
      <c r="AJ450" s="173" t="str">
        <f t="shared" si="408"/>
        <v>0.000</v>
      </c>
      <c r="AK450" s="173" t="str">
        <f t="shared" si="408"/>
        <v>0.000</v>
      </c>
      <c r="AL450" s="4"/>
      <c r="AM450" s="43">
        <v>434</v>
      </c>
      <c r="AN450">
        <v>44.91334325396825</v>
      </c>
      <c r="AO450">
        <v>8.7580692213736722</v>
      </c>
      <c r="AP450">
        <v>91.514342691271807</v>
      </c>
      <c r="AQ450">
        <v>75.373240260243392</v>
      </c>
      <c r="AR450">
        <v>8.5928526094767328</v>
      </c>
      <c r="AS450">
        <v>138.42277832587607</v>
      </c>
      <c r="AT450" t="e">
        <v>#DIV/0!</v>
      </c>
      <c r="AU450" t="e">
        <v>#DIV/0!</v>
      </c>
      <c r="AV450"/>
      <c r="AW450"/>
      <c r="FY450" s="210">
        <v>445</v>
      </c>
      <c r="FZ450">
        <v>10.279198769531408</v>
      </c>
      <c r="GA450">
        <v>29.697549207274921</v>
      </c>
      <c r="GB450">
        <v>10.413729316124076</v>
      </c>
      <c r="GC450">
        <v>1.8770727179596349</v>
      </c>
      <c r="GD450">
        <v>0.57767125701680411</v>
      </c>
      <c r="GE450">
        <v>0</v>
      </c>
      <c r="GF450">
        <v>4.0380024565678951</v>
      </c>
      <c r="GG450">
        <v>3.7964745756524119</v>
      </c>
      <c r="GH450">
        <v>0.5812371033785837</v>
      </c>
      <c r="GI450">
        <v>5.5658913915310295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41.804347404670679</v>
      </c>
      <c r="AO451">
        <v>13.830715135013202</v>
      </c>
      <c r="AP451">
        <v>146.9396374564156</v>
      </c>
      <c r="AQ451">
        <v>105.93491966738158</v>
      </c>
      <c r="AR451">
        <v>13.303874724679732</v>
      </c>
      <c r="AS451">
        <v>166.33598554465487</v>
      </c>
      <c r="AT451">
        <v>8.555095870880292</v>
      </c>
      <c r="AU451">
        <v>13.246732375481891</v>
      </c>
      <c r="AV451"/>
      <c r="AW451"/>
      <c r="FY451" s="210">
        <v>446</v>
      </c>
      <c r="FZ451">
        <v>31.972464984529381</v>
      </c>
      <c r="GA451">
        <v>50.108462403240139</v>
      </c>
      <c r="GB451">
        <v>9.0026547233283303</v>
      </c>
      <c r="GC451">
        <v>2.0373312931391112</v>
      </c>
      <c r="GD451">
        <v>1.0220125904171558</v>
      </c>
      <c r="GE451">
        <v>2.7576801806065649</v>
      </c>
      <c r="GF451">
        <v>5.0378124349586431</v>
      </c>
      <c r="GG451">
        <v>1.7790916822782692</v>
      </c>
      <c r="GH451">
        <v>2.8359211736877388</v>
      </c>
      <c r="GI451">
        <v>9.1445625991402864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17.675248015873013</v>
      </c>
      <c r="AO452">
        <v>6.4201961125047955</v>
      </c>
      <c r="AP452">
        <v>63.28335805277878</v>
      </c>
      <c r="AQ452">
        <v>44.048728305222774</v>
      </c>
      <c r="AR452">
        <v>6.3354833438293454</v>
      </c>
      <c r="AS452">
        <v>83.738445752530495</v>
      </c>
      <c r="AT452" t="e">
        <v>#DIV/0!</v>
      </c>
      <c r="AU452" t="e">
        <v>#DIV/0!</v>
      </c>
      <c r="AV452"/>
      <c r="AW452"/>
      <c r="FY452" s="210">
        <v>447</v>
      </c>
      <c r="FZ452">
        <v>4.7702142086966388</v>
      </c>
      <c r="GA452">
        <v>18.6793607157657</v>
      </c>
      <c r="GB452">
        <v>9.2777832565351268</v>
      </c>
      <c r="GC452">
        <v>1.2175375815983083</v>
      </c>
      <c r="GD452">
        <v>0.51550060664057828</v>
      </c>
      <c r="GE452">
        <v>1.4520245775858855</v>
      </c>
      <c r="GF452">
        <v>4.5235914232079599</v>
      </c>
      <c r="GG452">
        <v>3.1476604218853108</v>
      </c>
      <c r="GH452">
        <v>2.6094684551532397</v>
      </c>
      <c r="GI452">
        <v>4.7736846484673494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106.30735145468492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39.698360814632366</v>
      </c>
      <c r="AO453">
        <v>10.514230815496941</v>
      </c>
      <c r="AP453">
        <v>109.01755846494234</v>
      </c>
      <c r="AQ453">
        <v>81.242876621229527</v>
      </c>
      <c r="AR453">
        <v>10.165565419394564</v>
      </c>
      <c r="AS453">
        <v>138.64976851876287</v>
      </c>
      <c r="AT453">
        <v>6.6007916884535476</v>
      </c>
      <c r="AU453">
        <v>17.205770758663796</v>
      </c>
      <c r="AV453"/>
      <c r="AW453"/>
      <c r="FY453" s="210">
        <v>448</v>
      </c>
      <c r="FZ453">
        <v>12.732749165985414</v>
      </c>
      <c r="GA453">
        <v>30.271837492863767</v>
      </c>
      <c r="GB453">
        <v>10.705494313986375</v>
      </c>
      <c r="GC453">
        <v>2.1573585249133647</v>
      </c>
      <c r="GD453">
        <v>0.76609414766475714</v>
      </c>
      <c r="GE453">
        <v>0.14225726660651461</v>
      </c>
      <c r="GF453">
        <v>2.669802399329301</v>
      </c>
      <c r="GG453">
        <v>3.9793606564169535</v>
      </c>
      <c r="GH453">
        <v>3.3736661184853478</v>
      </c>
      <c r="GI453">
        <v>6.1820535839350717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32.317525314723596</v>
      </c>
      <c r="AO454">
        <v>11.228255037722398</v>
      </c>
      <c r="AP454">
        <v>120.2775379670568</v>
      </c>
      <c r="AQ454">
        <v>85.438598377845139</v>
      </c>
      <c r="AR454">
        <v>10.768205723018973</v>
      </c>
      <c r="AS454">
        <v>125.07074798725516</v>
      </c>
      <c r="AT454" t="e">
        <v>#DIV/0!</v>
      </c>
      <c r="AU454" t="e">
        <v>#DIV/0!</v>
      </c>
      <c r="AV454"/>
      <c r="AW454"/>
      <c r="FY454" s="210">
        <v>449</v>
      </c>
      <c r="FZ454">
        <v>11.392638881383352</v>
      </c>
      <c r="GA454">
        <v>35.221767151054479</v>
      </c>
      <c r="GB454">
        <v>12.167599057665164</v>
      </c>
      <c r="GC454">
        <v>1.155694316554952</v>
      </c>
      <c r="GD454">
        <v>0.50976646370456857</v>
      </c>
      <c r="GE454">
        <v>1.5901701362337088</v>
      </c>
      <c r="GF454">
        <v>5.0962774856290345</v>
      </c>
      <c r="GG454">
        <v>4.3076868372824197</v>
      </c>
      <c r="GH454">
        <v>3.6035572664803137</v>
      </c>
      <c r="GI454">
        <v>6.7938079209920659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7"/>
      <c r="P455" s="227"/>
      <c r="Q455" s="227"/>
      <c r="R455" s="227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39.311587187557016</v>
      </c>
      <c r="AO455">
        <v>11.301318196551865</v>
      </c>
      <c r="AP455">
        <v>120.56235286697265</v>
      </c>
      <c r="AQ455">
        <v>87.309341595372814</v>
      </c>
      <c r="AR455">
        <v>10.883946435168546</v>
      </c>
      <c r="AS455">
        <v>141.37490493301638</v>
      </c>
      <c r="AT455">
        <v>6.9493838312668119</v>
      </c>
      <c r="AU455">
        <v>26.097445470812012</v>
      </c>
      <c r="AV455"/>
      <c r="AW455"/>
      <c r="FY455" s="210">
        <v>450</v>
      </c>
      <c r="FZ455">
        <v>13.408924436233805</v>
      </c>
      <c r="GA455">
        <v>37.228290408987711</v>
      </c>
      <c r="GB455">
        <v>12.721918393931952</v>
      </c>
      <c r="GC455">
        <v>1.6304606841984353</v>
      </c>
      <c r="GD455">
        <v>0.82646843541129</v>
      </c>
      <c r="GE455">
        <v>4.3478503168402742</v>
      </c>
      <c r="GF455">
        <v>8.2948423623620364</v>
      </c>
      <c r="GG455">
        <v>2.6639567417682652</v>
      </c>
      <c r="GH455">
        <v>2.7244140291507226</v>
      </c>
      <c r="GI455">
        <v>7.9145674842279963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33.962053571428569</v>
      </c>
      <c r="AO456">
        <v>9.6210500834341062</v>
      </c>
      <c r="AP456">
        <v>96.302717735849171</v>
      </c>
      <c r="AQ456">
        <v>71.651251796734158</v>
      </c>
      <c r="AR456">
        <v>9.1968393013079055</v>
      </c>
      <c r="AS456">
        <v>116.82225957800674</v>
      </c>
      <c r="AT456">
        <v>6.3978116882105072</v>
      </c>
      <c r="AU456">
        <v>65.910578819706302</v>
      </c>
      <c r="AV456"/>
      <c r="AW456"/>
      <c r="FY456" s="210">
        <v>451</v>
      </c>
      <c r="FZ456">
        <v>6.2049055491433212</v>
      </c>
      <c r="GA456">
        <v>10.709136055614762</v>
      </c>
      <c r="GB456">
        <v>4.3958155074400054</v>
      </c>
      <c r="GC456">
        <v>1.1844316343752554</v>
      </c>
      <c r="GD456">
        <v>0.64260282785598632</v>
      </c>
      <c r="GE456">
        <v>1.4479128696271943</v>
      </c>
      <c r="GF456">
        <v>5.5419333504219246</v>
      </c>
      <c r="GG456">
        <v>5.4575286389777666</v>
      </c>
      <c r="GH456">
        <v>5.4053358997204715</v>
      </c>
      <c r="GI456">
        <v>4.4605076286698484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1.2306894681605939E-3</v>
      </c>
      <c r="F457" s="102">
        <f>+D457-D459</f>
        <v>-3.7846419355919712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60.203123859697129</v>
      </c>
      <c r="AO457">
        <v>16.045778720897928</v>
      </c>
      <c r="AP457">
        <v>179.09550417280053</v>
      </c>
      <c r="AQ457">
        <v>134.57581056019555</v>
      </c>
      <c r="AR457">
        <v>15.106673044469737</v>
      </c>
      <c r="AS457">
        <v>183.92418435249982</v>
      </c>
      <c r="AT457" t="e">
        <v>#DIV/0!</v>
      </c>
      <c r="AU457" t="e">
        <v>#DIV/0!</v>
      </c>
      <c r="AV457"/>
      <c r="AW457"/>
      <c r="FY457" s="210">
        <v>452</v>
      </c>
      <c r="FZ457">
        <v>39.772013752004035</v>
      </c>
      <c r="GA457">
        <v>68.385545104919402</v>
      </c>
      <c r="GB457">
        <v>12.210886294048141</v>
      </c>
      <c r="GC457">
        <v>1.3889052086453453</v>
      </c>
      <c r="GD457">
        <v>0.86846787461693853</v>
      </c>
      <c r="GE457">
        <v>0.42060423788150719</v>
      </c>
      <c r="GF457">
        <v>2.5903870818303698</v>
      </c>
      <c r="GG457">
        <v>4.0950943115062834</v>
      </c>
      <c r="GH457">
        <v>4.8775386177744977</v>
      </c>
      <c r="GI457">
        <v>10.891201938456375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3.0177363797303349E-3</v>
      </c>
      <c r="I458" s="101">
        <f>+H458*F457</f>
        <v>-1.1421051653288923E-2</v>
      </c>
      <c r="J458" s="101">
        <f>+I458*$A$440</f>
        <v>-0.11421051653288923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42.535912698412695</v>
      </c>
      <c r="AO458">
        <v>10.695907890038097</v>
      </c>
      <c r="AP458">
        <v>111.0931830468262</v>
      </c>
      <c r="AQ458">
        <v>87.139208718572931</v>
      </c>
      <c r="AR458">
        <v>10.094082829062486</v>
      </c>
      <c r="AS458">
        <v>154.31978227457518</v>
      </c>
      <c r="AT458" t="e">
        <v>#DIV/0!</v>
      </c>
      <c r="AU458" t="e">
        <v>#DIV/0!</v>
      </c>
      <c r="AV458"/>
      <c r="AW458"/>
      <c r="FY458" s="210">
        <v>453</v>
      </c>
      <c r="FZ458">
        <v>12.863661427105448</v>
      </c>
      <c r="GA458">
        <v>32.787309629088966</v>
      </c>
      <c r="GB458">
        <v>12.686640187142627</v>
      </c>
      <c r="GC458">
        <v>2.4906378441446138</v>
      </c>
      <c r="GD458">
        <v>0.99005570978313839</v>
      </c>
      <c r="GE458">
        <v>1.7283156948815326</v>
      </c>
      <c r="GF458">
        <v>8.3387659473794109</v>
      </c>
      <c r="GG458">
        <v>6.159465175828875</v>
      </c>
      <c r="GH458">
        <v>2.3115623212022323</v>
      </c>
      <c r="GI458">
        <v>7.8556822001727182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3.7846419355919712</v>
      </c>
      <c r="E459" s="97">
        <f>+H36</f>
        <v>7.3997000000000004E-3</v>
      </c>
      <c r="F459" s="102">
        <f>+D459-D461</f>
        <v>-7.6047009588529626</v>
      </c>
      <c r="G459" s="101">
        <f>+D459*E459</f>
        <v>2.800521493079991E-2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35.991880473453747</v>
      </c>
      <c r="AO459">
        <v>9.0445393937491509</v>
      </c>
      <c r="AP459">
        <v>94.744063621293705</v>
      </c>
      <c r="AQ459">
        <v>70.485191832976952</v>
      </c>
      <c r="AR459">
        <v>8.7019546816136728</v>
      </c>
      <c r="AS459">
        <v>150.44572740403572</v>
      </c>
      <c r="AT459">
        <v>5.9839130400383205</v>
      </c>
      <c r="AU459">
        <v>57.49981736840342</v>
      </c>
      <c r="AV459"/>
      <c r="AW459"/>
      <c r="FY459" s="210">
        <v>454</v>
      </c>
      <c r="FZ459">
        <v>20.95405236234685</v>
      </c>
      <c r="GA459">
        <v>31.031460647396969</v>
      </c>
      <c r="GB459">
        <v>6.0546175080100149</v>
      </c>
      <c r="GC459">
        <v>1.9612470020279849</v>
      </c>
      <c r="GD459">
        <v>1.1478843306587763</v>
      </c>
      <c r="GE459">
        <v>1.8705729614880471</v>
      </c>
      <c r="GF459">
        <v>5.8187849641231448</v>
      </c>
      <c r="GG459">
        <v>5.1101990401630353</v>
      </c>
      <c r="GH459">
        <v>4.296301514395914</v>
      </c>
      <c r="GI459">
        <v>7.2146874979714655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1.8144580307870684E-2</v>
      </c>
      <c r="I460" s="101">
        <f>+H460*F459</f>
        <v>-0.13798410726524876</v>
      </c>
      <c r="J460" s="101">
        <f>+I460*$A$440</f>
        <v>-1.3798410726524877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22.676984126984131</v>
      </c>
      <c r="AO460">
        <v>8.0287435147513619</v>
      </c>
      <c r="AP460">
        <v>76.239934247021424</v>
      </c>
      <c r="AQ460">
        <v>52.994866142808981</v>
      </c>
      <c r="AR460">
        <v>7.5707587792777256</v>
      </c>
      <c r="AS460">
        <v>99.255272784985692</v>
      </c>
      <c r="AT460">
        <v>5.2135657623520313</v>
      </c>
      <c r="AU460">
        <v>-8.6524345537753398</v>
      </c>
      <c r="AV460"/>
      <c r="AW460"/>
      <c r="FY460" s="210">
        <v>455</v>
      </c>
      <c r="FZ460">
        <v>4.5512647754479838</v>
      </c>
      <c r="GA460">
        <v>22.624352808358204</v>
      </c>
      <c r="GB460">
        <v>13.445366798148228</v>
      </c>
      <c r="GC460">
        <v>2.6075994562042024</v>
      </c>
      <c r="GD460">
        <v>0.73270688688891183</v>
      </c>
      <c r="GE460">
        <v>0</v>
      </c>
      <c r="GF460">
        <v>5.6798137185912472</v>
      </c>
      <c r="GG460">
        <v>7.2014115303987225</v>
      </c>
      <c r="GH460">
        <v>5.2189369103064793</v>
      </c>
      <c r="GI460">
        <v>6.5596437136555146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11.389342894444933</v>
      </c>
      <c r="E461" s="97">
        <f>+I36</f>
        <v>4.4491775956966982E-2</v>
      </c>
      <c r="F461" s="102">
        <f>+D461-D463</f>
        <v>0.24281681125453325</v>
      </c>
      <c r="G461" s="101">
        <f>+D461*E461</f>
        <v>0.50673209235671779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31.55173269020252</v>
      </c>
      <c r="AO461">
        <v>8.8031724659376671</v>
      </c>
      <c r="AP461">
        <v>94.916826122434827</v>
      </c>
      <c r="AQ461">
        <v>66.826826795036766</v>
      </c>
      <c r="AR461">
        <v>8.255619718669454</v>
      </c>
      <c r="AS461">
        <v>149.39021419927093</v>
      </c>
      <c r="AT461" t="e">
        <v>#DIV/0!</v>
      </c>
      <c r="AU461" t="e">
        <v>#DIV/0!</v>
      </c>
      <c r="AV461"/>
      <c r="AW461"/>
      <c r="FY461" s="210">
        <v>456</v>
      </c>
      <c r="FZ461">
        <v>5.2022691709699256</v>
      </c>
      <c r="GA461">
        <v>14.053613899545635</v>
      </c>
      <c r="GB461">
        <v>7.5415041094234274</v>
      </c>
      <c r="GC461">
        <v>1.8932585118721172</v>
      </c>
      <c r="GD461">
        <v>0.89400747414504367</v>
      </c>
      <c r="GE461">
        <v>0.42266009186085274</v>
      </c>
      <c r="GF461">
        <v>3.6881443265432665</v>
      </c>
      <c r="GG461">
        <v>4.940181965212199</v>
      </c>
      <c r="GH461">
        <v>3.4886116924828308</v>
      </c>
      <c r="GI461">
        <v>4.5604809930516721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7.5186839728379223E-2</v>
      </c>
      <c r="I462" s="101">
        <f>+H462*F461</f>
        <v>1.8256628671150701E-2</v>
      </c>
      <c r="J462" s="101">
        <f>+I462*$A$440</f>
        <v>0.18256628671150701</v>
      </c>
      <c r="K462" s="61">
        <f>IF(AND(J462&lt;0, J460&lt;0), 0, J462)</f>
        <v>0.18256628671150701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60.788128306878306</v>
      </c>
      <c r="AO462">
        <v>13.726432747614263</v>
      </c>
      <c r="AP462">
        <v>144.7680242465573</v>
      </c>
      <c r="AQ462">
        <v>115.69799406532563</v>
      </c>
      <c r="AR462">
        <v>12.880733744398956</v>
      </c>
      <c r="AS462">
        <v>179.33915737749354</v>
      </c>
      <c r="AT462">
        <v>8.3715496196319528</v>
      </c>
      <c r="AU462">
        <v>91.636679551910674</v>
      </c>
      <c r="AV462"/>
      <c r="AW462"/>
      <c r="FY462" s="210">
        <v>457</v>
      </c>
      <c r="FZ462">
        <v>13.181936778770915</v>
      </c>
      <c r="GA462">
        <v>37.306250722214976</v>
      </c>
      <c r="GB462">
        <v>12.902138368302474</v>
      </c>
      <c r="GC462">
        <v>1.4689439850359451</v>
      </c>
      <c r="GD462">
        <v>0.73285389432700532</v>
      </c>
      <c r="GE462">
        <v>2.7576801806065649</v>
      </c>
      <c r="GF462">
        <v>5.0918361162634174</v>
      </c>
      <c r="GG462">
        <v>1.6561050201502265</v>
      </c>
      <c r="GH462">
        <v>1.3320486743985893</v>
      </c>
      <c r="GI462">
        <v>6.9739199587028251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11.1465260831904</v>
      </c>
      <c r="E463" s="97">
        <f>+J36</f>
        <v>0.12705855737942889</v>
      </c>
      <c r="F463" s="102">
        <f>+D463-D465</f>
        <v>-2.7182514295462994</v>
      </c>
      <c r="G463" s="101">
        <f>+D463*E463</f>
        <v>1.4162615239223482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16.272718253968254</v>
      </c>
      <c r="AO463">
        <v>7.1449758974221949</v>
      </c>
      <c r="AP463">
        <v>74.061196754178894</v>
      </c>
      <c r="AQ463">
        <v>50.966825895536111</v>
      </c>
      <c r="AR463">
        <v>6.9383130739628527</v>
      </c>
      <c r="AS463">
        <v>76.792389357180198</v>
      </c>
      <c r="AT463">
        <v>4.5935008511002513</v>
      </c>
      <c r="AU463">
        <v>7.5260319065276873</v>
      </c>
      <c r="AV463"/>
      <c r="AW463"/>
      <c r="FY463" s="210">
        <v>458</v>
      </c>
      <c r="FZ463">
        <v>15.512649954226926</v>
      </c>
      <c r="GA463">
        <v>25.146137019924627</v>
      </c>
      <c r="GB463">
        <v>7.109084661656806</v>
      </c>
      <c r="GC463">
        <v>1.1218177051919029</v>
      </c>
      <c r="GD463">
        <v>0.56915419187742267</v>
      </c>
      <c r="GE463">
        <v>0.28040282525433813</v>
      </c>
      <c r="GF463">
        <v>5.9122908610796756</v>
      </c>
      <c r="GG463">
        <v>7.0101688283097818</v>
      </c>
      <c r="GH463">
        <v>5.2323230026185819</v>
      </c>
      <c r="GI463">
        <v>6.5520442751301307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0.18436337304844502</v>
      </c>
      <c r="I464" s="101">
        <f>+H464*F463</f>
        <v>-0.50114600234491335</v>
      </c>
      <c r="J464" s="101">
        <f>+I464*$A$440</f>
        <v>-5.0114600234491338</v>
      </c>
      <c r="K464" s="61">
        <f>IF(AND(J464&lt;0, J462&lt;0), 0, J464)</f>
        <v>-5.0114600234491338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34.147865923189201</v>
      </c>
      <c r="AO464">
        <v>9.3853064537264537</v>
      </c>
      <c r="AP464">
        <v>98.945689235291155</v>
      </c>
      <c r="AQ464">
        <v>72.98067367018686</v>
      </c>
      <c r="AR464">
        <v>8.9965271442245314</v>
      </c>
      <c r="AS464">
        <v>114.89382164660712</v>
      </c>
      <c r="AT464" t="e">
        <v>#DIV/0!</v>
      </c>
      <c r="AU464" t="e">
        <v>#DIV/0!</v>
      </c>
      <c r="AV464"/>
      <c r="AW464"/>
      <c r="FY464" s="210">
        <v>459</v>
      </c>
      <c r="FZ464">
        <v>23.669083655571605</v>
      </c>
      <c r="GA464">
        <v>45.944887439163239</v>
      </c>
      <c r="GB464">
        <v>10.715291650278111</v>
      </c>
      <c r="GC464">
        <v>0.74908699133497814</v>
      </c>
      <c r="GD464">
        <v>0.57588776144113907</v>
      </c>
      <c r="GE464">
        <v>1.4479128696271943</v>
      </c>
      <c r="GF464">
        <v>5.3731290993302547</v>
      </c>
      <c r="GG464">
        <v>3.2008252468436651</v>
      </c>
      <c r="GH464">
        <v>0.22645271853449905</v>
      </c>
      <c r="GI464">
        <v>7.8401584100494297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13.864777512736699</v>
      </c>
      <c r="E465" s="97">
        <f>+K36</f>
        <v>0.26751329483694541</v>
      </c>
      <c r="F465" s="102">
        <f>+D465-D467</f>
        <v>10.208314927702684</v>
      </c>
      <c r="G465" s="101">
        <f>+D465*E465</f>
        <v>3.7090123146133833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32.015689997263266</v>
      </c>
      <c r="AO465">
        <v>10.562107425316205</v>
      </c>
      <c r="AP465">
        <v>114.71612368775214</v>
      </c>
      <c r="AQ465">
        <v>81.838965516980039</v>
      </c>
      <c r="AR465">
        <v>9.8958361950542244</v>
      </c>
      <c r="AS465">
        <v>136.57554342361516</v>
      </c>
      <c r="AT465">
        <v>6.5938292048958154</v>
      </c>
      <c r="AU465">
        <v>32.438403660054696</v>
      </c>
      <c r="AV465"/>
      <c r="AW465"/>
      <c r="FY465" s="210">
        <v>460</v>
      </c>
      <c r="FZ465">
        <v>31.005707978419501</v>
      </c>
      <c r="GA465">
        <v>56.681183107455489</v>
      </c>
      <c r="GB465">
        <v>13.972436045948108</v>
      </c>
      <c r="GC465">
        <v>2.6921345146202618</v>
      </c>
      <c r="GD465">
        <v>0.765670840731699</v>
      </c>
      <c r="GE465">
        <v>1.4499687236065399</v>
      </c>
      <c r="GF465">
        <v>9.1056478970863104</v>
      </c>
      <c r="GG465">
        <v>8.2344010821015861</v>
      </c>
      <c r="GH465">
        <v>5.5737212951505644</v>
      </c>
      <c r="GI465">
        <v>11.424765440445199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0.35706470820343522</v>
      </c>
      <c r="I466" s="101">
        <f>+H466*F465</f>
        <v>3.6450289909089308</v>
      </c>
      <c r="J466" s="101">
        <f>+I466*$A$440</f>
        <v>36.450289909089307</v>
      </c>
      <c r="K466" s="61">
        <f>IF(AND(J466&lt;0, J464&lt;0), 0, J466)</f>
        <v>36.450289909089307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36.975049603174611</v>
      </c>
      <c r="AO466">
        <v>12.206908772377428</v>
      </c>
      <c r="AP466">
        <v>126.1698701638124</v>
      </c>
      <c r="AQ466">
        <v>91.761693293112486</v>
      </c>
      <c r="AR466">
        <v>11.248294071935028</v>
      </c>
      <c r="AS466">
        <v>132.54023243112383</v>
      </c>
      <c r="AT466">
        <v>7.372403606893684</v>
      </c>
      <c r="AU466">
        <v>34.944629507963455</v>
      </c>
      <c r="AV466"/>
      <c r="AW466"/>
      <c r="FY466" s="210">
        <v>461</v>
      </c>
      <c r="FZ466">
        <v>22.394476106682227</v>
      </c>
      <c r="GA466">
        <v>32.011492752127452</v>
      </c>
      <c r="GB466">
        <v>5.13221810236527</v>
      </c>
      <c r="GC466">
        <v>1.5110000736721998</v>
      </c>
      <c r="GD466">
        <v>0.67790113569052479</v>
      </c>
      <c r="GE466">
        <v>1.4479128696271943</v>
      </c>
      <c r="GF466">
        <v>3.1299997297752098</v>
      </c>
      <c r="GG466">
        <v>1.0446975207390707</v>
      </c>
      <c r="GH466">
        <v>2.2000551766652161</v>
      </c>
      <c r="GI466">
        <v>6.0067200121846458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3.6564625850340144</v>
      </c>
      <c r="E467" s="97">
        <f>L36</f>
        <v>0.47659390506970939</v>
      </c>
      <c r="F467" s="102">
        <f>+D467-D469</f>
        <v>2.9124149659863954</v>
      </c>
      <c r="G467" s="101">
        <f>+D467*E467</f>
        <v>1.7426477821426454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18.026668833242113</v>
      </c>
      <c r="AO467">
        <v>6.5565507200565163</v>
      </c>
      <c r="AP467">
        <v>63.907859957896626</v>
      </c>
      <c r="AQ467">
        <v>45.450109961846536</v>
      </c>
      <c r="AR467">
        <v>6.5114208312053563</v>
      </c>
      <c r="AS467">
        <v>82.526153297632746</v>
      </c>
      <c r="AT467">
        <v>4.6833083109637732</v>
      </c>
      <c r="AU467">
        <v>20.317814282941121</v>
      </c>
      <c r="AV467"/>
      <c r="AW467"/>
      <c r="FY467" s="210">
        <v>462</v>
      </c>
      <c r="FZ467">
        <v>21.201622152322887</v>
      </c>
      <c r="GA467">
        <v>38.998266211260159</v>
      </c>
      <c r="GB467">
        <v>8.9799854797156229</v>
      </c>
      <c r="GC467">
        <v>1.7986521916452132</v>
      </c>
      <c r="GD467">
        <v>0.79360473119325181</v>
      </c>
      <c r="GE467">
        <v>1.3077114570000252</v>
      </c>
      <c r="GF467">
        <v>6.6969546853560589</v>
      </c>
      <c r="GG467">
        <v>4.2735922043306092</v>
      </c>
      <c r="GH467">
        <v>0.5812371033785837</v>
      </c>
      <c r="GI467">
        <v>7.3761220637220566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0.60340515546779983</v>
      </c>
      <c r="I468" s="101">
        <f>+H468*F467</f>
        <v>1.7573662053377679</v>
      </c>
      <c r="J468" s="101">
        <f>+I468*$A$440</f>
        <v>17.573662053377678</v>
      </c>
      <c r="K468" s="61">
        <f>IF(AND(J468&lt;0, J466&lt;0), 0, J468)</f>
        <v>17.573662053377678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71.708332193030472</v>
      </c>
      <c r="AO468">
        <v>16.45260880696086</v>
      </c>
      <c r="AP468">
        <v>184.55822288058815</v>
      </c>
      <c r="AQ468">
        <v>145.50064442168286</v>
      </c>
      <c r="AR468">
        <v>15.663100908599466</v>
      </c>
      <c r="AS468">
        <v>222.83365716751786</v>
      </c>
      <c r="AT468" t="e">
        <v>#DIV/0!</v>
      </c>
      <c r="AU468" t="e">
        <v>#DIV/0!</v>
      </c>
      <c r="AV468"/>
      <c r="AW468"/>
      <c r="FY468" s="210">
        <v>463</v>
      </c>
      <c r="FZ468">
        <v>12.610947398920242</v>
      </c>
      <c r="GA468">
        <v>23.383322070041658</v>
      </c>
      <c r="GB468">
        <v>7.4836027007460988</v>
      </c>
      <c r="GC468">
        <v>2.2819438957877693</v>
      </c>
      <c r="GD468">
        <v>0.7838449557394882</v>
      </c>
      <c r="GE468">
        <v>1.3138790189380618</v>
      </c>
      <c r="GF468">
        <v>5.9014406905385393</v>
      </c>
      <c r="GG468">
        <v>3.6779428755218637</v>
      </c>
      <c r="GH468">
        <v>0.22645271853449905</v>
      </c>
      <c r="GI468">
        <v>5.4823544208321096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0.74404761904761896</v>
      </c>
      <c r="E469" s="97">
        <f>M36</f>
        <v>0.76395811564536187</v>
      </c>
      <c r="F469" s="102">
        <f>+D469-D471</f>
        <v>0</v>
      </c>
      <c r="G469" s="101">
        <f>+D469*E469</f>
        <v>0.56842121699803705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37.820004333150891</v>
      </c>
      <c r="AO469">
        <v>11.855241206848753</v>
      </c>
      <c r="AP469">
        <v>121.39780228208893</v>
      </c>
      <c r="AQ469">
        <v>88.212096136729556</v>
      </c>
      <c r="AR469">
        <v>11.312374223546207</v>
      </c>
      <c r="AS469">
        <v>136.22551234442724</v>
      </c>
      <c r="AT469">
        <v>7.3672495403815299</v>
      </c>
      <c r="AU469">
        <v>16.621099891251276</v>
      </c>
      <c r="AV469"/>
      <c r="AW469"/>
      <c r="FY469" s="210">
        <v>464</v>
      </c>
      <c r="FZ469">
        <v>14.320018313225196</v>
      </c>
      <c r="GA469">
        <v>36.028083815357007</v>
      </c>
      <c r="GB469">
        <v>13.1162465951257</v>
      </c>
      <c r="GC469">
        <v>2.4869850574456058</v>
      </c>
      <c r="GD469">
        <v>1.1029613433238925</v>
      </c>
      <c r="GE469">
        <v>1.5881142822543635</v>
      </c>
      <c r="GF469">
        <v>3.2380470923847584</v>
      </c>
      <c r="GG469">
        <v>2.657822329632705</v>
      </c>
      <c r="GH469">
        <v>3.1338273076387462</v>
      </c>
      <c r="GI469">
        <v>7.2968382881529799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0.93260705097903263</v>
      </c>
      <c r="I470" s="101">
        <f>+H470*F469</f>
        <v>0</v>
      </c>
      <c r="J470" s="101">
        <f>+I470*$A$440</f>
        <v>0</v>
      </c>
      <c r="K470" s="61">
        <f>IF(AND(J470&lt;0, J468&lt;0), 0, J470)</f>
        <v>0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45.625413359788347</v>
      </c>
      <c r="AO470">
        <v>10.737714857230952</v>
      </c>
      <c r="AP470">
        <v>108.24493446473264</v>
      </c>
      <c r="AQ470">
        <v>85.459807828582214</v>
      </c>
      <c r="AR470">
        <v>10.272028679927978</v>
      </c>
      <c r="AS470">
        <v>157.7143511801651</v>
      </c>
      <c r="AT470">
        <v>6.6837650382310665</v>
      </c>
      <c r="AU470">
        <v>51.073186915123664</v>
      </c>
      <c r="AV470"/>
      <c r="AW470"/>
      <c r="FY470" s="210">
        <v>465</v>
      </c>
      <c r="FZ470">
        <v>23.649099403629585</v>
      </c>
      <c r="GA470">
        <v>43.671884969294496</v>
      </c>
      <c r="GB470">
        <v>12.081431031079941</v>
      </c>
      <c r="GC470">
        <v>1.9492563759428272</v>
      </c>
      <c r="GD470">
        <v>0.62433752305513057</v>
      </c>
      <c r="GE470">
        <v>1.3138790189380618</v>
      </c>
      <c r="GF470">
        <v>7.8104543561711264</v>
      </c>
      <c r="GG470">
        <v>7.2014115303987225</v>
      </c>
      <c r="GH470">
        <v>3.2453344521757623</v>
      </c>
      <c r="GI470">
        <v>9.1112388318532034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0.74404761904761896</v>
      </c>
      <c r="E471" s="97">
        <f>+N36</f>
        <v>1.1384863825958209</v>
      </c>
      <c r="F471" s="102">
        <f>+D471-D473</f>
        <v>-0.95663265306122447</v>
      </c>
      <c r="G471" s="101">
        <f>+D471*E471</f>
        <v>0.84708808228855714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30.659619594964418</v>
      </c>
      <c r="AO471">
        <v>9.729255528736358</v>
      </c>
      <c r="AP471">
        <v>99.989447928200676</v>
      </c>
      <c r="AQ471">
        <v>68.621096597999497</v>
      </c>
      <c r="AR471">
        <v>9.6188085909582686</v>
      </c>
      <c r="AS471">
        <v>124.89670383548068</v>
      </c>
      <c r="AT471" t="e">
        <v>#DIV/0!</v>
      </c>
      <c r="AU471" t="e">
        <v>#DIV/0!</v>
      </c>
      <c r="AV471"/>
      <c r="AW471"/>
      <c r="FY471" s="210">
        <v>466</v>
      </c>
      <c r="FZ471">
        <v>4.4972428183847937</v>
      </c>
      <c r="GA471">
        <v>19.54294269925175</v>
      </c>
      <c r="GB471">
        <v>9.4061969262807814</v>
      </c>
      <c r="GC471">
        <v>1.3939905207099081</v>
      </c>
      <c r="GD471">
        <v>0.49435922896486184</v>
      </c>
      <c r="GE471">
        <v>0</v>
      </c>
      <c r="GF471">
        <v>2.4469744669328555</v>
      </c>
      <c r="GG471">
        <v>3.1946908347081049</v>
      </c>
      <c r="GH471">
        <v>3.1907055585318234</v>
      </c>
      <c r="GI471">
        <v>4.4522690961966269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1.3532231531151862</v>
      </c>
      <c r="I472" s="101">
        <f>+H472*F471</f>
        <v>-1.2945374551484561</v>
      </c>
      <c r="J472" s="101">
        <f>+I472*$A$440</f>
        <v>-12.94537455148456</v>
      </c>
      <c r="K472" s="61">
        <f>IF(AND(J472&lt;0, J470&lt;0), 0, J472)</f>
        <v>-12.94537455148456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22.856414203612477</v>
      </c>
      <c r="AO472">
        <v>6.7438240563862077</v>
      </c>
      <c r="AP472">
        <v>66.065038200469616</v>
      </c>
      <c r="AQ472">
        <v>46.684732235106964</v>
      </c>
      <c r="AR472">
        <v>6.7080629480119285</v>
      </c>
      <c r="AS472">
        <v>93.744868803323456</v>
      </c>
      <c r="AT472" t="e">
        <v>#DIV/0!</v>
      </c>
      <c r="AU472" t="e">
        <v>#DIV/0!</v>
      </c>
      <c r="AV472"/>
      <c r="AW472"/>
      <c r="FY472" s="210">
        <v>467</v>
      </c>
      <c r="FZ472">
        <v>13.832397053936493</v>
      </c>
      <c r="GA472">
        <v>29.511577045079409</v>
      </c>
      <c r="GB472">
        <v>8.584131452467469</v>
      </c>
      <c r="GC472">
        <v>1.3325642627855931</v>
      </c>
      <c r="GD472">
        <v>0.68669508424039749</v>
      </c>
      <c r="GE472">
        <v>1.4479128696271943</v>
      </c>
      <c r="GF472">
        <v>6.8371268913371104</v>
      </c>
      <c r="GG472">
        <v>4.5519563657102333</v>
      </c>
      <c r="GH472">
        <v>0.80768982191308281</v>
      </c>
      <c r="GI472">
        <v>6.2006817438523827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1.7006802721088434</v>
      </c>
      <c r="E473" s="97">
        <f>O36</f>
        <v>1.6084627186771661</v>
      </c>
      <c r="F473" s="102">
        <f>+D473-D475</f>
        <v>1.4880952380952379</v>
      </c>
      <c r="G473" s="101">
        <f>+D473*E473</f>
        <v>2.735480814076813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36.211392195767203</v>
      </c>
      <c r="AO473">
        <v>10.757177615738996</v>
      </c>
      <c r="AP473">
        <v>114.15344599941787</v>
      </c>
      <c r="AQ473">
        <v>83.403713698772947</v>
      </c>
      <c r="AR473">
        <v>9.9343304682100335</v>
      </c>
      <c r="AS473">
        <v>180.24409787308213</v>
      </c>
      <c r="AT473" t="e">
        <v>#DIV/0!</v>
      </c>
      <c r="AU473" t="e">
        <v>#DIV/0!</v>
      </c>
      <c r="AV473"/>
      <c r="AW473"/>
      <c r="FY473" s="210">
        <v>468</v>
      </c>
      <c r="FZ473">
        <v>22.825933188384386</v>
      </c>
      <c r="GA473">
        <v>43.93983831184925</v>
      </c>
      <c r="GB473">
        <v>11.512702557796523</v>
      </c>
      <c r="GC473">
        <v>2.1368003759811129</v>
      </c>
      <c r="GD473">
        <v>0.67992401383858558</v>
      </c>
      <c r="GE473">
        <v>4.1117079586910979E-3</v>
      </c>
      <c r="GF473">
        <v>8.0473728680251728</v>
      </c>
      <c r="GG473">
        <v>9.0722357287687885</v>
      </c>
      <c r="GH473">
        <v>4.0698487958614145</v>
      </c>
      <c r="GI473">
        <v>9.1824267664777999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1.8732785628034685</v>
      </c>
      <c r="I474" s="101">
        <f>+H474*F473</f>
        <v>2.7876169089337326</v>
      </c>
      <c r="J474" s="101">
        <f>+I474*$A$440</f>
        <v>27.876169089337324</v>
      </c>
      <c r="K474" s="61">
        <f>IF(AND(J474&lt;0, J472&lt;0), 0, J474)</f>
        <v>27.876169089337324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30.33475529100529</v>
      </c>
      <c r="AO474">
        <v>9.4904386538755841</v>
      </c>
      <c r="AP474">
        <v>101.15224530057571</v>
      </c>
      <c r="AQ474">
        <v>74.446073325270191</v>
      </c>
      <c r="AR474">
        <v>9.591216449899413</v>
      </c>
      <c r="AS474">
        <v>116.23529666389496</v>
      </c>
      <c r="AT474" t="e">
        <v>#DIV/0!</v>
      </c>
      <c r="AU474" t="e">
        <v>#DIV/0!</v>
      </c>
      <c r="AV474"/>
      <c r="AW474"/>
      <c r="FY474" s="210">
        <v>469</v>
      </c>
      <c r="FZ474">
        <v>14.359470140149265</v>
      </c>
      <c r="GA474">
        <v>25.705231097592947</v>
      </c>
      <c r="GB474">
        <v>6.9178714580876441</v>
      </c>
      <c r="GC474">
        <v>1.1795069990587683</v>
      </c>
      <c r="GD474">
        <v>0.44187144958394181</v>
      </c>
      <c r="GE474">
        <v>2.0558539793455489E-3</v>
      </c>
      <c r="GF474">
        <v>5.9566653322924674</v>
      </c>
      <c r="GG474">
        <v>6.5140477816823177</v>
      </c>
      <c r="GH474">
        <v>1.913285777777173</v>
      </c>
      <c r="GI474">
        <v>5.7461909992457212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0.21258503401360543</v>
      </c>
      <c r="E475" s="97">
        <f>P36</f>
        <v>2.1816934474832261</v>
      </c>
      <c r="F475" s="102">
        <f>+D475-D477</f>
        <v>0</v>
      </c>
      <c r="G475" s="101">
        <f>+D475*E475</f>
        <v>0.46379537574048174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42.532027116402112</v>
      </c>
      <c r="AO475">
        <v>12.001838436974014</v>
      </c>
      <c r="AP475">
        <v>133.40580296353698</v>
      </c>
      <c r="AQ475">
        <v>99.742715842174107</v>
      </c>
      <c r="AR475">
        <v>11.341303062876371</v>
      </c>
      <c r="AS475">
        <v>158.46421366249245</v>
      </c>
      <c r="AT475" t="e">
        <v>#DIV/0!</v>
      </c>
      <c r="AU475" t="e">
        <v>#DIV/0!</v>
      </c>
      <c r="AV475"/>
      <c r="AW475"/>
      <c r="FY475" s="210">
        <v>470</v>
      </c>
      <c r="FZ475">
        <v>13.818399790189973</v>
      </c>
      <c r="GA475">
        <v>32.83951146685866</v>
      </c>
      <c r="GB475">
        <v>11.428987278767087</v>
      </c>
      <c r="GC475">
        <v>2.0235147226418766</v>
      </c>
      <c r="GD475">
        <v>0.52355662250833479</v>
      </c>
      <c r="GE475">
        <v>1.3077114570000252</v>
      </c>
      <c r="GF475">
        <v>4.2023653382939496</v>
      </c>
      <c r="GG475">
        <v>3.4015961506543198</v>
      </c>
      <c r="GH475">
        <v>3.3736661184853478</v>
      </c>
      <c r="GI475">
        <v>6.7277415894770032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2.5003679305690865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62.405605158730168</v>
      </c>
      <c r="AO476">
        <v>17.31104824131463</v>
      </c>
      <c r="AP476">
        <v>185.2181835196761</v>
      </c>
      <c r="AQ476">
        <v>140.90563692556526</v>
      </c>
      <c r="AR476">
        <v>16.418135673706136</v>
      </c>
      <c r="AS476">
        <v>247.45354679203169</v>
      </c>
      <c r="AT476">
        <v>10.836335812843311</v>
      </c>
      <c r="AU476">
        <v>61.376111590682129</v>
      </c>
      <c r="AV476"/>
      <c r="AW476"/>
      <c r="FY476" s="210">
        <v>471</v>
      </c>
      <c r="FZ476">
        <v>11.305420600543616</v>
      </c>
      <c r="GA476">
        <v>29.456491967469301</v>
      </c>
      <c r="GB476">
        <v>10.106886133087594</v>
      </c>
      <c r="GC476">
        <v>1.9243598992299251</v>
      </c>
      <c r="GD476">
        <v>0.87110896192156884</v>
      </c>
      <c r="GE476">
        <v>4.067447491585936</v>
      </c>
      <c r="GF476">
        <v>9.3672079708807772</v>
      </c>
      <c r="GG476">
        <v>3.8418255383371402</v>
      </c>
      <c r="GH476">
        <v>4.6945780578209728</v>
      </c>
      <c r="GI476">
        <v>7.5160948531270657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0.21258503401360543</v>
      </c>
      <c r="E477" s="97">
        <f>Q36</f>
        <v>2.8655903951264921</v>
      </c>
      <c r="F477" s="102">
        <f>+D477-D479</f>
        <v>0.21258503401360543</v>
      </c>
      <c r="G477" s="101">
        <f>+D477*E477</f>
        <v>0.60918163161702632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44.69188047345375</v>
      </c>
      <c r="AO477">
        <v>8.7985426714972483</v>
      </c>
      <c r="AP477">
        <v>92.736941612876095</v>
      </c>
      <c r="AQ477">
        <v>75.556473479529018</v>
      </c>
      <c r="AR477">
        <v>8.4401261215358492</v>
      </c>
      <c r="AS477">
        <v>138.45153718735946</v>
      </c>
      <c r="AT477">
        <v>5.5575688813312683</v>
      </c>
      <c r="AU477">
        <v>70.269231619556635</v>
      </c>
      <c r="AV477"/>
      <c r="AW477"/>
      <c r="FY477" s="210">
        <v>472</v>
      </c>
      <c r="FZ477">
        <v>5.768567448463175</v>
      </c>
      <c r="GA477">
        <v>19.362251016875724</v>
      </c>
      <c r="GB477">
        <v>9.5333002007205199</v>
      </c>
      <c r="GC477">
        <v>2.0101657440837308</v>
      </c>
      <c r="GD477">
        <v>0.89992130888042865</v>
      </c>
      <c r="GE477">
        <v>6.1675619380366468E-3</v>
      </c>
      <c r="GF477">
        <v>3.6627526903491101</v>
      </c>
      <c r="GG477">
        <v>4.3434140415003002</v>
      </c>
      <c r="GH477">
        <v>2.028231351774656</v>
      </c>
      <c r="GI477">
        <v>4.89438941319405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3.2417255759506447</v>
      </c>
      <c r="I478" s="101">
        <f>+H478*F477</f>
        <v>0.68914234182624245</v>
      </c>
      <c r="J478" s="101">
        <f>+I478*$A$440</f>
        <v>6.8914234182624243</v>
      </c>
      <c r="K478" s="61">
        <f>IF(AND(J478&lt;0, J476&lt;0), 0, J478)</f>
        <v>6.8914234182624243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46.57494925652253</v>
      </c>
      <c r="AO478">
        <v>11.223404417974885</v>
      </c>
      <c r="AP478">
        <v>118.79755973963903</v>
      </c>
      <c r="AQ478">
        <v>92.007748279924471</v>
      </c>
      <c r="AR478">
        <v>10.464511134761752</v>
      </c>
      <c r="AS478">
        <v>147.94584888822479</v>
      </c>
      <c r="AT478" t="e">
        <v>#DIV/0!</v>
      </c>
      <c r="AU478" t="e">
        <v>#DIV/0!</v>
      </c>
      <c r="AV478"/>
      <c r="AW478"/>
      <c r="FY478" s="210">
        <v>473</v>
      </c>
      <c r="FZ478">
        <v>4.4862738891424634</v>
      </c>
      <c r="GA478">
        <v>16.548515216593255</v>
      </c>
      <c r="GB478">
        <v>7.5419283419832954</v>
      </c>
      <c r="GC478">
        <v>1.2428572142536827</v>
      </c>
      <c r="GD478">
        <v>0.73938899760314802</v>
      </c>
      <c r="GE478">
        <v>2.0558539793455489E-3</v>
      </c>
      <c r="GF478">
        <v>6.7078048558971961</v>
      </c>
      <c r="GG478">
        <v>7.1863203153961788</v>
      </c>
      <c r="GH478">
        <v>2.028231351774656</v>
      </c>
      <c r="GI478">
        <v>4.8063636954966409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3.6672319699440723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35.225164203612479</v>
      </c>
      <c r="AO479">
        <v>8.3290138150056059</v>
      </c>
      <c r="AP479">
        <v>82.898594208785255</v>
      </c>
      <c r="AQ479">
        <v>63.145730745600325</v>
      </c>
      <c r="AR479">
        <v>7.7705607186157062</v>
      </c>
      <c r="AS479">
        <v>116.52602656562867</v>
      </c>
      <c r="AT479" t="e">
        <v>#DIV/0!</v>
      </c>
      <c r="AU479" t="e">
        <v>#DIV/0!</v>
      </c>
      <c r="AV479"/>
      <c r="AW479"/>
      <c r="FY479" s="210">
        <v>474</v>
      </c>
      <c r="FZ479">
        <v>22.721253396680154</v>
      </c>
      <c r="GA479">
        <v>34.029983646427119</v>
      </c>
      <c r="GB479">
        <v>8.0251656112110581</v>
      </c>
      <c r="GC479">
        <v>2.7596485889440934</v>
      </c>
      <c r="GD479">
        <v>0.7414885460004399</v>
      </c>
      <c r="GE479">
        <v>4.1117079586910979E-3</v>
      </c>
      <c r="GF479">
        <v>1.0723656085187396</v>
      </c>
      <c r="GG479">
        <v>1.0078517216180385</v>
      </c>
      <c r="GH479">
        <v>1.3923653547521333</v>
      </c>
      <c r="GI479">
        <v>6.2953353132351628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4.1042780957392537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42.981098909870461</v>
      </c>
      <c r="AO480">
        <v>11.075284922149647</v>
      </c>
      <c r="AP480">
        <v>114.65637334697229</v>
      </c>
      <c r="AQ480">
        <v>84.968944424540965</v>
      </c>
      <c r="AR480">
        <v>10.488768123636088</v>
      </c>
      <c r="AS480">
        <v>144.75017317362295</v>
      </c>
      <c r="AT480">
        <v>6.8453974291797843</v>
      </c>
      <c r="AU480">
        <v>33.434119663134801</v>
      </c>
      <c r="AV480"/>
      <c r="AW480"/>
      <c r="FY480" s="210">
        <v>475</v>
      </c>
      <c r="FZ480">
        <v>22.304093334932503</v>
      </c>
      <c r="GA480">
        <v>59.993176256342103</v>
      </c>
      <c r="GB480">
        <v>18.437270083193866</v>
      </c>
      <c r="GC480">
        <v>1.222061503976748</v>
      </c>
      <c r="GD480">
        <v>0.59283893994553094</v>
      </c>
      <c r="GE480">
        <v>2.0558539793455489E-3</v>
      </c>
      <c r="GF480">
        <v>3.1884647804456008</v>
      </c>
      <c r="GG480">
        <v>3.9133268256448943</v>
      </c>
      <c r="GH480">
        <v>1.913285777777173</v>
      </c>
      <c r="GI480">
        <v>9.3968213861777627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4.5934096411746577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48.190079365079363</v>
      </c>
      <c r="AO481">
        <v>13.759059118911233</v>
      </c>
      <c r="AP481">
        <v>146.73536010463297</v>
      </c>
      <c r="AQ481">
        <v>110.65832749253886</v>
      </c>
      <c r="AR481">
        <v>13.061102366285581</v>
      </c>
      <c r="AS481">
        <v>173.59405386453034</v>
      </c>
      <c r="AT481">
        <v>8.8237067920054333</v>
      </c>
      <c r="AU481">
        <v>35.395013450326879</v>
      </c>
      <c r="AV481"/>
      <c r="AW481"/>
      <c r="FY481" s="210">
        <v>476</v>
      </c>
      <c r="FZ481">
        <v>15.42573309034308</v>
      </c>
      <c r="GA481">
        <v>43.31412095092211</v>
      </c>
      <c r="GB481">
        <v>16.779393497752157</v>
      </c>
      <c r="GC481">
        <v>2.3167057579373758</v>
      </c>
      <c r="GD481">
        <v>0.86503738245070683</v>
      </c>
      <c r="GE481">
        <v>2.6154229140000504</v>
      </c>
      <c r="GF481">
        <v>7.1539116068855035</v>
      </c>
      <c r="GG481">
        <v>2.8254686531554047</v>
      </c>
      <c r="GH481">
        <v>0.80768982191308281</v>
      </c>
      <c r="GI481">
        <v>8.7551070244650209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5.094685070317218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15.328983648056923</v>
      </c>
      <c r="AO482">
        <v>6.7199478435966187</v>
      </c>
      <c r="AP482">
        <v>72.037751988865679</v>
      </c>
      <c r="AQ482">
        <v>48.619372149961507</v>
      </c>
      <c r="AR482">
        <v>6.6467789618236042</v>
      </c>
      <c r="AS482">
        <v>73.248497209776929</v>
      </c>
      <c r="AT482" t="e">
        <v>#DIV/0!</v>
      </c>
      <c r="AU482" t="e">
        <v>#DIV/0!</v>
      </c>
      <c r="AV482"/>
      <c r="AW482"/>
      <c r="FY482" s="210">
        <v>477</v>
      </c>
      <c r="FZ482">
        <v>21.321362105102843</v>
      </c>
      <c r="GA482">
        <v>39.505633414636677</v>
      </c>
      <c r="GB482">
        <v>9.1090964387828919</v>
      </c>
      <c r="GC482">
        <v>1.7015389265594818</v>
      </c>
      <c r="GD482">
        <v>0.87620828318019783</v>
      </c>
      <c r="GE482">
        <v>0.28245867923368362</v>
      </c>
      <c r="GF482">
        <v>2.1701228532316357</v>
      </c>
      <c r="GG482">
        <v>3.122522591800486</v>
      </c>
      <c r="GH482">
        <v>4.2282865284398721</v>
      </c>
      <c r="GI482">
        <v>7.1560941321611198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5.6506643198222486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33.479611954935237</v>
      </c>
      <c r="AO483">
        <v>9.4125837212278114</v>
      </c>
      <c r="AP483">
        <v>98.906174761899678</v>
      </c>
      <c r="AQ483">
        <v>73.792732590949385</v>
      </c>
      <c r="AR483">
        <v>8.8621343479658865</v>
      </c>
      <c r="AS483">
        <v>113.78614817196045</v>
      </c>
      <c r="AT483">
        <v>5.6692911350922275</v>
      </c>
      <c r="AU483">
        <v>24.989292508378416</v>
      </c>
      <c r="AV483"/>
      <c r="AW483"/>
      <c r="FY483" s="210">
        <v>478</v>
      </c>
      <c r="FZ483">
        <v>21.798339205535729</v>
      </c>
      <c r="GA483">
        <v>37.348860136422843</v>
      </c>
      <c r="GB483">
        <v>7.5599665391501318</v>
      </c>
      <c r="GC483">
        <v>1.4493263947170343</v>
      </c>
      <c r="GD483">
        <v>1.0364044300216209</v>
      </c>
      <c r="GE483">
        <v>0.42266009186085274</v>
      </c>
      <c r="GF483">
        <v>2.0717247007140704</v>
      </c>
      <c r="GG483">
        <v>2.642064159030296</v>
      </c>
      <c r="GH483">
        <v>1.6868330592426739</v>
      </c>
      <c r="GI483">
        <v>6.4660095502753654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6.2193713526843011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44.138227513227513</v>
      </c>
      <c r="AO484">
        <v>14.158686678309266</v>
      </c>
      <c r="AP484">
        <v>152.74981683047315</v>
      </c>
      <c r="AQ484">
        <v>111.47119431494173</v>
      </c>
      <c r="AR484">
        <v>13.545905730360431</v>
      </c>
      <c r="AS484">
        <v>173.86073291007267</v>
      </c>
      <c r="AT484" t="e">
        <v>#DIV/0!</v>
      </c>
      <c r="AU484" t="e">
        <v>#DIV/0!</v>
      </c>
      <c r="AV484"/>
      <c r="AW484"/>
      <c r="FY484" s="210">
        <v>479</v>
      </c>
      <c r="FZ484">
        <v>12.137599806155423</v>
      </c>
      <c r="GA484">
        <v>33.249673457715126</v>
      </c>
      <c r="GB484">
        <v>11.781218396069059</v>
      </c>
      <c r="GC484">
        <v>1.8815750274781911</v>
      </c>
      <c r="GD484">
        <v>0.42742083456898994</v>
      </c>
      <c r="GE484">
        <v>1.3118231649587164</v>
      </c>
      <c r="GF484">
        <v>6.6429310040512837</v>
      </c>
      <c r="GG484">
        <v>5.156110858082676</v>
      </c>
      <c r="GH484">
        <v>2.4945228811557567</v>
      </c>
      <c r="GI484">
        <v>6.9571351354696338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6.8453154944809951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31.208267195767199</v>
      </c>
      <c r="AO485">
        <v>8.7063199409723921</v>
      </c>
      <c r="AP485">
        <v>93.468034639240514</v>
      </c>
      <c r="AQ485">
        <v>68.736196889449587</v>
      </c>
      <c r="AR485">
        <v>8.4063228262508343</v>
      </c>
      <c r="AS485">
        <v>119.15241379995724</v>
      </c>
      <c r="AT485" t="e">
        <v>#DIV/0!</v>
      </c>
      <c r="AU485" t="e">
        <v>#DIV/0!</v>
      </c>
      <c r="AV485"/>
      <c r="AW485"/>
      <c r="FY485" s="210">
        <v>480</v>
      </c>
      <c r="FZ485">
        <v>13.953816200434622</v>
      </c>
      <c r="GA485">
        <v>38.418286007786534</v>
      </c>
      <c r="GB485">
        <v>13.440887435407978</v>
      </c>
      <c r="GC485">
        <v>1.7198056153506371</v>
      </c>
      <c r="GD485">
        <v>0.63370685147554551</v>
      </c>
      <c r="GE485">
        <v>0.28040282525433813</v>
      </c>
      <c r="GF485">
        <v>1.0533827735001053</v>
      </c>
      <c r="GG485">
        <v>2.7808089917607481</v>
      </c>
      <c r="GH485">
        <v>3.2453344521757623</v>
      </c>
      <c r="GI485">
        <v>6.6991607457965046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7.4845532093027103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32.806348066046347</v>
      </c>
      <c r="AO486">
        <v>10.321094338162263</v>
      </c>
      <c r="AP486">
        <v>109.31896699085932</v>
      </c>
      <c r="AQ486">
        <v>79.64705053487657</v>
      </c>
      <c r="AR486">
        <v>9.7445146380758096</v>
      </c>
      <c r="AS486">
        <v>142.19352657985732</v>
      </c>
      <c r="AT486" t="e">
        <v>#DIV/0!</v>
      </c>
      <c r="AU486" t="e">
        <v>#DIV/0!</v>
      </c>
      <c r="AV486"/>
      <c r="AW486"/>
      <c r="FY486" s="210">
        <v>481</v>
      </c>
      <c r="FZ486">
        <v>13.652522219650477</v>
      </c>
      <c r="GA486">
        <v>33.479034330063385</v>
      </c>
      <c r="GB486">
        <v>11.046898715301475</v>
      </c>
      <c r="GC486">
        <v>1.8695367940373586</v>
      </c>
      <c r="GD486">
        <v>0.79190097160724493</v>
      </c>
      <c r="GE486">
        <v>2.6174787679793958</v>
      </c>
      <c r="GF486">
        <v>8.2992837317276518</v>
      </c>
      <c r="GG486">
        <v>4.5560065672764356</v>
      </c>
      <c r="GH486">
        <v>2.4979613106162235</v>
      </c>
      <c r="GI486">
        <v>7.4994629400443271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8.1834850107417534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34.876784573982853</v>
      </c>
      <c r="AO487">
        <v>11.436264678687346</v>
      </c>
      <c r="AP487">
        <v>115.06155562705879</v>
      </c>
      <c r="AQ487">
        <v>83.151421474003897</v>
      </c>
      <c r="AR487">
        <v>10.704776964492629</v>
      </c>
      <c r="AS487">
        <v>175.12576941999581</v>
      </c>
      <c r="AT487">
        <v>7.3671730533139339</v>
      </c>
      <c r="AU487">
        <v>60.760508900185251</v>
      </c>
      <c r="AV487"/>
      <c r="AW487"/>
      <c r="FY487" s="210">
        <v>482</v>
      </c>
      <c r="FZ487">
        <v>3.0974072769751437</v>
      </c>
      <c r="GA487">
        <v>14.829896512484721</v>
      </c>
      <c r="GB487">
        <v>8.515960404669233</v>
      </c>
      <c r="GC487">
        <v>1.9788059088609287</v>
      </c>
      <c r="GD487">
        <v>0.71224991245193148</v>
      </c>
      <c r="GE487">
        <v>1.4499687236065399</v>
      </c>
      <c r="GF487">
        <v>4.300763490811514</v>
      </c>
      <c r="GG487">
        <v>2.0229564502747892</v>
      </c>
      <c r="GH487">
        <v>1.3923653547521333</v>
      </c>
      <c r="GI487">
        <v>4.1014491644428546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8.8962598484998168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27.327774356869185</v>
      </c>
      <c r="AO488">
        <v>7.2759682857628452</v>
      </c>
      <c r="AP488">
        <v>73.887011190528597</v>
      </c>
      <c r="AQ488">
        <v>52.509160777779726</v>
      </c>
      <c r="AR488">
        <v>7.1285585492933858</v>
      </c>
      <c r="AS488">
        <v>94.051706169872816</v>
      </c>
      <c r="AT488" t="e">
        <v>#DIV/0!</v>
      </c>
      <c r="AU488" t="e">
        <v>#DIV/0!</v>
      </c>
      <c r="AV488"/>
      <c r="AW488"/>
      <c r="FY488" s="210">
        <v>483</v>
      </c>
      <c r="FZ488">
        <v>4.0587460713163557</v>
      </c>
      <c r="GA488">
        <v>11.040075496630099</v>
      </c>
      <c r="GB488">
        <v>5.6355760827316814</v>
      </c>
      <c r="GC488">
        <v>1.7200086402136205</v>
      </c>
      <c r="GD488">
        <v>1.0099873691427357</v>
      </c>
      <c r="GE488">
        <v>0.14020141262716906</v>
      </c>
      <c r="GF488">
        <v>3.2424884617503755</v>
      </c>
      <c r="GG488">
        <v>3.7903401635168521</v>
      </c>
      <c r="GH488">
        <v>3.0791984139948072</v>
      </c>
      <c r="GI488">
        <v>3.7955718977798427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9.6711167904804913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18.777926587301586</v>
      </c>
      <c r="AO489">
        <v>7.3513335493379817</v>
      </c>
      <c r="AP489">
        <v>75.952101021115737</v>
      </c>
      <c r="AQ489">
        <v>51.289739732119862</v>
      </c>
      <c r="AR489">
        <v>7.1763750776625361</v>
      </c>
      <c r="AS489">
        <v>97.647436376120837</v>
      </c>
      <c r="AT489" t="e">
        <v>#DIV/0!</v>
      </c>
      <c r="AU489" t="e">
        <v>#DIV/0!</v>
      </c>
      <c r="AV489"/>
      <c r="AW489"/>
      <c r="FY489" s="210">
        <v>484</v>
      </c>
      <c r="FZ489">
        <v>14.022325094072878</v>
      </c>
      <c r="GA489">
        <v>21.085346838129833</v>
      </c>
      <c r="GB489">
        <v>6.8188495420526234</v>
      </c>
      <c r="GC489">
        <v>2.6175034847710994</v>
      </c>
      <c r="GD489">
        <v>0.78264746676396402</v>
      </c>
      <c r="GE489">
        <v>2.7556243266272196</v>
      </c>
      <c r="GF489">
        <v>7.7552297144171973</v>
      </c>
      <c r="GG489">
        <v>4.0252724743365951</v>
      </c>
      <c r="GH489">
        <v>2.4979613106162235</v>
      </c>
      <c r="GI489">
        <v>6.2806913221743681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10.460351409769096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45.241384441707723</v>
      </c>
      <c r="AO490">
        <v>9.2794701896215166</v>
      </c>
      <c r="AP490">
        <v>97.093896363721257</v>
      </c>
      <c r="AQ490">
        <v>78.049569495345608</v>
      </c>
      <c r="AR490">
        <v>8.9706540675164685</v>
      </c>
      <c r="AS490">
        <v>149.2131145488014</v>
      </c>
      <c r="AT490" t="e">
        <v>#DIV/0!</v>
      </c>
      <c r="AU490" t="e">
        <v>#DIV/0!</v>
      </c>
      <c r="AV490"/>
      <c r="AW490"/>
      <c r="FY490" s="210">
        <v>485</v>
      </c>
      <c r="FZ490">
        <v>6.840578773417791</v>
      </c>
      <c r="GA490">
        <v>19.679986851737404</v>
      </c>
      <c r="GB490">
        <v>10.910136349295392</v>
      </c>
      <c r="GC490">
        <v>3.06346738228588</v>
      </c>
      <c r="GD490">
        <v>0.93610428055663109</v>
      </c>
      <c r="GE490">
        <v>1.3077114570000252</v>
      </c>
      <c r="GF490">
        <v>5.5959570317266998</v>
      </c>
      <c r="GG490">
        <v>3.3959801518793267</v>
      </c>
      <c r="GH490">
        <v>1.5038724992891495</v>
      </c>
      <c r="GI490">
        <v>5.7815152233790856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11.313993408037629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49.946045999817542</v>
      </c>
      <c r="AO491">
        <v>14.444505311171474</v>
      </c>
      <c r="AP491">
        <v>165.09005215039542</v>
      </c>
      <c r="AQ491">
        <v>120.96339474241555</v>
      </c>
      <c r="AR491">
        <v>13.664019113254696</v>
      </c>
      <c r="AS491">
        <v>181.95975868773593</v>
      </c>
      <c r="AT491" t="e">
        <v>#DIV/0!</v>
      </c>
      <c r="AU491" t="e">
        <v>#DIV/0!</v>
      </c>
      <c r="AV491"/>
      <c r="AW491"/>
      <c r="FY491" s="210">
        <v>486</v>
      </c>
      <c r="FZ491">
        <v>2.4892398518969574</v>
      </c>
      <c r="GA491">
        <v>13.903505921365156</v>
      </c>
      <c r="GB491">
        <v>6.7012716667841907</v>
      </c>
      <c r="GC491">
        <v>0.99845466396898375</v>
      </c>
      <c r="GD491">
        <v>0.44860145365664544</v>
      </c>
      <c r="GE491">
        <v>1.3097673109793708</v>
      </c>
      <c r="GF491">
        <v>7.7947119300689547</v>
      </c>
      <c r="GG491">
        <v>5.7987481578398707</v>
      </c>
      <c r="GH491">
        <v>1.9567779363581475</v>
      </c>
      <c r="GI491">
        <v>4.3221971174015961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12.182534184831434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40.547765576537131</v>
      </c>
      <c r="AO492">
        <v>13.297508246451406</v>
      </c>
      <c r="AP492">
        <v>140.49356363869433</v>
      </c>
      <c r="AQ492">
        <v>100.85859069982449</v>
      </c>
      <c r="AR492">
        <v>12.564035756535992</v>
      </c>
      <c r="AS492">
        <v>178.62586218120362</v>
      </c>
      <c r="AT492" t="e">
        <v>#DIV/0!</v>
      </c>
      <c r="AU492" t="e">
        <v>#DIV/0!</v>
      </c>
      <c r="AV492"/>
      <c r="AW492"/>
      <c r="FY492" s="210">
        <v>487</v>
      </c>
      <c r="FZ492">
        <v>13.497091508787722</v>
      </c>
      <c r="GA492">
        <v>34.375385102876663</v>
      </c>
      <c r="GB492">
        <v>11.698406640693836</v>
      </c>
      <c r="GC492">
        <v>1.781084633289354</v>
      </c>
      <c r="GD492">
        <v>1.0055274518290744</v>
      </c>
      <c r="GE492">
        <v>1.4520245775858855</v>
      </c>
      <c r="GF492">
        <v>4.5235914232079599</v>
      </c>
      <c r="GG492">
        <v>3.1476604218853108</v>
      </c>
      <c r="GH492">
        <v>2.028231351774656</v>
      </c>
      <c r="GI492">
        <v>6.9088636965227757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13.117750188819354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49.057784277504098</v>
      </c>
      <c r="AO493">
        <v>10.672679532640835</v>
      </c>
      <c r="AP493">
        <v>115.61971739063716</v>
      </c>
      <c r="AQ493">
        <v>89.473323953128883</v>
      </c>
      <c r="AR493">
        <v>10.330797683665191</v>
      </c>
      <c r="AS493">
        <v>147.74655326841264</v>
      </c>
      <c r="AT493" t="e">
        <v>#DIV/0!</v>
      </c>
      <c r="AU493" t="e">
        <v>#DIV/0!</v>
      </c>
      <c r="AV493"/>
      <c r="AW493"/>
      <c r="FY493" s="210">
        <v>488</v>
      </c>
      <c r="FZ493">
        <v>40.252023782173701</v>
      </c>
      <c r="GA493">
        <v>67.669090776555052</v>
      </c>
      <c r="GB493">
        <v>12.75175487576119</v>
      </c>
      <c r="GC493">
        <v>2.2462862104062045</v>
      </c>
      <c r="GD493">
        <v>0.90775466383743497</v>
      </c>
      <c r="GE493">
        <v>1.4479128696271943</v>
      </c>
      <c r="GF493">
        <v>8.0332822885675714</v>
      </c>
      <c r="GG493">
        <v>5.5374683022846645</v>
      </c>
      <c r="GH493">
        <v>1.2774197807546503</v>
      </c>
      <c r="GI493">
        <v>11.623415935170838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14.068373637155611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45.593435846560844</v>
      </c>
      <c r="AO494">
        <v>9.698547810250215</v>
      </c>
      <c r="AP494">
        <v>103.93852245032642</v>
      </c>
      <c r="AQ494">
        <v>82.482188266970596</v>
      </c>
      <c r="AR494">
        <v>9.2591550417389499</v>
      </c>
      <c r="AS494">
        <v>149.96741940711911</v>
      </c>
      <c r="AT494" t="e">
        <v>#DIV/0!</v>
      </c>
      <c r="AU494" t="e">
        <v>#DIV/0!</v>
      </c>
      <c r="AV494"/>
      <c r="AW494"/>
      <c r="FY494" s="210">
        <v>489</v>
      </c>
      <c r="FZ494">
        <v>13.693405583551595</v>
      </c>
      <c r="GA494">
        <v>33.903276323562892</v>
      </c>
      <c r="GB494">
        <v>12.986973361888372</v>
      </c>
      <c r="GC494">
        <v>2.6245691730565199</v>
      </c>
      <c r="GD494">
        <v>0.82606832795488172</v>
      </c>
      <c r="GE494">
        <v>1.4499687236065399</v>
      </c>
      <c r="GF494">
        <v>6.4201030716548386</v>
      </c>
      <c r="GG494">
        <v>4.0314068864721539</v>
      </c>
      <c r="GH494">
        <v>0.5812371033785837</v>
      </c>
      <c r="GI494">
        <v>7.3653952161716454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15.087887324101303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29.056547619047613</v>
      </c>
      <c r="AO495">
        <v>10.937983367814734</v>
      </c>
      <c r="AP495">
        <v>116.74538952874866</v>
      </c>
      <c r="AQ495">
        <v>82.040010565704847</v>
      </c>
      <c r="AR495">
        <v>10.221241740373801</v>
      </c>
      <c r="AS495">
        <v>111.80739773276727</v>
      </c>
      <c r="AT495">
        <v>7.1191635174548908</v>
      </c>
      <c r="AU495">
        <v>65.109376763032188</v>
      </c>
      <c r="AV495"/>
      <c r="AW495"/>
      <c r="FY495" s="210">
        <v>490</v>
      </c>
      <c r="FZ495">
        <v>5.7583883063654362</v>
      </c>
      <c r="GA495">
        <v>26.799753230980361</v>
      </c>
      <c r="GB495">
        <v>12.645522428271843</v>
      </c>
      <c r="GC495">
        <v>1.467109369795359</v>
      </c>
      <c r="GD495">
        <v>0.5668063677218188</v>
      </c>
      <c r="GE495">
        <v>1.3097673109793708</v>
      </c>
      <c r="GF495">
        <v>4.5332406332999451</v>
      </c>
      <c r="GG495">
        <v>2.9312798897115453</v>
      </c>
      <c r="GH495">
        <v>3.6604355173733909</v>
      </c>
      <c r="GI495">
        <v>6.0016131229413077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16.123305645064928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32.836523330596613</v>
      </c>
      <c r="AO496">
        <v>10.400995947529143</v>
      </c>
      <c r="AP496">
        <v>114.4528166044804</v>
      </c>
      <c r="AQ496">
        <v>82.225591898942795</v>
      </c>
      <c r="AR496">
        <v>9.885311954243134</v>
      </c>
      <c r="AS496">
        <v>118.56287932951646</v>
      </c>
      <c r="AT496" t="e">
        <v>#DIV/0!</v>
      </c>
      <c r="AU496" t="e">
        <v>#DIV/0!</v>
      </c>
      <c r="AV496"/>
      <c r="AW496"/>
      <c r="FY496" s="210">
        <v>491</v>
      </c>
      <c r="FZ496">
        <v>12.475562082772786</v>
      </c>
      <c r="GA496">
        <v>31.416279745529099</v>
      </c>
      <c r="GB496">
        <v>10.218244634387375</v>
      </c>
      <c r="GC496">
        <v>1.5942246794939854</v>
      </c>
      <c r="GD496">
        <v>0.92470377174792673</v>
      </c>
      <c r="GE496">
        <v>0.28245867923368362</v>
      </c>
      <c r="GF496">
        <v>3.2170968255562196</v>
      </c>
      <c r="GG496">
        <v>5.4721682146770245</v>
      </c>
      <c r="GH496">
        <v>4.2394232635028368</v>
      </c>
      <c r="GI496">
        <v>6.4329141764497866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17.229780375475261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35.724254812078087</v>
      </c>
      <c r="AO497">
        <v>11.52763529530003</v>
      </c>
      <c r="AP497">
        <v>119.37788794527222</v>
      </c>
      <c r="AQ497">
        <v>86.310086348303983</v>
      </c>
      <c r="AR497">
        <v>10.791050195278398</v>
      </c>
      <c r="AS497">
        <v>149.64705155773808</v>
      </c>
      <c r="AT497">
        <v>7.1849908271212861</v>
      </c>
      <c r="AU497">
        <v>40.747888825101874</v>
      </c>
      <c r="AV497"/>
      <c r="AW497"/>
      <c r="FY497" s="210">
        <v>492</v>
      </c>
      <c r="FZ497">
        <v>4.3588492285710236</v>
      </c>
      <c r="GA497">
        <v>18.358424251541525</v>
      </c>
      <c r="GB497">
        <v>9.6824198551033724</v>
      </c>
      <c r="GC497">
        <v>1.7834904785966361</v>
      </c>
      <c r="GD497">
        <v>0.77161012250301231</v>
      </c>
      <c r="GE497">
        <v>4.1117079586910979E-3</v>
      </c>
      <c r="GF497">
        <v>3.9649959402444863</v>
      </c>
      <c r="GG497">
        <v>3.6633032998226072</v>
      </c>
      <c r="GH497">
        <v>0.69618267737606665</v>
      </c>
      <c r="GI497">
        <v>4.5004378620078409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18.352646293055709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23.399633962780516</v>
      </c>
      <c r="AO498">
        <v>6.0247930708636463</v>
      </c>
      <c r="AP498">
        <v>58.097519445378289</v>
      </c>
      <c r="AQ498">
        <v>42.401823199329783</v>
      </c>
      <c r="AR498">
        <v>5.7446085576976129</v>
      </c>
      <c r="AS498">
        <v>81.653497654595611</v>
      </c>
      <c r="AT498" t="e">
        <v>#DIV/0!</v>
      </c>
      <c r="AU498" t="e">
        <v>#DIV/0!</v>
      </c>
      <c r="AV498"/>
      <c r="AW498"/>
      <c r="FY498" s="210">
        <v>493</v>
      </c>
      <c r="FZ498">
        <v>21.857206149866926</v>
      </c>
      <c r="GA498">
        <v>51.021596620495792</v>
      </c>
      <c r="GB498">
        <v>16.324442659496501</v>
      </c>
      <c r="GC498">
        <v>2.2519665334187859</v>
      </c>
      <c r="GD498">
        <v>0.68460760883957095</v>
      </c>
      <c r="GE498">
        <v>1.5881142822543635</v>
      </c>
      <c r="GF498">
        <v>7.4892282712571152</v>
      </c>
      <c r="GG498">
        <v>7.0358494174453803</v>
      </c>
      <c r="GH498">
        <v>3.5867327447077444</v>
      </c>
      <c r="GI498">
        <v>10.012037090698723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19.548689456160336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20.406313856960409</v>
      </c>
      <c r="AO499">
        <v>5.4377992949581166</v>
      </c>
      <c r="AP499">
        <v>51.926602881922477</v>
      </c>
      <c r="AQ499">
        <v>37.512194009703542</v>
      </c>
      <c r="AR499">
        <v>5.5287435078584695</v>
      </c>
      <c r="AS499">
        <v>71.775519116853971</v>
      </c>
      <c r="AT499" t="e">
        <v>#DIV/0!</v>
      </c>
      <c r="AU499" t="e">
        <v>#DIV/0!</v>
      </c>
      <c r="AV499"/>
      <c r="AW499"/>
      <c r="FY499" s="210">
        <v>494</v>
      </c>
      <c r="FZ499">
        <v>4.3459636847556942</v>
      </c>
      <c r="GA499">
        <v>15.479270283758769</v>
      </c>
      <c r="GB499">
        <v>7.4700938352892869</v>
      </c>
      <c r="GC499">
        <v>1.7368976770690596</v>
      </c>
      <c r="GD499">
        <v>0.90912632866652587</v>
      </c>
      <c r="GE499">
        <v>0.28040282525433813</v>
      </c>
      <c r="GF499">
        <v>5.358587633677236</v>
      </c>
      <c r="GG499">
        <v>6.6958152675437077</v>
      </c>
      <c r="GH499">
        <v>3.1338273076387462</v>
      </c>
      <c r="GI499">
        <v>4.7299649225999874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20.761600463121432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35.077891237912787</v>
      </c>
      <c r="AO500">
        <v>9.386364236109781</v>
      </c>
      <c r="AP500">
        <v>90.067275080409701</v>
      </c>
      <c r="AQ500">
        <v>68.641451573962001</v>
      </c>
      <c r="AR500">
        <v>8.8632502572718721</v>
      </c>
      <c r="AS500">
        <v>161.1787289752852</v>
      </c>
      <c r="AT500">
        <v>5.9630869057328679</v>
      </c>
      <c r="AU500">
        <v>47.118123863343811</v>
      </c>
      <c r="AV500"/>
      <c r="AW500"/>
      <c r="FY500" s="210">
        <v>495</v>
      </c>
      <c r="FZ500">
        <v>5.9669666909428889</v>
      </c>
      <c r="GA500">
        <v>29.943206220724928</v>
      </c>
      <c r="GB500">
        <v>14.234605699685835</v>
      </c>
      <c r="GC500">
        <v>1.4234242305519365</v>
      </c>
      <c r="GD500">
        <v>0.56690953882430395</v>
      </c>
      <c r="GE500">
        <v>2.6154229140000504</v>
      </c>
      <c r="GF500">
        <v>10.71762615354989</v>
      </c>
      <c r="GG500">
        <v>6.0218389380015749</v>
      </c>
      <c r="GH500">
        <v>0.69618267737606665</v>
      </c>
      <c r="GI500">
        <v>7.2397264476773584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22.049767313401674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23.718914203612478</v>
      </c>
      <c r="AO501">
        <v>8.6292812855348977</v>
      </c>
      <c r="AP501">
        <v>83.526688692532701</v>
      </c>
      <c r="AQ501">
        <v>59.015310000567389</v>
      </c>
      <c r="AR501">
        <v>8.3479098415632311</v>
      </c>
      <c r="AS501">
        <v>112.71004138406769</v>
      </c>
      <c r="AT501" t="e">
        <v>#DIV/0!</v>
      </c>
      <c r="AU501" t="e">
        <v>#DIV/0!</v>
      </c>
      <c r="AV501"/>
      <c r="AW501"/>
      <c r="FY501" s="210">
        <v>496</v>
      </c>
      <c r="FZ501">
        <v>14.872858852095693</v>
      </c>
      <c r="GA501">
        <v>34.901477334786023</v>
      </c>
      <c r="GB501">
        <v>14.024682647011529</v>
      </c>
      <c r="GC501">
        <v>2.5503551749534838</v>
      </c>
      <c r="GD501">
        <v>0.68487667736542102</v>
      </c>
      <c r="GE501">
        <v>0.14431312058586016</v>
      </c>
      <c r="GF501">
        <v>8.2702008004216179</v>
      </c>
      <c r="GG501">
        <v>8.8478927920820993</v>
      </c>
      <c r="GH501">
        <v>2.2546840703091551</v>
      </c>
      <c r="GI501">
        <v>8.3484290797796312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23.355269424123257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14.957423941798941</v>
      </c>
      <c r="AO502">
        <v>6.6689966705640957</v>
      </c>
      <c r="AP502">
        <v>68.061448131255105</v>
      </c>
      <c r="AQ502">
        <v>45.723276010319871</v>
      </c>
      <c r="AR502">
        <v>6.3198152528642577</v>
      </c>
      <c r="AS502">
        <v>68.44651856278314</v>
      </c>
      <c r="AT502">
        <v>4.2254499597586355</v>
      </c>
      <c r="AU502">
        <v>-1.3626983294366357</v>
      </c>
      <c r="AV502"/>
      <c r="AW502"/>
      <c r="FY502" s="210">
        <v>497</v>
      </c>
      <c r="FZ502">
        <v>2.5020495847067501</v>
      </c>
      <c r="GA502">
        <v>20.150177486430508</v>
      </c>
      <c r="GB502">
        <v>11.12604594461194</v>
      </c>
      <c r="GC502">
        <v>2.1599446561379172</v>
      </c>
      <c r="GD502">
        <v>0.77963856015124544</v>
      </c>
      <c r="GE502">
        <v>0.28657038719237471</v>
      </c>
      <c r="GF502">
        <v>2.1160991719268609</v>
      </c>
      <c r="GG502">
        <v>1.9759260374519956</v>
      </c>
      <c r="GH502">
        <v>0.69618267737606665</v>
      </c>
      <c r="GI502">
        <v>4.3277714971519732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24.738066489339104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34.581150793650792</v>
      </c>
      <c r="AO503">
        <v>10.518355534710732</v>
      </c>
      <c r="AP503">
        <v>110.59572850128268</v>
      </c>
      <c r="AQ503">
        <v>80.417866808453212</v>
      </c>
      <c r="AR503">
        <v>10.011349900752228</v>
      </c>
      <c r="AS503">
        <v>134.39759527765338</v>
      </c>
      <c r="AT503">
        <v>6.4171475427762665</v>
      </c>
      <c r="AU503">
        <v>36.334497082045182</v>
      </c>
      <c r="AV503"/>
      <c r="AW503"/>
      <c r="FY503" s="210">
        <v>498</v>
      </c>
      <c r="FZ503">
        <v>4.9448951345244891</v>
      </c>
      <c r="GA503">
        <v>20.990289355634211</v>
      </c>
      <c r="GB503">
        <v>9.8869816762974558</v>
      </c>
      <c r="GC503">
        <v>1.5410171491625775</v>
      </c>
      <c r="GD503">
        <v>0.54881726660509789</v>
      </c>
      <c r="GE503">
        <v>3.9251902249794219</v>
      </c>
      <c r="GF503">
        <v>10.716425193100736</v>
      </c>
      <c r="GG503">
        <v>3.9922964362879378</v>
      </c>
      <c r="GH503">
        <v>2.5548395615093007</v>
      </c>
      <c r="GI503">
        <v>6.2639447299002491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26.138657576924345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76.37414021164021</v>
      </c>
      <c r="AO504">
        <v>17.645033698086884</v>
      </c>
      <c r="AP504">
        <v>192.13542544560903</v>
      </c>
      <c r="AQ504">
        <v>151.74640948513851</v>
      </c>
      <c r="AR504">
        <v>16.503432437379832</v>
      </c>
      <c r="AS504">
        <v>229.98712485880662</v>
      </c>
      <c r="AT504" t="e">
        <v>#DIV/0!</v>
      </c>
      <c r="AU504" t="e">
        <v>#DIV/0!</v>
      </c>
      <c r="AV504"/>
      <c r="AW504"/>
      <c r="FY504" s="210">
        <v>499</v>
      </c>
      <c r="FZ504">
        <v>30.971153596338354</v>
      </c>
      <c r="GA504">
        <v>55.751337178199535</v>
      </c>
      <c r="GB504">
        <v>12.262679527218577</v>
      </c>
      <c r="GC504">
        <v>2.1943997457276696</v>
      </c>
      <c r="GD504">
        <v>0.83942954374067669</v>
      </c>
      <c r="GE504">
        <v>4.2035371962544144</v>
      </c>
      <c r="GF504">
        <v>11.725117910222718</v>
      </c>
      <c r="GG504">
        <v>5.9290302688809726</v>
      </c>
      <c r="GH504">
        <v>3.3056511325293063</v>
      </c>
      <c r="GI504">
        <v>11.24393526766077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27.61854570235483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32.744229497354503</v>
      </c>
      <c r="AO505">
        <v>11.355404677373352</v>
      </c>
      <c r="AP505">
        <v>117.81714208647701</v>
      </c>
      <c r="AQ505">
        <v>83.88240377129803</v>
      </c>
      <c r="AR505">
        <v>10.742576443044261</v>
      </c>
      <c r="AS505">
        <v>131.69769854211609</v>
      </c>
      <c r="AT505" t="e">
        <v>#DIV/0!</v>
      </c>
      <c r="AU505" t="e">
        <v>#DIV/0!</v>
      </c>
      <c r="AV505"/>
      <c r="AW505"/>
      <c r="FY505" s="210">
        <v>500</v>
      </c>
      <c r="FZ505">
        <v>21.824957588111328</v>
      </c>
      <c r="GA505">
        <v>44.827871682116154</v>
      </c>
      <c r="GB505">
        <v>12.946044859828131</v>
      </c>
      <c r="GC505">
        <v>2.1326136390286785</v>
      </c>
      <c r="GD505">
        <v>0.67723363600810071</v>
      </c>
      <c r="GE505">
        <v>5.3751589485859608</v>
      </c>
      <c r="GF505">
        <v>12.531932961776791</v>
      </c>
      <c r="GG505">
        <v>5.2757611531163775</v>
      </c>
      <c r="GH505">
        <v>2.2111919117281804</v>
      </c>
      <c r="GI505">
        <v>9.9178773390408708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29.116678482311237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24.282752349023902</v>
      </c>
      <c r="AO506">
        <v>9.0051961790196806</v>
      </c>
      <c r="AP506">
        <v>96.510755511684607</v>
      </c>
      <c r="AQ506">
        <v>65.673916177440375</v>
      </c>
      <c r="AR506">
        <v>8.7958885754328318</v>
      </c>
      <c r="AS506">
        <v>109.37577463922374</v>
      </c>
      <c r="AT506">
        <v>5.8502484594477338</v>
      </c>
      <c r="AU506">
        <v>1.2071897298448846</v>
      </c>
      <c r="AV506"/>
      <c r="AW506"/>
      <c r="FY506" s="210">
        <v>501</v>
      </c>
      <c r="FZ506">
        <v>25.494826863849596</v>
      </c>
      <c r="GA506">
        <v>39.032886348065823</v>
      </c>
      <c r="GB506">
        <v>8.3428039833802288</v>
      </c>
      <c r="GC506">
        <v>1.8910184430038477</v>
      </c>
      <c r="GD506">
        <v>0.72154208109146811</v>
      </c>
      <c r="GE506">
        <v>0.14020141262716906</v>
      </c>
      <c r="GF506">
        <v>5.3045639523724617</v>
      </c>
      <c r="GG506">
        <v>6.8188019296717499</v>
      </c>
      <c r="GH506">
        <v>4.0564627035493119</v>
      </c>
      <c r="GI506">
        <v>8.1706638265722837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30.696075563819505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33.878867907316184</v>
      </c>
      <c r="AO507">
        <v>9.9587552943742388</v>
      </c>
      <c r="AP507">
        <v>105.9167298311051</v>
      </c>
      <c r="AQ507">
        <v>76.273076073350722</v>
      </c>
      <c r="AR507">
        <v>9.513803291077366</v>
      </c>
      <c r="AS507">
        <v>156.1112966007567</v>
      </c>
      <c r="AT507" t="e">
        <v>#DIV/0!</v>
      </c>
      <c r="AU507" t="e">
        <v>#DIV/0!</v>
      </c>
      <c r="AV507"/>
      <c r="AW507"/>
      <c r="FY507" s="210">
        <v>502</v>
      </c>
      <c r="FZ507">
        <v>14.927391861193021</v>
      </c>
      <c r="GA507">
        <v>30.487820175295678</v>
      </c>
      <c r="GB507">
        <v>8.6847034389829219</v>
      </c>
      <c r="GC507">
        <v>1.3617288056935031</v>
      </c>
      <c r="GD507">
        <v>0.78711810661805359</v>
      </c>
      <c r="GE507">
        <v>0.28040282525433813</v>
      </c>
      <c r="GF507">
        <v>4.5663140477761788</v>
      </c>
      <c r="GG507">
        <v>5.9626732625294938</v>
      </c>
      <c r="GH507">
        <v>3.0188817336412632</v>
      </c>
      <c r="GI507">
        <v>6.3643968491622882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32.294160275050714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21.39201388888889</v>
      </c>
      <c r="AO508">
        <v>6.6657432958762417</v>
      </c>
      <c r="AP508">
        <v>68.504587971157278</v>
      </c>
      <c r="AQ508">
        <v>47.783825423725261</v>
      </c>
      <c r="AR508">
        <v>6.5577214019339216</v>
      </c>
      <c r="AS508">
        <v>90.14496015291715</v>
      </c>
      <c r="AT508" t="e">
        <v>#DIV/0!</v>
      </c>
      <c r="AU508" t="e">
        <v>#DIV/0!</v>
      </c>
      <c r="AV508"/>
      <c r="AW508"/>
      <c r="FY508" s="210">
        <v>503</v>
      </c>
      <c r="FZ508">
        <v>12.744167141113719</v>
      </c>
      <c r="GA508">
        <v>28.980023175959868</v>
      </c>
      <c r="GB508">
        <v>10.061994678124336</v>
      </c>
      <c r="GC508">
        <v>2.2767876488551089</v>
      </c>
      <c r="GD508">
        <v>0.95042793964997063</v>
      </c>
      <c r="GE508">
        <v>1.5881142822543635</v>
      </c>
      <c r="GF508">
        <v>5.9268323267326943</v>
      </c>
      <c r="GG508">
        <v>4.2747107992337625</v>
      </c>
      <c r="GH508">
        <v>2.3830157366187406</v>
      </c>
      <c r="GI508">
        <v>6.5565709791854063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33.975443724145379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51.315027481299026</v>
      </c>
      <c r="AO509">
        <v>15.468376038103225</v>
      </c>
      <c r="AP509">
        <v>166.68319770998448</v>
      </c>
      <c r="AQ509">
        <v>121.85178137848089</v>
      </c>
      <c r="AR509">
        <v>14.526382423269391</v>
      </c>
      <c r="AS509">
        <v>226.38235443988134</v>
      </c>
      <c r="AT509">
        <v>9.2366129860853139</v>
      </c>
      <c r="AU509">
        <v>59.436774228035425</v>
      </c>
      <c r="AV509"/>
      <c r="AW509"/>
      <c r="FY509" s="210">
        <v>504</v>
      </c>
      <c r="FZ509">
        <v>12.999079139989943</v>
      </c>
      <c r="GA509">
        <v>25.943554193258134</v>
      </c>
      <c r="GB509">
        <v>8.875694151993013</v>
      </c>
      <c r="GC509">
        <v>2.0455624043265073</v>
      </c>
      <c r="GD509">
        <v>0.42100296812060067</v>
      </c>
      <c r="GE509">
        <v>2.0558539793455489E-3</v>
      </c>
      <c r="GF509">
        <v>2.3675591494339248</v>
      </c>
      <c r="GG509">
        <v>2.550892498173412</v>
      </c>
      <c r="GH509">
        <v>1.1490881144450649</v>
      </c>
      <c r="GI509">
        <v>5.1200223948622705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35.675850548950251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21.010133301404856</v>
      </c>
      <c r="AO510">
        <v>7.2616579358653208</v>
      </c>
      <c r="AP510">
        <v>72.008855445442151</v>
      </c>
      <c r="AQ510">
        <v>50.139949766253359</v>
      </c>
      <c r="AR510">
        <v>6.9995800768819949</v>
      </c>
      <c r="AS510">
        <v>92.744671152419244</v>
      </c>
      <c r="AT510" t="e">
        <v>#DIV/0!</v>
      </c>
      <c r="AU510" t="e">
        <v>#DIV/0!</v>
      </c>
      <c r="AV510"/>
      <c r="AW510"/>
      <c r="FY510" s="210">
        <v>505</v>
      </c>
      <c r="FZ510">
        <v>12.445723459119538</v>
      </c>
      <c r="GA510">
        <v>41.406742526693186</v>
      </c>
      <c r="GB510">
        <v>16.27491853963021</v>
      </c>
      <c r="GC510">
        <v>1.9783525287383106</v>
      </c>
      <c r="GD510">
        <v>0.60712335762693148</v>
      </c>
      <c r="GE510">
        <v>0.14842482854455125</v>
      </c>
      <c r="GF510">
        <v>6.1794932646889134</v>
      </c>
      <c r="GG510">
        <v>6.1196877700447923</v>
      </c>
      <c r="GH510">
        <v>1.7303252178236483</v>
      </c>
      <c r="GI510">
        <v>8.0227949919879862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37.461359525571552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27.793731185002734</v>
      </c>
      <c r="AO511">
        <v>11.132145290274568</v>
      </c>
      <c r="AP511">
        <v>116.95841166892437</v>
      </c>
      <c r="AQ511">
        <v>79.425909511334837</v>
      </c>
      <c r="AR511">
        <v>10.467914622409372</v>
      </c>
      <c r="AS511">
        <v>123.9230140368048</v>
      </c>
      <c r="AT511" t="e">
        <v>#DIV/0!</v>
      </c>
      <c r="AU511" t="e">
        <v>#DIV/0!</v>
      </c>
      <c r="AV511"/>
      <c r="AW511"/>
      <c r="FY511" s="210">
        <v>506</v>
      </c>
      <c r="FZ511">
        <v>21.237584717950458</v>
      </c>
      <c r="GA511">
        <v>49.091972263922344</v>
      </c>
      <c r="GB511">
        <v>15.530013378590574</v>
      </c>
      <c r="GC511">
        <v>3.0348107222510565</v>
      </c>
      <c r="GD511">
        <v>1.101613853431735</v>
      </c>
      <c r="GE511">
        <v>0.14020141262716906</v>
      </c>
      <c r="GF511">
        <v>3.9396043040503304</v>
      </c>
      <c r="GG511">
        <v>5.1751142760319429</v>
      </c>
      <c r="GH511">
        <v>4.7660314732374811</v>
      </c>
      <c r="GI511">
        <v>9.4140675338756505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39.266420783205803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37.819509441707723</v>
      </c>
      <c r="AO512">
        <v>12.703857717674513</v>
      </c>
      <c r="AP512">
        <v>134.10108546107392</v>
      </c>
      <c r="AQ512">
        <v>94.89977054939051</v>
      </c>
      <c r="AR512">
        <v>12.284172798539263</v>
      </c>
      <c r="AS512">
        <v>157.3197979048204</v>
      </c>
      <c r="AT512" t="e">
        <v>#DIV/0!</v>
      </c>
      <c r="AU512" t="e">
        <v>#DIV/0!</v>
      </c>
      <c r="AV512"/>
      <c r="AW512"/>
      <c r="FY512" s="210">
        <v>507</v>
      </c>
      <c r="FZ512">
        <v>3.6546331789611903</v>
      </c>
      <c r="GA512">
        <v>15.722059790108275</v>
      </c>
      <c r="GB512">
        <v>9.2956402083391882</v>
      </c>
      <c r="GC512">
        <v>1.7476026829427533</v>
      </c>
      <c r="GD512">
        <v>0.40685476333606146</v>
      </c>
      <c r="GE512">
        <v>4.0653916376065906</v>
      </c>
      <c r="GF512">
        <v>12.170773775015608</v>
      </c>
      <c r="GG512">
        <v>6.8293913038048055</v>
      </c>
      <c r="GH512">
        <v>3.1738810367592536</v>
      </c>
      <c r="GI512">
        <v>6.1277598286807677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41.15845822603665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15.815625000000001</v>
      </c>
      <c r="AO513">
        <v>6.8100549637912096</v>
      </c>
      <c r="AP513">
        <v>70.087717418634114</v>
      </c>
      <c r="AQ513">
        <v>46.120406003137639</v>
      </c>
      <c r="AR513">
        <v>6.5058262226919821</v>
      </c>
      <c r="AS513">
        <v>84.662107691131766</v>
      </c>
      <c r="AT513" t="e">
        <v>#DIV/0!</v>
      </c>
      <c r="AU513" t="e">
        <v>#DIV/0!</v>
      </c>
      <c r="AV513"/>
      <c r="AW513"/>
      <c r="FY513" s="210">
        <v>508</v>
      </c>
      <c r="FZ513">
        <v>11.792280379459003</v>
      </c>
      <c r="GA513">
        <v>33.657208918304356</v>
      </c>
      <c r="GB513">
        <v>11.920139121512131</v>
      </c>
      <c r="GC513">
        <v>1.613796415141862</v>
      </c>
      <c r="GD513">
        <v>0.47457997891904391</v>
      </c>
      <c r="GE513">
        <v>4.1117079586910979E-3</v>
      </c>
      <c r="GF513">
        <v>3.2424884617503755</v>
      </c>
      <c r="GG513">
        <v>5.3094041467648996</v>
      </c>
      <c r="GH513">
        <v>3.8980249709708548</v>
      </c>
      <c r="GI513">
        <v>6.4996601427969276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43.070470368696775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21.648892195767196</v>
      </c>
      <c r="AO514">
        <v>9.5500667753256856</v>
      </c>
      <c r="AP514">
        <v>95.570725861213347</v>
      </c>
      <c r="AQ514">
        <v>65.364696728001476</v>
      </c>
      <c r="AR514">
        <v>8.9539905843186691</v>
      </c>
      <c r="AS514">
        <v>107.26304754138515</v>
      </c>
      <c r="AT514" t="e">
        <v>#DIV/0!</v>
      </c>
      <c r="AU514" t="e">
        <v>#DIV/0!</v>
      </c>
      <c r="AV514"/>
      <c r="AW514"/>
      <c r="FY514" s="210">
        <v>509</v>
      </c>
      <c r="FZ514">
        <v>4.5099163947887888</v>
      </c>
      <c r="GA514">
        <v>17.55314724647625</v>
      </c>
      <c r="GB514">
        <v>9.1239255626764155</v>
      </c>
      <c r="GC514">
        <v>1.8447837560506155</v>
      </c>
      <c r="GD514">
        <v>0.74846665801982204</v>
      </c>
      <c r="GE514">
        <v>4.1117079586910979E-3</v>
      </c>
      <c r="GF514">
        <v>5.3045639523724617</v>
      </c>
      <c r="GG514">
        <v>4.9597037965220299</v>
      </c>
      <c r="GH514">
        <v>0.5812371033785837</v>
      </c>
      <c r="GI514">
        <v>4.6385661133792766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45.071304848034394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61.525181878306867</v>
      </c>
      <c r="AO515">
        <v>17.292926463985303</v>
      </c>
      <c r="AP515">
        <v>181.93333880389827</v>
      </c>
      <c r="AQ515">
        <v>138.42627136677299</v>
      </c>
      <c r="AR515">
        <v>16.001688546176908</v>
      </c>
      <c r="AS515">
        <v>210.44379942965105</v>
      </c>
      <c r="AT515">
        <v>10.591837892819752</v>
      </c>
      <c r="AU515">
        <v>111.01094114506917</v>
      </c>
      <c r="AV515"/>
      <c r="AW515"/>
      <c r="FY515" s="210">
        <v>510</v>
      </c>
      <c r="FZ515">
        <v>13.380925313508168</v>
      </c>
      <c r="GA515">
        <v>29.805999315495061</v>
      </c>
      <c r="GB515">
        <v>10.907560020945748</v>
      </c>
      <c r="GC515">
        <v>2.117967140093179</v>
      </c>
      <c r="GD515">
        <v>0.57972583210641426</v>
      </c>
      <c r="GE515">
        <v>1.4520245775858855</v>
      </c>
      <c r="GF515">
        <v>8.8130538572829185</v>
      </c>
      <c r="GG515">
        <v>6.2495182417826047</v>
      </c>
      <c r="GH515">
        <v>0.5812371033785837</v>
      </c>
      <c r="GI515">
        <v>7.1101771550263644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47.092530283536306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55.733726737821577</v>
      </c>
      <c r="AO516">
        <v>15.391838991023851</v>
      </c>
      <c r="AP516">
        <v>157.99301236256574</v>
      </c>
      <c r="AQ516">
        <v>117.72064371934057</v>
      </c>
      <c r="AR516">
        <v>13.977299951975974</v>
      </c>
      <c r="AS516">
        <v>213.93148317340243</v>
      </c>
      <c r="AT516" t="e">
        <v>#DIV/0!</v>
      </c>
      <c r="AU516" t="e">
        <v>#DIV/0!</v>
      </c>
      <c r="AV516"/>
      <c r="AW516"/>
      <c r="FY516" s="210">
        <v>511</v>
      </c>
      <c r="FZ516">
        <v>22.795015241536991</v>
      </c>
      <c r="GA516">
        <v>39.103339667810339</v>
      </c>
      <c r="GB516">
        <v>10.024250621739336</v>
      </c>
      <c r="GC516">
        <v>2.2949065671363091</v>
      </c>
      <c r="GD516">
        <v>0.67680790734789187</v>
      </c>
      <c r="GE516">
        <v>1.4479128696271943</v>
      </c>
      <c r="GF516">
        <v>2.4074922512810986</v>
      </c>
      <c r="GG516">
        <v>1.0017173094824789</v>
      </c>
      <c r="GH516">
        <v>2.2680701626212576</v>
      </c>
      <c r="GI516">
        <v>7.247102384955376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49.204397697895814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45.952659756431309</v>
      </c>
      <c r="AO517">
        <v>12.296794509257083</v>
      </c>
      <c r="AP517">
        <v>131.65268478446873</v>
      </c>
      <c r="AQ517">
        <v>99.973771544183947</v>
      </c>
      <c r="AR517">
        <v>11.943378701430893</v>
      </c>
      <c r="AS517">
        <v>171.27393077742784</v>
      </c>
      <c r="AT517" t="e">
        <v>#DIV/0!</v>
      </c>
      <c r="AU517" t="e">
        <v>#DIV/0!</v>
      </c>
      <c r="AV517"/>
      <c r="AW517"/>
      <c r="FY517" s="210">
        <v>512</v>
      </c>
      <c r="FZ517">
        <v>13.862235677589741</v>
      </c>
      <c r="GA517">
        <v>20.994055689119751</v>
      </c>
      <c r="GB517">
        <v>4.4600547003238482</v>
      </c>
      <c r="GC517">
        <v>2.0028819847877442</v>
      </c>
      <c r="GD517">
        <v>1.4455388370021607</v>
      </c>
      <c r="GE517">
        <v>3.3184858311152414</v>
      </c>
      <c r="GF517">
        <v>6.1545525146901729</v>
      </c>
      <c r="GG517">
        <v>3.299835115664381</v>
      </c>
      <c r="GH517">
        <v>2.9073745891042471</v>
      </c>
      <c r="GI517">
        <v>5.7962527445227066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49.204397697895814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32.820171957671967</v>
      </c>
      <c r="AO518">
        <v>9.6908622060962539</v>
      </c>
      <c r="AP518">
        <v>103.18017436093275</v>
      </c>
      <c r="AQ518">
        <v>76.441431106146737</v>
      </c>
      <c r="AR518">
        <v>9.2966016748049896</v>
      </c>
      <c r="AS518">
        <v>134.47989802527192</v>
      </c>
      <c r="AT518" t="e">
        <v>#DIV/0!</v>
      </c>
      <c r="AU518" t="e">
        <v>#DIV/0!</v>
      </c>
      <c r="AV518"/>
      <c r="AW518"/>
      <c r="FY518" s="210">
        <v>513</v>
      </c>
      <c r="FZ518">
        <v>22.075422848778505</v>
      </c>
      <c r="GA518">
        <v>47.75637167073269</v>
      </c>
      <c r="GB518">
        <v>15.075521706048933</v>
      </c>
      <c r="GC518">
        <v>3.0018676124167687</v>
      </c>
      <c r="GD518">
        <v>0.84989766316088344</v>
      </c>
      <c r="GE518">
        <v>4.0653916376065906</v>
      </c>
      <c r="GF518">
        <v>13.144101239849624</v>
      </c>
      <c r="GG518">
        <v>6.6901992687687146</v>
      </c>
      <c r="GH518">
        <v>1.8452707918211315</v>
      </c>
      <c r="GI518">
        <v>10.674832478870549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40.296923462871739</v>
      </c>
      <c r="AO519">
        <v>9.8302471792075998</v>
      </c>
      <c r="AP519">
        <v>99.537302732160754</v>
      </c>
      <c r="AQ519">
        <v>75.742644707727976</v>
      </c>
      <c r="AR519">
        <v>9.2679763981735519</v>
      </c>
      <c r="AS519">
        <v>126.67883638374273</v>
      </c>
      <c r="AT519">
        <v>6.2213347462943185</v>
      </c>
      <c r="AU519">
        <v>28.868728451686888</v>
      </c>
      <c r="AV519"/>
      <c r="AW519"/>
      <c r="FY519" s="210">
        <v>514</v>
      </c>
      <c r="FZ519">
        <v>32.378901783822933</v>
      </c>
      <c r="GA519">
        <v>47.853437622229173</v>
      </c>
      <c r="GB519">
        <v>7.0420606729670814</v>
      </c>
      <c r="GC519">
        <v>1.6299398432635115</v>
      </c>
      <c r="GD519">
        <v>0.79944647794699264</v>
      </c>
      <c r="GE519">
        <v>0.14431312058586016</v>
      </c>
      <c r="GF519">
        <v>6.2081253097995308</v>
      </c>
      <c r="GG519">
        <v>7.5990654672562448</v>
      </c>
      <c r="GH519">
        <v>4.9042062545829026</v>
      </c>
      <c r="GI519">
        <v>9.1840903931235207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12.626626048686809</v>
      </c>
      <c r="H520" s="63" t="s">
        <v>30</v>
      </c>
      <c r="I520" s="101">
        <f>SUM(K458:K518)</f>
        <v>71.017276181844537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30.374187534209092</v>
      </c>
      <c r="AO520">
        <v>7.6908515023575692</v>
      </c>
      <c r="AP520">
        <v>81.552733346036177</v>
      </c>
      <c r="AQ520">
        <v>61.474510868582207</v>
      </c>
      <c r="AR520">
        <v>7.377152792006255</v>
      </c>
      <c r="AS520">
        <v>105.56898171352933</v>
      </c>
      <c r="AT520" t="e">
        <v>#DIV/0!</v>
      </c>
      <c r="AU520" t="e">
        <v>#DIV/0!</v>
      </c>
      <c r="AV520"/>
      <c r="AW520"/>
      <c r="FY520" s="210">
        <v>515</v>
      </c>
      <c r="FZ520">
        <v>21.702161352163966</v>
      </c>
      <c r="GA520">
        <v>34.269696457850898</v>
      </c>
      <c r="GB520">
        <v>6.42924015271233</v>
      </c>
      <c r="GC520">
        <v>1.2384182400038914</v>
      </c>
      <c r="GD520">
        <v>0.65674604199583986</v>
      </c>
      <c r="GE520">
        <v>1.4479128696271943</v>
      </c>
      <c r="GF520">
        <v>2.8531481160739895</v>
      </c>
      <c r="GG520">
        <v>3.0811081777526863</v>
      </c>
      <c r="GH520">
        <v>5.5168430442574872</v>
      </c>
      <c r="GI520">
        <v>6.7774456059150125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35.496461640211649</v>
      </c>
      <c r="AO521">
        <v>12.403939501206469</v>
      </c>
      <c r="AP521">
        <v>136.05341521382832</v>
      </c>
      <c r="AQ521">
        <v>94.913586484898076</v>
      </c>
      <c r="AR521">
        <v>11.838764054233646</v>
      </c>
      <c r="AS521">
        <v>153.89975438165806</v>
      </c>
      <c r="AT521" t="e">
        <v>#DIV/0!</v>
      </c>
      <c r="AU521" t="e">
        <v>#DIV/0!</v>
      </c>
      <c r="AV521"/>
      <c r="AW521"/>
      <c r="FY521" s="210">
        <v>516</v>
      </c>
      <c r="FZ521">
        <v>11.355925852913918</v>
      </c>
      <c r="GA521">
        <v>25.694645147543174</v>
      </c>
      <c r="GB521">
        <v>7.2072325631173708</v>
      </c>
      <c r="GC521">
        <v>1.1727919505221762</v>
      </c>
      <c r="GD521">
        <v>0.72324543722966417</v>
      </c>
      <c r="GE521">
        <v>1.4520245775858855</v>
      </c>
      <c r="GF521">
        <v>6.3914710265442194</v>
      </c>
      <c r="GG521">
        <v>3.9916294806880734</v>
      </c>
      <c r="GH521">
        <v>1.7437113101357515</v>
      </c>
      <c r="GI521">
        <v>5.6051425993698976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5.6244063859981388</v>
      </c>
      <c r="G522" s="63"/>
      <c r="H522" s="63" t="s">
        <v>101</v>
      </c>
      <c r="I522">
        <v>139.82888793945312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56.095220420543697</v>
      </c>
      <c r="AO522">
        <v>14.352939175014976</v>
      </c>
      <c r="AP522">
        <v>153.69223859831456</v>
      </c>
      <c r="AQ522">
        <v>113.43101393596874</v>
      </c>
      <c r="AR522">
        <v>13.75263392504451</v>
      </c>
      <c r="AS522">
        <v>202.97176006285329</v>
      </c>
      <c r="AT522" t="e">
        <v>#DIV/0!</v>
      </c>
      <c r="AU522" t="e">
        <v>#DIV/0!</v>
      </c>
      <c r="AV522"/>
      <c r="AW522"/>
      <c r="FY522" s="210">
        <v>517</v>
      </c>
      <c r="FZ522">
        <v>13.874580393641454</v>
      </c>
      <c r="GA522">
        <v>35.751734633146299</v>
      </c>
      <c r="GB522">
        <v>12.464148987452351</v>
      </c>
      <c r="GC522">
        <v>2.5461885465911029</v>
      </c>
      <c r="GD522">
        <v>1.1164158418797299</v>
      </c>
      <c r="GE522">
        <v>1.3077114570000252</v>
      </c>
      <c r="GF522">
        <v>2.9071717973787643</v>
      </c>
      <c r="GG522">
        <v>3.1281385905754799</v>
      </c>
      <c r="GH522">
        <v>5.9831345736385888</v>
      </c>
      <c r="GI522">
        <v>7.5254381921011539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14.681575181934109</v>
      </c>
      <c r="G523" s="63"/>
      <c r="H523" s="63" t="s">
        <v>103</v>
      </c>
      <c r="I523" s="123">
        <f>+I520*(365/I522)</f>
        <v>185.37875962796301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24.300313013136293</v>
      </c>
      <c r="AO523">
        <v>9.2971979677331351</v>
      </c>
      <c r="AP523">
        <v>89.633313498654559</v>
      </c>
      <c r="AQ523">
        <v>63.193988205554483</v>
      </c>
      <c r="AR523">
        <v>8.5573909868515905</v>
      </c>
      <c r="AS523">
        <v>110.09800165375658</v>
      </c>
      <c r="AT523">
        <v>6.0271646451647731</v>
      </c>
      <c r="AU523">
        <v>-1.834116947325775</v>
      </c>
      <c r="AV523"/>
      <c r="AW523"/>
      <c r="FY523" s="210">
        <v>518</v>
      </c>
      <c r="FZ523">
        <v>12.123654999983819</v>
      </c>
      <c r="GA523">
        <v>31.869071912837235</v>
      </c>
      <c r="GB523">
        <v>11.018113265237208</v>
      </c>
      <c r="GC523">
        <v>2.2143851709223505</v>
      </c>
      <c r="GD523">
        <v>0.98637620203448861</v>
      </c>
      <c r="GE523">
        <v>2.7556243266272196</v>
      </c>
      <c r="GF523">
        <v>9.8426968412334404</v>
      </c>
      <c r="GG523">
        <v>6.3014552559061823</v>
      </c>
      <c r="GH523">
        <v>2.8359211736877388</v>
      </c>
      <c r="GI523">
        <v>7.7239574631393202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29.941647851669408</v>
      </c>
      <c r="AO524">
        <v>10.26457656021044</v>
      </c>
      <c r="AP524">
        <v>112.30438695732735</v>
      </c>
      <c r="AQ524">
        <v>78.41169424357814</v>
      </c>
      <c r="AR524">
        <v>9.7157167821531978</v>
      </c>
      <c r="AS524">
        <v>113.16126769829177</v>
      </c>
      <c r="AT524" t="e">
        <v>#DIV/0!</v>
      </c>
      <c r="AU524" t="e">
        <v>#DIV/0!</v>
      </c>
      <c r="AV524"/>
      <c r="AW524"/>
      <c r="FY524" s="210">
        <v>519</v>
      </c>
      <c r="FZ524">
        <v>5.2036175143829198</v>
      </c>
      <c r="GA524">
        <v>26.158917128441875</v>
      </c>
      <c r="GB524">
        <v>14.643675751460854</v>
      </c>
      <c r="GC524">
        <v>2.5792473678100323</v>
      </c>
      <c r="GD524">
        <v>0.46658157550361373</v>
      </c>
      <c r="GE524">
        <v>2.6215904759380875</v>
      </c>
      <c r="GF524">
        <v>5.0378124349586431</v>
      </c>
      <c r="GG524">
        <v>1.4390575323765962</v>
      </c>
      <c r="GH524">
        <v>2.3830157366187406</v>
      </c>
      <c r="GI524">
        <v>6.229504420891657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20.713442460317459</v>
      </c>
      <c r="AO525">
        <v>6.9586740112976315</v>
      </c>
      <c r="AP525">
        <v>70.829664548689735</v>
      </c>
      <c r="AQ525">
        <v>49.268422291622933</v>
      </c>
      <c r="AR525">
        <v>6.7718708270454995</v>
      </c>
      <c r="AS525">
        <v>84.754262660192751</v>
      </c>
      <c r="AT525" t="e">
        <v>#DIV/0!</v>
      </c>
      <c r="AU525" t="e">
        <v>#DIV/0!</v>
      </c>
      <c r="AV525"/>
      <c r="AW525"/>
      <c r="FY525" s="210">
        <v>520</v>
      </c>
      <c r="FZ525">
        <v>14.148152957117176</v>
      </c>
      <c r="GA525">
        <v>39.775150097037383</v>
      </c>
      <c r="GB525">
        <v>14.074727699944205</v>
      </c>
      <c r="GC525">
        <v>1.9280707099578906</v>
      </c>
      <c r="GD525">
        <v>0.83015334360867499</v>
      </c>
      <c r="GE525">
        <v>4.2097047581924514</v>
      </c>
      <c r="GF525">
        <v>8.8135047434783367</v>
      </c>
      <c r="GG525">
        <v>4.1169868942442527</v>
      </c>
      <c r="GH525">
        <v>2.6640973487971786</v>
      </c>
      <c r="GI525">
        <v>8.5324639486745788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33.146129812078101</v>
      </c>
      <c r="AO526">
        <v>10.922824819610224</v>
      </c>
      <c r="AP526">
        <v>113.53745474822836</v>
      </c>
      <c r="AQ526">
        <v>80.998188557204941</v>
      </c>
      <c r="AR526">
        <v>10.345752129878527</v>
      </c>
      <c r="AS526">
        <v>154.67906291592527</v>
      </c>
      <c r="AT526" t="e">
        <v>#DIV/0!</v>
      </c>
      <c r="AU526" t="e">
        <v>#DIV/0!</v>
      </c>
      <c r="AV526"/>
      <c r="AW526"/>
      <c r="FY526" s="210">
        <v>521</v>
      </c>
      <c r="FZ526">
        <v>23.365350990648871</v>
      </c>
      <c r="GA526">
        <v>39.123869128033306</v>
      </c>
      <c r="GB526">
        <v>10.59334081249709</v>
      </c>
      <c r="GC526">
        <v>2.3086723738482968</v>
      </c>
      <c r="GD526">
        <v>0.56852011002414815</v>
      </c>
      <c r="GE526">
        <v>1.4479128696271943</v>
      </c>
      <c r="GF526">
        <v>8.6156175610806294</v>
      </c>
      <c r="GG526">
        <v>6.9911654103605176</v>
      </c>
      <c r="GH526">
        <v>1.913285777777173</v>
      </c>
      <c r="GI526">
        <v>8.5711754581704618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46.198957193030466</v>
      </c>
      <c r="AO527">
        <v>10.906805558178025</v>
      </c>
      <c r="AP527">
        <v>115.48838140262475</v>
      </c>
      <c r="AQ527">
        <v>89.266614983538261</v>
      </c>
      <c r="AR527">
        <v>10.363892710772422</v>
      </c>
      <c r="AS527">
        <v>146.52554383600915</v>
      </c>
      <c r="AT527">
        <v>6.6758076012132372</v>
      </c>
      <c r="AU527">
        <v>66.63260808969892</v>
      </c>
      <c r="AV527"/>
      <c r="AW527"/>
      <c r="FY527" s="210">
        <v>522</v>
      </c>
      <c r="FZ527">
        <v>2.2093940567689261</v>
      </c>
      <c r="GA527">
        <v>11.137817982004995</v>
      </c>
      <c r="GB527">
        <v>5.9427844874064846</v>
      </c>
      <c r="GC527">
        <v>1.3715896578004863</v>
      </c>
      <c r="GD527">
        <v>0.61736722734734062</v>
      </c>
      <c r="GE527">
        <v>0.28245867923368362</v>
      </c>
      <c r="GF527">
        <v>0.27685161370122002</v>
      </c>
      <c r="GG527">
        <v>1.0017173094824789</v>
      </c>
      <c r="GH527">
        <v>2.4979613106162235</v>
      </c>
      <c r="GI527">
        <v>2.6751325094275753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37.19021049990878</v>
      </c>
      <c r="AO528">
        <v>8.8042629144581976</v>
      </c>
      <c r="AP528">
        <v>82.047752676302025</v>
      </c>
      <c r="AQ528">
        <v>64.241267683919986</v>
      </c>
      <c r="AR528">
        <v>8.1892427509752039</v>
      </c>
      <c r="AS528">
        <v>118.2708184372087</v>
      </c>
      <c r="AT528">
        <v>5.7085915549198303</v>
      </c>
      <c r="AU528">
        <v>70.493789993290108</v>
      </c>
      <c r="AV528"/>
      <c r="AW528"/>
      <c r="FY528" s="210">
        <v>523</v>
      </c>
      <c r="FZ528">
        <v>13.329782401271178</v>
      </c>
      <c r="GA528">
        <v>30.017586101840102</v>
      </c>
      <c r="GB528">
        <v>9.4535299426171129</v>
      </c>
      <c r="GC528">
        <v>1.2356849992818053</v>
      </c>
      <c r="GD528">
        <v>0.50207494364630367</v>
      </c>
      <c r="GE528">
        <v>2.7576801806065649</v>
      </c>
      <c r="GF528">
        <v>8.2992837317276518</v>
      </c>
      <c r="GG528">
        <v>5.4855556338512956</v>
      </c>
      <c r="GH528">
        <v>3.1338273076387462</v>
      </c>
      <c r="GI528">
        <v>6.9857160849993027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54.593153621601893</v>
      </c>
      <c r="AO529">
        <v>16.419903883859753</v>
      </c>
      <c r="AP529">
        <v>168.8932252560912</v>
      </c>
      <c r="AQ529">
        <v>125.17887691805439</v>
      </c>
      <c r="AR529">
        <v>15.16106204807072</v>
      </c>
      <c r="AS529">
        <v>188.93096621594105</v>
      </c>
      <c r="AT529">
        <v>10.103506566176149</v>
      </c>
      <c r="AU529">
        <v>51.591664615032172</v>
      </c>
      <c r="AV529"/>
      <c r="AW529"/>
      <c r="FY529" s="210">
        <v>524</v>
      </c>
      <c r="FZ529">
        <v>30.561906180665623</v>
      </c>
      <c r="GA529">
        <v>47.903603069733471</v>
      </c>
      <c r="GB529">
        <v>9.8607864244870811</v>
      </c>
      <c r="GC529">
        <v>2.7289137606158604</v>
      </c>
      <c r="GD529">
        <v>0.78779658416332699</v>
      </c>
      <c r="GE529">
        <v>1.4479128696271943</v>
      </c>
      <c r="GF529">
        <v>6.1686430941477743</v>
      </c>
      <c r="GG529">
        <v>5.3155385589004585</v>
      </c>
      <c r="GH529">
        <v>4.0698487958614145</v>
      </c>
      <c r="GI529">
        <v>9.4591318540892004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55.875760582010571</v>
      </c>
      <c r="AO530">
        <v>13.771813865697727</v>
      </c>
      <c r="AP530">
        <v>149.24592496069144</v>
      </c>
      <c r="AQ530">
        <v>117.74358694557775</v>
      </c>
      <c r="AR530">
        <v>13.227459592740695</v>
      </c>
      <c r="AS530">
        <v>204.84987809229386</v>
      </c>
      <c r="AT530" t="e">
        <v>#DIV/0!</v>
      </c>
      <c r="AU530" t="e">
        <v>#DIV/0!</v>
      </c>
      <c r="AV530"/>
      <c r="AW530"/>
      <c r="FY530" s="210">
        <v>525</v>
      </c>
      <c r="FZ530">
        <v>4.8544566126071018</v>
      </c>
      <c r="GA530">
        <v>18.998882926253877</v>
      </c>
      <c r="GB530">
        <v>8.2468963165360165</v>
      </c>
      <c r="GC530">
        <v>1.2814030642717722</v>
      </c>
      <c r="GD530">
        <v>0.72609021710273147</v>
      </c>
      <c r="GE530">
        <v>6.1675619380366468E-3</v>
      </c>
      <c r="GF530">
        <v>3.4399247579526651</v>
      </c>
      <c r="GG530">
        <v>4.1482591364646382</v>
      </c>
      <c r="GH530">
        <v>3.1907055585318234</v>
      </c>
      <c r="GI530">
        <v>4.584921063921545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40.625</v>
      </c>
      <c r="E531" s="108">
        <f>E405</f>
        <v>0.18755886877799488</v>
      </c>
      <c r="F531" s="102"/>
      <c r="G531" s="101">
        <f>D531*E531</f>
        <v>7.6195790441060423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43.282488939062219</v>
      </c>
      <c r="AO531">
        <v>10.175826329928489</v>
      </c>
      <c r="AP531">
        <v>108.71103997662516</v>
      </c>
      <c r="AQ531">
        <v>83.972720058353303</v>
      </c>
      <c r="AR531">
        <v>9.7800728847909362</v>
      </c>
      <c r="AS531">
        <v>132.31610540145695</v>
      </c>
      <c r="AT531">
        <v>6.6260681656881362</v>
      </c>
      <c r="AU531">
        <v>142.13144084218601</v>
      </c>
      <c r="AV531"/>
      <c r="AW531"/>
      <c r="FY531" s="210">
        <v>526</v>
      </c>
      <c r="FZ531">
        <v>13.869630849331672</v>
      </c>
      <c r="GA531">
        <v>35.21333128984287</v>
      </c>
      <c r="GB531">
        <v>11.091636118090353</v>
      </c>
      <c r="GC531">
        <v>1.2268499664030093</v>
      </c>
      <c r="GD531">
        <v>0.54578704970690817</v>
      </c>
      <c r="GE531">
        <v>2.6154229140000504</v>
      </c>
      <c r="GF531">
        <v>6.6542320607878382</v>
      </c>
      <c r="GG531">
        <v>3.1476604218853108</v>
      </c>
      <c r="GH531">
        <v>4.6980164872814392</v>
      </c>
      <c r="GI531">
        <v>7.3329845986804862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-5.9516899211480428E-2</v>
      </c>
      <c r="I532" s="101">
        <f>AVERAGE(D531:D533)</f>
        <v>140.01488095238096</v>
      </c>
      <c r="J532" s="101">
        <f>I532*H532</f>
        <v>-8.3332515577502893</v>
      </c>
      <c r="K532" s="61">
        <f>J532/(C533-C531)</f>
        <v>-0.30863894658334406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28.729183201058191</v>
      </c>
      <c r="AO532">
        <v>8.5196259489867039</v>
      </c>
      <c r="AP532">
        <v>89.192436355533872</v>
      </c>
      <c r="AQ532">
        <v>65.337819945650125</v>
      </c>
      <c r="AR532">
        <v>8.082925764455327</v>
      </c>
      <c r="AS532">
        <v>117.89136462320435</v>
      </c>
      <c r="AT532" t="e">
        <v>#DIV/0!</v>
      </c>
      <c r="AU532" t="e">
        <v>#DIV/0!</v>
      </c>
      <c r="AV532"/>
      <c r="AW532"/>
      <c r="FY532" s="210">
        <v>527</v>
      </c>
      <c r="FZ532">
        <v>3.4200342923792664</v>
      </c>
      <c r="GA532">
        <v>19.530238245319421</v>
      </c>
      <c r="GB532">
        <v>10.083344197345992</v>
      </c>
      <c r="GC532">
        <v>1.987298546099151</v>
      </c>
      <c r="GD532">
        <v>0.78774810546238228</v>
      </c>
      <c r="GE532">
        <v>0</v>
      </c>
      <c r="GF532">
        <v>2.669802399329301</v>
      </c>
      <c r="GG532">
        <v>3.2198286647929297</v>
      </c>
      <c r="GH532">
        <v>3.1941439879922906</v>
      </c>
      <c r="GI532">
        <v>4.6992633762297471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239.4047619047619</v>
      </c>
      <c r="E533" s="108">
        <f>E406</f>
        <v>0.12804196956651445</v>
      </c>
      <c r="F533" s="102"/>
      <c r="G533" s="101">
        <f>D533*E533</f>
        <v>30.653857237888161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35.907886904761916</v>
      </c>
      <c r="AO533">
        <v>11.451128691981737</v>
      </c>
      <c r="AP533">
        <v>118.90178638009306</v>
      </c>
      <c r="AQ533">
        <v>86.604663013404931</v>
      </c>
      <c r="AR533">
        <v>10.955220143587393</v>
      </c>
      <c r="AS533">
        <v>170.60592536946461</v>
      </c>
      <c r="AT533" t="e">
        <v>#DIV/0!</v>
      </c>
      <c r="AU533" t="e">
        <v>#DIV/0!</v>
      </c>
      <c r="AV533"/>
      <c r="AW533"/>
      <c r="FY533" s="210">
        <v>528</v>
      </c>
      <c r="FZ533">
        <v>13.086782498425633</v>
      </c>
      <c r="GA533">
        <v>26.599992166048846</v>
      </c>
      <c r="GB533">
        <v>10.874512576801919</v>
      </c>
      <c r="GC533">
        <v>3.2570152996509729</v>
      </c>
      <c r="GD533">
        <v>0.83719396434119009</v>
      </c>
      <c r="GE533">
        <v>1.4479128696271943</v>
      </c>
      <c r="GF533">
        <v>6.4168626627383754</v>
      </c>
      <c r="GG533">
        <v>5.5179464709748327</v>
      </c>
      <c r="GH533">
        <v>2.9073745891042471</v>
      </c>
      <c r="GI533">
        <v>6.98387348702121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0.42226681711631897</v>
      </c>
      <c r="I534" s="101">
        <f>AVERAGE(D533:D535)</f>
        <v>141.57738095238096</v>
      </c>
      <c r="J534" s="101">
        <f>I534*H534</f>
        <v>59.783430030426473</v>
      </c>
      <c r="K534" s="61">
        <f>J534/(C535-C533)</f>
        <v>1.4581324397664994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36.394377166575438</v>
      </c>
      <c r="AO534">
        <v>11.945945754194806</v>
      </c>
      <c r="AP534">
        <v>120.98601837787983</v>
      </c>
      <c r="AQ534">
        <v>87.671256611608982</v>
      </c>
      <c r="AR534">
        <v>11.082886364153048</v>
      </c>
      <c r="AS534">
        <v>155.94478533207729</v>
      </c>
      <c r="AT534">
        <v>7.1589320953300515</v>
      </c>
      <c r="AU534">
        <v>35.116856494690602</v>
      </c>
      <c r="AV534"/>
      <c r="AW534"/>
      <c r="FY534" s="210">
        <v>529</v>
      </c>
      <c r="FZ534">
        <v>6.7468342115790012</v>
      </c>
      <c r="GA534">
        <v>32.682772925958389</v>
      </c>
      <c r="GB534">
        <v>16.448381103626357</v>
      </c>
      <c r="GC534">
        <v>1.8509313757799504</v>
      </c>
      <c r="GD534">
        <v>0.73570534674780252</v>
      </c>
      <c r="GE534">
        <v>0.28451453321302922</v>
      </c>
      <c r="GF534">
        <v>4.5917056839703347</v>
      </c>
      <c r="GG534">
        <v>6.5594411862413935</v>
      </c>
      <c r="GH534">
        <v>4.5942076483469219</v>
      </c>
      <c r="GI534">
        <v>7.4131631403612435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43.75</v>
      </c>
      <c r="E535" s="108">
        <f>E407</f>
        <v>0.55030878668283345</v>
      </c>
      <c r="F535" s="102"/>
      <c r="G535" s="101">
        <f>D535*E535</f>
        <v>24.076009417373964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23.652430555555554</v>
      </c>
      <c r="AO535">
        <v>9.4986060214465944</v>
      </c>
      <c r="AP535">
        <v>96.776538722099986</v>
      </c>
      <c r="AQ535">
        <v>66.76301993838301</v>
      </c>
      <c r="AR535">
        <v>8.922035148236489</v>
      </c>
      <c r="AS535">
        <v>114.1368300963303</v>
      </c>
      <c r="AT535">
        <v>6.0539571820376814</v>
      </c>
      <c r="AU535">
        <v>-1.4346849617177933</v>
      </c>
      <c r="AV535"/>
      <c r="AW535"/>
      <c r="FY535" s="210">
        <v>530</v>
      </c>
      <c r="FZ535">
        <v>6.5236897868281956</v>
      </c>
      <c r="GA535">
        <v>19.633957434837932</v>
      </c>
      <c r="GB535">
        <v>11.243078305990979</v>
      </c>
      <c r="GC535">
        <v>3.0836775901038362</v>
      </c>
      <c r="GD535">
        <v>1.0916244130724837</v>
      </c>
      <c r="GE535">
        <v>1.4499687236065399</v>
      </c>
      <c r="GF535">
        <v>3.9795374058975046</v>
      </c>
      <c r="GG535">
        <v>1.6873772623706111</v>
      </c>
      <c r="GH535">
        <v>1.2774197807546503</v>
      </c>
      <c r="GI535">
        <v>5.5329876534557219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-0.4253213782436957</v>
      </c>
      <c r="I536" s="101">
        <f>AVERAGE(D535:D537)</f>
        <v>42.049808429118769</v>
      </c>
      <c r="J536" s="101">
        <f>I536*H536</f>
        <v>-17.884682475956168</v>
      </c>
      <c r="K536" s="61">
        <f>J536/(C537-C535)</f>
        <v>-0.54196007502897481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37.173907589855872</v>
      </c>
      <c r="AO536">
        <v>13.414534846342628</v>
      </c>
      <c r="AP536">
        <v>138.72662915967925</v>
      </c>
      <c r="AQ536">
        <v>99.093012501052129</v>
      </c>
      <c r="AR536">
        <v>12.262846347696268</v>
      </c>
      <c r="AS536">
        <v>152.12280687722824</v>
      </c>
      <c r="AT536" t="e">
        <v>#DIV/0!</v>
      </c>
      <c r="AU536" t="e">
        <v>#DIV/0!</v>
      </c>
      <c r="AV536"/>
      <c r="AW536"/>
      <c r="FY536" s="210">
        <v>531</v>
      </c>
      <c r="FZ536">
        <v>21.449145907022867</v>
      </c>
      <c r="GA536">
        <v>34.731641420687744</v>
      </c>
      <c r="GB536">
        <v>6.7760505493056193</v>
      </c>
      <c r="GC536">
        <v>1.5373715454297965</v>
      </c>
      <c r="GD536">
        <v>0.87959476977223705</v>
      </c>
      <c r="GE536">
        <v>1.4499687236065399</v>
      </c>
      <c r="GF536">
        <v>4.8004430369091802</v>
      </c>
      <c r="GG536">
        <v>3.9793606564169535</v>
      </c>
      <c r="GH536">
        <v>4.1847943698588974</v>
      </c>
      <c r="GI536">
        <v>7.1564075792530115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40.349616858237546</v>
      </c>
      <c r="E537" s="108">
        <f>E408</f>
        <v>0.12498740843913773</v>
      </c>
      <c r="F537" s="102"/>
      <c r="G537" s="101">
        <f>D537*E537</f>
        <v>5.043194042623254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50.509951423097981</v>
      </c>
      <c r="AO537">
        <v>12.898899700347926</v>
      </c>
      <c r="AP537">
        <v>135.22654572952683</v>
      </c>
      <c r="AQ537">
        <v>103.49891049206769</v>
      </c>
      <c r="AR537">
        <v>12.2055505468756</v>
      </c>
      <c r="AS537">
        <v>196.02175355832551</v>
      </c>
      <c r="AT537">
        <v>7.9510532114965322</v>
      </c>
      <c r="AU537">
        <v>35.167694657013861</v>
      </c>
      <c r="AV537"/>
      <c r="AW537"/>
      <c r="FY537" s="210">
        <v>532</v>
      </c>
      <c r="FZ537">
        <v>15.350049677572596</v>
      </c>
      <c r="GA537">
        <v>33.054422485746272</v>
      </c>
      <c r="GB537">
        <v>11.554684724800271</v>
      </c>
      <c r="GC537">
        <v>2.0844748264100521</v>
      </c>
      <c r="GD537">
        <v>0.8317485917412113</v>
      </c>
      <c r="GE537">
        <v>0.14225726660651461</v>
      </c>
      <c r="GF537">
        <v>5.9312736960983106</v>
      </c>
      <c r="GG537">
        <v>6.5067947746436063</v>
      </c>
      <c r="GH537">
        <v>2.7244140291507226</v>
      </c>
      <c r="GI537">
        <v>7.5038276452483315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-5.5911875011013565E-2</v>
      </c>
      <c r="I538" s="101">
        <f>AVERAGE(D537:D539)</f>
        <v>50.330532334842673</v>
      </c>
      <c r="J538" s="101">
        <f>I538*H538</f>
        <v>-2.8140744331435004</v>
      </c>
      <c r="K538" s="61">
        <f>J538/(C539-C537)</f>
        <v>-0.10050265832655358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14.053867907316183</v>
      </c>
      <c r="AO538">
        <v>3.9909658481139116</v>
      </c>
      <c r="AP538">
        <v>39.67613168256149</v>
      </c>
      <c r="AQ538">
        <v>28.013074833789418</v>
      </c>
      <c r="AR538">
        <v>3.9322154607862267</v>
      </c>
      <c r="AS538">
        <v>54.659453775477736</v>
      </c>
      <c r="AT538" t="e">
        <v>#DIV/0!</v>
      </c>
      <c r="AU538" t="e">
        <v>#DIV/0!</v>
      </c>
      <c r="AV538"/>
      <c r="AW538"/>
      <c r="FY538" s="210">
        <v>533</v>
      </c>
      <c r="FZ538">
        <v>13.348568902118043</v>
      </c>
      <c r="GA538">
        <v>30.258471208354003</v>
      </c>
      <c r="GB538">
        <v>8.721411866617796</v>
      </c>
      <c r="GC538">
        <v>1.3589870409364986</v>
      </c>
      <c r="GD538">
        <v>0.88920415419156096</v>
      </c>
      <c r="GE538">
        <v>1.4499687236065399</v>
      </c>
      <c r="GF538">
        <v>4.5776151045127342</v>
      </c>
      <c r="GG538">
        <v>2.2651417681332449</v>
      </c>
      <c r="GH538">
        <v>1.1624742067571674</v>
      </c>
      <c r="GI538">
        <v>5.8915894790373429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60.311447811447799</v>
      </c>
      <c r="E539" s="108">
        <f>E409</f>
        <v>6.907553342812417E-2</v>
      </c>
      <c r="F539" s="102"/>
      <c r="G539" s="101">
        <f>D539*E539</f>
        <v>4.1660454293982285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31.728074256522529</v>
      </c>
      <c r="AO539">
        <v>10.806341314362889</v>
      </c>
      <c r="AP539">
        <v>112.90401705367429</v>
      </c>
      <c r="AQ539">
        <v>81.200721327480053</v>
      </c>
      <c r="AR539">
        <v>10.084067705384832</v>
      </c>
      <c r="AS539">
        <v>147.53232997036389</v>
      </c>
      <c r="AT539">
        <v>6.9241391564884438</v>
      </c>
      <c r="AU539">
        <v>53.717634631801936</v>
      </c>
      <c r="AV539"/>
      <c r="AW539"/>
      <c r="FY539" s="210">
        <v>534</v>
      </c>
      <c r="FZ539">
        <v>12.521643950364664</v>
      </c>
      <c r="GA539">
        <v>35.520220366823537</v>
      </c>
      <c r="GB539">
        <v>11.426886990185203</v>
      </c>
      <c r="GC539">
        <v>0.97544944646239617</v>
      </c>
      <c r="GD539">
        <v>0.53466996945629841</v>
      </c>
      <c r="GE539">
        <v>2.0558539793455489E-3</v>
      </c>
      <c r="GF539">
        <v>3.4653163941468206</v>
      </c>
      <c r="GG539">
        <v>4.1555121435033504</v>
      </c>
      <c r="GH539">
        <v>2.4945228811557567</v>
      </c>
      <c r="GI539">
        <v>6.2512822296400063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5.7983023951304724E-2</v>
      </c>
      <c r="I540" s="101">
        <f>AVERAGE(D539:D541)</f>
        <v>33.801557239057232</v>
      </c>
      <c r="J540" s="101">
        <f>I540*H540</f>
        <v>1.9599165029836529</v>
      </c>
      <c r="K540" s="61">
        <f>J540/(C541-C539)</f>
        <v>8.1663187624318873E-2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61.768101737821574</v>
      </c>
      <c r="AO540">
        <v>14.324514273134998</v>
      </c>
      <c r="AP540">
        <v>150.78738729213524</v>
      </c>
      <c r="AQ540">
        <v>118.30408119229139</v>
      </c>
      <c r="AR540">
        <v>13.499451968798631</v>
      </c>
      <c r="AS540">
        <v>179.89481751053009</v>
      </c>
      <c r="AT540">
        <v>8.7929201263810217</v>
      </c>
      <c r="AU540">
        <v>80.521560353735396</v>
      </c>
      <c r="AV540"/>
      <c r="AW540"/>
      <c r="FY540" s="210">
        <v>535</v>
      </c>
      <c r="FZ540">
        <v>12.911190802546475</v>
      </c>
      <c r="GA540">
        <v>35.360224985590037</v>
      </c>
      <c r="GB540">
        <v>13.565746966467394</v>
      </c>
      <c r="GC540">
        <v>2.6098792396850454</v>
      </c>
      <c r="GD540">
        <v>1.0453106247545616</v>
      </c>
      <c r="GE540">
        <v>1.7283156948815326</v>
      </c>
      <c r="GF540">
        <v>3.4798578597998393</v>
      </c>
      <c r="GG540">
        <v>1.4200541144273304</v>
      </c>
      <c r="GH540">
        <v>1.5038724992891495</v>
      </c>
      <c r="GI540">
        <v>7.0603805356254865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7.2916666666666652</v>
      </c>
      <c r="E541" s="108">
        <f>E410</f>
        <v>0.12705855737942889</v>
      </c>
      <c r="F541" s="102"/>
      <c r="G541" s="101">
        <f>D541*E541</f>
        <v>0.92646864755833547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16.675527960226241</v>
      </c>
      <c r="AO541">
        <v>6.9610270296187293</v>
      </c>
      <c r="AP541">
        <v>73.518182147369231</v>
      </c>
      <c r="AQ541">
        <v>49.47770721558021</v>
      </c>
      <c r="AR541">
        <v>6.8912906245386631</v>
      </c>
      <c r="AS541">
        <v>72.241337941777232</v>
      </c>
      <c r="AT541" t="e">
        <v>#DIV/0!</v>
      </c>
      <c r="AU541" t="e">
        <v>#DIV/0!</v>
      </c>
      <c r="AV541"/>
      <c r="AW541"/>
      <c r="FY541" s="210">
        <v>536</v>
      </c>
      <c r="FZ541">
        <v>12.843649731767036</v>
      </c>
      <c r="GA541">
        <v>30.990322046478674</v>
      </c>
      <c r="GB541">
        <v>10.635107073532081</v>
      </c>
      <c r="GC541">
        <v>1.8330434983994626</v>
      </c>
      <c r="GD541">
        <v>0.50096584260696586</v>
      </c>
      <c r="GE541">
        <v>1.3097673109793708</v>
      </c>
      <c r="GF541">
        <v>2.9071717973787643</v>
      </c>
      <c r="GG541">
        <v>1.0195596906542457</v>
      </c>
      <c r="GH541">
        <v>2.3115623212022323</v>
      </c>
      <c r="GI541">
        <v>5.9164325593928329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0.48286127216933611</v>
      </c>
      <c r="I542" s="101">
        <f>AVERAGE(D541:D543)</f>
        <v>7.5520833333333321</v>
      </c>
      <c r="J542" s="101">
        <f>I542*H542</f>
        <v>3.6466085658621732</v>
      </c>
      <c r="K542" s="61">
        <f>J542/(C543-C541)</f>
        <v>7.597101178879527E-2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35.294725529100539</v>
      </c>
      <c r="AO542">
        <v>10.947099291897326</v>
      </c>
      <c r="AP542">
        <v>116.86525742416842</v>
      </c>
      <c r="AQ542">
        <v>86.395551756009922</v>
      </c>
      <c r="AR542">
        <v>10.414935520621047</v>
      </c>
      <c r="AS542">
        <v>134.49067874624382</v>
      </c>
      <c r="AT542" t="e">
        <v>#DIV/0!</v>
      </c>
      <c r="AU542" t="e">
        <v>#DIV/0!</v>
      </c>
      <c r="AV542"/>
      <c r="AW542"/>
      <c r="FY542" s="210">
        <v>537</v>
      </c>
      <c r="FZ542">
        <v>20.558341788895156</v>
      </c>
      <c r="GA542">
        <v>39.297571869932973</v>
      </c>
      <c r="GB542">
        <v>10.349869920262748</v>
      </c>
      <c r="GC542">
        <v>2.3743443148050822</v>
      </c>
      <c r="GD542">
        <v>0.83616984525861648</v>
      </c>
      <c r="GE542">
        <v>2.0558539793455489E-3</v>
      </c>
      <c r="GF542">
        <v>3.4112927128420463</v>
      </c>
      <c r="GG542">
        <v>3.1789326641056963</v>
      </c>
      <c r="GH542">
        <v>0.5812371033785837</v>
      </c>
      <c r="GI542">
        <v>6.9700937692540448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7.8125</v>
      </c>
      <c r="E543" s="108">
        <f>E411</f>
        <v>0.609919829548765</v>
      </c>
      <c r="F543" s="102"/>
      <c r="G543" s="101">
        <f>D543*E543</f>
        <v>4.764998668349727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17.706481481481482</v>
      </c>
      <c r="AO543">
        <v>7.1645675950680641</v>
      </c>
      <c r="AP543">
        <v>74.270101214629619</v>
      </c>
      <c r="AQ543">
        <v>49.591701814950483</v>
      </c>
      <c r="AR543">
        <v>7.0550197795995953</v>
      </c>
      <c r="AS543">
        <v>75.381282622597539</v>
      </c>
      <c r="AT543" t="e">
        <v>#DIV/0!</v>
      </c>
      <c r="AU543" t="e">
        <v>#DIV/0!</v>
      </c>
      <c r="AV543"/>
      <c r="AW543"/>
      <c r="FY543" s="210">
        <v>538</v>
      </c>
      <c r="FZ543">
        <v>3.969090408977876</v>
      </c>
      <c r="GA543">
        <v>17.372692256925014</v>
      </c>
      <c r="GB543">
        <v>8.2654732051928015</v>
      </c>
      <c r="GC543">
        <v>1.2732225468664584</v>
      </c>
      <c r="GD543">
        <v>0.40436135689603719</v>
      </c>
      <c r="GE543">
        <v>1.3097673109793708</v>
      </c>
      <c r="GF543">
        <v>5.0232709693056252</v>
      </c>
      <c r="GG543">
        <v>3.585000644779428</v>
      </c>
      <c r="GH543">
        <v>2.6094684551532397</v>
      </c>
      <c r="GI543">
        <v>4.4711118612543661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0.24379992266955586</v>
      </c>
      <c r="I544" s="101">
        <f>AVERAGE(D543:D545)</f>
        <v>13.802083333333332</v>
      </c>
      <c r="J544" s="101">
        <f>I544*H544</f>
        <v>3.364946849345432</v>
      </c>
      <c r="K544" s="61">
        <f>J544/(C545-C543)</f>
        <v>5.3411854751514797E-2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37.649470899470899</v>
      </c>
      <c r="AO544">
        <v>10.606627126351762</v>
      </c>
      <c r="AP544">
        <v>104.76612940213535</v>
      </c>
      <c r="AQ544">
        <v>77.929466584734428</v>
      </c>
      <c r="AR544">
        <v>10.000300936099359</v>
      </c>
      <c r="AS544">
        <v>161.21540464302262</v>
      </c>
      <c r="AT544">
        <v>6.7535331138484862</v>
      </c>
      <c r="AU544">
        <v>29.920226607270244</v>
      </c>
      <c r="AV544"/>
      <c r="AW544"/>
      <c r="FY544" s="210">
        <v>539</v>
      </c>
      <c r="FZ544">
        <v>21.549434710685709</v>
      </c>
      <c r="GA544">
        <v>39.484243099211596</v>
      </c>
      <c r="GB544">
        <v>9.4754098265593587</v>
      </c>
      <c r="GC544">
        <v>1.3674393796723163</v>
      </c>
      <c r="GD544">
        <v>0.59267780668441938</v>
      </c>
      <c r="GE544">
        <v>0.28245867923368362</v>
      </c>
      <c r="GF544">
        <v>4.0633940927620511</v>
      </c>
      <c r="GG544">
        <v>6.8418555491872173</v>
      </c>
      <c r="GH544">
        <v>6.2810407075895949</v>
      </c>
      <c r="GI544">
        <v>7.8517607619693184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19.791666666666664</v>
      </c>
      <c r="E545" s="108">
        <f>E412</f>
        <v>0.85371975221832086</v>
      </c>
      <c r="F545" s="102"/>
      <c r="G545" s="101">
        <f>D545*E545</f>
        <v>16.896536762654264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26.169261425834698</v>
      </c>
      <c r="AO545">
        <v>11.292174995420758</v>
      </c>
      <c r="AP545">
        <v>121.59343103871819</v>
      </c>
      <c r="AQ545">
        <v>81.907657155824424</v>
      </c>
      <c r="AR545">
        <v>11.038250264736984</v>
      </c>
      <c r="AS545">
        <v>155.65762623422268</v>
      </c>
      <c r="AT545" t="e">
        <v>#DIV/0!</v>
      </c>
      <c r="AU545" t="e">
        <v>#DIV/0!</v>
      </c>
      <c r="AV545"/>
      <c r="AW545"/>
      <c r="FY545" s="210">
        <v>540</v>
      </c>
      <c r="FZ545">
        <v>3.7500839229217093</v>
      </c>
      <c r="GA545">
        <v>29.528279340391087</v>
      </c>
      <c r="GB545">
        <v>17.888677330005741</v>
      </c>
      <c r="GC545">
        <v>3.4430120319874828</v>
      </c>
      <c r="GD545">
        <v>0.90444532369626951</v>
      </c>
      <c r="GE545">
        <v>2.0558539793455489E-3</v>
      </c>
      <c r="GF545">
        <v>0.22282793239644536</v>
      </c>
      <c r="GG545">
        <v>2.2242701131362184</v>
      </c>
      <c r="GH545">
        <v>3.471787170710261</v>
      </c>
      <c r="GI545">
        <v>6.3344433926631636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-0.37712584714861147</v>
      </c>
      <c r="I546" s="101">
        <f>AVERAGE(D545:D547)</f>
        <v>10.937499999999998</v>
      </c>
      <c r="J546" s="101">
        <f>I546*H546</f>
        <v>-4.1248139531879371</v>
      </c>
      <c r="K546" s="61">
        <f>J546/(C547-C545)</f>
        <v>-0.10576446033815223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24.161721743295022</v>
      </c>
      <c r="AO546">
        <v>8.1596000478416411</v>
      </c>
      <c r="AP546">
        <v>78.210467460736083</v>
      </c>
      <c r="AQ546">
        <v>55.503318356918449</v>
      </c>
      <c r="AR546">
        <v>7.9699967837607026</v>
      </c>
      <c r="AS546">
        <v>96.433104351935782</v>
      </c>
      <c r="AT546" t="e">
        <v>#DIV/0!</v>
      </c>
      <c r="AU546" t="e">
        <v>#DIV/0!</v>
      </c>
      <c r="AV546"/>
      <c r="AW546"/>
      <c r="FY546" s="210">
        <v>541</v>
      </c>
      <c r="FZ546">
        <v>13.683499551638471</v>
      </c>
      <c r="GA546">
        <v>28.855533509921703</v>
      </c>
      <c r="GB546">
        <v>8.8584198972277264</v>
      </c>
      <c r="GC546">
        <v>1.2773256282827461</v>
      </c>
      <c r="GD546">
        <v>0.75788986558991711</v>
      </c>
      <c r="GE546">
        <v>1.4479128696271943</v>
      </c>
      <c r="GF546">
        <v>7.2410087026665142</v>
      </c>
      <c r="GG546">
        <v>5.7338753638453097</v>
      </c>
      <c r="GH546">
        <v>2.6094684551532397</v>
      </c>
      <c r="GI546">
        <v>6.6962139975341195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2.083333333333333</v>
      </c>
      <c r="E547" s="108">
        <f>E413</f>
        <v>0.47659390506970939</v>
      </c>
      <c r="F547" s="102"/>
      <c r="G547" s="101">
        <f>D547*E547</f>
        <v>0.99290396889522781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45.49326936234263</v>
      </c>
      <c r="AO547">
        <v>10.76770080240053</v>
      </c>
      <c r="AP547">
        <v>113.24063549579421</v>
      </c>
      <c r="AQ547">
        <v>86.944778558262854</v>
      </c>
      <c r="AR547">
        <v>10.326351900450884</v>
      </c>
      <c r="AS547">
        <v>127.66906449937994</v>
      </c>
      <c r="AT547">
        <v>6.7459452919147971</v>
      </c>
      <c r="AU547">
        <v>105.73326220280784</v>
      </c>
      <c r="AV547"/>
      <c r="AW547"/>
      <c r="FY547" s="210">
        <v>542</v>
      </c>
      <c r="FZ547">
        <v>4.2623191614163591</v>
      </c>
      <c r="GA547">
        <v>12.961105031091041</v>
      </c>
      <c r="GB547">
        <v>7.4044659808698254</v>
      </c>
      <c r="GC547">
        <v>1.6658433567177648</v>
      </c>
      <c r="GD547">
        <v>0.35737449148157724</v>
      </c>
      <c r="GE547">
        <v>2.0558539793455489E-3</v>
      </c>
      <c r="GF547">
        <v>5.3872196787878552</v>
      </c>
      <c r="GG547">
        <v>5.3865457650305792</v>
      </c>
      <c r="GH547">
        <v>1.6153796438261656</v>
      </c>
      <c r="GI547">
        <v>4.1386023147002557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0.28736421057565315</v>
      </c>
      <c r="I548" s="101">
        <f>AVERAGE(D547:D549)</f>
        <v>3.6458333333333326</v>
      </c>
      <c r="J548" s="101">
        <f>I548*H548</f>
        <v>1.0476820177237351</v>
      </c>
      <c r="K548" s="61">
        <f>J548/(C549-C547)</f>
        <v>2.7570579413782503E-2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32.400049603174601</v>
      </c>
      <c r="AO548">
        <v>11.341184481460193</v>
      </c>
      <c r="AP548">
        <v>120.22789488309945</v>
      </c>
      <c r="AQ548">
        <v>85.68394771801789</v>
      </c>
      <c r="AR548">
        <v>11.097758536044989</v>
      </c>
      <c r="AS548">
        <v>133.50570786499492</v>
      </c>
      <c r="AT548" t="e">
        <v>#DIV/0!</v>
      </c>
      <c r="AU548" t="e">
        <v>#DIV/0!</v>
      </c>
      <c r="AV548"/>
      <c r="AW548"/>
      <c r="FY548" s="210">
        <v>543</v>
      </c>
      <c r="FZ548">
        <v>22.129171695657078</v>
      </c>
      <c r="GA548">
        <v>50.460018464925646</v>
      </c>
      <c r="GB548">
        <v>14.500148303945975</v>
      </c>
      <c r="GC548">
        <v>1.7334055433649753</v>
      </c>
      <c r="GD548">
        <v>0.76237074348274969</v>
      </c>
      <c r="GE548">
        <v>0.28040282525433813</v>
      </c>
      <c r="GF548">
        <v>2.9212623768363648</v>
      </c>
      <c r="GG548">
        <v>4.554327117138369</v>
      </c>
      <c r="GH548">
        <v>4.4078086589329297</v>
      </c>
      <c r="GI548">
        <v>8.8224199571450583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5.2083333333333321</v>
      </c>
      <c r="E549" s="108">
        <f>E414</f>
        <v>0.76395811564536253</v>
      </c>
      <c r="F549" s="102"/>
      <c r="G549" s="101">
        <f>D549*E549</f>
        <v>3.9789485189862623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33.524602034300301</v>
      </c>
      <c r="AO549">
        <v>8.8890270580088782</v>
      </c>
      <c r="AP549">
        <v>93.59887553021737</v>
      </c>
      <c r="AQ549">
        <v>69.92343245426494</v>
      </c>
      <c r="AR549">
        <v>8.4371737941264815</v>
      </c>
      <c r="AS549">
        <v>151.091373058676</v>
      </c>
      <c r="AT549" t="e">
        <v>#DIV/0!</v>
      </c>
      <c r="AU549" t="e">
        <v>#DIV/0!</v>
      </c>
      <c r="AV549"/>
      <c r="AW549"/>
      <c r="FY549" s="210">
        <v>544</v>
      </c>
      <c r="FZ549">
        <v>23.351406184477266</v>
      </c>
      <c r="GA549">
        <v>31.215151553616828</v>
      </c>
      <c r="GB549">
        <v>4.7293392940703347</v>
      </c>
      <c r="GC549">
        <v>1.204191781709846</v>
      </c>
      <c r="GD549">
        <v>0.69319320419637798</v>
      </c>
      <c r="GE549">
        <v>0.28451453321302922</v>
      </c>
      <c r="GF549">
        <v>2.8386066504209717</v>
      </c>
      <c r="GG549">
        <v>4.2975022235806577</v>
      </c>
      <c r="GH549">
        <v>3.1338273076387462</v>
      </c>
      <c r="GI549">
        <v>6.2012419212779681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-0.76395811564536253</v>
      </c>
      <c r="I550" s="101">
        <f>AVERAGE(D549:D551)</f>
        <v>2.6041666666666661</v>
      </c>
      <c r="J550" s="101">
        <f>I550*H550</f>
        <v>-1.9894742594931312</v>
      </c>
      <c r="K550" s="61">
        <f>J550/(C551-C549)</f>
        <v>4.9753026220850059E-5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31.214864417989418</v>
      </c>
      <c r="AO550">
        <v>9.5678468840893949</v>
      </c>
      <c r="AP550">
        <v>106.9955862298511</v>
      </c>
      <c r="AQ550">
        <v>77.347560225717373</v>
      </c>
      <c r="AR550">
        <v>9.1363851442126442</v>
      </c>
      <c r="AS550">
        <v>109.786522945903</v>
      </c>
      <c r="AT550" t="e">
        <v>#DIV/0!</v>
      </c>
      <c r="AU550" t="e">
        <v>#DIV/0!</v>
      </c>
      <c r="AV550"/>
      <c r="AW550"/>
      <c r="FY550" s="210">
        <v>545</v>
      </c>
      <c r="FZ550">
        <v>13.66544016020285</v>
      </c>
      <c r="GA550">
        <v>27.910748984461907</v>
      </c>
      <c r="GB550">
        <v>8.9131296956302641</v>
      </c>
      <c r="GC550">
        <v>1.558564318897401</v>
      </c>
      <c r="GD550">
        <v>0.57037919897472045</v>
      </c>
      <c r="GE550">
        <v>2.8978815932337341</v>
      </c>
      <c r="GF550">
        <v>7.6725739880018029</v>
      </c>
      <c r="GG550">
        <v>3.5189668140073693</v>
      </c>
      <c r="GH550">
        <v>1.0341425404475817</v>
      </c>
      <c r="GI550">
        <v>6.4571996023006166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36.350843253968257</v>
      </c>
      <c r="AO551">
        <v>10.824523369600508</v>
      </c>
      <c r="AP551">
        <v>112.26779266361677</v>
      </c>
      <c r="AQ551">
        <v>80.68483332306684</v>
      </c>
      <c r="AR551">
        <v>10.275500786403287</v>
      </c>
      <c r="AS551">
        <v>136.99515235438685</v>
      </c>
      <c r="AT551">
        <v>6.7134408621704749</v>
      </c>
      <c r="AU551">
        <v>38.499762102236936</v>
      </c>
      <c r="AV551"/>
      <c r="AW551"/>
      <c r="FY551" s="210">
        <v>546</v>
      </c>
      <c r="FZ551">
        <v>3.6476021019084972</v>
      </c>
      <c r="GA551">
        <v>22.976049381941824</v>
      </c>
      <c r="GB551">
        <v>11.916524219222632</v>
      </c>
      <c r="GC551">
        <v>1.5950612291436805</v>
      </c>
      <c r="GD551">
        <v>0.61284286282520006</v>
      </c>
      <c r="GE551">
        <v>0.14225726660651461</v>
      </c>
      <c r="GF551">
        <v>8.0473728680251728</v>
      </c>
      <c r="GG551">
        <v>7.5531717455207419</v>
      </c>
      <c r="GH551">
        <v>1.3923653547521333</v>
      </c>
      <c r="GI551">
        <v>5.9084370570854885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31.025644841269838</v>
      </c>
      <c r="AO552">
        <v>8.9135187304630037</v>
      </c>
      <c r="AP552">
        <v>95.242172962515937</v>
      </c>
      <c r="AQ552">
        <v>70.267581872391673</v>
      </c>
      <c r="AR552">
        <v>8.4905700937479036</v>
      </c>
      <c r="AS552">
        <v>113.31629123299253</v>
      </c>
      <c r="AT552">
        <v>5.5998798809219714</v>
      </c>
      <c r="AU552">
        <v>24.056329441613983</v>
      </c>
      <c r="AV552"/>
      <c r="AW552"/>
      <c r="FY552" s="210">
        <v>547</v>
      </c>
      <c r="FZ552">
        <v>3.0135741396550952</v>
      </c>
      <c r="GA552">
        <v>20.142350218498567</v>
      </c>
      <c r="GB552">
        <v>9.5103745479775839</v>
      </c>
      <c r="GC552">
        <v>1.1480001105014233</v>
      </c>
      <c r="GD552">
        <v>0.76004761178201252</v>
      </c>
      <c r="GE552">
        <v>0.28245867923368362</v>
      </c>
      <c r="GF552">
        <v>6.7618285372019713</v>
      </c>
      <c r="GG552">
        <v>7.0633336532681366</v>
      </c>
      <c r="GH552">
        <v>4.9378552981280421</v>
      </c>
      <c r="GI552">
        <v>5.6091436932697789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52.486041552636379</v>
      </c>
      <c r="AO553">
        <v>10.565886130681005</v>
      </c>
      <c r="AP553">
        <v>112.92547674271606</v>
      </c>
      <c r="AQ553">
        <v>87.559909842714291</v>
      </c>
      <c r="AR553">
        <v>9.972744186480293</v>
      </c>
      <c r="AS553">
        <v>161.44497729104813</v>
      </c>
      <c r="AT553" t="e">
        <v>#DIV/0!</v>
      </c>
      <c r="AU553" t="e">
        <v>#DIV/0!</v>
      </c>
      <c r="AV553"/>
      <c r="AW553"/>
      <c r="FY553" s="210">
        <v>548</v>
      </c>
      <c r="FZ553">
        <v>6.068129777954228</v>
      </c>
      <c r="GA553">
        <v>23.037350699279326</v>
      </c>
      <c r="GB553">
        <v>12.427771508187099</v>
      </c>
      <c r="GC553">
        <v>3.0786926959296297</v>
      </c>
      <c r="GD553">
        <v>0.93324462170643518</v>
      </c>
      <c r="GE553">
        <v>1.4499687236065399</v>
      </c>
      <c r="GF553">
        <v>5.9171831166407101</v>
      </c>
      <c r="GG553">
        <v>5.0806062480807146</v>
      </c>
      <c r="GH553">
        <v>2.7924290151067641</v>
      </c>
      <c r="GI553">
        <v>6.3664703959462843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13.966483648056922</v>
      </c>
      <c r="AO554">
        <v>6.9279660034917709</v>
      </c>
      <c r="AP554">
        <v>71.983455335163995</v>
      </c>
      <c r="AQ554">
        <v>48.28345901633022</v>
      </c>
      <c r="AR554">
        <v>6.601025061289846</v>
      </c>
      <c r="AS554">
        <v>120.50494630604328</v>
      </c>
      <c r="AT554">
        <v>4.9251705046539653</v>
      </c>
      <c r="AU554">
        <v>-10.257024725403536</v>
      </c>
      <c r="AV554"/>
      <c r="AW554"/>
      <c r="FY554" s="210">
        <v>549</v>
      </c>
      <c r="FZ554">
        <v>21.798339205535729</v>
      </c>
      <c r="GA554">
        <v>46.279122835151249</v>
      </c>
      <c r="GB554">
        <v>14.170324294135552</v>
      </c>
      <c r="GC554">
        <v>2.5190007888307604</v>
      </c>
      <c r="GD554">
        <v>0.71812548683887134</v>
      </c>
      <c r="GE554">
        <v>0.14431312058586016</v>
      </c>
      <c r="GF554">
        <v>0.27685161370122002</v>
      </c>
      <c r="GG554">
        <v>1.931266376057339</v>
      </c>
      <c r="GH554">
        <v>4.296301514395914</v>
      </c>
      <c r="GI554">
        <v>8.0873419425509265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44.463076423097974</v>
      </c>
      <c r="AO555">
        <v>11.911954613367907</v>
      </c>
      <c r="AP555">
        <v>129.59101341159587</v>
      </c>
      <c r="AQ555">
        <v>97.789714613555276</v>
      </c>
      <c r="AR555">
        <v>11.448684549374473</v>
      </c>
      <c r="AS555">
        <v>162.74858510509273</v>
      </c>
      <c r="AT555" t="e">
        <v>#DIV/0!</v>
      </c>
      <c r="AU555" t="e">
        <v>#DIV/0!</v>
      </c>
      <c r="AV555"/>
      <c r="AW555"/>
      <c r="FY555" s="210">
        <v>550</v>
      </c>
      <c r="FZ555">
        <v>14.210128642190702</v>
      </c>
      <c r="GA555">
        <v>41.910788814856801</v>
      </c>
      <c r="GB555">
        <v>14.460568305067916</v>
      </c>
      <c r="GC555">
        <v>1.2924704779260467</v>
      </c>
      <c r="GD555">
        <v>0.629621412687698</v>
      </c>
      <c r="GE555">
        <v>2.7556243266272196</v>
      </c>
      <c r="GF555">
        <v>6.7082557420926134</v>
      </c>
      <c r="GG555">
        <v>2.4351588430840816</v>
      </c>
      <c r="GH555">
        <v>2.0851096026677332</v>
      </c>
      <c r="GI555">
        <v>7.9650216434969972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8.259878478152789</v>
      </c>
      <c r="H556" s="63" t="s">
        <v>103</v>
      </c>
      <c r="I556" s="123">
        <f>SUM(J532:J552)+G531</f>
        <v>42.275866330916486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28.229446611019888</v>
      </c>
      <c r="AO556">
        <v>9.7417156750893401</v>
      </c>
      <c r="AP556">
        <v>100.97712540573485</v>
      </c>
      <c r="AQ556">
        <v>67.769882411887735</v>
      </c>
      <c r="AR556">
        <v>9.3858406526458431</v>
      </c>
      <c r="AS556">
        <v>126.15964253774428</v>
      </c>
      <c r="AT556" t="e">
        <v>#DIV/0!</v>
      </c>
      <c r="AU556" t="e">
        <v>#DIV/0!</v>
      </c>
      <c r="AV556"/>
      <c r="AW556"/>
      <c r="FY556" s="210">
        <v>551</v>
      </c>
      <c r="FZ556">
        <v>4.4920689707645032</v>
      </c>
      <c r="GA556">
        <v>19.852459261042181</v>
      </c>
      <c r="GB556">
        <v>10.148645339937076</v>
      </c>
      <c r="GC556">
        <v>1.625405599593726</v>
      </c>
      <c r="GD556">
        <v>0.67802470801579073</v>
      </c>
      <c r="GE556">
        <v>1.4540804315652309</v>
      </c>
      <c r="GF556">
        <v>3.4798578597998393</v>
      </c>
      <c r="GG556">
        <v>2.1795861060513539</v>
      </c>
      <c r="GH556">
        <v>1.913285777777173</v>
      </c>
      <c r="GI556">
        <v>4.7107810971833128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32.878768700966972</v>
      </c>
      <c r="AO557">
        <v>10.04702441057862</v>
      </c>
      <c r="AP557">
        <v>105.29397831847321</v>
      </c>
      <c r="AQ557">
        <v>77.161147841486937</v>
      </c>
      <c r="AR557">
        <v>9.6575281795122212</v>
      </c>
      <c r="AS557">
        <v>126.70811024188139</v>
      </c>
      <c r="AT557">
        <v>6.5473200209448734</v>
      </c>
      <c r="AU557">
        <v>37.805782375724689</v>
      </c>
      <c r="AV557"/>
      <c r="AW557"/>
      <c r="FY557" s="210">
        <v>552</v>
      </c>
      <c r="FZ557">
        <v>5.1768146077923767</v>
      </c>
      <c r="GA557">
        <v>18.296906346063651</v>
      </c>
      <c r="GB557">
        <v>9.4515961120422602</v>
      </c>
      <c r="GC557">
        <v>1.8626085352528901</v>
      </c>
      <c r="GD557">
        <v>0.76091100740752426</v>
      </c>
      <c r="GE557">
        <v>1.3097673109793708</v>
      </c>
      <c r="GF557">
        <v>3.8714900432879551</v>
      </c>
      <c r="GG557">
        <v>2.3528484283490467</v>
      </c>
      <c r="GH557">
        <v>3.430544369378425</v>
      </c>
      <c r="GI557">
        <v>5.0043119955376492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18.588721264367813</v>
      </c>
      <c r="AO558">
        <v>6.1765353935119425</v>
      </c>
      <c r="AP558">
        <v>63.205549475156616</v>
      </c>
      <c r="AQ558">
        <v>43.180911277900776</v>
      </c>
      <c r="AR558">
        <v>6.0916780924074239</v>
      </c>
      <c r="AS558">
        <v>91.350027923512272</v>
      </c>
      <c r="AT558" t="e">
        <v>#DIV/0!</v>
      </c>
      <c r="AU558" t="e">
        <v>#DIV/0!</v>
      </c>
      <c r="AV558"/>
      <c r="AW558"/>
      <c r="FY558" s="210">
        <v>553</v>
      </c>
      <c r="FZ558">
        <v>12.710782203356459</v>
      </c>
      <c r="GA558">
        <v>32.834984848034395</v>
      </c>
      <c r="GB558">
        <v>12.796774022219068</v>
      </c>
      <c r="GC558">
        <v>2.0954618446597291</v>
      </c>
      <c r="GD558">
        <v>0.48355528148509319</v>
      </c>
      <c r="GE558">
        <v>2.6195346219587416</v>
      </c>
      <c r="GF558">
        <v>4.7609608212574228</v>
      </c>
      <c r="GG558">
        <v>1.7069234393706503</v>
      </c>
      <c r="GH558">
        <v>4.4547392469743716</v>
      </c>
      <c r="GI558">
        <v>7.1602780461677265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5.1182189232850455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50.447550629447178</v>
      </c>
      <c r="AO559">
        <v>13.488127917565331</v>
      </c>
      <c r="AP559">
        <v>149.49561700642525</v>
      </c>
      <c r="AQ559">
        <v>110.5713356866835</v>
      </c>
      <c r="AR559">
        <v>12.889357223099804</v>
      </c>
      <c r="AS559">
        <v>198.86174003123008</v>
      </c>
      <c r="AT559" t="e">
        <v>#DIV/0!</v>
      </c>
      <c r="AU559" t="e">
        <v>#DIV/0!</v>
      </c>
      <c r="AV559"/>
      <c r="AW559"/>
      <c r="FY559" s="210">
        <v>554</v>
      </c>
      <c r="FZ559">
        <v>14.801050613781497</v>
      </c>
      <c r="GA559">
        <v>30.626804599314834</v>
      </c>
      <c r="GB559">
        <v>10.252133254190374</v>
      </c>
      <c r="GC559">
        <v>1.5305332375148901</v>
      </c>
      <c r="GD559">
        <v>0.44784398137277115</v>
      </c>
      <c r="GE559">
        <v>2.6195346219587416</v>
      </c>
      <c r="GF559">
        <v>8.1722535340994682</v>
      </c>
      <c r="GG559">
        <v>4.3758048786238373</v>
      </c>
      <c r="GH559">
        <v>2.2680701626212576</v>
      </c>
      <c r="GI559">
        <v>7.0814846636759929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40.788838145411418</v>
      </c>
      <c r="AO560">
        <v>9.199040821982198</v>
      </c>
      <c r="AP560">
        <v>98.325601876911307</v>
      </c>
      <c r="AQ560">
        <v>77.948974654202019</v>
      </c>
      <c r="AR560">
        <v>8.97148819420058</v>
      </c>
      <c r="AS560">
        <v>143.82429443847016</v>
      </c>
      <c r="AT560" t="e">
        <v>#DIV/0!</v>
      </c>
      <c r="AU560" t="e">
        <v>#DIV/0!</v>
      </c>
      <c r="AV560"/>
      <c r="AW560"/>
      <c r="FY560" s="210">
        <v>555</v>
      </c>
      <c r="FZ560">
        <v>4.7182052433166861</v>
      </c>
      <c r="GA560">
        <v>14.607305372165584</v>
      </c>
      <c r="GB560">
        <v>8.6405915658660799</v>
      </c>
      <c r="GC560">
        <v>2.3036486232369024</v>
      </c>
      <c r="GD560">
        <v>0.83315369408569517</v>
      </c>
      <c r="GE560">
        <v>1.4479128696271943</v>
      </c>
      <c r="GF560">
        <v>7.2410087026665151</v>
      </c>
      <c r="GG560">
        <v>4.8043262972704506</v>
      </c>
      <c r="GH560">
        <v>0.5812371033785837</v>
      </c>
      <c r="GI560">
        <v>4.9534322201791579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31.666532110928653</v>
      </c>
      <c r="AO561">
        <v>9.8806156517214312</v>
      </c>
      <c r="AP561">
        <v>101.53863375261959</v>
      </c>
      <c r="AQ561">
        <v>74.199026896158244</v>
      </c>
      <c r="AR561">
        <v>9.2331668019159778</v>
      </c>
      <c r="AS561">
        <v>109.71078105091775</v>
      </c>
      <c r="AT561">
        <v>6.6082991519176604</v>
      </c>
      <c r="AU561">
        <v>86.941513819396093</v>
      </c>
      <c r="AV561"/>
      <c r="AW561"/>
      <c r="FY561" s="210">
        <v>556</v>
      </c>
      <c r="FZ561">
        <v>22.969258594003151</v>
      </c>
      <c r="GA561">
        <v>36.836419014745502</v>
      </c>
      <c r="GB561">
        <v>10.240873938701927</v>
      </c>
      <c r="GC561">
        <v>2.4531422030755823</v>
      </c>
      <c r="GD561">
        <v>0.46298921025216461</v>
      </c>
      <c r="GE561">
        <v>0.28245867923368362</v>
      </c>
      <c r="GF561">
        <v>2.1701228532316357</v>
      </c>
      <c r="GG561">
        <v>3.2925396667513231</v>
      </c>
      <c r="GH561">
        <v>3.7585565695983041</v>
      </c>
      <c r="GI561">
        <v>7.389952851723109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24.923839171684001</v>
      </c>
      <c r="AO562">
        <v>9.0623352803095454</v>
      </c>
      <c r="AP562">
        <v>95.986708345267374</v>
      </c>
      <c r="AQ562">
        <v>63.791684087031875</v>
      </c>
      <c r="AR562">
        <v>8.7828809091784965</v>
      </c>
      <c r="AS562">
        <v>122.51122063969314</v>
      </c>
      <c r="AT562" t="e">
        <v>#DIV/0!</v>
      </c>
      <c r="AU562" t="e">
        <v>#DIV/0!</v>
      </c>
      <c r="AV562"/>
      <c r="AW562"/>
      <c r="FY562" s="210">
        <v>557</v>
      </c>
      <c r="FZ562">
        <v>22.114686061721862</v>
      </c>
      <c r="GA562">
        <v>44.926607132375622</v>
      </c>
      <c r="GB562">
        <v>12.232918579525005</v>
      </c>
      <c r="GC562">
        <v>2.2905885833761928</v>
      </c>
      <c r="GD562">
        <v>0.96376756300745536</v>
      </c>
      <c r="GE562">
        <v>0.28862624117172031</v>
      </c>
      <c r="GF562">
        <v>1.2951935409151849</v>
      </c>
      <c r="GG562">
        <v>3.0621047598034203</v>
      </c>
      <c r="GH562">
        <v>6.0300651616800289</v>
      </c>
      <c r="GI562">
        <v>8.266957081952782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17.313590129538404</v>
      </c>
      <c r="AO563">
        <v>8.4440445008995351</v>
      </c>
      <c r="AP563">
        <v>89.293195474587719</v>
      </c>
      <c r="AQ563">
        <v>59.228966489516296</v>
      </c>
      <c r="AR563">
        <v>8.4172224439893242</v>
      </c>
      <c r="AS563">
        <v>84.729358753200884</v>
      </c>
      <c r="AT563" t="e">
        <v>#DIV/0!</v>
      </c>
      <c r="AU563" t="e">
        <v>#DIV/0!</v>
      </c>
      <c r="AV563"/>
      <c r="AW563"/>
      <c r="FY563" s="210">
        <v>558</v>
      </c>
      <c r="FZ563">
        <v>22.284545353712321</v>
      </c>
      <c r="GA563">
        <v>38.288384892056101</v>
      </c>
      <c r="GB563">
        <v>9.845113013283072</v>
      </c>
      <c r="GC563">
        <v>2.0906224223862346</v>
      </c>
      <c r="GD563">
        <v>0.61752369998382295</v>
      </c>
      <c r="GE563">
        <v>2.7597360345859103</v>
      </c>
      <c r="GF563">
        <v>5.8333264297761627</v>
      </c>
      <c r="GG563">
        <v>3.7237879193842263</v>
      </c>
      <c r="GH563">
        <v>4.7091532223444048</v>
      </c>
      <c r="GI563">
        <v>8.1029908613687773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25.575063856960412</v>
      </c>
      <c r="AO564">
        <v>9.8983019799680498</v>
      </c>
      <c r="AP564">
        <v>97.558092773141766</v>
      </c>
      <c r="AQ564">
        <v>67.151846802437731</v>
      </c>
      <c r="AR564">
        <v>9.3315907981534174</v>
      </c>
      <c r="AS564">
        <v>117.39526933657913</v>
      </c>
      <c r="AT564">
        <v>6.4094296616913873</v>
      </c>
      <c r="AU564">
        <v>-3.460457842674062</v>
      </c>
      <c r="AV564"/>
      <c r="AW564"/>
      <c r="FY564" s="210">
        <v>559</v>
      </c>
      <c r="FZ564">
        <v>25.024514533154651</v>
      </c>
      <c r="GA564">
        <v>40.989909956751092</v>
      </c>
      <c r="GB564">
        <v>10.231445411340449</v>
      </c>
      <c r="GC564">
        <v>2.0458710871903421</v>
      </c>
      <c r="GD564">
        <v>0.69382693634335291</v>
      </c>
      <c r="GE564">
        <v>0</v>
      </c>
      <c r="GF564">
        <v>2.3485763144152907</v>
      </c>
      <c r="GG564">
        <v>3.8137985434636117</v>
      </c>
      <c r="GH564">
        <v>2.4376446302626795</v>
      </c>
      <c r="GI564">
        <v>7.6256089414155124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48.712945288268557</v>
      </c>
      <c r="AO565">
        <v>12.242030686771551</v>
      </c>
      <c r="AP565">
        <v>133.67135954613923</v>
      </c>
      <c r="AQ565">
        <v>100.22098717778343</v>
      </c>
      <c r="AR565">
        <v>11.768528258119632</v>
      </c>
      <c r="AS565">
        <v>162.84970883413783</v>
      </c>
      <c r="AT565" t="e">
        <v>#DIV/0!</v>
      </c>
      <c r="AU565" t="e">
        <v>#DIV/0!</v>
      </c>
      <c r="AV565"/>
      <c r="AW565"/>
      <c r="FY565" s="210">
        <v>560</v>
      </c>
      <c r="FZ565">
        <v>13.302567440764301</v>
      </c>
      <c r="GA565">
        <v>31.80220324975231</v>
      </c>
      <c r="GB565">
        <v>9.7472768724867223</v>
      </c>
      <c r="GC565">
        <v>1.2216508246463369</v>
      </c>
      <c r="GD565">
        <v>0.70590063631871769</v>
      </c>
      <c r="GE565">
        <v>1.5901701362337088</v>
      </c>
      <c r="GF565">
        <v>5.3191054180254795</v>
      </c>
      <c r="GG565">
        <v>3.9133268256448943</v>
      </c>
      <c r="GH565">
        <v>2.7244140291507226</v>
      </c>
      <c r="GI565">
        <v>6.4364699108240817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34.665079365079364</v>
      </c>
      <c r="AO566">
        <v>12.15488927803964</v>
      </c>
      <c r="AP566">
        <v>131.58536956180004</v>
      </c>
      <c r="AQ566">
        <v>94.452747810697801</v>
      </c>
      <c r="AR566">
        <v>11.443079230383162</v>
      </c>
      <c r="AS566">
        <v>132.94917081164502</v>
      </c>
      <c r="AT566">
        <v>7.2660358191926759</v>
      </c>
      <c r="AU566">
        <v>28.211934931500185</v>
      </c>
      <c r="AV566"/>
      <c r="AW566"/>
      <c r="FY566" s="210">
        <v>561</v>
      </c>
      <c r="FZ566">
        <v>3.1344738218673296</v>
      </c>
      <c r="GA566">
        <v>12.540991117763015</v>
      </c>
      <c r="GB566">
        <v>6.4043625074062804</v>
      </c>
      <c r="GC566">
        <v>1.6286032323545183</v>
      </c>
      <c r="GD566">
        <v>0.58015993500765517</v>
      </c>
      <c r="GE566">
        <v>0</v>
      </c>
      <c r="GF566">
        <v>7.849936571822882</v>
      </c>
      <c r="GG566">
        <v>8.8843338307718387</v>
      </c>
      <c r="GH566">
        <v>3.6035572664803137</v>
      </c>
      <c r="GI566">
        <v>4.642001616158721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20.621576240649517</v>
      </c>
      <c r="AO567">
        <v>7.13160121756062</v>
      </c>
      <c r="AP567">
        <v>72.781304587952704</v>
      </c>
      <c r="AQ567">
        <v>50.534195151730195</v>
      </c>
      <c r="AR567">
        <v>6.8096541675334885</v>
      </c>
      <c r="AS567">
        <v>82.866062527927198</v>
      </c>
      <c r="AT567">
        <v>4.4287492748065196</v>
      </c>
      <c r="AU567">
        <v>0.33882281377137602</v>
      </c>
      <c r="AV567"/>
      <c r="AW567"/>
      <c r="FY567" s="210">
        <v>562</v>
      </c>
      <c r="FZ567">
        <v>13.484265350112988</v>
      </c>
      <c r="GA567">
        <v>30.512501721387849</v>
      </c>
      <c r="GB567">
        <v>12.109860572289403</v>
      </c>
      <c r="GC567">
        <v>2.5482675075825099</v>
      </c>
      <c r="GD567">
        <v>0.71409394053070852</v>
      </c>
      <c r="GE567">
        <v>0.28040282525433813</v>
      </c>
      <c r="GF567">
        <v>3.7421680078480408</v>
      </c>
      <c r="GG567">
        <v>3.9781996196394553</v>
      </c>
      <c r="GH567">
        <v>2.0717235103556306</v>
      </c>
      <c r="GI567">
        <v>6.7164630839059578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19.427794312169311</v>
      </c>
      <c r="AO568">
        <v>7.3121147438059966</v>
      </c>
      <c r="AP568">
        <v>73.528414766561554</v>
      </c>
      <c r="AQ568">
        <v>51.517798756091139</v>
      </c>
      <c r="AR568">
        <v>7.2247778118512649</v>
      </c>
      <c r="AS568">
        <v>97.882172460616758</v>
      </c>
      <c r="AT568">
        <v>4.8291378866982013</v>
      </c>
      <c r="AU568">
        <v>-3.7016922842302806</v>
      </c>
      <c r="AV568"/>
      <c r="AW568"/>
      <c r="FY568" s="210">
        <v>563</v>
      </c>
      <c r="FZ568">
        <v>11.794774813765258</v>
      </c>
      <c r="GA568">
        <v>26.128219266776931</v>
      </c>
      <c r="GB568">
        <v>9.9827364165250767</v>
      </c>
      <c r="GC568">
        <v>2.4370114545265436</v>
      </c>
      <c r="GD568">
        <v>0.70378345670514464</v>
      </c>
      <c r="GE568">
        <v>1.5881142822543635</v>
      </c>
      <c r="GF568">
        <v>5.5229505154032914</v>
      </c>
      <c r="GG568">
        <v>4.6118557843467318</v>
      </c>
      <c r="GH568">
        <v>4.0698487958614145</v>
      </c>
      <c r="GI568">
        <v>6.5278698418396797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35.613274835796389</v>
      </c>
      <c r="AO569">
        <v>10.687754020776575</v>
      </c>
      <c r="AP569">
        <v>112.01093642865064</v>
      </c>
      <c r="AQ569">
        <v>81.623994375483676</v>
      </c>
      <c r="AR569">
        <v>10.205069743128844</v>
      </c>
      <c r="AS569">
        <v>141.74520800134007</v>
      </c>
      <c r="AT569">
        <v>6.6821689123847925</v>
      </c>
      <c r="AU569">
        <v>12.601069069387583</v>
      </c>
      <c r="AV569"/>
      <c r="AW569"/>
      <c r="FY569" s="210">
        <v>564</v>
      </c>
      <c r="FZ569">
        <v>12.609379705537394</v>
      </c>
      <c r="GA569">
        <v>29.355231411610113</v>
      </c>
      <c r="GB569">
        <v>9.4962746014475972</v>
      </c>
      <c r="GC569">
        <v>1.7330540307010418</v>
      </c>
      <c r="GD569">
        <v>1.0072784510332791</v>
      </c>
      <c r="GE569">
        <v>0.56080565050867626</v>
      </c>
      <c r="GF569">
        <v>2.9212623768363648</v>
      </c>
      <c r="GG569">
        <v>4.554327117138369</v>
      </c>
      <c r="GH569">
        <v>3.826571555554346</v>
      </c>
      <c r="GI569">
        <v>6.1128886345824043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39.444475232621784</v>
      </c>
      <c r="AO570">
        <v>10.537251454953418</v>
      </c>
      <c r="AP570">
        <v>109.79365774417806</v>
      </c>
      <c r="AQ570">
        <v>82.175513547153656</v>
      </c>
      <c r="AR570">
        <v>9.9598582030336829</v>
      </c>
      <c r="AS570">
        <v>146.76294991370037</v>
      </c>
      <c r="AT570">
        <v>6.6155878709631644</v>
      </c>
      <c r="AU570">
        <v>26.839100350317253</v>
      </c>
      <c r="AV570"/>
      <c r="AW570"/>
      <c r="FY570" s="210">
        <v>565</v>
      </c>
      <c r="FZ570">
        <v>13.485425079545271</v>
      </c>
      <c r="GA570">
        <v>28.003761989679962</v>
      </c>
      <c r="GB570">
        <v>8.5716530880994952</v>
      </c>
      <c r="GC570">
        <v>1.2810099831979764</v>
      </c>
      <c r="GD570">
        <v>0.49345143764735139</v>
      </c>
      <c r="GE570">
        <v>1.3077114570000252</v>
      </c>
      <c r="GF570">
        <v>6.8371268913371104</v>
      </c>
      <c r="GG570">
        <v>5.3114883573342571</v>
      </c>
      <c r="GH570">
        <v>3.3056511325293063</v>
      </c>
      <c r="GI570">
        <v>6.4270959378910497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26.614631796205071</v>
      </c>
      <c r="AO571">
        <v>7.3458841577987952</v>
      </c>
      <c r="AP571">
        <v>69.971089513060207</v>
      </c>
      <c r="AQ571">
        <v>50.130821691792846</v>
      </c>
      <c r="AR571">
        <v>7.0287670208128796</v>
      </c>
      <c r="AS571">
        <v>107.55223464306681</v>
      </c>
      <c r="AT571" t="e">
        <v>#DIV/0!</v>
      </c>
      <c r="AU571" t="e">
        <v>#DIV/0!</v>
      </c>
      <c r="AV571"/>
      <c r="AW571"/>
      <c r="FY571" s="210">
        <v>566</v>
      </c>
      <c r="FZ571">
        <v>22.206483944583688</v>
      </c>
      <c r="GA571">
        <v>47.03720246967611</v>
      </c>
      <c r="GB571">
        <v>14.474919077466405</v>
      </c>
      <c r="GC571">
        <v>3.1904057122904663</v>
      </c>
      <c r="GD571">
        <v>1.0833238547490616</v>
      </c>
      <c r="GE571">
        <v>1.4540804315652309</v>
      </c>
      <c r="GF571">
        <v>8.0873059698723448</v>
      </c>
      <c r="GG571">
        <v>5.7545157900582939</v>
      </c>
      <c r="GH571">
        <v>1.3889269252916665</v>
      </c>
      <c r="GI571">
        <v>9.6084195984142813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43.474370552818826</v>
      </c>
      <c r="AO572">
        <v>10.948534699399028</v>
      </c>
      <c r="AP572">
        <v>117.19948292646249</v>
      </c>
      <c r="AQ572">
        <v>89.856313581316371</v>
      </c>
      <c r="AR572">
        <v>10.696843675573374</v>
      </c>
      <c r="AS572">
        <v>150.93128229712079</v>
      </c>
      <c r="AT572" t="e">
        <v>#DIV/0!</v>
      </c>
      <c r="AU572" t="e">
        <v>#DIV/0!</v>
      </c>
      <c r="AV572"/>
      <c r="AW572"/>
      <c r="FY572" s="210">
        <v>567</v>
      </c>
      <c r="FZ572">
        <v>13.497148561595234</v>
      </c>
      <c r="GA572">
        <v>23.741449662285142</v>
      </c>
      <c r="GB572">
        <v>7.5611559058099305</v>
      </c>
      <c r="GC572">
        <v>2.2493158514515907</v>
      </c>
      <c r="GD572">
        <v>0.60810888634100324</v>
      </c>
      <c r="GE572">
        <v>1.4499687236065399</v>
      </c>
      <c r="GF572">
        <v>5.0772946506103995</v>
      </c>
      <c r="GG572">
        <v>4.3915630492262459</v>
      </c>
      <c r="GH572">
        <v>3.0188817336412632</v>
      </c>
      <c r="GI572">
        <v>5.860749387810146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47.097518700966972</v>
      </c>
      <c r="AO573">
        <v>12.395419227789963</v>
      </c>
      <c r="AP573">
        <v>133.97945570797</v>
      </c>
      <c r="AQ573">
        <v>101.47151470552926</v>
      </c>
      <c r="AR573">
        <v>12.032240760132591</v>
      </c>
      <c r="AS573">
        <v>158.11961165311618</v>
      </c>
      <c r="AT573" t="e">
        <v>#DIV/0!</v>
      </c>
      <c r="AU573" t="e">
        <v>#DIV/0!</v>
      </c>
      <c r="AV573"/>
      <c r="AW573"/>
      <c r="FY573" s="210">
        <v>568</v>
      </c>
      <c r="FZ573">
        <v>30.414224157967546</v>
      </c>
      <c r="GA573">
        <v>60.49150470772603</v>
      </c>
      <c r="GB573">
        <v>14.200921789173856</v>
      </c>
      <c r="GC573">
        <v>1.8393733912988057</v>
      </c>
      <c r="GD573">
        <v>0.80466752884637061</v>
      </c>
      <c r="GE573">
        <v>2.6174787679793958</v>
      </c>
      <c r="GF573">
        <v>7.4497460556053579</v>
      </c>
      <c r="GG573">
        <v>3.153794834020871</v>
      </c>
      <c r="GH573">
        <v>2.8962378540412832</v>
      </c>
      <c r="GI573">
        <v>10.663640687816763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49.978602216748769</v>
      </c>
      <c r="AO574">
        <v>12.179386330544011</v>
      </c>
      <c r="AP574">
        <v>126.33011209710718</v>
      </c>
      <c r="AQ574">
        <v>98.255183848881032</v>
      </c>
      <c r="AR574">
        <v>11.418433563224935</v>
      </c>
      <c r="AS574">
        <v>192.22014317943265</v>
      </c>
      <c r="AT574">
        <v>7.5695300000548977</v>
      </c>
      <c r="AU574">
        <v>38.362074157709152</v>
      </c>
      <c r="AV574"/>
      <c r="AW574"/>
      <c r="FY574" s="210">
        <v>569</v>
      </c>
      <c r="FZ574">
        <v>12.851914591624862</v>
      </c>
      <c r="GA574">
        <v>35.948949419969011</v>
      </c>
      <c r="GB574">
        <v>13.316064135414795</v>
      </c>
      <c r="GC574">
        <v>1.6277829024399639</v>
      </c>
      <c r="GD574">
        <v>0.66603815053762661</v>
      </c>
      <c r="GE574">
        <v>0.42060423788150719</v>
      </c>
      <c r="GF574">
        <v>1.8488967683176252</v>
      </c>
      <c r="GG574">
        <v>3.9659732372426819</v>
      </c>
      <c r="GH574">
        <v>3.3167878675922711</v>
      </c>
      <c r="GI574">
        <v>6.6911067024655644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49.230768222039771</v>
      </c>
      <c r="AO575">
        <v>11.39547347861658</v>
      </c>
      <c r="AP575">
        <v>123.19857153487786</v>
      </c>
      <c r="AQ575">
        <v>95.211196354336963</v>
      </c>
      <c r="AR575">
        <v>11.008702551607268</v>
      </c>
      <c r="AS575">
        <v>153.31931213626643</v>
      </c>
      <c r="AT575" t="e">
        <v>#DIV/0!</v>
      </c>
      <c r="AU575" t="e">
        <v>#DIV/0!</v>
      </c>
      <c r="AV575"/>
      <c r="AW575"/>
      <c r="FY575" s="210">
        <v>570</v>
      </c>
      <c r="FZ575">
        <v>5.2659019989708504</v>
      </c>
      <c r="GA575">
        <v>19.858251992444977</v>
      </c>
      <c r="GB575">
        <v>9.5109277415651405</v>
      </c>
      <c r="GC575">
        <v>2.0124787649572138</v>
      </c>
      <c r="GD575">
        <v>0.76092124544626727</v>
      </c>
      <c r="GE575">
        <v>1.3097673109793708</v>
      </c>
      <c r="GF575">
        <v>3.4798578597998393</v>
      </c>
      <c r="GG575">
        <v>1.5900711893781669</v>
      </c>
      <c r="GH575">
        <v>3.8188732499518485</v>
      </c>
      <c r="GI575">
        <v>5.0001891972279404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34.084787219485484</v>
      </c>
      <c r="AO576">
        <v>9.7670575103925881</v>
      </c>
      <c r="AP576">
        <v>103.86333229754</v>
      </c>
      <c r="AQ576">
        <v>76.76308534384728</v>
      </c>
      <c r="AR576">
        <v>9.2549258119520577</v>
      </c>
      <c r="AS576">
        <v>123.09120752051996</v>
      </c>
      <c r="AT576">
        <v>6.045281173875666</v>
      </c>
      <c r="AU576">
        <v>26.30306410724463</v>
      </c>
      <c r="AV576"/>
      <c r="AW576"/>
      <c r="FY576" s="210">
        <v>571</v>
      </c>
      <c r="FZ576">
        <v>12.602176440368929</v>
      </c>
      <c r="GA576">
        <v>32.475213715386246</v>
      </c>
      <c r="GB576">
        <v>11.027332458956595</v>
      </c>
      <c r="GC576">
        <v>1.6442903168046736</v>
      </c>
      <c r="GD576">
        <v>0.89656283966880357</v>
      </c>
      <c r="GE576">
        <v>0.56080565050867626</v>
      </c>
      <c r="GF576">
        <v>2.3929507856280807</v>
      </c>
      <c r="GG576">
        <v>2.2181113553104512</v>
      </c>
      <c r="GH576">
        <v>2.5548395615093007</v>
      </c>
      <c r="GI576">
        <v>6.1637893686483265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17.79826388888889</v>
      </c>
      <c r="AO577">
        <v>7.1426723748757635</v>
      </c>
      <c r="AP577">
        <v>71.258563248955426</v>
      </c>
      <c r="AQ577">
        <v>49.268419899632555</v>
      </c>
      <c r="AR577">
        <v>6.8448183550131541</v>
      </c>
      <c r="AS577">
        <v>86.961801769762246</v>
      </c>
      <c r="AT577" t="e">
        <v>#DIV/0!</v>
      </c>
      <c r="AU577" t="e">
        <v>#DIV/0!</v>
      </c>
      <c r="AV577"/>
      <c r="AW577"/>
      <c r="FY577" s="210">
        <v>572</v>
      </c>
      <c r="FZ577">
        <v>31.491621297953792</v>
      </c>
      <c r="GA577">
        <v>56.581418809128373</v>
      </c>
      <c r="GB577">
        <v>11.920138139167712</v>
      </c>
      <c r="GC577">
        <v>1.508807383756142</v>
      </c>
      <c r="GD577">
        <v>0.76955347539255126</v>
      </c>
      <c r="GE577">
        <v>2.8958257392543887</v>
      </c>
      <c r="GF577">
        <v>11.735968080763854</v>
      </c>
      <c r="GG577">
        <v>8.0822263883225176</v>
      </c>
      <c r="GH577">
        <v>2.2546840703091551</v>
      </c>
      <c r="GI577">
        <v>11.019837784959577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31.70689370096698</v>
      </c>
      <c r="AO578">
        <v>10.128712667670179</v>
      </c>
      <c r="AP578">
        <v>106.43934205165084</v>
      </c>
      <c r="AQ578">
        <v>76.157946138906894</v>
      </c>
      <c r="AR578">
        <v>9.8917376584202401</v>
      </c>
      <c r="AS578">
        <v>138.90960995720434</v>
      </c>
      <c r="AT578" t="e">
        <v>#DIV/0!</v>
      </c>
      <c r="AU578" t="e">
        <v>#DIV/0!</v>
      </c>
      <c r="AV578"/>
      <c r="AW578"/>
      <c r="FY578" s="210">
        <v>573</v>
      </c>
      <c r="FZ578">
        <v>11.501136794736361</v>
      </c>
      <c r="GA578">
        <v>36.369606373094726</v>
      </c>
      <c r="GB578">
        <v>13.674417143224339</v>
      </c>
      <c r="GC578">
        <v>2.0494250151558786</v>
      </c>
      <c r="GD578">
        <v>0.81629206504869933</v>
      </c>
      <c r="GE578">
        <v>4.067447491585936</v>
      </c>
      <c r="GF578">
        <v>8.1867949997524878</v>
      </c>
      <c r="GG578">
        <v>2.5698959161226771</v>
      </c>
      <c r="GH578">
        <v>4.0018338099053734</v>
      </c>
      <c r="GI578">
        <v>8.0091067702489767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35.914232690202518</v>
      </c>
      <c r="AO579">
        <v>9.9035415256303132</v>
      </c>
      <c r="AP579">
        <v>100.40240944108291</v>
      </c>
      <c r="AQ579">
        <v>73.367164628004431</v>
      </c>
      <c r="AR579">
        <v>9.4376565499401632</v>
      </c>
      <c r="AS579">
        <v>130.78984908468951</v>
      </c>
      <c r="AT579">
        <v>6.0386118390328605</v>
      </c>
      <c r="AU579">
        <v>35.220462729758118</v>
      </c>
      <c r="AV579"/>
      <c r="AW579"/>
      <c r="FY579" s="210">
        <v>574</v>
      </c>
      <c r="FZ579">
        <v>12.867888815344642</v>
      </c>
      <c r="GA579">
        <v>37.715143283163243</v>
      </c>
      <c r="GB579">
        <v>13.954312067226363</v>
      </c>
      <c r="GC579">
        <v>1.6799110259872363</v>
      </c>
      <c r="GD579">
        <v>0.48648687383530426</v>
      </c>
      <c r="GE579">
        <v>0</v>
      </c>
      <c r="GF579">
        <v>3.0614345828174172</v>
      </c>
      <c r="GG579">
        <v>4.3226400536654834</v>
      </c>
      <c r="GH579">
        <v>3.4886116924828308</v>
      </c>
      <c r="GI579">
        <v>7.0536924898955009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32.534970238095234</v>
      </c>
      <c r="AO580">
        <v>9.2572835857275244</v>
      </c>
      <c r="AP580">
        <v>96.604002756337565</v>
      </c>
      <c r="AQ580">
        <v>72.177073534949585</v>
      </c>
      <c r="AR580">
        <v>8.8753078911696903</v>
      </c>
      <c r="AS580">
        <v>119.73971681947893</v>
      </c>
      <c r="AT580" t="e">
        <v>#DIV/0!</v>
      </c>
      <c r="AU580" t="e">
        <v>#DIV/0!</v>
      </c>
      <c r="AV580"/>
      <c r="AW580"/>
      <c r="FY580" s="210">
        <v>575</v>
      </c>
      <c r="FZ580">
        <v>3.0084573448423173</v>
      </c>
      <c r="GA580">
        <v>19.086495205208447</v>
      </c>
      <c r="GB580">
        <v>11.951940883433398</v>
      </c>
      <c r="GC580">
        <v>2.7343121304523503</v>
      </c>
      <c r="GD580">
        <v>0.44232035803455733</v>
      </c>
      <c r="GE580">
        <v>1.3097673109793708</v>
      </c>
      <c r="GF580">
        <v>10.480256755500427</v>
      </c>
      <c r="GG580">
        <v>8.5621420620419322</v>
      </c>
      <c r="GH580">
        <v>2.3830157366187406</v>
      </c>
      <c r="GI580">
        <v>6.3710918774476806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30.010102513227508</v>
      </c>
      <c r="AO581">
        <v>9.5891943981078072</v>
      </c>
      <c r="AP581">
        <v>101.49873297967677</v>
      </c>
      <c r="AQ581">
        <v>75.024375354261807</v>
      </c>
      <c r="AR581">
        <v>9.2240528102327577</v>
      </c>
      <c r="AS581">
        <v>123.01492380585748</v>
      </c>
      <c r="AT581" t="e">
        <v>#DIV/0!</v>
      </c>
      <c r="AU581" t="e">
        <v>#DIV/0!</v>
      </c>
      <c r="AV581"/>
      <c r="AW581"/>
      <c r="FY581" s="210">
        <v>576</v>
      </c>
      <c r="FZ581">
        <v>12.885407379016645</v>
      </c>
      <c r="GA581">
        <v>29.126084694908528</v>
      </c>
      <c r="GB581">
        <v>8.4745423135980378</v>
      </c>
      <c r="GC581">
        <v>0.97095927552159356</v>
      </c>
      <c r="GD581">
        <v>0.50417822534624168</v>
      </c>
      <c r="GE581">
        <v>1.4479128696271943</v>
      </c>
      <c r="GF581">
        <v>2.9071717973787643</v>
      </c>
      <c r="GG581">
        <v>1.9491087572291057</v>
      </c>
      <c r="GH581">
        <v>3.0623738922222374</v>
      </c>
      <c r="GI581">
        <v>5.5378651085241639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50.965195105820108</v>
      </c>
      <c r="AO582">
        <v>14.770238737000245</v>
      </c>
      <c r="AP582">
        <v>154.30161586099186</v>
      </c>
      <c r="AQ582">
        <v>114.28558377396757</v>
      </c>
      <c r="AR582">
        <v>13.887249567383487</v>
      </c>
      <c r="AS582">
        <v>191.18785410931042</v>
      </c>
      <c r="AT582">
        <v>9.1541340201377093</v>
      </c>
      <c r="AU582">
        <v>74.42709165544413</v>
      </c>
      <c r="AV582"/>
      <c r="AW582"/>
      <c r="FY582" s="210">
        <v>577</v>
      </c>
      <c r="FZ582">
        <v>12.404318025652829</v>
      </c>
      <c r="GA582">
        <v>28.797664780521945</v>
      </c>
      <c r="GB582">
        <v>11.041849241985007</v>
      </c>
      <c r="GC582">
        <v>2.7971799461883231</v>
      </c>
      <c r="GD582">
        <v>0.9571330820292232</v>
      </c>
      <c r="GE582">
        <v>1.4520245775858855</v>
      </c>
      <c r="GF582">
        <v>6.8911505726418847</v>
      </c>
      <c r="GG582">
        <v>4.7690038534838637</v>
      </c>
      <c r="GH582">
        <v>0.45290543706899811</v>
      </c>
      <c r="GI582">
        <v>6.7695084553643889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30.273991402116401</v>
      </c>
      <c r="AO583">
        <v>9.0150613217107924</v>
      </c>
      <c r="AP583">
        <v>90.855518938488245</v>
      </c>
      <c r="AQ583">
        <v>67.455636412377487</v>
      </c>
      <c r="AR583">
        <v>8.4799595676685229</v>
      </c>
      <c r="AS583">
        <v>104.02944469040034</v>
      </c>
      <c r="AT583">
        <v>6.0227418435687108</v>
      </c>
      <c r="AU583">
        <v>102.62373569750875</v>
      </c>
      <c r="AV583"/>
      <c r="AW583"/>
      <c r="FY583" s="210">
        <v>578</v>
      </c>
      <c r="FZ583">
        <v>11.726210169959337</v>
      </c>
      <c r="GA583">
        <v>39.99059328437955</v>
      </c>
      <c r="GB583">
        <v>16.013005679421727</v>
      </c>
      <c r="GC583">
        <v>2.4822201385569116</v>
      </c>
      <c r="GD583">
        <v>0.76530468270540641</v>
      </c>
      <c r="GE583">
        <v>1.4561362855445767</v>
      </c>
      <c r="GF583">
        <v>2.6303201836775441</v>
      </c>
      <c r="GG583">
        <v>1.5369063644198138</v>
      </c>
      <c r="GH583">
        <v>2.2546840703091551</v>
      </c>
      <c r="GI583">
        <v>7.290153726855686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64.596162880861144</v>
      </c>
      <c r="AO584">
        <v>16.174072094905487</v>
      </c>
      <c r="AP584">
        <v>176.20274292266163</v>
      </c>
      <c r="AQ584">
        <v>134.53158977447629</v>
      </c>
      <c r="AR584">
        <v>15.184751732023029</v>
      </c>
      <c r="AS584">
        <v>218.218382531114</v>
      </c>
      <c r="AT584">
        <v>9.7244361380585946</v>
      </c>
      <c r="AU584">
        <v>68.89423490062714</v>
      </c>
      <c r="AV584"/>
      <c r="AW584"/>
      <c r="FY584" s="210">
        <v>579</v>
      </c>
      <c r="FZ584">
        <v>23.285312621546982</v>
      </c>
      <c r="GA584">
        <v>38.741497333813435</v>
      </c>
      <c r="GB584">
        <v>8.3005276756556494</v>
      </c>
      <c r="GC584">
        <v>1.3975218415351418</v>
      </c>
      <c r="GD584">
        <v>0.68967349258280719</v>
      </c>
      <c r="GE584">
        <v>1.3077114570000252</v>
      </c>
      <c r="GF584">
        <v>6.140011049037156</v>
      </c>
      <c r="GG584">
        <v>4.68624623644319</v>
      </c>
      <c r="GH584">
        <v>2.028231351774656</v>
      </c>
      <c r="GI584">
        <v>7.5963712230455629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32.14474092318919</v>
      </c>
      <c r="AO585">
        <v>10.389070909327213</v>
      </c>
      <c r="AP585">
        <v>113.10044484611684</v>
      </c>
      <c r="AQ585">
        <v>80.654118013485899</v>
      </c>
      <c r="AR585">
        <v>9.885985315954791</v>
      </c>
      <c r="AS585">
        <v>117.93653442066407</v>
      </c>
      <c r="AT585" t="e">
        <v>#DIV/0!</v>
      </c>
      <c r="AU585" t="e">
        <v>#DIV/0!</v>
      </c>
      <c r="AV585"/>
      <c r="AW585"/>
      <c r="FY585" s="210">
        <v>580</v>
      </c>
      <c r="FZ585">
        <v>21.977836811860314</v>
      </c>
      <c r="GA585">
        <v>41.504302987875697</v>
      </c>
      <c r="GB585">
        <v>9.4065719769678076</v>
      </c>
      <c r="GC585">
        <v>1.1972546401359332</v>
      </c>
      <c r="GD585">
        <v>0.66102712140435438</v>
      </c>
      <c r="GE585">
        <v>1.3118231649587164</v>
      </c>
      <c r="GF585">
        <v>3.4798578597998393</v>
      </c>
      <c r="GG585">
        <v>2.769101022724541</v>
      </c>
      <c r="GH585">
        <v>2.7924290151067641</v>
      </c>
      <c r="GI585">
        <v>7.2339643121495714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25.449880838350669</v>
      </c>
      <c r="AO586">
        <v>7.3040331931806808</v>
      </c>
      <c r="AP586">
        <v>74.017259094151839</v>
      </c>
      <c r="AQ586">
        <v>52.607240550721613</v>
      </c>
      <c r="AR586">
        <v>7.1940770986436862</v>
      </c>
      <c r="AS586">
        <v>82.423249806883078</v>
      </c>
      <c r="AT586">
        <v>4.8101226162112027</v>
      </c>
      <c r="AU586">
        <v>-12.45501147675259</v>
      </c>
      <c r="AV586"/>
      <c r="AW586"/>
      <c r="FY586" s="210">
        <v>581</v>
      </c>
      <c r="FZ586">
        <v>2.9636667678559219</v>
      </c>
      <c r="GA586">
        <v>22.733123191027538</v>
      </c>
      <c r="GB586">
        <v>11.997291452038967</v>
      </c>
      <c r="GC586">
        <v>1.7876293623010397</v>
      </c>
      <c r="GD586">
        <v>0.69182601249403941</v>
      </c>
      <c r="GE586">
        <v>1.3118231649587164</v>
      </c>
      <c r="GF586">
        <v>5.3477374631360988</v>
      </c>
      <c r="GG586">
        <v>3.0235551648541166</v>
      </c>
      <c r="GH586">
        <v>1.858656884133234</v>
      </c>
      <c r="GI586">
        <v>5.336518440248347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34.918715790914071</v>
      </c>
      <c r="AO587">
        <v>9.2016787784108978</v>
      </c>
      <c r="AP587">
        <v>98.928052100625322</v>
      </c>
      <c r="AQ587">
        <v>72.536072492790069</v>
      </c>
      <c r="AR587">
        <v>8.9874399002051124</v>
      </c>
      <c r="AS587">
        <v>119.25790079658316</v>
      </c>
      <c r="AT587" t="e">
        <v>#DIV/0!</v>
      </c>
      <c r="AU587" t="e">
        <v>#DIV/0!</v>
      </c>
      <c r="AV587"/>
      <c r="AW587"/>
      <c r="FY587" s="210">
        <v>582</v>
      </c>
      <c r="FZ587">
        <v>4.0616945048492372</v>
      </c>
      <c r="GA587">
        <v>20.591904428932395</v>
      </c>
      <c r="GB587">
        <v>9.2101705399340066</v>
      </c>
      <c r="GC587">
        <v>0.84795957715520665</v>
      </c>
      <c r="GD587">
        <v>0.40962297437393774</v>
      </c>
      <c r="GE587">
        <v>1.4479128696271943</v>
      </c>
      <c r="GF587">
        <v>4.4792169519951699</v>
      </c>
      <c r="GG587">
        <v>2.8842494768887521</v>
      </c>
      <c r="GH587">
        <v>1.1055959558640902</v>
      </c>
      <c r="GI587">
        <v>4.3027025497623219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62.284273513045072</v>
      </c>
      <c r="AO588">
        <v>16.954841404246839</v>
      </c>
      <c r="AP588">
        <v>182.05220975342507</v>
      </c>
      <c r="AQ588">
        <v>138.26008116900806</v>
      </c>
      <c r="AR588">
        <v>15.773234872696312</v>
      </c>
      <c r="AS588">
        <v>243.15114088530416</v>
      </c>
      <c r="AT588">
        <v>10.150633874044958</v>
      </c>
      <c r="AU588">
        <v>110.58463743438959</v>
      </c>
      <c r="AV588"/>
      <c r="AW588"/>
      <c r="FY588" s="210">
        <v>583</v>
      </c>
      <c r="FZ588">
        <v>23.46733530128218</v>
      </c>
      <c r="GA588">
        <v>43.447075676010726</v>
      </c>
      <c r="GB588">
        <v>12.648961393708392</v>
      </c>
      <c r="GC588">
        <v>2.226628745403052</v>
      </c>
      <c r="GD588">
        <v>0.54940819184912093</v>
      </c>
      <c r="GE588">
        <v>4.1117079586910979E-3</v>
      </c>
      <c r="GF588">
        <v>1.3492172222199597</v>
      </c>
      <c r="GG588">
        <v>1.4200541144273304</v>
      </c>
      <c r="GH588">
        <v>0.80768982191308281</v>
      </c>
      <c r="GI588">
        <v>7.5370900997588715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43.062066684911514</v>
      </c>
      <c r="AO589">
        <v>12.180211606233419</v>
      </c>
      <c r="AP589">
        <v>125.28323697433981</v>
      </c>
      <c r="AQ589">
        <v>91.245956378875462</v>
      </c>
      <c r="AR589">
        <v>11.310071614836973</v>
      </c>
      <c r="AS589">
        <v>156.97711715410918</v>
      </c>
      <c r="AT589">
        <v>7.3671802371163801</v>
      </c>
      <c r="AU589">
        <v>16.094423265575678</v>
      </c>
      <c r="AV589"/>
      <c r="AW589"/>
      <c r="FY589" s="210">
        <v>584</v>
      </c>
      <c r="FZ589">
        <v>4.6844845176414633</v>
      </c>
      <c r="GA589">
        <v>15.790869569448121</v>
      </c>
      <c r="GB589">
        <v>7.3729073873183673</v>
      </c>
      <c r="GC589">
        <v>1.1773421935626849</v>
      </c>
      <c r="GD589">
        <v>0.67871307246655621</v>
      </c>
      <c r="GE589">
        <v>1.4499687236065399</v>
      </c>
      <c r="GF589">
        <v>6.4708863440431506</v>
      </c>
      <c r="GG589">
        <v>4.3859470504512519</v>
      </c>
      <c r="GH589">
        <v>1.1490881144450649</v>
      </c>
      <c r="GI589">
        <v>4.5261458309014015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31.063591269841275</v>
      </c>
      <c r="AO590">
        <v>10.888525481125809</v>
      </c>
      <c r="AP590">
        <v>120.50600403685999</v>
      </c>
      <c r="AQ590">
        <v>84.63012088441802</v>
      </c>
      <c r="AR590">
        <v>10.463925102373581</v>
      </c>
      <c r="AS590">
        <v>135.85508212585333</v>
      </c>
      <c r="AT590" t="e">
        <v>#DIV/0!</v>
      </c>
      <c r="AU590" t="e">
        <v>#DIV/0!</v>
      </c>
      <c r="AV590"/>
      <c r="AW590"/>
      <c r="FY590" s="210">
        <v>585</v>
      </c>
      <c r="FZ590">
        <v>13.021830936422838</v>
      </c>
      <c r="GA590">
        <v>35.341694366685019</v>
      </c>
      <c r="GB590">
        <v>14.15033189148296</v>
      </c>
      <c r="GC590">
        <v>2.458121984692839</v>
      </c>
      <c r="GD590">
        <v>0.59408274121726967</v>
      </c>
      <c r="GE590">
        <v>4.1117079586910979E-3</v>
      </c>
      <c r="GF590">
        <v>4.3402457064632713</v>
      </c>
      <c r="GG590">
        <v>4.0459129005495784</v>
      </c>
      <c r="GH590">
        <v>0</v>
      </c>
      <c r="GI590">
        <v>6.7861920859346139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23.328205391351947</v>
      </c>
      <c r="AO591">
        <v>9.9738396785036798</v>
      </c>
      <c r="AP591">
        <v>99.793246316250702</v>
      </c>
      <c r="AQ591">
        <v>66.329799664559204</v>
      </c>
      <c r="AR591">
        <v>9.3728697602233737</v>
      </c>
      <c r="AS591">
        <v>114.43548322447943</v>
      </c>
      <c r="AT591">
        <v>6.3380571154142453</v>
      </c>
      <c r="AU591">
        <v>-6.5898493319441211</v>
      </c>
      <c r="AV591"/>
      <c r="AW591"/>
      <c r="FY591" s="210">
        <v>586</v>
      </c>
      <c r="FZ591">
        <v>5.5967381240651335</v>
      </c>
      <c r="GA591">
        <v>18.970720659326496</v>
      </c>
      <c r="GB591">
        <v>10.740576284331762</v>
      </c>
      <c r="GC591">
        <v>2.2657066398578678</v>
      </c>
      <c r="GD591">
        <v>0.76300515535608082</v>
      </c>
      <c r="GE591">
        <v>1.730371548860878</v>
      </c>
      <c r="GF591">
        <v>2.3534685699763243</v>
      </c>
      <c r="GG591">
        <v>0.19515490503566166</v>
      </c>
      <c r="GH591">
        <v>0.69618267737606665</v>
      </c>
      <c r="GI591">
        <v>4.6055179993784838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28.270450761722316</v>
      </c>
      <c r="AO592">
        <v>8.4442925325693032</v>
      </c>
      <c r="AP592">
        <v>91.472842230286702</v>
      </c>
      <c r="AQ592">
        <v>66.865604313372515</v>
      </c>
      <c r="AR592">
        <v>8.0444687795260261</v>
      </c>
      <c r="AS592">
        <v>130.85661813793971</v>
      </c>
      <c r="AT592">
        <v>5.5817202542938551</v>
      </c>
      <c r="AU592">
        <v>68.724944352596779</v>
      </c>
      <c r="AV592"/>
      <c r="AW592"/>
      <c r="FY592" s="210">
        <v>587</v>
      </c>
      <c r="FZ592">
        <v>4.9168973144387031</v>
      </c>
      <c r="GA592">
        <v>22.781259206402979</v>
      </c>
      <c r="GB592">
        <v>10.887400641374345</v>
      </c>
      <c r="GC592">
        <v>1.5419461738737632</v>
      </c>
      <c r="GD592">
        <v>0.86988803783321733</v>
      </c>
      <c r="GE592">
        <v>1.5901701362337088</v>
      </c>
      <c r="GF592">
        <v>6.3914710265442194</v>
      </c>
      <c r="GG592">
        <v>5.0911956222137702</v>
      </c>
      <c r="GH592">
        <v>3.8834498064474232</v>
      </c>
      <c r="GI592">
        <v>6.0160005409603681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37.467689518336066</v>
      </c>
      <c r="AO593">
        <v>10.433011600751147</v>
      </c>
      <c r="AP593">
        <v>104.9794978694477</v>
      </c>
      <c r="AQ593">
        <v>76.332737972522352</v>
      </c>
      <c r="AR593">
        <v>9.7762722975614764</v>
      </c>
      <c r="AS593">
        <v>123.98817945413226</v>
      </c>
      <c r="AT593" t="e">
        <v>#DIV/0!</v>
      </c>
      <c r="AU593" t="e">
        <v>#DIV/0!</v>
      </c>
      <c r="AV593"/>
      <c r="AW593"/>
      <c r="FY593" s="210">
        <v>588</v>
      </c>
      <c r="FZ593">
        <v>15.223680986764682</v>
      </c>
      <c r="GA593">
        <v>24.548533932367953</v>
      </c>
      <c r="GB593">
        <v>10.209553580022618</v>
      </c>
      <c r="GC593">
        <v>3.3236327842900524</v>
      </c>
      <c r="GD593">
        <v>0.7302581300363562</v>
      </c>
      <c r="GE593">
        <v>2.8958257392543887</v>
      </c>
      <c r="GF593">
        <v>7.7265976693065772</v>
      </c>
      <c r="GG593">
        <v>3.2259630769284899</v>
      </c>
      <c r="GH593">
        <v>3.1360766648878848</v>
      </c>
      <c r="GI593">
        <v>7.3271468709545173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37.446987319832147</v>
      </c>
      <c r="AO594">
        <v>11.405483469622109</v>
      </c>
      <c r="AP594">
        <v>121.97741457531438</v>
      </c>
      <c r="AQ594">
        <v>86.145534585829708</v>
      </c>
      <c r="AR594">
        <v>10.656110430452348</v>
      </c>
      <c r="AS594">
        <v>213.14006130480658</v>
      </c>
      <c r="AT594">
        <v>6.7740812325272151</v>
      </c>
      <c r="AU594">
        <v>23.153919145650278</v>
      </c>
      <c r="AV594"/>
      <c r="AW594"/>
      <c r="FY594" s="210">
        <v>589</v>
      </c>
      <c r="FZ594">
        <v>14.139922826329482</v>
      </c>
      <c r="GA594">
        <v>30.718374040533693</v>
      </c>
      <c r="GB594">
        <v>12.443784125599475</v>
      </c>
      <c r="GC594">
        <v>3.0004872275831471</v>
      </c>
      <c r="GD594">
        <v>0.69974059691086565</v>
      </c>
      <c r="GE594">
        <v>0.14020141262716906</v>
      </c>
      <c r="GF594">
        <v>2.1257483820188448</v>
      </c>
      <c r="GG594">
        <v>3.3691628716564361</v>
      </c>
      <c r="GH594">
        <v>3.8700637141353202</v>
      </c>
      <c r="GI594">
        <v>6.7911454444572188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44.466102216748766</v>
      </c>
      <c r="AO595">
        <v>11.403819420090207</v>
      </c>
      <c r="AP595">
        <v>121.80153503899928</v>
      </c>
      <c r="AQ595">
        <v>94.173104282434608</v>
      </c>
      <c r="AR595">
        <v>10.838883776982584</v>
      </c>
      <c r="AS595">
        <v>150.86599280447237</v>
      </c>
      <c r="AT595" t="e">
        <v>#DIV/0!</v>
      </c>
      <c r="AU595" t="e">
        <v>#DIV/0!</v>
      </c>
      <c r="AV595"/>
      <c r="AW595"/>
      <c r="FY595" s="210">
        <v>590</v>
      </c>
      <c r="FZ595">
        <v>5.0287803713113988</v>
      </c>
      <c r="GA595">
        <v>21.325470589751561</v>
      </c>
      <c r="GB595">
        <v>9.5937558448080864</v>
      </c>
      <c r="GC595">
        <v>1.2300832994768858</v>
      </c>
      <c r="GD595">
        <v>0.73002307103837183</v>
      </c>
      <c r="GE595">
        <v>1.3097673109793708</v>
      </c>
      <c r="GF595">
        <v>4.6923956742996307</v>
      </c>
      <c r="GG595">
        <v>3.8058361389506894</v>
      </c>
      <c r="GH595">
        <v>3.2888266107567365</v>
      </c>
      <c r="GI595">
        <v>5.1205010358632475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43.608861293559571</v>
      </c>
      <c r="AO596">
        <v>10.997583848190109</v>
      </c>
      <c r="AP596">
        <v>119.70171205451145</v>
      </c>
      <c r="AQ596">
        <v>92.334168912983529</v>
      </c>
      <c r="AR596">
        <v>10.327632709106698</v>
      </c>
      <c r="AS596">
        <v>161.13279351704429</v>
      </c>
      <c r="AT596">
        <v>6.6395732876594558</v>
      </c>
      <c r="AU596">
        <v>43.44720520878775</v>
      </c>
      <c r="AV596"/>
      <c r="AW596"/>
      <c r="FY596" s="210">
        <v>591</v>
      </c>
      <c r="FZ596">
        <v>13.759475793051262</v>
      </c>
      <c r="GA596">
        <v>35.080777091361867</v>
      </c>
      <c r="GB596">
        <v>13.866320609904431</v>
      </c>
      <c r="GC596">
        <v>2.5785093776578396</v>
      </c>
      <c r="GD596">
        <v>0.90846291199304796</v>
      </c>
      <c r="GE596">
        <v>0.28451453321302922</v>
      </c>
      <c r="GF596">
        <v>0.27685161370122002</v>
      </c>
      <c r="GG596">
        <v>2.6907983676813627</v>
      </c>
      <c r="GH596">
        <v>3.5432405861267702</v>
      </c>
      <c r="GI596">
        <v>6.7404593912166177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25.328005838350666</v>
      </c>
      <c r="AO597">
        <v>8.048068051989052</v>
      </c>
      <c r="AP597">
        <v>83.388655467023995</v>
      </c>
      <c r="AQ597">
        <v>57.051827903048022</v>
      </c>
      <c r="AR597">
        <v>7.7033053582816216</v>
      </c>
      <c r="AS597">
        <v>122.42764912200094</v>
      </c>
      <c r="AT597" t="e">
        <v>#DIV/0!</v>
      </c>
      <c r="AU597" t="e">
        <v>#DIV/0!</v>
      </c>
      <c r="AV597"/>
      <c r="AW597"/>
      <c r="FY597" s="210">
        <v>592</v>
      </c>
      <c r="FZ597">
        <v>2.9088943479508664</v>
      </c>
      <c r="GA597">
        <v>22.684844179009449</v>
      </c>
      <c r="GB597">
        <v>11.319748224623179</v>
      </c>
      <c r="GC597">
        <v>1.7581709734948072</v>
      </c>
      <c r="GD597">
        <v>0.98169105395753631</v>
      </c>
      <c r="GE597">
        <v>1.7324274028402236</v>
      </c>
      <c r="GF597">
        <v>8.6156175610806294</v>
      </c>
      <c r="GG597">
        <v>6.231633418736493</v>
      </c>
      <c r="GH597">
        <v>1.5038724992891495</v>
      </c>
      <c r="GI597">
        <v>6.0360622220398295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18.291846264367816</v>
      </c>
      <c r="AO598">
        <v>6.7009726113550627</v>
      </c>
      <c r="AP598">
        <v>71.261183565734441</v>
      </c>
      <c r="AQ598">
        <v>49.341029829382315</v>
      </c>
      <c r="AR598">
        <v>6.2213359664548795</v>
      </c>
      <c r="AS598">
        <v>76.764230975969937</v>
      </c>
      <c r="AT598" t="e">
        <v>#DIV/0!</v>
      </c>
      <c r="AU598" t="e">
        <v>#DIV/0!</v>
      </c>
      <c r="AV598"/>
      <c r="AW598"/>
      <c r="FY598" s="210">
        <v>593</v>
      </c>
      <c r="FZ598">
        <v>21.877564434062407</v>
      </c>
      <c r="GA598">
        <v>42.200186879918874</v>
      </c>
      <c r="GB598">
        <v>12.625335139103813</v>
      </c>
      <c r="GC598">
        <v>2.6433008216304907</v>
      </c>
      <c r="GD598">
        <v>0.83406299806766548</v>
      </c>
      <c r="GE598">
        <v>1.7324274028402236</v>
      </c>
      <c r="GF598">
        <v>3.1299997297752098</v>
      </c>
      <c r="GG598">
        <v>1.9742465873139308</v>
      </c>
      <c r="GH598">
        <v>2.8359211736877388</v>
      </c>
      <c r="GI598">
        <v>8.0734278546209524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49.03648912151067</v>
      </c>
      <c r="AO599">
        <v>11.294297667781924</v>
      </c>
      <c r="AP599">
        <v>124.32707083636167</v>
      </c>
      <c r="AQ599">
        <v>93.457572274531401</v>
      </c>
      <c r="AR599">
        <v>10.955745029196061</v>
      </c>
      <c r="AS599">
        <v>162.73020906694495</v>
      </c>
      <c r="AT599" t="e">
        <v>#DIV/0!</v>
      </c>
      <c r="AU599" t="e">
        <v>#DIV/0!</v>
      </c>
      <c r="AV599"/>
      <c r="AW599"/>
      <c r="FY599" s="210">
        <v>594</v>
      </c>
      <c r="FZ599">
        <v>21.870959049465071</v>
      </c>
      <c r="GA599">
        <v>48.555776202240402</v>
      </c>
      <c r="GB599">
        <v>14.369040851827029</v>
      </c>
      <c r="GC599">
        <v>1.6993008816286648</v>
      </c>
      <c r="GD599">
        <v>0.68509617623296926</v>
      </c>
      <c r="GE599">
        <v>0.28040282525433813</v>
      </c>
      <c r="GF599">
        <v>2.5903870818303698</v>
      </c>
      <c r="GG599">
        <v>2.4060132533074001</v>
      </c>
      <c r="GH599">
        <v>0.5812371033785837</v>
      </c>
      <c r="GI599">
        <v>7.9423441003229085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17.140078224776499</v>
      </c>
      <c r="AO600">
        <v>6.7943915096841021</v>
      </c>
      <c r="AP600">
        <v>68.354596541744755</v>
      </c>
      <c r="AQ600">
        <v>47.686352803884596</v>
      </c>
      <c r="AR600">
        <v>6.5362717888645445</v>
      </c>
      <c r="AS600">
        <v>85.727414174278323</v>
      </c>
      <c r="AT600">
        <v>4.2978562693519686</v>
      </c>
      <c r="AU600">
        <v>4.7182460719916843</v>
      </c>
      <c r="AV600"/>
      <c r="AW600"/>
      <c r="FY600" s="210">
        <v>595</v>
      </c>
      <c r="FZ600">
        <v>12.155714947758709</v>
      </c>
      <c r="GA600">
        <v>22.564458474162901</v>
      </c>
      <c r="GB600">
        <v>6.4003293946908393</v>
      </c>
      <c r="GC600">
        <v>1.4675158149237322</v>
      </c>
      <c r="GD600">
        <v>0.60404299488170776</v>
      </c>
      <c r="GE600">
        <v>1.7283156948815326</v>
      </c>
      <c r="GF600">
        <v>7.4892282712571152</v>
      </c>
      <c r="GG600">
        <v>5.936283275919684</v>
      </c>
      <c r="GH600">
        <v>1.913285777777173</v>
      </c>
      <c r="GI600">
        <v>5.6652446831818031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39.981016237912797</v>
      </c>
      <c r="AO601">
        <v>10.334124419295419</v>
      </c>
      <c r="AP601">
        <v>110.79959751060201</v>
      </c>
      <c r="AQ601">
        <v>80.74252432140706</v>
      </c>
      <c r="AR601">
        <v>9.8016294654895812</v>
      </c>
      <c r="AS601">
        <v>133.03521693475992</v>
      </c>
      <c r="AT601" t="e">
        <v>#DIV/0!</v>
      </c>
      <c r="AU601" t="e">
        <v>#DIV/0!</v>
      </c>
      <c r="AV601"/>
      <c r="AW601"/>
      <c r="FY601" s="210">
        <v>596</v>
      </c>
      <c r="FZ601">
        <v>4.3569526748358962</v>
      </c>
      <c r="GA601">
        <v>24.033887059271144</v>
      </c>
      <c r="GB601">
        <v>12.160853255942722</v>
      </c>
      <c r="GC601">
        <v>1.5791824227894979</v>
      </c>
      <c r="GD601">
        <v>0.74532827937446122</v>
      </c>
      <c r="GE601">
        <v>2.8999374472130799</v>
      </c>
      <c r="GF601">
        <v>7.1539116068855035</v>
      </c>
      <c r="GG601">
        <v>2.9954857281062415</v>
      </c>
      <c r="GH601">
        <v>2.3115623212022323</v>
      </c>
      <c r="GI601">
        <v>6.0318170094423049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23.331330391351944</v>
      </c>
      <c r="AO602">
        <v>6.7632177357970118</v>
      </c>
      <c r="AP602">
        <v>66.310625411260816</v>
      </c>
      <c r="AQ602">
        <v>47.917442563564762</v>
      </c>
      <c r="AR602">
        <v>6.5308222993803602</v>
      </c>
      <c r="AS602">
        <v>91.086071944983729</v>
      </c>
      <c r="AT602" t="e">
        <v>#DIV/0!</v>
      </c>
      <c r="AU602" t="e">
        <v>#DIV/0!</v>
      </c>
      <c r="AV602"/>
      <c r="AW602"/>
      <c r="FY602" s="210">
        <v>597</v>
      </c>
      <c r="FZ602">
        <v>24.428614710482798</v>
      </c>
      <c r="GA602">
        <v>29.412678790476008</v>
      </c>
      <c r="GB602">
        <v>3.9645693214420485</v>
      </c>
      <c r="GC602">
        <v>1.4709136453475513</v>
      </c>
      <c r="GD602">
        <v>0.75847489112656397</v>
      </c>
      <c r="GE602">
        <v>1.5901701362337088</v>
      </c>
      <c r="GF602">
        <v>4.2023653382939496</v>
      </c>
      <c r="GG602">
        <v>3.1521153838828058</v>
      </c>
      <c r="GH602">
        <v>3.7585565695983041</v>
      </c>
      <c r="GI602">
        <v>6.5356690178383712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21.143766534391535</v>
      </c>
      <c r="AO603">
        <v>9.0376384574865618</v>
      </c>
      <c r="AP603">
        <v>92.843819239001405</v>
      </c>
      <c r="AQ603">
        <v>63.969678506322495</v>
      </c>
      <c r="AR603">
        <v>8.7605935160802311</v>
      </c>
      <c r="AS603">
        <v>89.111731902347202</v>
      </c>
      <c r="AT603">
        <v>6.0271275598235512</v>
      </c>
      <c r="AU603">
        <v>4.3174859423594434</v>
      </c>
      <c r="AV603"/>
      <c r="AW603"/>
      <c r="FY603" s="210">
        <v>598</v>
      </c>
      <c r="FZ603">
        <v>3.017147897155497</v>
      </c>
      <c r="GA603">
        <v>23.247197826487824</v>
      </c>
      <c r="GB603">
        <v>12.077230580539997</v>
      </c>
      <c r="GC603">
        <v>2.0699588185835465</v>
      </c>
      <c r="GD603">
        <v>0.94522043695792757</v>
      </c>
      <c r="GE603">
        <v>2.0558539793455489E-3</v>
      </c>
      <c r="GF603">
        <v>0.22282793239644536</v>
      </c>
      <c r="GG603">
        <v>1.1247039716105218</v>
      </c>
      <c r="GH603">
        <v>2.6094684551532397</v>
      </c>
      <c r="GI603">
        <v>4.6035802112513506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35.745618386243386</v>
      </c>
      <c r="AO604">
        <v>10.558915985692042</v>
      </c>
      <c r="AP604">
        <v>102.07733083790148</v>
      </c>
      <c r="AQ604">
        <v>78.347269434813526</v>
      </c>
      <c r="AR604">
        <v>10.235076195575163</v>
      </c>
      <c r="AS604">
        <v>156.38798710456146</v>
      </c>
      <c r="AT604" t="e">
        <v>#DIV/0!</v>
      </c>
      <c r="AU604" t="e">
        <v>#DIV/0!</v>
      </c>
      <c r="AV604"/>
      <c r="AW604"/>
      <c r="FY604" s="210">
        <v>599</v>
      </c>
      <c r="FZ604">
        <v>14.395881751662809</v>
      </c>
      <c r="GA604">
        <v>31.923326674456426</v>
      </c>
      <c r="GB604">
        <v>10.72468440583426</v>
      </c>
      <c r="GC604">
        <v>1.7214649907526436</v>
      </c>
      <c r="GD604">
        <v>0.70882940300202224</v>
      </c>
      <c r="GE604">
        <v>2.6174787679793958</v>
      </c>
      <c r="GF604">
        <v>4.5381328888609778</v>
      </c>
      <c r="GG604">
        <v>1.0017173094824789</v>
      </c>
      <c r="GH604">
        <v>2.3830157366187406</v>
      </c>
      <c r="GI604">
        <v>6.6417091584254697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35.63759806604633</v>
      </c>
      <c r="AO605">
        <v>10.135837203521337</v>
      </c>
      <c r="AP605">
        <v>105.59188635851021</v>
      </c>
      <c r="AQ605">
        <v>77.298630641851659</v>
      </c>
      <c r="AR605">
        <v>9.9076645218363382</v>
      </c>
      <c r="AS605">
        <v>126.55795496796452</v>
      </c>
      <c r="AT605" t="e">
        <v>#DIV/0!</v>
      </c>
      <c r="AU605" t="e">
        <v>#DIV/0!</v>
      </c>
      <c r="AV605"/>
      <c r="AW605"/>
      <c r="FY605" s="210">
        <v>600</v>
      </c>
      <c r="FZ605">
        <v>23.110169971553795</v>
      </c>
      <c r="GA605">
        <v>28.344178738271804</v>
      </c>
      <c r="GB605">
        <v>5.1900817882190164</v>
      </c>
      <c r="GC605">
        <v>2.2190289718333736</v>
      </c>
      <c r="GD605">
        <v>0.72378621662665354</v>
      </c>
      <c r="GE605">
        <v>1.5881142822543635</v>
      </c>
      <c r="GF605">
        <v>4.721027719410249</v>
      </c>
      <c r="GG605">
        <v>2.4060132533074001</v>
      </c>
      <c r="GH605">
        <v>0.69618267737606665</v>
      </c>
      <c r="GI605">
        <v>6.259907345251758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20.642939814814817</v>
      </c>
      <c r="AO606">
        <v>7.6582338081545771</v>
      </c>
      <c r="AP606">
        <v>79.473556617485841</v>
      </c>
      <c r="AQ606">
        <v>56.125439947235982</v>
      </c>
      <c r="AR606">
        <v>7.3652482032219293</v>
      </c>
      <c r="AS606">
        <v>106.92915437867211</v>
      </c>
      <c r="AT606">
        <v>4.9575406641448341</v>
      </c>
      <c r="AU606">
        <v>0.32527151181274672</v>
      </c>
      <c r="AV606"/>
      <c r="AW606"/>
      <c r="FY606" s="210">
        <v>601</v>
      </c>
      <c r="FZ606">
        <v>11.919729696100912</v>
      </c>
      <c r="GA606">
        <v>31.085441318916001</v>
      </c>
      <c r="GB606">
        <v>10.859191824636767</v>
      </c>
      <c r="GC606">
        <v>2.0718190048055409</v>
      </c>
      <c r="GD606">
        <v>0.64443363917443586</v>
      </c>
      <c r="GE606">
        <v>0</v>
      </c>
      <c r="GF606">
        <v>3.4939484392574398</v>
      </c>
      <c r="GG606">
        <v>4.3653066242382685</v>
      </c>
      <c r="GH606">
        <v>2.2546840703091551</v>
      </c>
      <c r="GI606">
        <v>6.0392535105052758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37.698444626892908</v>
      </c>
      <c r="AO607">
        <v>10.218768894699984</v>
      </c>
      <c r="AP607">
        <v>107.50542338039517</v>
      </c>
      <c r="AQ607">
        <v>79.729410275907455</v>
      </c>
      <c r="AR607">
        <v>9.76398340499086</v>
      </c>
      <c r="AS607">
        <v>132.90084568898655</v>
      </c>
      <c r="AT607" t="e">
        <v>#DIV/0!</v>
      </c>
      <c r="AU607" t="e">
        <v>#DIV/0!</v>
      </c>
      <c r="AV607"/>
      <c r="AW607"/>
      <c r="FY607" s="210">
        <v>602</v>
      </c>
      <c r="FZ607">
        <v>22.263477688610386</v>
      </c>
      <c r="GA607">
        <v>41.145021949727429</v>
      </c>
      <c r="GB607">
        <v>8.9147005180310899</v>
      </c>
      <c r="GC607">
        <v>1.4221513402824548</v>
      </c>
      <c r="GD607">
        <v>0.98810857069962588</v>
      </c>
      <c r="GE607">
        <v>0.14225726660651461</v>
      </c>
      <c r="GF607">
        <v>2.3929507856280807</v>
      </c>
      <c r="GG607">
        <v>3.7371753385584983</v>
      </c>
      <c r="GH607">
        <v>3.4886116924828308</v>
      </c>
      <c r="GI607">
        <v>7.2388518172170722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22.535780423280421</v>
      </c>
      <c r="AO608">
        <v>9.45062719467224</v>
      </c>
      <c r="AP608">
        <v>96.029285556251608</v>
      </c>
      <c r="AQ608">
        <v>63.772961883022155</v>
      </c>
      <c r="AR608">
        <v>8.9268823557337242</v>
      </c>
      <c r="AS608">
        <v>135.05474345645922</v>
      </c>
      <c r="AT608">
        <v>5.9336821025652897</v>
      </c>
      <c r="AU608">
        <v>-3.7830054081772979</v>
      </c>
      <c r="AV608"/>
      <c r="AW608"/>
      <c r="FY608" s="210">
        <v>603</v>
      </c>
      <c r="FZ608">
        <v>22.57018623046239</v>
      </c>
      <c r="GA608">
        <v>53.240321791567226</v>
      </c>
      <c r="GB608">
        <v>15.334930297783623</v>
      </c>
      <c r="GC608">
        <v>1.3310098906230763</v>
      </c>
      <c r="GD608">
        <v>0.68711099799591757</v>
      </c>
      <c r="GE608">
        <v>1.4479128696271943</v>
      </c>
      <c r="GF608">
        <v>6.318464510220811</v>
      </c>
      <c r="GG608">
        <v>4.7880072714331288</v>
      </c>
      <c r="GH608">
        <v>1.3320486743985893</v>
      </c>
      <c r="GI608">
        <v>9.2251797539872662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48.085102513227511</v>
      </c>
      <c r="AO609">
        <v>12.173802447967784</v>
      </c>
      <c r="AP609">
        <v>128.00665116188728</v>
      </c>
      <c r="AQ609">
        <v>97.926473021021309</v>
      </c>
      <c r="AR609">
        <v>11.539660163724488</v>
      </c>
      <c r="AS609">
        <v>155.01595340117274</v>
      </c>
      <c r="AT609">
        <v>7.523103099605847</v>
      </c>
      <c r="AU609">
        <v>49.491704641784992</v>
      </c>
      <c r="AV609"/>
      <c r="AW609"/>
      <c r="FY609" s="210">
        <v>604</v>
      </c>
      <c r="FZ609">
        <v>21.58206918560111</v>
      </c>
      <c r="GA609">
        <v>31.762590239925963</v>
      </c>
      <c r="GB609">
        <v>5.8211576564358669</v>
      </c>
      <c r="GC609">
        <v>1.900551536465227</v>
      </c>
      <c r="GD609">
        <v>0.66849753411978097</v>
      </c>
      <c r="GE609">
        <v>0</v>
      </c>
      <c r="GF609">
        <v>2.9656368480491553</v>
      </c>
      <c r="GG609">
        <v>3.5481548456583969</v>
      </c>
      <c r="GH609">
        <v>1.8017786332401569</v>
      </c>
      <c r="GI609">
        <v>6.0156639656230499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48.92676917989418</v>
      </c>
      <c r="AO610">
        <v>11.95607274286731</v>
      </c>
      <c r="AP610">
        <v>132.9600278019762</v>
      </c>
      <c r="AQ610">
        <v>100.98055752548775</v>
      </c>
      <c r="AR610">
        <v>11.388483749319464</v>
      </c>
      <c r="AS610">
        <v>182.21481003698403</v>
      </c>
      <c r="AT610" t="e">
        <v>#DIV/0!</v>
      </c>
      <c r="AU610" t="e">
        <v>#DIV/0!</v>
      </c>
      <c r="AV610"/>
      <c r="AW610"/>
      <c r="FY610" s="210">
        <v>605</v>
      </c>
      <c r="FZ610">
        <v>14.036787374577477</v>
      </c>
      <c r="GA610">
        <v>30.541358002597782</v>
      </c>
      <c r="GB610">
        <v>9.5859767250782077</v>
      </c>
      <c r="GC610">
        <v>1.974072018860102</v>
      </c>
      <c r="GD610">
        <v>0.97507254148683908</v>
      </c>
      <c r="GE610">
        <v>4.1117079586910979E-3</v>
      </c>
      <c r="GF610">
        <v>5.6354392473784563</v>
      </c>
      <c r="GG610">
        <v>6.1784685937781401</v>
      </c>
      <c r="GH610">
        <v>3.7719426619104075</v>
      </c>
      <c r="GI610">
        <v>6.9174808601976796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31.339713327859887</v>
      </c>
      <c r="AO611">
        <v>8.7193379253981238</v>
      </c>
      <c r="AP611">
        <v>88.514683153645038</v>
      </c>
      <c r="AQ611">
        <v>65.924419329435196</v>
      </c>
      <c r="AR611">
        <v>8.1379502451704528</v>
      </c>
      <c r="AS611">
        <v>89.928297538534466</v>
      </c>
      <c r="AT611">
        <v>5.2620421280022578</v>
      </c>
      <c r="AU611">
        <v>38.316062150305491</v>
      </c>
      <c r="AV611"/>
      <c r="AW611"/>
      <c r="FY611" s="210">
        <v>606</v>
      </c>
      <c r="FZ611">
        <v>4.2056735412067976</v>
      </c>
      <c r="GA611">
        <v>21.228048378825857</v>
      </c>
      <c r="GB611">
        <v>11.831352422487406</v>
      </c>
      <c r="GC611">
        <v>2.3857103785294744</v>
      </c>
      <c r="GD611">
        <v>0.83251053715183787</v>
      </c>
      <c r="GE611">
        <v>1.4479128696271943</v>
      </c>
      <c r="GF611">
        <v>2.9611954786835391</v>
      </c>
      <c r="GG611">
        <v>1.6561050201502265</v>
      </c>
      <c r="GH611">
        <v>1.913285777777173</v>
      </c>
      <c r="GI611">
        <v>5.0526391492787734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26.834787219485499</v>
      </c>
      <c r="AO612">
        <v>9.034129691059448</v>
      </c>
      <c r="AP612">
        <v>92.019920888575783</v>
      </c>
      <c r="AQ612">
        <v>64.268917805063069</v>
      </c>
      <c r="AR612">
        <v>8.5695199846146277</v>
      </c>
      <c r="AS612">
        <v>133.21935313772326</v>
      </c>
      <c r="AT612">
        <v>5.6999679069853988</v>
      </c>
      <c r="AU612">
        <v>0.33399820291055882</v>
      </c>
      <c r="AV612"/>
      <c r="AW612"/>
      <c r="FY612" s="210">
        <v>607</v>
      </c>
      <c r="FZ612">
        <v>2.0860245963209061</v>
      </c>
      <c r="GA612">
        <v>22.151682166612471</v>
      </c>
      <c r="GB612">
        <v>10.478215645635242</v>
      </c>
      <c r="GC612">
        <v>1.507137668836311</v>
      </c>
      <c r="GD612">
        <v>0.97478077274298003</v>
      </c>
      <c r="GE612">
        <v>0.28040282525433813</v>
      </c>
      <c r="GF612">
        <v>3.0006776943352955</v>
      </c>
      <c r="GG612">
        <v>3.509044395474179</v>
      </c>
      <c r="GH612">
        <v>1.6868330592426739</v>
      </c>
      <c r="GI612">
        <v>4.5242051157206902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44.194674785623064</v>
      </c>
      <c r="AO613">
        <v>9.4062961043850493</v>
      </c>
      <c r="AP613">
        <v>97.100424189567718</v>
      </c>
      <c r="AQ613">
        <v>79.274127804722099</v>
      </c>
      <c r="AR613">
        <v>9.2238351099884532</v>
      </c>
      <c r="AS613">
        <v>142.83402018479214</v>
      </c>
      <c r="AT613">
        <v>6.0267131476508498</v>
      </c>
      <c r="AU613">
        <v>90.596649106421822</v>
      </c>
      <c r="AV613"/>
      <c r="AW613"/>
      <c r="FY613" s="210">
        <v>608</v>
      </c>
      <c r="FZ613">
        <v>11.282187361487706</v>
      </c>
      <c r="GA613">
        <v>28.956458620195164</v>
      </c>
      <c r="GB613">
        <v>9.6698396427430566</v>
      </c>
      <c r="GC613">
        <v>1.4360046261285566</v>
      </c>
      <c r="GD613">
        <v>0.45050493829921634</v>
      </c>
      <c r="GE613">
        <v>4.1117079586910979E-3</v>
      </c>
      <c r="GF613">
        <v>2.3389271043233064</v>
      </c>
      <c r="GG613">
        <v>2.9306129341116804</v>
      </c>
      <c r="GH613">
        <v>1.1055959558640902</v>
      </c>
      <c r="GI613">
        <v>5.1446568908164139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21.104578886152161</v>
      </c>
      <c r="AO614">
        <v>6.990375200516378</v>
      </c>
      <c r="AP614">
        <v>73.045071042416282</v>
      </c>
      <c r="AQ614">
        <v>49.919391984115691</v>
      </c>
      <c r="AR614">
        <v>6.797115280105098</v>
      </c>
      <c r="AS614">
        <v>83.204756631546459</v>
      </c>
      <c r="AT614" t="e">
        <v>#DIV/0!</v>
      </c>
      <c r="AU614" t="e">
        <v>#DIV/0!</v>
      </c>
      <c r="AV614"/>
      <c r="AW614"/>
      <c r="FY614" s="210">
        <v>609</v>
      </c>
      <c r="FZ614">
        <v>28.940325354745177</v>
      </c>
      <c r="GA614">
        <v>57.468137933919287</v>
      </c>
      <c r="GB614">
        <v>13.266492814799506</v>
      </c>
      <c r="GC614">
        <v>1.7378107338356543</v>
      </c>
      <c r="GD614">
        <v>0.73889135512916726</v>
      </c>
      <c r="GE614">
        <v>2.0558539793455489E-3</v>
      </c>
      <c r="GF614">
        <v>6.4309532421959759</v>
      </c>
      <c r="GG614">
        <v>7.8736840641125827</v>
      </c>
      <c r="GH614">
        <v>2.6640973487971786</v>
      </c>
      <c r="GI614">
        <v>9.996891518761009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33.225595238095238</v>
      </c>
      <c r="AO615">
        <v>9.9230081735309934</v>
      </c>
      <c r="AP615">
        <v>103.26589084462361</v>
      </c>
      <c r="AQ615">
        <v>76.656241087075216</v>
      </c>
      <c r="AR615">
        <v>9.4278556760468568</v>
      </c>
      <c r="AS615">
        <v>149.91984832576563</v>
      </c>
      <c r="AT615">
        <v>6.1794484586497846</v>
      </c>
      <c r="AU615">
        <v>22.364051805018871</v>
      </c>
      <c r="AV615"/>
      <c r="AW615"/>
      <c r="FY615" s="210">
        <v>610</v>
      </c>
      <c r="FZ615">
        <v>13.165253174144677</v>
      </c>
      <c r="GA615">
        <v>28.958441284234365</v>
      </c>
      <c r="GB615">
        <v>9.9496001940437893</v>
      </c>
      <c r="GC615">
        <v>2.2227031446434178</v>
      </c>
      <c r="GD615">
        <v>0.88390303728246811</v>
      </c>
      <c r="GE615">
        <v>4.2035371962544144</v>
      </c>
      <c r="GF615">
        <v>10.134089920587677</v>
      </c>
      <c r="GG615">
        <v>4.3976974613618056</v>
      </c>
      <c r="GH615">
        <v>2.7244140291507226</v>
      </c>
      <c r="GI615">
        <v>7.5535336835336775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44.58389436234264</v>
      </c>
      <c r="AO616">
        <v>9.1904978324648017</v>
      </c>
      <c r="AP616">
        <v>92.787556496617057</v>
      </c>
      <c r="AQ616">
        <v>75.258490964104496</v>
      </c>
      <c r="AR616">
        <v>8.820859497325154</v>
      </c>
      <c r="AS616">
        <v>142.35900637984102</v>
      </c>
      <c r="AT616" t="e">
        <v>#DIV/0!</v>
      </c>
      <c r="AU616" t="e">
        <v>#DIV/0!</v>
      </c>
      <c r="AV616"/>
      <c r="AW616"/>
      <c r="FY616" s="210">
        <v>611</v>
      </c>
      <c r="FZ616">
        <v>31.048733562843971</v>
      </c>
      <c r="GA616">
        <v>61.840825880196498</v>
      </c>
      <c r="GB616">
        <v>14.073588332839634</v>
      </c>
      <c r="GC616">
        <v>1.5906101755206041</v>
      </c>
      <c r="GD616">
        <v>0.89357651920397174</v>
      </c>
      <c r="GE616">
        <v>1.4479128696271943</v>
      </c>
      <c r="GF616">
        <v>5.5419333504219246</v>
      </c>
      <c r="GG616">
        <v>3.5189668140073693</v>
      </c>
      <c r="GH616">
        <v>2.3115623212022323</v>
      </c>
      <c r="GI616">
        <v>10.313663654331048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32.918830391351939</v>
      </c>
      <c r="AO617">
        <v>9.347024172035912</v>
      </c>
      <c r="AP617">
        <v>99.724540816152896</v>
      </c>
      <c r="AQ617">
        <v>72.733808127943789</v>
      </c>
      <c r="AR617">
        <v>8.8159482719223679</v>
      </c>
      <c r="AS617">
        <v>124.04238130121279</v>
      </c>
      <c r="AT617" t="e">
        <v>#DIV/0!</v>
      </c>
      <c r="AU617" t="e">
        <v>#DIV/0!</v>
      </c>
      <c r="AV617"/>
      <c r="AW617"/>
      <c r="FY617" s="210">
        <v>612</v>
      </c>
      <c r="FZ617">
        <v>3.9984475900081078</v>
      </c>
      <c r="GA617">
        <v>8.8270321773583209</v>
      </c>
      <c r="GB617">
        <v>4.1470647978331412</v>
      </c>
      <c r="GC617">
        <v>1.5764745929484363</v>
      </c>
      <c r="GD617">
        <v>0.8742698680440173</v>
      </c>
      <c r="GE617">
        <v>0.14020141262716906</v>
      </c>
      <c r="GF617">
        <v>5.5814155660736819</v>
      </c>
      <c r="GG617">
        <v>8.9995490725006029</v>
      </c>
      <c r="GH617">
        <v>7.6165278114486519</v>
      </c>
      <c r="GI617">
        <v>4.5884804770716547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45.659556878306887</v>
      </c>
      <c r="AO618">
        <v>10.906771708808719</v>
      </c>
      <c r="AP618">
        <v>118.50509957475862</v>
      </c>
      <c r="AQ618">
        <v>91.733306967843987</v>
      </c>
      <c r="AR618">
        <v>10.461348126054595</v>
      </c>
      <c r="AS618">
        <v>151.92653760814721</v>
      </c>
      <c r="AT618" t="e">
        <v>#DIV/0!</v>
      </c>
      <c r="AU618" t="e">
        <v>#DIV/0!</v>
      </c>
      <c r="AV618"/>
      <c r="AW618"/>
      <c r="FY618" s="210">
        <v>613</v>
      </c>
      <c r="FZ618">
        <v>13.543967253489956</v>
      </c>
      <c r="GA618">
        <v>41.497950717364681</v>
      </c>
      <c r="GB618">
        <v>16.224668546087585</v>
      </c>
      <c r="GC618">
        <v>1.9664134105923861</v>
      </c>
      <c r="GD618">
        <v>0.64152457430131227</v>
      </c>
      <c r="GE618">
        <v>1.4479128696271943</v>
      </c>
      <c r="GF618">
        <v>5.0519030144162436</v>
      </c>
      <c r="GG618">
        <v>3.6247780505635099</v>
      </c>
      <c r="GH618">
        <v>2.6094684551532397</v>
      </c>
      <c r="GI618">
        <v>8.0732003659632277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50.914433383506662</v>
      </c>
      <c r="AO619">
        <v>14.200049177821001</v>
      </c>
      <c r="AP619">
        <v>156.90678254531812</v>
      </c>
      <c r="AQ619">
        <v>116.27517228809921</v>
      </c>
      <c r="AR619">
        <v>13.289985671507495</v>
      </c>
      <c r="AS619">
        <v>211.59078224578562</v>
      </c>
      <c r="AT619" t="e">
        <v>#DIV/0!</v>
      </c>
      <c r="AU619" t="e">
        <v>#DIV/0!</v>
      </c>
      <c r="AV619"/>
      <c r="AW619"/>
      <c r="FY619" s="210">
        <v>614</v>
      </c>
      <c r="FZ619">
        <v>21.918641007176834</v>
      </c>
      <c r="GA619">
        <v>41.054806775540236</v>
      </c>
      <c r="GB619">
        <v>10.116620044666679</v>
      </c>
      <c r="GC619">
        <v>2.09447357489032</v>
      </c>
      <c r="GD619">
        <v>0.88901051073703974</v>
      </c>
      <c r="GE619">
        <v>1.4540804315652309</v>
      </c>
      <c r="GF619">
        <v>3.7567094735010591</v>
      </c>
      <c r="GG619">
        <v>2.1722906571382956</v>
      </c>
      <c r="GH619">
        <v>1.6019935515140629</v>
      </c>
      <c r="GI619">
        <v>7.382174402582411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40.962598066046347</v>
      </c>
      <c r="AO620">
        <v>9.0910529645352316</v>
      </c>
      <c r="AP620">
        <v>96.195572747250139</v>
      </c>
      <c r="AQ620">
        <v>76.066100445118707</v>
      </c>
      <c r="AR620">
        <v>8.6691256372873351</v>
      </c>
      <c r="AS620">
        <v>120.33640945627246</v>
      </c>
      <c r="AT620" t="e">
        <v>#DIV/0!</v>
      </c>
      <c r="AU620" t="e">
        <v>#DIV/0!</v>
      </c>
      <c r="AV620"/>
      <c r="AW620"/>
      <c r="FY620" s="210">
        <v>615</v>
      </c>
      <c r="FZ620">
        <v>5.2195683846720788</v>
      </c>
      <c r="GA620">
        <v>28.72385330970997</v>
      </c>
      <c r="GB620">
        <v>13.416440573497662</v>
      </c>
      <c r="GC620">
        <v>1.6899237804542642</v>
      </c>
      <c r="GD620">
        <v>0.78113568792373211</v>
      </c>
      <c r="GE620">
        <v>0.14225726660651461</v>
      </c>
      <c r="GF620">
        <v>8.047372868025171</v>
      </c>
      <c r="GG620">
        <v>7.7231888204715782</v>
      </c>
      <c r="GH620">
        <v>0.80768982191308281</v>
      </c>
      <c r="GI620">
        <v>6.5331064179853717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37.351769179894184</v>
      </c>
      <c r="AO621">
        <v>10.329933706339263</v>
      </c>
      <c r="AP621">
        <v>108.68250936400563</v>
      </c>
      <c r="AQ621">
        <v>79.620709733823787</v>
      </c>
      <c r="AR621">
        <v>10.104450876994935</v>
      </c>
      <c r="AS621">
        <v>147.8552140659055</v>
      </c>
      <c r="AT621" t="e">
        <v>#DIV/0!</v>
      </c>
      <c r="AU621" t="e">
        <v>#DIV/0!</v>
      </c>
      <c r="AV621"/>
      <c r="AW621"/>
      <c r="FY621" s="210">
        <v>616</v>
      </c>
      <c r="FZ621">
        <v>12.884998112426231</v>
      </c>
      <c r="GA621">
        <v>30.143293350345154</v>
      </c>
      <c r="GB621">
        <v>9.352427393376427</v>
      </c>
      <c r="GC621">
        <v>1.6185136229400374</v>
      </c>
      <c r="GD621">
        <v>0.94079885342046565</v>
      </c>
      <c r="GE621">
        <v>1.4479128696271943</v>
      </c>
      <c r="GF621">
        <v>4.1483416569891753</v>
      </c>
      <c r="GG621">
        <v>2.5950337462075024</v>
      </c>
      <c r="GH621">
        <v>2.9642528399973243</v>
      </c>
      <c r="GI621">
        <v>6.187722873557977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25.051021711366538</v>
      </c>
      <c r="AO622">
        <v>7.6423738453623429</v>
      </c>
      <c r="AP622">
        <v>76.09665735106924</v>
      </c>
      <c r="AQ622">
        <v>53.514433553718284</v>
      </c>
      <c r="AR622">
        <v>7.2528538007641394</v>
      </c>
      <c r="AS622">
        <v>98.648901205680247</v>
      </c>
      <c r="AT622">
        <v>4.6870239346367848</v>
      </c>
      <c r="AU622">
        <v>-4.5260546903273493</v>
      </c>
      <c r="AV622"/>
      <c r="AW622"/>
      <c r="FY622" s="210">
        <v>617</v>
      </c>
      <c r="FZ622">
        <v>22.134642006892605</v>
      </c>
      <c r="GA622">
        <v>39.044693756547119</v>
      </c>
      <c r="GB622">
        <v>8.2204663842749568</v>
      </c>
      <c r="GC622">
        <v>1.367084408193977</v>
      </c>
      <c r="GD622">
        <v>0.98282782902722732</v>
      </c>
      <c r="GE622">
        <v>2.0558539793455489E-3</v>
      </c>
      <c r="GF622">
        <v>2.1160991719268609</v>
      </c>
      <c r="GG622">
        <v>3.8350241706017161</v>
      </c>
      <c r="GH622">
        <v>3.941517129551829</v>
      </c>
      <c r="GI622">
        <v>7.0029598214492026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17.921081349206347</v>
      </c>
      <c r="AO623">
        <v>7.1695955167595828</v>
      </c>
      <c r="AP623">
        <v>74.962229051680907</v>
      </c>
      <c r="AQ623">
        <v>50.199003940175075</v>
      </c>
      <c r="AR623">
        <v>6.7706262214613941</v>
      </c>
      <c r="AS623">
        <v>86.348832819014348</v>
      </c>
      <c r="AT623" t="e">
        <v>#DIV/0!</v>
      </c>
      <c r="AU623" t="e">
        <v>#DIV/0!</v>
      </c>
      <c r="AV623"/>
      <c r="AW623"/>
      <c r="FY623" s="210">
        <v>618</v>
      </c>
      <c r="FZ623">
        <v>4.897426446863907</v>
      </c>
      <c r="GA623">
        <v>23.113390213956603</v>
      </c>
      <c r="GB623">
        <v>12.640358037299546</v>
      </c>
      <c r="GC623">
        <v>2.2901547459076759</v>
      </c>
      <c r="GD623">
        <v>0.63948888777002266</v>
      </c>
      <c r="GE623">
        <v>1.4479128696271943</v>
      </c>
      <c r="GF623">
        <v>4.8004430369091802</v>
      </c>
      <c r="GG623">
        <v>2.6303137481197432</v>
      </c>
      <c r="GH623">
        <v>2.7812922800437998</v>
      </c>
      <c r="GI623">
        <v>5.8099124736213499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30.500064997263269</v>
      </c>
      <c r="AO624">
        <v>8.0503904137259497</v>
      </c>
      <c r="AP624">
        <v>88.265262395961955</v>
      </c>
      <c r="AQ624">
        <v>63.318899781927882</v>
      </c>
      <c r="AR624">
        <v>7.5907456896838479</v>
      </c>
      <c r="AS624">
        <v>103.34459961037129</v>
      </c>
      <c r="AT624" t="e">
        <v>#DIV/0!</v>
      </c>
      <c r="AU624" t="e">
        <v>#DIV/0!</v>
      </c>
      <c r="AV624"/>
      <c r="AW624"/>
      <c r="FY624" s="210">
        <v>619</v>
      </c>
      <c r="FZ624">
        <v>12.319836210934641</v>
      </c>
      <c r="GA624">
        <v>41.373302051019223</v>
      </c>
      <c r="GB624">
        <v>14.771100471386259</v>
      </c>
      <c r="GC624">
        <v>2.1223425715608273</v>
      </c>
      <c r="GD624">
        <v>1.043509907766665</v>
      </c>
      <c r="GE624">
        <v>2.6174787679793958</v>
      </c>
      <c r="GF624">
        <v>6.6288404245936832</v>
      </c>
      <c r="GG624">
        <v>4.0699564814214586</v>
      </c>
      <c r="GH624">
        <v>3.826571555554346</v>
      </c>
      <c r="GI624">
        <v>8.3037550753528873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58.026981846378405</v>
      </c>
      <c r="AO625">
        <v>15.630005255151982</v>
      </c>
      <c r="AP625">
        <v>172.84860110010567</v>
      </c>
      <c r="AQ625">
        <v>129.11934022027489</v>
      </c>
      <c r="AR625">
        <v>14.631303262211567</v>
      </c>
      <c r="AS625">
        <v>209.13365013270686</v>
      </c>
      <c r="AT625" t="e">
        <v>#DIV/0!</v>
      </c>
      <c r="AU625" t="e">
        <v>#DIV/0!</v>
      </c>
      <c r="AV625"/>
      <c r="AW625"/>
      <c r="FY625" s="210">
        <v>620</v>
      </c>
      <c r="FZ625">
        <v>30.009087692585901</v>
      </c>
      <c r="GA625">
        <v>49.673681638045807</v>
      </c>
      <c r="GB625">
        <v>9.0276125912024874</v>
      </c>
      <c r="GC625">
        <v>1.5978520034227022</v>
      </c>
      <c r="GD625">
        <v>0.68809645328223512</v>
      </c>
      <c r="GE625">
        <v>0.14225726660651461</v>
      </c>
      <c r="GF625">
        <v>2.6444107631351446</v>
      </c>
      <c r="GG625">
        <v>3.3825927327050538</v>
      </c>
      <c r="GH625">
        <v>4.1167793839028555</v>
      </c>
      <c r="GI625">
        <v>8.4293625445192646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37.693799603174597</v>
      </c>
      <c r="AO626">
        <v>11.526190639969311</v>
      </c>
      <c r="AP626">
        <v>114.01498894937382</v>
      </c>
      <c r="AQ626">
        <v>84.193173125236996</v>
      </c>
      <c r="AR626">
        <v>10.663555873594387</v>
      </c>
      <c r="AS626">
        <v>159.90048291821464</v>
      </c>
      <c r="AT626">
        <v>7.1079622436741809</v>
      </c>
      <c r="AU626">
        <v>35.098685304783082</v>
      </c>
      <c r="AV626"/>
      <c r="AW626"/>
      <c r="FY626" s="210">
        <v>621</v>
      </c>
      <c r="FZ626">
        <v>13.026539767285049</v>
      </c>
      <c r="GA626">
        <v>26.136415951070347</v>
      </c>
      <c r="GB626">
        <v>6.8023944113994741</v>
      </c>
      <c r="GC626">
        <v>0.89429713764544783</v>
      </c>
      <c r="GD626">
        <v>0.4731832705018354</v>
      </c>
      <c r="GE626">
        <v>1.4479128696271943</v>
      </c>
      <c r="GF626">
        <v>5.5959570317266998</v>
      </c>
      <c r="GG626">
        <v>3.2259630769284899</v>
      </c>
      <c r="GH626">
        <v>1.2774197807546503</v>
      </c>
      <c r="GI626">
        <v>5.3100029831253304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60.822288359788367</v>
      </c>
      <c r="AO627">
        <v>15.704807518998777</v>
      </c>
      <c r="AP627">
        <v>173.67233103966186</v>
      </c>
      <c r="AQ627">
        <v>132.58137348019446</v>
      </c>
      <c r="AR627">
        <v>14.809711307643756</v>
      </c>
      <c r="AS627">
        <v>216.62061478292694</v>
      </c>
      <c r="AT627">
        <v>9.4504034399457755</v>
      </c>
      <c r="AU627">
        <v>99.736183949324754</v>
      </c>
      <c r="AV627"/>
      <c r="AW627"/>
      <c r="FY627" s="210">
        <v>622</v>
      </c>
      <c r="FZ627">
        <v>21.045145817642876</v>
      </c>
      <c r="GA627">
        <v>32.295645658949745</v>
      </c>
      <c r="GB627">
        <v>6.4978847339179637</v>
      </c>
      <c r="GC627">
        <v>1.9075490465991558</v>
      </c>
      <c r="GD627">
        <v>0.46937231401857771</v>
      </c>
      <c r="GE627">
        <v>0</v>
      </c>
      <c r="GF627">
        <v>0.44565586479289071</v>
      </c>
      <c r="GG627">
        <v>0.56032688502215988</v>
      </c>
      <c r="GH627">
        <v>0.80768982191308281</v>
      </c>
      <c r="GI627">
        <v>5.2543142039097752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19.868004812078087</v>
      </c>
      <c r="AO628">
        <v>6.9854599116126392</v>
      </c>
      <c r="AP628">
        <v>67.321751380668815</v>
      </c>
      <c r="AQ628">
        <v>46.349463365913778</v>
      </c>
      <c r="AR628">
        <v>6.9184276972980667</v>
      </c>
      <c r="AS628">
        <v>81.013724076921577</v>
      </c>
      <c r="AT628" t="e">
        <v>#DIV/0!</v>
      </c>
      <c r="AU628" t="e">
        <v>#DIV/0!</v>
      </c>
      <c r="AV628"/>
      <c r="AW628"/>
      <c r="FY628" s="210">
        <v>623</v>
      </c>
      <c r="FZ628">
        <v>31.09558465147574</v>
      </c>
      <c r="GA628">
        <v>55.636970735396531</v>
      </c>
      <c r="GB628">
        <v>11.73601467702391</v>
      </c>
      <c r="GC628">
        <v>1.1580367406443246</v>
      </c>
      <c r="GD628">
        <v>0.52205576143320198</v>
      </c>
      <c r="GE628">
        <v>1.4561362855445767</v>
      </c>
      <c r="GF628">
        <v>3.9255137245927298</v>
      </c>
      <c r="GG628">
        <v>2.3998788411718408</v>
      </c>
      <c r="GH628">
        <v>1.8017786332401569</v>
      </c>
      <c r="GI628">
        <v>9.0207120932316052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36.379926108374391</v>
      </c>
      <c r="AO629">
        <v>12.344426886918116</v>
      </c>
      <c r="AP629">
        <v>133.67972927804959</v>
      </c>
      <c r="AQ629">
        <v>94.681787257559321</v>
      </c>
      <c r="AR629">
        <v>11.75717731671245</v>
      </c>
      <c r="AS629">
        <v>176.87787966978516</v>
      </c>
      <c r="AT629">
        <v>7.5744822092207835</v>
      </c>
      <c r="AU629">
        <v>30.715947909791833</v>
      </c>
      <c r="AV629"/>
      <c r="AW629"/>
      <c r="FY629" s="210">
        <v>624</v>
      </c>
      <c r="FZ629">
        <v>4.7604443331893131</v>
      </c>
      <c r="GA629">
        <v>16.834927200878649</v>
      </c>
      <c r="GB629">
        <v>10.871827451078076</v>
      </c>
      <c r="GC629">
        <v>3.4210197855133151</v>
      </c>
      <c r="GD629">
        <v>1.1499242546806414</v>
      </c>
      <c r="GE629">
        <v>1.4520245775858855</v>
      </c>
      <c r="GF629">
        <v>5.87280864542792</v>
      </c>
      <c r="GG629">
        <v>5.1572294529858294</v>
      </c>
      <c r="GH629">
        <v>3.7150644110173299</v>
      </c>
      <c r="GI629">
        <v>5.9518431044245403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47.804115923189201</v>
      </c>
      <c r="AO630">
        <v>11.175378352115002</v>
      </c>
      <c r="AP630">
        <v>118.16641898255389</v>
      </c>
      <c r="AQ630">
        <v>92.440800429312148</v>
      </c>
      <c r="AR630">
        <v>10.45584197191674</v>
      </c>
      <c r="AS630">
        <v>156.17888455110486</v>
      </c>
      <c r="AT630">
        <v>6.6271181212041492</v>
      </c>
      <c r="AU630">
        <v>42.99774917978479</v>
      </c>
      <c r="AV630"/>
      <c r="AW630"/>
      <c r="FY630" s="210">
        <v>625</v>
      </c>
      <c r="FZ630">
        <v>11.942235825745579</v>
      </c>
      <c r="GA630">
        <v>25.443809164814493</v>
      </c>
      <c r="GB630">
        <v>7.5914085305835215</v>
      </c>
      <c r="GC630">
        <v>1.3241239500575883</v>
      </c>
      <c r="GD630">
        <v>0.77365337002347345</v>
      </c>
      <c r="GE630">
        <v>1.5881142822543635</v>
      </c>
      <c r="GF630">
        <v>2.7991244347692152</v>
      </c>
      <c r="GG630">
        <v>0.58546471510698506</v>
      </c>
      <c r="GH630">
        <v>1.1624742067571674</v>
      </c>
      <c r="GI630">
        <v>4.8836875971590512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24.492508780332056</v>
      </c>
      <c r="AO631">
        <v>10.161647906199786</v>
      </c>
      <c r="AP631">
        <v>108.25964820987856</v>
      </c>
      <c r="AQ631">
        <v>73.084536931259422</v>
      </c>
      <c r="AR631">
        <v>9.6779989155430126</v>
      </c>
      <c r="AS631">
        <v>110.38980578952409</v>
      </c>
      <c r="AT631" t="e">
        <v>#DIV/0!</v>
      </c>
      <c r="AU631" t="e">
        <v>#DIV/0!</v>
      </c>
      <c r="AV631"/>
      <c r="AW631"/>
      <c r="FY631" s="210">
        <v>626</v>
      </c>
      <c r="FZ631">
        <v>13.177301426581154</v>
      </c>
      <c r="GA631">
        <v>33.949561826749729</v>
      </c>
      <c r="GB631">
        <v>12.685199655195174</v>
      </c>
      <c r="GC631">
        <v>2.3694256261841704</v>
      </c>
      <c r="GD631">
        <v>0.52559230903962439</v>
      </c>
      <c r="GE631">
        <v>3.9231343710000761</v>
      </c>
      <c r="GF631">
        <v>6.6147498451360818</v>
      </c>
      <c r="GG631">
        <v>0.19515490503566166</v>
      </c>
      <c r="GH631">
        <v>0.5812371033785837</v>
      </c>
      <c r="GI631">
        <v>6.9923920330899119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36.480620552818827</v>
      </c>
      <c r="AO632">
        <v>9.25542505816348</v>
      </c>
      <c r="AP632">
        <v>96.635501639147733</v>
      </c>
      <c r="AQ632">
        <v>72.283295318887482</v>
      </c>
      <c r="AR632">
        <v>8.8569227552428682</v>
      </c>
      <c r="AS632">
        <v>126.09532829573274</v>
      </c>
      <c r="AT632">
        <v>5.7535566083132368</v>
      </c>
      <c r="AU632">
        <v>31.032987680487189</v>
      </c>
      <c r="AV632"/>
      <c r="AW632"/>
      <c r="FY632" s="210">
        <v>627</v>
      </c>
      <c r="FZ632">
        <v>30.810236148375132</v>
      </c>
      <c r="GA632">
        <v>51.527167505745425</v>
      </c>
      <c r="GB632">
        <v>9.9469576819400523</v>
      </c>
      <c r="GC632">
        <v>1.3330196164107435</v>
      </c>
      <c r="GD632">
        <v>0.62988474931780503</v>
      </c>
      <c r="GE632">
        <v>0.42060423788150719</v>
      </c>
      <c r="GF632">
        <v>1.9029204496223997</v>
      </c>
      <c r="GG632">
        <v>2.4939396668174281</v>
      </c>
      <c r="GH632">
        <v>4.2416726207519755</v>
      </c>
      <c r="GI632">
        <v>8.5728512820097578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48.655125661375664</v>
      </c>
      <c r="AO633">
        <v>10.366773513260565</v>
      </c>
      <c r="AP633">
        <v>112.36467364160677</v>
      </c>
      <c r="AQ633">
        <v>88.647370532444825</v>
      </c>
      <c r="AR633">
        <v>10.013545306348123</v>
      </c>
      <c r="AS633">
        <v>141.09620995599323</v>
      </c>
      <c r="AT633" t="e">
        <v>#DIV/0!</v>
      </c>
      <c r="AU633" t="e">
        <v>#DIV/0!</v>
      </c>
      <c r="AV633"/>
      <c r="AW633"/>
      <c r="FY633" s="210">
        <v>628</v>
      </c>
      <c r="FZ633">
        <v>4.8823662857881818</v>
      </c>
      <c r="GA633">
        <v>18.808856275384617</v>
      </c>
      <c r="GB633">
        <v>9.5944472121803646</v>
      </c>
      <c r="GC633">
        <v>2.3333865553978508</v>
      </c>
      <c r="GD633">
        <v>1.0369985893096494</v>
      </c>
      <c r="GE633">
        <v>0.14225726660651461</v>
      </c>
      <c r="GF633">
        <v>7.8245449356287269</v>
      </c>
      <c r="GG633">
        <v>8.6276000569616134</v>
      </c>
      <c r="GH633">
        <v>3.8735021435957879</v>
      </c>
      <c r="GI633">
        <v>6.1315519082498895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26.57317665571976</v>
      </c>
      <c r="AO634">
        <v>8.6569941727874244</v>
      </c>
      <c r="AP634">
        <v>88.941730525232984</v>
      </c>
      <c r="AQ634">
        <v>61.050692740119032</v>
      </c>
      <c r="AR634">
        <v>8.4352717784187874</v>
      </c>
      <c r="AS634">
        <v>127.34524182668449</v>
      </c>
      <c r="AT634">
        <v>5.5115424573394769</v>
      </c>
      <c r="AU634">
        <v>-17.181799287868181</v>
      </c>
      <c r="AV634"/>
      <c r="AW634"/>
      <c r="FY634" s="210">
        <v>629</v>
      </c>
      <c r="FZ634">
        <v>14.23369074159889</v>
      </c>
      <c r="GA634">
        <v>38.343796255431918</v>
      </c>
      <c r="GB634">
        <v>15.495293128547626</v>
      </c>
      <c r="GC634">
        <v>2.5736210485376074</v>
      </c>
      <c r="GD634">
        <v>0.52908666307185814</v>
      </c>
      <c r="GE634">
        <v>0.28245867923368362</v>
      </c>
      <c r="GF634">
        <v>2.8386066504209717</v>
      </c>
      <c r="GG634">
        <v>2.9484553152834478</v>
      </c>
      <c r="GH634">
        <v>2.4265078951997152</v>
      </c>
      <c r="GI634">
        <v>7.4651932952500903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39.846113277686563</v>
      </c>
      <c r="AO635">
        <v>13.028829113838228</v>
      </c>
      <c r="AP635">
        <v>136.85133714730907</v>
      </c>
      <c r="AQ635">
        <v>97.076693517569367</v>
      </c>
      <c r="AR635">
        <v>12.048090386331062</v>
      </c>
      <c r="AS635">
        <v>165.91320100547594</v>
      </c>
      <c r="AT635">
        <v>7.8663622254362986</v>
      </c>
      <c r="AU635">
        <v>33.28253603280173</v>
      </c>
      <c r="AV635"/>
      <c r="AW635"/>
      <c r="FY635" s="210">
        <v>630</v>
      </c>
      <c r="FZ635">
        <v>3.9613252949482574</v>
      </c>
      <c r="GA635">
        <v>29.60803405868678</v>
      </c>
      <c r="GB635">
        <v>15.302679273658317</v>
      </c>
      <c r="GC635">
        <v>2.0923783390235133</v>
      </c>
      <c r="GD635">
        <v>0.80191510442136293</v>
      </c>
      <c r="GE635">
        <v>1.3077114570000252</v>
      </c>
      <c r="GF635">
        <v>6.6937142764395956</v>
      </c>
      <c r="GG635">
        <v>4.5811019554869139</v>
      </c>
      <c r="GH635">
        <v>0.45290543706899811</v>
      </c>
      <c r="GI635">
        <v>6.5674368671180225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54.682621214194491</v>
      </c>
      <c r="AO636">
        <v>12.666802139636284</v>
      </c>
      <c r="AP636">
        <v>140.26665847790474</v>
      </c>
      <c r="AQ636">
        <v>109.71173306940797</v>
      </c>
      <c r="AR636">
        <v>12.195039504544672</v>
      </c>
      <c r="AS636">
        <v>187.84272580201394</v>
      </c>
      <c r="AT636" t="e">
        <v>#DIV/0!</v>
      </c>
      <c r="AU636" t="e">
        <v>#DIV/0!</v>
      </c>
      <c r="AV636"/>
      <c r="AW636"/>
      <c r="FY636" s="210">
        <v>631</v>
      </c>
      <c r="FZ636">
        <v>8.4001502148878266</v>
      </c>
      <c r="GA636">
        <v>15.276417454561981</v>
      </c>
      <c r="GB636">
        <v>8.5135592860119917</v>
      </c>
      <c r="GC636">
        <v>2.5565632091646489</v>
      </c>
      <c r="GD636">
        <v>0.67557916694794806</v>
      </c>
      <c r="GE636">
        <v>1.3097673109793708</v>
      </c>
      <c r="GF636">
        <v>2.6303201836775441</v>
      </c>
      <c r="GG636">
        <v>0.43734022289411706</v>
      </c>
      <c r="GH636">
        <v>2.5548395615093007</v>
      </c>
      <c r="GI636">
        <v>4.7803313770271982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30.093435846560851</v>
      </c>
      <c r="AO637">
        <v>7.9799749581132646</v>
      </c>
      <c r="AP637">
        <v>85.066536908458531</v>
      </c>
      <c r="AQ637">
        <v>64.19008628006452</v>
      </c>
      <c r="AR637">
        <v>7.5565021426021648</v>
      </c>
      <c r="AS637">
        <v>102.4270960894917</v>
      </c>
      <c r="AT637" t="e">
        <v>#DIV/0!</v>
      </c>
      <c r="AU637" t="e">
        <v>#DIV/0!</v>
      </c>
      <c r="AV637"/>
      <c r="AW637"/>
      <c r="FY637" s="210">
        <v>632</v>
      </c>
      <c r="FZ637">
        <v>19.974975296255725</v>
      </c>
      <c r="GA637">
        <v>41.053635526706891</v>
      </c>
      <c r="GB637">
        <v>10.976664603869988</v>
      </c>
      <c r="GC637">
        <v>2.2941921563195136</v>
      </c>
      <c r="GD637">
        <v>1.0741670359584126</v>
      </c>
      <c r="GE637">
        <v>2.7556243266272196</v>
      </c>
      <c r="GF637">
        <v>10.342376387331106</v>
      </c>
      <c r="GG637">
        <v>7.4983274704243232</v>
      </c>
      <c r="GH637">
        <v>3.2453344521757623</v>
      </c>
      <c r="GI637">
        <v>9.0342184725008448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41.476884920634916</v>
      </c>
      <c r="AO638">
        <v>7.8534768063988611</v>
      </c>
      <c r="AP638">
        <v>84.850124182064704</v>
      </c>
      <c r="AQ638">
        <v>69.283584346766219</v>
      </c>
      <c r="AR638">
        <v>7.4320393097924216</v>
      </c>
      <c r="AS638">
        <v>128.1577192453579</v>
      </c>
      <c r="AT638" t="e">
        <v>#DIV/0!</v>
      </c>
      <c r="AU638" t="e">
        <v>#DIV/0!</v>
      </c>
      <c r="AV638"/>
      <c r="AW638"/>
      <c r="FY638" s="210">
        <v>633</v>
      </c>
      <c r="FZ638">
        <v>3.7769466696456857</v>
      </c>
      <c r="GA638">
        <v>26.626890233456152</v>
      </c>
      <c r="GB638">
        <v>16.886069275837023</v>
      </c>
      <c r="GC638">
        <v>3.830361665748987</v>
      </c>
      <c r="GD638">
        <v>1.190626364598121</v>
      </c>
      <c r="GE638">
        <v>1.5881142822543635</v>
      </c>
      <c r="GF638">
        <v>5.87280864542792</v>
      </c>
      <c r="GG638">
        <v>3.6381654697377823</v>
      </c>
      <c r="GH638">
        <v>0.80768982191308281</v>
      </c>
      <c r="GI638">
        <v>6.9664360230312923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58.407406267104548</v>
      </c>
      <c r="AO639">
        <v>13.620311563750525</v>
      </c>
      <c r="AP639">
        <v>151.78095591351595</v>
      </c>
      <c r="AQ639">
        <v>118.75268214375463</v>
      </c>
      <c r="AR639">
        <v>12.821721898410924</v>
      </c>
      <c r="AS639">
        <v>213.20163554536268</v>
      </c>
      <c r="AT639">
        <v>8.1108622250397833</v>
      </c>
      <c r="AU639">
        <v>75.825828853656063</v>
      </c>
      <c r="AV639"/>
      <c r="AW639"/>
      <c r="FY639" s="210">
        <v>634</v>
      </c>
      <c r="FZ639">
        <v>19.691090726869213</v>
      </c>
      <c r="GA639">
        <v>42.372710753808548</v>
      </c>
      <c r="GB639">
        <v>11.430330186534459</v>
      </c>
      <c r="GC639">
        <v>1.8922923470728257</v>
      </c>
      <c r="GD639">
        <v>0.74190277785291558</v>
      </c>
      <c r="GE639">
        <v>1.3118231649587164</v>
      </c>
      <c r="GF639">
        <v>6.4708863440431506</v>
      </c>
      <c r="GG639">
        <v>4.2159299755004156</v>
      </c>
      <c r="GH639">
        <v>1.5038724992891495</v>
      </c>
      <c r="GI639">
        <v>7.8736725085622377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29.330172983944539</v>
      </c>
      <c r="AO640">
        <v>8.9227227081244358</v>
      </c>
      <c r="AP640">
        <v>83.357600774605885</v>
      </c>
      <c r="AQ640">
        <v>59.187113216781505</v>
      </c>
      <c r="AR640">
        <v>8.5703105818713095</v>
      </c>
      <c r="AS640">
        <v>107.87489626238253</v>
      </c>
      <c r="AT640">
        <v>5.6601940720519366</v>
      </c>
      <c r="AU640">
        <v>-2.6874411535009495</v>
      </c>
      <c r="AV640"/>
      <c r="AW640"/>
      <c r="FY640" s="210">
        <v>635</v>
      </c>
      <c r="FZ640">
        <v>3.9729085306266554</v>
      </c>
      <c r="GA640">
        <v>26.445797579933643</v>
      </c>
      <c r="GB640">
        <v>13.530175928407312</v>
      </c>
      <c r="GC640">
        <v>2.2084425572315105</v>
      </c>
      <c r="GD640">
        <v>1.0114560110599591</v>
      </c>
      <c r="GE640">
        <v>1.5901701362337088</v>
      </c>
      <c r="GF640">
        <v>7.43520458995234</v>
      </c>
      <c r="GG640">
        <v>5.4697550213745396</v>
      </c>
      <c r="GH640">
        <v>1.8418323623606643</v>
      </c>
      <c r="GI640">
        <v>6.5184144748810384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32.181462666484215</v>
      </c>
      <c r="AO641">
        <v>7.1735255348302855</v>
      </c>
      <c r="AP641">
        <v>74.280428720992504</v>
      </c>
      <c r="AQ641">
        <v>58.094096077271452</v>
      </c>
      <c r="AR641">
        <v>6.8171801160361358</v>
      </c>
      <c r="AS641">
        <v>101.7692684953206</v>
      </c>
      <c r="AT641" t="e">
        <v>#DIV/0!</v>
      </c>
      <c r="AU641" t="e">
        <v>#DIV/0!</v>
      </c>
      <c r="AV641"/>
      <c r="AW641"/>
      <c r="FY641" s="210">
        <v>636</v>
      </c>
      <c r="FZ641">
        <v>5.4432039669375047</v>
      </c>
      <c r="GA641">
        <v>22.288927724616787</v>
      </c>
      <c r="GB641">
        <v>13.030171401452789</v>
      </c>
      <c r="GC641">
        <v>2.6401942320442418</v>
      </c>
      <c r="GD641">
        <v>0.86233827924593942</v>
      </c>
      <c r="GE641">
        <v>1.3118231649587164</v>
      </c>
      <c r="GF641">
        <v>5.5419333504219246</v>
      </c>
      <c r="GG641">
        <v>4.1084817306805563</v>
      </c>
      <c r="GH641">
        <v>2.028231351774656</v>
      </c>
      <c r="GI641">
        <v>6.1801567565214839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32.180390211640216</v>
      </c>
      <c r="AO642">
        <v>10.803632015918499</v>
      </c>
      <c r="AP642">
        <v>110.32878131326299</v>
      </c>
      <c r="AQ642">
        <v>81.013749101390161</v>
      </c>
      <c r="AR642">
        <v>9.8257333052707558</v>
      </c>
      <c r="AS642">
        <v>127.04863207647547</v>
      </c>
      <c r="AT642" t="e">
        <v>#DIV/0!</v>
      </c>
      <c r="AU642" t="e">
        <v>#DIV/0!</v>
      </c>
      <c r="AV642"/>
      <c r="AW642"/>
      <c r="FY642" s="210">
        <v>637</v>
      </c>
      <c r="FZ642">
        <v>21.930178207579171</v>
      </c>
      <c r="GA642">
        <v>42.481392027482229</v>
      </c>
      <c r="GB642">
        <v>12.127975325853328</v>
      </c>
      <c r="GC642">
        <v>2.2734915021952995</v>
      </c>
      <c r="GD642">
        <v>0.72627031234991768</v>
      </c>
      <c r="GE642">
        <v>2.0558539793455489E-3</v>
      </c>
      <c r="GF642">
        <v>0.22282793239644536</v>
      </c>
      <c r="GG642">
        <v>0.53518905493733482</v>
      </c>
      <c r="GH642">
        <v>1.6153796438261656</v>
      </c>
      <c r="GI642">
        <v>7.1369494943909002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55.619990079365081</v>
      </c>
      <c r="AO643">
        <v>12.693061711802791</v>
      </c>
      <c r="AP643">
        <v>141.78740376837621</v>
      </c>
      <c r="AQ643">
        <v>111.8792539588722</v>
      </c>
      <c r="AR643">
        <v>12.306157487974968</v>
      </c>
      <c r="AS643">
        <v>178.378330532305</v>
      </c>
      <c r="AT643" t="e">
        <v>#DIV/0!</v>
      </c>
      <c r="AU643" t="e">
        <v>#DIV/0!</v>
      </c>
      <c r="AV643"/>
      <c r="AW643"/>
      <c r="FY643" s="210">
        <v>638</v>
      </c>
      <c r="FZ643">
        <v>4.1316673322015864</v>
      </c>
      <c r="GA643">
        <v>20.937081446546589</v>
      </c>
      <c r="GB643">
        <v>10.347877613733658</v>
      </c>
      <c r="GC643">
        <v>1.8325345308811749</v>
      </c>
      <c r="GD643">
        <v>0.88976556272071394</v>
      </c>
      <c r="GE643">
        <v>1.4479128696271943</v>
      </c>
      <c r="GF643">
        <v>4.300763490811514</v>
      </c>
      <c r="GG643">
        <v>2.9525055168496497</v>
      </c>
      <c r="GH643">
        <v>1.3320486743985893</v>
      </c>
      <c r="GI643">
        <v>4.863879723616396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22.060465129538407</v>
      </c>
      <c r="AO644">
        <v>9.3647859117781245</v>
      </c>
      <c r="AP644">
        <v>93.793458904214219</v>
      </c>
      <c r="AQ644">
        <v>63.255511229103192</v>
      </c>
      <c r="AR644">
        <v>9.1717753011810608</v>
      </c>
      <c r="AS644">
        <v>93.171671913882363</v>
      </c>
      <c r="AT644" t="e">
        <v>#DIV/0!</v>
      </c>
      <c r="AU644" t="e">
        <v>#DIV/0!</v>
      </c>
      <c r="AV644"/>
      <c r="AW644"/>
      <c r="FY644" s="210">
        <v>639</v>
      </c>
      <c r="FZ644">
        <v>14.254512284919763</v>
      </c>
      <c r="GA644">
        <v>27.39150944292027</v>
      </c>
      <c r="GB644">
        <v>9.7907012900375534</v>
      </c>
      <c r="GC644">
        <v>2.2029251826818785</v>
      </c>
      <c r="GD644">
        <v>0.77833387716203983</v>
      </c>
      <c r="GE644">
        <v>2.7556243266272196</v>
      </c>
      <c r="GF644">
        <v>8.8243549140194748</v>
      </c>
      <c r="GG644">
        <v>4.2410678055852404</v>
      </c>
      <c r="GH644">
        <v>0.69618267737606665</v>
      </c>
      <c r="GI644">
        <v>7.0278749068213626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32.449007936507932</v>
      </c>
      <c r="AO645">
        <v>11.34992608820092</v>
      </c>
      <c r="AP645">
        <v>123.19508401586724</v>
      </c>
      <c r="AQ645">
        <v>87.136709672575805</v>
      </c>
      <c r="AR645">
        <v>11.01555081772581</v>
      </c>
      <c r="AS645">
        <v>160.58950024534292</v>
      </c>
      <c r="AT645" t="e">
        <v>#DIV/0!</v>
      </c>
      <c r="AU645" t="e">
        <v>#DIV/0!</v>
      </c>
      <c r="AV645"/>
      <c r="AW645"/>
      <c r="FY645" s="210">
        <v>640</v>
      </c>
      <c r="FZ645">
        <v>12.77793173605027</v>
      </c>
      <c r="GA645">
        <v>26.553624087379838</v>
      </c>
      <c r="GB645">
        <v>8.5998975075428312</v>
      </c>
      <c r="GC645">
        <v>2.1732221012951434</v>
      </c>
      <c r="GD645">
        <v>0.91158123912192757</v>
      </c>
      <c r="GE645">
        <v>1.3077114570000252</v>
      </c>
      <c r="GF645">
        <v>9.3571078745933747</v>
      </c>
      <c r="GG645">
        <v>6.7802523347224453</v>
      </c>
      <c r="GH645">
        <v>1.858656884133234</v>
      </c>
      <c r="GI645">
        <v>6.9067907593019937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21.231035052910052</v>
      </c>
      <c r="AO646">
        <v>10.345854564759495</v>
      </c>
      <c r="AP646">
        <v>108.66102830584438</v>
      </c>
      <c r="AQ646">
        <v>71.369202063851759</v>
      </c>
      <c r="AR646">
        <v>9.7426924797338152</v>
      </c>
      <c r="AS646">
        <v>165.15779626689897</v>
      </c>
      <c r="AT646" t="e">
        <v>#DIV/0!</v>
      </c>
      <c r="AU646" t="e">
        <v>#DIV/0!</v>
      </c>
      <c r="AV646"/>
      <c r="AW646"/>
      <c r="FY646" s="210">
        <v>641</v>
      </c>
      <c r="FZ646">
        <v>5.5961402434940055</v>
      </c>
      <c r="GA646">
        <v>10.818438606738654</v>
      </c>
      <c r="GB646">
        <v>4.6119070098026977</v>
      </c>
      <c r="GC646">
        <v>1.2779201721116584</v>
      </c>
      <c r="GD646">
        <v>0.83539782962088038</v>
      </c>
      <c r="GE646">
        <v>0.28040282525433813</v>
      </c>
      <c r="GF646">
        <v>6.4023211970853584</v>
      </c>
      <c r="GG646">
        <v>7.6638895833776655</v>
      </c>
      <c r="GH646">
        <v>2.4376446302626795</v>
      </c>
      <c r="GI646">
        <v>4.2442744950574305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21.428421478744752</v>
      </c>
      <c r="AO647">
        <v>6.675299102139026</v>
      </c>
      <c r="AP647">
        <v>64.460655147806008</v>
      </c>
      <c r="AQ647">
        <v>47.13486798766192</v>
      </c>
      <c r="AR647">
        <v>6.8238102950981601</v>
      </c>
      <c r="AS647">
        <v>92.026592948005586</v>
      </c>
      <c r="AT647" t="e">
        <v>#DIV/0!</v>
      </c>
      <c r="AU647" t="e">
        <v>#DIV/0!</v>
      </c>
      <c r="AV647"/>
      <c r="AW647"/>
      <c r="FY647" s="210">
        <v>642</v>
      </c>
      <c r="FZ647">
        <v>14.187934947033376</v>
      </c>
      <c r="GA647">
        <v>40.5577528490332</v>
      </c>
      <c r="GB647">
        <v>15.053736735967897</v>
      </c>
      <c r="GC647">
        <v>2.1228702326368127</v>
      </c>
      <c r="GD647">
        <v>0.57730883229315766</v>
      </c>
      <c r="GE647">
        <v>2.0558539793455489E-3</v>
      </c>
      <c r="GF647">
        <v>6.4023211970853584</v>
      </c>
      <c r="GG647">
        <v>7.2443917416553143</v>
      </c>
      <c r="GH647">
        <v>2.4811367888436542</v>
      </c>
      <c r="GI647">
        <v>8.065226680206429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51.833977034300311</v>
      </c>
      <c r="AO648">
        <v>13.937251423958482</v>
      </c>
      <c r="AP648">
        <v>142.95739628605264</v>
      </c>
      <c r="AQ648">
        <v>108.24951572816978</v>
      </c>
      <c r="AR648">
        <v>12.832065233563419</v>
      </c>
      <c r="AS648">
        <v>187.9795423587901</v>
      </c>
      <c r="AT648">
        <v>8.305482727084545</v>
      </c>
      <c r="AU648">
        <v>46.613704346010515</v>
      </c>
      <c r="AV648"/>
      <c r="AW648"/>
      <c r="FY648" s="210">
        <v>643</v>
      </c>
      <c r="FZ648">
        <v>3.4512880271446247</v>
      </c>
      <c r="GA648">
        <v>16.964800239923409</v>
      </c>
      <c r="GB648">
        <v>9.9531945654233702</v>
      </c>
      <c r="GC648">
        <v>1.769436117044918</v>
      </c>
      <c r="GD648">
        <v>0.44919237890066849</v>
      </c>
      <c r="GE648">
        <v>4.1117079586910979E-3</v>
      </c>
      <c r="GF648">
        <v>2.669802399329301</v>
      </c>
      <c r="GG648">
        <v>3.2198286647929297</v>
      </c>
      <c r="GH648">
        <v>1.1055959558640902</v>
      </c>
      <c r="GI648">
        <v>4.0472591070790065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30.339962484035759</v>
      </c>
      <c r="AO649">
        <v>10.67060153629048</v>
      </c>
      <c r="AP649">
        <v>104.73441695329757</v>
      </c>
      <c r="AQ649">
        <v>71.184108451650431</v>
      </c>
      <c r="AR649">
        <v>10.132654822888718</v>
      </c>
      <c r="AS649">
        <v>120.02767716441092</v>
      </c>
      <c r="AT649">
        <v>6.5785670106337006</v>
      </c>
      <c r="AU649">
        <v>-17.898166583295971</v>
      </c>
      <c r="AV649"/>
      <c r="AW649"/>
      <c r="FY649" s="210">
        <v>644</v>
      </c>
      <c r="FZ649">
        <v>14.253971457156149</v>
      </c>
      <c r="GA649">
        <v>34.487125015412424</v>
      </c>
      <c r="GB649">
        <v>11.588554916636692</v>
      </c>
      <c r="GC649">
        <v>1.6268051293036692</v>
      </c>
      <c r="GD649">
        <v>0.75697799126346066</v>
      </c>
      <c r="GE649">
        <v>0.14020141262716906</v>
      </c>
      <c r="GF649">
        <v>7.2804909183182698</v>
      </c>
      <c r="GG649">
        <v>8.5163638057441222</v>
      </c>
      <c r="GH649">
        <v>3.1338273076387462</v>
      </c>
      <c r="GI649">
        <v>7.6277777141305956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45.337680738004025</v>
      </c>
      <c r="AO650">
        <v>12.045172239697242</v>
      </c>
      <c r="AP650">
        <v>129.07904777337941</v>
      </c>
      <c r="AQ650">
        <v>97.504511284491613</v>
      </c>
      <c r="AR650">
        <v>11.257805723868016</v>
      </c>
      <c r="AS650">
        <v>148.09764158466135</v>
      </c>
      <c r="AT650">
        <v>7.1246590019526694</v>
      </c>
      <c r="AU650">
        <v>41.718334934315919</v>
      </c>
      <c r="AV650"/>
      <c r="AW650"/>
      <c r="FY650" s="210">
        <v>645</v>
      </c>
      <c r="FZ650">
        <v>20.312682191193261</v>
      </c>
      <c r="GA650">
        <v>44.070746298019003</v>
      </c>
      <c r="GB650">
        <v>12.773951156550336</v>
      </c>
      <c r="GC650">
        <v>2.3184901353160545</v>
      </c>
      <c r="GD650">
        <v>0.73027692421079748</v>
      </c>
      <c r="GE650">
        <v>0.28040282525433813</v>
      </c>
      <c r="GF650">
        <v>2.9656368480491553</v>
      </c>
      <c r="GG650">
        <v>5.2372359038572807</v>
      </c>
      <c r="GH650">
        <v>4.8206603668814205</v>
      </c>
      <c r="GI650">
        <v>8.1406617068189586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28.534770685093957</v>
      </c>
      <c r="AO651">
        <v>10.03621238557233</v>
      </c>
      <c r="AP651">
        <v>102.360905145093</v>
      </c>
      <c r="AQ651">
        <v>70.024157192061367</v>
      </c>
      <c r="AR651">
        <v>9.4821601820718495</v>
      </c>
      <c r="AS651">
        <v>127.69710299106404</v>
      </c>
      <c r="AT651">
        <v>6.3172788597890674</v>
      </c>
      <c r="AU651">
        <v>-6.1388272764511065</v>
      </c>
      <c r="AV651"/>
      <c r="AW651"/>
      <c r="FY651" s="210">
        <v>646</v>
      </c>
      <c r="FZ651">
        <v>13.363928819401757</v>
      </c>
      <c r="GA651">
        <v>30.308577623696493</v>
      </c>
      <c r="GB651">
        <v>12.219354118945464</v>
      </c>
      <c r="GC651">
        <v>2.9290128695580311</v>
      </c>
      <c r="GD651">
        <v>0.84006511857216837</v>
      </c>
      <c r="GE651">
        <v>0.28245867923368362</v>
      </c>
      <c r="GF651">
        <v>2.1447312170374793</v>
      </c>
      <c r="GG651">
        <v>2.35573759313775</v>
      </c>
      <c r="GH651">
        <v>3.2376361465732648</v>
      </c>
      <c r="GI651">
        <v>6.5666130837848824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22.669692460317457</v>
      </c>
      <c r="AO652">
        <v>9.3038883572068265</v>
      </c>
      <c r="AP652">
        <v>93.180943383298427</v>
      </c>
      <c r="AQ652">
        <v>63.435461958654614</v>
      </c>
      <c r="AR652">
        <v>9.0259458367770193</v>
      </c>
      <c r="AS652">
        <v>110.03369667327384</v>
      </c>
      <c r="AT652">
        <v>6.0132014822039608</v>
      </c>
      <c r="AU652">
        <v>-1.790681217997701</v>
      </c>
      <c r="AV652"/>
      <c r="AW652"/>
      <c r="FY652" s="210">
        <v>647</v>
      </c>
      <c r="FZ652">
        <v>3.0751976109457155</v>
      </c>
      <c r="GA652">
        <v>17.934490244228197</v>
      </c>
      <c r="GB652">
        <v>7.5162296185726198</v>
      </c>
      <c r="GC652">
        <v>1.1525314305212062</v>
      </c>
      <c r="GD652">
        <v>0.95458229877305012</v>
      </c>
      <c r="GE652">
        <v>0.28451453321302922</v>
      </c>
      <c r="GF652">
        <v>2.9656368480491553</v>
      </c>
      <c r="GG652">
        <v>3.8881889955600695</v>
      </c>
      <c r="GH652">
        <v>2.2546840703091551</v>
      </c>
      <c r="GI652">
        <v>3.9907409900621591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43.48893849206349</v>
      </c>
      <c r="AO653">
        <v>10.649908195518258</v>
      </c>
      <c r="AP653">
        <v>116.47286313673449</v>
      </c>
      <c r="AQ653">
        <v>89.051709354990123</v>
      </c>
      <c r="AR653">
        <v>10.296545214831152</v>
      </c>
      <c r="AS653">
        <v>154.37923901733501</v>
      </c>
      <c r="AT653" t="e">
        <v>#DIV/0!</v>
      </c>
      <c r="AU653" t="e">
        <v>#DIV/0!</v>
      </c>
      <c r="AV653"/>
      <c r="AW653"/>
      <c r="FY653" s="210">
        <v>648</v>
      </c>
      <c r="FZ653">
        <v>12.965611008668629</v>
      </c>
      <c r="GA653">
        <v>32.270791891825027</v>
      </c>
      <c r="GB653">
        <v>11.016546851196766</v>
      </c>
      <c r="GC653">
        <v>1.8586856374952345</v>
      </c>
      <c r="GD653">
        <v>0.5885779120534973</v>
      </c>
      <c r="GE653">
        <v>1.3097673109793708</v>
      </c>
      <c r="GF653">
        <v>5.0962774856290345</v>
      </c>
      <c r="GG653">
        <v>3.1286570039360462</v>
      </c>
      <c r="GH653">
        <v>1.6153796438261656</v>
      </c>
      <c r="GI653">
        <v>6.4741948488103178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24.195633780332059</v>
      </c>
      <c r="AO654">
        <v>7.4462206781797233</v>
      </c>
      <c r="AP654">
        <v>74.611311990556047</v>
      </c>
      <c r="AQ654">
        <v>53.036036761387066</v>
      </c>
      <c r="AR654">
        <v>6.9502700738514882</v>
      </c>
      <c r="AS654">
        <v>112.87811228847976</v>
      </c>
      <c r="AT654" t="e">
        <v>#DIV/0!</v>
      </c>
      <c r="AU654" t="e">
        <v>#DIV/0!</v>
      </c>
      <c r="AV654"/>
      <c r="AW654"/>
      <c r="FY654" s="210">
        <v>649</v>
      </c>
      <c r="FZ654">
        <v>20.529281071480167</v>
      </c>
      <c r="GA654">
        <v>33.124737642323673</v>
      </c>
      <c r="GB654">
        <v>7.7317186686916957</v>
      </c>
      <c r="GC654">
        <v>2.0208158852925564</v>
      </c>
      <c r="GD654">
        <v>0.53791112908633787</v>
      </c>
      <c r="GE654">
        <v>0.14020141262716906</v>
      </c>
      <c r="GF654">
        <v>4.2608303889643402</v>
      </c>
      <c r="GG654">
        <v>4.9211785472629339</v>
      </c>
      <c r="GH654">
        <v>2.7244140291507226</v>
      </c>
      <c r="GI654">
        <v>6.6685719871400133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38.624518222039768</v>
      </c>
      <c r="AO655">
        <v>10.52386373691858</v>
      </c>
      <c r="AP655">
        <v>105.59380687687319</v>
      </c>
      <c r="AQ655">
        <v>77.963086708150897</v>
      </c>
      <c r="AR655">
        <v>9.9810657979429021</v>
      </c>
      <c r="AS655">
        <v>135.54347839034142</v>
      </c>
      <c r="AT655" t="e">
        <v>#DIV/0!</v>
      </c>
      <c r="AU655" t="e">
        <v>#DIV/0!</v>
      </c>
      <c r="AV655"/>
      <c r="AW655"/>
      <c r="FY655" s="210">
        <v>650</v>
      </c>
      <c r="FZ655">
        <v>3.1435165879634113</v>
      </c>
      <c r="GA655">
        <v>18.514869853156284</v>
      </c>
      <c r="GB655">
        <v>12.085336875271281</v>
      </c>
      <c r="GC655">
        <v>3.2521544989937072</v>
      </c>
      <c r="GD655">
        <v>0.98088118777540489</v>
      </c>
      <c r="GE655">
        <v>0.14225726660651461</v>
      </c>
      <c r="GF655">
        <v>2.669802399329301</v>
      </c>
      <c r="GG655">
        <v>3.3898457397437669</v>
      </c>
      <c r="GH655">
        <v>1.913285777777173</v>
      </c>
      <c r="GI655">
        <v>5.0170915604053876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33.410812351760619</v>
      </c>
      <c r="AO656">
        <v>10.436616018274121</v>
      </c>
      <c r="AP656">
        <v>105.71047901431474</v>
      </c>
      <c r="AQ656">
        <v>77.226775981141103</v>
      </c>
      <c r="AR656">
        <v>9.9672309135703649</v>
      </c>
      <c r="AS656">
        <v>157.32091710093937</v>
      </c>
      <c r="AT656" t="e">
        <v>#DIV/0!</v>
      </c>
      <c r="AU656" t="e">
        <v>#DIV/0!</v>
      </c>
      <c r="AV656"/>
      <c r="AW656"/>
      <c r="FY656" s="210">
        <v>651</v>
      </c>
      <c r="FZ656">
        <v>4.0445048015295137</v>
      </c>
      <c r="GA656">
        <v>24.498458552375233</v>
      </c>
      <c r="GB656">
        <v>11.116398312462712</v>
      </c>
      <c r="GC656">
        <v>1.3435436072846982</v>
      </c>
      <c r="GD656">
        <v>0.92020882812982596</v>
      </c>
      <c r="GE656">
        <v>1.4499687236065399</v>
      </c>
      <c r="GF656">
        <v>7.4638366350629592</v>
      </c>
      <c r="GG656">
        <v>6.6885622605049946</v>
      </c>
      <c r="GH656">
        <v>4.8775386177744977</v>
      </c>
      <c r="GI656">
        <v>6.4305799688291216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19.450727513227513</v>
      </c>
      <c r="AO657">
        <v>6.4423084279175855</v>
      </c>
      <c r="AP657">
        <v>62.905404385139391</v>
      </c>
      <c r="AQ657">
        <v>44.168336592805375</v>
      </c>
      <c r="AR657">
        <v>6.2943934986526404</v>
      </c>
      <c r="AS657">
        <v>75.611355017667663</v>
      </c>
      <c r="AT657" t="e">
        <v>#DIV/0!</v>
      </c>
      <c r="AU657" t="e">
        <v>#DIV/0!</v>
      </c>
      <c r="AV657"/>
      <c r="AW657"/>
      <c r="FY657" s="210">
        <v>652</v>
      </c>
      <c r="FZ657">
        <v>22.449018830671157</v>
      </c>
      <c r="GA657">
        <v>47.351664105814834</v>
      </c>
      <c r="GB657">
        <v>14.518319191920359</v>
      </c>
      <c r="GC657">
        <v>2.496447806059944</v>
      </c>
      <c r="GD657">
        <v>0.70631986024282978</v>
      </c>
      <c r="GE657">
        <v>2.6174787679793958</v>
      </c>
      <c r="GF657">
        <v>11.23628853466619</v>
      </c>
      <c r="GG657">
        <v>6.7153370988535395</v>
      </c>
      <c r="GH657">
        <v>1.5038724992891495</v>
      </c>
      <c r="GI657">
        <v>10.110760510508031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36.278042328042332</v>
      </c>
      <c r="AO658">
        <v>12.47414460074193</v>
      </c>
      <c r="AP658">
        <v>135.57394910699864</v>
      </c>
      <c r="AQ658">
        <v>96.69473585873456</v>
      </c>
      <c r="AR658">
        <v>11.821471833934261</v>
      </c>
      <c r="AS658">
        <v>141.2028478272388</v>
      </c>
      <c r="AT658" t="e">
        <v>#DIV/0!</v>
      </c>
      <c r="AU658" t="e">
        <v>#DIV/0!</v>
      </c>
      <c r="AV658"/>
      <c r="AW658"/>
      <c r="FY658" s="210">
        <v>653</v>
      </c>
      <c r="FZ658">
        <v>23.765590369295648</v>
      </c>
      <c r="GA658">
        <v>55.692103806563566</v>
      </c>
      <c r="GB658">
        <v>16.902557877898239</v>
      </c>
      <c r="GC658">
        <v>1.9958691201497927</v>
      </c>
      <c r="GD658">
        <v>1.1303884575600829</v>
      </c>
      <c r="GE658">
        <v>0.42060423788150719</v>
      </c>
      <c r="GF658">
        <v>1.5720451546164049</v>
      </c>
      <c r="GG658">
        <v>2.9642559277602025</v>
      </c>
      <c r="GH658">
        <v>5.2323230026185819</v>
      </c>
      <c r="GI658">
        <v>9.745778800237467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20.479247058018611</v>
      </c>
      <c r="AO659">
        <v>6.1150828577801928</v>
      </c>
      <c r="AP659">
        <v>63.556632052772741</v>
      </c>
      <c r="AQ659">
        <v>43.634509163461004</v>
      </c>
      <c r="AR659">
        <v>5.9209368388272861</v>
      </c>
      <c r="AS659">
        <v>84.335329288036291</v>
      </c>
      <c r="AT659" t="e">
        <v>#DIV/0!</v>
      </c>
      <c r="AU659" t="e">
        <v>#DIV/0!</v>
      </c>
      <c r="AV659"/>
      <c r="AW659"/>
      <c r="FY659" s="210">
        <v>654</v>
      </c>
      <c r="FZ659">
        <v>4.3250887236002411</v>
      </c>
      <c r="GA659">
        <v>18.295396383861053</v>
      </c>
      <c r="GB659">
        <v>10.706270032270389</v>
      </c>
      <c r="GC659">
        <v>2.3868529259747335</v>
      </c>
      <c r="GD659">
        <v>0.84623336440941888</v>
      </c>
      <c r="GE659">
        <v>2.7556243266272196</v>
      </c>
      <c r="GF659">
        <v>9.8713288863440578</v>
      </c>
      <c r="GG659">
        <v>6.3412326616902641</v>
      </c>
      <c r="GH659">
        <v>2.1397384963116721</v>
      </c>
      <c r="GI659">
        <v>6.3013599055996732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35.556561872833427</v>
      </c>
      <c r="AO660">
        <v>11.748697522438963</v>
      </c>
      <c r="AP660">
        <v>125.93661274780899</v>
      </c>
      <c r="AQ660">
        <v>89.412095668231302</v>
      </c>
      <c r="AR660">
        <v>11.279031104864879</v>
      </c>
      <c r="AS660">
        <v>177.85521710412604</v>
      </c>
      <c r="AT660" t="e">
        <v>#DIV/0!</v>
      </c>
      <c r="AU660" t="e">
        <v>#DIV/0!</v>
      </c>
      <c r="AV660"/>
      <c r="AW660"/>
      <c r="FY660" s="210">
        <v>655</v>
      </c>
      <c r="FZ660">
        <v>11.815810082130152</v>
      </c>
      <c r="GA660">
        <v>25.613944591118148</v>
      </c>
      <c r="GB660">
        <v>7.8054047591111138</v>
      </c>
      <c r="GC660">
        <v>1.0606577344446617</v>
      </c>
      <c r="GD660">
        <v>0.41883640217034329</v>
      </c>
      <c r="GE660">
        <v>3.9231343710000761</v>
      </c>
      <c r="GF660">
        <v>13.045703087332059</v>
      </c>
      <c r="GG660">
        <v>6.5497749859001972</v>
      </c>
      <c r="GH660">
        <v>2.3115623212022323</v>
      </c>
      <c r="GI660">
        <v>7.1014158384909081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45.267890211640207</v>
      </c>
      <c r="AO661">
        <v>12.60856202894532</v>
      </c>
      <c r="AP661">
        <v>135.97478111860949</v>
      </c>
      <c r="AQ661">
        <v>101.65074435615062</v>
      </c>
      <c r="AR661">
        <v>11.870736560732595</v>
      </c>
      <c r="AS661">
        <v>165.89776761023393</v>
      </c>
      <c r="AT661" t="e">
        <v>#DIV/0!</v>
      </c>
      <c r="AU661" t="e">
        <v>#DIV/0!</v>
      </c>
      <c r="AV661"/>
      <c r="AW661"/>
      <c r="FY661" s="210">
        <v>656</v>
      </c>
      <c r="FZ661">
        <v>12.522723273558809</v>
      </c>
      <c r="GA661">
        <v>28.856960896642128</v>
      </c>
      <c r="GB661">
        <v>9.2309748289029905</v>
      </c>
      <c r="GC661">
        <v>1.4419416128838094</v>
      </c>
      <c r="GD661">
        <v>0.36730016435870527</v>
      </c>
      <c r="GE661">
        <v>1.3097673109793708</v>
      </c>
      <c r="GF661">
        <v>5.1313183319151747</v>
      </c>
      <c r="GG661">
        <v>5.1981254536730628</v>
      </c>
      <c r="GH661">
        <v>3.5432405861267702</v>
      </c>
      <c r="GI661">
        <v>6.0417804657621428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37.506115444261994</v>
      </c>
      <c r="AO662">
        <v>9.6222286212036447</v>
      </c>
      <c r="AP662">
        <v>99.636457774251667</v>
      </c>
      <c r="AQ662">
        <v>74.248115269940982</v>
      </c>
      <c r="AR662">
        <v>9.4811047740150762</v>
      </c>
      <c r="AS662">
        <v>136.49056127093485</v>
      </c>
      <c r="AT662" t="e">
        <v>#DIV/0!</v>
      </c>
      <c r="AU662" t="e">
        <v>#DIV/0!</v>
      </c>
      <c r="AV662"/>
      <c r="AW662"/>
      <c r="FY662" s="210">
        <v>657</v>
      </c>
      <c r="FZ662">
        <v>21.685613903943526</v>
      </c>
      <c r="GA662">
        <v>45.24777288326846</v>
      </c>
      <c r="GB662">
        <v>12.32770268233439</v>
      </c>
      <c r="GC662">
        <v>1.9870690554204868</v>
      </c>
      <c r="GD662">
        <v>0.87781800541510124</v>
      </c>
      <c r="GE662">
        <v>0.14020141262716906</v>
      </c>
      <c r="GF662">
        <v>6.4309532421959759</v>
      </c>
      <c r="GG662">
        <v>7.2841691474393961</v>
      </c>
      <c r="GH662">
        <v>3.7585565695983041</v>
      </c>
      <c r="GI662">
        <v>8.8632816730046677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15.174553571428572</v>
      </c>
      <c r="AO663">
        <v>6.2575582222818342</v>
      </c>
      <c r="AP663">
        <v>64.4216153679792</v>
      </c>
      <c r="AQ663">
        <v>44.016796640234361</v>
      </c>
      <c r="AR663">
        <v>5.9685157354221747</v>
      </c>
      <c r="AS663">
        <v>82.052172391435008</v>
      </c>
      <c r="AT663" t="e">
        <v>#DIV/0!</v>
      </c>
      <c r="AU663" t="e">
        <v>#DIV/0!</v>
      </c>
      <c r="AV663"/>
      <c r="AW663"/>
      <c r="FY663" s="210">
        <v>658</v>
      </c>
      <c r="FZ663">
        <v>6.0777704246214377</v>
      </c>
      <c r="GA663">
        <v>20.519759597306567</v>
      </c>
      <c r="GB663">
        <v>10.642092404702471</v>
      </c>
      <c r="GC663">
        <v>1.8707516559604698</v>
      </c>
      <c r="GD663">
        <v>0.78713316748984896</v>
      </c>
      <c r="GE663">
        <v>1.5922259902130544</v>
      </c>
      <c r="GF663">
        <v>3.9795374058975046</v>
      </c>
      <c r="GG663">
        <v>4.1359903121935186</v>
      </c>
      <c r="GH663">
        <v>3.5432405861267702</v>
      </c>
      <c r="GI663">
        <v>5.4705771551097371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29.464963624338623</v>
      </c>
      <c r="AO664">
        <v>9.9497086154048446</v>
      </c>
      <c r="AP664">
        <v>105.65184650265964</v>
      </c>
      <c r="AQ664">
        <v>76.324489594420072</v>
      </c>
      <c r="AR664">
        <v>9.3815845616862443</v>
      </c>
      <c r="AS664">
        <v>110.78742116554984</v>
      </c>
      <c r="AT664">
        <v>6.3617169972059537</v>
      </c>
      <c r="AU664">
        <v>43.565184309806142</v>
      </c>
      <c r="AV664"/>
      <c r="AW664"/>
      <c r="FY664" s="210">
        <v>659</v>
      </c>
      <c r="FZ664">
        <v>13.253477299506107</v>
      </c>
      <c r="GA664">
        <v>26.453777213570557</v>
      </c>
      <c r="GB664">
        <v>8.6556674249545402</v>
      </c>
      <c r="GC664">
        <v>1.8948552026960817</v>
      </c>
      <c r="GD664">
        <v>0.64121719168550617</v>
      </c>
      <c r="GE664">
        <v>4.1117079586910979E-3</v>
      </c>
      <c r="GF664">
        <v>5.110368065086635</v>
      </c>
      <c r="GG664">
        <v>7.08292227214252</v>
      </c>
      <c r="GH664">
        <v>5.6417362811066063</v>
      </c>
      <c r="GI664">
        <v>6.6039982593321884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42.910713145411421</v>
      </c>
      <c r="AO665">
        <v>10.044983516522288</v>
      </c>
      <c r="AP665">
        <v>106.87408868529506</v>
      </c>
      <c r="AQ665">
        <v>82.659660762019612</v>
      </c>
      <c r="AR665">
        <v>9.6193147531528176</v>
      </c>
      <c r="AS665">
        <v>139.70501198042956</v>
      </c>
      <c r="AT665" t="e">
        <v>#DIV/0!</v>
      </c>
      <c r="AU665" t="e">
        <v>#DIV/0!</v>
      </c>
      <c r="AV665"/>
      <c r="AW665"/>
      <c r="FY665" s="210">
        <v>660</v>
      </c>
      <c r="FZ665">
        <v>5.1389377599248931</v>
      </c>
      <c r="GA665">
        <v>24.466468162020618</v>
      </c>
      <c r="GB665">
        <v>14.161283923880239</v>
      </c>
      <c r="GC665">
        <v>2.4462061805559046</v>
      </c>
      <c r="GD665">
        <v>0.83045549851666722</v>
      </c>
      <c r="GE665">
        <v>4.3478503168402742</v>
      </c>
      <c r="GF665">
        <v>12.071735631330885</v>
      </c>
      <c r="GG665">
        <v>5.3423133972490024</v>
      </c>
      <c r="GH665">
        <v>1.7437113101357515</v>
      </c>
      <c r="GI665">
        <v>7.6700955731265426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23.289814814814818</v>
      </c>
      <c r="AO666">
        <v>7.6685222450684183</v>
      </c>
      <c r="AP666">
        <v>74.568516540050723</v>
      </c>
      <c r="AQ666">
        <v>51.109041747022232</v>
      </c>
      <c r="AR666">
        <v>7.3815567036618788</v>
      </c>
      <c r="AS666">
        <v>94.891461481930079</v>
      </c>
      <c r="AT666" t="e">
        <v>#DIV/0!</v>
      </c>
      <c r="AU666" t="e">
        <v>#DIV/0!</v>
      </c>
      <c r="AV666"/>
      <c r="AW666"/>
      <c r="FY666" s="210">
        <v>661</v>
      </c>
      <c r="FZ666">
        <v>21.156700014163295</v>
      </c>
      <c r="GA666">
        <v>36.206724522431969</v>
      </c>
      <c r="GB666">
        <v>8.0540655298645962</v>
      </c>
      <c r="GC666">
        <v>2.2615696220712911</v>
      </c>
      <c r="GD666">
        <v>0.89357651920397174</v>
      </c>
      <c r="GE666">
        <v>1.4479128696271943</v>
      </c>
      <c r="GF666">
        <v>4.2467398095067397</v>
      </c>
      <c r="GG666">
        <v>2.9054751040268556</v>
      </c>
      <c r="GH666">
        <v>1.913285777777173</v>
      </c>
      <c r="GI666">
        <v>6.873609065426189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20.691683201058204</v>
      </c>
      <c r="AO667">
        <v>9.9130584069051508</v>
      </c>
      <c r="AP667">
        <v>103.11198017641055</v>
      </c>
      <c r="AQ667">
        <v>68.83360030756009</v>
      </c>
      <c r="AR667">
        <v>9.5456356861713303</v>
      </c>
      <c r="AS667">
        <v>107.01887552022139</v>
      </c>
      <c r="AT667">
        <v>6.3690252321093368</v>
      </c>
      <c r="AU667">
        <v>6.8328440440578326</v>
      </c>
      <c r="AV667"/>
      <c r="AW667"/>
      <c r="FY667" s="210">
        <v>662</v>
      </c>
      <c r="FZ667">
        <v>31.342853024495888</v>
      </c>
      <c r="GA667">
        <v>53.534997903955087</v>
      </c>
      <c r="GB667">
        <v>11.296778993660229</v>
      </c>
      <c r="GC667">
        <v>1.9573102539076799</v>
      </c>
      <c r="GD667">
        <v>0.64848897030172581</v>
      </c>
      <c r="GE667">
        <v>1.5922259902130544</v>
      </c>
      <c r="GF667">
        <v>9.1342799421969296</v>
      </c>
      <c r="GG667">
        <v>6.7551145046376204</v>
      </c>
      <c r="GH667">
        <v>0.80768982191308281</v>
      </c>
      <c r="GI667">
        <v>10.054534564613967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51.021146346469621</v>
      </c>
      <c r="AO668">
        <v>15.503844138076483</v>
      </c>
      <c r="AP668">
        <v>163.5347429159886</v>
      </c>
      <c r="AQ668">
        <v>119.70550720600542</v>
      </c>
      <c r="AR668">
        <v>14.548884867258</v>
      </c>
      <c r="AS668">
        <v>170.02357188323026</v>
      </c>
      <c r="AT668">
        <v>9.4972214163155666</v>
      </c>
      <c r="AU668">
        <v>57.025334030308919</v>
      </c>
      <c r="AV668"/>
      <c r="AW668"/>
      <c r="FY668" s="210">
        <v>663</v>
      </c>
      <c r="FZ668">
        <v>4.1625118003765307</v>
      </c>
      <c r="GA668">
        <v>23.202313905059771</v>
      </c>
      <c r="GB668">
        <v>11.428472394366565</v>
      </c>
      <c r="GC668">
        <v>1.0829709388427071</v>
      </c>
      <c r="GD668">
        <v>0.6485235510890357</v>
      </c>
      <c r="GE668">
        <v>2.7556243266272196</v>
      </c>
      <c r="GF668">
        <v>9.6198689088369953</v>
      </c>
      <c r="GG668">
        <v>5.7662662009688468</v>
      </c>
      <c r="GH668">
        <v>1.6868330592426739</v>
      </c>
      <c r="GI668">
        <v>6.1713438005719405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52.68235666392993</v>
      </c>
      <c r="AO669">
        <v>14.578066119568565</v>
      </c>
      <c r="AP669">
        <v>160.82686912554567</v>
      </c>
      <c r="AQ669">
        <v>119.42151675458149</v>
      </c>
      <c r="AR669">
        <v>14.190461064208023</v>
      </c>
      <c r="AS669">
        <v>181.74966717527647</v>
      </c>
      <c r="AT669" t="e">
        <v>#DIV/0!</v>
      </c>
      <c r="AU669" t="e">
        <v>#DIV/0!</v>
      </c>
      <c r="AV669"/>
      <c r="AW669"/>
      <c r="FY669" s="210">
        <v>664</v>
      </c>
      <c r="FZ669">
        <v>32.987421422684022</v>
      </c>
      <c r="GA669">
        <v>43.696212095335902</v>
      </c>
      <c r="GB669">
        <v>5.4310242394265895</v>
      </c>
      <c r="GC669">
        <v>1.889411894282244</v>
      </c>
      <c r="GD669">
        <v>0.94861808891069255</v>
      </c>
      <c r="GE669">
        <v>2.7597360345859103</v>
      </c>
      <c r="GF669">
        <v>6.1101780434773829</v>
      </c>
      <c r="GG669">
        <v>1.8573943373214477</v>
      </c>
      <c r="GH669">
        <v>0.80768982191308281</v>
      </c>
      <c r="GI669">
        <v>8.2230196045523041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21.862053571428568</v>
      </c>
      <c r="AO670">
        <v>9.6547667443364347</v>
      </c>
      <c r="AP670">
        <v>93.189492939887288</v>
      </c>
      <c r="AQ670">
        <v>63.969125706688736</v>
      </c>
      <c r="AR670">
        <v>9.0695572534544695</v>
      </c>
      <c r="AS670">
        <v>112.97863476191351</v>
      </c>
      <c r="AT670">
        <v>6.1165632175022635</v>
      </c>
      <c r="AU670">
        <v>5.1966992593615853</v>
      </c>
      <c r="AV670"/>
      <c r="AW670"/>
      <c r="FY670" s="210">
        <v>665</v>
      </c>
      <c r="FZ670">
        <v>3.9276849755111694</v>
      </c>
      <c r="GA670">
        <v>31.390327466403381</v>
      </c>
      <c r="GB670">
        <v>15.908615244270139</v>
      </c>
      <c r="GC670">
        <v>1.5774748722877079</v>
      </c>
      <c r="GD670">
        <v>0.57585898455037543</v>
      </c>
      <c r="GE670">
        <v>0</v>
      </c>
      <c r="GF670">
        <v>2.1160991719268609</v>
      </c>
      <c r="GG670">
        <v>2.1459431124028323</v>
      </c>
      <c r="GH670">
        <v>2.5514011320488335</v>
      </c>
      <c r="GI670">
        <v>5.840111383012335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31.067642195767196</v>
      </c>
      <c r="AO671">
        <v>10.814717395165612</v>
      </c>
      <c r="AP671">
        <v>110.4361224937323</v>
      </c>
      <c r="AQ671">
        <v>79.646244172899884</v>
      </c>
      <c r="AR671">
        <v>10.062610472180035</v>
      </c>
      <c r="AS671">
        <v>139.37738267067471</v>
      </c>
      <c r="AT671" t="e">
        <v>#DIV/0!</v>
      </c>
      <c r="AU671" t="e">
        <v>#DIV/0!</v>
      </c>
      <c r="AV671"/>
      <c r="AW671"/>
      <c r="FY671" s="210">
        <v>666</v>
      </c>
      <c r="FZ671">
        <v>21.845696392860983</v>
      </c>
      <c r="GA671">
        <v>39.88621883323006</v>
      </c>
      <c r="GB671">
        <v>8.9351562153348603</v>
      </c>
      <c r="GC671">
        <v>1.3887832283929344</v>
      </c>
      <c r="GD671">
        <v>0.73166306456920671</v>
      </c>
      <c r="GE671">
        <v>1.4499687236065399</v>
      </c>
      <c r="GF671">
        <v>3.7026857921962844</v>
      </c>
      <c r="GG671">
        <v>1.6152090194629922</v>
      </c>
      <c r="GH671">
        <v>0.22645271853449905</v>
      </c>
      <c r="GI671">
        <v>6.7477866686443262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34.761687534209088</v>
      </c>
      <c r="AO672">
        <v>9.3930516524584444</v>
      </c>
      <c r="AP672">
        <v>99.530766460266904</v>
      </c>
      <c r="AQ672">
        <v>73.64413292480296</v>
      </c>
      <c r="AR672">
        <v>8.6796439088709754</v>
      </c>
      <c r="AS672">
        <v>129.90471619048739</v>
      </c>
      <c r="AT672" t="e">
        <v>#DIV/0!</v>
      </c>
      <c r="AU672" t="e">
        <v>#DIV/0!</v>
      </c>
      <c r="AV672"/>
      <c r="AW672"/>
      <c r="FY672" s="210">
        <v>667</v>
      </c>
      <c r="FZ672">
        <v>33.441353898041704</v>
      </c>
      <c r="GA672">
        <v>49.263070054216954</v>
      </c>
      <c r="GB672">
        <v>7.7816573051769335</v>
      </c>
      <c r="GC672">
        <v>1.4778715430619962</v>
      </c>
      <c r="GD672">
        <v>0.94413238818480805</v>
      </c>
      <c r="GE672">
        <v>0.14020141262716906</v>
      </c>
      <c r="GF672">
        <v>2.3389271043233064</v>
      </c>
      <c r="GG672">
        <v>2.3410980174384939</v>
      </c>
      <c r="GH672">
        <v>1.5038724992891495</v>
      </c>
      <c r="GI672">
        <v>8.2585166190233554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49.687744594964428</v>
      </c>
      <c r="AO673">
        <v>13.456109563059822</v>
      </c>
      <c r="AP673">
        <v>145.58493676188399</v>
      </c>
      <c r="AQ673">
        <v>108.60313857524747</v>
      </c>
      <c r="AR673">
        <v>12.88684329686722</v>
      </c>
      <c r="AS673">
        <v>222.31390340001192</v>
      </c>
      <c r="AT673" t="e">
        <v>#DIV/0!</v>
      </c>
      <c r="AU673" t="e">
        <v>#DIV/0!</v>
      </c>
      <c r="AV673"/>
      <c r="AW673"/>
      <c r="FY673" s="210">
        <v>668</v>
      </c>
      <c r="FZ673">
        <v>3.4368023932094056</v>
      </c>
      <c r="GA673">
        <v>31.945627863229166</v>
      </c>
      <c r="GB673">
        <v>15.490288609454147</v>
      </c>
      <c r="GC673">
        <v>1.5615433475010729</v>
      </c>
      <c r="GD673">
        <v>0.9762626314205316</v>
      </c>
      <c r="GE673">
        <v>0.42060423788150719</v>
      </c>
      <c r="GF673">
        <v>2.6444107631351446</v>
      </c>
      <c r="GG673">
        <v>3.552609807655891</v>
      </c>
      <c r="GH673">
        <v>2.7209755996902558</v>
      </c>
      <c r="GI673">
        <v>6.1499228471170211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25.255157589855862</v>
      </c>
      <c r="AO674">
        <v>8.2684030797534724</v>
      </c>
      <c r="AP674">
        <v>82.914706657412196</v>
      </c>
      <c r="AQ674">
        <v>58.619078699621376</v>
      </c>
      <c r="AR674">
        <v>7.9070158863803686</v>
      </c>
      <c r="AS674">
        <v>130.93805878555008</v>
      </c>
      <c r="AT674" t="e">
        <v>#DIV/0!</v>
      </c>
      <c r="AU674" t="e">
        <v>#DIV/0!</v>
      </c>
      <c r="AV674"/>
      <c r="AW674"/>
      <c r="FY674" s="210">
        <v>669</v>
      </c>
      <c r="FZ674">
        <v>4.5669425355525251</v>
      </c>
      <c r="GA674">
        <v>23.194173728720227</v>
      </c>
      <c r="GB674">
        <v>10.34974166135288</v>
      </c>
      <c r="GC674">
        <v>1.0568386884420509</v>
      </c>
      <c r="GD674">
        <v>0.73490811971031555</v>
      </c>
      <c r="GE674">
        <v>0.28245867923368362</v>
      </c>
      <c r="GF674">
        <v>4.5917056839703347</v>
      </c>
      <c r="GG674">
        <v>5.2103942779441832</v>
      </c>
      <c r="GH674">
        <v>1.3320486743985893</v>
      </c>
      <c r="GI674">
        <v>5.0035693641297332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30.392956349206344</v>
      </c>
      <c r="AO675">
        <v>9.9796948941935248</v>
      </c>
      <c r="AP675">
        <v>104.94794906397448</v>
      </c>
      <c r="AQ675">
        <v>75.34213091803943</v>
      </c>
      <c r="AR675">
        <v>9.7677637591013955</v>
      </c>
      <c r="AS675">
        <v>136.98452160359446</v>
      </c>
      <c r="AT675" t="e">
        <v>#DIV/0!</v>
      </c>
      <c r="AU675" t="e">
        <v>#DIV/0!</v>
      </c>
      <c r="AV675"/>
      <c r="AW675"/>
      <c r="FY675" s="210">
        <v>670</v>
      </c>
      <c r="FZ675">
        <v>20.81904886939342</v>
      </c>
      <c r="GA675">
        <v>39.195080026936388</v>
      </c>
      <c r="GB675">
        <v>9.2230657258840054</v>
      </c>
      <c r="GC675">
        <v>1.4588102568008008</v>
      </c>
      <c r="GD675">
        <v>0.70828730616524371</v>
      </c>
      <c r="GE675">
        <v>0.42471594584019828</v>
      </c>
      <c r="GF675">
        <v>1.3492172222199597</v>
      </c>
      <c r="GG675">
        <v>2.3496031810021902</v>
      </c>
      <c r="GH675">
        <v>2.2546840703091551</v>
      </c>
      <c r="GI675">
        <v>6.5336515067217311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26.547685185185184</v>
      </c>
      <c r="AO676">
        <v>11.566101621368094</v>
      </c>
      <c r="AP676">
        <v>113.35955166007312</v>
      </c>
      <c r="AQ676">
        <v>78.219057753580785</v>
      </c>
      <c r="AR676">
        <v>10.889333068692631</v>
      </c>
      <c r="AS676">
        <v>113.52060464001414</v>
      </c>
      <c r="AT676" t="e">
        <v>#DIV/0!</v>
      </c>
      <c r="AU676" t="e">
        <v>#DIV/0!</v>
      </c>
      <c r="AV676"/>
      <c r="AW676"/>
      <c r="FY676" s="210">
        <v>671</v>
      </c>
      <c r="FZ676">
        <v>12.634509498328434</v>
      </c>
      <c r="GA676">
        <v>38.449441601035765</v>
      </c>
      <c r="GB676">
        <v>14.430735290820113</v>
      </c>
      <c r="GC676">
        <v>1.6410400599134809</v>
      </c>
      <c r="GD676">
        <v>0.61519051916917045</v>
      </c>
      <c r="GE676">
        <v>2.7597360345859103</v>
      </c>
      <c r="GF676">
        <v>4.7069371399526485</v>
      </c>
      <c r="GG676">
        <v>1.3198588766461834</v>
      </c>
      <c r="GH676">
        <v>1.3320486743985893</v>
      </c>
      <c r="GI676">
        <v>7.1209958096040245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48.160414386060943</v>
      </c>
      <c r="AO677">
        <v>10.464469352204636</v>
      </c>
      <c r="AP677">
        <v>108.16575573286534</v>
      </c>
      <c r="AQ677">
        <v>85.959658834099272</v>
      </c>
      <c r="AR677">
        <v>9.6953475726488669</v>
      </c>
      <c r="AS677">
        <v>150.89135679250711</v>
      </c>
      <c r="AT677">
        <v>6.2240798940080433</v>
      </c>
      <c r="AU677">
        <v>36.900236370450585</v>
      </c>
      <c r="AV677"/>
      <c r="AW677"/>
      <c r="FY677" s="210">
        <v>672</v>
      </c>
      <c r="FZ677">
        <v>21.324393732199781</v>
      </c>
      <c r="GA677">
        <v>39.433343707583333</v>
      </c>
      <c r="GB677">
        <v>11.440649968903827</v>
      </c>
      <c r="GC677">
        <v>3.2251075425314695</v>
      </c>
      <c r="GD677">
        <v>0.98413090354114285</v>
      </c>
      <c r="GE677">
        <v>0.14020141262716906</v>
      </c>
      <c r="GF677">
        <v>9.3711984540509761</v>
      </c>
      <c r="GG677">
        <v>8.9659728529093599</v>
      </c>
      <c r="GH677">
        <v>2.0851096026677332</v>
      </c>
      <c r="GI677">
        <v>8.9570120553539176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57.256943304141586</v>
      </c>
      <c r="AO678">
        <v>15.526714043753525</v>
      </c>
      <c r="AP678">
        <v>167.70253986004172</v>
      </c>
      <c r="AQ678">
        <v>127.12427396989526</v>
      </c>
      <c r="AR678">
        <v>14.534645873284559</v>
      </c>
      <c r="AS678">
        <v>190.27358839532846</v>
      </c>
      <c r="AT678">
        <v>9.867298611575249</v>
      </c>
      <c r="AU678">
        <v>221.56965056824242</v>
      </c>
      <c r="AV678"/>
      <c r="AW678"/>
      <c r="FY678" s="210">
        <v>673</v>
      </c>
      <c r="FZ678">
        <v>21.93047962453506</v>
      </c>
      <c r="GA678">
        <v>37.979744316489764</v>
      </c>
      <c r="GB678">
        <v>8.8626374164909123</v>
      </c>
      <c r="GC678">
        <v>1.7879450178202059</v>
      </c>
      <c r="GD678">
        <v>0.63254553843261685</v>
      </c>
      <c r="GE678">
        <v>4.1117079586910979E-3</v>
      </c>
      <c r="GF678">
        <v>1.6260688359211797</v>
      </c>
      <c r="GG678">
        <v>3.0112863405829962</v>
      </c>
      <c r="GH678">
        <v>4.0698487958614145</v>
      </c>
      <c r="GI678">
        <v>6.9040261442862425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22.022123015873017</v>
      </c>
      <c r="AO679">
        <v>9.3777108437795214</v>
      </c>
      <c r="AP679">
        <v>96.096888803662409</v>
      </c>
      <c r="AQ679">
        <v>66.524728885982285</v>
      </c>
      <c r="AR679">
        <v>8.7941316503492271</v>
      </c>
      <c r="AS679">
        <v>115.13703119234398</v>
      </c>
      <c r="AT679">
        <v>6.030065994395156</v>
      </c>
      <c r="AU679">
        <v>18.834391085231815</v>
      </c>
      <c r="AV679"/>
      <c r="AW679"/>
      <c r="FY679" s="210">
        <v>674</v>
      </c>
      <c r="FZ679">
        <v>15.626567381988455</v>
      </c>
      <c r="GA679">
        <v>18.495308907581322</v>
      </c>
      <c r="GB679">
        <v>3.2443138582903557</v>
      </c>
      <c r="GC679">
        <v>1.7136693767624149</v>
      </c>
      <c r="GD679">
        <v>0.97676681761516471</v>
      </c>
      <c r="GE679">
        <v>1.4479128696271943</v>
      </c>
      <c r="GF679">
        <v>8.0332822885675714</v>
      </c>
      <c r="GG679">
        <v>5.5374683022846645</v>
      </c>
      <c r="GH679">
        <v>0.5812371033785837</v>
      </c>
      <c r="GI679">
        <v>5.4700488512040932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60.338391716839986</v>
      </c>
      <c r="AO680">
        <v>12.271382290098407</v>
      </c>
      <c r="AP680">
        <v>127.52365715360563</v>
      </c>
      <c r="AQ680">
        <v>104.71070558248958</v>
      </c>
      <c r="AR680">
        <v>11.490160476820515</v>
      </c>
      <c r="AS680">
        <v>159.74193749095167</v>
      </c>
      <c r="AT680">
        <v>7.4814419293423393</v>
      </c>
      <c r="AU680">
        <v>180.63766582389221</v>
      </c>
      <c r="AV680"/>
      <c r="AW680"/>
      <c r="FY680" s="210">
        <v>675</v>
      </c>
      <c r="FZ680">
        <v>15.665774844764144</v>
      </c>
      <c r="GA680">
        <v>36.336209706846326</v>
      </c>
      <c r="GB680">
        <v>12.631505558278791</v>
      </c>
      <c r="GC680">
        <v>1.378967639110567</v>
      </c>
      <c r="GD680">
        <v>0.34763190172696495</v>
      </c>
      <c r="GE680">
        <v>0.14020141262716906</v>
      </c>
      <c r="GF680">
        <v>3.4653163941468206</v>
      </c>
      <c r="GG680">
        <v>4.745027060176537</v>
      </c>
      <c r="GH680">
        <v>2.2111919117281804</v>
      </c>
      <c r="GI680">
        <v>6.9004855217496104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22.480472883597884</v>
      </c>
      <c r="AO681">
        <v>8.6823428298369461</v>
      </c>
      <c r="AP681">
        <v>96.421298239099144</v>
      </c>
      <c r="AQ681">
        <v>66.033516342413634</v>
      </c>
      <c r="AR681">
        <v>8.5055112346525217</v>
      </c>
      <c r="AS681">
        <v>95.054318652533354</v>
      </c>
      <c r="AT681" t="e">
        <v>#DIV/0!</v>
      </c>
      <c r="AU681" t="e">
        <v>#DIV/0!</v>
      </c>
      <c r="AV681"/>
      <c r="AW681"/>
      <c r="FY681" s="210">
        <v>676</v>
      </c>
      <c r="FZ681">
        <v>13.522114754584086</v>
      </c>
      <c r="GA681">
        <v>27.89581653891512</v>
      </c>
      <c r="GB681">
        <v>8.6891748524947676</v>
      </c>
      <c r="GC681">
        <v>2.0864967090387858</v>
      </c>
      <c r="GD681">
        <v>0.83997607329270108</v>
      </c>
      <c r="GE681">
        <v>0.28245867923368362</v>
      </c>
      <c r="GF681">
        <v>2.9656368480491553</v>
      </c>
      <c r="GG681">
        <v>3.5481548456583969</v>
      </c>
      <c r="GH681">
        <v>2.9642528399973243</v>
      </c>
      <c r="GI681">
        <v>5.8753808868371511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45.882025976099243</v>
      </c>
      <c r="AO682">
        <v>10.226777431888156</v>
      </c>
      <c r="AP682">
        <v>110.31302538994819</v>
      </c>
      <c r="AQ682">
        <v>86.529620656832691</v>
      </c>
      <c r="AR682">
        <v>9.5403843166132951</v>
      </c>
      <c r="AS682">
        <v>142.45357202787386</v>
      </c>
      <c r="AT682" t="e">
        <v>#DIV/0!</v>
      </c>
      <c r="AU682" t="e">
        <v>#DIV/0!</v>
      </c>
      <c r="AV682"/>
      <c r="AW682"/>
      <c r="FY682" s="210">
        <v>677</v>
      </c>
      <c r="FZ682">
        <v>6.3633879479408888</v>
      </c>
      <c r="GA682">
        <v>17.780903292876733</v>
      </c>
      <c r="GB682">
        <v>8.2816831786904288</v>
      </c>
      <c r="GC682">
        <v>1.1456442423757816</v>
      </c>
      <c r="GD682">
        <v>0.48345176067630813</v>
      </c>
      <c r="GE682">
        <v>4.0653916376065906</v>
      </c>
      <c r="GF682">
        <v>7.7411391349595968</v>
      </c>
      <c r="GG682">
        <v>2.6896373309038637</v>
      </c>
      <c r="GH682">
        <v>3.1738810367592536</v>
      </c>
      <c r="GI682">
        <v>5.4319749380326581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59.175197272395543</v>
      </c>
      <c r="AO683">
        <v>12.144090260223749</v>
      </c>
      <c r="AP683">
        <v>133.60667606279225</v>
      </c>
      <c r="AQ683">
        <v>107.49070084138386</v>
      </c>
      <c r="AR683">
        <v>11.811790849374123</v>
      </c>
      <c r="AS683">
        <v>210.96340616044137</v>
      </c>
      <c r="AT683" t="e">
        <v>#DIV/0!</v>
      </c>
      <c r="AU683" t="e">
        <v>#DIV/0!</v>
      </c>
      <c r="AV683"/>
      <c r="AW683"/>
      <c r="FY683" s="210">
        <v>678</v>
      </c>
      <c r="FZ683">
        <v>5.5155109213866682</v>
      </c>
      <c r="GA683">
        <v>15.525844923946439</v>
      </c>
      <c r="GB683">
        <v>9.6694590061477133</v>
      </c>
      <c r="GC683">
        <v>2.7572975549362075</v>
      </c>
      <c r="GD683">
        <v>0.84828294885434341</v>
      </c>
      <c r="GE683">
        <v>2.6195346219587416</v>
      </c>
      <c r="GF683">
        <v>10.663602472245115</v>
      </c>
      <c r="GG683">
        <v>5.9748085251787808</v>
      </c>
      <c r="GH683">
        <v>0</v>
      </c>
      <c r="GI683">
        <v>6.0363711494026866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22.49702380952381</v>
      </c>
      <c r="AO684">
        <v>9.5890039697151472</v>
      </c>
      <c r="AP684">
        <v>104.12917768919046</v>
      </c>
      <c r="AQ684">
        <v>68.899048100294138</v>
      </c>
      <c r="AR684">
        <v>9.216646417827782</v>
      </c>
      <c r="AS684">
        <v>125.98758073290364</v>
      </c>
      <c r="AT684" t="e">
        <v>#DIV/0!</v>
      </c>
      <c r="AU684" t="e">
        <v>#DIV/0!</v>
      </c>
      <c r="AV684"/>
      <c r="AW684"/>
      <c r="FY684" s="210">
        <v>679</v>
      </c>
      <c r="FZ684">
        <v>2.9362631933683305</v>
      </c>
      <c r="GA684">
        <v>24.003581647284367</v>
      </c>
      <c r="GB684">
        <v>13.550403486229559</v>
      </c>
      <c r="GC684">
        <v>2.4290800311604959</v>
      </c>
      <c r="GD684">
        <v>0.67965912413251173</v>
      </c>
      <c r="GE684">
        <v>1.5922259902130544</v>
      </c>
      <c r="GF684">
        <v>6.4708863440431506</v>
      </c>
      <c r="GG684">
        <v>5.7349939587484631</v>
      </c>
      <c r="GH684">
        <v>3.0188817336412632</v>
      </c>
      <c r="GI684">
        <v>6.1367562420734982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17.736739417989419</v>
      </c>
      <c r="AO685">
        <v>7.8224723747732838</v>
      </c>
      <c r="AP685">
        <v>83.664419379523437</v>
      </c>
      <c r="AQ685">
        <v>56.322781413454521</v>
      </c>
      <c r="AR685">
        <v>7.4783913017255985</v>
      </c>
      <c r="AS685">
        <v>92.293487738629267</v>
      </c>
      <c r="AT685" t="e">
        <v>#DIV/0!</v>
      </c>
      <c r="AU685" t="e">
        <v>#DIV/0!</v>
      </c>
      <c r="AV685"/>
      <c r="AW685"/>
      <c r="FY685" s="210">
        <v>680</v>
      </c>
      <c r="FZ685">
        <v>22.445714093389604</v>
      </c>
      <c r="GA685">
        <v>41.797572858643349</v>
      </c>
      <c r="GB685">
        <v>10.180626096818997</v>
      </c>
      <c r="GC685">
        <v>1.5637824385314507</v>
      </c>
      <c r="GD685">
        <v>0.5964452765383691</v>
      </c>
      <c r="GE685">
        <v>2.0558539793455489E-3</v>
      </c>
      <c r="GF685">
        <v>3.2424884617503755</v>
      </c>
      <c r="GG685">
        <v>3.0308081718928284</v>
      </c>
      <c r="GH685">
        <v>0</v>
      </c>
      <c r="GI685">
        <v>7.0006486294968946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43.457836161284433</v>
      </c>
      <c r="AO686">
        <v>9.9564573730535866</v>
      </c>
      <c r="AP686">
        <v>108.9488559827555</v>
      </c>
      <c r="AQ686">
        <v>84.31616411127311</v>
      </c>
      <c r="AR686">
        <v>9.4337853533471527</v>
      </c>
      <c r="AS686">
        <v>153.50487634040599</v>
      </c>
      <c r="AT686" t="e">
        <v>#DIV/0!</v>
      </c>
      <c r="AU686" t="e">
        <v>#DIV/0!</v>
      </c>
      <c r="AV686"/>
      <c r="AW686"/>
      <c r="FY686" s="210">
        <v>681</v>
      </c>
      <c r="FZ686">
        <v>4.8442217203416975</v>
      </c>
      <c r="GA686">
        <v>35.649682007917541</v>
      </c>
      <c r="GB686">
        <v>18.328476872857319</v>
      </c>
      <c r="GC686">
        <v>2.1321373247209707</v>
      </c>
      <c r="GD686">
        <v>0.6076021101156408</v>
      </c>
      <c r="GE686">
        <v>4.1117079586910979E-3</v>
      </c>
      <c r="GF686">
        <v>4.1878238726409318</v>
      </c>
      <c r="GG686">
        <v>4.6179901964822925</v>
      </c>
      <c r="GH686">
        <v>2.2680701626212576</v>
      </c>
      <c r="GI686">
        <v>7.0831627788089602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39.872351076445902</v>
      </c>
      <c r="AO687">
        <v>10.954263047910812</v>
      </c>
      <c r="AP687">
        <v>116.85645170991928</v>
      </c>
      <c r="AQ687">
        <v>85.010493504454317</v>
      </c>
      <c r="AR687">
        <v>10.118477195219452</v>
      </c>
      <c r="AS687">
        <v>148.312445745221</v>
      </c>
      <c r="AT687" t="e">
        <v>#DIV/0!</v>
      </c>
      <c r="AU687" t="e">
        <v>#DIV/0!</v>
      </c>
      <c r="AV687"/>
      <c r="AW687"/>
      <c r="FY687" s="210">
        <v>682</v>
      </c>
      <c r="FZ687">
        <v>7.4965149847447323</v>
      </c>
      <c r="GA687">
        <v>10.311647432841985</v>
      </c>
      <c r="GB687">
        <v>5.7192842701590694</v>
      </c>
      <c r="GC687">
        <v>2.1469469249172968</v>
      </c>
      <c r="GD687">
        <v>1.0110315411687407</v>
      </c>
      <c r="GE687">
        <v>1.5901701362337088</v>
      </c>
      <c r="GF687">
        <v>5.0962774856290345</v>
      </c>
      <c r="GG687">
        <v>3.1286570039360462</v>
      </c>
      <c r="GH687">
        <v>1.8452707918211315</v>
      </c>
      <c r="GI687">
        <v>4.514144551193783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48.967889071337346</v>
      </c>
      <c r="AO688">
        <v>13.603500994831194</v>
      </c>
      <c r="AP688">
        <v>140.7922176722422</v>
      </c>
      <c r="AQ688">
        <v>105.92712023236869</v>
      </c>
      <c r="AR688">
        <v>12.951475335707846</v>
      </c>
      <c r="AS688">
        <v>154.24758181527417</v>
      </c>
      <c r="AT688" t="e">
        <v>#DIV/0!</v>
      </c>
      <c r="AU688" t="e">
        <v>#DIV/0!</v>
      </c>
      <c r="AV688"/>
      <c r="AW688"/>
      <c r="FY688" s="210">
        <v>683</v>
      </c>
      <c r="FZ688">
        <v>22.636529550146676</v>
      </c>
      <c r="GA688">
        <v>39.660248779599655</v>
      </c>
      <c r="GB688">
        <v>8.4431202882536436</v>
      </c>
      <c r="GC688">
        <v>1.3336981882805348</v>
      </c>
      <c r="GD688">
        <v>0.88455273793697775</v>
      </c>
      <c r="GE688">
        <v>0</v>
      </c>
      <c r="GF688">
        <v>2.3389271043233064</v>
      </c>
      <c r="GG688">
        <v>2.5111150923893306</v>
      </c>
      <c r="GH688">
        <v>1.1490881144450649</v>
      </c>
      <c r="GI688">
        <v>6.7378232924103525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46.938770867542416</v>
      </c>
      <c r="AO689">
        <v>10.3152099214555</v>
      </c>
      <c r="AP689">
        <v>112.316517408734</v>
      </c>
      <c r="AQ689">
        <v>86.808693738379091</v>
      </c>
      <c r="AR689">
        <v>9.9811249507763549</v>
      </c>
      <c r="AS689">
        <v>154.74557988406769</v>
      </c>
      <c r="AT689" t="e">
        <v>#DIV/0!</v>
      </c>
      <c r="AU689" t="e">
        <v>#DIV/0!</v>
      </c>
      <c r="AV689"/>
      <c r="AW689"/>
      <c r="FY689" s="210">
        <v>684</v>
      </c>
      <c r="FZ689">
        <v>22.173905219835959</v>
      </c>
      <c r="GA689">
        <v>44.786597787853189</v>
      </c>
      <c r="GB689">
        <v>12.161845517689748</v>
      </c>
      <c r="GC689">
        <v>1.8054371837959871</v>
      </c>
      <c r="GD689">
        <v>0.64539349294319615</v>
      </c>
      <c r="GE689">
        <v>2.0558539793455489E-3</v>
      </c>
      <c r="GF689">
        <v>1.5720451546164049</v>
      </c>
      <c r="GG689">
        <v>1.6152090194629922</v>
      </c>
      <c r="GH689">
        <v>0.80768982191308281</v>
      </c>
      <c r="GI689">
        <v>7.2521993437570469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32.72529647874476</v>
      </c>
      <c r="AO690">
        <v>8.0237305450995233</v>
      </c>
      <c r="AP690">
        <v>77.568782156508007</v>
      </c>
      <c r="AQ690">
        <v>61.126575757299818</v>
      </c>
      <c r="AR690">
        <v>7.7384543681553186</v>
      </c>
      <c r="AS690">
        <v>104.86805884158731</v>
      </c>
      <c r="AT690" t="e">
        <v>#DIV/0!</v>
      </c>
      <c r="AU690" t="e">
        <v>#DIV/0!</v>
      </c>
      <c r="AV690"/>
      <c r="AW690"/>
      <c r="FY690" s="210">
        <v>685</v>
      </c>
      <c r="FZ690">
        <v>2.3146146762367703</v>
      </c>
      <c r="GA690">
        <v>15.640086970447665</v>
      </c>
      <c r="GB690">
        <v>8.9786797325974987</v>
      </c>
      <c r="GC690">
        <v>1.5783301941049046</v>
      </c>
      <c r="GD690">
        <v>0.74419208192045339</v>
      </c>
      <c r="GE690">
        <v>1.5922259902130544</v>
      </c>
      <c r="GF690">
        <v>6.6683226402454396</v>
      </c>
      <c r="GG690">
        <v>5.9228958567454129</v>
      </c>
      <c r="GH690">
        <v>5.4587757211530805</v>
      </c>
      <c r="GI690">
        <v>5.3396594464664036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32.506547619047623</v>
      </c>
      <c r="AO691">
        <v>10.547558708137379</v>
      </c>
      <c r="AP691">
        <v>116.7785893779613</v>
      </c>
      <c r="AQ691">
        <v>83.822311951155129</v>
      </c>
      <c r="AR691">
        <v>10.153008323531452</v>
      </c>
      <c r="AS691">
        <v>119.78379999859656</v>
      </c>
      <c r="AT691" t="e">
        <v>#DIV/0!</v>
      </c>
      <c r="AU691" t="e">
        <v>#DIV/0!</v>
      </c>
      <c r="AV691"/>
      <c r="AW691"/>
      <c r="FY691" s="210">
        <v>686</v>
      </c>
      <c r="FZ691">
        <v>5.9210209797568103</v>
      </c>
      <c r="GA691">
        <v>19.550449692734503</v>
      </c>
      <c r="GB691">
        <v>9.7759773928158467</v>
      </c>
      <c r="GC691">
        <v>2.2677179250860271</v>
      </c>
      <c r="GD691">
        <v>1.0427678319778531</v>
      </c>
      <c r="GE691">
        <v>0.28040282525433813</v>
      </c>
      <c r="GF691">
        <v>4.0633940927620511</v>
      </c>
      <c r="GG691">
        <v>4.7332766492659832</v>
      </c>
      <c r="GH691">
        <v>2.7244140291507226</v>
      </c>
      <c r="GI691">
        <v>5.3280735835954394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32.921361293559563</v>
      </c>
      <c r="AO692">
        <v>8.9050833433189709</v>
      </c>
      <c r="AP692">
        <v>93.056418458407023</v>
      </c>
      <c r="AQ692">
        <v>68.669463028101177</v>
      </c>
      <c r="AR692">
        <v>8.6140264358161271</v>
      </c>
      <c r="AS692">
        <v>107.47797409618377</v>
      </c>
      <c r="AT692" t="e">
        <v>#DIV/0!</v>
      </c>
      <c r="AU692" t="e">
        <v>#DIV/0!</v>
      </c>
      <c r="AV692"/>
      <c r="AW692"/>
      <c r="FY692" s="210">
        <v>687</v>
      </c>
      <c r="FZ692">
        <v>4.0713117980858264</v>
      </c>
      <c r="GA692">
        <v>25.532582317397846</v>
      </c>
      <c r="GB692">
        <v>12.796584844802371</v>
      </c>
      <c r="GC692">
        <v>1.6387133384422918</v>
      </c>
      <c r="GD692">
        <v>0.78696237380567768</v>
      </c>
      <c r="GE692">
        <v>1.4499687236065399</v>
      </c>
      <c r="GF692">
        <v>5.0772946506103995</v>
      </c>
      <c r="GG692">
        <v>3.9720652075038956</v>
      </c>
      <c r="GH692">
        <v>3.7585565695983041</v>
      </c>
      <c r="GI692">
        <v>5.9896993809363908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21.218650793650792</v>
      </c>
      <c r="AO693">
        <v>8.0432628745212558</v>
      </c>
      <c r="AP693">
        <v>79.069182254992498</v>
      </c>
      <c r="AQ693">
        <v>57.157094500822105</v>
      </c>
      <c r="AR693">
        <v>7.5396504731146132</v>
      </c>
      <c r="AS693">
        <v>105.05426175290654</v>
      </c>
      <c r="AT693">
        <v>5.2344386491640549</v>
      </c>
      <c r="AU693">
        <v>9.5938250553189661</v>
      </c>
      <c r="AV693"/>
      <c r="AW693"/>
      <c r="FY693" s="210">
        <v>688</v>
      </c>
      <c r="FZ693">
        <v>1.5915289322160173</v>
      </c>
      <c r="GA693">
        <v>34.555511704415458</v>
      </c>
      <c r="GB693">
        <v>18.605784778230444</v>
      </c>
      <c r="GC693">
        <v>2.3330239978017522</v>
      </c>
      <c r="GD693">
        <v>0.73725095322123368</v>
      </c>
      <c r="GE693">
        <v>1.3077114570000252</v>
      </c>
      <c r="GF693">
        <v>5.7933933279289898</v>
      </c>
      <c r="GG693">
        <v>4.173396966549463</v>
      </c>
      <c r="GH693">
        <v>1.8017786332401569</v>
      </c>
      <c r="GI693">
        <v>6.9788890352808686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24.883730158730156</v>
      </c>
      <c r="AO694">
        <v>9.1879479808458306</v>
      </c>
      <c r="AP694">
        <v>86.549524092892341</v>
      </c>
      <c r="AQ694">
        <v>59.61071212405669</v>
      </c>
      <c r="AR694">
        <v>8.6684257312557094</v>
      </c>
      <c r="AS694">
        <v>117.89443180936568</v>
      </c>
      <c r="AT694" t="e">
        <v>#DIV/0!</v>
      </c>
      <c r="AU694" t="e">
        <v>#DIV/0!</v>
      </c>
      <c r="AV694"/>
      <c r="AW694"/>
      <c r="FY694" s="210">
        <v>689</v>
      </c>
      <c r="FZ694">
        <v>11.498995876852856</v>
      </c>
      <c r="GA694">
        <v>25.031972444505286</v>
      </c>
      <c r="GB694">
        <v>7.4791863844820394</v>
      </c>
      <c r="GC694">
        <v>1.4907464554440222</v>
      </c>
      <c r="GD694">
        <v>0.68647726584894275</v>
      </c>
      <c r="GE694">
        <v>0.42471594584019828</v>
      </c>
      <c r="GF694">
        <v>4.5917056839703347</v>
      </c>
      <c r="GG694">
        <v>5.040377202993346</v>
      </c>
      <c r="GH694">
        <v>1.1055959558640902</v>
      </c>
      <c r="GI694">
        <v>5.1897406470861371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21.304976851851848</v>
      </c>
      <c r="AO695">
        <v>9.6367076169726502</v>
      </c>
      <c r="AP695">
        <v>97.63627953879724</v>
      </c>
      <c r="AQ695">
        <v>66.552731750894694</v>
      </c>
      <c r="AR695">
        <v>8.9394471314292652</v>
      </c>
      <c r="AS695">
        <v>108.9922550947111</v>
      </c>
      <c r="AT695">
        <v>6.0463861145485716</v>
      </c>
      <c r="AU695">
        <v>-0.16743013618969926</v>
      </c>
      <c r="AV695"/>
      <c r="AW695"/>
      <c r="FY695" s="210">
        <v>690</v>
      </c>
      <c r="FZ695">
        <v>23.706069794225655</v>
      </c>
      <c r="GA695">
        <v>45.562001915408871</v>
      </c>
      <c r="GB695">
        <v>13.067741845483926</v>
      </c>
      <c r="GC695">
        <v>2.0298003915055394</v>
      </c>
      <c r="GD695">
        <v>0.61652237057384962</v>
      </c>
      <c r="GE695">
        <v>2.8978815932337341</v>
      </c>
      <c r="GF695">
        <v>8.3246753679218095</v>
      </c>
      <c r="GG695">
        <v>4.5632595743151469</v>
      </c>
      <c r="GH695">
        <v>1.6868330592426739</v>
      </c>
      <c r="GI695">
        <v>9.2725596339545522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47.367159277504108</v>
      </c>
      <c r="AO696">
        <v>10.660160135993076</v>
      </c>
      <c r="AP696">
        <v>117.84592927364487</v>
      </c>
      <c r="AQ696">
        <v>89.860141881041201</v>
      </c>
      <c r="AR696">
        <v>10.124095382474204</v>
      </c>
      <c r="AS696">
        <v>171.48173535673791</v>
      </c>
      <c r="AT696" t="e">
        <v>#DIV/0!</v>
      </c>
      <c r="AU696" t="e">
        <v>#DIV/0!</v>
      </c>
      <c r="AV696"/>
      <c r="AW696"/>
      <c r="FY696" s="210">
        <v>691</v>
      </c>
      <c r="FZ696">
        <v>14.467206215020898</v>
      </c>
      <c r="GA696">
        <v>31.139595066132959</v>
      </c>
      <c r="GB696">
        <v>9.3172501354231869</v>
      </c>
      <c r="GC696">
        <v>1.4000255573549132</v>
      </c>
      <c r="GD696">
        <v>0.72187899868143646</v>
      </c>
      <c r="GE696">
        <v>2.8978815932337341</v>
      </c>
      <c r="GF696">
        <v>4.7609608212574228</v>
      </c>
      <c r="GG696">
        <v>1.956404206142164</v>
      </c>
      <c r="GH696">
        <v>3.6035572664803137</v>
      </c>
      <c r="GI696">
        <v>6.577385625845622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24.840757275132276</v>
      </c>
      <c r="AO697">
        <v>10.958039328368724</v>
      </c>
      <c r="AP697">
        <v>120.09123202738931</v>
      </c>
      <c r="AQ697">
        <v>79.723278754465312</v>
      </c>
      <c r="AR697">
        <v>10.544540361315654</v>
      </c>
      <c r="AS697">
        <v>127.69463696123945</v>
      </c>
      <c r="AT697" t="e">
        <v>#DIV/0!</v>
      </c>
      <c r="AU697" t="e">
        <v>#DIV/0!</v>
      </c>
      <c r="AV697"/>
      <c r="AW697"/>
      <c r="FY697" s="210">
        <v>692</v>
      </c>
      <c r="FZ697">
        <v>22.176047440359316</v>
      </c>
      <c r="GA697">
        <v>40.768347612899888</v>
      </c>
      <c r="GB697">
        <v>11.254401812419481</v>
      </c>
      <c r="GC697">
        <v>2.2835704505571806</v>
      </c>
      <c r="GD697">
        <v>0.53354732020962548</v>
      </c>
      <c r="GE697">
        <v>2.0558539793455489E-3</v>
      </c>
      <c r="GF697">
        <v>2.1447312170374793</v>
      </c>
      <c r="GG697">
        <v>2.9452525098109374</v>
      </c>
      <c r="GH697">
        <v>2.6094684551532397</v>
      </c>
      <c r="GI697">
        <v>7.3453519935150862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26.807372058018608</v>
      </c>
      <c r="AO698">
        <v>6.320499820052051</v>
      </c>
      <c r="AP698">
        <v>57.56149760780805</v>
      </c>
      <c r="AQ698">
        <v>42.859945122645527</v>
      </c>
      <c r="AR698">
        <v>6.4124183192516124</v>
      </c>
      <c r="AS698">
        <v>87.341732770674739</v>
      </c>
      <c r="AT698">
        <v>4.5534230322190163</v>
      </c>
      <c r="AU698">
        <v>9.9751295590496944</v>
      </c>
      <c r="AV698"/>
      <c r="AW698"/>
      <c r="FY698" s="210">
        <v>693</v>
      </c>
      <c r="FZ698">
        <v>5.3976902041872812</v>
      </c>
      <c r="GA698">
        <v>15.20047895428694</v>
      </c>
      <c r="GB698">
        <v>6.9913401438927316</v>
      </c>
      <c r="GC698">
        <v>2.2721851834974731</v>
      </c>
      <c r="GD698">
        <v>1.0114407823765306</v>
      </c>
      <c r="GE698">
        <v>2.7576801806065649</v>
      </c>
      <c r="GF698">
        <v>9.3716493402463925</v>
      </c>
      <c r="GG698">
        <v>4.8043262972704497</v>
      </c>
      <c r="GH698">
        <v>0.69618267737606665</v>
      </c>
      <c r="GI698">
        <v>5.2166079439125834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43.093105158730154</v>
      </c>
      <c r="AO699">
        <v>10.036521707932705</v>
      </c>
      <c r="AP699">
        <v>110.01680696569262</v>
      </c>
      <c r="AQ699">
        <v>85.695103147785531</v>
      </c>
      <c r="AR699">
        <v>9.6968806583811897</v>
      </c>
      <c r="AS699">
        <v>150.31749135018569</v>
      </c>
      <c r="AT699" t="e">
        <v>#DIV/0!</v>
      </c>
      <c r="AU699" t="e">
        <v>#DIV/0!</v>
      </c>
      <c r="AV699"/>
      <c r="AW699"/>
      <c r="FY699" s="210">
        <v>694</v>
      </c>
      <c r="FZ699">
        <v>14.107826846844619</v>
      </c>
      <c r="GA699">
        <v>33.731592169000038</v>
      </c>
      <c r="GB699">
        <v>11.913426681175917</v>
      </c>
      <c r="GC699">
        <v>2.4998174999896321</v>
      </c>
      <c r="GD699">
        <v>0.86775688830520625</v>
      </c>
      <c r="GE699">
        <v>1.3118231649587164</v>
      </c>
      <c r="GF699">
        <v>5.0962774856290345</v>
      </c>
      <c r="GG699">
        <v>5.0672188289064444</v>
      </c>
      <c r="GH699">
        <v>4.5942076483469219</v>
      </c>
      <c r="GI699">
        <v>7.5117093033134337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47.566102216748767</v>
      </c>
      <c r="AO700">
        <v>10.927617653622562</v>
      </c>
      <c r="AP700">
        <v>121.33777260326765</v>
      </c>
      <c r="AQ700">
        <v>92.822378395846954</v>
      </c>
      <c r="AR700">
        <v>10.43185116389909</v>
      </c>
      <c r="AS700">
        <v>164.7667020656308</v>
      </c>
      <c r="AT700" t="e">
        <v>#DIV/0!</v>
      </c>
      <c r="AU700" t="e">
        <v>#DIV/0!</v>
      </c>
      <c r="AV700"/>
      <c r="AW700"/>
      <c r="FY700" s="210">
        <v>695</v>
      </c>
      <c r="FZ700">
        <v>3.3682377494034843</v>
      </c>
      <c r="GA700">
        <v>12.804979703925468</v>
      </c>
      <c r="GB700">
        <v>7.1315669210594503</v>
      </c>
      <c r="GC700">
        <v>2.0509691797648406</v>
      </c>
      <c r="GD700">
        <v>0.84558815656790498</v>
      </c>
      <c r="GE700">
        <v>1.4499687236065399</v>
      </c>
      <c r="GF700">
        <v>5.3191054180254795</v>
      </c>
      <c r="GG700">
        <v>6.1919228005169646</v>
      </c>
      <c r="GH700">
        <v>6.0412018967429937</v>
      </c>
      <c r="GI700">
        <v>4.9350960099490404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20.893897669220948</v>
      </c>
      <c r="AO701">
        <v>7.9373545372445822</v>
      </c>
      <c r="AP701">
        <v>79.151867500804329</v>
      </c>
      <c r="AQ701">
        <v>54.237783310130688</v>
      </c>
      <c r="AR701">
        <v>7.7544068505137593</v>
      </c>
      <c r="AS701">
        <v>96.410663402858205</v>
      </c>
      <c r="AT701">
        <v>5.2065595574131072</v>
      </c>
      <c r="AU701">
        <v>2.2396831640478041</v>
      </c>
      <c r="AV701"/>
      <c r="AW701"/>
      <c r="FY701" s="210">
        <v>696</v>
      </c>
      <c r="FZ701">
        <v>21.894248038688641</v>
      </c>
      <c r="GA701">
        <v>45.315848718484347</v>
      </c>
      <c r="GB701">
        <v>11.585910734944987</v>
      </c>
      <c r="GC701">
        <v>1.1138044055905694</v>
      </c>
      <c r="GD701">
        <v>0.43748437340603558</v>
      </c>
      <c r="GE701">
        <v>1.3118231649587164</v>
      </c>
      <c r="GF701">
        <v>3.9795374058975046</v>
      </c>
      <c r="GG701">
        <v>1.8573943373214477</v>
      </c>
      <c r="GH701">
        <v>1.3889269252916665</v>
      </c>
      <c r="GI701">
        <v>7.5870481225457338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23.293981481481485</v>
      </c>
      <c r="AO702">
        <v>8.0198198045188249</v>
      </c>
      <c r="AP702">
        <v>80.37155924561219</v>
      </c>
      <c r="AQ702">
        <v>55.687495002399572</v>
      </c>
      <c r="AR702">
        <v>7.894304242531609</v>
      </c>
      <c r="AS702">
        <v>104.16787272117183</v>
      </c>
      <c r="AT702" t="e">
        <v>#DIV/0!</v>
      </c>
      <c r="AU702" t="e">
        <v>#DIV/0!</v>
      </c>
      <c r="AV702"/>
      <c r="AW702"/>
      <c r="FY702" s="210">
        <v>697</v>
      </c>
      <c r="FZ702">
        <v>20.363728271327176</v>
      </c>
      <c r="GA702">
        <v>46.172027948505288</v>
      </c>
      <c r="GB702">
        <v>13.213541557161747</v>
      </c>
      <c r="GC702">
        <v>1.7316264225393199</v>
      </c>
      <c r="GD702">
        <v>0.57376568556675944</v>
      </c>
      <c r="GE702">
        <v>1.3097673109793708</v>
      </c>
      <c r="GF702">
        <v>3.2030062460986191</v>
      </c>
      <c r="GG702">
        <v>2.2774349380945718</v>
      </c>
      <c r="GH702">
        <v>3.0623738922222374</v>
      </c>
      <c r="GI702">
        <v>7.9441417692554497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23.284406928480209</v>
      </c>
      <c r="AO703">
        <v>8.9938540422303586</v>
      </c>
      <c r="AP703">
        <v>93.772694078379544</v>
      </c>
      <c r="AQ703">
        <v>65.073739204789547</v>
      </c>
      <c r="AR703">
        <v>8.6566087778524405</v>
      </c>
      <c r="AS703">
        <v>100.02358531051614</v>
      </c>
      <c r="AT703">
        <v>5.6173535979060221</v>
      </c>
      <c r="AU703">
        <v>-0.52098238477496839</v>
      </c>
      <c r="AV703"/>
      <c r="AW703"/>
      <c r="FY703" s="210">
        <v>698</v>
      </c>
      <c r="FZ703">
        <v>21.315647429718936</v>
      </c>
      <c r="GA703">
        <v>52.891726763328464</v>
      </c>
      <c r="GB703">
        <v>15.580118445875817</v>
      </c>
      <c r="GC703">
        <v>2.41425162335636</v>
      </c>
      <c r="GD703">
        <v>1.123351052612281</v>
      </c>
      <c r="GE703">
        <v>1.4499687236065399</v>
      </c>
      <c r="GF703">
        <v>6.2104171476112615</v>
      </c>
      <c r="GG703">
        <v>3.7643973792126815</v>
      </c>
      <c r="GH703">
        <v>0.69618267737606665</v>
      </c>
      <c r="GI703">
        <v>9.2973816067628476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25.172023809523807</v>
      </c>
      <c r="AO704">
        <v>11.046926854043086</v>
      </c>
      <c r="AP704">
        <v>117.57220070567168</v>
      </c>
      <c r="AQ704">
        <v>77.878269785884413</v>
      </c>
      <c r="AR704">
        <v>10.249757007671731</v>
      </c>
      <c r="AS704">
        <v>120.96794435266699</v>
      </c>
      <c r="AT704" t="e">
        <v>#DIV/0!</v>
      </c>
      <c r="AU704" t="e">
        <v>#DIV/0!</v>
      </c>
      <c r="AV704"/>
      <c r="AW704"/>
      <c r="FY704" s="210">
        <v>699</v>
      </c>
      <c r="FZ704">
        <v>4.7277865048432979</v>
      </c>
      <c r="GA704">
        <v>18.75648890379415</v>
      </c>
      <c r="GB704">
        <v>11.004397496404373</v>
      </c>
      <c r="GC704">
        <v>2.6107411235137814</v>
      </c>
      <c r="GD704">
        <v>0.78169094285003904</v>
      </c>
      <c r="GE704">
        <v>1.3077114570000252</v>
      </c>
      <c r="GF704">
        <v>3.1840234110799841</v>
      </c>
      <c r="GG704">
        <v>2.6107919168099114</v>
      </c>
      <c r="GH704">
        <v>3.8300099850148128</v>
      </c>
      <c r="GI704">
        <v>5.2441951584926203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27.27225529100529</v>
      </c>
      <c r="AO705">
        <v>8.1209637332604068</v>
      </c>
      <c r="AP705">
        <v>85.08653145654425</v>
      </c>
      <c r="AQ705">
        <v>62.539513862887262</v>
      </c>
      <c r="AR705">
        <v>7.607027209297355</v>
      </c>
      <c r="AS705">
        <v>102.41027845217945</v>
      </c>
      <c r="AT705" t="e">
        <v>#DIV/0!</v>
      </c>
      <c r="AU705" t="e">
        <v>#DIV/0!</v>
      </c>
      <c r="AV705"/>
      <c r="AW705"/>
      <c r="FY705" s="210">
        <v>700</v>
      </c>
      <c r="FZ705">
        <v>1.2673018266920055</v>
      </c>
      <c r="GA705">
        <v>22.982857828427829</v>
      </c>
      <c r="GB705">
        <v>12.001879657983331</v>
      </c>
      <c r="GC705">
        <v>1.6625883042912901</v>
      </c>
      <c r="GD705">
        <v>0.93859295854748215</v>
      </c>
      <c r="GE705">
        <v>0.28040282525433813</v>
      </c>
      <c r="GF705">
        <v>6.3769295608912007</v>
      </c>
      <c r="GG705">
        <v>6.1375725930909057</v>
      </c>
      <c r="GH705">
        <v>0.22645271853449905</v>
      </c>
      <c r="GI705">
        <v>5.1781890401257407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47.874782772304322</v>
      </c>
      <c r="AO706">
        <v>14.13921273925277</v>
      </c>
      <c r="AP706">
        <v>149.64830746692303</v>
      </c>
      <c r="AQ706">
        <v>111.72734554586577</v>
      </c>
      <c r="AR706">
        <v>13.264958284760519</v>
      </c>
      <c r="AS706">
        <v>192.08231846550629</v>
      </c>
      <c r="AT706">
        <v>8.5009932079148509</v>
      </c>
      <c r="AU706">
        <v>72.46995353347468</v>
      </c>
      <c r="AV706"/>
      <c r="AW706"/>
      <c r="FY706" s="210">
        <v>701</v>
      </c>
      <c r="FZ706">
        <v>13.272728817111053</v>
      </c>
      <c r="GA706">
        <v>36.926140267099491</v>
      </c>
      <c r="GB706">
        <v>12.86489330305406</v>
      </c>
      <c r="GC706">
        <v>1.9493749981482911</v>
      </c>
      <c r="GD706">
        <v>0.77454262248896311</v>
      </c>
      <c r="GE706">
        <v>2.7556243266272196</v>
      </c>
      <c r="GF706">
        <v>6.9597157195996786</v>
      </c>
      <c r="GG706">
        <v>4.3591722121027079</v>
      </c>
      <c r="GH706">
        <v>3.826571555554346</v>
      </c>
      <c r="GI706">
        <v>7.8791945187559529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32.044657110928661</v>
      </c>
      <c r="AO707">
        <v>10.027049502385498</v>
      </c>
      <c r="AP707">
        <v>104.29434627292193</v>
      </c>
      <c r="AQ707">
        <v>76.842145485572658</v>
      </c>
      <c r="AR707">
        <v>9.4476064428514057</v>
      </c>
      <c r="AS707">
        <v>110.37318622396315</v>
      </c>
      <c r="AT707">
        <v>6.2798729938932061</v>
      </c>
      <c r="AU707">
        <v>43.169446874179393</v>
      </c>
      <c r="AV707"/>
      <c r="AW707"/>
      <c r="FY707" s="210">
        <v>702</v>
      </c>
      <c r="FZ707">
        <v>4.1352968398696515</v>
      </c>
      <c r="GA707">
        <v>15.560373690115156</v>
      </c>
      <c r="GB707">
        <v>9.2655917371891832</v>
      </c>
      <c r="GC707">
        <v>2.6484591773801216</v>
      </c>
      <c r="GD707">
        <v>0.80209088875021972</v>
      </c>
      <c r="GE707">
        <v>0.28245867923368362</v>
      </c>
      <c r="GF707">
        <v>1.8932712395304154</v>
      </c>
      <c r="GG707">
        <v>3.299835115664381</v>
      </c>
      <c r="GH707">
        <v>3.4886116924828308</v>
      </c>
      <c r="GI707">
        <v>4.4843899326702372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46.31112536489691</v>
      </c>
      <c r="AO708">
        <v>11.010507398874109</v>
      </c>
      <c r="AP708">
        <v>119.4937358111835</v>
      </c>
      <c r="AQ708">
        <v>92.062774665941546</v>
      </c>
      <c r="AR708">
        <v>10.553070763540047</v>
      </c>
      <c r="AS708">
        <v>164.95644446254474</v>
      </c>
      <c r="AT708" t="e">
        <v>#DIV/0!</v>
      </c>
      <c r="AU708" t="e">
        <v>#DIV/0!</v>
      </c>
      <c r="AV708"/>
      <c r="AW708"/>
      <c r="FY708" s="210">
        <v>703</v>
      </c>
      <c r="FZ708">
        <v>13.272648410872918</v>
      </c>
      <c r="GA708">
        <v>21.704492720098713</v>
      </c>
      <c r="GB708">
        <v>5.1806241370623969</v>
      </c>
      <c r="GC708">
        <v>1.1992216775752602</v>
      </c>
      <c r="GD708">
        <v>0.73319597180024332</v>
      </c>
      <c r="GE708">
        <v>0.42060423788150719</v>
      </c>
      <c r="GF708">
        <v>0.27685161370122002</v>
      </c>
      <c r="GG708">
        <v>1.7612493011065025</v>
      </c>
      <c r="GH708">
        <v>3.6035572664803137</v>
      </c>
      <c r="GI708">
        <v>4.3902508012279791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24.408713624338631</v>
      </c>
      <c r="AO709">
        <v>7.9988694928533466</v>
      </c>
      <c r="AP709">
        <v>74.057973284414217</v>
      </c>
      <c r="AQ709">
        <v>53.719581707653013</v>
      </c>
      <c r="AR709">
        <v>7.358334551184746</v>
      </c>
      <c r="AS709">
        <v>92.935274772292061</v>
      </c>
      <c r="AT709" t="e">
        <v>#DIV/0!</v>
      </c>
      <c r="AU709" t="e">
        <v>#DIV/0!</v>
      </c>
      <c r="AV709"/>
      <c r="AW709"/>
      <c r="FY709" s="210">
        <v>704</v>
      </c>
      <c r="FZ709">
        <v>5.0046330696114341</v>
      </c>
      <c r="GA709">
        <v>10.842726286883909</v>
      </c>
      <c r="GB709">
        <v>7.1090214259851123</v>
      </c>
      <c r="GC709">
        <v>2.5526906502062263</v>
      </c>
      <c r="GD709">
        <v>0.83611722345097594</v>
      </c>
      <c r="GE709">
        <v>0.28451453321302922</v>
      </c>
      <c r="GF709">
        <v>2.3929507856280807</v>
      </c>
      <c r="GG709">
        <v>3.1476604218853108</v>
      </c>
      <c r="GH709">
        <v>1.3320486743985893</v>
      </c>
      <c r="GI709">
        <v>3.7383406533985495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35.988095238095241</v>
      </c>
      <c r="AO710">
        <v>11.580744240006155</v>
      </c>
      <c r="AP710">
        <v>119.9903550796858</v>
      </c>
      <c r="AQ710">
        <v>86.701656516469967</v>
      </c>
      <c r="AR710">
        <v>10.958819371566921</v>
      </c>
      <c r="AS710">
        <v>138.99061759633969</v>
      </c>
      <c r="AT710">
        <v>7.4086009386207214</v>
      </c>
      <c r="AU710">
        <v>26.123176272246184</v>
      </c>
      <c r="AV710"/>
      <c r="AW710"/>
      <c r="FY710" s="210">
        <v>705</v>
      </c>
      <c r="FZ710">
        <v>13.218325036853837</v>
      </c>
      <c r="GA710">
        <v>35.00857222143199</v>
      </c>
      <c r="GB710">
        <v>11.767271253912718</v>
      </c>
      <c r="GC710">
        <v>1.4128711702558943</v>
      </c>
      <c r="GD710">
        <v>0.63025584424727255</v>
      </c>
      <c r="GE710">
        <v>1.4520245775858855</v>
      </c>
      <c r="GF710">
        <v>6.1686430941477743</v>
      </c>
      <c r="GG710">
        <v>5.4855556338512956</v>
      </c>
      <c r="GH710">
        <v>3.7150644110173299</v>
      </c>
      <c r="GI710">
        <v>7.3250124989117529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21.876833036854588</v>
      </c>
      <c r="AO711">
        <v>7.6332071594280579</v>
      </c>
      <c r="AP711">
        <v>73.068416309111598</v>
      </c>
      <c r="AQ711">
        <v>50.138636559562165</v>
      </c>
      <c r="AR711">
        <v>7.2779324314600906</v>
      </c>
      <c r="AS711">
        <v>102.05343840166496</v>
      </c>
      <c r="AT711">
        <v>5.0748448806644095</v>
      </c>
      <c r="AU711">
        <v>-0.83791215551600429</v>
      </c>
      <c r="AV711"/>
      <c r="AW711"/>
      <c r="FY711" s="210">
        <v>706</v>
      </c>
      <c r="FZ711">
        <v>22.49366916128599</v>
      </c>
      <c r="GA711">
        <v>40.799824273719999</v>
      </c>
      <c r="GB711">
        <v>11.258771409987741</v>
      </c>
      <c r="GC711">
        <v>2.7036670976531756</v>
      </c>
      <c r="GD711">
        <v>0.7123417022437567</v>
      </c>
      <c r="GE711">
        <v>2.0558539793455489E-3</v>
      </c>
      <c r="GF711">
        <v>1.5720451546164049</v>
      </c>
      <c r="GG711">
        <v>3.304290077661876</v>
      </c>
      <c r="GH711">
        <v>4.6376998069278956</v>
      </c>
      <c r="GI711">
        <v>7.7007903153958814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40.854447751322752</v>
      </c>
      <c r="AO712">
        <v>11.555252624584705</v>
      </c>
      <c r="AP712">
        <v>128.88133754161413</v>
      </c>
      <c r="AQ712">
        <v>96.47202622712966</v>
      </c>
      <c r="AR712">
        <v>10.933507034347551</v>
      </c>
      <c r="AS712">
        <v>151.26748666359836</v>
      </c>
      <c r="AT712">
        <v>6.990524576862839</v>
      </c>
      <c r="AU712">
        <v>81.71500092140451</v>
      </c>
      <c r="AV712"/>
      <c r="AW712"/>
      <c r="FY712" s="210">
        <v>707</v>
      </c>
      <c r="FZ712">
        <v>14.987940099255269</v>
      </c>
      <c r="GA712">
        <v>33.961082795185426</v>
      </c>
      <c r="GB712">
        <v>10.96814752281707</v>
      </c>
      <c r="GC712">
        <v>1.5300545874410942</v>
      </c>
      <c r="GD712">
        <v>0.73813074048833438</v>
      </c>
      <c r="GE712">
        <v>1.5881142822543635</v>
      </c>
      <c r="GF712">
        <v>4.498199787013804</v>
      </c>
      <c r="GG712">
        <v>3.3104244897974358</v>
      </c>
      <c r="GH712">
        <v>3.8834498064474232</v>
      </c>
      <c r="GI712">
        <v>7.0897492942408658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44.433431399379671</v>
      </c>
      <c r="AO713">
        <v>12.173226152205281</v>
      </c>
      <c r="AP713">
        <v>133.46503350047101</v>
      </c>
      <c r="AQ713">
        <v>99.851414041750544</v>
      </c>
      <c r="AR713">
        <v>11.426999057363009</v>
      </c>
      <c r="AS713">
        <v>179.62101557181651</v>
      </c>
      <c r="AT713">
        <v>7.2944831437710178</v>
      </c>
      <c r="AU713">
        <v>56.467399338295245</v>
      </c>
      <c r="AV713"/>
      <c r="AW713"/>
      <c r="FY713" s="210">
        <v>708</v>
      </c>
      <c r="FZ713">
        <v>12.974766577739889</v>
      </c>
      <c r="GA713">
        <v>20.70912719867496</v>
      </c>
      <c r="GB713">
        <v>4.5655609467035667</v>
      </c>
      <c r="GC713">
        <v>1.6820802997494055</v>
      </c>
      <c r="GD713">
        <v>0.95527399307865102</v>
      </c>
      <c r="GE713">
        <v>0.14225726660651461</v>
      </c>
      <c r="GF713">
        <v>2.669802399329301</v>
      </c>
      <c r="GG713">
        <v>4.1493777313677906</v>
      </c>
      <c r="GH713">
        <v>2.4376446302626795</v>
      </c>
      <c r="GI713">
        <v>4.6313019440698353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53.1562642537858</v>
      </c>
      <c r="AO714">
        <v>14.510423662889565</v>
      </c>
      <c r="AP714">
        <v>156.12054959539532</v>
      </c>
      <c r="AQ714">
        <v>114.74344284946127</v>
      </c>
      <c r="AR714">
        <v>13.496711473754226</v>
      </c>
      <c r="AS714">
        <v>194.81226786424438</v>
      </c>
      <c r="AT714" t="e">
        <v>#DIV/0!</v>
      </c>
      <c r="AU714" t="e">
        <v>#DIV/0!</v>
      </c>
      <c r="AV714"/>
      <c r="AW714"/>
      <c r="FY714" s="210">
        <v>709</v>
      </c>
      <c r="FZ714">
        <v>22.161856967399483</v>
      </c>
      <c r="GA714">
        <v>37.043975901993903</v>
      </c>
      <c r="GB714">
        <v>10.745418746903535</v>
      </c>
      <c r="GC714">
        <v>2.702578466046627</v>
      </c>
      <c r="GD714">
        <v>0.66687776134401133</v>
      </c>
      <c r="GE714">
        <v>0.14020141262716906</v>
      </c>
      <c r="GF714">
        <v>0.55370322740244005</v>
      </c>
      <c r="GG714">
        <v>2.9329836855398179</v>
      </c>
      <c r="GH714">
        <v>4.8206603668814205</v>
      </c>
      <c r="GI714">
        <v>7.3229908077156747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23.305803571428566</v>
      </c>
      <c r="AO715">
        <v>7.8443194073068678</v>
      </c>
      <c r="AP715">
        <v>77.217226432653135</v>
      </c>
      <c r="AQ715">
        <v>54.057836899803</v>
      </c>
      <c r="AR715">
        <v>7.5884885192266935</v>
      </c>
      <c r="AS715">
        <v>88.75591355535559</v>
      </c>
      <c r="AT715" t="e">
        <v>#DIV/0!</v>
      </c>
      <c r="AU715" t="e">
        <v>#DIV/0!</v>
      </c>
      <c r="AV715"/>
      <c r="AW715"/>
      <c r="FY715" s="210">
        <v>710</v>
      </c>
      <c r="FZ715">
        <v>14.441940265824062</v>
      </c>
      <c r="GA715">
        <v>29.363278985845774</v>
      </c>
      <c r="GB715">
        <v>8.0361876137261312</v>
      </c>
      <c r="GC715">
        <v>1.1840211344221074</v>
      </c>
      <c r="GD715">
        <v>0.72922286527930014</v>
      </c>
      <c r="GE715">
        <v>2.7576801806065649</v>
      </c>
      <c r="GF715">
        <v>9.12018936273933</v>
      </c>
      <c r="GG715">
        <v>5.4989430530255667</v>
      </c>
      <c r="GH715">
        <v>3.3056511325293063</v>
      </c>
      <c r="GI715">
        <v>7.0994128258379661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22.251900314723589</v>
      </c>
      <c r="AO716">
        <v>8.125141748015869</v>
      </c>
      <c r="AP716">
        <v>84.251094847366232</v>
      </c>
      <c r="AQ716">
        <v>57.052767313838615</v>
      </c>
      <c r="AR716">
        <v>7.5974057702930011</v>
      </c>
      <c r="AS716">
        <v>91.716584135937083</v>
      </c>
      <c r="AT716" t="e">
        <v>#DIV/0!</v>
      </c>
      <c r="AU716" t="e">
        <v>#DIV/0!</v>
      </c>
      <c r="AV716"/>
      <c r="AW716"/>
      <c r="FY716" s="210">
        <v>711</v>
      </c>
      <c r="FZ716">
        <v>5.5270941570650667</v>
      </c>
      <c r="GA716">
        <v>12.50973986764691</v>
      </c>
      <c r="GB716">
        <v>5.4171357422189876</v>
      </c>
      <c r="GC716">
        <v>0.91105209872946957</v>
      </c>
      <c r="GD716">
        <v>0.38054414331674691</v>
      </c>
      <c r="GE716">
        <v>1.3097673109793708</v>
      </c>
      <c r="GF716">
        <v>4.7750514007150233</v>
      </c>
      <c r="GG716">
        <v>2.6230607410810305</v>
      </c>
      <c r="GH716">
        <v>2.0851096026677332</v>
      </c>
      <c r="GI716">
        <v>3.7678325498560321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33.997386425834705</v>
      </c>
      <c r="AO717">
        <v>12.314434136419958</v>
      </c>
      <c r="AP717">
        <v>128.82713782612197</v>
      </c>
      <c r="AQ717">
        <v>91.56795834054175</v>
      </c>
      <c r="AR717">
        <v>11.449598416368058</v>
      </c>
      <c r="AS717">
        <v>130.39999925199695</v>
      </c>
      <c r="AT717">
        <v>7.6444759825948418</v>
      </c>
      <c r="AU717">
        <v>59.034233147584636</v>
      </c>
      <c r="AV717"/>
      <c r="AW717"/>
      <c r="FY717" s="210">
        <v>712</v>
      </c>
      <c r="FZ717">
        <v>13.928794257278108</v>
      </c>
      <c r="GA717">
        <v>30.464382676412875</v>
      </c>
      <c r="GB717">
        <v>11.728282620839998</v>
      </c>
      <c r="GC717">
        <v>2.4226955046010676</v>
      </c>
      <c r="GD717">
        <v>0.63309580128728737</v>
      </c>
      <c r="GE717">
        <v>1.5901701362337088</v>
      </c>
      <c r="GF717">
        <v>4.1483416569891753</v>
      </c>
      <c r="GG717">
        <v>2.9350678961091754</v>
      </c>
      <c r="GH717">
        <v>2.8359211736877388</v>
      </c>
      <c r="GI717">
        <v>6.6821740546673958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16.581977513227514</v>
      </c>
      <c r="AO718">
        <v>6.8974520130287944</v>
      </c>
      <c r="AP718">
        <v>67.361575794839993</v>
      </c>
      <c r="AQ718">
        <v>45.860378992885884</v>
      </c>
      <c r="AR718">
        <v>6.7087660523821464</v>
      </c>
      <c r="AS718">
        <v>70.52408092449663</v>
      </c>
      <c r="AT718" t="e">
        <v>#DIV/0!</v>
      </c>
      <c r="AU718" t="e">
        <v>#DIV/0!</v>
      </c>
      <c r="AV718"/>
      <c r="AW718"/>
      <c r="FY718" s="210">
        <v>713</v>
      </c>
      <c r="FZ718">
        <v>4.8842394860926879</v>
      </c>
      <c r="GA718">
        <v>12.576288256282647</v>
      </c>
      <c r="GB718">
        <v>6.59433412759034</v>
      </c>
      <c r="GC718">
        <v>1.7071041791985779</v>
      </c>
      <c r="GD718">
        <v>0.65934679693117459</v>
      </c>
      <c r="GE718">
        <v>0.14225726660651461</v>
      </c>
      <c r="GF718">
        <v>0.44565586479289071</v>
      </c>
      <c r="GG718">
        <v>1.9093737933193704</v>
      </c>
      <c r="GH718">
        <v>3.4886116924828308</v>
      </c>
      <c r="GI718">
        <v>3.4670458306161125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27.826984126984126</v>
      </c>
      <c r="AO719">
        <v>6.4844221918098821</v>
      </c>
      <c r="AP719">
        <v>68.003959777467074</v>
      </c>
      <c r="AQ719">
        <v>52.542696137807049</v>
      </c>
      <c r="AR719">
        <v>6.4008708287139156</v>
      </c>
      <c r="AS719">
        <v>86.974697077744295</v>
      </c>
      <c r="AT719" t="e">
        <v>#DIV/0!</v>
      </c>
      <c r="AU719" t="e">
        <v>#DIV/0!</v>
      </c>
      <c r="AV719"/>
      <c r="AW719"/>
      <c r="FY719" s="210">
        <v>714</v>
      </c>
      <c r="FZ719">
        <v>2.7282580332915352</v>
      </c>
      <c r="GA719">
        <v>23.344085035631583</v>
      </c>
      <c r="GB719">
        <v>11.939205978511772</v>
      </c>
      <c r="GC719">
        <v>1.712609108239648</v>
      </c>
      <c r="GD719">
        <v>0.69790712916409392</v>
      </c>
      <c r="GE719">
        <v>1.5881142822543635</v>
      </c>
      <c r="GF719">
        <v>5.5959570317266998</v>
      </c>
      <c r="GG719">
        <v>5.0850612100782104</v>
      </c>
      <c r="GH719">
        <v>3.3602800261732453</v>
      </c>
      <c r="GI719">
        <v>5.6467245588103738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23.032687351760625</v>
      </c>
      <c r="AO720">
        <v>5.5224374473460847</v>
      </c>
      <c r="AP720">
        <v>50.88978752720945</v>
      </c>
      <c r="AQ720">
        <v>37.240703724661223</v>
      </c>
      <c r="AR720">
        <v>5.4043266740260858</v>
      </c>
      <c r="AS720">
        <v>97.303071864585561</v>
      </c>
      <c r="AT720" t="e">
        <v>#DIV/0!</v>
      </c>
      <c r="AU720" t="e">
        <v>#DIV/0!</v>
      </c>
      <c r="AV720"/>
      <c r="AW720"/>
      <c r="FY720" s="210">
        <v>715</v>
      </c>
      <c r="FZ720">
        <v>12.331642431555824</v>
      </c>
      <c r="GA720">
        <v>33.325865834235948</v>
      </c>
      <c r="GB720">
        <v>13.353707422500019</v>
      </c>
      <c r="GC720">
        <v>2.8615887463873682</v>
      </c>
      <c r="GD720">
        <v>1.0656765674831155</v>
      </c>
      <c r="GE720">
        <v>2.7597360345859103</v>
      </c>
      <c r="GF720">
        <v>7.682223198093789</v>
      </c>
      <c r="GG720">
        <v>3.3025862818336034</v>
      </c>
      <c r="GH720">
        <v>0.80768982191308281</v>
      </c>
      <c r="GI720">
        <v>7.5709037152765557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31.951833036854595</v>
      </c>
      <c r="AO721">
        <v>11.344046702945247</v>
      </c>
      <c r="AP721">
        <v>121.7664791078552</v>
      </c>
      <c r="AQ721">
        <v>86.183595742215743</v>
      </c>
      <c r="AR721">
        <v>10.753675595435702</v>
      </c>
      <c r="AS721">
        <v>136.09249099654917</v>
      </c>
      <c r="AT721">
        <v>7.2846783376827995</v>
      </c>
      <c r="AU721">
        <v>42.695801507234862</v>
      </c>
      <c r="AV721"/>
      <c r="AW721"/>
      <c r="FY721" s="210">
        <v>716</v>
      </c>
      <c r="FZ721">
        <v>10.73806072836101</v>
      </c>
      <c r="GA721">
        <v>29.832629083041716</v>
      </c>
      <c r="GB721">
        <v>11.312894815860108</v>
      </c>
      <c r="GC721">
        <v>2.3402806227704889</v>
      </c>
      <c r="GD721">
        <v>0.70483676248253135</v>
      </c>
      <c r="GE721">
        <v>2.6154229140000504</v>
      </c>
      <c r="GF721">
        <v>7.0998879255807292</v>
      </c>
      <c r="GG721">
        <v>5.0570342152046823</v>
      </c>
      <c r="GH721">
        <v>4.1244776895053539</v>
      </c>
      <c r="GI721">
        <v>7.0541209964376907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50.513192163838724</v>
      </c>
      <c r="AO722">
        <v>11.537614887482988</v>
      </c>
      <c r="AP722">
        <v>123.40074702175745</v>
      </c>
      <c r="AQ722">
        <v>95.185154853472071</v>
      </c>
      <c r="AR722">
        <v>11.100248296364907</v>
      </c>
      <c r="AS722">
        <v>158.45555028968403</v>
      </c>
      <c r="AT722" t="e">
        <v>#DIV/0!</v>
      </c>
      <c r="AU722" t="e">
        <v>#DIV/0!</v>
      </c>
      <c r="AV722"/>
      <c r="AW722"/>
      <c r="FY722" s="210">
        <v>717</v>
      </c>
      <c r="FZ722">
        <v>3.7914660029577956</v>
      </c>
      <c r="GA722">
        <v>26.60408858933673</v>
      </c>
      <c r="GB722">
        <v>12.305815487776943</v>
      </c>
      <c r="GC722">
        <v>0.97959812570467408</v>
      </c>
      <c r="GD722">
        <v>0.53043845827913461</v>
      </c>
      <c r="GE722">
        <v>6.1675619380366468E-3</v>
      </c>
      <c r="GF722">
        <v>5.358587633677236</v>
      </c>
      <c r="GG722">
        <v>5.7662662009688468</v>
      </c>
      <c r="GH722">
        <v>1.6868330592426739</v>
      </c>
      <c r="GI722">
        <v>5.5287388653614311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33.123659573982856</v>
      </c>
      <c r="AO723">
        <v>10.626821227360002</v>
      </c>
      <c r="AP723">
        <v>113.27677305454874</v>
      </c>
      <c r="AQ723">
        <v>82.555293404941082</v>
      </c>
      <c r="AR723">
        <v>10.280141703687281</v>
      </c>
      <c r="AS723">
        <v>132.27445078407609</v>
      </c>
      <c r="AT723">
        <v>6.6181051243236491</v>
      </c>
      <c r="AU723">
        <v>33.469675337613658</v>
      </c>
      <c r="AV723"/>
      <c r="AW723"/>
      <c r="FY723" s="210">
        <v>718</v>
      </c>
      <c r="FZ723">
        <v>14.084015333062613</v>
      </c>
      <c r="GA723">
        <v>34.433190528242427</v>
      </c>
      <c r="GB723">
        <v>12.009853760819178</v>
      </c>
      <c r="GC723">
        <v>1.5265417760364146</v>
      </c>
      <c r="GD723">
        <v>0.48548744720759768</v>
      </c>
      <c r="GE723">
        <v>1.4499687236065399</v>
      </c>
      <c r="GF723">
        <v>7.4892282712571152</v>
      </c>
      <c r="GG723">
        <v>5.0067342093448231</v>
      </c>
      <c r="GH723">
        <v>0.5812371033785837</v>
      </c>
      <c r="GI723">
        <v>7.2081932931391046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30.788722404670676</v>
      </c>
      <c r="AO724">
        <v>7.1014365806467286</v>
      </c>
      <c r="AP724">
        <v>71.579893007645694</v>
      </c>
      <c r="AQ724">
        <v>54.917192987582595</v>
      </c>
      <c r="AR724">
        <v>6.7710895990086604</v>
      </c>
      <c r="AS724">
        <v>104.08039463308516</v>
      </c>
      <c r="AT724" t="e">
        <v>#DIV/0!</v>
      </c>
      <c r="AU724" t="e">
        <v>#DIV/0!</v>
      </c>
      <c r="AV724"/>
      <c r="AW724"/>
      <c r="FY724" s="210">
        <v>719</v>
      </c>
      <c r="FZ724">
        <v>4.0531966564825428</v>
      </c>
      <c r="GA724">
        <v>14.102088245433908</v>
      </c>
      <c r="GB724">
        <v>9.5877537701809565</v>
      </c>
      <c r="GC724">
        <v>3.3760921549464888</v>
      </c>
      <c r="GD724">
        <v>0.88425149066472541</v>
      </c>
      <c r="GE724">
        <v>2.6174787679793958</v>
      </c>
      <c r="GF724">
        <v>4.7069371399526485</v>
      </c>
      <c r="GG724">
        <v>0.39030981007132332</v>
      </c>
      <c r="GH724">
        <v>1.3923653547521333</v>
      </c>
      <c r="GI724">
        <v>4.7575564129578023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47.835282110928667</v>
      </c>
      <c r="AO725">
        <v>10.899407459800948</v>
      </c>
      <c r="AP725">
        <v>115.4585066702336</v>
      </c>
      <c r="AQ725">
        <v>89.091247343854093</v>
      </c>
      <c r="AR725">
        <v>10.580007405131905</v>
      </c>
      <c r="AS725">
        <v>140.95657889587741</v>
      </c>
      <c r="AT725" t="e">
        <v>#DIV/0!</v>
      </c>
      <c r="AU725" t="e">
        <v>#DIV/0!</v>
      </c>
      <c r="AV725"/>
      <c r="AW725"/>
      <c r="FY725" s="210">
        <v>720</v>
      </c>
      <c r="FZ725">
        <v>22.357188551072284</v>
      </c>
      <c r="GA725">
        <v>38.421957067261609</v>
      </c>
      <c r="GB725">
        <v>10.830247974717164</v>
      </c>
      <c r="GC725">
        <v>2.7460190026941844</v>
      </c>
      <c r="GD725">
        <v>0.86802521557999923</v>
      </c>
      <c r="GE725">
        <v>2.8999374472130799</v>
      </c>
      <c r="GF725">
        <v>8.576135345428872</v>
      </c>
      <c r="GG725">
        <v>6.6572900182846109</v>
      </c>
      <c r="GH725">
        <v>4.4658759820373355</v>
      </c>
      <c r="GI725">
        <v>9.0885010678525795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34.388822751322749</v>
      </c>
      <c r="AO726">
        <v>10.749735683238843</v>
      </c>
      <c r="AP726">
        <v>111.30000399502109</v>
      </c>
      <c r="AQ726">
        <v>81.536527419836119</v>
      </c>
      <c r="AR726">
        <v>10.185682083559815</v>
      </c>
      <c r="AS726">
        <v>138.79535798229287</v>
      </c>
      <c r="AT726">
        <v>6.8376547231625899</v>
      </c>
      <c r="AU726">
        <v>39.366899512081346</v>
      </c>
      <c r="AV726"/>
      <c r="AW726"/>
      <c r="FY726" s="210">
        <v>721</v>
      </c>
      <c r="FZ726">
        <v>20.654218225311027</v>
      </c>
      <c r="GA726">
        <v>46.023706345951297</v>
      </c>
      <c r="GB726">
        <v>11.899328666715984</v>
      </c>
      <c r="GC726">
        <v>0.82331484411807643</v>
      </c>
      <c r="GD726">
        <v>0.53054214689955315</v>
      </c>
      <c r="GE726">
        <v>1.5922259902130544</v>
      </c>
      <c r="GF726">
        <v>10.20664555071567</v>
      </c>
      <c r="GG726">
        <v>8.1030003761573326</v>
      </c>
      <c r="GH726">
        <v>1.9567779363581475</v>
      </c>
      <c r="GI726">
        <v>8.9546907962026605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15.942542989417991</v>
      </c>
      <c r="AO727">
        <v>5.4331137970558752</v>
      </c>
      <c r="AP727">
        <v>55.423459536858743</v>
      </c>
      <c r="AQ727">
        <v>39.306387614276382</v>
      </c>
      <c r="AR727">
        <v>5.4070156671761378</v>
      </c>
      <c r="AS727">
        <v>74.849385161437709</v>
      </c>
      <c r="AT727">
        <v>3.6696253120509348</v>
      </c>
      <c r="AU727">
        <v>4.6408137620202776</v>
      </c>
      <c r="AV727"/>
      <c r="AW727"/>
      <c r="FY727" s="210">
        <v>722</v>
      </c>
      <c r="FZ727">
        <v>3.8427217181699618</v>
      </c>
      <c r="GA727">
        <v>10.093428170718692</v>
      </c>
      <c r="GB727">
        <v>5.2607359592428473</v>
      </c>
      <c r="GC727">
        <v>1.9332920378739442</v>
      </c>
      <c r="GD727">
        <v>0.75071568981581382</v>
      </c>
      <c r="GE727">
        <v>2.7556243266272196</v>
      </c>
      <c r="GF727">
        <v>9.0217912102217639</v>
      </c>
      <c r="GG727">
        <v>6.118050761781074</v>
      </c>
      <c r="GH727">
        <v>3.1338273076387462</v>
      </c>
      <c r="GI727">
        <v>4.7268358304415017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39.499766237912795</v>
      </c>
      <c r="AO728">
        <v>9.9093215336701981</v>
      </c>
      <c r="AP728">
        <v>102.10881697736505</v>
      </c>
      <c r="AQ728">
        <v>77.368925778106529</v>
      </c>
      <c r="AR728">
        <v>9.4486900126363267</v>
      </c>
      <c r="AS728">
        <v>142.02469664662877</v>
      </c>
      <c r="AT728">
        <v>6.1598697985392405</v>
      </c>
      <c r="AU728">
        <v>14.349713231080948</v>
      </c>
      <c r="AV728"/>
      <c r="AW728"/>
      <c r="FY728" s="210">
        <v>723</v>
      </c>
      <c r="FZ728">
        <v>12.137952019938322</v>
      </c>
      <c r="GA728">
        <v>33.473352478263728</v>
      </c>
      <c r="GB728">
        <v>12.17048960654567</v>
      </c>
      <c r="GC728">
        <v>1.9631474944253633</v>
      </c>
      <c r="GD728">
        <v>0.81168057135936245</v>
      </c>
      <c r="GE728">
        <v>1.5901701362337088</v>
      </c>
      <c r="GF728">
        <v>3.64866211089151</v>
      </c>
      <c r="GG728">
        <v>2.9172255149374089</v>
      </c>
      <c r="GH728">
        <v>2.9073745891042471</v>
      </c>
      <c r="GI728">
        <v>6.650723238332561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16.655041849115126</v>
      </c>
      <c r="AO729">
        <v>5.0691747048044373</v>
      </c>
      <c r="AP729">
        <v>50.347521916254415</v>
      </c>
      <c r="AQ729">
        <v>35.874257293913146</v>
      </c>
      <c r="AR729">
        <v>5.1075491140832572</v>
      </c>
      <c r="AS729">
        <v>67.583458413614039</v>
      </c>
      <c r="AT729" t="e">
        <v>#DIV/0!</v>
      </c>
      <c r="AU729" t="e">
        <v>#DIV/0!</v>
      </c>
      <c r="AV729"/>
      <c r="AW729"/>
      <c r="FY729" s="210">
        <v>724</v>
      </c>
      <c r="FZ729">
        <v>23.741378729114437</v>
      </c>
      <c r="GA729">
        <v>37.821039637411914</v>
      </c>
      <c r="GB729">
        <v>9.9173892240134052</v>
      </c>
      <c r="GC729">
        <v>2.2608708128871622</v>
      </c>
      <c r="GD729">
        <v>0.71421217250498903</v>
      </c>
      <c r="GE729">
        <v>1.5901701362337088</v>
      </c>
      <c r="GF729">
        <v>3.64866211089151</v>
      </c>
      <c r="GG729">
        <v>1.3981615316893619</v>
      </c>
      <c r="GH729">
        <v>1.1624742067571674</v>
      </c>
      <c r="GI729">
        <v>7.4032253419230951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20.300957854406128</v>
      </c>
      <c r="AO730">
        <v>8.9555740473612957</v>
      </c>
      <c r="AP730">
        <v>92.465902369248695</v>
      </c>
      <c r="AQ730">
        <v>61.698202393881523</v>
      </c>
      <c r="AR730">
        <v>8.3511686582201818</v>
      </c>
      <c r="AS730">
        <v>85.000792144102491</v>
      </c>
      <c r="AT730">
        <v>5.5526901052009165</v>
      </c>
      <c r="AU730">
        <v>-0.47673812707793251</v>
      </c>
      <c r="AV730"/>
      <c r="AW730"/>
      <c r="FY730" s="210">
        <v>725</v>
      </c>
      <c r="FZ730">
        <v>4.7661767370780073</v>
      </c>
      <c r="GA730">
        <v>12.26029969973416</v>
      </c>
      <c r="GB730">
        <v>6.3191960672937686</v>
      </c>
      <c r="GC730">
        <v>1.6495143593811463</v>
      </c>
      <c r="GD730">
        <v>0.50987819094275244</v>
      </c>
      <c r="GE730">
        <v>0</v>
      </c>
      <c r="GF730">
        <v>2.6444107631351446</v>
      </c>
      <c r="GG730">
        <v>2.7930778160318672</v>
      </c>
      <c r="GH730">
        <v>1.7303252178236483</v>
      </c>
      <c r="GI730">
        <v>3.4366626798116382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40.218650793650788</v>
      </c>
      <c r="AO731">
        <v>11.521062476558793</v>
      </c>
      <c r="AP731">
        <v>115.61234040130012</v>
      </c>
      <c r="AQ731">
        <v>85.061620053865227</v>
      </c>
      <c r="AR731">
        <v>10.720986904226864</v>
      </c>
      <c r="AS731">
        <v>194.89043329037676</v>
      </c>
      <c r="AT731">
        <v>6.9656329614918802</v>
      </c>
      <c r="AU731">
        <v>18.859200656069017</v>
      </c>
      <c r="AV731"/>
      <c r="AW731"/>
      <c r="FY731" s="210">
        <v>726</v>
      </c>
      <c r="FZ731">
        <v>21.438442363026446</v>
      </c>
      <c r="GA731">
        <v>44.210749491884364</v>
      </c>
      <c r="GB731">
        <v>12.682199069906742</v>
      </c>
      <c r="GC731">
        <v>2.3522929147772231</v>
      </c>
      <c r="GD731">
        <v>0.66455962171491079</v>
      </c>
      <c r="GE731">
        <v>0.14225726660651461</v>
      </c>
      <c r="GF731">
        <v>2.4215828307386991</v>
      </c>
      <c r="GG731">
        <v>6.2255657941654867</v>
      </c>
      <c r="GH731">
        <v>7.0318522786096018</v>
      </c>
      <c r="GI731">
        <v>8.5262532420437562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36.622534095055649</v>
      </c>
      <c r="AO732">
        <v>11.049110231884953</v>
      </c>
      <c r="AP732">
        <v>112.16222326122259</v>
      </c>
      <c r="AQ732">
        <v>80.879645753244347</v>
      </c>
      <c r="AR732">
        <v>10.134792613092515</v>
      </c>
      <c r="AS732">
        <v>148.67951912301632</v>
      </c>
      <c r="AT732" t="e">
        <v>#DIV/0!</v>
      </c>
      <c r="AU732" t="e">
        <v>#DIV/0!</v>
      </c>
      <c r="AV732"/>
      <c r="AW732"/>
      <c r="FY732" s="210">
        <v>727</v>
      </c>
      <c r="FZ732">
        <v>5.0221749867140595</v>
      </c>
      <c r="GA732">
        <v>16.945697731964732</v>
      </c>
      <c r="GB732">
        <v>10.814600484415376</v>
      </c>
      <c r="GC732">
        <v>2.9966352646935888</v>
      </c>
      <c r="GD732">
        <v>0.66266968527967496</v>
      </c>
      <c r="GE732">
        <v>1.4479128696271943</v>
      </c>
      <c r="GF732">
        <v>4.2467398095067397</v>
      </c>
      <c r="GG732">
        <v>3.6650070956508793</v>
      </c>
      <c r="GH732">
        <v>3.1338273076387462</v>
      </c>
      <c r="GI732">
        <v>5.3329242762479296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19.244658251231527</v>
      </c>
      <c r="AO733">
        <v>8.7017711247922556</v>
      </c>
      <c r="AP733">
        <v>95.948014316244581</v>
      </c>
      <c r="AQ733">
        <v>62.557999985243512</v>
      </c>
      <c r="AR733">
        <v>8.3459509976594646</v>
      </c>
      <c r="AS733">
        <v>86.348511972709971</v>
      </c>
      <c r="AT733" t="e">
        <v>#DIV/0!</v>
      </c>
      <c r="AU733" t="e">
        <v>#DIV/0!</v>
      </c>
      <c r="AV733"/>
      <c r="AW733"/>
      <c r="FY733" s="210">
        <v>728</v>
      </c>
      <c r="FZ733">
        <v>12.644711993856792</v>
      </c>
      <c r="GA733">
        <v>36.102150531195981</v>
      </c>
      <c r="GB733">
        <v>12.408245191140374</v>
      </c>
      <c r="GC733">
        <v>1.5247212960740868</v>
      </c>
      <c r="GD733">
        <v>0.83707815409406017</v>
      </c>
      <c r="GE733">
        <v>1.4499687236065399</v>
      </c>
      <c r="GF733">
        <v>3.2030062460986191</v>
      </c>
      <c r="GG733">
        <v>1.0078517216180385</v>
      </c>
      <c r="GH733">
        <v>0.5812371033785837</v>
      </c>
      <c r="GI733">
        <v>6.3974250983356011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31.737564997263274</v>
      </c>
      <c r="AO734">
        <v>11.110343214968383</v>
      </c>
      <c r="AP734">
        <v>119.40668374718533</v>
      </c>
      <c r="AQ734">
        <v>84.274450446094406</v>
      </c>
      <c r="AR734">
        <v>10.550785071384988</v>
      </c>
      <c r="AS734">
        <v>146.84846521141066</v>
      </c>
      <c r="AT734" t="e">
        <v>#DIV/0!</v>
      </c>
      <c r="AU734" t="e">
        <v>#DIV/0!</v>
      </c>
      <c r="AV734"/>
      <c r="AW734"/>
      <c r="FY734" s="210">
        <v>729</v>
      </c>
      <c r="FZ734">
        <v>12.707509862811948</v>
      </c>
      <c r="GA734">
        <v>27.315552503725165</v>
      </c>
      <c r="GB734">
        <v>8.1201643688823353</v>
      </c>
      <c r="GC734">
        <v>1.7943301234985776</v>
      </c>
      <c r="GD734">
        <v>0.90923726233909241</v>
      </c>
      <c r="GE734">
        <v>0.14431312058586016</v>
      </c>
      <c r="GF734">
        <v>3.5193400754515958</v>
      </c>
      <c r="GG734">
        <v>3.613027639652957</v>
      </c>
      <c r="GH734">
        <v>0.45290543706899811</v>
      </c>
      <c r="GI734">
        <v>5.3504180166483746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21.695518039591313</v>
      </c>
      <c r="AO735">
        <v>7.1194108395104267</v>
      </c>
      <c r="AP735">
        <v>63.711761192958036</v>
      </c>
      <c r="AQ735">
        <v>45.868029803421926</v>
      </c>
      <c r="AR735">
        <v>6.6812221476180103</v>
      </c>
      <c r="AS735">
        <v>90.20569519241046</v>
      </c>
      <c r="AT735" t="e">
        <v>#DIV/0!</v>
      </c>
      <c r="AU735" t="e">
        <v>#DIV/0!</v>
      </c>
      <c r="AV735"/>
      <c r="AW735"/>
      <c r="FY735" s="210">
        <v>730</v>
      </c>
      <c r="FZ735">
        <v>21.558182315806405</v>
      </c>
      <c r="GA735">
        <v>38.744637976471587</v>
      </c>
      <c r="GB735">
        <v>7.7643948262941107</v>
      </c>
      <c r="GC735">
        <v>0.99063870892957351</v>
      </c>
      <c r="GD735">
        <v>0.47685904494783898</v>
      </c>
      <c r="GE735">
        <v>4.1117079586910979E-3</v>
      </c>
      <c r="GF735">
        <v>3.7421680078480408</v>
      </c>
      <c r="GG735">
        <v>3.8081825446886186</v>
      </c>
      <c r="GH735">
        <v>1.7303252178236483</v>
      </c>
      <c r="GI735">
        <v>6.6153450837992969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48.667310367633647</v>
      </c>
      <c r="AO736">
        <v>13.854842340206204</v>
      </c>
      <c r="AP736">
        <v>140.58148830572776</v>
      </c>
      <c r="AQ736">
        <v>106.9111776721417</v>
      </c>
      <c r="AR736">
        <v>12.947658404508207</v>
      </c>
      <c r="AS736">
        <v>166.60068771998633</v>
      </c>
      <c r="AT736">
        <v>8.4816149098487656</v>
      </c>
      <c r="AU736">
        <v>48.03599411956791</v>
      </c>
      <c r="AV736"/>
      <c r="AW736"/>
      <c r="FY736" s="210">
        <v>731</v>
      </c>
      <c r="FZ736">
        <v>31.532292694443573</v>
      </c>
      <c r="GA736">
        <v>47.254683995832096</v>
      </c>
      <c r="GB736">
        <v>7.6161298278467715</v>
      </c>
      <c r="GC736">
        <v>1.3377407277269961</v>
      </c>
      <c r="GD736">
        <v>0.61378558463632005</v>
      </c>
      <c r="GE736">
        <v>2.8978815932337341</v>
      </c>
      <c r="GF736">
        <v>5.5564748160749424</v>
      </c>
      <c r="GG736">
        <v>2.1325556932285603</v>
      </c>
      <c r="GH736">
        <v>1.3320486743985893</v>
      </c>
      <c r="GI736">
        <v>8.3177055545314218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41.580952380952382</v>
      </c>
      <c r="AO737">
        <v>13.854233890555983</v>
      </c>
      <c r="AP737">
        <v>152.09114075858241</v>
      </c>
      <c r="AQ737">
        <v>110.74445087864278</v>
      </c>
      <c r="AR737">
        <v>13.026134418492273</v>
      </c>
      <c r="AS737">
        <v>199.75122275879221</v>
      </c>
      <c r="AT737">
        <v>8.7090010505599427</v>
      </c>
      <c r="AU737">
        <v>71.186289628299448</v>
      </c>
      <c r="AV737"/>
      <c r="AW737"/>
      <c r="FY737" s="210">
        <v>732</v>
      </c>
      <c r="FZ737">
        <v>13.832560653738678</v>
      </c>
      <c r="GA737">
        <v>24.749109193581862</v>
      </c>
      <c r="GB737">
        <v>7.694996920331425</v>
      </c>
      <c r="GC737">
        <v>1.8453068110175281</v>
      </c>
      <c r="GD737">
        <v>0.56598703634129843</v>
      </c>
      <c r="GE737">
        <v>1.3077114570000252</v>
      </c>
      <c r="GF737">
        <v>5.0962774856290345</v>
      </c>
      <c r="GG737">
        <v>3.7181719206092332</v>
      </c>
      <c r="GH737">
        <v>2.6094684551532397</v>
      </c>
      <c r="GI737">
        <v>5.8650191701041434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25.038702449370554</v>
      </c>
      <c r="AO738">
        <v>7.343987352000596</v>
      </c>
      <c r="AP738">
        <v>67.349851997415428</v>
      </c>
      <c r="AQ738">
        <v>47.637023012531564</v>
      </c>
      <c r="AR738">
        <v>6.7520567392698254</v>
      </c>
      <c r="AS738">
        <v>86.806395464443284</v>
      </c>
      <c r="AT738">
        <v>4.6042108962585191</v>
      </c>
      <c r="AU738">
        <v>4.9702006701276549</v>
      </c>
      <c r="AV738"/>
      <c r="AW738"/>
      <c r="FY738" s="210">
        <v>733</v>
      </c>
      <c r="FZ738">
        <v>2.3988013299795692</v>
      </c>
      <c r="GA738">
        <v>22.46691424185887</v>
      </c>
      <c r="GB738">
        <v>13.410245991169287</v>
      </c>
      <c r="GC738">
        <v>2.369187835129686</v>
      </c>
      <c r="GD738">
        <v>0.8039845584881018</v>
      </c>
      <c r="GE738">
        <v>4.2035371962544144</v>
      </c>
      <c r="GF738">
        <v>10.706775983008752</v>
      </c>
      <c r="GG738">
        <v>5.897758026660588</v>
      </c>
      <c r="GH738">
        <v>6.0300651616800289</v>
      </c>
      <c r="GI738">
        <v>7.3934205701909619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36.676569626892906</v>
      </c>
      <c r="AO739">
        <v>10.262911210597771</v>
      </c>
      <c r="AP739">
        <v>107.89203753773785</v>
      </c>
      <c r="AQ739">
        <v>78.270777760031891</v>
      </c>
      <c r="AR739">
        <v>9.635039281596141</v>
      </c>
      <c r="AS739">
        <v>129.60153202762919</v>
      </c>
      <c r="AT739">
        <v>6.299518370382625</v>
      </c>
      <c r="AU739">
        <v>25.804044898970048</v>
      </c>
      <c r="AV739"/>
      <c r="AW739"/>
      <c r="FY739" s="210">
        <v>734</v>
      </c>
      <c r="FZ739">
        <v>3.0538609256249316</v>
      </c>
      <c r="GA739">
        <v>20.042462368591103</v>
      </c>
      <c r="GB739">
        <v>10.859316540645278</v>
      </c>
      <c r="GC739">
        <v>1.818029363200925</v>
      </c>
      <c r="GD739">
        <v>0.48457440992298095</v>
      </c>
      <c r="GE739">
        <v>2.0558539793455489E-3</v>
      </c>
      <c r="GF739">
        <v>1.8488967683176252</v>
      </c>
      <c r="GG739">
        <v>1.8573943373214477</v>
      </c>
      <c r="GH739">
        <v>1.5038724992891495</v>
      </c>
      <c r="GI739">
        <v>4.1540730823163488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50.388423645320188</v>
      </c>
      <c r="AO740">
        <v>10.85225729999777</v>
      </c>
      <c r="AP740">
        <v>113.99309078701818</v>
      </c>
      <c r="AQ740">
        <v>89.657583903426755</v>
      </c>
      <c r="AR740">
        <v>10.458182898056057</v>
      </c>
      <c r="AS740">
        <v>159.70884699176187</v>
      </c>
      <c r="AT740" t="e">
        <v>#DIV/0!</v>
      </c>
      <c r="AU740" t="e">
        <v>#DIV/0!</v>
      </c>
      <c r="AV740"/>
      <c r="AW740"/>
      <c r="FY740" s="210">
        <v>735</v>
      </c>
      <c r="FZ740">
        <v>2.7855248875028469</v>
      </c>
      <c r="GA740">
        <v>22.389449602102463</v>
      </c>
      <c r="GB740">
        <v>12.423560798689934</v>
      </c>
      <c r="GC740">
        <v>2.3817122440158518</v>
      </c>
      <c r="GD740">
        <v>0.96968553449329742</v>
      </c>
      <c r="GE740">
        <v>1.730371548860878</v>
      </c>
      <c r="GF740">
        <v>2.4074922512810986</v>
      </c>
      <c r="GG740">
        <v>1.341751459384152</v>
      </c>
      <c r="GH740">
        <v>2.2546840703091551</v>
      </c>
      <c r="GI740">
        <v>5.0834679706627615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16.285481663929936</v>
      </c>
      <c r="AO741">
        <v>4.9884187950432803</v>
      </c>
      <c r="AP741">
        <v>50.001773926229738</v>
      </c>
      <c r="AQ741">
        <v>36.109541531232139</v>
      </c>
      <c r="AR741">
        <v>4.9759905575958383</v>
      </c>
      <c r="AS741">
        <v>66.482170175371579</v>
      </c>
      <c r="AT741" t="e">
        <v>#DIV/0!</v>
      </c>
      <c r="AU741" t="e">
        <v>#DIV/0!</v>
      </c>
      <c r="AV741"/>
      <c r="AW741"/>
      <c r="FY741" s="210">
        <v>736</v>
      </c>
      <c r="FZ741">
        <v>30.873567559420167</v>
      </c>
      <c r="GA741">
        <v>48.237500135208656</v>
      </c>
      <c r="GB741">
        <v>8.5198154739009357</v>
      </c>
      <c r="GC741">
        <v>1.4106143936064592</v>
      </c>
      <c r="GD741">
        <v>0.49177736258784766</v>
      </c>
      <c r="GE741">
        <v>0.28245867923368362</v>
      </c>
      <c r="GF741">
        <v>0.7225074784941109</v>
      </c>
      <c r="GG741">
        <v>3.0811081777526863</v>
      </c>
      <c r="GH741">
        <v>6.7942628250121384</v>
      </c>
      <c r="GI741">
        <v>8.2774931611924831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45.864896346469621</v>
      </c>
      <c r="AO742">
        <v>13.239011888384804</v>
      </c>
      <c r="AP742">
        <v>142.89950186241967</v>
      </c>
      <c r="AQ742">
        <v>105.69575487347376</v>
      </c>
      <c r="AR742">
        <v>12.548503012473141</v>
      </c>
      <c r="AS742">
        <v>163.74116438992411</v>
      </c>
      <c r="AT742" t="e">
        <v>#DIV/0!</v>
      </c>
      <c r="AU742" t="e">
        <v>#DIV/0!</v>
      </c>
      <c r="AV742"/>
      <c r="AW742"/>
      <c r="FY742" s="210">
        <v>737</v>
      </c>
      <c r="FZ742">
        <v>3.5453003065624138</v>
      </c>
      <c r="GA742">
        <v>15.123569233183733</v>
      </c>
      <c r="GB742">
        <v>6.6933761009352599</v>
      </c>
      <c r="GC742">
        <v>1.1905951125167509</v>
      </c>
      <c r="GD742">
        <v>0.91538156887558708</v>
      </c>
      <c r="GE742">
        <v>0.14020141262716906</v>
      </c>
      <c r="GF742">
        <v>4.5122903664714036</v>
      </c>
      <c r="GG742">
        <v>4.226561791507816</v>
      </c>
      <c r="GH742">
        <v>1.973602458130717</v>
      </c>
      <c r="GI742">
        <v>4.0918849532294921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22.536076902025179</v>
      </c>
      <c r="AO743">
        <v>8.1786604548582282</v>
      </c>
      <c r="AP743">
        <v>79.040738284817479</v>
      </c>
      <c r="AQ743">
        <v>54.268189511738925</v>
      </c>
      <c r="AR743">
        <v>7.799272804447213</v>
      </c>
      <c r="AS743">
        <v>110.03789364012684</v>
      </c>
      <c r="AT743">
        <v>5.3521852534417214</v>
      </c>
      <c r="AU743">
        <v>-13.891393667719866</v>
      </c>
      <c r="AV743"/>
      <c r="AW743"/>
      <c r="FY743" s="210">
        <v>738</v>
      </c>
      <c r="FZ743">
        <v>0.84401782297003058</v>
      </c>
      <c r="GA743">
        <v>14.034430865742056</v>
      </c>
      <c r="GB743">
        <v>7.9176766458376679</v>
      </c>
      <c r="GC743">
        <v>1.5241486846228491</v>
      </c>
      <c r="GD743">
        <v>0.77019197170177911</v>
      </c>
      <c r="GE743">
        <v>3.0380830058609032</v>
      </c>
      <c r="GF743">
        <v>4.5381328888609778</v>
      </c>
      <c r="GG743">
        <v>1.7612493011065025</v>
      </c>
      <c r="GH743">
        <v>4.0698487958614145</v>
      </c>
      <c r="GI743">
        <v>4.1851766251882569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32.529909573982856</v>
      </c>
      <c r="AO744">
        <v>9.8509145399548448</v>
      </c>
      <c r="AP744">
        <v>106.3290149028545</v>
      </c>
      <c r="AQ744">
        <v>76.156396059398688</v>
      </c>
      <c r="AR744">
        <v>9.3068250851155145</v>
      </c>
      <c r="AS744">
        <v>125.81700397070685</v>
      </c>
      <c r="AT744" t="e">
        <v>#DIV/0!</v>
      </c>
      <c r="AU744" t="e">
        <v>#DIV/0!</v>
      </c>
      <c r="AV744"/>
      <c r="AW744"/>
      <c r="FY744" s="210">
        <v>739</v>
      </c>
      <c r="FZ744">
        <v>13.468143594347907</v>
      </c>
      <c r="GA744">
        <v>30.895266526889255</v>
      </c>
      <c r="GB744">
        <v>10.702630053358391</v>
      </c>
      <c r="GC744">
        <v>1.862883758584881</v>
      </c>
      <c r="GD744">
        <v>0.50753129410913134</v>
      </c>
      <c r="GE744">
        <v>1.3118231649587164</v>
      </c>
      <c r="GF744">
        <v>5.5959570317266998</v>
      </c>
      <c r="GG744">
        <v>3.9854950685525132</v>
      </c>
      <c r="GH744">
        <v>2.9642528399973243</v>
      </c>
      <c r="GI744">
        <v>6.6808038947173136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31.957240923189211</v>
      </c>
      <c r="AO745">
        <v>8.2457956942713544</v>
      </c>
      <c r="AP745">
        <v>86.344036274949033</v>
      </c>
      <c r="AQ745">
        <v>63.926798410664901</v>
      </c>
      <c r="AR745">
        <v>7.8195930734642491</v>
      </c>
      <c r="AS745">
        <v>109.75865020469077</v>
      </c>
      <c r="AT745" t="e">
        <v>#DIV/0!</v>
      </c>
      <c r="AU745" t="e">
        <v>#DIV/0!</v>
      </c>
      <c r="AV745"/>
      <c r="AW745"/>
      <c r="FY745" s="210">
        <v>740</v>
      </c>
      <c r="FZ745">
        <v>4.3026383441232392</v>
      </c>
      <c r="GA745">
        <v>30.196084334110772</v>
      </c>
      <c r="GB745">
        <v>15.03815026486323</v>
      </c>
      <c r="GC745">
        <v>2.2373246165268847</v>
      </c>
      <c r="GD745">
        <v>0.91533966960837487</v>
      </c>
      <c r="GE745">
        <v>4.0695033455652823</v>
      </c>
      <c r="GF745">
        <v>8.508021084666499</v>
      </c>
      <c r="GG745">
        <v>2.9054751040268556</v>
      </c>
      <c r="GH745">
        <v>2.4945228811557567</v>
      </c>
      <c r="GI745">
        <v>7.2766443606491595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36.957688492063497</v>
      </c>
      <c r="AO746">
        <v>10.12551410780657</v>
      </c>
      <c r="AP746">
        <v>113.25889740211588</v>
      </c>
      <c r="AQ746">
        <v>85.434845434567819</v>
      </c>
      <c r="AR746">
        <v>9.6869909829804755</v>
      </c>
      <c r="AS746">
        <v>153.75156940662717</v>
      </c>
      <c r="AT746" t="e">
        <v>#DIV/0!</v>
      </c>
      <c r="AU746" t="e">
        <v>#DIV/0!</v>
      </c>
      <c r="AV746"/>
      <c r="AW746"/>
      <c r="FY746" s="210">
        <v>741</v>
      </c>
      <c r="FZ746">
        <v>13.241132583454393</v>
      </c>
      <c r="GA746">
        <v>25.886003476666264</v>
      </c>
      <c r="GB746">
        <v>7.4912624610901775</v>
      </c>
      <c r="GC746">
        <v>1.4764664411032506</v>
      </c>
      <c r="GD746">
        <v>0.82466322561039784</v>
      </c>
      <c r="GE746">
        <v>5.3751589485859608</v>
      </c>
      <c r="GF746">
        <v>13.006220871680302</v>
      </c>
      <c r="GG746">
        <v>5.8758654439226188</v>
      </c>
      <c r="GH746">
        <v>4.411247088393397</v>
      </c>
      <c r="GI746">
        <v>7.7718302429763559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57.818368568691845</v>
      </c>
      <c r="AO747">
        <v>12.551132813615201</v>
      </c>
      <c r="AP747">
        <v>134.02698605895665</v>
      </c>
      <c r="AQ747">
        <v>108.591299161953</v>
      </c>
      <c r="AR747">
        <v>11.605707221120323</v>
      </c>
      <c r="AS747">
        <v>208.31931016588564</v>
      </c>
      <c r="AT747" t="e">
        <v>#DIV/0!</v>
      </c>
      <c r="AU747" t="e">
        <v>#DIV/0!</v>
      </c>
      <c r="AV747"/>
      <c r="AW747"/>
      <c r="FY747" s="210">
        <v>742</v>
      </c>
      <c r="FZ747">
        <v>22.516191716795593</v>
      </c>
      <c r="GA747">
        <v>45.885448551614253</v>
      </c>
      <c r="GB747">
        <v>12.033718211324757</v>
      </c>
      <c r="GC747">
        <v>1.3296523707469583</v>
      </c>
      <c r="GD747">
        <v>0.79517038918316385</v>
      </c>
      <c r="GE747">
        <v>0.14020141262716906</v>
      </c>
      <c r="GF747">
        <v>2.9656368480491553</v>
      </c>
      <c r="GG747">
        <v>4.0582060705109066</v>
      </c>
      <c r="GH747">
        <v>2.4811367888436542</v>
      </c>
      <c r="GI747">
        <v>7.8912561639477801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28.824917328042329</v>
      </c>
      <c r="AO748">
        <v>8.7925561854699161</v>
      </c>
      <c r="AP748">
        <v>90.551316594405122</v>
      </c>
      <c r="AQ748">
        <v>67.284609103506469</v>
      </c>
      <c r="AR748">
        <v>8.4438901172331047</v>
      </c>
      <c r="AS748">
        <v>126.45099639413959</v>
      </c>
      <c r="AT748" t="e">
        <v>#DIV/0!</v>
      </c>
      <c r="AU748" t="e">
        <v>#DIV/0!</v>
      </c>
      <c r="AV748"/>
      <c r="AW748"/>
      <c r="FY748" s="210">
        <v>743</v>
      </c>
      <c r="FZ748">
        <v>4.5033667603591132</v>
      </c>
      <c r="GA748">
        <v>14.543418910924313</v>
      </c>
      <c r="GB748">
        <v>7.0445386416064046</v>
      </c>
      <c r="GC748">
        <v>1.823791664395108</v>
      </c>
      <c r="GD748">
        <v>1.037863647151962</v>
      </c>
      <c r="GE748">
        <v>0.14020141262716906</v>
      </c>
      <c r="GF748">
        <v>4.7318778899513871</v>
      </c>
      <c r="GG748">
        <v>7.4273202642942024</v>
      </c>
      <c r="GH748">
        <v>5.5848580302135282</v>
      </c>
      <c r="GI748">
        <v>4.9737587155082066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29.575742907316176</v>
      </c>
      <c r="AO749">
        <v>11.112011545826558</v>
      </c>
      <c r="AP749">
        <v>108.46674073333111</v>
      </c>
      <c r="AQ749">
        <v>75.68069089442028</v>
      </c>
      <c r="AR749">
        <v>10.443215781356809</v>
      </c>
      <c r="AS749">
        <v>185.23722346530622</v>
      </c>
      <c r="AT749">
        <v>7.2991653151605922</v>
      </c>
      <c r="AU749">
        <v>5.3233718104223016</v>
      </c>
      <c r="AV749"/>
      <c r="AW749"/>
      <c r="FY749" s="210">
        <v>744</v>
      </c>
      <c r="FZ749">
        <v>12.742081973397879</v>
      </c>
      <c r="GA749">
        <v>38.684918796565654</v>
      </c>
      <c r="GB749">
        <v>14.951823191379791</v>
      </c>
      <c r="GC749">
        <v>2.9376249868934949</v>
      </c>
      <c r="GD749">
        <v>1.135278906680762</v>
      </c>
      <c r="GE749">
        <v>1.5901701362337088</v>
      </c>
      <c r="GF749">
        <v>8.3641575835735651</v>
      </c>
      <c r="GG749">
        <v>5.8266840329659129</v>
      </c>
      <c r="GH749">
        <v>1.1624742067571674</v>
      </c>
      <c r="GI749">
        <v>8.3169770952770001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19.468830391351947</v>
      </c>
      <c r="AO750">
        <v>6.2860842391096332</v>
      </c>
      <c r="AP750">
        <v>66.840962010212507</v>
      </c>
      <c r="AQ750">
        <v>45.624536149209135</v>
      </c>
      <c r="AR750">
        <v>6.0986628925518342</v>
      </c>
      <c r="AS750">
        <v>80.400789014292897</v>
      </c>
      <c r="AT750" t="e">
        <v>#DIV/0!</v>
      </c>
      <c r="AU750" t="e">
        <v>#DIV/0!</v>
      </c>
      <c r="AV750"/>
      <c r="AW750"/>
      <c r="FY750" s="210">
        <v>745</v>
      </c>
      <c r="FZ750">
        <v>2.8751571964107048</v>
      </c>
      <c r="GA750">
        <v>22.769190196968744</v>
      </c>
      <c r="GB750">
        <v>11.654056385459675</v>
      </c>
      <c r="GC750">
        <v>1.6641206533621951</v>
      </c>
      <c r="GD750">
        <v>0.89590447373776116</v>
      </c>
      <c r="GE750">
        <v>1.4499687236065399</v>
      </c>
      <c r="GF750">
        <v>5.3731290993302547</v>
      </c>
      <c r="GG750">
        <v>4.1303743134185247</v>
      </c>
      <c r="GH750">
        <v>3.5321038510638054</v>
      </c>
      <c r="GI750">
        <v>5.693194227908327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24.024417875387705</v>
      </c>
      <c r="AO751">
        <v>7.9182498671454606</v>
      </c>
      <c r="AP751">
        <v>78.966925812075019</v>
      </c>
      <c r="AQ751">
        <v>53.767700367302432</v>
      </c>
      <c r="AR751">
        <v>7.4307078055232392</v>
      </c>
      <c r="AS751">
        <v>99.459953675906249</v>
      </c>
      <c r="AT751">
        <v>4.7167470429963609</v>
      </c>
      <c r="AU751">
        <v>-11.34221649572677</v>
      </c>
      <c r="AV751"/>
      <c r="AW751"/>
      <c r="FY751" s="210">
        <v>746</v>
      </c>
      <c r="FZ751">
        <v>21.635738928881395</v>
      </c>
      <c r="GA751">
        <v>44.189141795197216</v>
      </c>
      <c r="GB751">
        <v>10.436913256559651</v>
      </c>
      <c r="GC751">
        <v>1.0576619778802976</v>
      </c>
      <c r="GD751">
        <v>0.60418069302999189</v>
      </c>
      <c r="GE751">
        <v>1.3118231649587164</v>
      </c>
      <c r="GF751">
        <v>5.9014406905385393</v>
      </c>
      <c r="GG751">
        <v>3.8479599504727005</v>
      </c>
      <c r="GH751">
        <v>1.7303252178236483</v>
      </c>
      <c r="GI751">
        <v>7.7870435523316681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55.356379994526534</v>
      </c>
      <c r="AO752">
        <v>12.250031276988073</v>
      </c>
      <c r="AP752">
        <v>136.23748844928201</v>
      </c>
      <c r="AQ752">
        <v>108.69110524640917</v>
      </c>
      <c r="AR752">
        <v>11.882966152790729</v>
      </c>
      <c r="AS752">
        <v>189.41240465853991</v>
      </c>
      <c r="AT752" t="e">
        <v>#DIV/0!</v>
      </c>
      <c r="AU752" t="e">
        <v>#DIV/0!</v>
      </c>
      <c r="AV752"/>
      <c r="AW752"/>
      <c r="FY752" s="210">
        <v>747</v>
      </c>
      <c r="FZ752">
        <v>5.2817400662848328</v>
      </c>
      <c r="GA752">
        <v>15.671658905278248</v>
      </c>
      <c r="GB752">
        <v>8.3372575251694165</v>
      </c>
      <c r="GC752">
        <v>1.8819483604802394</v>
      </c>
      <c r="GD752">
        <v>0.48581837900635338</v>
      </c>
      <c r="GE752">
        <v>1.4479128696271943</v>
      </c>
      <c r="GF752">
        <v>4.8290750820197985</v>
      </c>
      <c r="GG752">
        <v>3.7696572954295213</v>
      </c>
      <c r="GH752">
        <v>3.6436109956008211</v>
      </c>
      <c r="GI752">
        <v>4.808217814528601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18.516699735449738</v>
      </c>
      <c r="AO753">
        <v>6.0980328785705149</v>
      </c>
      <c r="AP753">
        <v>62.450518783762128</v>
      </c>
      <c r="AQ753">
        <v>42.41276330404034</v>
      </c>
      <c r="AR753">
        <v>6.0962373760015147</v>
      </c>
      <c r="AS753">
        <v>101.93900404002808</v>
      </c>
      <c r="AT753" t="e">
        <v>#DIV/0!</v>
      </c>
      <c r="AU753" t="e">
        <v>#DIV/0!</v>
      </c>
      <c r="AV753"/>
      <c r="AW753"/>
      <c r="FY753" s="210">
        <v>748</v>
      </c>
      <c r="FZ753">
        <v>15.898516501913665</v>
      </c>
      <c r="GA753">
        <v>36.674255170197938</v>
      </c>
      <c r="GB753">
        <v>12.277203541646394</v>
      </c>
      <c r="GC753">
        <v>1.8381139969548592</v>
      </c>
      <c r="GD753">
        <v>0.88070387081157497</v>
      </c>
      <c r="GE753">
        <v>1.4499687236065399</v>
      </c>
      <c r="GF753">
        <v>2.1306406375798788</v>
      </c>
      <c r="GG753">
        <v>1.0995661415256968</v>
      </c>
      <c r="GH753">
        <v>2.2546840703091551</v>
      </c>
      <c r="GI753">
        <v>6.8873937936864946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19.592227695675973</v>
      </c>
      <c r="AO754">
        <v>6.4313811968855514</v>
      </c>
      <c r="AP754">
        <v>61.122150335175448</v>
      </c>
      <c r="AQ754">
        <v>42.682956607752438</v>
      </c>
      <c r="AR754">
        <v>5.9252968221627658</v>
      </c>
      <c r="AS754">
        <v>73.504404734309816</v>
      </c>
      <c r="AT754">
        <v>4.1594936601007273</v>
      </c>
      <c r="AU754">
        <v>-7.7534159387258335</v>
      </c>
      <c r="AV754"/>
      <c r="AW754"/>
      <c r="FY754" s="210">
        <v>749</v>
      </c>
      <c r="FZ754">
        <v>6.4990250107952363</v>
      </c>
      <c r="GA754">
        <v>24.02284725657012</v>
      </c>
      <c r="GB754">
        <v>11.449359451235164</v>
      </c>
      <c r="GC754">
        <v>1.2315470391086523</v>
      </c>
      <c r="GD754">
        <v>0.33830123710280591</v>
      </c>
      <c r="GE754">
        <v>1.3097673109793708</v>
      </c>
      <c r="GF754">
        <v>3.1840234110799841</v>
      </c>
      <c r="GG754">
        <v>2.6107919168099114</v>
      </c>
      <c r="GH754">
        <v>5.1074297657694636</v>
      </c>
      <c r="GI754">
        <v>5.6038356658373871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33.221708515781792</v>
      </c>
      <c r="AO755">
        <v>10.067059924427459</v>
      </c>
      <c r="AP755">
        <v>106.39293452201653</v>
      </c>
      <c r="AQ755">
        <v>77.974787227242132</v>
      </c>
      <c r="AR755">
        <v>9.6121368873733779</v>
      </c>
      <c r="AS755">
        <v>112.70758369798591</v>
      </c>
      <c r="AT755">
        <v>6.2784162099489107</v>
      </c>
      <c r="AU755">
        <v>21.292796018501988</v>
      </c>
      <c r="AV755"/>
      <c r="AW755"/>
      <c r="FY755" s="210">
        <v>750</v>
      </c>
      <c r="FZ755">
        <v>16.237001303089457</v>
      </c>
      <c r="GA755">
        <v>27.13611180290567</v>
      </c>
      <c r="GB755">
        <v>7.9262564520539129</v>
      </c>
      <c r="GC755">
        <v>1.9178278762823222</v>
      </c>
      <c r="GD755">
        <v>0.88931665427009865</v>
      </c>
      <c r="GE755">
        <v>0.42060423788150719</v>
      </c>
      <c r="GF755">
        <v>4.0093704114572768</v>
      </c>
      <c r="GG755">
        <v>5.4457782280672138</v>
      </c>
      <c r="GH755">
        <v>4.411247088393397</v>
      </c>
      <c r="GI755">
        <v>6.540216100299844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22.174305555555556</v>
      </c>
      <c r="AO756">
        <v>11.403794140297192</v>
      </c>
      <c r="AP756">
        <v>114.90694045447538</v>
      </c>
      <c r="AQ756">
        <v>77.943704005296055</v>
      </c>
      <c r="AR756">
        <v>10.477267241937231</v>
      </c>
      <c r="AS756">
        <v>112.15465743035624</v>
      </c>
      <c r="AT756">
        <v>7.0092811154929464</v>
      </c>
      <c r="AU756">
        <v>2.2226175958287371</v>
      </c>
      <c r="AV756"/>
      <c r="AW756"/>
      <c r="FY756" s="210">
        <v>751</v>
      </c>
      <c r="FZ756">
        <v>13.830181354740688</v>
      </c>
      <c r="GA756">
        <v>26.268198917321964</v>
      </c>
      <c r="GB756">
        <v>8.222686947135383</v>
      </c>
      <c r="GC756">
        <v>1.6386564095609542</v>
      </c>
      <c r="GD756">
        <v>0.68437903489144025</v>
      </c>
      <c r="GE756">
        <v>4.1117079586910979E-3</v>
      </c>
      <c r="GF756">
        <v>2.9656368480491553</v>
      </c>
      <c r="GG756">
        <v>4.6477209871840932</v>
      </c>
      <c r="GH756">
        <v>3.2453344521757623</v>
      </c>
      <c r="GI756">
        <v>5.7945041567475162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37.60137007389163</v>
      </c>
      <c r="AO757">
        <v>11.787046956161502</v>
      </c>
      <c r="AP757">
        <v>115.56749222816491</v>
      </c>
      <c r="AQ757">
        <v>85.359850783483111</v>
      </c>
      <c r="AR757">
        <v>10.900344087038487</v>
      </c>
      <c r="AS757">
        <v>160.89043699055219</v>
      </c>
      <c r="AT757">
        <v>7.3201384250034431</v>
      </c>
      <c r="AU757">
        <v>42.775273926826017</v>
      </c>
      <c r="AV757"/>
      <c r="AW757"/>
      <c r="FY757" s="210">
        <v>752</v>
      </c>
      <c r="FZ757">
        <v>14.833897056108226</v>
      </c>
      <c r="GA757">
        <v>34.706663667526541</v>
      </c>
      <c r="GB757">
        <v>12.8726864669236</v>
      </c>
      <c r="GC757">
        <v>2.2351095213451759</v>
      </c>
      <c r="GD757">
        <v>0.61961136288252605</v>
      </c>
      <c r="GE757">
        <v>2.0558539793455489E-3</v>
      </c>
      <c r="GF757">
        <v>2.8386066504209717</v>
      </c>
      <c r="GG757">
        <v>3.3679531570057977</v>
      </c>
      <c r="GH757">
        <v>1.6868330592426739</v>
      </c>
      <c r="GI757">
        <v>6.7608301233708143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48.053206531654816</v>
      </c>
      <c r="AO758">
        <v>11.813457772995175</v>
      </c>
      <c r="AP758">
        <v>130.57936004628863</v>
      </c>
      <c r="AQ758">
        <v>100.0966185236434</v>
      </c>
      <c r="AR758">
        <v>11.327914493294156</v>
      </c>
      <c r="AS758">
        <v>161.06073882338808</v>
      </c>
      <c r="AT758" t="e">
        <v>#DIV/0!</v>
      </c>
      <c r="AU758" t="e">
        <v>#DIV/0!</v>
      </c>
      <c r="AV758"/>
      <c r="AW758"/>
      <c r="FY758" s="210">
        <v>753</v>
      </c>
      <c r="FZ758">
        <v>15.538679044544985</v>
      </c>
      <c r="GA758">
        <v>35.320822875763135</v>
      </c>
      <c r="GB758">
        <v>13.093028034328785</v>
      </c>
      <c r="GC758">
        <v>2.3512705069614555</v>
      </c>
      <c r="GD758">
        <v>0.79485851518131301</v>
      </c>
      <c r="GE758">
        <v>2.7576801806065649</v>
      </c>
      <c r="GF758">
        <v>8.8243549140194748</v>
      </c>
      <c r="GG758">
        <v>6.5196637804573108</v>
      </c>
      <c r="GH758">
        <v>6.5678101064776389</v>
      </c>
      <c r="GI758">
        <v>9.0844379900862631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21.893981481481482</v>
      </c>
      <c r="AO759">
        <v>7.5548874590541759</v>
      </c>
      <c r="AP759">
        <v>74.181300285259027</v>
      </c>
      <c r="AQ759">
        <v>51.810995937031386</v>
      </c>
      <c r="AR759">
        <v>7.3804258214780782</v>
      </c>
      <c r="AS759">
        <v>96.757879655250207</v>
      </c>
      <c r="AT759" t="e">
        <v>#DIV/0!</v>
      </c>
      <c r="AU759" t="e">
        <v>#DIV/0!</v>
      </c>
      <c r="AV759"/>
      <c r="AW759"/>
      <c r="FY759" s="210">
        <v>754</v>
      </c>
      <c r="FZ759">
        <v>14.363861128190646</v>
      </c>
      <c r="GA759">
        <v>33.336207934661644</v>
      </c>
      <c r="GB759">
        <v>11.671406862371981</v>
      </c>
      <c r="GC759">
        <v>1.5357357180129148</v>
      </c>
      <c r="GD759">
        <v>0.57981338440766439</v>
      </c>
      <c r="GE759">
        <v>2.0558539793455489E-3</v>
      </c>
      <c r="GF759">
        <v>1.5180214733116304</v>
      </c>
      <c r="GG759">
        <v>2.3277105982642219</v>
      </c>
      <c r="GH759">
        <v>1.3320486743985893</v>
      </c>
      <c r="GI759">
        <v>5.9866527527924163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39.084292328042324</v>
      </c>
      <c r="AO760">
        <v>12.845415021075297</v>
      </c>
      <c r="AP760">
        <v>132.17541141682378</v>
      </c>
      <c r="AQ760">
        <v>95.712190909724939</v>
      </c>
      <c r="AR760">
        <v>11.986049612793664</v>
      </c>
      <c r="AS760">
        <v>167.64269764307934</v>
      </c>
      <c r="AT760" t="e">
        <v>#DIV/0!</v>
      </c>
      <c r="AU760" t="e">
        <v>#DIV/0!</v>
      </c>
      <c r="AV760"/>
      <c r="AW760"/>
      <c r="FY760" s="210">
        <v>755</v>
      </c>
      <c r="FZ760">
        <v>6.7218446651595309</v>
      </c>
      <c r="GA760">
        <v>7.854688223501296</v>
      </c>
      <c r="GB760">
        <v>5.7784493557741614</v>
      </c>
      <c r="GC760">
        <v>2.5508059810820156</v>
      </c>
      <c r="GD760">
        <v>0.73644178645170177</v>
      </c>
      <c r="GE760">
        <v>0.28657038719237471</v>
      </c>
      <c r="GF760">
        <v>0.77653115979888554</v>
      </c>
      <c r="GG760">
        <v>1.0195596906542457</v>
      </c>
      <c r="GH760">
        <v>1.0341425404475817</v>
      </c>
      <c r="GI760">
        <v>3.2128299321203788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22.070849867724867</v>
      </c>
      <c r="AO761">
        <v>8.7021189929996368</v>
      </c>
      <c r="AP761">
        <v>89.700483005692234</v>
      </c>
      <c r="AQ761">
        <v>60.037199121266532</v>
      </c>
      <c r="AR761">
        <v>8.3806989097127307</v>
      </c>
      <c r="AS761">
        <v>103.93786634122968</v>
      </c>
      <c r="AT761">
        <v>5.4911458050362549</v>
      </c>
      <c r="AU761">
        <v>-0.42402601698267173</v>
      </c>
      <c r="AV761"/>
      <c r="AW761"/>
      <c r="FY761" s="210">
        <v>756</v>
      </c>
      <c r="FZ761">
        <v>22.933296028375583</v>
      </c>
      <c r="GA761">
        <v>45.889620441211314</v>
      </c>
      <c r="GB761">
        <v>11.555434148435424</v>
      </c>
      <c r="GC761">
        <v>1.2717208254505614</v>
      </c>
      <c r="GD761">
        <v>0.80862575639018508</v>
      </c>
      <c r="GE761">
        <v>1.4520245775858855</v>
      </c>
      <c r="GF761">
        <v>6.362838981433601</v>
      </c>
      <c r="GG761">
        <v>4.1218691498548283</v>
      </c>
      <c r="GH761">
        <v>1.5038724992891495</v>
      </c>
      <c r="GI761">
        <v>8.3799177691970339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43.097503306878316</v>
      </c>
      <c r="AO762">
        <v>11.887437499725273</v>
      </c>
      <c r="AP762">
        <v>130.93142168172596</v>
      </c>
      <c r="AQ762">
        <v>98.502229227673809</v>
      </c>
      <c r="AR762">
        <v>11.201801512917843</v>
      </c>
      <c r="AS762">
        <v>153.45330098678636</v>
      </c>
      <c r="AT762">
        <v>7.2794717671716667</v>
      </c>
      <c r="AU762">
        <v>87.410821205784558</v>
      </c>
      <c r="AV762"/>
      <c r="AW762"/>
      <c r="FY762" s="210">
        <v>757</v>
      </c>
      <c r="FZ762">
        <v>30.18668874517536</v>
      </c>
      <c r="GA762">
        <v>54.161433729401345</v>
      </c>
      <c r="GB762">
        <v>10.858027616315725</v>
      </c>
      <c r="GC762">
        <v>1.4398076032492511</v>
      </c>
      <c r="GD762">
        <v>0.41056587807972422</v>
      </c>
      <c r="GE762">
        <v>2.763847742544602</v>
      </c>
      <c r="GF762">
        <v>8.0478237542205893</v>
      </c>
      <c r="GG762">
        <v>4.6611084063583652</v>
      </c>
      <c r="GH762">
        <v>3.6470494250612888</v>
      </c>
      <c r="GI762">
        <v>9.8467345395904182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17.483844759168036</v>
      </c>
      <c r="AO763">
        <v>7.1844471668253549</v>
      </c>
      <c r="AP763">
        <v>71.705488375912282</v>
      </c>
      <c r="AQ763">
        <v>50.156897293425033</v>
      </c>
      <c r="AR763">
        <v>6.9672635496899122</v>
      </c>
      <c r="AS763">
        <v>78.715195442698047</v>
      </c>
      <c r="AT763">
        <v>4.7131513777284226</v>
      </c>
      <c r="AU763">
        <v>-4.8727624097300728</v>
      </c>
      <c r="AV763"/>
      <c r="AW763"/>
      <c r="FY763" s="210">
        <v>758</v>
      </c>
      <c r="FZ763">
        <v>15.296352490895917</v>
      </c>
      <c r="GA763">
        <v>38.360870760374922</v>
      </c>
      <c r="GB763">
        <v>12.728884399659886</v>
      </c>
      <c r="GC763">
        <v>1.4797127246315334</v>
      </c>
      <c r="GD763">
        <v>0.68228538620152457</v>
      </c>
      <c r="GE763">
        <v>2.0558539793455489E-3</v>
      </c>
      <c r="GF763">
        <v>4.5090499575549421</v>
      </c>
      <c r="GG763">
        <v>4.3640544677132835</v>
      </c>
      <c r="GH763">
        <v>0.80768982191308281</v>
      </c>
      <c r="GI763">
        <v>6.9922356086979454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34.170618386243383</v>
      </c>
      <c r="AO764">
        <v>10.375664742384329</v>
      </c>
      <c r="AP764">
        <v>110.45576421815016</v>
      </c>
      <c r="AQ764">
        <v>81.391046448232203</v>
      </c>
      <c r="AR764">
        <v>9.9508097642349895</v>
      </c>
      <c r="AS764">
        <v>139.75789275668095</v>
      </c>
      <c r="AT764" t="e">
        <v>#DIV/0!</v>
      </c>
      <c r="AU764" t="e">
        <v>#DIV/0!</v>
      </c>
      <c r="AV764"/>
      <c r="AW764"/>
      <c r="FY764" s="210">
        <v>759</v>
      </c>
      <c r="FZ764">
        <v>21.171162294667887</v>
      </c>
      <c r="GA764">
        <v>38.92157201061142</v>
      </c>
      <c r="GB764">
        <v>9.798486813358128</v>
      </c>
      <c r="GC764">
        <v>2.0479216883776759</v>
      </c>
      <c r="GD764">
        <v>0.54138143467698119</v>
      </c>
      <c r="GE764">
        <v>1.4499687236065399</v>
      </c>
      <c r="GF764">
        <v>3.64866211089151</v>
      </c>
      <c r="GG764">
        <v>2.1576935233133856</v>
      </c>
      <c r="GH764">
        <v>2.9642528399973243</v>
      </c>
      <c r="GI764">
        <v>7.165294350830048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19.996245552818827</v>
      </c>
      <c r="AO765">
        <v>8.2674406483638929</v>
      </c>
      <c r="AP765">
        <v>89.067353392611594</v>
      </c>
      <c r="AQ765">
        <v>61.356928065288095</v>
      </c>
      <c r="AR765">
        <v>8.1862456308983109</v>
      </c>
      <c r="AS765">
        <v>98.123134083363553</v>
      </c>
      <c r="AT765">
        <v>5.4718038192101313</v>
      </c>
      <c r="AU765">
        <v>4.1981020067401706</v>
      </c>
      <c r="AV765"/>
      <c r="AW765"/>
      <c r="FY765" s="210">
        <v>760</v>
      </c>
      <c r="FZ765">
        <v>14.679340628593964</v>
      </c>
      <c r="GA765">
        <v>19.10176257228116</v>
      </c>
      <c r="GB765">
        <v>5.8828438575882505</v>
      </c>
      <c r="GC765">
        <v>1.7253715113762618</v>
      </c>
      <c r="GD765">
        <v>0.3676517931141689</v>
      </c>
      <c r="GE765">
        <v>1.4520245775858855</v>
      </c>
      <c r="GF765">
        <v>2.9611954786835391</v>
      </c>
      <c r="GG765">
        <v>0.89657302852620291</v>
      </c>
      <c r="GH765">
        <v>1.3889269252916665</v>
      </c>
      <c r="GI765">
        <v>4.6609759611429151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34.570666849115121</v>
      </c>
      <c r="AO766">
        <v>9.6765819250122895</v>
      </c>
      <c r="AP766">
        <v>100.25032819793324</v>
      </c>
      <c r="AQ766">
        <v>74.933730154700697</v>
      </c>
      <c r="AR766">
        <v>9.5659564291753014</v>
      </c>
      <c r="AS766">
        <v>133.66646923864616</v>
      </c>
      <c r="AT766" t="e">
        <v>#DIV/0!</v>
      </c>
      <c r="AU766" t="e">
        <v>#DIV/0!</v>
      </c>
      <c r="AV766"/>
      <c r="AW766"/>
      <c r="FY766" s="210">
        <v>761</v>
      </c>
      <c r="FZ766">
        <v>5.4382557252675676</v>
      </c>
      <c r="GA766">
        <v>31.273137660643215</v>
      </c>
      <c r="GB766">
        <v>15.508617724143896</v>
      </c>
      <c r="GC766">
        <v>1.8798214034827039</v>
      </c>
      <c r="GD766">
        <v>0.72184406818782665</v>
      </c>
      <c r="GE766">
        <v>1.4499687236065399</v>
      </c>
      <c r="GF766">
        <v>6.318464510220811</v>
      </c>
      <c r="GG766">
        <v>3.8584582048582692</v>
      </c>
      <c r="GH766">
        <v>0.5812371033785837</v>
      </c>
      <c r="GI766">
        <v>6.6590794382744436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29.787085499908773</v>
      </c>
      <c r="AO767">
        <v>8.7771713894210883</v>
      </c>
      <c r="AP767">
        <v>92.977523417004022</v>
      </c>
      <c r="AQ767">
        <v>67.301410815765664</v>
      </c>
      <c r="AR767">
        <v>8.574799267424325</v>
      </c>
      <c r="AS767">
        <v>136.61144699264486</v>
      </c>
      <c r="AT767" t="e">
        <v>#DIV/0!</v>
      </c>
      <c r="AU767" t="e">
        <v>#DIV/0!</v>
      </c>
      <c r="AV767"/>
      <c r="AW767"/>
      <c r="FY767" s="210">
        <v>762</v>
      </c>
      <c r="FZ767">
        <v>22.665554235851697</v>
      </c>
      <c r="GA767">
        <v>46.529606362487343</v>
      </c>
      <c r="GB767">
        <v>11.928660652163265</v>
      </c>
      <c r="GC767">
        <v>1.892042814319201</v>
      </c>
      <c r="GD767">
        <v>0.91321136400656255</v>
      </c>
      <c r="GE767">
        <v>1.5942818441924</v>
      </c>
      <c r="GF767">
        <v>5.5419333504219246</v>
      </c>
      <c r="GG767">
        <v>5.4575286389777666</v>
      </c>
      <c r="GH767">
        <v>5.8716274291015722</v>
      </c>
      <c r="GI767">
        <v>9.1318243734304048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35.00783616128443</v>
      </c>
      <c r="AO768">
        <v>10.222201255230511</v>
      </c>
      <c r="AP768">
        <v>110.17143200897361</v>
      </c>
      <c r="AQ768">
        <v>79.924246918805665</v>
      </c>
      <c r="AR768">
        <v>9.8813420422510347</v>
      </c>
      <c r="AS768">
        <v>155.46166033535042</v>
      </c>
      <c r="AT768" t="e">
        <v>#DIV/0!</v>
      </c>
      <c r="AU768" t="e">
        <v>#DIV/0!</v>
      </c>
      <c r="AV768"/>
      <c r="AW768"/>
      <c r="FY768" s="210">
        <v>763</v>
      </c>
      <c r="FZ768">
        <v>11.821581810321572</v>
      </c>
      <c r="GA768">
        <v>43.137181337811306</v>
      </c>
      <c r="GB768">
        <v>16.559264368734294</v>
      </c>
      <c r="GC768">
        <v>1.3911528431463807</v>
      </c>
      <c r="GD768">
        <v>0.50349061404958684</v>
      </c>
      <c r="GE768">
        <v>1.4499687236065399</v>
      </c>
      <c r="GF768">
        <v>5.9268323267326943</v>
      </c>
      <c r="GG768">
        <v>5.2042598658086234</v>
      </c>
      <c r="GH768">
        <v>4.411247088393397</v>
      </c>
      <c r="GI768">
        <v>8.3134644671778517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39.927758962780509</v>
      </c>
      <c r="AO769">
        <v>13.673261866553224</v>
      </c>
      <c r="AP769">
        <v>141.22429232702859</v>
      </c>
      <c r="AQ769">
        <v>100.85260594842693</v>
      </c>
      <c r="AR769">
        <v>13.19148370541912</v>
      </c>
      <c r="AS769">
        <v>156.14682659614709</v>
      </c>
      <c r="AT769">
        <v>8.8888390885596795</v>
      </c>
      <c r="AU769">
        <v>53.120715051122154</v>
      </c>
      <c r="AV769"/>
      <c r="AW769"/>
      <c r="FY769" s="210">
        <v>764</v>
      </c>
      <c r="FZ769">
        <v>5.5826604540804823</v>
      </c>
      <c r="GA769">
        <v>19.403495217161286</v>
      </c>
      <c r="GB769">
        <v>11.878057324670991</v>
      </c>
      <c r="GC769">
        <v>2.6762607528535907</v>
      </c>
      <c r="GD769">
        <v>0.68410031509627545</v>
      </c>
      <c r="GE769">
        <v>2.7576801806065649</v>
      </c>
      <c r="GF769">
        <v>9.5658452275322201</v>
      </c>
      <c r="GG769">
        <v>5.8892528630968899</v>
      </c>
      <c r="GH769">
        <v>2.7244140291507226</v>
      </c>
      <c r="GI769">
        <v>6.6886046769262277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34.66808862433863</v>
      </c>
      <c r="AO770">
        <v>8.9286955784636906</v>
      </c>
      <c r="AP770">
        <v>97.936520021616758</v>
      </c>
      <c r="AQ770">
        <v>72.653514380391044</v>
      </c>
      <c r="AR770">
        <v>8.6473694180883793</v>
      </c>
      <c r="AS770">
        <v>129.80260728718753</v>
      </c>
      <c r="AT770" t="e">
        <v>#DIV/0!</v>
      </c>
      <c r="AU770" t="e">
        <v>#DIV/0!</v>
      </c>
      <c r="AV770"/>
      <c r="AW770"/>
      <c r="FY770" s="210">
        <v>765</v>
      </c>
      <c r="FZ770">
        <v>10.747404911412982</v>
      </c>
      <c r="GA770">
        <v>31.655414307999852</v>
      </c>
      <c r="GB770">
        <v>11.604712216146577</v>
      </c>
      <c r="GC770">
        <v>1.840722130644117</v>
      </c>
      <c r="GD770">
        <v>0.86191922456041148</v>
      </c>
      <c r="GE770">
        <v>2.7556243266272196</v>
      </c>
      <c r="GF770">
        <v>5.7793027484713875</v>
      </c>
      <c r="GG770">
        <v>3.8467745815122694</v>
      </c>
      <c r="GH770">
        <v>5.9831345736385888</v>
      </c>
      <c r="GI770">
        <v>7.2011710546205414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21.638159095055649</v>
      </c>
      <c r="AO771">
        <v>4.4235487096345114</v>
      </c>
      <c r="AP771">
        <v>39.23288854999435</v>
      </c>
      <c r="AQ771">
        <v>29.971863722182171</v>
      </c>
      <c r="AR771">
        <v>4.6024985209713805</v>
      </c>
      <c r="AS771">
        <v>85.379954528427191</v>
      </c>
      <c r="AT771" t="e">
        <v>#DIV/0!</v>
      </c>
      <c r="AU771" t="e">
        <v>#DIV/0!</v>
      </c>
      <c r="AV771"/>
      <c r="AW771"/>
      <c r="FY771" s="210">
        <v>766</v>
      </c>
      <c r="FZ771">
        <v>13.717048089197917</v>
      </c>
      <c r="GA771">
        <v>34.458750854479682</v>
      </c>
      <c r="GB771">
        <v>14.93031903774226</v>
      </c>
      <c r="GC771">
        <v>3.6576332397010116</v>
      </c>
      <c r="GD771">
        <v>0.97904065736309676</v>
      </c>
      <c r="GE771">
        <v>1.5901701362337088</v>
      </c>
      <c r="GF771">
        <v>7.8104543561711264</v>
      </c>
      <c r="GG771">
        <v>6.1018453888730262</v>
      </c>
      <c r="GH771">
        <v>1.1055959558640902</v>
      </c>
      <c r="GI771">
        <v>8.2585456444362286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48.149917328042328</v>
      </c>
      <c r="AO772">
        <v>12.542321653341393</v>
      </c>
      <c r="AP772">
        <v>136.47550807430611</v>
      </c>
      <c r="AQ772">
        <v>104.27922017722356</v>
      </c>
      <c r="AR772">
        <v>11.927930435685603</v>
      </c>
      <c r="AS772">
        <v>161.63667341008079</v>
      </c>
      <c r="AT772">
        <v>7.7957093468479464</v>
      </c>
      <c r="AU772">
        <v>35.317321428511896</v>
      </c>
      <c r="AV772"/>
      <c r="AW772"/>
      <c r="FY772" s="210">
        <v>767</v>
      </c>
      <c r="FZ772">
        <v>13.123069834439715</v>
      </c>
      <c r="GA772">
        <v>42.468171062938858</v>
      </c>
      <c r="GB772">
        <v>14.937539841769123</v>
      </c>
      <c r="GC772">
        <v>1.6129566868224827</v>
      </c>
      <c r="GD772">
        <v>1.0511817260147489</v>
      </c>
      <c r="GE772">
        <v>2.6174787679793958</v>
      </c>
      <c r="GF772">
        <v>6.0021306808678334</v>
      </c>
      <c r="GG772">
        <v>1.5933164367250234</v>
      </c>
      <c r="GH772">
        <v>1.3923653547521333</v>
      </c>
      <c r="GI772">
        <v>7.8388448516055824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56.601949917898182</v>
      </c>
      <c r="AO773">
        <v>15.210808512172196</v>
      </c>
      <c r="AP773">
        <v>165.82459525642435</v>
      </c>
      <c r="AQ773">
        <v>126.02308743999666</v>
      </c>
      <c r="AR773">
        <v>14.140642356390014</v>
      </c>
      <c r="AS773">
        <v>188.75992853227217</v>
      </c>
      <c r="AT773">
        <v>9.3871393403042394</v>
      </c>
      <c r="AU773">
        <v>179.05254224027692</v>
      </c>
      <c r="AV773"/>
      <c r="AW773"/>
      <c r="FY773" s="210">
        <v>768</v>
      </c>
      <c r="FZ773">
        <v>2.1128873430448825</v>
      </c>
      <c r="GA773">
        <v>20.591549699705187</v>
      </c>
      <c r="GB773">
        <v>10.445683583766883</v>
      </c>
      <c r="GC773">
        <v>1.9467775361519981</v>
      </c>
      <c r="GD773">
        <v>1.0762422219208942</v>
      </c>
      <c r="GE773">
        <v>1.4520245775858855</v>
      </c>
      <c r="GF773">
        <v>4.4251932706903956</v>
      </c>
      <c r="GG773">
        <v>4.3562830473140046</v>
      </c>
      <c r="GH773">
        <v>4.0129705449683382</v>
      </c>
      <c r="GI773">
        <v>5.1949118456764989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34.753373015873009</v>
      </c>
      <c r="AO774">
        <v>10.540938773357194</v>
      </c>
      <c r="AP774">
        <v>115.86146608839238</v>
      </c>
      <c r="AQ774">
        <v>85.223191471622386</v>
      </c>
      <c r="AR774">
        <v>10.116640482794764</v>
      </c>
      <c r="AS774">
        <v>133.205997545136</v>
      </c>
      <c r="AT774" t="e">
        <v>#DIV/0!</v>
      </c>
      <c r="AU774" t="e">
        <v>#DIV/0!</v>
      </c>
      <c r="AV774"/>
      <c r="AW774"/>
      <c r="FY774" s="210">
        <v>769</v>
      </c>
      <c r="FZ774">
        <v>23.73372232809422</v>
      </c>
      <c r="GA774">
        <v>37.132747524375233</v>
      </c>
      <c r="GB774">
        <v>8.3020092055064971</v>
      </c>
      <c r="GC774">
        <v>2.2124514922761236</v>
      </c>
      <c r="GD774">
        <v>0.77959381475294709</v>
      </c>
      <c r="GE774">
        <v>2.0558539793455489E-3</v>
      </c>
      <c r="GF774">
        <v>4.3402457064632713</v>
      </c>
      <c r="GG774">
        <v>4.9754619671244393</v>
      </c>
      <c r="GH774">
        <v>4.2382341912915082</v>
      </c>
      <c r="GI774">
        <v>7.7282163223477811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47.667837187557012</v>
      </c>
      <c r="AO775">
        <v>10.799566786482899</v>
      </c>
      <c r="AP775">
        <v>115.20073262999129</v>
      </c>
      <c r="AQ775">
        <v>89.866395790330898</v>
      </c>
      <c r="AR775">
        <v>10.148457392141959</v>
      </c>
      <c r="AS775">
        <v>140.61284143185145</v>
      </c>
      <c r="AT775">
        <v>6.5325446828739979</v>
      </c>
      <c r="AU775">
        <v>40.126349678300706</v>
      </c>
      <c r="AV775"/>
      <c r="AW775"/>
      <c r="FY775" s="210">
        <v>770</v>
      </c>
      <c r="FZ775">
        <v>14.756128475621903</v>
      </c>
      <c r="GA775">
        <v>19.519309832225186</v>
      </c>
      <c r="GB775">
        <v>3.6492871983585937</v>
      </c>
      <c r="GC775">
        <v>1.360320213816852</v>
      </c>
      <c r="GD775">
        <v>0.73150193130809527</v>
      </c>
      <c r="GE775">
        <v>0.28245867923368362</v>
      </c>
      <c r="GF775">
        <v>1.0723656085187396</v>
      </c>
      <c r="GG775">
        <v>1.767383713242062</v>
      </c>
      <c r="GH775">
        <v>2.3830157366187406</v>
      </c>
      <c r="GI775">
        <v>4.1878827124833817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32.60646380678709</v>
      </c>
      <c r="AO776">
        <v>6.5200257003816091</v>
      </c>
      <c r="AP776">
        <v>65.71609464296489</v>
      </c>
      <c r="AQ776">
        <v>53.116666334184018</v>
      </c>
      <c r="AR776">
        <v>6.4416948292920031</v>
      </c>
      <c r="AS776">
        <v>110.5088105705797</v>
      </c>
      <c r="AT776">
        <v>4.3581165636644572</v>
      </c>
      <c r="AU776">
        <v>15.365981032447717</v>
      </c>
      <c r="AV776"/>
      <c r="AW776"/>
      <c r="FY776" s="210">
        <v>771</v>
      </c>
      <c r="FZ776">
        <v>2.9445280532261551</v>
      </c>
      <c r="GA776">
        <v>27.300469109393283</v>
      </c>
      <c r="GB776">
        <v>15.41869136598422</v>
      </c>
      <c r="GC776">
        <v>2.33721275775047</v>
      </c>
      <c r="GD776">
        <v>0.60133997647962745</v>
      </c>
      <c r="GE776">
        <v>5.5112486532544391</v>
      </c>
      <c r="GF776">
        <v>11.138341268344043</v>
      </c>
      <c r="GG776">
        <v>5.621411301793044</v>
      </c>
      <c r="GH776">
        <v>5.2300736453694441</v>
      </c>
      <c r="GI776">
        <v>7.9717195734180288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25.775990923189198</v>
      </c>
      <c r="AO777">
        <v>10.262912599162714</v>
      </c>
      <c r="AP777">
        <v>108.9533448369489</v>
      </c>
      <c r="AQ777">
        <v>73.688884562063862</v>
      </c>
      <c r="AR777">
        <v>9.7379664919872031</v>
      </c>
      <c r="AS777">
        <v>111.22090519061544</v>
      </c>
      <c r="AT777" t="e">
        <v>#DIV/0!</v>
      </c>
      <c r="AU777" t="e">
        <v>#DIV/0!</v>
      </c>
      <c r="AV777"/>
      <c r="AW777"/>
      <c r="FY777" s="210">
        <v>772</v>
      </c>
      <c r="FZ777">
        <v>23.269418804065332</v>
      </c>
      <c r="GA777">
        <v>39.542268830881085</v>
      </c>
      <c r="GB777">
        <v>9.9197603182473433</v>
      </c>
      <c r="GC777">
        <v>2.5072594404795452</v>
      </c>
      <c r="GD777">
        <v>0.8418128704023633</v>
      </c>
      <c r="GE777">
        <v>4.0695033455652823</v>
      </c>
      <c r="GF777">
        <v>9.803214625581683</v>
      </c>
      <c r="GG777">
        <v>3.5189668140073693</v>
      </c>
      <c r="GH777">
        <v>2.3115623212022323</v>
      </c>
      <c r="GI777">
        <v>8.9176980430312334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50.689827928297753</v>
      </c>
      <c r="AO778">
        <v>14.015263113467844</v>
      </c>
      <c r="AP778">
        <v>150.29318644899917</v>
      </c>
      <c r="AQ778">
        <v>111.52627106495213</v>
      </c>
      <c r="AR778">
        <v>13.305803355829834</v>
      </c>
      <c r="AS778">
        <v>176.87088533894891</v>
      </c>
      <c r="AT778">
        <v>8.6471774858727457</v>
      </c>
      <c r="AU778">
        <v>75.083906013152742</v>
      </c>
      <c r="AV778"/>
      <c r="AW778"/>
      <c r="FY778" s="210">
        <v>773</v>
      </c>
      <c r="FZ778">
        <v>3.715568865143291</v>
      </c>
      <c r="GA778">
        <v>23.560844730091041</v>
      </c>
      <c r="GB778">
        <v>13.950618709666209</v>
      </c>
      <c r="GC778">
        <v>2.7889464385587419</v>
      </c>
      <c r="GD778">
        <v>0.77171737661444362</v>
      </c>
      <c r="GE778">
        <v>2.0558539793455489E-3</v>
      </c>
      <c r="GF778">
        <v>0.55370322740244005</v>
      </c>
      <c r="GG778">
        <v>1.4139197022917709</v>
      </c>
      <c r="GH778">
        <v>1.3320486743985893</v>
      </c>
      <c r="GI778">
        <v>4.962455757421897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32.914037698412692</v>
      </c>
      <c r="AO779">
        <v>12.867459991875966</v>
      </c>
      <c r="AP779">
        <v>141.72911607937601</v>
      </c>
      <c r="AQ779">
        <v>98.718443445782242</v>
      </c>
      <c r="AR779">
        <v>12.198443787204761</v>
      </c>
      <c r="AS779">
        <v>187.91333035908522</v>
      </c>
      <c r="AT779">
        <v>7.8483711317266689</v>
      </c>
      <c r="AU779">
        <v>41.490939359014959</v>
      </c>
      <c r="AV779"/>
      <c r="AW779"/>
      <c r="FY779" s="210">
        <v>774</v>
      </c>
      <c r="FZ779">
        <v>15.373607687015019</v>
      </c>
      <c r="GA779">
        <v>29.17426269252438</v>
      </c>
      <c r="GB779">
        <v>8.7485648492823813</v>
      </c>
      <c r="GC779">
        <v>1.3914649136694826</v>
      </c>
      <c r="GD779">
        <v>0.64741537737168064</v>
      </c>
      <c r="GE779">
        <v>4.0653916376065906</v>
      </c>
      <c r="GF779">
        <v>11.750509546416874</v>
      </c>
      <c r="GG779">
        <v>5.0067342093448231</v>
      </c>
      <c r="GH779">
        <v>2.0885480321282004</v>
      </c>
      <c r="GI779">
        <v>7.6930162739094454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25.13406084656085</v>
      </c>
      <c r="AO780">
        <v>10.040160369064905</v>
      </c>
      <c r="AP780">
        <v>97.601126021569655</v>
      </c>
      <c r="AQ780">
        <v>67.850371041175251</v>
      </c>
      <c r="AR780">
        <v>9.5754178545418398</v>
      </c>
      <c r="AS780">
        <v>113.36866699812884</v>
      </c>
      <c r="AT780">
        <v>6.5556191822066303</v>
      </c>
      <c r="AU780">
        <v>10.253227817114588</v>
      </c>
      <c r="AV780"/>
      <c r="AW780"/>
      <c r="FY780" s="210">
        <v>775</v>
      </c>
      <c r="FZ780">
        <v>5.3201359234453749</v>
      </c>
      <c r="GA780">
        <v>24.373287744196919</v>
      </c>
      <c r="GB780">
        <v>11.296337283227565</v>
      </c>
      <c r="GC780">
        <v>1.0483769885653034</v>
      </c>
      <c r="GD780">
        <v>0.73760757262138299</v>
      </c>
      <c r="GE780">
        <v>1.4499687236065399</v>
      </c>
      <c r="GF780">
        <v>6.1686430941477743</v>
      </c>
      <c r="GG780">
        <v>4.1365087255540844</v>
      </c>
      <c r="GH780">
        <v>1.0341425404475817</v>
      </c>
      <c r="GI780">
        <v>5.5632465920433285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40.230719759168039</v>
      </c>
      <c r="AO781">
        <v>10.894306891644757</v>
      </c>
      <c r="AP781">
        <v>112.10627868389984</v>
      </c>
      <c r="AQ781">
        <v>82.27618007563396</v>
      </c>
      <c r="AR781">
        <v>10.238272183317857</v>
      </c>
      <c r="AS781">
        <v>132.41412465547316</v>
      </c>
      <c r="AT781">
        <v>6.9198537853413589</v>
      </c>
      <c r="AU781">
        <v>19.093997807358086</v>
      </c>
      <c r="AV781"/>
      <c r="AW781"/>
      <c r="FY781" s="210">
        <v>776</v>
      </c>
      <c r="FZ781">
        <v>4.1157164619124273</v>
      </c>
      <c r="GA781">
        <v>18.875877800313084</v>
      </c>
      <c r="GB781">
        <v>10.731193266682652</v>
      </c>
      <c r="GC781">
        <v>2.4427058454399573</v>
      </c>
      <c r="GD781">
        <v>0.83916147036135391</v>
      </c>
      <c r="GE781">
        <v>0.14020141262716906</v>
      </c>
      <c r="GF781">
        <v>6.9750072595064321</v>
      </c>
      <c r="GG781">
        <v>6.7153370988535395</v>
      </c>
      <c r="GH781">
        <v>1.5038724992891495</v>
      </c>
      <c r="GI781">
        <v>5.5716063205626005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41.336822089947084</v>
      </c>
      <c r="AO782">
        <v>12.751504676491882</v>
      </c>
      <c r="AP782">
        <v>128.4427641189063</v>
      </c>
      <c r="AQ782">
        <v>92.609403360062146</v>
      </c>
      <c r="AR782">
        <v>11.942964773013312</v>
      </c>
      <c r="AS782">
        <v>166.15273442632059</v>
      </c>
      <c r="AT782" t="e">
        <v>#DIV/0!</v>
      </c>
      <c r="AU782" t="e">
        <v>#DIV/0!</v>
      </c>
      <c r="AV782"/>
      <c r="AW782"/>
      <c r="FY782" s="210">
        <v>777</v>
      </c>
      <c r="FZ782">
        <v>12.280925211774189</v>
      </c>
      <c r="GA782">
        <v>29.451723389999152</v>
      </c>
      <c r="GB782">
        <v>11.603427208465018</v>
      </c>
      <c r="GC782">
        <v>2.6829335532582328</v>
      </c>
      <c r="GD782">
        <v>0.86662361090198392</v>
      </c>
      <c r="GE782">
        <v>0.28451453321302922</v>
      </c>
      <c r="GF782">
        <v>1.8488967683176252</v>
      </c>
      <c r="GG782">
        <v>3.3764583205694949</v>
      </c>
      <c r="GH782">
        <v>3.7150644110173299</v>
      </c>
      <c r="GI782">
        <v>6.2651055566258185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43.246923462871749</v>
      </c>
      <c r="AO783">
        <v>11.871697316145719</v>
      </c>
      <c r="AP783">
        <v>126.56665649158708</v>
      </c>
      <c r="AQ783">
        <v>92.637055243914887</v>
      </c>
      <c r="AR783">
        <v>11.121483177181432</v>
      </c>
      <c r="AS783">
        <v>194.96736400744109</v>
      </c>
      <c r="AT783" t="e">
        <v>#DIV/0!</v>
      </c>
      <c r="AU783" t="e">
        <v>#DIV/0!</v>
      </c>
      <c r="AV783"/>
      <c r="AW783"/>
      <c r="FY783" s="210">
        <v>778</v>
      </c>
      <c r="FZ783">
        <v>22.604717259112917</v>
      </c>
      <c r="GA783">
        <v>34.898414904080603</v>
      </c>
      <c r="GB783">
        <v>6.7104783574605626</v>
      </c>
      <c r="GC783">
        <v>1.7541559877843598</v>
      </c>
      <c r="GD783">
        <v>0.82260365844915129</v>
      </c>
      <c r="GE783">
        <v>0</v>
      </c>
      <c r="GF783">
        <v>3.7865424790608309</v>
      </c>
      <c r="GG783">
        <v>5.0806062480807146</v>
      </c>
      <c r="GH783">
        <v>4.1847943698588974</v>
      </c>
      <c r="GI783">
        <v>7.0551369661994032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21.276504629629628</v>
      </c>
      <c r="AO784">
        <v>8.155132897509251</v>
      </c>
      <c r="AP784">
        <v>81.016822454942258</v>
      </c>
      <c r="AQ784">
        <v>55.614523670824966</v>
      </c>
      <c r="AR784">
        <v>7.600045958922335</v>
      </c>
      <c r="AS784">
        <v>98.151830001237045</v>
      </c>
      <c r="AT784">
        <v>5.1526588894497296</v>
      </c>
      <c r="AU784">
        <v>11.688662738836635</v>
      </c>
      <c r="AV784"/>
      <c r="AW784"/>
      <c r="FY784" s="210">
        <v>779</v>
      </c>
      <c r="FZ784">
        <v>13.09560920714461</v>
      </c>
      <c r="GA784">
        <v>39.080224766700461</v>
      </c>
      <c r="GB784">
        <v>14.165546824984302</v>
      </c>
      <c r="GC784">
        <v>1.6528016976863587</v>
      </c>
      <c r="GD784">
        <v>0.59385433508077234</v>
      </c>
      <c r="GE784">
        <v>0.14431312058586016</v>
      </c>
      <c r="GF784">
        <v>4.0476516666598794</v>
      </c>
      <c r="GG784">
        <v>5.6092092515792036</v>
      </c>
      <c r="GH784">
        <v>5.1039913363089964</v>
      </c>
      <c r="GI784">
        <v>7.6749277480968043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47.346309409779238</v>
      </c>
      <c r="AO785">
        <v>11.416932974810384</v>
      </c>
      <c r="AP785">
        <v>121.62243298653792</v>
      </c>
      <c r="AQ785">
        <v>93.444738406211343</v>
      </c>
      <c r="AR785">
        <v>11.197076967133585</v>
      </c>
      <c r="AS785">
        <v>145.65095760742278</v>
      </c>
      <c r="AT785" t="e">
        <v>#DIV/0!</v>
      </c>
      <c r="AU785" t="e">
        <v>#DIV/0!</v>
      </c>
      <c r="AV785"/>
      <c r="AW785"/>
      <c r="FY785" s="210">
        <v>780</v>
      </c>
      <c r="FZ785">
        <v>4.9484364952878481</v>
      </c>
      <c r="GA785">
        <v>17.755105650528879</v>
      </c>
      <c r="GB785">
        <v>9.5671875294996553</v>
      </c>
      <c r="GC785">
        <v>2.1273562895483726</v>
      </c>
      <c r="GD785">
        <v>0.75870546366779124</v>
      </c>
      <c r="GE785">
        <v>1.4540804315652309</v>
      </c>
      <c r="GF785">
        <v>6.4454947078489937</v>
      </c>
      <c r="GG785">
        <v>4.7981918851348908</v>
      </c>
      <c r="GH785">
        <v>3.1941439879922906</v>
      </c>
      <c r="GI785">
        <v>5.4919998866669957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26.888822751322756</v>
      </c>
      <c r="AO786">
        <v>6.0994934160290857</v>
      </c>
      <c r="AP786">
        <v>62.686998911105789</v>
      </c>
      <c r="AQ786">
        <v>49.709654101427233</v>
      </c>
      <c r="AR786">
        <v>6.0673070588177058</v>
      </c>
      <c r="AS786">
        <v>85.123872463970031</v>
      </c>
      <c r="AT786" t="e">
        <v>#DIV/0!</v>
      </c>
      <c r="AU786" t="e">
        <v>#DIV/0!</v>
      </c>
      <c r="AV786"/>
      <c r="AW786"/>
      <c r="FY786" s="210">
        <v>781</v>
      </c>
      <c r="FZ786">
        <v>13.653657293012289</v>
      </c>
      <c r="GA786">
        <v>35.001443500496798</v>
      </c>
      <c r="GB786">
        <v>12.170411855935427</v>
      </c>
      <c r="GC786">
        <v>1.9975796699440043</v>
      </c>
      <c r="GD786">
        <v>0.64635717533348758</v>
      </c>
      <c r="GE786">
        <v>1.4540804315652309</v>
      </c>
      <c r="GF786">
        <v>8.0175398624654015</v>
      </c>
      <c r="GG786">
        <v>6.2433838296470467</v>
      </c>
      <c r="GH786">
        <v>3.6604355173733909</v>
      </c>
      <c r="GI786">
        <v>7.8592696216371642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24.402858169129722</v>
      </c>
      <c r="AO787">
        <v>12.712037174087749</v>
      </c>
      <c r="AP787">
        <v>126.00935048001209</v>
      </c>
      <c r="AQ787">
        <v>84.075035705012752</v>
      </c>
      <c r="AR787">
        <v>11.498079321667388</v>
      </c>
      <c r="AS787">
        <v>159.45225937503443</v>
      </c>
      <c r="AT787">
        <v>7.7657957556936124</v>
      </c>
      <c r="AU787">
        <v>-6.7191060326462786</v>
      </c>
      <c r="AV787"/>
      <c r="AW787"/>
      <c r="FY787" s="210">
        <v>782</v>
      </c>
      <c r="FZ787">
        <v>2.7266579431716469</v>
      </c>
      <c r="GA787">
        <v>25.361600969510597</v>
      </c>
      <c r="GB787">
        <v>15.067974731865213</v>
      </c>
      <c r="GC787">
        <v>2.9878126860883261</v>
      </c>
      <c r="GD787">
        <v>0.89348024295538941</v>
      </c>
      <c r="GE787">
        <v>0.1463689745652057</v>
      </c>
      <c r="GF787">
        <v>2.3675591494339248</v>
      </c>
      <c r="GG787">
        <v>3.1404074148465986</v>
      </c>
      <c r="GH787">
        <v>1.3320486743985893</v>
      </c>
      <c r="GI787">
        <v>5.5034211936388555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46.876074735449734</v>
      </c>
      <c r="AO788">
        <v>13.495613456395727</v>
      </c>
      <c r="AP788">
        <v>136.97786224740631</v>
      </c>
      <c r="AQ788">
        <v>104.70146541346348</v>
      </c>
      <c r="AR788">
        <v>12.573772241401805</v>
      </c>
      <c r="AS788">
        <v>174.06505713303966</v>
      </c>
      <c r="AT788">
        <v>8.3473948811430301</v>
      </c>
      <c r="AU788">
        <v>87.821039124406852</v>
      </c>
      <c r="AV788"/>
      <c r="AW788"/>
      <c r="FY788" s="210">
        <v>783</v>
      </c>
      <c r="FZ788">
        <v>2.7194546780031801</v>
      </c>
      <c r="GA788">
        <v>16.782045145211178</v>
      </c>
      <c r="GB788">
        <v>8.9525209010488602</v>
      </c>
      <c r="GC788">
        <v>1.5590747178859952</v>
      </c>
      <c r="GD788">
        <v>0.58526524205749664</v>
      </c>
      <c r="GE788">
        <v>0.14225726660651461</v>
      </c>
      <c r="GF788">
        <v>1.7948730870128506</v>
      </c>
      <c r="GG788">
        <v>3.3294279077467008</v>
      </c>
      <c r="GH788">
        <v>5.3438301471555985</v>
      </c>
      <c r="GI788">
        <v>4.3120429952848944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22.707986111111104</v>
      </c>
      <c r="AO789">
        <v>7.652008562781039</v>
      </c>
      <c r="AP789">
        <v>78.93723139623539</v>
      </c>
      <c r="AQ789">
        <v>53.051879335567769</v>
      </c>
      <c r="AR789">
        <v>7.3589340293602508</v>
      </c>
      <c r="AS789">
        <v>104.9560566060092</v>
      </c>
      <c r="AT789" t="e">
        <v>#DIV/0!</v>
      </c>
      <c r="AU789" t="e">
        <v>#DIV/0!</v>
      </c>
      <c r="AV789"/>
      <c r="AW789"/>
      <c r="FY789" s="210">
        <v>784</v>
      </c>
      <c r="FZ789">
        <v>3.8004813256574859</v>
      </c>
      <c r="GA789">
        <v>12.821101837225667</v>
      </c>
      <c r="GB789">
        <v>7.4427716802681498</v>
      </c>
      <c r="GC789">
        <v>1.9164160566879276</v>
      </c>
      <c r="GD789">
        <v>0.66659157494355425</v>
      </c>
      <c r="GE789">
        <v>1.4540804315652309</v>
      </c>
      <c r="GF789">
        <v>7.4638366350629592</v>
      </c>
      <c r="GG789">
        <v>5.9290302688809717</v>
      </c>
      <c r="GH789">
        <v>2.028231351774656</v>
      </c>
      <c r="GI789">
        <v>4.7287847149859363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36.433645206166759</v>
      </c>
      <c r="AO790">
        <v>11.491324304811403</v>
      </c>
      <c r="AP790">
        <v>116.92861512547415</v>
      </c>
      <c r="AQ790">
        <v>85.939515219268884</v>
      </c>
      <c r="AR790">
        <v>10.887566610223104</v>
      </c>
      <c r="AS790">
        <v>176.89986757628199</v>
      </c>
      <c r="AT790" t="e">
        <v>#DIV/0!</v>
      </c>
      <c r="AU790" t="e">
        <v>#DIV/0!</v>
      </c>
      <c r="AV790"/>
      <c r="AW790"/>
      <c r="FY790" s="210">
        <v>785</v>
      </c>
      <c r="FZ790">
        <v>5.8691116338058524</v>
      </c>
      <c r="GA790">
        <v>19.587328113881561</v>
      </c>
      <c r="GB790">
        <v>10.042713051466038</v>
      </c>
      <c r="GC790">
        <v>2.6904915654003529</v>
      </c>
      <c r="GD790">
        <v>1.5348771801817824</v>
      </c>
      <c r="GE790">
        <v>1.5901701362337088</v>
      </c>
      <c r="GF790">
        <v>3.4798578597998393</v>
      </c>
      <c r="GG790">
        <v>1.4200541144273304</v>
      </c>
      <c r="GH790">
        <v>1.6188180732866324</v>
      </c>
      <c r="GI790">
        <v>5.3641236397224539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21.580241402116403</v>
      </c>
      <c r="AO791">
        <v>8.3271055287433118</v>
      </c>
      <c r="AP791">
        <v>87.551191278313581</v>
      </c>
      <c r="AQ791">
        <v>61.128255187855856</v>
      </c>
      <c r="AR791">
        <v>7.9923969183323456</v>
      </c>
      <c r="AS791">
        <v>123.67465905537784</v>
      </c>
      <c r="AT791">
        <v>5.4674537762302462</v>
      </c>
      <c r="AU791">
        <v>7.5696176445699574</v>
      </c>
      <c r="AV791"/>
      <c r="AW791"/>
      <c r="FY791" s="210">
        <v>786</v>
      </c>
      <c r="FZ791">
        <v>12.311385069429186</v>
      </c>
      <c r="GA791">
        <v>27.480458504528947</v>
      </c>
      <c r="GB791">
        <v>9.460905204698026</v>
      </c>
      <c r="GC791">
        <v>2.0454127205225645</v>
      </c>
      <c r="GD791">
        <v>0.82396469654864379</v>
      </c>
      <c r="GE791">
        <v>2.7556243266272196</v>
      </c>
      <c r="GF791">
        <v>8.7989632778253171</v>
      </c>
      <c r="GG791">
        <v>5.1633638651213891</v>
      </c>
      <c r="GH791">
        <v>1.3320486743985893</v>
      </c>
      <c r="GI791">
        <v>6.8108123173026867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23.200858648056926</v>
      </c>
      <c r="AO792">
        <v>8.4618009288750606</v>
      </c>
      <c r="AP792">
        <v>85.031906549951316</v>
      </c>
      <c r="AQ792">
        <v>57.910679435548374</v>
      </c>
      <c r="AR792">
        <v>8.212479129231486</v>
      </c>
      <c r="AS792">
        <v>93.858145688129014</v>
      </c>
      <c r="AT792" t="e">
        <v>#DIV/0!</v>
      </c>
      <c r="AU792" t="e">
        <v>#DIV/0!</v>
      </c>
      <c r="AV792"/>
      <c r="AW792"/>
      <c r="FY792" s="210">
        <v>787</v>
      </c>
      <c r="FZ792">
        <v>30.451454660769976</v>
      </c>
      <c r="GA792">
        <v>50.933942869304467</v>
      </c>
      <c r="GB792">
        <v>10.88168458527772</v>
      </c>
      <c r="GC792">
        <v>2.1836420803423846</v>
      </c>
      <c r="GD792">
        <v>0.60420412814281921</v>
      </c>
      <c r="GE792">
        <v>1.4479128696271943</v>
      </c>
      <c r="GF792">
        <v>8.0332822885675714</v>
      </c>
      <c r="GG792">
        <v>5.877502452186337</v>
      </c>
      <c r="GH792">
        <v>1.1490881144450649</v>
      </c>
      <c r="GI792">
        <v>9.5719556814110724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38.061738277686551</v>
      </c>
      <c r="AO793">
        <v>9.4293486170001284</v>
      </c>
      <c r="AP793">
        <v>97.525999877713218</v>
      </c>
      <c r="AQ793">
        <v>72.375672564141851</v>
      </c>
      <c r="AR793">
        <v>9.0801798404687766</v>
      </c>
      <c r="AS793">
        <v>134.24175262962456</v>
      </c>
      <c r="AT793" t="e">
        <v>#DIV/0!</v>
      </c>
      <c r="AU793" t="e">
        <v>#DIV/0!</v>
      </c>
      <c r="AV793"/>
      <c r="AW793"/>
      <c r="FY793" s="210">
        <v>788</v>
      </c>
      <c r="FZ793">
        <v>12.191621763218613</v>
      </c>
      <c r="GA793">
        <v>29.403747168052703</v>
      </c>
      <c r="GB793">
        <v>11.381423393292728</v>
      </c>
      <c r="GC793">
        <v>2.9552002082171049</v>
      </c>
      <c r="GD793">
        <v>1.0039461750379273</v>
      </c>
      <c r="GE793">
        <v>0.28451453321302922</v>
      </c>
      <c r="GF793">
        <v>2.6157787180245267</v>
      </c>
      <c r="GG793">
        <v>2.9233174851986226</v>
      </c>
      <c r="GH793">
        <v>1.8418323623606643</v>
      </c>
      <c r="GI793">
        <v>6.1936708350734051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41.252810846560848</v>
      </c>
      <c r="AO794">
        <v>10.536756370647746</v>
      </c>
      <c r="AP794">
        <v>112.17454443369681</v>
      </c>
      <c r="AQ794">
        <v>86.897450230087429</v>
      </c>
      <c r="AR794">
        <v>10.239719939169008</v>
      </c>
      <c r="AS794">
        <v>139.55545106681373</v>
      </c>
      <c r="AT794" t="e">
        <v>#DIV/0!</v>
      </c>
      <c r="AU794" t="e">
        <v>#DIV/0!</v>
      </c>
      <c r="AV794"/>
      <c r="AW794"/>
      <c r="FY794" s="210">
        <v>789</v>
      </c>
      <c r="FZ794">
        <v>4.0496462524127619</v>
      </c>
      <c r="GA794">
        <v>21.668905908023525</v>
      </c>
      <c r="GB794">
        <v>11.07194352557411</v>
      </c>
      <c r="GC794">
        <v>1.5327043651826333</v>
      </c>
      <c r="GD794">
        <v>0.54038457839376042</v>
      </c>
      <c r="GE794">
        <v>0</v>
      </c>
      <c r="GF794">
        <v>2.3929507856280807</v>
      </c>
      <c r="GG794">
        <v>3.1476604218853108</v>
      </c>
      <c r="GH794">
        <v>3.1907055585318234</v>
      </c>
      <c r="GI794">
        <v>4.7941806318538269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32.975742907316189</v>
      </c>
      <c r="AO795">
        <v>11.772510218626945</v>
      </c>
      <c r="AP795">
        <v>129.59740133459553</v>
      </c>
      <c r="AQ795">
        <v>91.168129954827251</v>
      </c>
      <c r="AR795">
        <v>11.373128015491762</v>
      </c>
      <c r="AS795">
        <v>140.38739208850097</v>
      </c>
      <c r="AT795" t="e">
        <v>#DIV/0!</v>
      </c>
      <c r="AU795" t="e">
        <v>#DIV/0!</v>
      </c>
      <c r="AV795"/>
      <c r="AW795"/>
      <c r="FY795" s="210">
        <v>790</v>
      </c>
      <c r="FZ795">
        <v>12.735748396345308</v>
      </c>
      <c r="GA795">
        <v>26.988937021028729</v>
      </c>
      <c r="GB795">
        <v>9.1024995938414079</v>
      </c>
      <c r="GC795">
        <v>1.7580078722339814</v>
      </c>
      <c r="GD795">
        <v>0.67373863653563992</v>
      </c>
      <c r="GE795">
        <v>0.28245867923368362</v>
      </c>
      <c r="GF795">
        <v>5.358587633677236</v>
      </c>
      <c r="GG795">
        <v>5.936283275919684</v>
      </c>
      <c r="GH795">
        <v>3.88688823590789</v>
      </c>
      <c r="GI795">
        <v>6.3398025731495791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24.576717296113848</v>
      </c>
      <c r="AO796">
        <v>8.2022813893656839</v>
      </c>
      <c r="AP796">
        <v>81.301368239823546</v>
      </c>
      <c r="AQ796">
        <v>56.540702327740945</v>
      </c>
      <c r="AR796">
        <v>7.9699257389521154</v>
      </c>
      <c r="AS796">
        <v>89.169597210189849</v>
      </c>
      <c r="AT796">
        <v>5.4272017970203157</v>
      </c>
      <c r="AU796">
        <v>4.0342549398482426</v>
      </c>
      <c r="AV796"/>
      <c r="AW796"/>
      <c r="FY796" s="210">
        <v>791</v>
      </c>
      <c r="FZ796">
        <v>3.8619161829673923</v>
      </c>
      <c r="GA796">
        <v>19.690388367181349</v>
      </c>
      <c r="GB796">
        <v>8.0911225890816851</v>
      </c>
      <c r="GC796">
        <v>0.89396821746727584</v>
      </c>
      <c r="GD796">
        <v>0.61880557970934047</v>
      </c>
      <c r="GE796">
        <v>1.3077114570000252</v>
      </c>
      <c r="GF796">
        <v>3.64866211089151</v>
      </c>
      <c r="GG796">
        <v>2.9172255149374089</v>
      </c>
      <c r="GH796">
        <v>2.9073745891042471</v>
      </c>
      <c r="GI796">
        <v>4.2556362326502395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32.895303092501365</v>
      </c>
      <c r="AO797">
        <v>12.074926193311974</v>
      </c>
      <c r="AP797">
        <v>127.8326013359346</v>
      </c>
      <c r="AQ797">
        <v>90.704158757410227</v>
      </c>
      <c r="AR797">
        <v>11.512000677760238</v>
      </c>
      <c r="AS797">
        <v>156.10215574387166</v>
      </c>
      <c r="AT797">
        <v>7.5148272884687008</v>
      </c>
      <c r="AU797">
        <v>57.676508616064261</v>
      </c>
      <c r="AV797"/>
      <c r="AW797"/>
      <c r="FY797" s="210">
        <v>792</v>
      </c>
      <c r="FZ797">
        <v>15.855214514711829</v>
      </c>
      <c r="GA797">
        <v>35.735612499846098</v>
      </c>
      <c r="GB797">
        <v>11.839754546407656</v>
      </c>
      <c r="GC797">
        <v>1.6899190160114752</v>
      </c>
      <c r="GD797">
        <v>0.94129276116484972</v>
      </c>
      <c r="GE797">
        <v>3.1803402724674177</v>
      </c>
      <c r="GF797">
        <v>8.146861897905314</v>
      </c>
      <c r="GG797">
        <v>4.5385689465359622</v>
      </c>
      <c r="GH797">
        <v>2.6094684551532397</v>
      </c>
      <c r="GI797">
        <v>8.1372359986472649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25.799090608465612</v>
      </c>
      <c r="AO798">
        <v>8.5578733865497902</v>
      </c>
      <c r="AP798">
        <v>87.362948670395397</v>
      </c>
      <c r="AQ798">
        <v>59.527331980474351</v>
      </c>
      <c r="AR798">
        <v>8.0737867279190354</v>
      </c>
      <c r="AS798">
        <v>95.151750110843167</v>
      </c>
      <c r="AT798" t="e">
        <v>#DIV/0!</v>
      </c>
      <c r="AU798" t="e">
        <v>#DIV/0!</v>
      </c>
      <c r="AV798"/>
      <c r="AW798"/>
      <c r="FY798" s="210">
        <v>793</v>
      </c>
      <c r="FZ798">
        <v>23.596736921826878</v>
      </c>
      <c r="GA798">
        <v>47.082254475683946</v>
      </c>
      <c r="GB798">
        <v>12.445000288045931</v>
      </c>
      <c r="GC798">
        <v>1.813232360367343</v>
      </c>
      <c r="GD798">
        <v>1.1946954117443798</v>
      </c>
      <c r="GE798">
        <v>3.0360271518815578</v>
      </c>
      <c r="GF798">
        <v>7.2269181232089119</v>
      </c>
      <c r="GG798">
        <v>2.7886228540343732</v>
      </c>
      <c r="GH798">
        <v>1.2774197807546503</v>
      </c>
      <c r="GI798">
        <v>9.1388379297304194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16.457108648056927</v>
      </c>
      <c r="AO799">
        <v>6.43915329461728</v>
      </c>
      <c r="AP799">
        <v>67.260807572420248</v>
      </c>
      <c r="AQ799">
        <v>45.520792088013266</v>
      </c>
      <c r="AR799">
        <v>6.4163426122634801</v>
      </c>
      <c r="AS799">
        <v>76.499179150150354</v>
      </c>
      <c r="AT799" t="e">
        <v>#DIV/0!</v>
      </c>
      <c r="AU799" t="e">
        <v>#DIV/0!</v>
      </c>
      <c r="AV799"/>
      <c r="AW799"/>
      <c r="FY799" s="210">
        <v>794</v>
      </c>
      <c r="FZ799">
        <v>14.27833976957387</v>
      </c>
      <c r="GA799">
        <v>26.535832991569759</v>
      </c>
      <c r="GB799">
        <v>7.4004967573135598</v>
      </c>
      <c r="GC799">
        <v>1.623751799303589</v>
      </c>
      <c r="GD799">
        <v>0.94611227802719577</v>
      </c>
      <c r="GE799">
        <v>0.28040282525433813</v>
      </c>
      <c r="GF799">
        <v>0.77653115979888554</v>
      </c>
      <c r="GG799">
        <v>0.84954261570340917</v>
      </c>
      <c r="GH799">
        <v>1.5038724992891495</v>
      </c>
      <c r="GI799">
        <v>4.9698329900551004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21.913026819923367</v>
      </c>
      <c r="AO800">
        <v>7.1791998943153157</v>
      </c>
      <c r="AP800">
        <v>69.092765191103297</v>
      </c>
      <c r="AQ800">
        <v>48.251325877052537</v>
      </c>
      <c r="AR800">
        <v>6.8188732984252161</v>
      </c>
      <c r="AS800">
        <v>75.512838811929825</v>
      </c>
      <c r="AT800">
        <v>4.6935714655023917</v>
      </c>
      <c r="AU800">
        <v>6.0762272741965617</v>
      </c>
      <c r="AV800"/>
      <c r="AW800"/>
      <c r="FY800" s="210">
        <v>795</v>
      </c>
      <c r="FZ800">
        <v>13.585389112821607</v>
      </c>
      <c r="GA800">
        <v>26.2915515790813</v>
      </c>
      <c r="GB800">
        <v>8.852906954792731</v>
      </c>
      <c r="GC800">
        <v>2.9246063483557894</v>
      </c>
      <c r="GD800">
        <v>1.2250607775485072</v>
      </c>
      <c r="GE800">
        <v>1.4499687236065399</v>
      </c>
      <c r="GF800">
        <v>4.8004430369091802</v>
      </c>
      <c r="GG800">
        <v>2.4602966731689064</v>
      </c>
      <c r="GH800">
        <v>0.69618267737606665</v>
      </c>
      <c r="GI800">
        <v>6.0917253182509068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27.288425925925925</v>
      </c>
      <c r="AO801">
        <v>7.8977248317582536</v>
      </c>
      <c r="AP801">
        <v>74.793314268040049</v>
      </c>
      <c r="AQ801">
        <v>53.197545368205539</v>
      </c>
      <c r="AR801">
        <v>7.7571230043814472</v>
      </c>
      <c r="AS801">
        <v>115.32265838631851</v>
      </c>
      <c r="AT801">
        <v>5.2835867510115468</v>
      </c>
      <c r="AU801">
        <v>2.7726567724911986</v>
      </c>
      <c r="AV801"/>
      <c r="AW801"/>
      <c r="FY801" s="210">
        <v>796</v>
      </c>
      <c r="FZ801">
        <v>13.588127911276239</v>
      </c>
      <c r="GA801">
        <v>28.161089676576161</v>
      </c>
      <c r="GB801">
        <v>8.5985720230080567</v>
      </c>
      <c r="GC801">
        <v>1.595179875102297</v>
      </c>
      <c r="GD801">
        <v>0.7239276480775837</v>
      </c>
      <c r="GE801">
        <v>2.6154229140000504</v>
      </c>
      <c r="GF801">
        <v>14.453385360222413</v>
      </c>
      <c r="GG801">
        <v>10.498424255331679</v>
      </c>
      <c r="GH801">
        <v>4.1167793839028555</v>
      </c>
      <c r="GI801">
        <v>8.3550263906469713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34.07514880952381</v>
      </c>
      <c r="AO802">
        <v>10.549123802202683</v>
      </c>
      <c r="AP802">
        <v>105.94426820391438</v>
      </c>
      <c r="AQ802">
        <v>76.982938657002563</v>
      </c>
      <c r="AR802">
        <v>9.7580639571041363</v>
      </c>
      <c r="AS802">
        <v>132.46814883241305</v>
      </c>
      <c r="AT802" t="e">
        <v>#DIV/0!</v>
      </c>
      <c r="AU802" t="e">
        <v>#DIV/0!</v>
      </c>
      <c r="AV802"/>
      <c r="AW802"/>
      <c r="FY802" s="210">
        <v>797</v>
      </c>
      <c r="FZ802">
        <v>22.708335456127788</v>
      </c>
      <c r="GA802">
        <v>55.702966170037229</v>
      </c>
      <c r="GB802">
        <v>15.859604355038149</v>
      </c>
      <c r="GC802">
        <v>1.5913843770848106</v>
      </c>
      <c r="GD802">
        <v>0.92043366877531074</v>
      </c>
      <c r="GE802">
        <v>0.14225726660651461</v>
      </c>
      <c r="GF802">
        <v>0.27685161370122002</v>
      </c>
      <c r="GG802">
        <v>1.341751459384152</v>
      </c>
      <c r="GH802">
        <v>2.7209755996902558</v>
      </c>
      <c r="GI802">
        <v>8.5143782670902599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57.805554415252686</v>
      </c>
      <c r="AO803">
        <v>14.683629397406568</v>
      </c>
      <c r="AP803">
        <v>157.88542106597555</v>
      </c>
      <c r="AQ803">
        <v>121.13466973007461</v>
      </c>
      <c r="AR803">
        <v>13.751146214484518</v>
      </c>
      <c r="AS803">
        <v>212.42128418617503</v>
      </c>
      <c r="AT803">
        <v>9.0356147298702982</v>
      </c>
      <c r="AU803">
        <v>154.38759019791138</v>
      </c>
      <c r="AV803"/>
      <c r="AW803"/>
      <c r="FY803" s="210">
        <v>798</v>
      </c>
      <c r="FZ803">
        <v>14.416251916764624</v>
      </c>
      <c r="GA803">
        <v>28.496413745915344</v>
      </c>
      <c r="GB803">
        <v>8.373363836274045</v>
      </c>
      <c r="GC803">
        <v>1.6271136758489879</v>
      </c>
      <c r="GD803">
        <v>0.67464642785315032</v>
      </c>
      <c r="GE803">
        <v>1.3097673109793708</v>
      </c>
      <c r="GF803">
        <v>9.3571078745933747</v>
      </c>
      <c r="GG803">
        <v>7.7098014012973053</v>
      </c>
      <c r="GH803">
        <v>3.1907055585318234</v>
      </c>
      <c r="GI803">
        <v>7.1544949870395671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34.718998015873026</v>
      </c>
      <c r="AO804">
        <v>9.4340661652404414</v>
      </c>
      <c r="AP804">
        <v>96.557424711509555</v>
      </c>
      <c r="AQ804">
        <v>70.795052641689324</v>
      </c>
      <c r="AR804">
        <v>9.0339368782604925</v>
      </c>
      <c r="AS804">
        <v>119.62601675015081</v>
      </c>
      <c r="AT804" t="e">
        <v>#DIV/0!</v>
      </c>
      <c r="AU804" t="e">
        <v>#DIV/0!</v>
      </c>
      <c r="AV804"/>
      <c r="AW804"/>
      <c r="FY804" s="210">
        <v>799</v>
      </c>
      <c r="FZ804">
        <v>24.606756590835872</v>
      </c>
      <c r="GA804">
        <v>39.463630680650034</v>
      </c>
      <c r="GB804">
        <v>9.3351557808843335</v>
      </c>
      <c r="GC804">
        <v>2.1315264852308911</v>
      </c>
      <c r="GD804">
        <v>0.94213111462919463</v>
      </c>
      <c r="GE804">
        <v>2.7556243266272196</v>
      </c>
      <c r="GF804">
        <v>7.4497460556053579</v>
      </c>
      <c r="GG804">
        <v>3.9133268256448943</v>
      </c>
      <c r="GH804">
        <v>3.3056511325293063</v>
      </c>
      <c r="GI804">
        <v>8.733635985779781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17.014368386243387</v>
      </c>
      <c r="AO805">
        <v>7.1715403476064168</v>
      </c>
      <c r="AP805">
        <v>77.001750087792416</v>
      </c>
      <c r="AQ805">
        <v>52.389082027485841</v>
      </c>
      <c r="AR805">
        <v>7.0816527250946075</v>
      </c>
      <c r="AS805">
        <v>104.72691852867807</v>
      </c>
      <c r="AT805" t="e">
        <v>#DIV/0!</v>
      </c>
      <c r="AU805" t="e">
        <v>#DIV/0!</v>
      </c>
      <c r="AV805"/>
      <c r="AW805"/>
      <c r="FY805" s="210">
        <v>800</v>
      </c>
      <c r="FZ805">
        <v>33.581940505205836</v>
      </c>
      <c r="GA805">
        <v>46.931469963625048</v>
      </c>
      <c r="GB805">
        <v>7.24561564577564</v>
      </c>
      <c r="GC805">
        <v>1.5528248560813349</v>
      </c>
      <c r="GD805">
        <v>0.89124982343917281</v>
      </c>
      <c r="GE805">
        <v>1.5901701362337088</v>
      </c>
      <c r="GF805">
        <v>5.3191054180254795</v>
      </c>
      <c r="GG805">
        <v>4.0833439005957315</v>
      </c>
      <c r="GH805">
        <v>2.9508667476852217</v>
      </c>
      <c r="GI805">
        <v>8.9783805705831572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33.724470899470909</v>
      </c>
      <c r="AO806">
        <v>9.3796330885247094</v>
      </c>
      <c r="AP806">
        <v>98.730905724223049</v>
      </c>
      <c r="AQ806">
        <v>73.06295191787315</v>
      </c>
      <c r="AR806">
        <v>9.1895823615095331</v>
      </c>
      <c r="AS806">
        <v>124.80095550997031</v>
      </c>
      <c r="AT806" t="e">
        <v>#DIV/0!</v>
      </c>
      <c r="AU806" t="e">
        <v>#DIV/0!</v>
      </c>
      <c r="AV806"/>
      <c r="AW806"/>
      <c r="FY806" s="210">
        <v>801</v>
      </c>
      <c r="FZ806">
        <v>21.900371980662964</v>
      </c>
      <c r="GA806">
        <v>35.749087340635256</v>
      </c>
      <c r="GB806">
        <v>6.641504412494168</v>
      </c>
      <c r="GC806">
        <v>0.94405218926881307</v>
      </c>
      <c r="GD806">
        <v>0.65558431914886151</v>
      </c>
      <c r="GE806">
        <v>0.14225726660651461</v>
      </c>
      <c r="GF806">
        <v>0.77653115979888554</v>
      </c>
      <c r="GG806">
        <v>1.9491087572291057</v>
      </c>
      <c r="GH806">
        <v>3.0623738922222374</v>
      </c>
      <c r="GI806">
        <v>6.0114533438775002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16.92815806878307</v>
      </c>
      <c r="AO807">
        <v>6.6372458426726881</v>
      </c>
      <c r="AP807">
        <v>69.539337463266449</v>
      </c>
      <c r="AQ807">
        <v>48.192810840990468</v>
      </c>
      <c r="AR807">
        <v>6.2034099357165573</v>
      </c>
      <c r="AS807">
        <v>67.096671724998629</v>
      </c>
      <c r="AT807" t="e">
        <v>#DIV/0!</v>
      </c>
      <c r="AU807" t="e">
        <v>#DIV/0!</v>
      </c>
      <c r="AV807"/>
      <c r="AW807"/>
      <c r="FY807" s="210">
        <v>802</v>
      </c>
      <c r="FZ807">
        <v>22.871184186896265</v>
      </c>
      <c r="GA807">
        <v>31.697152840383914</v>
      </c>
      <c r="GB807">
        <v>5.9101571212812072</v>
      </c>
      <c r="GC807">
        <v>2.065878394676933</v>
      </c>
      <c r="GD807">
        <v>0.8822345983078772</v>
      </c>
      <c r="GE807">
        <v>2.6174787679793958</v>
      </c>
      <c r="GF807">
        <v>4.8149845025621971</v>
      </c>
      <c r="GG807">
        <v>0.48437063571691075</v>
      </c>
      <c r="GH807">
        <v>1.1624742067571674</v>
      </c>
      <c r="GI807">
        <v>6.5674504382219521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33.269576719576726</v>
      </c>
      <c r="AO808">
        <v>12.396320945918143</v>
      </c>
      <c r="AP808">
        <v>128.39208012211932</v>
      </c>
      <c r="AQ808">
        <v>92.674268908851104</v>
      </c>
      <c r="AR808">
        <v>11.767330151708101</v>
      </c>
      <c r="AS808">
        <v>162.92130353798342</v>
      </c>
      <c r="AT808">
        <v>7.9121627528629821</v>
      </c>
      <c r="AU808">
        <v>71.266320210830557</v>
      </c>
      <c r="AV808"/>
      <c r="AW808"/>
      <c r="FY808" s="210">
        <v>803</v>
      </c>
      <c r="FZ808">
        <v>15.212707967556584</v>
      </c>
      <c r="GA808">
        <v>33.417708000885945</v>
      </c>
      <c r="GB808">
        <v>11.208961354536726</v>
      </c>
      <c r="GC808">
        <v>1.5002582206073947</v>
      </c>
      <c r="GD808">
        <v>0.74962913402091114</v>
      </c>
      <c r="GE808">
        <v>1.8685171075087017</v>
      </c>
      <c r="GF808">
        <v>9.8281553755804207</v>
      </c>
      <c r="GG808">
        <v>8.696879135080529</v>
      </c>
      <c r="GH808">
        <v>4.1847943698588974</v>
      </c>
      <c r="GI808">
        <v>8.2608907078678548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53.027412880861164</v>
      </c>
      <c r="AO809">
        <v>13.756121901491989</v>
      </c>
      <c r="AP809">
        <v>144.71933406820804</v>
      </c>
      <c r="AQ809">
        <v>109.59974529727839</v>
      </c>
      <c r="AR809">
        <v>13.00954810552582</v>
      </c>
      <c r="AS809">
        <v>176.97826986444238</v>
      </c>
      <c r="AT809" t="e">
        <v>#DIV/0!</v>
      </c>
      <c r="AU809" t="e">
        <v>#DIV/0!</v>
      </c>
      <c r="AV809"/>
      <c r="AW809"/>
      <c r="FY809" s="210">
        <v>804</v>
      </c>
      <c r="FZ809">
        <v>13.280937926801212</v>
      </c>
      <c r="GA809">
        <v>28.959208890014644</v>
      </c>
      <c r="GB809">
        <v>9.7207380421611731</v>
      </c>
      <c r="GC809">
        <v>1.6100456527411748</v>
      </c>
      <c r="GD809">
        <v>0.62375033111375378</v>
      </c>
      <c r="GE809">
        <v>0</v>
      </c>
      <c r="GF809">
        <v>1.3492172222199597</v>
      </c>
      <c r="GG809">
        <v>1.4200541144273304</v>
      </c>
      <c r="GH809">
        <v>1.3889269252916665</v>
      </c>
      <c r="GI809">
        <v>5.2667387694218659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33.064532589855858</v>
      </c>
      <c r="AO810">
        <v>7.2459886882659532</v>
      </c>
      <c r="AP810">
        <v>76.124881356130004</v>
      </c>
      <c r="AQ810">
        <v>59.164715685888858</v>
      </c>
      <c r="AR810">
        <v>7.1402726735499158</v>
      </c>
      <c r="AS810">
        <v>100.26006090851065</v>
      </c>
      <c r="AT810" t="e">
        <v>#DIV/0!</v>
      </c>
      <c r="AU810" t="e">
        <v>#DIV/0!</v>
      </c>
      <c r="AV810"/>
      <c r="AW810"/>
      <c r="FY810" s="210">
        <v>805</v>
      </c>
      <c r="FZ810">
        <v>22.93032015144631</v>
      </c>
      <c r="GA810">
        <v>29.72944336510313</v>
      </c>
      <c r="GB810">
        <v>4.9616321586745293</v>
      </c>
      <c r="GC810">
        <v>1.7529920928056251</v>
      </c>
      <c r="GD810">
        <v>0.50738503982514882</v>
      </c>
      <c r="GE810">
        <v>0</v>
      </c>
      <c r="GF810">
        <v>3.4653163941468206</v>
      </c>
      <c r="GG810">
        <v>3.2259630769284899</v>
      </c>
      <c r="GH810">
        <v>1.1624742067571674</v>
      </c>
      <c r="GI810">
        <v>5.8745983619335895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37.524801587301589</v>
      </c>
      <c r="AO811">
        <v>9.1611222095806131</v>
      </c>
      <c r="AP811">
        <v>89.458782088951054</v>
      </c>
      <c r="AQ811">
        <v>68.378131201911529</v>
      </c>
      <c r="AR811">
        <v>8.6666126475928067</v>
      </c>
      <c r="AS811">
        <v>119.42043610605278</v>
      </c>
      <c r="AT811" t="e">
        <v>#DIV/0!</v>
      </c>
      <c r="AU811" t="e">
        <v>#DIV/0!</v>
      </c>
      <c r="AV811"/>
      <c r="AW811"/>
      <c r="FY811" s="210">
        <v>806</v>
      </c>
      <c r="FZ811">
        <v>13.754226134425432</v>
      </c>
      <c r="GA811">
        <v>28.329343479793923</v>
      </c>
      <c r="GB811">
        <v>9.4779175622869474</v>
      </c>
      <c r="GC811">
        <v>1.8605009548148475</v>
      </c>
      <c r="GD811">
        <v>0.58266740717294763</v>
      </c>
      <c r="GE811">
        <v>1.5881142822543635</v>
      </c>
      <c r="GF811">
        <v>5.3477374631360988</v>
      </c>
      <c r="GG811">
        <v>3.1935722398049533</v>
      </c>
      <c r="GH811">
        <v>0.22645271853449905</v>
      </c>
      <c r="GI811">
        <v>5.9534167788957904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37.584156632001459</v>
      </c>
      <c r="AO812">
        <v>12.682731046293572</v>
      </c>
      <c r="AP812">
        <v>129.67892453129565</v>
      </c>
      <c r="AQ812">
        <v>92.705935438144309</v>
      </c>
      <c r="AR812">
        <v>12.085359342641368</v>
      </c>
      <c r="AS812">
        <v>167.86633719478741</v>
      </c>
      <c r="AT812" t="e">
        <v>#DIV/0!</v>
      </c>
      <c r="AU812" t="e">
        <v>#DIV/0!</v>
      </c>
      <c r="AV812"/>
      <c r="AW812"/>
      <c r="FY812" s="210">
        <v>807</v>
      </c>
      <c r="FZ812">
        <v>2.9030668695917838</v>
      </c>
      <c r="GA812">
        <v>14.616067606883734</v>
      </c>
      <c r="GB812">
        <v>8.6720062073086872</v>
      </c>
      <c r="GC812">
        <v>2.2541844548386041</v>
      </c>
      <c r="GD812">
        <v>0.97740624124637554</v>
      </c>
      <c r="GE812">
        <v>0.14431312058586016</v>
      </c>
      <c r="GF812">
        <v>0.55370322740244005</v>
      </c>
      <c r="GG812">
        <v>1.2439026273409342</v>
      </c>
      <c r="GH812">
        <v>2.9642528399973243</v>
      </c>
      <c r="GI812">
        <v>3.827084628498898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49.204347404670685</v>
      </c>
      <c r="AO813">
        <v>13.004170688750332</v>
      </c>
      <c r="AP813">
        <v>146.48559702176115</v>
      </c>
      <c r="AQ813">
        <v>109.7789382335357</v>
      </c>
      <c r="AR813">
        <v>12.349401321593092</v>
      </c>
      <c r="AS813">
        <v>157.72254096378467</v>
      </c>
      <c r="AT813" t="e">
        <v>#DIV/0!</v>
      </c>
      <c r="AU813" t="e">
        <v>#DIV/0!</v>
      </c>
      <c r="AV813"/>
      <c r="AW813"/>
      <c r="FY813" s="210">
        <v>808</v>
      </c>
      <c r="FZ813">
        <v>13.681658748071007</v>
      </c>
      <c r="GA813">
        <v>26.3387956439744</v>
      </c>
      <c r="GB813">
        <v>9.102385887815597</v>
      </c>
      <c r="GC813">
        <v>2.2659378408302477</v>
      </c>
      <c r="GD813">
        <v>0.81431091643732145</v>
      </c>
      <c r="GE813">
        <v>0.28040282525433813</v>
      </c>
      <c r="GF813">
        <v>2.9212623768363648</v>
      </c>
      <c r="GG813">
        <v>3.6247780505635099</v>
      </c>
      <c r="GH813">
        <v>2.028231351774656</v>
      </c>
      <c r="GI813">
        <v>5.7602459061720799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34.425891716839985</v>
      </c>
      <c r="AO814">
        <v>10.809669740186337</v>
      </c>
      <c r="AP814">
        <v>112.27783476409492</v>
      </c>
      <c r="AQ814">
        <v>82.309666735097593</v>
      </c>
      <c r="AR814">
        <v>10.331085309077245</v>
      </c>
      <c r="AS814">
        <v>130.09175922349414</v>
      </c>
      <c r="AT814">
        <v>6.8675511979103332</v>
      </c>
      <c r="AU814">
        <v>30.834126546400139</v>
      </c>
      <c r="AV814"/>
      <c r="AW814"/>
      <c r="FY814" s="210">
        <v>809</v>
      </c>
      <c r="FZ814">
        <v>16.270993836309447</v>
      </c>
      <c r="GA814">
        <v>24.039227874377811</v>
      </c>
      <c r="GB814">
        <v>7.118166709611252</v>
      </c>
      <c r="GC814">
        <v>1.7881271546716979</v>
      </c>
      <c r="GD814">
        <v>0.66083479095227937</v>
      </c>
      <c r="GE814">
        <v>1.3077114570000252</v>
      </c>
      <c r="GF814">
        <v>6.1686430941477743</v>
      </c>
      <c r="GG814">
        <v>4.8960407171781082</v>
      </c>
      <c r="GH814">
        <v>2.8359211736877388</v>
      </c>
      <c r="GI814">
        <v>6.3706765646347803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49.983909756431309</v>
      </c>
      <c r="AO815">
        <v>13.032454606780282</v>
      </c>
      <c r="AP815">
        <v>134.8864785213695</v>
      </c>
      <c r="AQ815">
        <v>102.63718497841688</v>
      </c>
      <c r="AR815">
        <v>12.490318757236587</v>
      </c>
      <c r="AS815">
        <v>181.33548198451211</v>
      </c>
      <c r="AT815">
        <v>8.7890526925700669</v>
      </c>
      <c r="AU815">
        <v>190.72799548251186</v>
      </c>
      <c r="AV815"/>
      <c r="AW815"/>
      <c r="FY815" s="210">
        <v>810</v>
      </c>
      <c r="FZ815">
        <v>22.368732007455122</v>
      </c>
      <c r="GA815">
        <v>48.963412515811058</v>
      </c>
      <c r="GB815">
        <v>14.035087813534073</v>
      </c>
      <c r="GC815">
        <v>2.4528865367399129</v>
      </c>
      <c r="GD815">
        <v>0.99809926840091656</v>
      </c>
      <c r="GE815">
        <v>0.14431312058586016</v>
      </c>
      <c r="GF815">
        <v>4.9833378674584505</v>
      </c>
      <c r="GG815">
        <v>4.9641587585195257</v>
      </c>
      <c r="GH815">
        <v>1.7303252178236483</v>
      </c>
      <c r="GI815">
        <v>8.9001888088107304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58.889549124247402</v>
      </c>
      <c r="AO816">
        <v>13.294270990223325</v>
      </c>
      <c r="AP816">
        <v>142.27152760470315</v>
      </c>
      <c r="AQ816">
        <v>113.12496756725034</v>
      </c>
      <c r="AR816">
        <v>12.817279596095071</v>
      </c>
      <c r="AS816">
        <v>176.17771882516956</v>
      </c>
      <c r="AT816">
        <v>8.5963850757340214</v>
      </c>
      <c r="AU816">
        <v>202.82596525048447</v>
      </c>
      <c r="AV816"/>
      <c r="AW816"/>
      <c r="FY816" s="210">
        <v>811</v>
      </c>
      <c r="FZ816">
        <v>14.48475950776303</v>
      </c>
      <c r="GA816">
        <v>23.72196705459374</v>
      </c>
      <c r="GB816">
        <v>7.9355232677438465</v>
      </c>
      <c r="GC816">
        <v>2.3003689747624345</v>
      </c>
      <c r="GD816">
        <v>0.7122352613841858</v>
      </c>
      <c r="GE816">
        <v>0</v>
      </c>
      <c r="GF816">
        <v>2.669802399329301</v>
      </c>
      <c r="GG816">
        <v>3.3898457397437669</v>
      </c>
      <c r="GH816">
        <v>3.7719426619104075</v>
      </c>
      <c r="GI816">
        <v>5.7577964084451327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40.511755952380952</v>
      </c>
      <c r="AO817">
        <v>8.9027085352986237</v>
      </c>
      <c r="AP817">
        <v>98.629425000790505</v>
      </c>
      <c r="AQ817">
        <v>77.832324661944327</v>
      </c>
      <c r="AR817">
        <v>8.6570976320108599</v>
      </c>
      <c r="AS817">
        <v>119.32372122785384</v>
      </c>
      <c r="AT817" t="e">
        <v>#DIV/0!</v>
      </c>
      <c r="AU817" t="e">
        <v>#DIV/0!</v>
      </c>
      <c r="AV817"/>
      <c r="AW817"/>
      <c r="FY817" s="210">
        <v>812</v>
      </c>
      <c r="FZ817">
        <v>4.7222604434401045</v>
      </c>
      <c r="GA817">
        <v>30.488252859550037</v>
      </c>
      <c r="GB817">
        <v>14.443618993955187</v>
      </c>
      <c r="GC817">
        <v>1.8301682741746756</v>
      </c>
      <c r="GD817">
        <v>1.0712986334746415</v>
      </c>
      <c r="GE817">
        <v>4.067447491585936</v>
      </c>
      <c r="GF817">
        <v>9.1765048818558341</v>
      </c>
      <c r="GG817">
        <v>2.7314078275098175</v>
      </c>
      <c r="GH817">
        <v>0.80768982191308281</v>
      </c>
      <c r="GI817">
        <v>7.0744754568480035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44.609788359788354</v>
      </c>
      <c r="AO818">
        <v>9.6025518608001388</v>
      </c>
      <c r="AP818">
        <v>96.726344422312309</v>
      </c>
      <c r="AQ818">
        <v>79.073365692783824</v>
      </c>
      <c r="AR818">
        <v>9.0877376846794338</v>
      </c>
      <c r="AS818">
        <v>133.99407546195189</v>
      </c>
      <c r="AT818" t="e">
        <v>#DIV/0!</v>
      </c>
      <c r="AU818" t="e">
        <v>#DIV/0!</v>
      </c>
      <c r="AV818"/>
      <c r="AW818"/>
      <c r="FY818" s="210">
        <v>813</v>
      </c>
      <c r="FZ818">
        <v>22.472604283509973</v>
      </c>
      <c r="GA818">
        <v>36.998365402483465</v>
      </c>
      <c r="GB818">
        <v>8.863782140218202</v>
      </c>
      <c r="GC818">
        <v>2.1356481309133786</v>
      </c>
      <c r="GD818">
        <v>0.80282324544517314</v>
      </c>
      <c r="GE818">
        <v>2.6195346219587416</v>
      </c>
      <c r="GF818">
        <v>7.5037697369101322</v>
      </c>
      <c r="GG818">
        <v>4.1303743134185247</v>
      </c>
      <c r="GH818">
        <v>2.9508667476852217</v>
      </c>
      <c r="GI818">
        <v>8.2076614819025853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37.940441981390258</v>
      </c>
      <c r="AO819">
        <v>12.407892394184355</v>
      </c>
      <c r="AP819">
        <v>129.8241573609051</v>
      </c>
      <c r="AQ819">
        <v>94.928501373503963</v>
      </c>
      <c r="AR819">
        <v>11.918601289496884</v>
      </c>
      <c r="AS819">
        <v>162.60217666421158</v>
      </c>
      <c r="AT819">
        <v>7.9229978978401165</v>
      </c>
      <c r="AU819">
        <v>47.088649303516831</v>
      </c>
      <c r="AV819"/>
      <c r="AW819"/>
      <c r="FY819" s="210">
        <v>814</v>
      </c>
      <c r="FZ819">
        <v>5.5218609243041783</v>
      </c>
      <c r="GA819">
        <v>18.622301984651916</v>
      </c>
      <c r="GB819">
        <v>10.89848541150382</v>
      </c>
      <c r="GC819">
        <v>3.2908522985945381</v>
      </c>
      <c r="GD819">
        <v>0.95696786575916593</v>
      </c>
      <c r="GE819">
        <v>2.6195346219587416</v>
      </c>
      <c r="GF819">
        <v>6.6542320607878382</v>
      </c>
      <c r="GG819">
        <v>3.1476604218853108</v>
      </c>
      <c r="GH819">
        <v>2.6094684551532397</v>
      </c>
      <c r="GI819">
        <v>5.9237591833327246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35.185449735449744</v>
      </c>
      <c r="AO820">
        <v>7.6232014260730683</v>
      </c>
      <c r="AP820">
        <v>82.488332765977219</v>
      </c>
      <c r="AQ820">
        <v>63.619617874192777</v>
      </c>
      <c r="AR820">
        <v>7.4549879038976883</v>
      </c>
      <c r="AS820">
        <v>118.69361962592889</v>
      </c>
      <c r="AT820" t="e">
        <v>#DIV/0!</v>
      </c>
      <c r="AU820" t="e">
        <v>#DIV/0!</v>
      </c>
      <c r="AV820"/>
      <c r="AW820"/>
      <c r="FY820" s="210">
        <v>815</v>
      </c>
      <c r="FZ820">
        <v>23.257635936874777</v>
      </c>
      <c r="GA820">
        <v>39.209582111552557</v>
      </c>
      <c r="GB820">
        <v>7.4574963408211161</v>
      </c>
      <c r="GC820">
        <v>1.567850762268004</v>
      </c>
      <c r="GD820">
        <v>0.82444304558954229</v>
      </c>
      <c r="GE820">
        <v>1.3097673109793708</v>
      </c>
      <c r="GF820">
        <v>6.9165422088360407</v>
      </c>
      <c r="GG820">
        <v>5.1957547022449262</v>
      </c>
      <c r="GH820">
        <v>2.3830157366187406</v>
      </c>
      <c r="GI820">
        <v>7.6995743560419152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39.899007936507935</v>
      </c>
      <c r="AO821">
        <v>8.6116848172533711</v>
      </c>
      <c r="AP821">
        <v>91.57599335455815</v>
      </c>
      <c r="AQ821">
        <v>73.61012484762081</v>
      </c>
      <c r="AR821">
        <v>8.392745821114648</v>
      </c>
      <c r="AS821">
        <v>147.18855063748748</v>
      </c>
      <c r="AT821" t="e">
        <v>#DIV/0!</v>
      </c>
      <c r="AU821" t="e">
        <v>#DIV/0!</v>
      </c>
      <c r="AV821"/>
      <c r="AW821"/>
      <c r="FY821" s="210">
        <v>816</v>
      </c>
      <c r="FZ821">
        <v>13.195689678369055</v>
      </c>
      <c r="GA821">
        <v>28.644835408329048</v>
      </c>
      <c r="GB821">
        <v>9.9977652041993288</v>
      </c>
      <c r="GC821">
        <v>1.9556464773305176</v>
      </c>
      <c r="GD821">
        <v>0.51610108877003702</v>
      </c>
      <c r="GE821">
        <v>1.4479128696271943</v>
      </c>
      <c r="GF821">
        <v>6.7223463215502139</v>
      </c>
      <c r="GG821">
        <v>5.7999091946173689</v>
      </c>
      <c r="GH821">
        <v>4.7660314732374811</v>
      </c>
      <c r="GI821">
        <v>7.0436460930842371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31.898660714285711</v>
      </c>
      <c r="AO822">
        <v>9.0643251995938847</v>
      </c>
      <c r="AP822">
        <v>93.925040019975597</v>
      </c>
      <c r="AQ822">
        <v>70.313949021119811</v>
      </c>
      <c r="AR822">
        <v>8.4862879285768198</v>
      </c>
      <c r="AS822">
        <v>130.63822483131671</v>
      </c>
      <c r="AT822" t="e">
        <v>#DIV/0!</v>
      </c>
      <c r="AU822" t="e">
        <v>#DIV/0!</v>
      </c>
      <c r="AV822"/>
      <c r="AW822"/>
      <c r="FY822" s="210">
        <v>817</v>
      </c>
      <c r="FZ822">
        <v>14.492445518194364</v>
      </c>
      <c r="GA822">
        <v>28.328314683325999</v>
      </c>
      <c r="GB822">
        <v>7.8007126288445576</v>
      </c>
      <c r="GC822">
        <v>1.1815884083160784</v>
      </c>
      <c r="GD822">
        <v>0.53500206421321439</v>
      </c>
      <c r="GE822">
        <v>4.0633357836272452</v>
      </c>
      <c r="GF822">
        <v>8.9823089945700083</v>
      </c>
      <c r="GG822">
        <v>3.3355623198822606</v>
      </c>
      <c r="GH822">
        <v>1.913285777777173</v>
      </c>
      <c r="GI822">
        <v>6.6789659745665677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21.935812351760624</v>
      </c>
      <c r="AO823">
        <v>5.5986958481529197</v>
      </c>
      <c r="AP823">
        <v>54.674963859906342</v>
      </c>
      <c r="AQ823">
        <v>38.155987823694637</v>
      </c>
      <c r="AR823">
        <v>5.6164744944356633</v>
      </c>
      <c r="AS823">
        <v>75.803226466095197</v>
      </c>
      <c r="AT823" t="e">
        <v>#DIV/0!</v>
      </c>
      <c r="AU823" t="e">
        <v>#DIV/0!</v>
      </c>
      <c r="AV823"/>
      <c r="AW823"/>
      <c r="FY823" s="210">
        <v>818</v>
      </c>
      <c r="FZ823">
        <v>6.6001848052138286</v>
      </c>
      <c r="GA823">
        <v>23.984024493552734</v>
      </c>
      <c r="GB823">
        <v>11.3881329619156</v>
      </c>
      <c r="GC823">
        <v>1.8324637516371887</v>
      </c>
      <c r="GD823">
        <v>0.80326259431352032</v>
      </c>
      <c r="GE823">
        <v>1.4479128696271943</v>
      </c>
      <c r="GF823">
        <v>7.212376657555895</v>
      </c>
      <c r="GG823">
        <v>4.9345659664372041</v>
      </c>
      <c r="GH823">
        <v>2.3150007506626995</v>
      </c>
      <c r="GI823">
        <v>6.2831855159043064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35.271377827951099</v>
      </c>
      <c r="AO824">
        <v>8.5987885964017607</v>
      </c>
      <c r="AP824">
        <v>88.490070036935066</v>
      </c>
      <c r="AQ824">
        <v>66.818009547729531</v>
      </c>
      <c r="AR824">
        <v>8.3221979570026612</v>
      </c>
      <c r="AS824">
        <v>136.04443637929828</v>
      </c>
      <c r="AT824" t="e">
        <v>#DIV/0!</v>
      </c>
      <c r="AU824" t="e">
        <v>#DIV/0!</v>
      </c>
      <c r="AV824"/>
      <c r="AW824"/>
      <c r="FY824" s="210">
        <v>819</v>
      </c>
      <c r="FZ824">
        <v>21.651411735645286</v>
      </c>
      <c r="GA824">
        <v>47.908726079447696</v>
      </c>
      <c r="GB824">
        <v>14.513392670467233</v>
      </c>
      <c r="GC824">
        <v>2.2010095764798008</v>
      </c>
      <c r="GD824">
        <v>0.96165744655136387</v>
      </c>
      <c r="GE824">
        <v>1.4520245775858855</v>
      </c>
      <c r="GF824">
        <v>3.4068513434764296</v>
      </c>
      <c r="GG824">
        <v>2.6359297468947367</v>
      </c>
      <c r="GH824">
        <v>3.954903221863932</v>
      </c>
      <c r="GI824">
        <v>8.7757785045044656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33.580653621601904</v>
      </c>
      <c r="AO825">
        <v>9.2715712265751726</v>
      </c>
      <c r="AP825">
        <v>94.580428110486324</v>
      </c>
      <c r="AQ825">
        <v>71.456343372570913</v>
      </c>
      <c r="AR825">
        <v>9.1162290597042261</v>
      </c>
      <c r="AS825">
        <v>151.64210391372427</v>
      </c>
      <c r="AT825" t="e">
        <v>#DIV/0!</v>
      </c>
      <c r="AU825" t="e">
        <v>#DIV/0!</v>
      </c>
      <c r="AV825"/>
      <c r="AW825"/>
      <c r="FY825" s="210">
        <v>820</v>
      </c>
      <c r="FZ825">
        <v>29.76539307706615</v>
      </c>
      <c r="GA825">
        <v>48.024079846481875</v>
      </c>
      <c r="GB825">
        <v>9.1367016587708605</v>
      </c>
      <c r="GC825">
        <v>1.5517073695976706</v>
      </c>
      <c r="GD825">
        <v>0.48054269580318454</v>
      </c>
      <c r="GE825">
        <v>1.4499687236065399</v>
      </c>
      <c r="GF825">
        <v>5.6499807130314741</v>
      </c>
      <c r="GG825">
        <v>4.3725596312769808</v>
      </c>
      <c r="GH825">
        <v>2.9508667476852217</v>
      </c>
      <c r="GI825">
        <v>8.6478523319501228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52.118779647874476</v>
      </c>
      <c r="AO826">
        <v>13.678882467425348</v>
      </c>
      <c r="AP826">
        <v>148.1852271858088</v>
      </c>
      <c r="AQ826">
        <v>109.5405419151393</v>
      </c>
      <c r="AR826">
        <v>13.012858531253912</v>
      </c>
      <c r="AS826">
        <v>180.0695128038551</v>
      </c>
      <c r="AT826" t="e">
        <v>#DIV/0!</v>
      </c>
      <c r="AU826" t="e">
        <v>#DIV/0!</v>
      </c>
      <c r="AV826"/>
      <c r="AW826"/>
      <c r="FY826" s="210">
        <v>821</v>
      </c>
      <c r="FZ826">
        <v>23.389776355874108</v>
      </c>
      <c r="GA826">
        <v>48.029205476502966</v>
      </c>
      <c r="GB826">
        <v>12.422452252943298</v>
      </c>
      <c r="GC826">
        <v>1.8242842981171354</v>
      </c>
      <c r="GD826">
        <v>0.72058056510590673</v>
      </c>
      <c r="GE826">
        <v>1.3077114570000252</v>
      </c>
      <c r="GF826">
        <v>5.5959570317266998</v>
      </c>
      <c r="GG826">
        <v>4.9150441351273741</v>
      </c>
      <c r="GH826">
        <v>3.1338273076387462</v>
      </c>
      <c r="GI826">
        <v>8.8169933338461028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33.794229497354493</v>
      </c>
      <c r="AO827">
        <v>8.2929032223903238</v>
      </c>
      <c r="AP827">
        <v>85.452602432496249</v>
      </c>
      <c r="AQ827">
        <v>64.744241275675847</v>
      </c>
      <c r="AR827">
        <v>8.3231574322896531</v>
      </c>
      <c r="AS827">
        <v>107.00310821727892</v>
      </c>
      <c r="AT827" t="e">
        <v>#DIV/0!</v>
      </c>
      <c r="AU827" t="e">
        <v>#DIV/0!</v>
      </c>
      <c r="AV827"/>
      <c r="AW827"/>
      <c r="FY827" s="210">
        <v>822</v>
      </c>
      <c r="FZ827">
        <v>13.710418048530112</v>
      </c>
      <c r="GA827">
        <v>37.312521947445845</v>
      </c>
      <c r="GB827">
        <v>13.774532877292522</v>
      </c>
      <c r="GC827">
        <v>1.5029661780020025</v>
      </c>
      <c r="GD827">
        <v>0.67248984461921513</v>
      </c>
      <c r="GE827">
        <v>2.7556243266272196</v>
      </c>
      <c r="GF827">
        <v>6.823036311879509</v>
      </c>
      <c r="GG827">
        <v>2.3662358475233192</v>
      </c>
      <c r="GH827">
        <v>1.2774197807546503</v>
      </c>
      <c r="GI827">
        <v>7.4917152170833488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29.034406928480205</v>
      </c>
      <c r="AO828">
        <v>10.916566055896695</v>
      </c>
      <c r="AP828">
        <v>110.18459925652098</v>
      </c>
      <c r="AQ828">
        <v>76.41312468430732</v>
      </c>
      <c r="AR828">
        <v>10.037546621699367</v>
      </c>
      <c r="AS828">
        <v>132.92592879707624</v>
      </c>
      <c r="AT828">
        <v>6.5991547199735132</v>
      </c>
      <c r="AU828">
        <v>-2.2024338065030404</v>
      </c>
      <c r="AV828"/>
      <c r="AW828"/>
      <c r="FY828" s="210">
        <v>823</v>
      </c>
      <c r="FZ828">
        <v>4.3089148683682961</v>
      </c>
      <c r="GA828">
        <v>13.253457939536418</v>
      </c>
      <c r="GB828">
        <v>5.4936881205454648</v>
      </c>
      <c r="GC828">
        <v>1.5011519797366235</v>
      </c>
      <c r="GD828">
        <v>0.83521331991774073</v>
      </c>
      <c r="GE828">
        <v>2.0558539793455489E-3</v>
      </c>
      <c r="GF828">
        <v>3.7421680078480408</v>
      </c>
      <c r="GG828">
        <v>4.5677145363126419</v>
      </c>
      <c r="GH828">
        <v>3.4171582770663225</v>
      </c>
      <c r="GI828">
        <v>3.8374201154072396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49.137098613391721</v>
      </c>
      <c r="AO829">
        <v>12.455572368780267</v>
      </c>
      <c r="AP829">
        <v>128.87041440436198</v>
      </c>
      <c r="AQ829">
        <v>96.685430104445402</v>
      </c>
      <c r="AR829">
        <v>11.811007534581506</v>
      </c>
      <c r="AS829">
        <v>169.34584892776058</v>
      </c>
      <c r="AT829">
        <v>8.2524578639710082</v>
      </c>
      <c r="AU829">
        <v>190.46477983981325</v>
      </c>
      <c r="AV829"/>
      <c r="AW829"/>
      <c r="FY829" s="210">
        <v>824</v>
      </c>
      <c r="FZ829">
        <v>32.972100829703031</v>
      </c>
      <c r="GA829">
        <v>51.31961061849703</v>
      </c>
      <c r="GB829">
        <v>11.718246747717181</v>
      </c>
      <c r="GC829">
        <v>3.1987161264444444</v>
      </c>
      <c r="GD829">
        <v>0.88175251596433224</v>
      </c>
      <c r="GE829">
        <v>1.4520245775858855</v>
      </c>
      <c r="GF829">
        <v>5.87280864542792</v>
      </c>
      <c r="GG829">
        <v>4.5677145363126419</v>
      </c>
      <c r="GH829">
        <v>3.3022127030688395</v>
      </c>
      <c r="GI829">
        <v>10.175175636592975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28.113159095055646</v>
      </c>
      <c r="AO830">
        <v>8.9252209729825562</v>
      </c>
      <c r="AP830">
        <v>83.413544672983079</v>
      </c>
      <c r="AQ830">
        <v>60.245123227931487</v>
      </c>
      <c r="AR830">
        <v>8.3597026377193853</v>
      </c>
      <c r="AS830">
        <v>94.028061218340639</v>
      </c>
      <c r="AT830">
        <v>5.568819761999567</v>
      </c>
      <c r="AU830">
        <v>-8.6439203703527099</v>
      </c>
      <c r="AV830"/>
      <c r="AW830"/>
      <c r="FY830" s="210">
        <v>825</v>
      </c>
      <c r="FZ830">
        <v>13.454941868459649</v>
      </c>
      <c r="GA830">
        <v>38.483221200344261</v>
      </c>
      <c r="GB830">
        <v>14.446042074165524</v>
      </c>
      <c r="GC830">
        <v>2.1875217482746545</v>
      </c>
      <c r="GD830">
        <v>0.67650218694888709</v>
      </c>
      <c r="GE830">
        <v>0.28245867923368362</v>
      </c>
      <c r="GF830">
        <v>1.7408494057080759</v>
      </c>
      <c r="GG830">
        <v>2.3528484283490467</v>
      </c>
      <c r="GH830">
        <v>3.8903266653683568</v>
      </c>
      <c r="GI830">
        <v>7.1170900396389349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46.394888592410133</v>
      </c>
      <c r="AO831">
        <v>11.762901636033783</v>
      </c>
      <c r="AP831">
        <v>125.0776830955859</v>
      </c>
      <c r="AQ831">
        <v>95.821662511827</v>
      </c>
      <c r="AR831">
        <v>11.088582685905987</v>
      </c>
      <c r="AS831">
        <v>158.87650438342274</v>
      </c>
      <c r="AT831">
        <v>7.3069848205639651</v>
      </c>
      <c r="AU831">
        <v>140.27628766400699</v>
      </c>
      <c r="AV831"/>
      <c r="AW831"/>
      <c r="FY831" s="210">
        <v>826</v>
      </c>
      <c r="FZ831">
        <v>5.499610176339341</v>
      </c>
      <c r="GA831">
        <v>8.4672610447101739</v>
      </c>
      <c r="GB831">
        <v>4.6629718079720632</v>
      </c>
      <c r="GC831">
        <v>2.5562516633269095</v>
      </c>
      <c r="GD831">
        <v>1.0675603503155051</v>
      </c>
      <c r="GE831">
        <v>6.1675619380366468E-3</v>
      </c>
      <c r="GF831">
        <v>4.3402457064632713</v>
      </c>
      <c r="GG831">
        <v>4.9754619671244393</v>
      </c>
      <c r="GH831">
        <v>2.028231351774656</v>
      </c>
      <c r="GI831">
        <v>3.8685743663356753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29.983812830687828</v>
      </c>
      <c r="AO832">
        <v>10.688974851730974</v>
      </c>
      <c r="AP832">
        <v>111.64647192182602</v>
      </c>
      <c r="AQ832">
        <v>80.089883809114468</v>
      </c>
      <c r="AR832">
        <v>10.284404814142711</v>
      </c>
      <c r="AS832">
        <v>134.28836541874304</v>
      </c>
      <c r="AT832">
        <v>7.070020497024033</v>
      </c>
      <c r="AU832">
        <v>58.490659893190788</v>
      </c>
      <c r="AV832"/>
      <c r="AW832"/>
      <c r="FY832" s="210">
        <v>827</v>
      </c>
      <c r="FZ832">
        <v>21.58206918560111</v>
      </c>
      <c r="GA832">
        <v>26.475240161977421</v>
      </c>
      <c r="GB832">
        <v>4.2714839110383735</v>
      </c>
      <c r="GC832">
        <v>2.8324879596987418</v>
      </c>
      <c r="GD832">
        <v>0.91496658244204998</v>
      </c>
      <c r="GE832">
        <v>2.0558539793455489E-3</v>
      </c>
      <c r="GF832">
        <v>3.1884647804456008</v>
      </c>
      <c r="GG832">
        <v>3.4938289839225445</v>
      </c>
      <c r="GH832">
        <v>2.5380150397367309</v>
      </c>
      <c r="GI832">
        <v>5.8908511641203702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30.945088145411422</v>
      </c>
      <c r="AO833">
        <v>10.278788015117993</v>
      </c>
      <c r="AP833">
        <v>104.93052995328685</v>
      </c>
      <c r="AQ833">
        <v>77.311522153317469</v>
      </c>
      <c r="AR833">
        <v>9.4560437883201747</v>
      </c>
      <c r="AS833">
        <v>137.37329100972647</v>
      </c>
      <c r="AT833">
        <v>6.3239972376213309</v>
      </c>
      <c r="AU833">
        <v>59.508240807320405</v>
      </c>
      <c r="AV833"/>
      <c r="AW833"/>
      <c r="FY833" s="210">
        <v>828</v>
      </c>
      <c r="FZ833">
        <v>13.306682026028318</v>
      </c>
      <c r="GA833">
        <v>32.439270312625105</v>
      </c>
      <c r="GB833">
        <v>10.209486174762233</v>
      </c>
      <c r="GC833">
        <v>1.5101850905485099</v>
      </c>
      <c r="GD833">
        <v>0.91188374516317039</v>
      </c>
      <c r="GE833">
        <v>2.6174787679793958</v>
      </c>
      <c r="GF833">
        <v>10.192554971258069</v>
      </c>
      <c r="GG833">
        <v>7.0963096913167938</v>
      </c>
      <c r="GH833">
        <v>2.7924290151067641</v>
      </c>
      <c r="GI833">
        <v>7.7813024191823725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25.161869412515966</v>
      </c>
      <c r="AO834">
        <v>9.3975313498785251</v>
      </c>
      <c r="AP834">
        <v>96.755919752081041</v>
      </c>
      <c r="AQ834">
        <v>66.801110366820168</v>
      </c>
      <c r="AR834">
        <v>9.1577433896337013</v>
      </c>
      <c r="AS834">
        <v>129.65966146745964</v>
      </c>
      <c r="AT834">
        <v>6.2559189875977497</v>
      </c>
      <c r="AU834">
        <v>-0.60335099062937481</v>
      </c>
      <c r="AV834"/>
      <c r="AW834"/>
      <c r="FY834" s="210">
        <v>829</v>
      </c>
      <c r="FZ834">
        <v>13.073358459179772</v>
      </c>
      <c r="GA834">
        <v>32.550831941212095</v>
      </c>
      <c r="GB834">
        <v>11.984273260484196</v>
      </c>
      <c r="GC834">
        <v>1.9857450080752599</v>
      </c>
      <c r="GD834">
        <v>0.68721451880470263</v>
      </c>
      <c r="GE834">
        <v>1.4499687236065399</v>
      </c>
      <c r="GF834">
        <v>5.0519030144162436</v>
      </c>
      <c r="GG834">
        <v>3.7947951255143462</v>
      </c>
      <c r="GH834">
        <v>2.7209755996902558</v>
      </c>
      <c r="GI834">
        <v>6.9271368034277465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54.371062534209081</v>
      </c>
      <c r="AO835">
        <v>13.108139786583724</v>
      </c>
      <c r="AP835">
        <v>140.64288705541739</v>
      </c>
      <c r="AQ835">
        <v>107.46168490291683</v>
      </c>
      <c r="AR835">
        <v>12.472799063075392</v>
      </c>
      <c r="AS835">
        <v>180.19569951447914</v>
      </c>
      <c r="AT835">
        <v>8.2318716157234935</v>
      </c>
      <c r="AU835">
        <v>29.308034621193578</v>
      </c>
      <c r="AV835"/>
      <c r="AW835"/>
      <c r="FY835" s="210">
        <v>830</v>
      </c>
      <c r="FZ835">
        <v>14.242706064298583</v>
      </c>
      <c r="GA835">
        <v>32.835125421614933</v>
      </c>
      <c r="GB835">
        <v>11.120329260680247</v>
      </c>
      <c r="GC835">
        <v>1.8198813958406905</v>
      </c>
      <c r="GD835">
        <v>0.72171302925726843</v>
      </c>
      <c r="GE835">
        <v>4.1117079586910979E-3</v>
      </c>
      <c r="GF835">
        <v>4.6170973201644916</v>
      </c>
      <c r="GG835">
        <v>5.0476302100320583</v>
      </c>
      <c r="GH835">
        <v>3.430544369378425</v>
      </c>
      <c r="GI835">
        <v>6.8937673464291676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58.121726190476181</v>
      </c>
      <c r="AO836">
        <v>13.006072092415039</v>
      </c>
      <c r="AP836">
        <v>141.37405994228789</v>
      </c>
      <c r="AQ836">
        <v>112.02965279527008</v>
      </c>
      <c r="AR836">
        <v>12.241624706061359</v>
      </c>
      <c r="AS836">
        <v>196.3022074577907</v>
      </c>
      <c r="AT836">
        <v>7.8846962691318865</v>
      </c>
      <c r="AU836">
        <v>63.898088647835266</v>
      </c>
      <c r="AV836"/>
      <c r="AW836"/>
      <c r="FY836" s="210">
        <v>831</v>
      </c>
      <c r="FZ836">
        <v>14.836684319056788</v>
      </c>
      <c r="GA836">
        <v>30.281107318652669</v>
      </c>
      <c r="GB836">
        <v>9.769094284088542</v>
      </c>
      <c r="GC836">
        <v>1.522234303897595</v>
      </c>
      <c r="GD836">
        <v>0.73323446778486578</v>
      </c>
      <c r="GE836">
        <v>3.0360271518815578</v>
      </c>
      <c r="GF836">
        <v>8.601526981623028</v>
      </c>
      <c r="GG836">
        <v>4.0459129005495784</v>
      </c>
      <c r="GH836">
        <v>0.69618267737606665</v>
      </c>
      <c r="GI836">
        <v>7.0020701208555982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44.898213145411425</v>
      </c>
      <c r="AO837">
        <v>13.662558790959434</v>
      </c>
      <c r="AP837">
        <v>148.06059502812542</v>
      </c>
      <c r="AQ837">
        <v>110.15583221388235</v>
      </c>
      <c r="AR837">
        <v>12.803128452981221</v>
      </c>
      <c r="AS837">
        <v>187.14001573980744</v>
      </c>
      <c r="AT837" t="e">
        <v>#DIV/0!</v>
      </c>
      <c r="AU837" t="e">
        <v>#DIV/0!</v>
      </c>
      <c r="AV837"/>
      <c r="AW837"/>
      <c r="FY837" s="210">
        <v>832</v>
      </c>
      <c r="FZ837">
        <v>13.10138093533603</v>
      </c>
      <c r="GA837">
        <v>35.841156831047712</v>
      </c>
      <c r="GB837">
        <v>12.291778318192906</v>
      </c>
      <c r="GC837">
        <v>2.0290528295788897</v>
      </c>
      <c r="GD837">
        <v>1.0546906954016482</v>
      </c>
      <c r="GE837">
        <v>1.5881142822543635</v>
      </c>
      <c r="GF837">
        <v>7.1933938225372609</v>
      </c>
      <c r="GG837">
        <v>4.8484251034301939</v>
      </c>
      <c r="GH837">
        <v>0.80768982191308281</v>
      </c>
      <c r="GI837">
        <v>7.3479299445282695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43.20724092318919</v>
      </c>
      <c r="AO838">
        <v>11.089626812396448</v>
      </c>
      <c r="AP838">
        <v>117.6045400931187</v>
      </c>
      <c r="AQ838">
        <v>87.686960379757735</v>
      </c>
      <c r="AR838">
        <v>10.481906420462961</v>
      </c>
      <c r="AS838">
        <v>160.07010806103955</v>
      </c>
      <c r="AT838" t="e">
        <v>#DIV/0!</v>
      </c>
      <c r="AU838" t="e">
        <v>#DIV/0!</v>
      </c>
      <c r="AV838"/>
      <c r="AW838"/>
      <c r="FY838" s="210">
        <v>833</v>
      </c>
      <c r="FZ838">
        <v>22.725888748869917</v>
      </c>
      <c r="GA838">
        <v>35.147376882900055</v>
      </c>
      <c r="GB838">
        <v>8.5789532950395166</v>
      </c>
      <c r="GC838">
        <v>2.3178878823508033</v>
      </c>
      <c r="GD838">
        <v>0.61719144301848383</v>
      </c>
      <c r="GE838">
        <v>0</v>
      </c>
      <c r="GF838">
        <v>2.3929507856280807</v>
      </c>
      <c r="GG838">
        <v>2.9776433469344745</v>
      </c>
      <c r="GH838">
        <v>1.8017786332401569</v>
      </c>
      <c r="GI838">
        <v>6.7144207880086997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17.954513888888886</v>
      </c>
      <c r="AO839">
        <v>5.6833874306483114</v>
      </c>
      <c r="AP839">
        <v>56.449171931530799</v>
      </c>
      <c r="AQ839">
        <v>40.958943018718131</v>
      </c>
      <c r="AR839">
        <v>5.5860147941740657</v>
      </c>
      <c r="AS839">
        <v>86.981781710075666</v>
      </c>
      <c r="AT839" t="e">
        <v>#DIV/0!</v>
      </c>
      <c r="AU839" t="e">
        <v>#DIV/0!</v>
      </c>
      <c r="AV839"/>
      <c r="AW839"/>
      <c r="FY839" s="210">
        <v>834</v>
      </c>
      <c r="FZ839">
        <v>21.479285947632007</v>
      </c>
      <c r="GA839">
        <v>33.9490038432508</v>
      </c>
      <c r="GB839">
        <v>8.2684414365080503</v>
      </c>
      <c r="GC839">
        <v>2.8246939537585645</v>
      </c>
      <c r="GD839">
        <v>0.93012594487125555</v>
      </c>
      <c r="GE839">
        <v>2.7576801806065649</v>
      </c>
      <c r="GF839">
        <v>11.290312215970964</v>
      </c>
      <c r="GG839">
        <v>7.5218995033003573</v>
      </c>
      <c r="GH839">
        <v>3.0757599845343409</v>
      </c>
      <c r="GI839">
        <v>8.6985081168271403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61.77033730158729</v>
      </c>
      <c r="AO840">
        <v>15.270309372829033</v>
      </c>
      <c r="AP840">
        <v>160.49119969389773</v>
      </c>
      <c r="AQ840">
        <v>125.46036293731427</v>
      </c>
      <c r="AR840">
        <v>14.531850361272959</v>
      </c>
      <c r="AS840">
        <v>214.51069296703545</v>
      </c>
      <c r="AT840">
        <v>9.3990918769173266</v>
      </c>
      <c r="AU840">
        <v>128.24381076795632</v>
      </c>
      <c r="AV840"/>
      <c r="AW840"/>
      <c r="FY840" s="210">
        <v>835</v>
      </c>
      <c r="FZ840">
        <v>4.8783110856647616</v>
      </c>
      <c r="GA840">
        <v>29.744558279381163</v>
      </c>
      <c r="GB840">
        <v>16.439012130116904</v>
      </c>
      <c r="GC840">
        <v>2.5632347227704075</v>
      </c>
      <c r="GD840">
        <v>0.65517422897613087</v>
      </c>
      <c r="GE840">
        <v>0.14020141262716906</v>
      </c>
      <c r="GF840">
        <v>4.0093704114572768</v>
      </c>
      <c r="GG840">
        <v>3.75669716986833</v>
      </c>
      <c r="GH840">
        <v>1.3923653547521333</v>
      </c>
      <c r="GI840">
        <v>6.4564701331568735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34.586176108374381</v>
      </c>
      <c r="AO841">
        <v>10.740085391521873</v>
      </c>
      <c r="AP841">
        <v>116.98317151023465</v>
      </c>
      <c r="AQ841">
        <v>84.631802296491074</v>
      </c>
      <c r="AR841">
        <v>10.41410658809062</v>
      </c>
      <c r="AS841">
        <v>132.11351001421355</v>
      </c>
      <c r="AT841" t="e">
        <v>#DIV/0!</v>
      </c>
      <c r="AU841" t="e">
        <v>#DIV/0!</v>
      </c>
      <c r="AV841"/>
      <c r="AW841"/>
      <c r="FY841" s="210">
        <v>836</v>
      </c>
      <c r="FZ841">
        <v>14.65444791427757</v>
      </c>
      <c r="GA841">
        <v>42.182492971177716</v>
      </c>
      <c r="GB841">
        <v>15.92383153309474</v>
      </c>
      <c r="GC841">
        <v>2.1328847102377431</v>
      </c>
      <c r="GD841">
        <v>0.88348954525409873</v>
      </c>
      <c r="GE841">
        <v>1.4520245775858855</v>
      </c>
      <c r="GF841">
        <v>3.7567094735010591</v>
      </c>
      <c r="GG841">
        <v>3.0112863405829962</v>
      </c>
      <c r="GH841">
        <v>3.4886116924828308</v>
      </c>
      <c r="GI841">
        <v>8.145793565571072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25.882155970625796</v>
      </c>
      <c r="AO842">
        <v>5.73189156322778</v>
      </c>
      <c r="AP842">
        <v>51.499178213056751</v>
      </c>
      <c r="AQ842">
        <v>37.472335996300075</v>
      </c>
      <c r="AR842">
        <v>5.6709757318959984</v>
      </c>
      <c r="AS842">
        <v>80.040076418833593</v>
      </c>
      <c r="AT842" t="e">
        <v>#DIV/0!</v>
      </c>
      <c r="AU842" t="e">
        <v>#DIV/0!</v>
      </c>
      <c r="AV842"/>
      <c r="AW842"/>
      <c r="FY842" s="210">
        <v>837</v>
      </c>
      <c r="FZ842">
        <v>20.990283948193266</v>
      </c>
      <c r="GA842">
        <v>42.618105417031991</v>
      </c>
      <c r="GB842">
        <v>12.60970507203462</v>
      </c>
      <c r="GC842">
        <v>2.3508834650087942</v>
      </c>
      <c r="GD842">
        <v>0.71506584903664172</v>
      </c>
      <c r="GE842">
        <v>0.14225726660651461</v>
      </c>
      <c r="GF842">
        <v>0</v>
      </c>
      <c r="GG842">
        <v>1.6890810581988835</v>
      </c>
      <c r="GH842">
        <v>4.296301514395914</v>
      </c>
      <c r="GI842">
        <v>7.5230308252107783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47.345368089764641</v>
      </c>
      <c r="AO843">
        <v>8.6791161885902426</v>
      </c>
      <c r="AP843">
        <v>86.898466029941275</v>
      </c>
      <c r="AQ843">
        <v>71.189463622962279</v>
      </c>
      <c r="AR843">
        <v>8.3945914318010715</v>
      </c>
      <c r="AS843">
        <v>137.65151699355243</v>
      </c>
      <c r="AT843" t="e">
        <v>#DIV/0!</v>
      </c>
      <c r="AU843" t="e">
        <v>#DIV/0!</v>
      </c>
      <c r="AV843"/>
      <c r="AW843"/>
      <c r="FY843" s="210">
        <v>838</v>
      </c>
      <c r="FZ843">
        <v>2.9187446296963255</v>
      </c>
      <c r="GA843">
        <v>15.222067418932321</v>
      </c>
      <c r="GB843">
        <v>7.2850059441697335</v>
      </c>
      <c r="GC843">
        <v>0.97615327510899608</v>
      </c>
      <c r="GD843">
        <v>0.4313642565634298</v>
      </c>
      <c r="GE843">
        <v>4.0653916376065906</v>
      </c>
      <c r="GF843">
        <v>10.706775983008752</v>
      </c>
      <c r="GG843">
        <v>7.2468049349577974</v>
      </c>
      <c r="GH843">
        <v>6.6224390001215774</v>
      </c>
      <c r="GI843">
        <v>5.8717169861498535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36.653373015873008</v>
      </c>
      <c r="AO844">
        <v>12.088024472700969</v>
      </c>
      <c r="AP844">
        <v>124.93933407674612</v>
      </c>
      <c r="AQ844">
        <v>88.85758221397073</v>
      </c>
      <c r="AR844">
        <v>11.296267540319834</v>
      </c>
      <c r="AS844">
        <v>161.86916246631876</v>
      </c>
      <c r="AT844">
        <v>7.7501520791002632</v>
      </c>
      <c r="AU844">
        <v>52.897512402051753</v>
      </c>
      <c r="AV844"/>
      <c r="AW844"/>
      <c r="FY844" s="210">
        <v>839</v>
      </c>
      <c r="FZ844">
        <v>20.558341788895156</v>
      </c>
      <c r="GA844">
        <v>44.797863001258229</v>
      </c>
      <c r="GB844">
        <v>11.876439793233555</v>
      </c>
      <c r="GC844">
        <v>1.265593313744066</v>
      </c>
      <c r="GD844">
        <v>0.60710814227350707</v>
      </c>
      <c r="GE844">
        <v>1.8705729614880471</v>
      </c>
      <c r="GF844">
        <v>5.9268323267326943</v>
      </c>
      <c r="GG844">
        <v>4.2747107992337625</v>
      </c>
      <c r="GH844">
        <v>1.8017786332401569</v>
      </c>
      <c r="GI844">
        <v>8.0328004106339481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33.414368386243389</v>
      </c>
      <c r="AO845">
        <v>10.509253796461945</v>
      </c>
      <c r="AP845">
        <v>110.62169370805806</v>
      </c>
      <c r="AQ845">
        <v>80.226202454411151</v>
      </c>
      <c r="AR845">
        <v>10.008313977068251</v>
      </c>
      <c r="AS845">
        <v>141.64085102093756</v>
      </c>
      <c r="AT845">
        <v>6.4901230509847778</v>
      </c>
      <c r="AU845">
        <v>32.505655648228299</v>
      </c>
      <c r="AV845"/>
      <c r="AW845"/>
      <c r="FY845" s="210">
        <v>840</v>
      </c>
      <c r="FZ845">
        <v>30.565535688333689</v>
      </c>
      <c r="GA845">
        <v>48.611336191077569</v>
      </c>
      <c r="GB845">
        <v>9.0734903434403567</v>
      </c>
      <c r="GC845">
        <v>2.317095424735685</v>
      </c>
      <c r="GD845">
        <v>0.78462942862720253</v>
      </c>
      <c r="GE845">
        <v>3.9231343710000761</v>
      </c>
      <c r="GF845">
        <v>7.0604057099289728</v>
      </c>
      <c r="GG845">
        <v>1.5150137816818452</v>
      </c>
      <c r="GH845">
        <v>2.6094684551532397</v>
      </c>
      <c r="GI845">
        <v>9.2144245604758535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37.287912219485506</v>
      </c>
      <c r="AO846">
        <v>10.226453824922649</v>
      </c>
      <c r="AP846">
        <v>109.92172178295441</v>
      </c>
      <c r="AQ846">
        <v>80.732906125654551</v>
      </c>
      <c r="AR846">
        <v>10.007181105796969</v>
      </c>
      <c r="AS846">
        <v>146.3890421059711</v>
      </c>
      <c r="AT846" t="e">
        <v>#DIV/0!</v>
      </c>
      <c r="AU846" t="e">
        <v>#DIV/0!</v>
      </c>
      <c r="AV846"/>
      <c r="AW846"/>
      <c r="FY846" s="210">
        <v>841</v>
      </c>
      <c r="FZ846">
        <v>5.413305958143658</v>
      </c>
      <c r="GA846">
        <v>18.331262315540304</v>
      </c>
      <c r="GB846">
        <v>8.0857949661283754</v>
      </c>
      <c r="GC846">
        <v>1.2532762582249721</v>
      </c>
      <c r="GD846">
        <v>0.81668942026595537</v>
      </c>
      <c r="GE846">
        <v>2.8978815932337341</v>
      </c>
      <c r="GF846">
        <v>5.3336468836784974</v>
      </c>
      <c r="GG846">
        <v>2.2774349380945718</v>
      </c>
      <c r="GH846">
        <v>1.7849541114675875</v>
      </c>
      <c r="GI846">
        <v>4.8135822550465237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36.252049124247407</v>
      </c>
      <c r="AO847">
        <v>10.495482261396505</v>
      </c>
      <c r="AP847">
        <v>107.55733153316768</v>
      </c>
      <c r="AQ847">
        <v>80.524074525766295</v>
      </c>
      <c r="AR847">
        <v>9.8789497963079871</v>
      </c>
      <c r="AS847">
        <v>147.96923543744262</v>
      </c>
      <c r="AT847" t="e">
        <v>#DIV/0!</v>
      </c>
      <c r="AU847" t="e">
        <v>#DIV/0!</v>
      </c>
      <c r="AV847"/>
      <c r="AW847"/>
      <c r="FY847" s="210">
        <v>842</v>
      </c>
      <c r="FZ847">
        <v>12.029044839994899</v>
      </c>
      <c r="GA847">
        <v>28.651367824247568</v>
      </c>
      <c r="GB847">
        <v>9.8165081604872313</v>
      </c>
      <c r="GC847">
        <v>2.3648796720324845</v>
      </c>
      <c r="GD847">
        <v>1.1628474523678827</v>
      </c>
      <c r="GE847">
        <v>0.28245867923368362</v>
      </c>
      <c r="GF847">
        <v>4.3148540702691154</v>
      </c>
      <c r="GG847">
        <v>4.3786940434125405</v>
      </c>
      <c r="GH847">
        <v>1.1490881144450649</v>
      </c>
      <c r="GI847">
        <v>6.0561398570465537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39.634076240649513</v>
      </c>
      <c r="AO848">
        <v>11.326373368429151</v>
      </c>
      <c r="AP848">
        <v>118.26739678556282</v>
      </c>
      <c r="AQ848">
        <v>86.103612584220357</v>
      </c>
      <c r="AR848">
        <v>10.599012089894492</v>
      </c>
      <c r="AS848">
        <v>130.4885414272978</v>
      </c>
      <c r="AT848">
        <v>6.7286978217416369</v>
      </c>
      <c r="AU848">
        <v>29.509282575944844</v>
      </c>
      <c r="AV848"/>
      <c r="AW848"/>
      <c r="FY848" s="210">
        <v>843</v>
      </c>
      <c r="FZ848">
        <v>30.522722071320558</v>
      </c>
      <c r="GA848">
        <v>56.116139176861971</v>
      </c>
      <c r="GB848">
        <v>11.219783555206371</v>
      </c>
      <c r="GC848">
        <v>1.1628230466817611</v>
      </c>
      <c r="GD848">
        <v>0.63498074707783747</v>
      </c>
      <c r="GE848">
        <v>1.3118231649587164</v>
      </c>
      <c r="GF848">
        <v>3.7567094735010591</v>
      </c>
      <c r="GG848">
        <v>2.4217714239098092</v>
      </c>
      <c r="GH848">
        <v>1.913285777777173</v>
      </c>
      <c r="GI848">
        <v>8.920114697354192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47.963754333150881</v>
      </c>
      <c r="AO849">
        <v>9.9860757688348123</v>
      </c>
      <c r="AP849">
        <v>106.31258553223964</v>
      </c>
      <c r="AQ849">
        <v>83.274091805990167</v>
      </c>
      <c r="AR849">
        <v>9.6427264543893525</v>
      </c>
      <c r="AS849">
        <v>148.29039042785337</v>
      </c>
      <c r="AT849" t="e">
        <v>#DIV/0!</v>
      </c>
      <c r="AU849" t="e">
        <v>#DIV/0!</v>
      </c>
      <c r="AV849"/>
      <c r="AW849"/>
      <c r="FY849" s="210">
        <v>844</v>
      </c>
      <c r="FZ849">
        <v>5.964808044554597</v>
      </c>
      <c r="GA849">
        <v>28.75107976512972</v>
      </c>
      <c r="GB849">
        <v>14.810804386617004</v>
      </c>
      <c r="GC849">
        <v>1.9273133104769005</v>
      </c>
      <c r="GD849">
        <v>0.67386150944830614</v>
      </c>
      <c r="GE849">
        <v>1.3077114570000252</v>
      </c>
      <c r="GF849">
        <v>7.6866645674594043</v>
      </c>
      <c r="GG849">
        <v>6.29420224886747</v>
      </c>
      <c r="GH849">
        <v>3.5321038510638054</v>
      </c>
      <c r="GI849">
        <v>7.2972506488688031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53.618169015690569</v>
      </c>
      <c r="AO850">
        <v>13.230106428532519</v>
      </c>
      <c r="AP850">
        <v>132.40189735811325</v>
      </c>
      <c r="AQ850">
        <v>100.79571112726005</v>
      </c>
      <c r="AR850">
        <v>12.378299619062524</v>
      </c>
      <c r="AS850">
        <v>162.7447635719119</v>
      </c>
      <c r="AT850">
        <v>8.1331951414611137</v>
      </c>
      <c r="AU850">
        <v>47.952717540657872</v>
      </c>
      <c r="AV850"/>
      <c r="AW850"/>
      <c r="FY850" s="210">
        <v>845</v>
      </c>
      <c r="FZ850">
        <v>23.60355194150247</v>
      </c>
      <c r="GA850">
        <v>51.892409132440982</v>
      </c>
      <c r="GB850">
        <v>13.404413907434709</v>
      </c>
      <c r="GC850">
        <v>0.87978891730730413</v>
      </c>
      <c r="GD850">
        <v>0.38996951729157198</v>
      </c>
      <c r="GE850">
        <v>1.3097673109793708</v>
      </c>
      <c r="GF850">
        <v>5.3191054180254795</v>
      </c>
      <c r="GG850">
        <v>3.9133268256448943</v>
      </c>
      <c r="GH850">
        <v>4.5830709132839571</v>
      </c>
      <c r="GI850">
        <v>9.0886904073153545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23.440294312169311</v>
      </c>
      <c r="AO851">
        <v>9.8619976864355117</v>
      </c>
      <c r="AP851">
        <v>105.05687011370215</v>
      </c>
      <c r="AQ851">
        <v>70.03539492877114</v>
      </c>
      <c r="AR851">
        <v>9.5873653001981811</v>
      </c>
      <c r="AS851">
        <v>120.19266957763452</v>
      </c>
      <c r="AT851" t="e">
        <v>#DIV/0!</v>
      </c>
      <c r="AU851" t="e">
        <v>#DIV/0!</v>
      </c>
      <c r="AV851"/>
      <c r="AW851"/>
      <c r="FY851" s="210">
        <v>846</v>
      </c>
      <c r="FZ851">
        <v>15.867313563975316</v>
      </c>
      <c r="GA851">
        <v>49.078272012429181</v>
      </c>
      <c r="GB851">
        <v>19.908386704320176</v>
      </c>
      <c r="GC851">
        <v>2.2638497139372884</v>
      </c>
      <c r="GD851">
        <v>0.75453289571274751</v>
      </c>
      <c r="GE851">
        <v>2.6195346219587416</v>
      </c>
      <c r="GF851">
        <v>5.7793027484713875</v>
      </c>
      <c r="GG851">
        <v>1.5681786066401984</v>
      </c>
      <c r="GH851">
        <v>4.1736576347959335</v>
      </c>
      <c r="GI851">
        <v>9.8118669104373719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40.974502827951106</v>
      </c>
      <c r="AO852">
        <v>12.374400765436715</v>
      </c>
      <c r="AP852">
        <v>132.64934142062171</v>
      </c>
      <c r="AQ852">
        <v>95.63157232376571</v>
      </c>
      <c r="AR852">
        <v>11.806842895127751</v>
      </c>
      <c r="AS852">
        <v>157.9931110761521</v>
      </c>
      <c r="AT852">
        <v>7.5907846220290374</v>
      </c>
      <c r="AU852">
        <v>25.380886446480492</v>
      </c>
      <c r="AV852"/>
      <c r="AW852"/>
      <c r="FY852" s="210">
        <v>847</v>
      </c>
      <c r="FZ852">
        <v>15.247238996207104</v>
      </c>
      <c r="GA852">
        <v>29.406250095139875</v>
      </c>
      <c r="GB852">
        <v>8.2183054325599194</v>
      </c>
      <c r="GC852">
        <v>1.6252834903334237</v>
      </c>
      <c r="GD852">
        <v>1.0336121027176099</v>
      </c>
      <c r="GE852">
        <v>0.28245867923368362</v>
      </c>
      <c r="GF852">
        <v>4.8589080875795707</v>
      </c>
      <c r="GG852">
        <v>5.3289259780747305</v>
      </c>
      <c r="GH852">
        <v>2.4979613106162235</v>
      </c>
      <c r="GI852">
        <v>6.4535584553022494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47.923245073891628</v>
      </c>
      <c r="AO853">
        <v>11.360608048762534</v>
      </c>
      <c r="AP853">
        <v>123.81022093752389</v>
      </c>
      <c r="AQ853">
        <v>92.934714415717423</v>
      </c>
      <c r="AR853">
        <v>10.97007497736762</v>
      </c>
      <c r="AS853">
        <v>158.13972301431923</v>
      </c>
      <c r="AT853" t="e">
        <v>#DIV/0!</v>
      </c>
      <c r="AU853" t="e">
        <v>#DIV/0!</v>
      </c>
      <c r="AV853"/>
      <c r="AW853"/>
      <c r="FY853" s="210">
        <v>848</v>
      </c>
      <c r="FZ853">
        <v>39.793401234151823</v>
      </c>
      <c r="GA853">
        <v>60.867703584937097</v>
      </c>
      <c r="GB853">
        <v>10.73499445029659</v>
      </c>
      <c r="GC853">
        <v>2.4142510080403961</v>
      </c>
      <c r="GD853">
        <v>0.85665416808684114</v>
      </c>
      <c r="GE853">
        <v>2.0558539793455489E-3</v>
      </c>
      <c r="GF853">
        <v>0.27685161370122002</v>
      </c>
      <c r="GG853">
        <v>0.58221946776012856</v>
      </c>
      <c r="GH853">
        <v>3.0077449985782989</v>
      </c>
      <c r="GI853">
        <v>9.7331144122077191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17.613343253968257</v>
      </c>
      <c r="AO854">
        <v>9.1727692015537912</v>
      </c>
      <c r="AP854">
        <v>90.235763942855783</v>
      </c>
      <c r="AQ854">
        <v>61.34646406631537</v>
      </c>
      <c r="AR854">
        <v>8.4523418142699693</v>
      </c>
      <c r="AS854">
        <v>114.01519129357779</v>
      </c>
      <c r="AT854">
        <v>5.8660044034676444</v>
      </c>
      <c r="AU854">
        <v>13.875383023660874</v>
      </c>
      <c r="AV854"/>
      <c r="AW854"/>
      <c r="FY854" s="210">
        <v>849</v>
      </c>
      <c r="FZ854">
        <v>4.9601599773378133</v>
      </c>
      <c r="GA854">
        <v>20.802090679775432</v>
      </c>
      <c r="GB854">
        <v>9.4014436392311289</v>
      </c>
      <c r="GC854">
        <v>0.90099851519665386</v>
      </c>
      <c r="GD854">
        <v>0.35606549757404216</v>
      </c>
      <c r="GE854">
        <v>1.3097673109793708</v>
      </c>
      <c r="GF854">
        <v>6.3724881915255853</v>
      </c>
      <c r="GG854">
        <v>4.0755056926318991</v>
      </c>
      <c r="GH854">
        <v>2.0851096026677332</v>
      </c>
      <c r="GI854">
        <v>5.0073638936527356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44.016781267104534</v>
      </c>
      <c r="AO855">
        <v>12.496916991429078</v>
      </c>
      <c r="AP855">
        <v>136.17802758772612</v>
      </c>
      <c r="AQ855">
        <v>101.01204117073313</v>
      </c>
      <c r="AR855">
        <v>11.639952601142667</v>
      </c>
      <c r="AS855">
        <v>139.58511288385006</v>
      </c>
      <c r="AT855">
        <v>7.4062102246742958</v>
      </c>
      <c r="AU855">
        <v>97.611348232789553</v>
      </c>
      <c r="AV855"/>
      <c r="AW855"/>
      <c r="FY855" s="210">
        <v>850</v>
      </c>
      <c r="FZ855">
        <v>23.72608148956407</v>
      </c>
      <c r="GA855">
        <v>49.673068424311104</v>
      </c>
      <c r="GB855">
        <v>15.121541252677741</v>
      </c>
      <c r="GC855">
        <v>2.3542341915316038</v>
      </c>
      <c r="GD855">
        <v>1.0816337153711928</v>
      </c>
      <c r="GE855">
        <v>1.5881142822543635</v>
      </c>
      <c r="GF855">
        <v>5.0962774856290345</v>
      </c>
      <c r="GG855">
        <v>4.3076868372824197</v>
      </c>
      <c r="GH855">
        <v>4.6510858992399982</v>
      </c>
      <c r="GI855">
        <v>9.8940977340123535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59.271973066046328</v>
      </c>
      <c r="AO856">
        <v>14.061115293636792</v>
      </c>
      <c r="AP856">
        <v>146.21751591945858</v>
      </c>
      <c r="AQ856">
        <v>115.67453395445447</v>
      </c>
      <c r="AR856">
        <v>12.924010409204829</v>
      </c>
      <c r="AS856">
        <v>193.03446799386649</v>
      </c>
      <c r="AT856" t="e">
        <v>#DIV/0!</v>
      </c>
      <c r="AU856" t="e">
        <v>#DIV/0!</v>
      </c>
      <c r="AV856"/>
      <c r="AW856"/>
      <c r="FY856" s="210">
        <v>851</v>
      </c>
      <c r="FZ856">
        <v>4.4605855400830219</v>
      </c>
      <c r="GA856">
        <v>24.997877207312349</v>
      </c>
      <c r="GB856">
        <v>11.851104053900025</v>
      </c>
      <c r="GC856">
        <v>1.4230082565379858</v>
      </c>
      <c r="GD856">
        <v>0.63939135275245018</v>
      </c>
      <c r="GE856">
        <v>2.0558539793455489E-3</v>
      </c>
      <c r="GF856">
        <v>5.4126113149820103</v>
      </c>
      <c r="GG856">
        <v>5.0537646221676171</v>
      </c>
      <c r="GH856">
        <v>0.5812371033785837</v>
      </c>
      <c r="GI856">
        <v>5.4059141518358782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16.554861111111112</v>
      </c>
      <c r="AO857">
        <v>7.4267630060775982</v>
      </c>
      <c r="AP857">
        <v>73.276367679605684</v>
      </c>
      <c r="AQ857">
        <v>51.007828699824174</v>
      </c>
      <c r="AR857">
        <v>6.9286306253735397</v>
      </c>
      <c r="AS857">
        <v>97.657716979507569</v>
      </c>
      <c r="AT857" t="e">
        <v>#DIV/0!</v>
      </c>
      <c r="AU857" t="e">
        <v>#DIV/0!</v>
      </c>
      <c r="AV857"/>
      <c r="AW857"/>
      <c r="FY857" s="210">
        <v>852</v>
      </c>
      <c r="FZ857">
        <v>14.058736705586425</v>
      </c>
      <c r="GA857">
        <v>41.286240379439278</v>
      </c>
      <c r="GB857">
        <v>15.335151829863209</v>
      </c>
      <c r="GC857">
        <v>1.5620983307997682</v>
      </c>
      <c r="GD857">
        <v>0.72469925391127021</v>
      </c>
      <c r="GE857">
        <v>0.28040282525433813</v>
      </c>
      <c r="GF857">
        <v>5.6798137185912472</v>
      </c>
      <c r="GG857">
        <v>6.2718624638238625</v>
      </c>
      <c r="GH857">
        <v>5.2792535906600238</v>
      </c>
      <c r="GI857">
        <v>8.5138381460820476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34.610465129538412</v>
      </c>
      <c r="AO858">
        <v>9.1806295830748024</v>
      </c>
      <c r="AP858">
        <v>93.622538150971081</v>
      </c>
      <c r="AQ858">
        <v>70.205882713537036</v>
      </c>
      <c r="AR858">
        <v>8.738260115134743</v>
      </c>
      <c r="AS858">
        <v>114.16005724742426</v>
      </c>
      <c r="AT858" t="e">
        <v>#DIV/0!</v>
      </c>
      <c r="AU858" t="e">
        <v>#DIV/0!</v>
      </c>
      <c r="AV858"/>
      <c r="AW858"/>
      <c r="FY858" s="210">
        <v>853</v>
      </c>
      <c r="FZ858">
        <v>13.338088343064413</v>
      </c>
      <c r="GA858">
        <v>39.76546472278882</v>
      </c>
      <c r="GB858">
        <v>16.92828895785059</v>
      </c>
      <c r="GC858">
        <v>2.5765760235424882</v>
      </c>
      <c r="GD858">
        <v>0.46239303904103535</v>
      </c>
      <c r="GE858">
        <v>1.3077114570000252</v>
      </c>
      <c r="GF858">
        <v>2.1306406375798788</v>
      </c>
      <c r="GG858">
        <v>0.17001707495083659</v>
      </c>
      <c r="GH858">
        <v>2.2000551766652161</v>
      </c>
      <c r="GI858">
        <v>7.41499299450828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58.523824917898196</v>
      </c>
      <c r="AO859">
        <v>13.693780774730735</v>
      </c>
      <c r="AP859">
        <v>152.81053753276416</v>
      </c>
      <c r="AQ859">
        <v>117.98015313464946</v>
      </c>
      <c r="AR859">
        <v>12.8028661545695</v>
      </c>
      <c r="AS859">
        <v>169.13670012045915</v>
      </c>
      <c r="AT859">
        <v>8.0185164139157212</v>
      </c>
      <c r="AU859">
        <v>106.70454287688435</v>
      </c>
      <c r="AV859"/>
      <c r="AW859"/>
      <c r="FY859" s="210">
        <v>854</v>
      </c>
      <c r="FZ859">
        <v>20.889772159587636</v>
      </c>
      <c r="GA859">
        <v>39.331131162937744</v>
      </c>
      <c r="GB859">
        <v>9.7888870229604024</v>
      </c>
      <c r="GC859">
        <v>2.2037099400836682</v>
      </c>
      <c r="GD859">
        <v>0.70644681616444216</v>
      </c>
      <c r="GE859">
        <v>2.6154229140000504</v>
      </c>
      <c r="GF859">
        <v>11.459116467062636</v>
      </c>
      <c r="GG859">
        <v>6.9104920038892006</v>
      </c>
      <c r="GH859">
        <v>2.3150007506626995</v>
      </c>
      <c r="GI859">
        <v>8.777093116183341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22.949785052910052</v>
      </c>
      <c r="AO860">
        <v>11.002612882643097</v>
      </c>
      <c r="AP860">
        <v>115.64102196860321</v>
      </c>
      <c r="AQ860">
        <v>78.245799789486028</v>
      </c>
      <c r="AR860">
        <v>10.692967381163303</v>
      </c>
      <c r="AS860">
        <v>111.74131428666088</v>
      </c>
      <c r="AT860" t="e">
        <v>#DIV/0!</v>
      </c>
      <c r="AU860" t="e">
        <v>#DIV/0!</v>
      </c>
      <c r="AV860"/>
      <c r="AW860"/>
      <c r="FY860" s="210">
        <v>855</v>
      </c>
      <c r="FZ860">
        <v>12.567974272070687</v>
      </c>
      <c r="GA860">
        <v>25.694368734119273</v>
      </c>
      <c r="GB860">
        <v>7.7183053954482554</v>
      </c>
      <c r="GC860">
        <v>1.7483887695562106</v>
      </c>
      <c r="GD860">
        <v>0.81204183312484846</v>
      </c>
      <c r="GE860">
        <v>2.7556243266272196</v>
      </c>
      <c r="GF860">
        <v>8.5221116641240968</v>
      </c>
      <c r="GG860">
        <v>4.7511614723120967</v>
      </c>
      <c r="GH860">
        <v>2.3830157366187406</v>
      </c>
      <c r="GI860">
        <v>6.5028832424328407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42.514980158730154</v>
      </c>
      <c r="AO861">
        <v>13.764406161785761</v>
      </c>
      <c r="AP861">
        <v>154.98682307395353</v>
      </c>
      <c r="AQ861">
        <v>114.38409429122611</v>
      </c>
      <c r="AR861">
        <v>13.192926487605323</v>
      </c>
      <c r="AS861">
        <v>174.70628007514827</v>
      </c>
      <c r="AT861">
        <v>8.4605461848699512</v>
      </c>
      <c r="AU861">
        <v>70.436884145554458</v>
      </c>
      <c r="AV861"/>
      <c r="AW861"/>
      <c r="FY861" s="210">
        <v>856</v>
      </c>
      <c r="FZ861">
        <v>13.756230895903141</v>
      </c>
      <c r="GA861">
        <v>32.048153624750661</v>
      </c>
      <c r="GB861">
        <v>10.162971464388523</v>
      </c>
      <c r="GC861">
        <v>1.2975249062782144</v>
      </c>
      <c r="GD861">
        <v>0.76392641875633949</v>
      </c>
      <c r="GE861">
        <v>2.8958257392543887</v>
      </c>
      <c r="GF861">
        <v>6.3773804470866189</v>
      </c>
      <c r="GG861">
        <v>3.0754921789776928</v>
      </c>
      <c r="GH861">
        <v>1.5585013929330884</v>
      </c>
      <c r="GI861">
        <v>6.7051109485614759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41.564732142857146</v>
      </c>
      <c r="AO862">
        <v>14.508336910151041</v>
      </c>
      <c r="AP862">
        <v>156.89966744376051</v>
      </c>
      <c r="AQ862">
        <v>111.82489541267834</v>
      </c>
      <c r="AR862">
        <v>14.112383217899009</v>
      </c>
      <c r="AS862">
        <v>200.35803856858735</v>
      </c>
      <c r="AT862">
        <v>9.2017763433986328</v>
      </c>
      <c r="AU862">
        <v>20.762848470245007</v>
      </c>
      <c r="AV862"/>
      <c r="AW862"/>
      <c r="FY862" s="210">
        <v>857</v>
      </c>
      <c r="FZ862">
        <v>5.3081447238164117</v>
      </c>
      <c r="GA862">
        <v>10.035274615596675</v>
      </c>
      <c r="GB862">
        <v>5.9061669390190801</v>
      </c>
      <c r="GC862">
        <v>2.2001634265316081</v>
      </c>
      <c r="GD862">
        <v>0.82183613562441082</v>
      </c>
      <c r="GE862">
        <v>0.14020141262716906</v>
      </c>
      <c r="GF862">
        <v>1.9029204496223997</v>
      </c>
      <c r="GG862">
        <v>1.9044247501442415</v>
      </c>
      <c r="GH862">
        <v>4.1736576347959335</v>
      </c>
      <c r="GI862">
        <v>3.8103729603603038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33.054993386243382</v>
      </c>
      <c r="AO863">
        <v>9.6990938080169844</v>
      </c>
      <c r="AP863">
        <v>101.79418092624005</v>
      </c>
      <c r="AQ863">
        <v>74.952502627764389</v>
      </c>
      <c r="AR863">
        <v>9.47846714558065</v>
      </c>
      <c r="AS863">
        <v>113.34357885985692</v>
      </c>
      <c r="AT863" t="e">
        <v>#DIV/0!</v>
      </c>
      <c r="AU863" t="e">
        <v>#DIV/0!</v>
      </c>
      <c r="AV863"/>
      <c r="AW863"/>
      <c r="FY863" s="210">
        <v>858</v>
      </c>
      <c r="FZ863">
        <v>6.2629827063299306</v>
      </c>
      <c r="GA863">
        <v>25.424913280056909</v>
      </c>
      <c r="GB863">
        <v>12.941312825069332</v>
      </c>
      <c r="GC863">
        <v>2.1047811502304952</v>
      </c>
      <c r="GD863">
        <v>0.93167190105098663</v>
      </c>
      <c r="GE863">
        <v>1.5901701362337088</v>
      </c>
      <c r="GF863">
        <v>7.43520458995234</v>
      </c>
      <c r="GG863">
        <v>6.6487848547209136</v>
      </c>
      <c r="GH863">
        <v>4.411247088393397</v>
      </c>
      <c r="GI863">
        <v>7.1142062658295364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67.827181399379668</v>
      </c>
      <c r="AO864">
        <v>14.37729750827234</v>
      </c>
      <c r="AP864">
        <v>158.86365634665052</v>
      </c>
      <c r="AQ864">
        <v>128.26899079173944</v>
      </c>
      <c r="AR864">
        <v>13.901371373849413</v>
      </c>
      <c r="AS864">
        <v>200.51378926349193</v>
      </c>
      <c r="AT864" t="e">
        <v>#DIV/0!</v>
      </c>
      <c r="AU864" t="e">
        <v>#DIV/0!</v>
      </c>
      <c r="AV864"/>
      <c r="AW864"/>
      <c r="FY864" s="210">
        <v>859</v>
      </c>
      <c r="FZ864">
        <v>3.5390471357479774</v>
      </c>
      <c r="GA864">
        <v>13.938815348147791</v>
      </c>
      <c r="GB864">
        <v>7.8009381290271191</v>
      </c>
      <c r="GC864">
        <v>1.6824675448980313</v>
      </c>
      <c r="GD864">
        <v>0.74818294615302072</v>
      </c>
      <c r="GE864">
        <v>2.6174787679793958</v>
      </c>
      <c r="GF864">
        <v>6.1545525146901729</v>
      </c>
      <c r="GG864">
        <v>3.299835115664381</v>
      </c>
      <c r="GH864">
        <v>2.2111919117281804</v>
      </c>
      <c r="GI864">
        <v>4.6527381811784334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19.029132457580737</v>
      </c>
      <c r="AO865">
        <v>7.481670354129653</v>
      </c>
      <c r="AP865">
        <v>79.888417737175658</v>
      </c>
      <c r="AQ865">
        <v>55.270993000572396</v>
      </c>
      <c r="AR865">
        <v>7.2343823505370946</v>
      </c>
      <c r="AS865">
        <v>92.26740418529009</v>
      </c>
      <c r="AT865">
        <v>4.7509856252297364</v>
      </c>
      <c r="AU865">
        <v>-8.1732025463463422</v>
      </c>
      <c r="AV865"/>
      <c r="AW865"/>
      <c r="FY865" s="210">
        <v>860</v>
      </c>
      <c r="FZ865">
        <v>4.9983438670870211</v>
      </c>
      <c r="GA865">
        <v>20.199343396130367</v>
      </c>
      <c r="GB865">
        <v>10.445224088913886</v>
      </c>
      <c r="GC865">
        <v>1.4079736780316279</v>
      </c>
      <c r="GD865">
        <v>0.41951015126644348</v>
      </c>
      <c r="GE865">
        <v>2.7556243266272196</v>
      </c>
      <c r="GF865">
        <v>9.12018936273933</v>
      </c>
      <c r="GG865">
        <v>5.3289259780747305</v>
      </c>
      <c r="GH865">
        <v>2.3830157366187406</v>
      </c>
      <c r="GI865">
        <v>5.9217468645522588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55.357784277504109</v>
      </c>
      <c r="AO866">
        <v>14.799042329399203</v>
      </c>
      <c r="AP866">
        <v>158.03401426335037</v>
      </c>
      <c r="AQ866">
        <v>117.49382131187389</v>
      </c>
      <c r="AR866">
        <v>14.29716345480324</v>
      </c>
      <c r="AS866">
        <v>217.56435193928567</v>
      </c>
      <c r="AT866">
        <v>9.3387644410029171</v>
      </c>
      <c r="AU866">
        <v>44.873030315973011</v>
      </c>
      <c r="AV866"/>
      <c r="AW866"/>
      <c r="FY866" s="210">
        <v>861</v>
      </c>
      <c r="FZ866">
        <v>23.095928701766958</v>
      </c>
      <c r="GA866">
        <v>43.082470348617406</v>
      </c>
      <c r="GB866">
        <v>11.133467983006192</v>
      </c>
      <c r="GC866">
        <v>1.9385440646001453</v>
      </c>
      <c r="GD866">
        <v>0.77308547644446679</v>
      </c>
      <c r="GE866">
        <v>2.7556243266272196</v>
      </c>
      <c r="GF866">
        <v>7.5037697369101322</v>
      </c>
      <c r="GG866">
        <v>3.7903401635168521</v>
      </c>
      <c r="GH866">
        <v>2.4979613106162235</v>
      </c>
      <c r="GI866">
        <v>8.729100392988757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17.613227513227514</v>
      </c>
      <c r="AO867">
        <v>8.4303507634821209</v>
      </c>
      <c r="AP867">
        <v>90.947748275247037</v>
      </c>
      <c r="AQ867">
        <v>59.827549456929262</v>
      </c>
      <c r="AR867">
        <v>8.1252485739923586</v>
      </c>
      <c r="AS867">
        <v>115.84570734615264</v>
      </c>
      <c r="AT867" t="e">
        <v>#DIV/0!</v>
      </c>
      <c r="AU867" t="e">
        <v>#DIV/0!</v>
      </c>
      <c r="AV867"/>
      <c r="AW867"/>
      <c r="FY867" s="210">
        <v>862</v>
      </c>
      <c r="FZ867">
        <v>4.5701640792700244</v>
      </c>
      <c r="GA867">
        <v>15.17110856068609</v>
      </c>
      <c r="GB867">
        <v>8.0455332938362787</v>
      </c>
      <c r="GC867">
        <v>2.1112863586108364</v>
      </c>
      <c r="GD867">
        <v>0.63878697511192195</v>
      </c>
      <c r="GE867">
        <v>4.067447491585936</v>
      </c>
      <c r="GF867">
        <v>12.546023541234394</v>
      </c>
      <c r="GG867">
        <v>6.8719667546301046</v>
      </c>
      <c r="GH867">
        <v>2.9508667476852217</v>
      </c>
      <c r="GI867">
        <v>6.2001910044293833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38.209077380952387</v>
      </c>
      <c r="AO868">
        <v>12.650481041550986</v>
      </c>
      <c r="AP868">
        <v>139.03289159133462</v>
      </c>
      <c r="AQ868">
        <v>98.992097244011475</v>
      </c>
      <c r="AR868">
        <v>12.475491886585166</v>
      </c>
      <c r="AS868">
        <v>173.36710102893167</v>
      </c>
      <c r="AT868" t="e">
        <v>#DIV/0!</v>
      </c>
      <c r="AU868" t="e">
        <v>#DIV/0!</v>
      </c>
      <c r="AV868"/>
      <c r="AW868"/>
      <c r="FY868" s="210">
        <v>863</v>
      </c>
      <c r="FZ868">
        <v>29.876947273586566</v>
      </c>
      <c r="GA868">
        <v>45.745646637279698</v>
      </c>
      <c r="GB868">
        <v>7.2093654768302775</v>
      </c>
      <c r="GC868">
        <v>1.7844035353632313</v>
      </c>
      <c r="GD868">
        <v>0.90945261952689582</v>
      </c>
      <c r="GE868">
        <v>0.28245867923368362</v>
      </c>
      <c r="GF868">
        <v>4.9833378674584505</v>
      </c>
      <c r="GG868">
        <v>4.9641587585195257</v>
      </c>
      <c r="GH868">
        <v>0.45290543706899811</v>
      </c>
      <c r="GI868">
        <v>7.9124144922306163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35.384275793650794</v>
      </c>
      <c r="AO869">
        <v>11.115092736237727</v>
      </c>
      <c r="AP869">
        <v>120.25314244889267</v>
      </c>
      <c r="AQ869">
        <v>86.29422842699158</v>
      </c>
      <c r="AR869">
        <v>10.687821730698854</v>
      </c>
      <c r="AS869">
        <v>156.79266115281993</v>
      </c>
      <c r="AT869" t="e">
        <v>#DIV/0!</v>
      </c>
      <c r="AU869" t="e">
        <v>#DIV/0!</v>
      </c>
      <c r="AV869"/>
      <c r="AW869"/>
      <c r="FY869" s="210">
        <v>864</v>
      </c>
      <c r="FZ869">
        <v>30.36726930966703</v>
      </c>
      <c r="GA869">
        <v>61.776399936058787</v>
      </c>
      <c r="GB869">
        <v>15.722601602308906</v>
      </c>
      <c r="GC869">
        <v>2.1155685001839641</v>
      </c>
      <c r="GD869">
        <v>0.88795886766839915</v>
      </c>
      <c r="GE869">
        <v>1.730371548860878</v>
      </c>
      <c r="GF869">
        <v>6.1686430941477743</v>
      </c>
      <c r="GG869">
        <v>4.8960407171781082</v>
      </c>
      <c r="GH869">
        <v>4.6945780578209728</v>
      </c>
      <c r="GI869">
        <v>11.054478013159239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46.31845238095238</v>
      </c>
      <c r="AO870">
        <v>13.434455774735326</v>
      </c>
      <c r="AP870">
        <v>139.2333101643473</v>
      </c>
      <c r="AQ870">
        <v>104.99707235353183</v>
      </c>
      <c r="AR870">
        <v>12.496498950977937</v>
      </c>
      <c r="AS870">
        <v>194.96447209357729</v>
      </c>
      <c r="AT870" t="e">
        <v>#DIV/0!</v>
      </c>
      <c r="AU870" t="e">
        <v>#DIV/0!</v>
      </c>
      <c r="AV870"/>
      <c r="AW870"/>
      <c r="FY870" s="210">
        <v>865</v>
      </c>
      <c r="FZ870">
        <v>2.8257883200420624</v>
      </c>
      <c r="GA870">
        <v>31.025845742190139</v>
      </c>
      <c r="GB870">
        <v>14.950180824833145</v>
      </c>
      <c r="GC870">
        <v>1.5823427343469678</v>
      </c>
      <c r="GD870">
        <v>0.79401432210734146</v>
      </c>
      <c r="GE870">
        <v>0.14431312058586016</v>
      </c>
      <c r="GF870">
        <v>4.0380024565678951</v>
      </c>
      <c r="GG870">
        <v>4.5560065672764356</v>
      </c>
      <c r="GH870">
        <v>3.1941439879922906</v>
      </c>
      <c r="GI870">
        <v>6.1318408646539231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32.964037698412696</v>
      </c>
      <c r="AO871">
        <v>9.9443424224104042</v>
      </c>
      <c r="AP871">
        <v>99.853211258220824</v>
      </c>
      <c r="AQ871">
        <v>73.455875446434277</v>
      </c>
      <c r="AR871">
        <v>9.2920301713616329</v>
      </c>
      <c r="AS871">
        <v>150.97084524126689</v>
      </c>
      <c r="AT871">
        <v>6.318852172200228</v>
      </c>
      <c r="AU871">
        <v>52.912124815900654</v>
      </c>
      <c r="AV871"/>
      <c r="AW871"/>
      <c r="FY871" s="210">
        <v>866</v>
      </c>
      <c r="FZ871">
        <v>5.4257424560730136</v>
      </c>
      <c r="GA871">
        <v>14.885801797693736</v>
      </c>
      <c r="GB871">
        <v>6.8525631022095226</v>
      </c>
      <c r="GC871">
        <v>1.0684056135256703</v>
      </c>
      <c r="GD871">
        <v>0.60708975790311548</v>
      </c>
      <c r="GE871">
        <v>4.1117079586910979E-3</v>
      </c>
      <c r="GF871">
        <v>6.0557034759771913</v>
      </c>
      <c r="GG871">
        <v>5.8019934051867263</v>
      </c>
      <c r="GH871">
        <v>0.22645271853449905</v>
      </c>
      <c r="GI871">
        <v>4.2519547632118053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35.958067642765918</v>
      </c>
      <c r="AO872">
        <v>10.293776608673182</v>
      </c>
      <c r="AP872">
        <v>107.18293083061312</v>
      </c>
      <c r="AQ872">
        <v>78.641118016890147</v>
      </c>
      <c r="AR872">
        <v>9.5739242940429428</v>
      </c>
      <c r="AS872">
        <v>129.78342893553523</v>
      </c>
      <c r="AT872" t="e">
        <v>#DIV/0!</v>
      </c>
      <c r="AU872" t="e">
        <v>#DIV/0!</v>
      </c>
      <c r="AV872"/>
      <c r="AW872"/>
      <c r="FY872" s="210">
        <v>867</v>
      </c>
      <c r="FZ872">
        <v>6.4549127206181041</v>
      </c>
      <c r="GA872">
        <v>26.076027346458986</v>
      </c>
      <c r="GB872">
        <v>12.240030134130304</v>
      </c>
      <c r="GC872">
        <v>1.1762148107736872</v>
      </c>
      <c r="GD872">
        <v>0.5328602865286538</v>
      </c>
      <c r="GE872">
        <v>0.14225726660651461</v>
      </c>
      <c r="GF872">
        <v>1.2221870245917763</v>
      </c>
      <c r="GG872">
        <v>1.0698353508238958</v>
      </c>
      <c r="GH872">
        <v>0</v>
      </c>
      <c r="GI872">
        <v>4.6242452971535117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22.327346743295017</v>
      </c>
      <c r="AO873">
        <v>5.1220721734419659</v>
      </c>
      <c r="AP873">
        <v>48.571045078240935</v>
      </c>
      <c r="AQ873">
        <v>36.203163048138236</v>
      </c>
      <c r="AR873">
        <v>5.4848948521939995</v>
      </c>
      <c r="AS873">
        <v>86.046535237251859</v>
      </c>
      <c r="AT873" t="e">
        <v>#DIV/0!</v>
      </c>
      <c r="AU873" t="e">
        <v>#DIV/0!</v>
      </c>
      <c r="AV873"/>
      <c r="AW873"/>
      <c r="FY873" s="210">
        <v>868</v>
      </c>
      <c r="FZ873">
        <v>11.934215330036132</v>
      </c>
      <c r="GA873">
        <v>35.228584009838826</v>
      </c>
      <c r="GB873">
        <v>12.135080222254084</v>
      </c>
      <c r="GC873">
        <v>1.4148160240497512</v>
      </c>
      <c r="GD873">
        <v>0.58036364726233503</v>
      </c>
      <c r="GE873">
        <v>2.7556243266272196</v>
      </c>
      <c r="GF873">
        <v>4.5381328888609778</v>
      </c>
      <c r="GG873">
        <v>1.0017173094824789</v>
      </c>
      <c r="GH873">
        <v>3.7753810913708743</v>
      </c>
      <c r="GI873">
        <v>6.806326117184863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26.146708515781789</v>
      </c>
      <c r="AO874">
        <v>10.769711115939844</v>
      </c>
      <c r="AP874">
        <v>110.14705473862705</v>
      </c>
      <c r="AQ874">
        <v>74.865274797867556</v>
      </c>
      <c r="AR874">
        <v>10.472641787871982</v>
      </c>
      <c r="AS874">
        <v>129.67977991879482</v>
      </c>
      <c r="AT874">
        <v>7.1492603405080066</v>
      </c>
      <c r="AU874">
        <v>5.0862293810460688</v>
      </c>
      <c r="AV874"/>
      <c r="AW874"/>
      <c r="FY874" s="210">
        <v>869</v>
      </c>
      <c r="FZ874">
        <v>13.825546002550929</v>
      </c>
      <c r="GA874">
        <v>34.415500446834571</v>
      </c>
      <c r="GB874">
        <v>13.469833959649533</v>
      </c>
      <c r="GC874">
        <v>2.5053965410773045</v>
      </c>
      <c r="GD874">
        <v>0.68342210117346558</v>
      </c>
      <c r="GE874">
        <v>1.4499687236065399</v>
      </c>
      <c r="GF874">
        <v>6.9895487251594499</v>
      </c>
      <c r="GG874">
        <v>4.5693939864507067</v>
      </c>
      <c r="GH874">
        <v>0.69618267737606665</v>
      </c>
      <c r="GI874">
        <v>7.5144106642592385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18.097503306878309</v>
      </c>
      <c r="AO875">
        <v>7.168245037546745</v>
      </c>
      <c r="AP875">
        <v>68.45439988796295</v>
      </c>
      <c r="AQ875">
        <v>46.645247595214499</v>
      </c>
      <c r="AR875">
        <v>6.7078310034086197</v>
      </c>
      <c r="AS875">
        <v>87.71152331246131</v>
      </c>
      <c r="AT875" t="e">
        <v>#DIV/0!</v>
      </c>
      <c r="AU875" t="e">
        <v>#DIV/0!</v>
      </c>
      <c r="AV875"/>
      <c r="AW875"/>
      <c r="FY875" s="210">
        <v>870</v>
      </c>
      <c r="FZ875">
        <v>3.7761130132397644</v>
      </c>
      <c r="GA875">
        <v>13.056544577977551</v>
      </c>
      <c r="GB875">
        <v>7.6610078399080974</v>
      </c>
      <c r="GC875">
        <v>1.882868748076278</v>
      </c>
      <c r="GD875">
        <v>0.57602212973458777</v>
      </c>
      <c r="GE875">
        <v>2.7576801806065649</v>
      </c>
      <c r="GF875">
        <v>7.6725739880018029</v>
      </c>
      <c r="GG875">
        <v>3.348949739056533</v>
      </c>
      <c r="GH875">
        <v>0.22645271853449905</v>
      </c>
      <c r="GI875">
        <v>4.5048251180732457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22.116499042145595</v>
      </c>
      <c r="AO876">
        <v>8.9343664528329843</v>
      </c>
      <c r="AP876">
        <v>90.610068650949259</v>
      </c>
      <c r="AQ876">
        <v>62.979897450041634</v>
      </c>
      <c r="AR876">
        <v>8.4378628650046199</v>
      </c>
      <c r="AS876">
        <v>101.52776755419202</v>
      </c>
      <c r="AT876">
        <v>5.9798508162671675</v>
      </c>
      <c r="AU876">
        <v>11.142782666170906</v>
      </c>
      <c r="AV876"/>
      <c r="AW876"/>
      <c r="FY876" s="210">
        <v>871</v>
      </c>
      <c r="FZ876">
        <v>4.7760092903186786</v>
      </c>
      <c r="GA876">
        <v>23.087078842074252</v>
      </c>
      <c r="GB876">
        <v>14.649640782882088</v>
      </c>
      <c r="GC876">
        <v>3.2938502440658501</v>
      </c>
      <c r="GD876">
        <v>0.62951042527362056</v>
      </c>
      <c r="GE876">
        <v>6.1675619380366468E-3</v>
      </c>
      <c r="GF876">
        <v>2.1447312170374793</v>
      </c>
      <c r="GG876">
        <v>4.464316493058984</v>
      </c>
      <c r="GH876">
        <v>4.1244776895053539</v>
      </c>
      <c r="GI876">
        <v>5.9822506082471314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50.430485997080822</v>
      </c>
      <c r="AO877">
        <v>13.23941803598915</v>
      </c>
      <c r="AP877">
        <v>139.51739982450849</v>
      </c>
      <c r="AQ877">
        <v>105.30029250509436</v>
      </c>
      <c r="AR877">
        <v>12.465534473616991</v>
      </c>
      <c r="AS877">
        <v>206.13109784095781</v>
      </c>
      <c r="AT877">
        <v>8.1361435188464188</v>
      </c>
      <c r="AU877">
        <v>74.748713314426283</v>
      </c>
      <c r="AV877"/>
      <c r="AW877"/>
      <c r="FY877" s="210">
        <v>872</v>
      </c>
      <c r="FZ877">
        <v>4.4212665769720036</v>
      </c>
      <c r="GA877">
        <v>14.473663293455129</v>
      </c>
      <c r="GB877">
        <v>9.6805254154767653</v>
      </c>
      <c r="GC877">
        <v>2.8799038552950433</v>
      </c>
      <c r="GD877">
        <v>0.71756424612135183</v>
      </c>
      <c r="GE877">
        <v>2.0558539793455489E-3</v>
      </c>
      <c r="GF877">
        <v>1.5180214733116304</v>
      </c>
      <c r="GG877">
        <v>1.5681786066401984</v>
      </c>
      <c r="GH877">
        <v>1.5038724992891495</v>
      </c>
      <c r="GI877">
        <v>4.0910860016772936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20.222800925925917</v>
      </c>
      <c r="AO878">
        <v>9.5936267285803503</v>
      </c>
      <c r="AP878">
        <v>90.721834260867581</v>
      </c>
      <c r="AQ878">
        <v>63.173374807080208</v>
      </c>
      <c r="AR878">
        <v>8.8095155205774436</v>
      </c>
      <c r="AS878">
        <v>97.410028081883254</v>
      </c>
      <c r="AT878">
        <v>6.4259882362956491</v>
      </c>
      <c r="AU878">
        <v>8.344406324573999</v>
      </c>
      <c r="AV878"/>
      <c r="AW878"/>
      <c r="FY878" s="210">
        <v>873</v>
      </c>
      <c r="FZ878">
        <v>31.147192580470808</v>
      </c>
      <c r="GA878">
        <v>46.944539991576647</v>
      </c>
      <c r="GB878">
        <v>8.2177295064621418</v>
      </c>
      <c r="GC878">
        <v>1.9011312401687541</v>
      </c>
      <c r="GD878">
        <v>0.67787235879976127</v>
      </c>
      <c r="GE878">
        <v>1.3077114570000252</v>
      </c>
      <c r="GF878">
        <v>4.2563890195987248</v>
      </c>
      <c r="GG878">
        <v>2.2695967301307398</v>
      </c>
      <c r="GH878">
        <v>3.1226905725757819</v>
      </c>
      <c r="GI878">
        <v>8.4855605977002337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57.013029100529096</v>
      </c>
      <c r="AO879">
        <v>12.060654345957081</v>
      </c>
      <c r="AP879">
        <v>129.92452667171881</v>
      </c>
      <c r="AQ879">
        <v>104.12109077709793</v>
      </c>
      <c r="AR879">
        <v>11.309622565957193</v>
      </c>
      <c r="AS879">
        <v>161.48513241687081</v>
      </c>
      <c r="AT879" t="e">
        <v>#DIV/0!</v>
      </c>
      <c r="AU879" t="e">
        <v>#DIV/0!</v>
      </c>
      <c r="AV879"/>
      <c r="AW879"/>
      <c r="FY879" s="210">
        <v>874</v>
      </c>
      <c r="FZ879">
        <v>23.069098351780028</v>
      </c>
      <c r="GA879">
        <v>43.937258959936955</v>
      </c>
      <c r="GB879">
        <v>12.875007353353544</v>
      </c>
      <c r="GC879">
        <v>2.6901293932037147</v>
      </c>
      <c r="GD879">
        <v>0.55344363927156337</v>
      </c>
      <c r="GE879">
        <v>0</v>
      </c>
      <c r="GF879">
        <v>5.135759701280791</v>
      </c>
      <c r="GG879">
        <v>4.9815963792599982</v>
      </c>
      <c r="GH879">
        <v>0.92263539591056576</v>
      </c>
      <c r="GI879">
        <v>8.3369970715408694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69.117193486590025</v>
      </c>
      <c r="AO880">
        <v>16.625479950434972</v>
      </c>
      <c r="AP880">
        <v>181.19315990299339</v>
      </c>
      <c r="AQ880">
        <v>139.41390964705406</v>
      </c>
      <c r="AR880">
        <v>15.744563139542365</v>
      </c>
      <c r="AS880">
        <v>220.00132975022794</v>
      </c>
      <c r="AT880">
        <v>10.313696813341357</v>
      </c>
      <c r="AU880">
        <v>52.38893884654437</v>
      </c>
      <c r="AV880"/>
      <c r="AW880"/>
      <c r="FY880" s="210">
        <v>875</v>
      </c>
      <c r="FZ880">
        <v>12.203131520224556</v>
      </c>
      <c r="GA880">
        <v>28.388661339970525</v>
      </c>
      <c r="GB880">
        <v>9.0686982228171953</v>
      </c>
      <c r="GC880">
        <v>1.6051600044597136</v>
      </c>
      <c r="GD880">
        <v>0.81879103974909229</v>
      </c>
      <c r="GE880">
        <v>2.0558539793455489E-3</v>
      </c>
      <c r="GF880">
        <v>1.7408494057080759</v>
      </c>
      <c r="GG880">
        <v>1.5933164367250234</v>
      </c>
      <c r="GH880">
        <v>2.5548395615093007</v>
      </c>
      <c r="GI880">
        <v>5.3969989779753229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24.427163724685279</v>
      </c>
      <c r="AO881">
        <v>9.513527944145066</v>
      </c>
      <c r="AP881">
        <v>103.63504438022069</v>
      </c>
      <c r="AQ881">
        <v>69.242478940596058</v>
      </c>
      <c r="AR881">
        <v>9.1242999468448733</v>
      </c>
      <c r="AS881">
        <v>143.56861681653265</v>
      </c>
      <c r="AT881" t="e">
        <v>#DIV/0!</v>
      </c>
      <c r="AU881" t="e">
        <v>#DIV/0!</v>
      </c>
      <c r="AV881"/>
      <c r="AW881"/>
      <c r="FY881" s="210">
        <v>876</v>
      </c>
      <c r="FZ881">
        <v>4.6173920377551623</v>
      </c>
      <c r="GA881">
        <v>26.894352240369706</v>
      </c>
      <c r="GB881">
        <v>13.559374790417342</v>
      </c>
      <c r="GC881">
        <v>1.9660874140642159</v>
      </c>
      <c r="GD881">
        <v>0.78619508661711457</v>
      </c>
      <c r="GE881">
        <v>1.4479128696271943</v>
      </c>
      <c r="GF881">
        <v>5.8187849641231448</v>
      </c>
      <c r="GG881">
        <v>4.3506670485390115</v>
      </c>
      <c r="GH881">
        <v>2.028231351774656</v>
      </c>
      <c r="GI881">
        <v>6.1802532023318166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16.766203703703702</v>
      </c>
      <c r="AO882">
        <v>6.3758231246151542</v>
      </c>
      <c r="AP882">
        <v>66.236118251192678</v>
      </c>
      <c r="AQ882">
        <v>45.179818798273971</v>
      </c>
      <c r="AR882">
        <v>6.30185018147648</v>
      </c>
      <c r="AS882">
        <v>90.552992988210391</v>
      </c>
      <c r="AT882" t="e">
        <v>#DIV/0!</v>
      </c>
      <c r="AU882" t="e">
        <v>#DIV/0!</v>
      </c>
      <c r="AV882"/>
      <c r="AW882"/>
      <c r="FY882" s="210">
        <v>877</v>
      </c>
      <c r="FZ882">
        <v>5.374696375939096</v>
      </c>
      <c r="GA882">
        <v>17.349777854417574</v>
      </c>
      <c r="GB882">
        <v>7.7522809778507291</v>
      </c>
      <c r="GC882">
        <v>1.2608454031019374</v>
      </c>
      <c r="GD882">
        <v>0.88297678323752393</v>
      </c>
      <c r="GE882">
        <v>0.28245867923368362</v>
      </c>
      <c r="GF882">
        <v>4.5376820026655604</v>
      </c>
      <c r="GG882">
        <v>5.5033980150230617</v>
      </c>
      <c r="GH882">
        <v>1.7849541114675875</v>
      </c>
      <c r="GI882">
        <v>4.5504589604797783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23.086606002554284</v>
      </c>
      <c r="AO883">
        <v>6.8210267163237317</v>
      </c>
      <c r="AP883">
        <v>75.483816850325013</v>
      </c>
      <c r="AQ883">
        <v>53.538570237685427</v>
      </c>
      <c r="AR883">
        <v>6.6761445990974906</v>
      </c>
      <c r="AS883">
        <v>99.756175337136256</v>
      </c>
      <c r="AT883" t="e">
        <v>#DIV/0!</v>
      </c>
      <c r="AU883" t="e">
        <v>#DIV/0!</v>
      </c>
      <c r="AV883"/>
      <c r="AW883"/>
      <c r="FY883" s="210">
        <v>878</v>
      </c>
      <c r="FZ883">
        <v>13.906158898793327</v>
      </c>
      <c r="GA883">
        <v>25.440852333476347</v>
      </c>
      <c r="GB883">
        <v>7.0255125170538379</v>
      </c>
      <c r="GC883">
        <v>2.0682549167500177</v>
      </c>
      <c r="GD883">
        <v>1.0291024493609648</v>
      </c>
      <c r="GE883">
        <v>1.3097673109793708</v>
      </c>
      <c r="GF883">
        <v>4.5776151045127342</v>
      </c>
      <c r="GG883">
        <v>3.1946908347081049</v>
      </c>
      <c r="GH883">
        <v>1.913285777777173</v>
      </c>
      <c r="GI883">
        <v>5.6965193059231707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32.114317642765918</v>
      </c>
      <c r="AO884">
        <v>10.366433887671636</v>
      </c>
      <c r="AP884">
        <v>110.75926937413492</v>
      </c>
      <c r="AQ884">
        <v>80.170240966967526</v>
      </c>
      <c r="AR884">
        <v>9.7522109902702212</v>
      </c>
      <c r="AS884">
        <v>135.38841410493751</v>
      </c>
      <c r="AT884">
        <v>6.3109186302042977</v>
      </c>
      <c r="AU884">
        <v>23.824186799995307</v>
      </c>
      <c r="AV884"/>
      <c r="AW884"/>
      <c r="FY884" s="210">
        <v>879</v>
      </c>
      <c r="FZ884">
        <v>23.108273417818673</v>
      </c>
      <c r="GA884">
        <v>38.793947663742479</v>
      </c>
      <c r="GB884">
        <v>10.048832596680075</v>
      </c>
      <c r="GC884">
        <v>2.5475913559080556</v>
      </c>
      <c r="GD884">
        <v>0.75707036639776315</v>
      </c>
      <c r="GE884">
        <v>2.0558539793455489E-3</v>
      </c>
      <c r="GF884">
        <v>2.3929507856280807</v>
      </c>
      <c r="GG884">
        <v>3.1476604218853108</v>
      </c>
      <c r="GH884">
        <v>4.5830709132839571</v>
      </c>
      <c r="GI884">
        <v>7.7123772679643796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34.652247536945808</v>
      </c>
      <c r="AO885">
        <v>11.480563232559906</v>
      </c>
      <c r="AP885">
        <v>119.8278031144846</v>
      </c>
      <c r="AQ885">
        <v>86.119203828137827</v>
      </c>
      <c r="AR885">
        <v>10.876454523475999</v>
      </c>
      <c r="AS885">
        <v>152.26338790845298</v>
      </c>
      <c r="AT885" t="e">
        <v>#DIV/0!</v>
      </c>
      <c r="AU885" t="e">
        <v>#DIV/0!</v>
      </c>
      <c r="AV885"/>
      <c r="AW885"/>
      <c r="FY885" s="210">
        <v>880</v>
      </c>
      <c r="FZ885">
        <v>29.789484628598451</v>
      </c>
      <c r="GA885">
        <v>68.775293261541876</v>
      </c>
      <c r="GB885">
        <v>18.935831761036077</v>
      </c>
      <c r="GC885">
        <v>1.6442226881598061</v>
      </c>
      <c r="GD885">
        <v>0.44793652431870712</v>
      </c>
      <c r="GE885">
        <v>1.3097673109793708</v>
      </c>
      <c r="GF885">
        <v>3.0759760484704346</v>
      </c>
      <c r="GG885">
        <v>0.82765003296544037</v>
      </c>
      <c r="GH885">
        <v>1.2774197807546503</v>
      </c>
      <c r="GI885">
        <v>10.444863638712373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20.29826388888889</v>
      </c>
      <c r="AO886">
        <v>6.9241634227130904</v>
      </c>
      <c r="AP886">
        <v>65.580466072837183</v>
      </c>
      <c r="AQ886">
        <v>45.463038053208919</v>
      </c>
      <c r="AR886">
        <v>6.3967650691081772</v>
      </c>
      <c r="AS886">
        <v>110.01367502057886</v>
      </c>
      <c r="AT886" t="e">
        <v>#DIV/0!</v>
      </c>
      <c r="AU886" t="e">
        <v>#DIV/0!</v>
      </c>
      <c r="AV886"/>
      <c r="AW886"/>
      <c r="FY886" s="210">
        <v>881</v>
      </c>
      <c r="FZ886">
        <v>20.72356572869586</v>
      </c>
      <c r="GA886">
        <v>41.477993494778225</v>
      </c>
      <c r="GB886">
        <v>11.143494246861255</v>
      </c>
      <c r="GC886">
        <v>2.6114710916313744</v>
      </c>
      <c r="GD886">
        <v>0.92112685748607914</v>
      </c>
      <c r="GE886">
        <v>2.7576801806065649</v>
      </c>
      <c r="GF886">
        <v>8.2706516866170343</v>
      </c>
      <c r="GG886">
        <v>3.75669716986833</v>
      </c>
      <c r="GH886">
        <v>1.973602458130717</v>
      </c>
      <c r="GI886">
        <v>8.5659506322236663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22.079166666666666</v>
      </c>
      <c r="AO887">
        <v>9.1815785557803693</v>
      </c>
      <c r="AP887">
        <v>93.225576434767149</v>
      </c>
      <c r="AQ887">
        <v>63.15803315440148</v>
      </c>
      <c r="AR887">
        <v>8.8639268423659878</v>
      </c>
      <c r="AS887">
        <v>106.83074883837045</v>
      </c>
      <c r="AT887" t="e">
        <v>#DIV/0!</v>
      </c>
      <c r="AU887" t="e">
        <v>#DIV/0!</v>
      </c>
      <c r="AV887"/>
      <c r="AW887"/>
      <c r="FY887" s="210">
        <v>882</v>
      </c>
      <c r="FZ887">
        <v>4.4973556213599695</v>
      </c>
      <c r="GA887">
        <v>19.78501644726229</v>
      </c>
      <c r="GB887">
        <v>11.550585006979396</v>
      </c>
      <c r="GC887">
        <v>2.9962306021457841</v>
      </c>
      <c r="GD887">
        <v>0.59385923134157892</v>
      </c>
      <c r="GE887">
        <v>0</v>
      </c>
      <c r="GF887">
        <v>2.4215828307386991</v>
      </c>
      <c r="GG887">
        <v>2.5979229109962056</v>
      </c>
      <c r="GH887">
        <v>1.6153796438261656</v>
      </c>
      <c r="GI887">
        <v>4.78813372674042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24.48347758164569</v>
      </c>
      <c r="AO888">
        <v>5.9284148587832197</v>
      </c>
      <c r="AP888">
        <v>57.271510785567003</v>
      </c>
      <c r="AQ888">
        <v>40.856137822217903</v>
      </c>
      <c r="AR888">
        <v>5.9096701517561563</v>
      </c>
      <c r="AS888">
        <v>91.867699391321281</v>
      </c>
      <c r="AT888" t="e">
        <v>#DIV/0!</v>
      </c>
      <c r="AU888" t="e">
        <v>#DIV/0!</v>
      </c>
      <c r="AV888"/>
      <c r="AW888"/>
      <c r="FY888" s="210">
        <v>883</v>
      </c>
      <c r="FZ888">
        <v>12.675449915037062</v>
      </c>
      <c r="GA888">
        <v>33.073403269309765</v>
      </c>
      <c r="GB888">
        <v>12.171891869550734</v>
      </c>
      <c r="GC888">
        <v>2.5434970669842518</v>
      </c>
      <c r="GD888">
        <v>1.067926448244048</v>
      </c>
      <c r="GE888">
        <v>0.42266009186085274</v>
      </c>
      <c r="GF888">
        <v>4.5917056839703347</v>
      </c>
      <c r="GG888">
        <v>6.5594411862413935</v>
      </c>
      <c r="GH888">
        <v>4.0129705449683382</v>
      </c>
      <c r="GI888">
        <v>7.272634904031511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58.622056878306886</v>
      </c>
      <c r="AO889">
        <v>12.503155551578683</v>
      </c>
      <c r="AP889">
        <v>134.98302753840676</v>
      </c>
      <c r="AQ889">
        <v>108.33041405448361</v>
      </c>
      <c r="AR889">
        <v>12.002290672536621</v>
      </c>
      <c r="AS889">
        <v>193.89510934730654</v>
      </c>
      <c r="AT889" t="e">
        <v>#DIV/0!</v>
      </c>
      <c r="AU889" t="e">
        <v>#DIV/0!</v>
      </c>
      <c r="AV889"/>
      <c r="AW889"/>
      <c r="FY889" s="210">
        <v>884</v>
      </c>
      <c r="FZ889">
        <v>4.3708974810074999</v>
      </c>
      <c r="GA889">
        <v>23.385532057843314</v>
      </c>
      <c r="GB889">
        <v>12.03220820321437</v>
      </c>
      <c r="GC889">
        <v>2.371208221065618</v>
      </c>
      <c r="GD889">
        <v>1.1385692848358526</v>
      </c>
      <c r="GE889">
        <v>2.8999374472130799</v>
      </c>
      <c r="GF889">
        <v>9.5658452275322201</v>
      </c>
      <c r="GG889">
        <v>6.6487848547209136</v>
      </c>
      <c r="GH889">
        <v>3.0188817336412632</v>
      </c>
      <c r="GI889">
        <v>6.8945197611785325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49.366350232621777</v>
      </c>
      <c r="AO890">
        <v>12.76811206461751</v>
      </c>
      <c r="AP890">
        <v>137.92190772641928</v>
      </c>
      <c r="AQ890">
        <v>102.50192624553802</v>
      </c>
      <c r="AR890">
        <v>12.161869160283311</v>
      </c>
      <c r="AS890">
        <v>170.51928016203578</v>
      </c>
      <c r="AT890" t="e">
        <v>#DIV/0!</v>
      </c>
      <c r="AU890" t="e">
        <v>#DIV/0!</v>
      </c>
      <c r="AV890"/>
      <c r="AW890"/>
      <c r="FY890" s="210">
        <v>885</v>
      </c>
      <c r="FZ890">
        <v>24.168729813866161</v>
      </c>
      <c r="GA890">
        <v>45.858330425038602</v>
      </c>
      <c r="GB890">
        <v>12.32789732374248</v>
      </c>
      <c r="GC890">
        <v>2.1933119086444806</v>
      </c>
      <c r="GD890">
        <v>0.73979949615297746</v>
      </c>
      <c r="GE890">
        <v>1.3138790189380618</v>
      </c>
      <c r="GF890">
        <v>5.5959570317266998</v>
      </c>
      <c r="GG890">
        <v>4.6655633683558602</v>
      </c>
      <c r="GH890">
        <v>3.2888266107567365</v>
      </c>
      <c r="GI890">
        <v>8.9182248333036487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32.598228539500091</v>
      </c>
      <c r="AO891">
        <v>7.8872089217287398</v>
      </c>
      <c r="AP891">
        <v>84.874756778128116</v>
      </c>
      <c r="AQ891">
        <v>63.372502363118151</v>
      </c>
      <c r="AR891">
        <v>7.812656243356308</v>
      </c>
      <c r="AS891">
        <v>125.51751374737552</v>
      </c>
      <c r="AT891" t="e">
        <v>#DIV/0!</v>
      </c>
      <c r="AU891" t="e">
        <v>#DIV/0!</v>
      </c>
      <c r="AV891"/>
      <c r="AW891"/>
      <c r="FY891" s="210">
        <v>886</v>
      </c>
      <c r="FZ891">
        <v>1.8165465572713289</v>
      </c>
      <c r="GA891">
        <v>23.06680287524064</v>
      </c>
      <c r="GB891">
        <v>13.054367617682729</v>
      </c>
      <c r="GC891">
        <v>2.2828327611827111</v>
      </c>
      <c r="GD891">
        <v>0.8173320582549285</v>
      </c>
      <c r="GE891">
        <v>1.4499687236065399</v>
      </c>
      <c r="GF891">
        <v>9.3824995107875306</v>
      </c>
      <c r="GG891">
        <v>8.306569325009205</v>
      </c>
      <c r="GH891">
        <v>4.2997399438563804</v>
      </c>
      <c r="GI891">
        <v>6.743324158756864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23.538375182448458</v>
      </c>
      <c r="AO892">
        <v>9.5264550743355834</v>
      </c>
      <c r="AP892">
        <v>98.787832771874918</v>
      </c>
      <c r="AQ892">
        <v>67.649251005619362</v>
      </c>
      <c r="AR892">
        <v>9.0028203599949386</v>
      </c>
      <c r="AS892">
        <v>118.89616340168615</v>
      </c>
      <c r="AT892">
        <v>5.8402571018075875</v>
      </c>
      <c r="AU892">
        <v>3.3793911543263224</v>
      </c>
      <c r="AV892"/>
      <c r="AW892"/>
      <c r="FY892" s="210">
        <v>887</v>
      </c>
      <c r="FZ892">
        <v>4.2897797887114635</v>
      </c>
      <c r="GA892">
        <v>16.114941097359495</v>
      </c>
      <c r="GB892">
        <v>7.4296548868765164</v>
      </c>
      <c r="GC892">
        <v>1.3237577497825392</v>
      </c>
      <c r="GD892">
        <v>0.7996121934756909</v>
      </c>
      <c r="GE892">
        <v>4.0653916376065906</v>
      </c>
      <c r="GF892">
        <v>8.1867949997524878</v>
      </c>
      <c r="GG892">
        <v>2.5698959161226771</v>
      </c>
      <c r="GH892">
        <v>3.3056511325293063</v>
      </c>
      <c r="GI892">
        <v>5.2586901478485402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21.112217775041053</v>
      </c>
      <c r="AO893">
        <v>6.8843864921351727</v>
      </c>
      <c r="AP893">
        <v>70.287627980395186</v>
      </c>
      <c r="AQ893">
        <v>49.279529163416534</v>
      </c>
      <c r="AR893">
        <v>6.6961960506220128</v>
      </c>
      <c r="AS893">
        <v>90.843167228382043</v>
      </c>
      <c r="AT893" t="e">
        <v>#DIV/0!</v>
      </c>
      <c r="AU893" t="e">
        <v>#DIV/0!</v>
      </c>
      <c r="AV893"/>
      <c r="AW893"/>
      <c r="FY893" s="210">
        <v>888</v>
      </c>
      <c r="FZ893">
        <v>12.964531685474483</v>
      </c>
      <c r="GA893">
        <v>36.07210740775335</v>
      </c>
      <c r="GB893">
        <v>12.718617281619073</v>
      </c>
      <c r="GC893">
        <v>1.9349522210819639</v>
      </c>
      <c r="GD893">
        <v>0.88685649784759035</v>
      </c>
      <c r="GE893">
        <v>1.4479128696271943</v>
      </c>
      <c r="GF893">
        <v>9.1056478970863104</v>
      </c>
      <c r="GG893">
        <v>6.7153370988535395</v>
      </c>
      <c r="GH893">
        <v>2.2000551766652161</v>
      </c>
      <c r="GI893">
        <v>7.9857278587828437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40.534008962780511</v>
      </c>
      <c r="AO894">
        <v>8.5577901464852761</v>
      </c>
      <c r="AP894">
        <v>85.711463733522208</v>
      </c>
      <c r="AQ894">
        <v>66.161759449335037</v>
      </c>
      <c r="AR894">
        <v>8.0811579888329792</v>
      </c>
      <c r="AS894">
        <v>118.72353405635162</v>
      </c>
      <c r="AT894">
        <v>5.2474799314465388</v>
      </c>
      <c r="AU894">
        <v>17.202810167609393</v>
      </c>
      <c r="AV894"/>
      <c r="AW894"/>
      <c r="FY894" s="210">
        <v>889</v>
      </c>
      <c r="FZ894">
        <v>21.37486658783304</v>
      </c>
      <c r="GA894">
        <v>41.99645008665577</v>
      </c>
      <c r="GB894">
        <v>11.995212979611255</v>
      </c>
      <c r="GC894">
        <v>2.324875023209469</v>
      </c>
      <c r="GD894">
        <v>0.67103510061562632</v>
      </c>
      <c r="GE894">
        <v>2.0558539793455489E-3</v>
      </c>
      <c r="GF894">
        <v>2.1160991719268609</v>
      </c>
      <c r="GG894">
        <v>3.0754921789776928</v>
      </c>
      <c r="GH894">
        <v>3.9983953804449062</v>
      </c>
      <c r="GI894">
        <v>7.6768214090172817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45.92412367724868</v>
      </c>
      <c r="AO895">
        <v>11.349947662408587</v>
      </c>
      <c r="AP895">
        <v>121.29430115793431</v>
      </c>
      <c r="AQ895">
        <v>93.093830643288129</v>
      </c>
      <c r="AR895">
        <v>11.170781628086285</v>
      </c>
      <c r="AS895">
        <v>146.82891638496778</v>
      </c>
      <c r="AT895" t="e">
        <v>#DIV/0!</v>
      </c>
      <c r="AU895" t="e">
        <v>#DIV/0!</v>
      </c>
      <c r="AV895"/>
      <c r="AW895"/>
      <c r="FY895" s="210">
        <v>890</v>
      </c>
      <c r="FZ895">
        <v>12.123654999983819</v>
      </c>
      <c r="GA895">
        <v>29.832032395168632</v>
      </c>
      <c r="GB895">
        <v>8.9590016820958631</v>
      </c>
      <c r="GC895">
        <v>1.4467744058562535</v>
      </c>
      <c r="GD895">
        <v>0.84957253525867393</v>
      </c>
      <c r="GE895">
        <v>1.3077114570000252</v>
      </c>
      <c r="GF895">
        <v>5.87280864542792</v>
      </c>
      <c r="GG895">
        <v>3.6381654697377823</v>
      </c>
      <c r="GH895">
        <v>0.92263539591056576</v>
      </c>
      <c r="GI895">
        <v>5.9466282002917703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60.084705687830684</v>
      </c>
      <c r="AO896">
        <v>16.056571090527452</v>
      </c>
      <c r="AP896">
        <v>182.63698137715045</v>
      </c>
      <c r="AQ896">
        <v>136.52844567553717</v>
      </c>
      <c r="AR896">
        <v>15.053162050380138</v>
      </c>
      <c r="AS896">
        <v>189.13253219821689</v>
      </c>
      <c r="AT896" t="e">
        <v>#DIV/0!</v>
      </c>
      <c r="AU896" t="e">
        <v>#DIV/0!</v>
      </c>
      <c r="AV896"/>
      <c r="AW896"/>
      <c r="FY896" s="210">
        <v>891</v>
      </c>
      <c r="FZ896">
        <v>3.2342007766690246</v>
      </c>
      <c r="GA896">
        <v>19.461601645528059</v>
      </c>
      <c r="GB896">
        <v>11.170404224394428</v>
      </c>
      <c r="GC896">
        <v>2.7212657096877595</v>
      </c>
      <c r="GD896">
        <v>0.94791456777730199</v>
      </c>
      <c r="GE896">
        <v>1.4479128696271943</v>
      </c>
      <c r="GF896">
        <v>5.9171831166407101</v>
      </c>
      <c r="GG896">
        <v>6.0101553146555755</v>
      </c>
      <c r="GH896">
        <v>6.2130257216335547</v>
      </c>
      <c r="GI896">
        <v>6.1156058579709427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47.398660714285704</v>
      </c>
      <c r="AO897">
        <v>13.204537488519325</v>
      </c>
      <c r="AP897">
        <v>136.48974139335559</v>
      </c>
      <c r="AQ897">
        <v>102.20223354689909</v>
      </c>
      <c r="AR897">
        <v>12.271269938608322</v>
      </c>
      <c r="AS897">
        <v>146.78040736594741</v>
      </c>
      <c r="AT897" t="e">
        <v>#DIV/0!</v>
      </c>
      <c r="AU897" t="e">
        <v>#DIV/0!</v>
      </c>
      <c r="AV897"/>
      <c r="AW897"/>
      <c r="FY897" s="210">
        <v>892</v>
      </c>
      <c r="FZ897">
        <v>11.810284020726961</v>
      </c>
      <c r="GA897">
        <v>27.454146749790176</v>
      </c>
      <c r="GB897">
        <v>9.4120810976396552</v>
      </c>
      <c r="GC897">
        <v>1.5840055968038125</v>
      </c>
      <c r="GD897">
        <v>0.53064940101098446</v>
      </c>
      <c r="GE897">
        <v>0.14225726660651461</v>
      </c>
      <c r="GF897">
        <v>5.6640712924890746</v>
      </c>
      <c r="GG897">
        <v>6.5582801494638945</v>
      </c>
      <c r="GH897">
        <v>3.7585565695983041</v>
      </c>
      <c r="GI897">
        <v>6.3113808390710657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19.482092113665395</v>
      </c>
      <c r="AO898">
        <v>7.3761108422666508</v>
      </c>
      <c r="AP898">
        <v>74.527213550281118</v>
      </c>
      <c r="AQ898">
        <v>50.846066021390513</v>
      </c>
      <c r="AR898">
        <v>7.0798447701488785</v>
      </c>
      <c r="AS898">
        <v>81.625735949787767</v>
      </c>
      <c r="AT898" t="e">
        <v>#DIV/0!</v>
      </c>
      <c r="AU898" t="e">
        <v>#DIV/0!</v>
      </c>
      <c r="AV898"/>
      <c r="AW898"/>
      <c r="FY898" s="210">
        <v>893</v>
      </c>
      <c r="FZ898">
        <v>2.2156148308463197</v>
      </c>
      <c r="GA898">
        <v>17.17621715461804</v>
      </c>
      <c r="GB898">
        <v>8.0155290135779964</v>
      </c>
      <c r="GC898">
        <v>1.4378449183904944</v>
      </c>
      <c r="GD898">
        <v>0.88848368299519631</v>
      </c>
      <c r="GE898">
        <v>2.7597360345859103</v>
      </c>
      <c r="GF898">
        <v>5.6104984973797176</v>
      </c>
      <c r="GG898">
        <v>3.109135172626214</v>
      </c>
      <c r="GH898">
        <v>2.6640973487971786</v>
      </c>
      <c r="GI898">
        <v>4.5159582870003341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39.094078407224956</v>
      </c>
      <c r="AO899">
        <v>11.298785135780152</v>
      </c>
      <c r="AP899">
        <v>117.0234705976151</v>
      </c>
      <c r="AQ899">
        <v>84.391580980198299</v>
      </c>
      <c r="AR899">
        <v>10.708516222866081</v>
      </c>
      <c r="AS899">
        <v>164.75163644708996</v>
      </c>
      <c r="AT899" t="e">
        <v>#DIV/0!</v>
      </c>
      <c r="AU899" t="e">
        <v>#DIV/0!</v>
      </c>
      <c r="AV899"/>
      <c r="AW899"/>
      <c r="FY899" s="210">
        <v>894</v>
      </c>
      <c r="FZ899">
        <v>11.857215515596859</v>
      </c>
      <c r="GA899">
        <v>34.762029852695548</v>
      </c>
      <c r="GB899">
        <v>13.060248525599045</v>
      </c>
      <c r="GC899">
        <v>1.8239034118496327</v>
      </c>
      <c r="GD899">
        <v>0.70580776192577421</v>
      </c>
      <c r="GE899">
        <v>0.14225726660651461</v>
      </c>
      <c r="GF899">
        <v>0.44565586479289071</v>
      </c>
      <c r="GG899">
        <v>0.39030981007132332</v>
      </c>
      <c r="GH899">
        <v>1.858656884133234</v>
      </c>
      <c r="GI899">
        <v>5.9088390140919618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28.396160600255428</v>
      </c>
      <c r="AO900">
        <v>10.712092613982275</v>
      </c>
      <c r="AP900">
        <v>104.62604521343034</v>
      </c>
      <c r="AQ900">
        <v>72.326384272252653</v>
      </c>
      <c r="AR900">
        <v>9.9499850098253706</v>
      </c>
      <c r="AS900">
        <v>129.66179886415171</v>
      </c>
      <c r="AT900">
        <v>6.5749536914434854</v>
      </c>
      <c r="AU900">
        <v>3.0190654965499615</v>
      </c>
      <c r="AV900"/>
      <c r="AW900"/>
      <c r="FY900" s="210">
        <v>895</v>
      </c>
      <c r="FZ900">
        <v>23.763620336888067</v>
      </c>
      <c r="GA900">
        <v>45.147747777110119</v>
      </c>
      <c r="GB900">
        <v>11.983841690102098</v>
      </c>
      <c r="GC900">
        <v>1.2606617057722478</v>
      </c>
      <c r="GD900">
        <v>0.56498145611074557</v>
      </c>
      <c r="GE900">
        <v>2.6174787679793958</v>
      </c>
      <c r="GF900">
        <v>7.4497460556053579</v>
      </c>
      <c r="GG900">
        <v>3.743309750694058</v>
      </c>
      <c r="GH900">
        <v>1.6868330592426739</v>
      </c>
      <c r="GI900">
        <v>8.7740935708388346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49.423956052727604</v>
      </c>
      <c r="AO901">
        <v>13.521862700408715</v>
      </c>
      <c r="AP901">
        <v>144.87023688109454</v>
      </c>
      <c r="AQ901">
        <v>109.07051983052573</v>
      </c>
      <c r="AR901">
        <v>12.853561069320214</v>
      </c>
      <c r="AS901">
        <v>164.86985076070448</v>
      </c>
      <c r="AT901">
        <v>8.0795539635711062</v>
      </c>
      <c r="AU901">
        <v>64.035074123391894</v>
      </c>
      <c r="AV901"/>
      <c r="AW901"/>
      <c r="FY901" s="210">
        <v>896</v>
      </c>
      <c r="FZ901">
        <v>14.347682319618048</v>
      </c>
      <c r="GA901">
        <v>25.482934809617777</v>
      </c>
      <c r="GB901">
        <v>8.427884695023419</v>
      </c>
      <c r="GC901">
        <v>2.223999205259457</v>
      </c>
      <c r="GD901">
        <v>0.96200399715135465</v>
      </c>
      <c r="GE901">
        <v>2.7576801806065649</v>
      </c>
      <c r="GF901">
        <v>6.9407328845810428</v>
      </c>
      <c r="GG901">
        <v>3.1734652075700005</v>
      </c>
      <c r="GH901">
        <v>3.0791984139948072</v>
      </c>
      <c r="GI901">
        <v>6.7192048390387127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25.555736293559573</v>
      </c>
      <c r="AO902">
        <v>10.442856922825159</v>
      </c>
      <c r="AP902">
        <v>105.64725382998088</v>
      </c>
      <c r="AQ902">
        <v>71.21998353164885</v>
      </c>
      <c r="AR902">
        <v>9.8690655370179545</v>
      </c>
      <c r="AS902">
        <v>134.60767576768114</v>
      </c>
      <c r="AT902">
        <v>6.7078058106373417</v>
      </c>
      <c r="AU902">
        <v>5.4855079270341172</v>
      </c>
      <c r="AV902"/>
      <c r="AW902"/>
      <c r="FY902" s="210">
        <v>897</v>
      </c>
      <c r="FZ902">
        <v>31.866296603040588</v>
      </c>
      <c r="GA902">
        <v>48.192936488229783</v>
      </c>
      <c r="GB902">
        <v>9.0129096705428751</v>
      </c>
      <c r="GC902">
        <v>1.4895098977034069</v>
      </c>
      <c r="GD902">
        <v>0.49080046343722861</v>
      </c>
      <c r="GE902">
        <v>1.5881142822543635</v>
      </c>
      <c r="GF902">
        <v>4.721027719410249</v>
      </c>
      <c r="GG902">
        <v>2.9160644781599103</v>
      </c>
      <c r="GH902">
        <v>2.6529606137342139</v>
      </c>
      <c r="GI902">
        <v>8.6792968480622523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19.152331349206346</v>
      </c>
      <c r="AO903">
        <v>7.9208917234506231</v>
      </c>
      <c r="AP903">
        <v>75.985719421606589</v>
      </c>
      <c r="AQ903">
        <v>53.344169550065303</v>
      </c>
      <c r="AR903">
        <v>7.4218749015132417</v>
      </c>
      <c r="AS903">
        <v>127.84498269908065</v>
      </c>
      <c r="AT903">
        <v>5.1716684468380416</v>
      </c>
      <c r="AU903">
        <v>10.377790825457387</v>
      </c>
      <c r="AV903"/>
      <c r="AW903"/>
      <c r="FY903" s="210">
        <v>898</v>
      </c>
      <c r="FZ903">
        <v>12.821422337232821</v>
      </c>
      <c r="GA903">
        <v>24.926190848792793</v>
      </c>
      <c r="GB903">
        <v>7.812402082608628</v>
      </c>
      <c r="GC903">
        <v>1.7839526392500611</v>
      </c>
      <c r="GD903">
        <v>0.77881680847052503</v>
      </c>
      <c r="GE903">
        <v>2.8958257392543887</v>
      </c>
      <c r="GF903">
        <v>6.9597157195996786</v>
      </c>
      <c r="GG903">
        <v>2.6700911539038241</v>
      </c>
      <c r="GH903">
        <v>2.2000551766652161</v>
      </c>
      <c r="GI903">
        <v>6.1793601886468208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37.801421957671963</v>
      </c>
      <c r="AO904">
        <v>12.188389075660004</v>
      </c>
      <c r="AP904">
        <v>128.32918024263563</v>
      </c>
      <c r="AQ904">
        <v>92.031745994791564</v>
      </c>
      <c r="AR904">
        <v>11.574336653795161</v>
      </c>
      <c r="AS904">
        <v>141.15354893073479</v>
      </c>
      <c r="AT904">
        <v>7.6772921329161017</v>
      </c>
      <c r="AU904">
        <v>26.446585827731049</v>
      </c>
      <c r="AV904"/>
      <c r="AW904"/>
      <c r="FY904" s="210">
        <v>899</v>
      </c>
      <c r="FZ904">
        <v>11.440536896472224</v>
      </c>
      <c r="GA904">
        <v>32.597993430623028</v>
      </c>
      <c r="GB904">
        <v>11.962630115379557</v>
      </c>
      <c r="GC904">
        <v>2.2595271433736936</v>
      </c>
      <c r="GD904">
        <v>0.94259498814077536</v>
      </c>
      <c r="GE904">
        <v>2.6154229140000504</v>
      </c>
      <c r="GF904">
        <v>9.2986428239229824</v>
      </c>
      <c r="GG904">
        <v>4.8411720963914826</v>
      </c>
      <c r="GH904">
        <v>2.2000551766652161</v>
      </c>
      <c r="GI904">
        <v>7.5870723881190374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50.18612536489691</v>
      </c>
      <c r="AO905">
        <v>11.364776006439277</v>
      </c>
      <c r="AP905">
        <v>123.20099972252298</v>
      </c>
      <c r="AQ905">
        <v>95.231303772271247</v>
      </c>
      <c r="AR905">
        <v>10.972415361694337</v>
      </c>
      <c r="AS905">
        <v>154.01066230085863</v>
      </c>
      <c r="AT905" t="e">
        <v>#DIV/0!</v>
      </c>
      <c r="AU905" t="e">
        <v>#DIV/0!</v>
      </c>
      <c r="AV905"/>
      <c r="AW905"/>
      <c r="FY905" s="210">
        <v>900</v>
      </c>
      <c r="FZ905">
        <v>41.343172519118234</v>
      </c>
      <c r="GA905">
        <v>63.86471662176465</v>
      </c>
      <c r="GB905">
        <v>10.583715185697532</v>
      </c>
      <c r="GC905">
        <v>1.9950496258650434</v>
      </c>
      <c r="GD905">
        <v>0.82656661444213875</v>
      </c>
      <c r="GE905">
        <v>2.6174787679793958</v>
      </c>
      <c r="GF905">
        <v>4.2612812751597575</v>
      </c>
      <c r="GG905">
        <v>2.4486130498229075</v>
      </c>
      <c r="GH905">
        <v>7.3754999283907221</v>
      </c>
      <c r="GI905">
        <v>11.464321152425907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32.587548462871737</v>
      </c>
      <c r="AO906">
        <v>9.06091501044477</v>
      </c>
      <c r="AP906">
        <v>94.797248825472607</v>
      </c>
      <c r="AQ906">
        <v>70.898985186731295</v>
      </c>
      <c r="AR906">
        <v>8.4762668007995483</v>
      </c>
      <c r="AS906">
        <v>131.13119518202592</v>
      </c>
      <c r="AT906" t="e">
        <v>#DIV/0!</v>
      </c>
      <c r="AU906" t="e">
        <v>#DIV/0!</v>
      </c>
      <c r="AV906"/>
      <c r="AW906"/>
      <c r="FY906" s="210">
        <v>901</v>
      </c>
      <c r="FZ906">
        <v>13.929663945394005</v>
      </c>
      <c r="GA906">
        <v>23.656659791745227</v>
      </c>
      <c r="GB906">
        <v>8.7861564447242806</v>
      </c>
      <c r="GC906">
        <v>2.7007042738378728</v>
      </c>
      <c r="GD906">
        <v>0.76442979169911218</v>
      </c>
      <c r="GE906">
        <v>4.1117079586910979E-3</v>
      </c>
      <c r="GF906">
        <v>6.2081253097995308</v>
      </c>
      <c r="GG906">
        <v>6.9189971674528978</v>
      </c>
      <c r="GH906">
        <v>2.1397384963116721</v>
      </c>
      <c r="GI906">
        <v>6.4555281074338833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26.502346743295014</v>
      </c>
      <c r="AO907">
        <v>9.2982947627834829</v>
      </c>
      <c r="AP907">
        <v>90.928570816678018</v>
      </c>
      <c r="AQ907">
        <v>63.239269804584545</v>
      </c>
      <c r="AR907">
        <v>8.8897371074971065</v>
      </c>
      <c r="AS907">
        <v>109.2058857910633</v>
      </c>
      <c r="AT907">
        <v>6.2188200622970804</v>
      </c>
      <c r="AU907">
        <v>-2.0427846953369935</v>
      </c>
      <c r="AV907"/>
      <c r="AW907"/>
      <c r="FY907" s="210">
        <v>902</v>
      </c>
      <c r="FZ907">
        <v>12.760878189136346</v>
      </c>
      <c r="GA907">
        <v>23.681141309832221</v>
      </c>
      <c r="GB907">
        <v>7.3583196889200995</v>
      </c>
      <c r="GC907">
        <v>1.7043168922580021</v>
      </c>
      <c r="GD907">
        <v>0.67744450531219647</v>
      </c>
      <c r="GE907">
        <v>1.3159348729174076</v>
      </c>
      <c r="GF907">
        <v>5.5419333504219246</v>
      </c>
      <c r="GG907">
        <v>5.4575286389777666</v>
      </c>
      <c r="GH907">
        <v>4.0129705449683382</v>
      </c>
      <c r="GI907">
        <v>6.0024916912305963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29.378189997263281</v>
      </c>
      <c r="AO908">
        <v>9.5713589143968854</v>
      </c>
      <c r="AP908">
        <v>102.28348415931329</v>
      </c>
      <c r="AQ908">
        <v>73.225712983200438</v>
      </c>
      <c r="AR908">
        <v>9.2941344640160253</v>
      </c>
      <c r="AS908">
        <v>153.84773618289682</v>
      </c>
      <c r="AT908" t="e">
        <v>#DIV/0!</v>
      </c>
      <c r="AU908" t="e">
        <v>#DIV/0!</v>
      </c>
      <c r="AV908"/>
      <c r="AW908"/>
      <c r="FY908" s="210">
        <v>903</v>
      </c>
      <c r="FZ908">
        <v>12.711624448075966</v>
      </c>
      <c r="GA908">
        <v>27.191081276607058</v>
      </c>
      <c r="GB908">
        <v>8.844456314183212</v>
      </c>
      <c r="GC908">
        <v>1.5432056985469131</v>
      </c>
      <c r="GD908">
        <v>0.78278067209925251</v>
      </c>
      <c r="GE908">
        <v>1.730371548860878</v>
      </c>
      <c r="GF908">
        <v>3.7026857921962844</v>
      </c>
      <c r="GG908">
        <v>2.2047239361361788</v>
      </c>
      <c r="GH908">
        <v>1.8017786332401569</v>
      </c>
      <c r="GI908">
        <v>5.7203171998062077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18.037152777777781</v>
      </c>
      <c r="AO909">
        <v>7.1882422629215865</v>
      </c>
      <c r="AP909">
        <v>69.541189015138926</v>
      </c>
      <c r="AQ909">
        <v>48.393114940817398</v>
      </c>
      <c r="AR909">
        <v>6.4601917725043636</v>
      </c>
      <c r="AS909">
        <v>72.444235460675444</v>
      </c>
      <c r="AT909" t="e">
        <v>#DIV/0!</v>
      </c>
      <c r="AU909" t="e">
        <v>#DIV/0!</v>
      </c>
      <c r="AV909"/>
      <c r="AW909"/>
      <c r="FY909" s="210">
        <v>904</v>
      </c>
      <c r="FZ909">
        <v>11.968777452783845</v>
      </c>
      <c r="GA909">
        <v>26.542447028427944</v>
      </c>
      <c r="GB909">
        <v>8.1876310357569135</v>
      </c>
      <c r="GC909">
        <v>1.3575756924087901</v>
      </c>
      <c r="GD909">
        <v>0.40974894923205618</v>
      </c>
      <c r="GE909">
        <v>2.6215904759380875</v>
      </c>
      <c r="GF909">
        <v>13.183583455501379</v>
      </c>
      <c r="GG909">
        <v>10.062202627340714</v>
      </c>
      <c r="GH909">
        <v>4.1813559403984311</v>
      </c>
      <c r="GI909">
        <v>7.6366271102193721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34.874038724685271</v>
      </c>
      <c r="AO910">
        <v>8.7799113383837071</v>
      </c>
      <c r="AP910">
        <v>96.47589961765064</v>
      </c>
      <c r="AQ910">
        <v>70.954923907362797</v>
      </c>
      <c r="AR910">
        <v>8.5307550453214329</v>
      </c>
      <c r="AS910">
        <v>128.02582312361531</v>
      </c>
      <c r="AT910" t="e">
        <v>#DIV/0!</v>
      </c>
      <c r="AU910" t="e">
        <v>#DIV/0!</v>
      </c>
      <c r="AV910"/>
      <c r="AW910"/>
      <c r="FY910" s="210">
        <v>905</v>
      </c>
      <c r="FZ910">
        <v>13.296795712572884</v>
      </c>
      <c r="GA910">
        <v>26.116894586753943</v>
      </c>
      <c r="GB910">
        <v>9.1163279660354473</v>
      </c>
      <c r="GC910">
        <v>2.1885170944342391</v>
      </c>
      <c r="GD910">
        <v>0.56708042689235438</v>
      </c>
      <c r="GE910">
        <v>6.1675619380366468E-3</v>
      </c>
      <c r="GF910">
        <v>0.49967954609766535</v>
      </c>
      <c r="GG910">
        <v>0.60735729784495363</v>
      </c>
      <c r="GH910">
        <v>2.0851096026677332</v>
      </c>
      <c r="GI910">
        <v>5.0506313547637314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50.793153621601896</v>
      </c>
      <c r="AO911">
        <v>13.191040876518002</v>
      </c>
      <c r="AP911">
        <v>142.37571407549564</v>
      </c>
      <c r="AQ911">
        <v>106.99231417034358</v>
      </c>
      <c r="AR911">
        <v>12.492573344025669</v>
      </c>
      <c r="AS911">
        <v>183.85308494184426</v>
      </c>
      <c r="AT911">
        <v>8.1582485391857738</v>
      </c>
      <c r="AU911">
        <v>63.002591890306334</v>
      </c>
      <c r="AV911"/>
      <c r="AW911"/>
      <c r="FY911" s="210">
        <v>906</v>
      </c>
      <c r="FZ911">
        <v>4.4032305389670041</v>
      </c>
      <c r="GA911">
        <v>19.266094918528545</v>
      </c>
      <c r="GB911">
        <v>10.532241587669828</v>
      </c>
      <c r="GC911">
        <v>2.012578616733129</v>
      </c>
      <c r="GD911">
        <v>0.79802067864580095</v>
      </c>
      <c r="GE911">
        <v>1.5901701362337088</v>
      </c>
      <c r="GF911">
        <v>6.6683226402454396</v>
      </c>
      <c r="GG911">
        <v>5.9228958567454129</v>
      </c>
      <c r="GH911">
        <v>3.0188817336412632</v>
      </c>
      <c r="GI911">
        <v>5.6778433886289026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37.442030423280428</v>
      </c>
      <c r="AO912">
        <v>9.8034122427577977</v>
      </c>
      <c r="AP912">
        <v>96.620291913204568</v>
      </c>
      <c r="AQ912">
        <v>74.114786552461183</v>
      </c>
      <c r="AR912">
        <v>9.4236367058388364</v>
      </c>
      <c r="AS912">
        <v>121.2704633641917</v>
      </c>
      <c r="AT912">
        <v>6.3805597970015953</v>
      </c>
      <c r="AU912">
        <v>30.602435655175757</v>
      </c>
      <c r="AV912"/>
      <c r="AW912"/>
      <c r="FY912" s="210">
        <v>907</v>
      </c>
      <c r="FZ912">
        <v>3.6031614063719193</v>
      </c>
      <c r="GA912">
        <v>26.482296694469685</v>
      </c>
      <c r="GB912">
        <v>13.703531859511362</v>
      </c>
      <c r="GC912">
        <v>2.2054756657512469</v>
      </c>
      <c r="GD912">
        <v>0.93690357867996332</v>
      </c>
      <c r="GE912">
        <v>0.14020141262716906</v>
      </c>
      <c r="GF912">
        <v>3.4653163941468206</v>
      </c>
      <c r="GG912">
        <v>4.1555121435033504</v>
      </c>
      <c r="GH912">
        <v>2.7244140291507226</v>
      </c>
      <c r="GI912">
        <v>5.7484343472045074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59.232654282977549</v>
      </c>
      <c r="AO913">
        <v>12.739952867696838</v>
      </c>
      <c r="AP913">
        <v>138.85904662666931</v>
      </c>
      <c r="AQ913">
        <v>111.60991706457486</v>
      </c>
      <c r="AR913">
        <v>12.211223458785067</v>
      </c>
      <c r="AS913">
        <v>200.10425356388578</v>
      </c>
      <c r="AT913">
        <v>7.9182354382931885</v>
      </c>
      <c r="AU913">
        <v>52.512554519446965</v>
      </c>
      <c r="AV913"/>
      <c r="AW913"/>
      <c r="FY913" s="210">
        <v>908</v>
      </c>
      <c r="FZ913">
        <v>14.15854406662625</v>
      </c>
      <c r="GA913">
        <v>27.836917134262553</v>
      </c>
      <c r="GB913">
        <v>7.7412882883262943</v>
      </c>
      <c r="GC913">
        <v>1.193261289370694</v>
      </c>
      <c r="GD913">
        <v>0.50118925667182668</v>
      </c>
      <c r="GE913">
        <v>2.6174787679793958</v>
      </c>
      <c r="GF913">
        <v>5.7793027484713875</v>
      </c>
      <c r="GG913">
        <v>3.0872425898882456</v>
      </c>
      <c r="GH913">
        <v>4.411247088393397</v>
      </c>
      <c r="GI913">
        <v>6.3440841703010555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33.948939518336068</v>
      </c>
      <c r="AO914">
        <v>9.2431138833932955</v>
      </c>
      <c r="AP914">
        <v>92.759459439290893</v>
      </c>
      <c r="AQ914">
        <v>69.02783269442476</v>
      </c>
      <c r="AR914">
        <v>8.7763412408300265</v>
      </c>
      <c r="AS914">
        <v>161.3420779313328</v>
      </c>
      <c r="AT914">
        <v>5.7151962721496901</v>
      </c>
      <c r="AU914">
        <v>34.613990242458534</v>
      </c>
      <c r="AV914"/>
      <c r="AW914"/>
      <c r="FY914" s="210">
        <v>909</v>
      </c>
      <c r="FZ914">
        <v>10.840843966330111</v>
      </c>
      <c r="GA914">
        <v>24.267919322020628</v>
      </c>
      <c r="GB914">
        <v>7.1825227486690437</v>
      </c>
      <c r="GC914">
        <v>1.7783625518527835</v>
      </c>
      <c r="GD914">
        <v>0.83846952073333225</v>
      </c>
      <c r="GE914">
        <v>1.4499687236065399</v>
      </c>
      <c r="GF914">
        <v>8.3387659473794109</v>
      </c>
      <c r="GG914">
        <v>7.5085120841260853</v>
      </c>
      <c r="GH914">
        <v>4.411247088393397</v>
      </c>
      <c r="GI914">
        <v>6.4149823323316904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38.255157589855862</v>
      </c>
      <c r="AO915">
        <v>11.546123386160769</v>
      </c>
      <c r="AP915">
        <v>117.81430990018323</v>
      </c>
      <c r="AQ915">
        <v>85.745647973088055</v>
      </c>
      <c r="AR915">
        <v>10.804909907804557</v>
      </c>
      <c r="AS915">
        <v>143.81809293379843</v>
      </c>
      <c r="AT915" t="e">
        <v>#DIV/0!</v>
      </c>
      <c r="AU915" t="e">
        <v>#DIV/0!</v>
      </c>
      <c r="AV915"/>
      <c r="AW915"/>
      <c r="FY915" s="210">
        <v>910</v>
      </c>
      <c r="FZ915">
        <v>30.792121006771843</v>
      </c>
      <c r="GA915">
        <v>47.937935547489502</v>
      </c>
      <c r="GB915">
        <v>9.093345783938247</v>
      </c>
      <c r="GC915">
        <v>2.2593219075885633</v>
      </c>
      <c r="GD915">
        <v>0.80189125950448581</v>
      </c>
      <c r="GE915">
        <v>1.730371548860878</v>
      </c>
      <c r="GF915">
        <v>5.3541462643116198</v>
      </c>
      <c r="GG915">
        <v>4.6337483670847011</v>
      </c>
      <c r="GH915">
        <v>4.9924841917719807</v>
      </c>
      <c r="GI915">
        <v>9.2915656731101048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69.832374338624362</v>
      </c>
      <c r="AO916">
        <v>17.141296337400242</v>
      </c>
      <c r="AP916">
        <v>185.8325069939817</v>
      </c>
      <c r="AQ916">
        <v>146.78041474066629</v>
      </c>
      <c r="AR916">
        <v>16.348749953928472</v>
      </c>
      <c r="AS916">
        <v>243.17571004365533</v>
      </c>
      <c r="AT916" t="e">
        <v>#DIV/0!</v>
      </c>
      <c r="AU916" t="e">
        <v>#DIV/0!</v>
      </c>
      <c r="AV916"/>
      <c r="AW916"/>
      <c r="FY916" s="210">
        <v>911</v>
      </c>
      <c r="FZ916">
        <v>4.9172261747909838</v>
      </c>
      <c r="GA916">
        <v>25.110511110536134</v>
      </c>
      <c r="GB916">
        <v>11.631429648098404</v>
      </c>
      <c r="GC916">
        <v>1.1251004847642019</v>
      </c>
      <c r="GD916">
        <v>0.69074202704362264</v>
      </c>
      <c r="GE916">
        <v>2.8958257392543887</v>
      </c>
      <c r="GF916">
        <v>7.5037697369101322</v>
      </c>
      <c r="GG916">
        <v>3.2008252468436651</v>
      </c>
      <c r="GH916">
        <v>0.80768982191308281</v>
      </c>
      <c r="GI916">
        <v>5.8713216321051371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33.250197272395553</v>
      </c>
      <c r="AO917">
        <v>9.7193022195426106</v>
      </c>
      <c r="AP917">
        <v>98.279070121791634</v>
      </c>
      <c r="AQ917">
        <v>71.56411503635718</v>
      </c>
      <c r="AR917">
        <v>9.4618152213046827</v>
      </c>
      <c r="AS917">
        <v>122.71428596528331</v>
      </c>
      <c r="AT917" t="e">
        <v>#DIV/0!</v>
      </c>
      <c r="AU917" t="e">
        <v>#DIV/0!</v>
      </c>
      <c r="AV917"/>
      <c r="AW917"/>
      <c r="FY917" s="210">
        <v>912</v>
      </c>
      <c r="FZ917">
        <v>4.8511793187219387</v>
      </c>
      <c r="GA917">
        <v>24.169718363539459</v>
      </c>
      <c r="GB917">
        <v>13.372740011088929</v>
      </c>
      <c r="GC917">
        <v>1.9692540168994352</v>
      </c>
      <c r="GD917">
        <v>0.48629731338972909</v>
      </c>
      <c r="GE917">
        <v>1.3118231649587164</v>
      </c>
      <c r="GF917">
        <v>7.212376657555895</v>
      </c>
      <c r="GG917">
        <v>6.4536299496852507</v>
      </c>
      <c r="GH917">
        <v>3.8300099850148128</v>
      </c>
      <c r="GI917">
        <v>6.5829183284327648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29.813326719576718</v>
      </c>
      <c r="AO918">
        <v>9.1374457215320746</v>
      </c>
      <c r="AP918">
        <v>93.267066759248905</v>
      </c>
      <c r="AQ918">
        <v>68.512959683974898</v>
      </c>
      <c r="AR918">
        <v>8.7103365844345824</v>
      </c>
      <c r="AS918">
        <v>102.12207575032451</v>
      </c>
      <c r="AT918">
        <v>5.8618570337195521</v>
      </c>
      <c r="AU918">
        <v>38.030690716602209</v>
      </c>
      <c r="AV918"/>
      <c r="AW918"/>
      <c r="FY918" s="210">
        <v>913</v>
      </c>
      <c r="FZ918">
        <v>31.791211070841236</v>
      </c>
      <c r="GA918">
        <v>49.833268454004823</v>
      </c>
      <c r="GB918">
        <v>8.9791605155484611</v>
      </c>
      <c r="GC918">
        <v>1.7407188556417943</v>
      </c>
      <c r="GD918">
        <v>0.76182404469214093</v>
      </c>
      <c r="GE918">
        <v>2.6174787679793958</v>
      </c>
      <c r="GF918">
        <v>8.576135345428872</v>
      </c>
      <c r="GG918">
        <v>5.72774095170975</v>
      </c>
      <c r="GH918">
        <v>3.6001188370198469</v>
      </c>
      <c r="GI918">
        <v>9.8911663637920721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29.318566981390262</v>
      </c>
      <c r="AO919">
        <v>8.6756780034037426</v>
      </c>
      <c r="AP919">
        <v>89.874902452679834</v>
      </c>
      <c r="AQ919">
        <v>66.233025519752104</v>
      </c>
      <c r="AR919">
        <v>8.2676048350522287</v>
      </c>
      <c r="AS919">
        <v>113.95637648143536</v>
      </c>
      <c r="AT919">
        <v>5.4763276515100072</v>
      </c>
      <c r="AU919">
        <v>60.829463036755072</v>
      </c>
      <c r="AV919"/>
      <c r="AW919"/>
      <c r="FY919" s="210">
        <v>914</v>
      </c>
      <c r="FZ919">
        <v>3.1009810344755455</v>
      </c>
      <c r="GA919">
        <v>31.652878255509485</v>
      </c>
      <c r="GB919">
        <v>16.068406837479372</v>
      </c>
      <c r="GC919">
        <v>1.8830453364321207</v>
      </c>
      <c r="GD919">
        <v>0.76739223153398706</v>
      </c>
      <c r="GE919">
        <v>1.4479128696271943</v>
      </c>
      <c r="GF919">
        <v>7.9635161811606254</v>
      </c>
      <c r="GG919">
        <v>5.6068385001510652</v>
      </c>
      <c r="GH919">
        <v>0.22645271853449905</v>
      </c>
      <c r="GI919">
        <v>6.7883653390041205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29.946362433862429</v>
      </c>
      <c r="AO920">
        <v>11.95508990984999</v>
      </c>
      <c r="AP920">
        <v>123.46181462915879</v>
      </c>
      <c r="AQ920">
        <v>86.151539768007524</v>
      </c>
      <c r="AR920">
        <v>11.173619926183569</v>
      </c>
      <c r="AS920">
        <v>130.83294040310656</v>
      </c>
      <c r="AT920">
        <v>8.1493353832987001</v>
      </c>
      <c r="AU920">
        <v>122.65880310773046</v>
      </c>
      <c r="AV920"/>
      <c r="AW920"/>
      <c r="FY920" s="210">
        <v>915</v>
      </c>
      <c r="FZ920">
        <v>14.364342570813662</v>
      </c>
      <c r="GA920">
        <v>32.732734593020574</v>
      </c>
      <c r="GB920">
        <v>13.3102126228572</v>
      </c>
      <c r="GC920">
        <v>2.7611217431080881</v>
      </c>
      <c r="GD920">
        <v>0.65266584917509873</v>
      </c>
      <c r="GE920">
        <v>0</v>
      </c>
      <c r="GF920">
        <v>3.2424884617503755</v>
      </c>
      <c r="GG920">
        <v>3.7903401635168521</v>
      </c>
      <c r="GH920">
        <v>1.1055959558640902</v>
      </c>
      <c r="GI920">
        <v>6.7471005298072466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31.789366105637658</v>
      </c>
      <c r="AO921">
        <v>7.3222023687094691</v>
      </c>
      <c r="AP921">
        <v>77.382839217742756</v>
      </c>
      <c r="AQ921">
        <v>59.534561150000997</v>
      </c>
      <c r="AR921">
        <v>7.2163611633788829</v>
      </c>
      <c r="AS921">
        <v>100.54108663646514</v>
      </c>
      <c r="AT921" t="e">
        <v>#DIV/0!</v>
      </c>
      <c r="AU921" t="e">
        <v>#DIV/0!</v>
      </c>
      <c r="AV921"/>
      <c r="AW921"/>
      <c r="FY921" s="210">
        <v>916</v>
      </c>
      <c r="FZ921">
        <v>6.0561372756854164</v>
      </c>
      <c r="GA921">
        <v>23.379752024968816</v>
      </c>
      <c r="GB921">
        <v>10.832527460620319</v>
      </c>
      <c r="GC921">
        <v>1.234267626874348</v>
      </c>
      <c r="GD921">
        <v>0.54356795775984024</v>
      </c>
      <c r="GE921">
        <v>1.4520245775858855</v>
      </c>
      <c r="GF921">
        <v>2.8531481160739895</v>
      </c>
      <c r="GG921">
        <v>1.5620441945046388</v>
      </c>
      <c r="GH921">
        <v>1.913285777777173</v>
      </c>
      <c r="GI921">
        <v>4.9108999026302014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24.476964171683999</v>
      </c>
      <c r="AO922">
        <v>8.6562343426574238</v>
      </c>
      <c r="AP922">
        <v>85.927121209454725</v>
      </c>
      <c r="AQ922">
        <v>59.890280096039035</v>
      </c>
      <c r="AR922">
        <v>8.2122381160303721</v>
      </c>
      <c r="AS922">
        <v>107.76493371852524</v>
      </c>
      <c r="AT922">
        <v>5.4224955276432967</v>
      </c>
      <c r="AU922">
        <v>3.2436615106539488</v>
      </c>
      <c r="AV922"/>
      <c r="AW922"/>
      <c r="FY922" s="210">
        <v>917</v>
      </c>
      <c r="FZ922">
        <v>4.7814796015542065</v>
      </c>
      <c r="GA922">
        <v>28.748541389315612</v>
      </c>
      <c r="GB922">
        <v>14.519485501151408</v>
      </c>
      <c r="GC922">
        <v>1.6737448301892215</v>
      </c>
      <c r="GD922">
        <v>0.73140048109321021</v>
      </c>
      <c r="GE922">
        <v>2.7556243266272196</v>
      </c>
      <c r="GF922">
        <v>6.333005975873828</v>
      </c>
      <c r="GG922">
        <v>3.4015961506543198</v>
      </c>
      <c r="GH922">
        <v>2.7924290151067641</v>
      </c>
      <c r="GI922">
        <v>6.7094404703233215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26.124122536945812</v>
      </c>
      <c r="AO923">
        <v>8.7612443200678705</v>
      </c>
      <c r="AP923">
        <v>91.611368597150104</v>
      </c>
      <c r="AQ923">
        <v>63.165247531416739</v>
      </c>
      <c r="AR923">
        <v>8.4272425304599743</v>
      </c>
      <c r="AS923">
        <v>119.40168380638292</v>
      </c>
      <c r="AT923" t="e">
        <v>#DIV/0!</v>
      </c>
      <c r="AU923" t="e">
        <v>#DIV/0!</v>
      </c>
      <c r="AV923"/>
      <c r="AW923"/>
      <c r="FY923" s="210">
        <v>918</v>
      </c>
      <c r="FZ923">
        <v>3.7976132983627369</v>
      </c>
      <c r="GA923">
        <v>22.912398358026266</v>
      </c>
      <c r="GB923">
        <v>12.746413553518384</v>
      </c>
      <c r="GC923">
        <v>2.204416871757533</v>
      </c>
      <c r="GD923">
        <v>0.85160142274689044</v>
      </c>
      <c r="GE923">
        <v>1.4479128696271943</v>
      </c>
      <c r="GF923">
        <v>5.5705653955325438</v>
      </c>
      <c r="GG923">
        <v>5.0778082030394991</v>
      </c>
      <c r="GH923">
        <v>5.2189369103064793</v>
      </c>
      <c r="GI923">
        <v>6.3470183076586002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31.985811211457758</v>
      </c>
      <c r="AO924">
        <v>9.6081383462881487</v>
      </c>
      <c r="AP924">
        <v>100.46495355919217</v>
      </c>
      <c r="AQ924">
        <v>73.670555400291121</v>
      </c>
      <c r="AR924">
        <v>9.1266864092085207</v>
      </c>
      <c r="AS924">
        <v>125.18150543252676</v>
      </c>
      <c r="AT924">
        <v>6.017645089356809</v>
      </c>
      <c r="AU924">
        <v>48.500466959902319</v>
      </c>
      <c r="AV924"/>
      <c r="AW924"/>
      <c r="FY924" s="210">
        <v>919</v>
      </c>
      <c r="FZ924">
        <v>13.033089401714722</v>
      </c>
      <c r="GA924">
        <v>21.493575358459104</v>
      </c>
      <c r="GB924">
        <v>4.2585286896989771</v>
      </c>
      <c r="GC924">
        <v>1.3601310183608841</v>
      </c>
      <c r="GD924">
        <v>0.97332070664769821</v>
      </c>
      <c r="GE924">
        <v>1.3077114570000252</v>
      </c>
      <c r="GF924">
        <v>2.4074922512810986</v>
      </c>
      <c r="GG924">
        <v>1.0017173094824789</v>
      </c>
      <c r="GH924">
        <v>1.8017786332401569</v>
      </c>
      <c r="GI924">
        <v>4.3668780185317573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30.828436872833429</v>
      </c>
      <c r="AO925">
        <v>9.9073074216628783</v>
      </c>
      <c r="AP925">
        <v>100.31547979456833</v>
      </c>
      <c r="AQ925">
        <v>73.03159428544302</v>
      </c>
      <c r="AR925">
        <v>9.3216472043063376</v>
      </c>
      <c r="AS925">
        <v>118.80011821613537</v>
      </c>
      <c r="AT925">
        <v>6.1403307253679102</v>
      </c>
      <c r="AU925">
        <v>35.058425929598982</v>
      </c>
      <c r="AV925"/>
      <c r="AW925"/>
      <c r="FY925" s="210">
        <v>920</v>
      </c>
      <c r="FZ925">
        <v>11.401983064435324</v>
      </c>
      <c r="GA925">
        <v>22.20531947811477</v>
      </c>
      <c r="GB925">
        <v>6.8136967176088294</v>
      </c>
      <c r="GC925">
        <v>1.8599113548059869</v>
      </c>
      <c r="GD925">
        <v>0.69981469681561081</v>
      </c>
      <c r="GE925">
        <v>1.4499687236065399</v>
      </c>
      <c r="GF925">
        <v>2.6843438649823188</v>
      </c>
      <c r="GG925">
        <v>2.0034346189649579</v>
      </c>
      <c r="GH925">
        <v>2.2111919117281804</v>
      </c>
      <c r="GI925">
        <v>4.7803297709494332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58.217574917898197</v>
      </c>
      <c r="AO926">
        <v>14.018809519481986</v>
      </c>
      <c r="AP926">
        <v>148.71506555082587</v>
      </c>
      <c r="AQ926">
        <v>116.88693155043192</v>
      </c>
      <c r="AR926">
        <v>13.29940815866737</v>
      </c>
      <c r="AS926">
        <v>172.95550462850682</v>
      </c>
      <c r="AT926">
        <v>8.5022613473286928</v>
      </c>
      <c r="AU926">
        <v>129.21036520549214</v>
      </c>
      <c r="AV926"/>
      <c r="AW926"/>
      <c r="FY926" s="210">
        <v>921</v>
      </c>
      <c r="FZ926">
        <v>22.087284819567355</v>
      </c>
      <c r="GA926">
        <v>33.244919515128402</v>
      </c>
      <c r="GB926">
        <v>7.1061436153461299</v>
      </c>
      <c r="GC926">
        <v>1.7051672922703465</v>
      </c>
      <c r="GD926">
        <v>0.48286083543228503</v>
      </c>
      <c r="GE926">
        <v>0</v>
      </c>
      <c r="GF926">
        <v>1.5180214733116304</v>
      </c>
      <c r="GG926">
        <v>3.0872425898882456</v>
      </c>
      <c r="GH926">
        <v>3.1338273076387462</v>
      </c>
      <c r="GI926">
        <v>6.2266742348791571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20.370450761722314</v>
      </c>
      <c r="AO927">
        <v>9.0555235407637547</v>
      </c>
      <c r="AP927">
        <v>93.83665114348959</v>
      </c>
      <c r="AQ927">
        <v>63.754441622259755</v>
      </c>
      <c r="AR927">
        <v>8.4832890134169219</v>
      </c>
      <c r="AS927">
        <v>107.51928258092586</v>
      </c>
      <c r="AT927">
        <v>5.5649055968375798</v>
      </c>
      <c r="AU927">
        <v>5.0790923629599476</v>
      </c>
      <c r="AV927"/>
      <c r="AW927"/>
      <c r="FY927" s="210">
        <v>922</v>
      </c>
      <c r="FZ927">
        <v>21.159137395662032</v>
      </c>
      <c r="GA927">
        <v>52.663194698849352</v>
      </c>
      <c r="GB927">
        <v>14.439816994692196</v>
      </c>
      <c r="GC927">
        <v>0.97699376669546911</v>
      </c>
      <c r="GD927">
        <v>0.78734277945190501</v>
      </c>
      <c r="GE927">
        <v>0.28451453321302922</v>
      </c>
      <c r="GF927">
        <v>4.0093704114572768</v>
      </c>
      <c r="GG927">
        <v>4.68624623644319</v>
      </c>
      <c r="GH927">
        <v>1.913285777777173</v>
      </c>
      <c r="GI927">
        <v>8.6044746985773237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22.033282589855862</v>
      </c>
      <c r="AO928">
        <v>10.015427585679635</v>
      </c>
      <c r="AP928">
        <v>104.10981981607303</v>
      </c>
      <c r="AQ928">
        <v>70.239947109286931</v>
      </c>
      <c r="AR928">
        <v>9.6470796629854281</v>
      </c>
      <c r="AS928">
        <v>134.87490814779514</v>
      </c>
      <c r="AT928">
        <v>6.4506176660918051</v>
      </c>
      <c r="AU928">
        <v>6.3000415032889174</v>
      </c>
      <c r="AV928"/>
      <c r="AW928"/>
      <c r="FY928" s="210">
        <v>923</v>
      </c>
      <c r="FZ928">
        <v>12.377455278928853</v>
      </c>
      <c r="GA928">
        <v>32.132734073893438</v>
      </c>
      <c r="GB928">
        <v>11.109742409676647</v>
      </c>
      <c r="GC928">
        <v>1.5076973887540035</v>
      </c>
      <c r="GD928">
        <v>0.6708407173369989</v>
      </c>
      <c r="GE928">
        <v>1.4499687236065399</v>
      </c>
      <c r="GF928">
        <v>2.6843438649823188</v>
      </c>
      <c r="GG928">
        <v>1.4139197022917709</v>
      </c>
      <c r="GH928">
        <v>3.4205967065267897</v>
      </c>
      <c r="GI928">
        <v>6.2562637628663538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56.237829547527824</v>
      </c>
      <c r="AO929">
        <v>15.070938226059061</v>
      </c>
      <c r="AP929">
        <v>160.07561902830756</v>
      </c>
      <c r="AQ929">
        <v>123.51882320665838</v>
      </c>
      <c r="AR929">
        <v>14.145173622790129</v>
      </c>
      <c r="AS929">
        <v>231.94084598359291</v>
      </c>
      <c r="AT929">
        <v>9.259007367592945</v>
      </c>
      <c r="AU929">
        <v>162.92580120563289</v>
      </c>
      <c r="AV929"/>
      <c r="AW929"/>
      <c r="FY929" s="210">
        <v>924</v>
      </c>
      <c r="FZ929">
        <v>3.6593255839584629</v>
      </c>
      <c r="GA929">
        <v>25.59913296767488</v>
      </c>
      <c r="GB929">
        <v>14.29442826204091</v>
      </c>
      <c r="GC929">
        <v>2.7205053628036149</v>
      </c>
      <c r="GD929">
        <v>0.87001091074588366</v>
      </c>
      <c r="GE929">
        <v>1.4479128696271943</v>
      </c>
      <c r="GF929">
        <v>5.5959570317266998</v>
      </c>
      <c r="GG929">
        <v>3.9854950685525132</v>
      </c>
      <c r="GH929">
        <v>2.3830157366187406</v>
      </c>
      <c r="GI929">
        <v>6.3306239703493805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23.654315476190476</v>
      </c>
      <c r="AO930">
        <v>10.742659851517429</v>
      </c>
      <c r="AP930">
        <v>113.61794647099092</v>
      </c>
      <c r="AQ930">
        <v>75.505789303908017</v>
      </c>
      <c r="AR930">
        <v>9.9816400916381731</v>
      </c>
      <c r="AS930">
        <v>116.64000584890285</v>
      </c>
      <c r="AT930" t="e">
        <v>#DIV/0!</v>
      </c>
      <c r="AU930" t="e">
        <v>#DIV/0!</v>
      </c>
      <c r="AV930"/>
      <c r="AW930"/>
      <c r="FY930" s="210">
        <v>925</v>
      </c>
      <c r="FZ930">
        <v>2.2036223285775076</v>
      </c>
      <c r="GA930">
        <v>24.189663236180472</v>
      </c>
      <c r="GB930">
        <v>13.159825615811448</v>
      </c>
      <c r="GC930">
        <v>2.3585011817311234</v>
      </c>
      <c r="GD930">
        <v>1.0277348478545765</v>
      </c>
      <c r="GE930">
        <v>1.5881142822543635</v>
      </c>
      <c r="GF930">
        <v>6.3914710265442194</v>
      </c>
      <c r="GG930">
        <v>5.6807105388869577</v>
      </c>
      <c r="GH930">
        <v>4.411247088393397</v>
      </c>
      <c r="GI930">
        <v>6.4651490930398303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39.799833515781792</v>
      </c>
      <c r="AO931">
        <v>10.11791033147948</v>
      </c>
      <c r="AP931">
        <v>106.49451848666384</v>
      </c>
      <c r="AQ931">
        <v>78.70660248991318</v>
      </c>
      <c r="AR931">
        <v>9.7270684243895413</v>
      </c>
      <c r="AS931">
        <v>127.1387325385697</v>
      </c>
      <c r="AT931" t="e">
        <v>#DIV/0!</v>
      </c>
      <c r="AU931" t="e">
        <v>#DIV/0!</v>
      </c>
      <c r="AV931"/>
      <c r="AW931"/>
      <c r="FY931" s="210">
        <v>926</v>
      </c>
      <c r="FZ931">
        <v>4.0165627316113914</v>
      </c>
      <c r="GA931">
        <v>9.8032872129811768</v>
      </c>
      <c r="GB931">
        <v>7.0988218875259088</v>
      </c>
      <c r="GC931">
        <v>2.8968156677153618</v>
      </c>
      <c r="GD931">
        <v>0.94820832875801853</v>
      </c>
      <c r="GE931">
        <v>1.4520245775858855</v>
      </c>
      <c r="GF931">
        <v>3.2988039808668805</v>
      </c>
      <c r="GG931">
        <v>2.7118859961999857</v>
      </c>
      <c r="GH931">
        <v>3.7150644110173299</v>
      </c>
      <c r="GI931">
        <v>4.1972665759457852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20.97690031472359</v>
      </c>
      <c r="AO932">
        <v>7.4018006491099229</v>
      </c>
      <c r="AP932">
        <v>78.520186902737379</v>
      </c>
      <c r="AQ932">
        <v>54.737654914480629</v>
      </c>
      <c r="AR932">
        <v>7.1089704377407354</v>
      </c>
      <c r="AS932">
        <v>98.472876030932866</v>
      </c>
      <c r="AT932">
        <v>4.6881646138337567</v>
      </c>
      <c r="AU932">
        <v>1.8471884201923956</v>
      </c>
      <c r="AV932"/>
      <c r="AW932"/>
      <c r="FY932" s="210">
        <v>927</v>
      </c>
      <c r="FZ932">
        <v>32.188438540848765</v>
      </c>
      <c r="GA932">
        <v>53.836265908962147</v>
      </c>
      <c r="GB932">
        <v>10.781402787759827</v>
      </c>
      <c r="GC932">
        <v>1.6548834297365909</v>
      </c>
      <c r="GD932">
        <v>0.53899884783940111</v>
      </c>
      <c r="GE932">
        <v>1.3077114570000252</v>
      </c>
      <c r="GF932">
        <v>4.2467398095067397</v>
      </c>
      <c r="GG932">
        <v>2.1459431124028323</v>
      </c>
      <c r="GH932">
        <v>1.3889269252916665</v>
      </c>
      <c r="GI932">
        <v>8.9777177759976787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21.662300446998721</v>
      </c>
      <c r="AO933">
        <v>10.409510841585163</v>
      </c>
      <c r="AP933">
        <v>108.25355984288765</v>
      </c>
      <c r="AQ933">
        <v>72.446747741889112</v>
      </c>
      <c r="AR933">
        <v>9.8056686188133231</v>
      </c>
      <c r="AS933">
        <v>143.58840201088742</v>
      </c>
      <c r="AT933">
        <v>6.5483070517702684</v>
      </c>
      <c r="AU933">
        <v>6.3127460665424016</v>
      </c>
      <c r="AV933"/>
      <c r="AW933"/>
      <c r="FY933" s="210">
        <v>928</v>
      </c>
      <c r="FZ933">
        <v>21.636652991525448</v>
      </c>
      <c r="GA933">
        <v>38.854354197270254</v>
      </c>
      <c r="GB933">
        <v>8.5940035378312754</v>
      </c>
      <c r="GC933">
        <v>1.8719686311481101</v>
      </c>
      <c r="GD933">
        <v>0.83735509760230142</v>
      </c>
      <c r="GE933">
        <v>0</v>
      </c>
      <c r="GF933">
        <v>5.0817360199760166</v>
      </c>
      <c r="GG933">
        <v>4.9345659664372041</v>
      </c>
      <c r="GH933">
        <v>2.3150007506626995</v>
      </c>
      <c r="GI933">
        <v>7.3985536896729753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22.439368386243384</v>
      </c>
      <c r="AO934">
        <v>9.5248065335841297</v>
      </c>
      <c r="AP934">
        <v>96.655985174670377</v>
      </c>
      <c r="AQ934">
        <v>66.174685190576128</v>
      </c>
      <c r="AR934">
        <v>9.2495925638911629</v>
      </c>
      <c r="AS934">
        <v>107.40277154557232</v>
      </c>
      <c r="AT934">
        <v>6.2517107245283547</v>
      </c>
      <c r="AU934">
        <v>4.4617607015941054</v>
      </c>
      <c r="AV934"/>
      <c r="AW934"/>
      <c r="FY934" s="210">
        <v>929</v>
      </c>
      <c r="FZ934">
        <v>23.647723616820201</v>
      </c>
      <c r="GA934">
        <v>47.595579944284026</v>
      </c>
      <c r="GB934">
        <v>13.586609942594361</v>
      </c>
      <c r="GC934">
        <v>2.2171711093456636</v>
      </c>
      <c r="GD934">
        <v>0.87006887290450985</v>
      </c>
      <c r="GE934">
        <v>1.5901701362337088</v>
      </c>
      <c r="GF934">
        <v>7.4638366350629592</v>
      </c>
      <c r="GG934">
        <v>5.7590131939301354</v>
      </c>
      <c r="GH934">
        <v>3.0791984139948072</v>
      </c>
      <c r="GI934">
        <v>9.634164841980505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28.882093253968254</v>
      </c>
      <c r="AO935">
        <v>6.4862454028815311</v>
      </c>
      <c r="AP935">
        <v>64.769064844870073</v>
      </c>
      <c r="AQ935">
        <v>52.004222844416901</v>
      </c>
      <c r="AR935">
        <v>6.1399271345445303</v>
      </c>
      <c r="AS935">
        <v>94.574298208613754</v>
      </c>
      <c r="AT935" t="e">
        <v>#DIV/0!</v>
      </c>
      <c r="AU935" t="e">
        <v>#DIV/0!</v>
      </c>
      <c r="AV935"/>
      <c r="AW935"/>
      <c r="FY935" s="210">
        <v>930</v>
      </c>
      <c r="FZ935">
        <v>33.353947003221258</v>
      </c>
      <c r="GA935">
        <v>54.286082395746803</v>
      </c>
      <c r="GB935">
        <v>10.627118361229954</v>
      </c>
      <c r="GC935">
        <v>1.5536419524695537</v>
      </c>
      <c r="GD935">
        <v>0.85738986796663408</v>
      </c>
      <c r="GE935">
        <v>1.4479128696271943</v>
      </c>
      <c r="GF935">
        <v>5.0962774856290345</v>
      </c>
      <c r="GG935">
        <v>2.7886228540343732</v>
      </c>
      <c r="GH935">
        <v>0.5812371033785837</v>
      </c>
      <c r="GI935">
        <v>9.4008578116293364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31.902064518336072</v>
      </c>
      <c r="AO936">
        <v>7.4049338597352161</v>
      </c>
      <c r="AP936">
        <v>74.587964808625102</v>
      </c>
      <c r="AQ936">
        <v>56.109994202011947</v>
      </c>
      <c r="AR936">
        <v>6.8734517322880144</v>
      </c>
      <c r="AS936">
        <v>103.63619906950721</v>
      </c>
      <c r="AT936" t="e">
        <v>#DIV/0!</v>
      </c>
      <c r="AU936" t="e">
        <v>#DIV/0!</v>
      </c>
      <c r="AV936"/>
      <c r="AW936"/>
      <c r="FY936" s="210">
        <v>931</v>
      </c>
      <c r="FZ936">
        <v>13.0454898679341</v>
      </c>
      <c r="GA936">
        <v>36.209768514217316</v>
      </c>
      <c r="GB936">
        <v>11.263662157067042</v>
      </c>
      <c r="GC936">
        <v>1.3576570467258284</v>
      </c>
      <c r="GD936">
        <v>0.95556293122631542</v>
      </c>
      <c r="GE936">
        <v>0.28245867923368362</v>
      </c>
      <c r="GF936">
        <v>8.3242244817263913</v>
      </c>
      <c r="GG936">
        <v>8.7249061299540571</v>
      </c>
      <c r="GH936">
        <v>1.913285777777173</v>
      </c>
      <c r="GI936">
        <v>7.539231241861704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40.353669494617769</v>
      </c>
      <c r="AO937">
        <v>9.3148690266020076</v>
      </c>
      <c r="AP937">
        <v>100.69429284207662</v>
      </c>
      <c r="AQ937">
        <v>78.592141683462302</v>
      </c>
      <c r="AR937">
        <v>9.0093376397125429</v>
      </c>
      <c r="AS937">
        <v>130.61536350018969</v>
      </c>
      <c r="AT937" t="e">
        <v>#DIV/0!</v>
      </c>
      <c r="AU937" t="e">
        <v>#DIV/0!</v>
      </c>
      <c r="AV937"/>
      <c r="AW937"/>
      <c r="FY937" s="210">
        <v>932</v>
      </c>
      <c r="FZ937">
        <v>11.510834494211085</v>
      </c>
      <c r="GA937">
        <v>41.627867565835004</v>
      </c>
      <c r="GB937">
        <v>15.861491494124229</v>
      </c>
      <c r="GC937">
        <v>1.7969813060942035</v>
      </c>
      <c r="GD937">
        <v>0.74528968757900893</v>
      </c>
      <c r="GE937">
        <v>2.7556243266272196</v>
      </c>
      <c r="GF937">
        <v>11.23628853466619</v>
      </c>
      <c r="GG937">
        <v>6.5453200239027032</v>
      </c>
      <c r="GH937">
        <v>0.5812371033785837</v>
      </c>
      <c r="GI937">
        <v>8.7528935979900151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42.82309854497354</v>
      </c>
      <c r="AO938">
        <v>13.462495764420501</v>
      </c>
      <c r="AP938">
        <v>151.89638343426725</v>
      </c>
      <c r="AQ938">
        <v>109.52437729281895</v>
      </c>
      <c r="AR938">
        <v>12.737107276939927</v>
      </c>
      <c r="AS938">
        <v>150.09055527037813</v>
      </c>
      <c r="AT938" t="e">
        <v>#DIV/0!</v>
      </c>
      <c r="AU938" t="e">
        <v>#DIV/0!</v>
      </c>
      <c r="AV938"/>
      <c r="AW938"/>
      <c r="FY938" s="210">
        <v>933</v>
      </c>
      <c r="FZ938">
        <v>12.623563922516722</v>
      </c>
      <c r="GA938">
        <v>32.610370015978162</v>
      </c>
      <c r="GB938">
        <v>11.670484343335941</v>
      </c>
      <c r="GC938">
        <v>1.6658873199143178</v>
      </c>
      <c r="GD938">
        <v>0.83428615823705676</v>
      </c>
      <c r="GE938">
        <v>0.14431312058586016</v>
      </c>
      <c r="GF938">
        <v>1.8932712395304154</v>
      </c>
      <c r="GG938">
        <v>4.0593671072884048</v>
      </c>
      <c r="GH938">
        <v>4.7091532223444048</v>
      </c>
      <c r="GI938">
        <v>6.547735015982604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28.593435846560851</v>
      </c>
      <c r="AO939">
        <v>9.4458909188389022</v>
      </c>
      <c r="AP939">
        <v>101.46606005077398</v>
      </c>
      <c r="AQ939">
        <v>73.023562628863715</v>
      </c>
      <c r="AR939">
        <v>9.1158090915079057</v>
      </c>
      <c r="AS939">
        <v>129.63339152277081</v>
      </c>
      <c r="AT939">
        <v>6.4617221971197241</v>
      </c>
      <c r="AU939">
        <v>68.60847119938596</v>
      </c>
      <c r="AV939"/>
      <c r="AW939"/>
      <c r="FY939" s="210">
        <v>934</v>
      </c>
      <c r="FZ939">
        <v>13.198665555298328</v>
      </c>
      <c r="GA939">
        <v>35.779395075945772</v>
      </c>
      <c r="GB939">
        <v>11.07399759333514</v>
      </c>
      <c r="GC939">
        <v>0.96701837527836199</v>
      </c>
      <c r="GD939">
        <v>0.67602958806302371</v>
      </c>
      <c r="GE939">
        <v>1.3138790189380618</v>
      </c>
      <c r="GF939">
        <v>5.8187849641231448</v>
      </c>
      <c r="GG939">
        <v>4.3506670485390115</v>
      </c>
      <c r="GH939">
        <v>1.3320486743985893</v>
      </c>
      <c r="GI939">
        <v>6.6907764044020235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24.181397669220939</v>
      </c>
      <c r="AO940">
        <v>9.8193622980492155</v>
      </c>
      <c r="AP940">
        <v>99.647080811851879</v>
      </c>
      <c r="AQ940">
        <v>66.88640776409828</v>
      </c>
      <c r="AR940">
        <v>9.3062365278389443</v>
      </c>
      <c r="AS940">
        <v>116.04018516925433</v>
      </c>
      <c r="AT940">
        <v>6.0614092574319942</v>
      </c>
      <c r="AU940">
        <v>-2.0019347428871059</v>
      </c>
      <c r="AV940"/>
      <c r="AW940"/>
      <c r="FY940" s="210">
        <v>935</v>
      </c>
      <c r="FZ940">
        <v>23.181954856437368</v>
      </c>
      <c r="GA940">
        <v>48.820433641422198</v>
      </c>
      <c r="GB940">
        <v>13.986853927447408</v>
      </c>
      <c r="GC940">
        <v>1.4252455796423376</v>
      </c>
      <c r="GD940">
        <v>0.62555920078953775</v>
      </c>
      <c r="GE940">
        <v>1.5922259902130544</v>
      </c>
      <c r="GF940">
        <v>4.5776151045127342</v>
      </c>
      <c r="GG940">
        <v>3.3647079096589412</v>
      </c>
      <c r="GH940">
        <v>2.1397384963116721</v>
      </c>
      <c r="GI940">
        <v>8.7907055408244315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25.105122240467068</v>
      </c>
      <c r="AO941">
        <v>10.155430506911994</v>
      </c>
      <c r="AP941">
        <v>102.91746390077725</v>
      </c>
      <c r="AQ941">
        <v>67.476039239273888</v>
      </c>
      <c r="AR941">
        <v>9.6508894065167166</v>
      </c>
      <c r="AS941">
        <v>118.78134450689598</v>
      </c>
      <c r="AT941">
        <v>6.6162001390551559</v>
      </c>
      <c r="AU941">
        <v>-18.987587840339025</v>
      </c>
      <c r="AV941"/>
      <c r="AW941"/>
      <c r="FY941" s="210">
        <v>936</v>
      </c>
      <c r="FZ941">
        <v>4.0946811935475349</v>
      </c>
      <c r="GA941">
        <v>23.838021343365551</v>
      </c>
      <c r="GB941">
        <v>11.695728025929366</v>
      </c>
      <c r="GC941">
        <v>1.4690484456305382</v>
      </c>
      <c r="GD941">
        <v>0.49364582092597886</v>
      </c>
      <c r="GE941">
        <v>1.3077114570000252</v>
      </c>
      <c r="GF941">
        <v>5.5419333504219246</v>
      </c>
      <c r="GG941">
        <v>5.0380307972554164</v>
      </c>
      <c r="GH941">
        <v>3.2453344521757623</v>
      </c>
      <c r="GI941">
        <v>5.5705886171487302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21.041004150702424</v>
      </c>
      <c r="AO942">
        <v>6.1637167378469027</v>
      </c>
      <c r="AP942">
        <v>54.192835052803154</v>
      </c>
      <c r="AQ942">
        <v>40.138741370207725</v>
      </c>
      <c r="AR942">
        <v>5.9535369742211239</v>
      </c>
      <c r="AS942">
        <v>84.40132180773206</v>
      </c>
      <c r="AT942">
        <v>4.0385698401590222</v>
      </c>
      <c r="AU942">
        <v>2.041579283003184</v>
      </c>
      <c r="AV942"/>
      <c r="AW942"/>
      <c r="FY942" s="210">
        <v>937</v>
      </c>
      <c r="FZ942">
        <v>12.181442621120869</v>
      </c>
      <c r="GA942">
        <v>28.726174634867572</v>
      </c>
      <c r="GB942">
        <v>9.5486092005405041</v>
      </c>
      <c r="GC942">
        <v>2.3246969247448006</v>
      </c>
      <c r="GD942">
        <v>1.17965962164044</v>
      </c>
      <c r="GE942">
        <v>0.28657038719237471</v>
      </c>
      <c r="GF942">
        <v>2.8926303317257465</v>
      </c>
      <c r="GG942">
        <v>5.6935795447006621</v>
      </c>
      <c r="GH942">
        <v>5.1185665008324275</v>
      </c>
      <c r="GI942">
        <v>6.4167327578458284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59.897667510490791</v>
      </c>
      <c r="AO943">
        <v>13.520001529338185</v>
      </c>
      <c r="AP943">
        <v>149.18996249839654</v>
      </c>
      <c r="AQ943">
        <v>117.06702859534566</v>
      </c>
      <c r="AR943">
        <v>12.772050928178562</v>
      </c>
      <c r="AS943">
        <v>199.3648559203105</v>
      </c>
      <c r="AT943" t="e">
        <v>#DIV/0!</v>
      </c>
      <c r="AU943" t="e">
        <v>#DIV/0!</v>
      </c>
      <c r="AV943"/>
      <c r="AW943"/>
      <c r="FY943" s="210">
        <v>938</v>
      </c>
      <c r="FZ943">
        <v>6.3014122628673643</v>
      </c>
      <c r="GA943">
        <v>11.109601827430621</v>
      </c>
      <c r="GB943">
        <v>5.5570566812840827</v>
      </c>
      <c r="GC943">
        <v>2.1665526225139757</v>
      </c>
      <c r="GD943">
        <v>1.0115333253224668</v>
      </c>
      <c r="GE943">
        <v>0.14020141262716906</v>
      </c>
      <c r="GF943">
        <v>2.669802399329301</v>
      </c>
      <c r="GG943">
        <v>3.5598628146946032</v>
      </c>
      <c r="GH943">
        <v>2.7209755996902558</v>
      </c>
      <c r="GI943">
        <v>3.9437895739694899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42.79449404761904</v>
      </c>
      <c r="AO944">
        <v>11.214250198238322</v>
      </c>
      <c r="AP944">
        <v>120.82130643985336</v>
      </c>
      <c r="AQ944">
        <v>91.524190882126291</v>
      </c>
      <c r="AR944">
        <v>10.784149881577052</v>
      </c>
      <c r="AS944">
        <v>125.25498793972712</v>
      </c>
      <c r="AT944" t="e">
        <v>#DIV/0!</v>
      </c>
      <c r="AU944" t="e">
        <v>#DIV/0!</v>
      </c>
      <c r="AV944"/>
      <c r="AW944"/>
      <c r="FY944" s="210">
        <v>939</v>
      </c>
      <c r="FZ944">
        <v>22.234432942067492</v>
      </c>
      <c r="GA944">
        <v>35.887977283765657</v>
      </c>
      <c r="GB944">
        <v>7.3074177860774707</v>
      </c>
      <c r="GC944">
        <v>1.5055704360738813</v>
      </c>
      <c r="GD944">
        <v>0.7314348940688864</v>
      </c>
      <c r="GE944">
        <v>0.14020141262716906</v>
      </c>
      <c r="GF944">
        <v>7.2518588732076523</v>
      </c>
      <c r="GG944">
        <v>6.9575224167119947</v>
      </c>
      <c r="GH944">
        <v>1.5038724992891495</v>
      </c>
      <c r="GI944">
        <v>7.3589861598830169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49.368120552818823</v>
      </c>
      <c r="AO945">
        <v>14.639489233227545</v>
      </c>
      <c r="AP945">
        <v>156.45421846060989</v>
      </c>
      <c r="AQ945">
        <v>115.44353670715088</v>
      </c>
      <c r="AR945">
        <v>13.992819538270677</v>
      </c>
      <c r="AS945">
        <v>201.01674429069575</v>
      </c>
      <c r="AT945">
        <v>9.2516365473707101</v>
      </c>
      <c r="AU945">
        <v>93.213945042397327</v>
      </c>
      <c r="AV945"/>
      <c r="AW945"/>
      <c r="FY945" s="210">
        <v>940</v>
      </c>
      <c r="FZ945">
        <v>3.5623931777790645</v>
      </c>
      <c r="GA945">
        <v>14.663128081892431</v>
      </c>
      <c r="GB945">
        <v>8.395107166883502</v>
      </c>
      <c r="GC945">
        <v>2.561277110739594</v>
      </c>
      <c r="GD945">
        <v>1.1452586279461545</v>
      </c>
      <c r="GE945">
        <v>1.5881142822543635</v>
      </c>
      <c r="GF945">
        <v>4.5235914232079599</v>
      </c>
      <c r="GG945">
        <v>3.9071924135093345</v>
      </c>
      <c r="GH945">
        <v>4.411247088393397</v>
      </c>
      <c r="GI945">
        <v>5.0356713475341115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59.012234309432571</v>
      </c>
      <c r="AO946">
        <v>14.127863178227278</v>
      </c>
      <c r="AP946">
        <v>154.36496766734467</v>
      </c>
      <c r="AQ946">
        <v>119.99308770493271</v>
      </c>
      <c r="AR946">
        <v>13.470046428001599</v>
      </c>
      <c r="AS946">
        <v>181.63879259989426</v>
      </c>
      <c r="AT946" t="e">
        <v>#DIV/0!</v>
      </c>
      <c r="AU946" t="e">
        <v>#DIV/0!</v>
      </c>
      <c r="AV946"/>
      <c r="AW946"/>
      <c r="FY946" s="210">
        <v>941</v>
      </c>
      <c r="FZ946">
        <v>21.865300124248829</v>
      </c>
      <c r="GA946">
        <v>36.038925416586871</v>
      </c>
      <c r="GB946">
        <v>7.7181289124764998</v>
      </c>
      <c r="GC946">
        <v>1.7866600050818575</v>
      </c>
      <c r="GD946">
        <v>0.60239444521517471</v>
      </c>
      <c r="GE946">
        <v>2.6154229140000504</v>
      </c>
      <c r="GF946">
        <v>7.4497460556053579</v>
      </c>
      <c r="GG946">
        <v>3.153794834020871</v>
      </c>
      <c r="GH946">
        <v>1.6188180732866324</v>
      </c>
      <c r="GI946">
        <v>7.4050619916746854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31.632455870279149</v>
      </c>
      <c r="AO947">
        <v>11.854235485059597</v>
      </c>
      <c r="AP947">
        <v>127.31844283040161</v>
      </c>
      <c r="AQ947">
        <v>89.6162468277236</v>
      </c>
      <c r="AR947">
        <v>11.204627684397288</v>
      </c>
      <c r="AS947">
        <v>126.46032713153953</v>
      </c>
      <c r="AT947" t="e">
        <v>#DIV/0!</v>
      </c>
      <c r="AU947" t="e">
        <v>#DIV/0!</v>
      </c>
      <c r="AV947"/>
      <c r="AW947"/>
      <c r="FY947" s="210">
        <v>942</v>
      </c>
      <c r="FZ947">
        <v>33.771083711538289</v>
      </c>
      <c r="GA947">
        <v>52.379100300129068</v>
      </c>
      <c r="GB947">
        <v>10.604897132223817</v>
      </c>
      <c r="GC947">
        <v>1.6115951907859365</v>
      </c>
      <c r="GD947">
        <v>0.51772637113537634</v>
      </c>
      <c r="GE947">
        <v>1.7283156948815326</v>
      </c>
      <c r="GF947">
        <v>3.9795374058975046</v>
      </c>
      <c r="GG947">
        <v>2.0274114122722842</v>
      </c>
      <c r="GH947">
        <v>1.7303252178236483</v>
      </c>
      <c r="GI947">
        <v>9.1299436776135874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33.431960978835974</v>
      </c>
      <c r="AO948">
        <v>13.798461958415093</v>
      </c>
      <c r="AP948">
        <v>146.43787055605625</v>
      </c>
      <c r="AQ948">
        <v>101.41382813440822</v>
      </c>
      <c r="AR948">
        <v>12.748204209307563</v>
      </c>
      <c r="AS948">
        <v>158.95844234005224</v>
      </c>
      <c r="AT948" t="e">
        <v>#DIV/0!</v>
      </c>
      <c r="AU948" t="e">
        <v>#DIV/0!</v>
      </c>
      <c r="AV948"/>
      <c r="AW948"/>
      <c r="FY948" s="210">
        <v>943</v>
      </c>
      <c r="FZ948">
        <v>15.179003212753464</v>
      </c>
      <c r="GA948">
        <v>30.972010687620624</v>
      </c>
      <c r="GB948">
        <v>10.60230538223877</v>
      </c>
      <c r="GC948">
        <v>2.4451019944460759</v>
      </c>
      <c r="GD948">
        <v>0.94936439583384113</v>
      </c>
      <c r="GE948">
        <v>1.4479128696271943</v>
      </c>
      <c r="GF948">
        <v>6.3914710265442194</v>
      </c>
      <c r="GG948">
        <v>4.3316636305897465</v>
      </c>
      <c r="GH948">
        <v>1.0341425404475817</v>
      </c>
      <c r="GI948">
        <v>7.04336176617901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37.248576902025185</v>
      </c>
      <c r="AO949">
        <v>9.8735095078829254</v>
      </c>
      <c r="AP949">
        <v>106.31422738637023</v>
      </c>
      <c r="AQ949">
        <v>76.758431465713912</v>
      </c>
      <c r="AR949">
        <v>9.6241524595399426</v>
      </c>
      <c r="AS949">
        <v>121.9230074250182</v>
      </c>
      <c r="AT949" t="e">
        <v>#DIV/0!</v>
      </c>
      <c r="AU949" t="e">
        <v>#DIV/0!</v>
      </c>
      <c r="AV949"/>
      <c r="AW949"/>
      <c r="FY949" s="210">
        <v>944</v>
      </c>
      <c r="FZ949">
        <v>23.428120552832752</v>
      </c>
      <c r="GA949">
        <v>49.97212116128064</v>
      </c>
      <c r="GB949">
        <v>16.221147094856796</v>
      </c>
      <c r="GC949">
        <v>2.3873418666484398</v>
      </c>
      <c r="GD949">
        <v>0.45477494546100239</v>
      </c>
      <c r="GE949">
        <v>1.3077114570000252</v>
      </c>
      <c r="GF949">
        <v>6.140011049037156</v>
      </c>
      <c r="GG949">
        <v>5.4457782280672138</v>
      </c>
      <c r="GH949">
        <v>3.7150644110173299</v>
      </c>
      <c r="GI949">
        <v>9.8278187906282817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27.646312830687826</v>
      </c>
      <c r="AO950">
        <v>10.430598969150285</v>
      </c>
      <c r="AP950">
        <v>113.37264046666641</v>
      </c>
      <c r="AQ950">
        <v>81.201262298321467</v>
      </c>
      <c r="AR950">
        <v>9.7579239088613932</v>
      </c>
      <c r="AS950">
        <v>114.89286234435325</v>
      </c>
      <c r="AT950" t="e">
        <v>#DIV/0!</v>
      </c>
      <c r="AU950" t="e">
        <v>#DIV/0!</v>
      </c>
      <c r="AV950"/>
      <c r="AW950"/>
      <c r="FY950" s="210">
        <v>945</v>
      </c>
      <c r="FZ950">
        <v>17.141814565870021</v>
      </c>
      <c r="GA950">
        <v>35.929382819875556</v>
      </c>
      <c r="GB950">
        <v>14.408481544051629</v>
      </c>
      <c r="GC950">
        <v>3.3262065649759158</v>
      </c>
      <c r="GD950">
        <v>1.0493512447163562</v>
      </c>
      <c r="GE950">
        <v>0.28451453321302922</v>
      </c>
      <c r="GF950">
        <v>5.135759701280791</v>
      </c>
      <c r="GG950">
        <v>8.7792563373801151</v>
      </c>
      <c r="GH950">
        <v>8.7755635887453529</v>
      </c>
      <c r="GI950">
        <v>9.3080452959027706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46.66922835705163</v>
      </c>
      <c r="AO951">
        <v>13.419382740585419</v>
      </c>
      <c r="AP951">
        <v>147.59704837258846</v>
      </c>
      <c r="AQ951">
        <v>108.5050402472597</v>
      </c>
      <c r="AR951">
        <v>12.781306962250666</v>
      </c>
      <c r="AS951">
        <v>156.42604916652505</v>
      </c>
      <c r="AT951">
        <v>8.0015769618398718</v>
      </c>
      <c r="AU951">
        <v>73.511538846186411</v>
      </c>
      <c r="AV951"/>
      <c r="AW951"/>
      <c r="FY951" s="210">
        <v>946</v>
      </c>
      <c r="FZ951">
        <v>23.02385098824108</v>
      </c>
      <c r="GA951">
        <v>31.87832380970973</v>
      </c>
      <c r="GB951">
        <v>5.741314120148207</v>
      </c>
      <c r="GC951">
        <v>1.5434266637650285</v>
      </c>
      <c r="GD951">
        <v>0.43022637863332847</v>
      </c>
      <c r="GE951">
        <v>2.0558539793455489E-3</v>
      </c>
      <c r="GF951">
        <v>4.3148540702691154</v>
      </c>
      <c r="GG951">
        <v>4.9682089600857271</v>
      </c>
      <c r="GH951">
        <v>4.1167793839028555</v>
      </c>
      <c r="GI951">
        <v>6.7194143058116023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20.903505291005295</v>
      </c>
      <c r="AO952">
        <v>8.6406476889269186</v>
      </c>
      <c r="AP952">
        <v>90.686401506082476</v>
      </c>
      <c r="AQ952">
        <v>62.294723503400824</v>
      </c>
      <c r="AR952">
        <v>8.0953377430522622</v>
      </c>
      <c r="AS952">
        <v>107.95544025895325</v>
      </c>
      <c r="AT952" t="e">
        <v>#DIV/0!</v>
      </c>
      <c r="AU952" t="e">
        <v>#DIV/0!</v>
      </c>
      <c r="AV952"/>
      <c r="AW952"/>
      <c r="FY952" s="210">
        <v>947</v>
      </c>
      <c r="FZ952">
        <v>14.719627414563803</v>
      </c>
      <c r="GA952">
        <v>30.519430465917566</v>
      </c>
      <c r="GB952">
        <v>9.669985461150663</v>
      </c>
      <c r="GC952">
        <v>1.1022889425243687</v>
      </c>
      <c r="GD952">
        <v>0.58072525873412073</v>
      </c>
      <c r="GE952">
        <v>0.28245867923368362</v>
      </c>
      <c r="GF952">
        <v>0</v>
      </c>
      <c r="GG952">
        <v>2.0291152081005568</v>
      </c>
      <c r="GH952">
        <v>3.5867327447077444</v>
      </c>
      <c r="GI952">
        <v>5.5680408768672107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35.506861772486772</v>
      </c>
      <c r="AO953">
        <v>9.9685620822039009</v>
      </c>
      <c r="AP953">
        <v>101.9898357079485</v>
      </c>
      <c r="AQ953">
        <v>74.368662525211221</v>
      </c>
      <c r="AR953">
        <v>9.4828314915287439</v>
      </c>
      <c r="AS953">
        <v>129.23491883763631</v>
      </c>
      <c r="AT953" t="e">
        <v>#DIV/0!</v>
      </c>
      <c r="AU953" t="e">
        <v>#DIV/0!</v>
      </c>
      <c r="AV953"/>
      <c r="AW953"/>
      <c r="FY953" s="210">
        <v>948</v>
      </c>
      <c r="FZ953">
        <v>14.136293318661416</v>
      </c>
      <c r="GA953">
        <v>34.490586504205865</v>
      </c>
      <c r="GB953">
        <v>11.51669466857677</v>
      </c>
      <c r="GC953">
        <v>1.7700944674624859</v>
      </c>
      <c r="GD953">
        <v>0.98118359800581767</v>
      </c>
      <c r="GE953">
        <v>2.8958257392543887</v>
      </c>
      <c r="GF953">
        <v>6.9310836744890585</v>
      </c>
      <c r="GG953">
        <v>2.8003308230705799</v>
      </c>
      <c r="GH953">
        <v>2.892799424580816</v>
      </c>
      <c r="GI953">
        <v>7.5697966525196509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21.906529944353217</v>
      </c>
      <c r="AO954">
        <v>5.6903533007561649</v>
      </c>
      <c r="AP954">
        <v>53.323757693677855</v>
      </c>
      <c r="AQ954">
        <v>39.180788519729333</v>
      </c>
      <c r="AR954">
        <v>5.7487881052177974</v>
      </c>
      <c r="AS954">
        <v>88.507499462129928</v>
      </c>
      <c r="AT954" t="e">
        <v>#DIV/0!</v>
      </c>
      <c r="AU954" t="e">
        <v>#DIV/0!</v>
      </c>
      <c r="AV954"/>
      <c r="AW954"/>
      <c r="FY954" s="210">
        <v>949</v>
      </c>
      <c r="FZ954">
        <v>12.998597697366925</v>
      </c>
      <c r="GA954">
        <v>28.758462710893539</v>
      </c>
      <c r="GB954">
        <v>9.8821925652977889</v>
      </c>
      <c r="GC954">
        <v>2.0667587182512568</v>
      </c>
      <c r="GD954">
        <v>0.64150487249113108</v>
      </c>
      <c r="GE954">
        <v>0</v>
      </c>
      <c r="GF954">
        <v>2.8132150142268157</v>
      </c>
      <c r="GG954">
        <v>4.0407684497704324</v>
      </c>
      <c r="GH954">
        <v>3.8700637141353202</v>
      </c>
      <c r="GI954">
        <v>6.0361470095858785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45.854743089764632</v>
      </c>
      <c r="AO955">
        <v>11.029010711294898</v>
      </c>
      <c r="AP955">
        <v>118.0252844858688</v>
      </c>
      <c r="AQ955">
        <v>90.879274703772353</v>
      </c>
      <c r="AR955">
        <v>10.608131137413309</v>
      </c>
      <c r="AS955">
        <v>162.60510730906364</v>
      </c>
      <c r="AT955" t="e">
        <v>#DIV/0!</v>
      </c>
      <c r="AU955" t="e">
        <v>#DIV/0!</v>
      </c>
      <c r="AV955"/>
      <c r="AW955"/>
      <c r="FY955" s="210">
        <v>950</v>
      </c>
      <c r="FZ955">
        <v>13.179289762193921</v>
      </c>
      <c r="GA955">
        <v>38.618293970911502</v>
      </c>
      <c r="GB955">
        <v>14.162089086620441</v>
      </c>
      <c r="GC955">
        <v>2.3718168373595496</v>
      </c>
      <c r="GD955">
        <v>0.98320415023755758</v>
      </c>
      <c r="GE955">
        <v>3.9272460789587673</v>
      </c>
      <c r="GF955">
        <v>8.5620447659712724</v>
      </c>
      <c r="GG955">
        <v>3.122522591800486</v>
      </c>
      <c r="GH955">
        <v>2.8359211736877388</v>
      </c>
      <c r="GI955">
        <v>8.519884712845375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25.028636425834708</v>
      </c>
      <c r="AO956">
        <v>7.6304964383965528</v>
      </c>
      <c r="AP956">
        <v>71.687782485358028</v>
      </c>
      <c r="AQ956">
        <v>49.792980720139909</v>
      </c>
      <c r="AR956">
        <v>7.3612831498256428</v>
      </c>
      <c r="AS956">
        <v>87.646279046158128</v>
      </c>
      <c r="AT956">
        <v>4.9893313529804431</v>
      </c>
      <c r="AU956">
        <v>-0.13306744167474704</v>
      </c>
      <c r="AV956"/>
      <c r="AW956"/>
      <c r="FY956" s="210">
        <v>951</v>
      </c>
      <c r="FZ956">
        <v>16.219466313552509</v>
      </c>
      <c r="GA956">
        <v>32.882051473700145</v>
      </c>
      <c r="GB956">
        <v>9.8826685648209001</v>
      </c>
      <c r="GC956">
        <v>1.1780611155405394</v>
      </c>
      <c r="GD956">
        <v>0.71680437130462504</v>
      </c>
      <c r="GE956">
        <v>4.067447491585936</v>
      </c>
      <c r="GF956">
        <v>9.0077006307641625</v>
      </c>
      <c r="GG956">
        <v>3.1727982519701365</v>
      </c>
      <c r="GH956">
        <v>2.2680701626212576</v>
      </c>
      <c r="GI956">
        <v>7.6090588164886679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40.680588624338625</v>
      </c>
      <c r="AO957">
        <v>11.233294410717889</v>
      </c>
      <c r="AP957">
        <v>117.09481436733228</v>
      </c>
      <c r="AQ957">
        <v>90.254252772196821</v>
      </c>
      <c r="AR957">
        <v>10.489462281949448</v>
      </c>
      <c r="AS957">
        <v>163.20235971139601</v>
      </c>
      <c r="AT957" t="e">
        <v>#DIV/0!</v>
      </c>
      <c r="AU957" t="e">
        <v>#DIV/0!</v>
      </c>
      <c r="AV957"/>
      <c r="AW957"/>
      <c r="FY957" s="210">
        <v>952</v>
      </c>
      <c r="FZ957">
        <v>5.6147381303601573</v>
      </c>
      <c r="GA957">
        <v>13.253457939536418</v>
      </c>
      <c r="GB957">
        <v>6.5530715639373218</v>
      </c>
      <c r="GC957">
        <v>2.2719955630554929</v>
      </c>
      <c r="GD957">
        <v>1.0497219899395236</v>
      </c>
      <c r="GE957">
        <v>0.14431312058586016</v>
      </c>
      <c r="GF957">
        <v>4.0190196215492611</v>
      </c>
      <c r="GG957">
        <v>5.5694318457951209</v>
      </c>
      <c r="GH957">
        <v>4.6376998069278956</v>
      </c>
      <c r="GI957">
        <v>4.6738470172691313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59.086855158730167</v>
      </c>
      <c r="AO958">
        <v>13.521626370381878</v>
      </c>
      <c r="AP958">
        <v>148.15905912718586</v>
      </c>
      <c r="AQ958">
        <v>117.47993611430104</v>
      </c>
      <c r="AR958">
        <v>12.945730278720458</v>
      </c>
      <c r="AS958">
        <v>190.69713818285217</v>
      </c>
      <c r="AT958">
        <v>8.2507649918872215</v>
      </c>
      <c r="AU958">
        <v>76.566718279075204</v>
      </c>
      <c r="AV958"/>
      <c r="AW958"/>
      <c r="FY958" s="210">
        <v>953</v>
      </c>
      <c r="FZ958">
        <v>29.65187389836359</v>
      </c>
      <c r="GA958">
        <v>53.444025150609313</v>
      </c>
      <c r="GB958">
        <v>11.154457244617342</v>
      </c>
      <c r="GC958">
        <v>2.0058411282250455</v>
      </c>
      <c r="GD958">
        <v>0.78595795653328515</v>
      </c>
      <c r="GE958">
        <v>1.3118231649587164</v>
      </c>
      <c r="GF958">
        <v>6.3914710265442194</v>
      </c>
      <c r="GG958">
        <v>4.1616465556389102</v>
      </c>
      <c r="GH958">
        <v>0.92263539591056576</v>
      </c>
      <c r="GI958">
        <v>9.2342265740423883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33.361854018427287</v>
      </c>
      <c r="AO959">
        <v>10.623657344909862</v>
      </c>
      <c r="AP959">
        <v>108.22746852177988</v>
      </c>
      <c r="AQ959">
        <v>80.396337506280517</v>
      </c>
      <c r="AR959">
        <v>10.108453829010429</v>
      </c>
      <c r="AS959">
        <v>123.22754454271474</v>
      </c>
      <c r="AT959">
        <v>6.5008420666067641</v>
      </c>
      <c r="AU959">
        <v>32.767032598314131</v>
      </c>
      <c r="AV959"/>
      <c r="AW959"/>
      <c r="FY959" s="210">
        <v>954</v>
      </c>
      <c r="FZ959">
        <v>3.6670172193156292</v>
      </c>
      <c r="GA959">
        <v>28.74690787553266</v>
      </c>
      <c r="GB959">
        <v>14.199873301316748</v>
      </c>
      <c r="GC959">
        <v>1.6967186228296967</v>
      </c>
      <c r="GD959">
        <v>0.89664205671357755</v>
      </c>
      <c r="GE959">
        <v>1.3097673109793708</v>
      </c>
      <c r="GF959">
        <v>7.5178603163677344</v>
      </c>
      <c r="GG959">
        <v>5.0465116151289049</v>
      </c>
      <c r="GH959">
        <v>1.858656884133234</v>
      </c>
      <c r="GI959">
        <v>6.6089539593036326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48.136655605728876</v>
      </c>
      <c r="AO960">
        <v>14.9441230995137</v>
      </c>
      <c r="AP960">
        <v>162.06385667707761</v>
      </c>
      <c r="AQ960">
        <v>118.89988955682962</v>
      </c>
      <c r="AR960">
        <v>14.238677244124261</v>
      </c>
      <c r="AS960">
        <v>192.96749723122417</v>
      </c>
      <c r="AT960" t="e">
        <v>#DIV/0!</v>
      </c>
      <c r="AU960" t="e">
        <v>#DIV/0!</v>
      </c>
      <c r="AV960"/>
      <c r="AW960"/>
      <c r="FY960" s="210">
        <v>955</v>
      </c>
      <c r="FZ960">
        <v>5.009830270662345</v>
      </c>
      <c r="GA960">
        <v>32.807900879253637</v>
      </c>
      <c r="GB960">
        <v>16.122654625858257</v>
      </c>
      <c r="GC960">
        <v>1.7583046432734855</v>
      </c>
      <c r="GD960">
        <v>0.92782750705233608</v>
      </c>
      <c r="GE960">
        <v>2.8999374472130799</v>
      </c>
      <c r="GF960">
        <v>7.7806213506113524</v>
      </c>
      <c r="GG960">
        <v>3.7830447146037938</v>
      </c>
      <c r="GH960">
        <v>3.2341977171127976</v>
      </c>
      <c r="GI960">
        <v>7.5278093089538309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44.175165343915339</v>
      </c>
      <c r="AO961">
        <v>13.795767760409584</v>
      </c>
      <c r="AP961">
        <v>141.7882022056331</v>
      </c>
      <c r="AQ961">
        <v>104.13837619601155</v>
      </c>
      <c r="AR961">
        <v>13.556303829530073</v>
      </c>
      <c r="AS961">
        <v>197.87105727851542</v>
      </c>
      <c r="AT961" t="e">
        <v>#DIV/0!</v>
      </c>
      <c r="AU961" t="e">
        <v>#DIV/0!</v>
      </c>
      <c r="AV961"/>
      <c r="AW961"/>
      <c r="FY961" s="210">
        <v>956</v>
      </c>
      <c r="FZ961">
        <v>12.662531974484688</v>
      </c>
      <c r="GA961">
        <v>31.99570882219286</v>
      </c>
      <c r="GB961">
        <v>11.982627744130216</v>
      </c>
      <c r="GC961">
        <v>2.803265975022037</v>
      </c>
      <c r="GD961">
        <v>0.87892279696306042</v>
      </c>
      <c r="GE961">
        <v>2.7617918885652566</v>
      </c>
      <c r="GF961">
        <v>6.9310836744890585</v>
      </c>
      <c r="GG961">
        <v>2.4602966731689064</v>
      </c>
      <c r="GH961">
        <v>2.4398939875118182</v>
      </c>
      <c r="GI961">
        <v>7.3378372600435915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42.094559044882324</v>
      </c>
      <c r="AO962">
        <v>9.8331376322089614</v>
      </c>
      <c r="AP962">
        <v>106.02070491165203</v>
      </c>
      <c r="AQ962">
        <v>82.738454534546008</v>
      </c>
      <c r="AR962">
        <v>9.7160184965206806</v>
      </c>
      <c r="AS962">
        <v>164.51357069824445</v>
      </c>
      <c r="AT962" t="e">
        <v>#DIV/0!</v>
      </c>
      <c r="AU962" t="e">
        <v>#DIV/0!</v>
      </c>
      <c r="AV962"/>
      <c r="AW962"/>
      <c r="FY962" s="210">
        <v>957</v>
      </c>
      <c r="FZ962">
        <v>12.221729407090709</v>
      </c>
      <c r="GA962">
        <v>35.936596377934222</v>
      </c>
      <c r="GB962">
        <v>11.967763809738953</v>
      </c>
      <c r="GC962">
        <v>1.3937194998702154</v>
      </c>
      <c r="GD962">
        <v>0.65779221118799081</v>
      </c>
      <c r="GE962">
        <v>2.6257021838967782</v>
      </c>
      <c r="GF962">
        <v>5.6104984973797176</v>
      </c>
      <c r="GG962">
        <v>2.9391180976753777</v>
      </c>
      <c r="GH962">
        <v>3.0188817336412632</v>
      </c>
      <c r="GI962">
        <v>6.9797385849659914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35.073808383506659</v>
      </c>
      <c r="AO963">
        <v>8.179074045993449</v>
      </c>
      <c r="AP963">
        <v>89.756050184367538</v>
      </c>
      <c r="AQ963">
        <v>68.05840505179971</v>
      </c>
      <c r="AR963">
        <v>8.0266954319011319</v>
      </c>
      <c r="AS963">
        <v>110.88796057198694</v>
      </c>
      <c r="AT963" t="e">
        <v>#DIV/0!</v>
      </c>
      <c r="AU963" t="e">
        <v>#DIV/0!</v>
      </c>
      <c r="AV963"/>
      <c r="AW963"/>
      <c r="FY963" s="210">
        <v>958</v>
      </c>
      <c r="FZ963">
        <v>21.744015831516645</v>
      </c>
      <c r="GA963">
        <v>49.047196671338391</v>
      </c>
      <c r="GB963">
        <v>15.16867876520538</v>
      </c>
      <c r="GC963">
        <v>2.3740409001223082</v>
      </c>
      <c r="GD963">
        <v>0.63939135275245007</v>
      </c>
      <c r="GE963">
        <v>2.0558539793455489E-3</v>
      </c>
      <c r="GF963">
        <v>1.8932712395304154</v>
      </c>
      <c r="GG963">
        <v>2.5403031240403573</v>
      </c>
      <c r="GH963">
        <v>3.0791984139948072</v>
      </c>
      <c r="GI963">
        <v>8.4945061013428873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38.634654944353215</v>
      </c>
      <c r="AO964">
        <v>11.351791605516826</v>
      </c>
      <c r="AP964">
        <v>117.82761990862454</v>
      </c>
      <c r="AQ964">
        <v>85.984688870826858</v>
      </c>
      <c r="AR964">
        <v>10.836067492037543</v>
      </c>
      <c r="AS964">
        <v>134.47392769513905</v>
      </c>
      <c r="AT964">
        <v>7.2981179335039306</v>
      </c>
      <c r="AU964">
        <v>47.538738166402155</v>
      </c>
      <c r="AV964"/>
      <c r="AW964"/>
      <c r="FY964" s="210">
        <v>959</v>
      </c>
      <c r="FZ964">
        <v>4.7116486813213294</v>
      </c>
      <c r="GA964">
        <v>25.275001973145553</v>
      </c>
      <c r="GB964">
        <v>11.775261200345</v>
      </c>
      <c r="GC964">
        <v>1.6957235569847011</v>
      </c>
      <c r="GD964">
        <v>0.83818557465730437</v>
      </c>
      <c r="GE964">
        <v>2.0558539793455489E-3</v>
      </c>
      <c r="GF964">
        <v>8.6264677316217675</v>
      </c>
      <c r="GG964">
        <v>9.7338764464752483</v>
      </c>
      <c r="GH964">
        <v>3.7150644110173299</v>
      </c>
      <c r="GI964">
        <v>6.663534940578713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36.435050629447176</v>
      </c>
      <c r="AO965">
        <v>9.0094774034506369</v>
      </c>
      <c r="AP965">
        <v>95.61871997385164</v>
      </c>
      <c r="AQ965">
        <v>71.107710752019088</v>
      </c>
      <c r="AR965">
        <v>8.743710578778698</v>
      </c>
      <c r="AS965">
        <v>138.36118685016331</v>
      </c>
      <c r="AT965" t="e">
        <v>#DIV/0!</v>
      </c>
      <c r="AU965" t="e">
        <v>#DIV/0!</v>
      </c>
      <c r="AV965"/>
      <c r="AW965"/>
      <c r="FY965" s="210">
        <v>960</v>
      </c>
      <c r="FZ965">
        <v>14.301846118814398</v>
      </c>
      <c r="GA965">
        <v>27.587192140627547</v>
      </c>
      <c r="GB965">
        <v>8.7735671533035848</v>
      </c>
      <c r="GC965">
        <v>1.3956052614324412</v>
      </c>
      <c r="GD965">
        <v>0.47324771771031504</v>
      </c>
      <c r="GE965">
        <v>1.3118231649587164</v>
      </c>
      <c r="GF965">
        <v>7.5432519525618904</v>
      </c>
      <c r="GG965">
        <v>5.3937987720692906</v>
      </c>
      <c r="GH965">
        <v>0.45290543706899811</v>
      </c>
      <c r="GI965">
        <v>6.2410515311223103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35.178720238095238</v>
      </c>
      <c r="AO966">
        <v>13.276016607451194</v>
      </c>
      <c r="AP966">
        <v>136.22093203367282</v>
      </c>
      <c r="AQ966">
        <v>96.282313130586601</v>
      </c>
      <c r="AR966">
        <v>12.293704299727864</v>
      </c>
      <c r="AS966">
        <v>172.71288139035067</v>
      </c>
      <c r="AT966">
        <v>8.4691349516250529</v>
      </c>
      <c r="AU966">
        <v>73.453226513714085</v>
      </c>
      <c r="AV966"/>
      <c r="AW966"/>
      <c r="FY966" s="210">
        <v>961</v>
      </c>
      <c r="FZ966">
        <v>5.1827983033951304</v>
      </c>
      <c r="GA966">
        <v>17.30994180881067</v>
      </c>
      <c r="GB966">
        <v>8.8067091970439151</v>
      </c>
      <c r="GC966">
        <v>1.2345110982954401</v>
      </c>
      <c r="GD966">
        <v>0.39590254964920912</v>
      </c>
      <c r="GE966">
        <v>2.6154229140000504</v>
      </c>
      <c r="GF966">
        <v>8.2992837317276518</v>
      </c>
      <c r="GG966">
        <v>4.8960407171781082</v>
      </c>
      <c r="GH966">
        <v>2.9508667476852217</v>
      </c>
      <c r="GI966">
        <v>5.4513071022247654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35.808497536945815</v>
      </c>
      <c r="AO967">
        <v>11.397254671044019</v>
      </c>
      <c r="AP967">
        <v>117.60278625461353</v>
      </c>
      <c r="AQ967">
        <v>87.004127192348875</v>
      </c>
      <c r="AR967">
        <v>10.744905301321939</v>
      </c>
      <c r="AS967">
        <v>140.70645287071932</v>
      </c>
      <c r="AT967">
        <v>7.0518007213893696</v>
      </c>
      <c r="AU967">
        <v>41.73815276945637</v>
      </c>
      <c r="AV967"/>
      <c r="AW967"/>
      <c r="FY967" s="210">
        <v>962</v>
      </c>
      <c r="FZ967">
        <v>14.417029823002879</v>
      </c>
      <c r="GA967">
        <v>28.162793093864064</v>
      </c>
      <c r="GB967">
        <v>8.0198387154182971</v>
      </c>
      <c r="GC967">
        <v>1.4110656247210032</v>
      </c>
      <c r="GD967">
        <v>0.78194520439956383</v>
      </c>
      <c r="GE967">
        <v>0.14020141262716906</v>
      </c>
      <c r="GF967">
        <v>5.6100476111843003</v>
      </c>
      <c r="GG967">
        <v>6.7607305034126153</v>
      </c>
      <c r="GH967">
        <v>3.954903221863932</v>
      </c>
      <c r="GI967">
        <v>6.4950281668540502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23.169872058018605</v>
      </c>
      <c r="AO968">
        <v>6.8544109244083078</v>
      </c>
      <c r="AP968">
        <v>65.438769917754655</v>
      </c>
      <c r="AQ968">
        <v>47.787296598956189</v>
      </c>
      <c r="AR968">
        <v>6.8121604498491601</v>
      </c>
      <c r="AS968">
        <v>89.718196176360848</v>
      </c>
      <c r="AT968" t="e">
        <v>#DIV/0!</v>
      </c>
      <c r="AU968" t="e">
        <v>#DIV/0!</v>
      </c>
      <c r="AV968"/>
      <c r="AW968"/>
      <c r="FY968" s="210">
        <v>963</v>
      </c>
      <c r="FZ968">
        <v>10.991043776765064</v>
      </c>
      <c r="GA968">
        <v>31.778460410038839</v>
      </c>
      <c r="GB968">
        <v>12.359856340731048</v>
      </c>
      <c r="GC968">
        <v>2.3106750607491473</v>
      </c>
      <c r="GD968">
        <v>0.83050514017577215</v>
      </c>
      <c r="GE968">
        <v>3.1803402724674177</v>
      </c>
      <c r="GF968">
        <v>7.236567333300898</v>
      </c>
      <c r="GG968">
        <v>3.5017913884354668</v>
      </c>
      <c r="GH968">
        <v>2.3830157366187406</v>
      </c>
      <c r="GI968">
        <v>7.2314896564034647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59.346377827951088</v>
      </c>
      <c r="AO969">
        <v>14.21010717883637</v>
      </c>
      <c r="AP969">
        <v>154.01006275323994</v>
      </c>
      <c r="AQ969">
        <v>119.06395809544338</v>
      </c>
      <c r="AR969">
        <v>13.218509709894832</v>
      </c>
      <c r="AS969">
        <v>197.18710995988656</v>
      </c>
      <c r="AT969">
        <v>8.3728795945604251</v>
      </c>
      <c r="AU969">
        <v>85.011161875056985</v>
      </c>
      <c r="AV969"/>
      <c r="AW969"/>
      <c r="FY969" s="210">
        <v>964</v>
      </c>
      <c r="FZ969">
        <v>11.230611829229682</v>
      </c>
      <c r="GA969">
        <v>28.246339602024097</v>
      </c>
      <c r="GB969">
        <v>8.7352891245570916</v>
      </c>
      <c r="GC969">
        <v>1.2684242456013783</v>
      </c>
      <c r="GD969">
        <v>0.67420750211885694</v>
      </c>
      <c r="GE969">
        <v>1.4499687236065399</v>
      </c>
      <c r="GF969">
        <v>3.2030062460986191</v>
      </c>
      <c r="GG969">
        <v>1.177868796568875</v>
      </c>
      <c r="GH969">
        <v>2.0851096026677332</v>
      </c>
      <c r="GI969">
        <v>5.3102934504789605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25.047617907316187</v>
      </c>
      <c r="AO970">
        <v>10.061308169914051</v>
      </c>
      <c r="AP970">
        <v>105.74445500633311</v>
      </c>
      <c r="AQ970">
        <v>71.548909161621197</v>
      </c>
      <c r="AR970">
        <v>9.6332747299340866</v>
      </c>
      <c r="AS970">
        <v>120.03552658011559</v>
      </c>
      <c r="AT970" t="e">
        <v>#DIV/0!</v>
      </c>
      <c r="AU970" t="e">
        <v>#DIV/0!</v>
      </c>
      <c r="AV970"/>
      <c r="AW970"/>
      <c r="FY970" s="210">
        <v>965</v>
      </c>
      <c r="FZ970">
        <v>13.26915505961065</v>
      </c>
      <c r="GA970">
        <v>31.634600815176331</v>
      </c>
      <c r="GB970">
        <v>10.225841159059764</v>
      </c>
      <c r="GC970">
        <v>1.6748345612608027</v>
      </c>
      <c r="GD970">
        <v>0.6058647508058177</v>
      </c>
      <c r="GE970">
        <v>1.3097673109793708</v>
      </c>
      <c r="GF970">
        <v>9.3571078745933747</v>
      </c>
      <c r="GG970">
        <v>6.9502694096732833</v>
      </c>
      <c r="GH970">
        <v>0.22645271853449905</v>
      </c>
      <c r="GI970">
        <v>6.945359115081791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32.164564518336071</v>
      </c>
      <c r="AO971">
        <v>11.270724001903263</v>
      </c>
      <c r="AP971">
        <v>117.30428737991843</v>
      </c>
      <c r="AQ971">
        <v>81.852128464594912</v>
      </c>
      <c r="AR971">
        <v>10.734375046863684</v>
      </c>
      <c r="AS971">
        <v>152.50599542232774</v>
      </c>
      <c r="AT971">
        <v>7.0741237470177545</v>
      </c>
      <c r="AU971">
        <v>-5.5732274340108505</v>
      </c>
      <c r="AV971"/>
      <c r="AW971"/>
      <c r="FY971" s="210">
        <v>966</v>
      </c>
      <c r="FZ971">
        <v>23.397684048608372</v>
      </c>
      <c r="GA971">
        <v>34.710967656723348</v>
      </c>
      <c r="GB971">
        <v>6.1502650514822204</v>
      </c>
      <c r="GC971">
        <v>1.2486321994967493</v>
      </c>
      <c r="GD971">
        <v>0.77942211343303613</v>
      </c>
      <c r="GE971">
        <v>1.4479128696271943</v>
      </c>
      <c r="GF971">
        <v>4.9978793331114693</v>
      </c>
      <c r="GG971">
        <v>3.5777476377407158</v>
      </c>
      <c r="GH971">
        <v>1.913285777777173</v>
      </c>
      <c r="GI971">
        <v>6.8609141811686252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37.637996031746034</v>
      </c>
      <c r="AO972">
        <v>11.20003950882522</v>
      </c>
      <c r="AP972">
        <v>113.42217331253021</v>
      </c>
      <c r="AQ972">
        <v>82.253960796571491</v>
      </c>
      <c r="AR972">
        <v>10.5211881645528</v>
      </c>
      <c r="AS972">
        <v>176.48965216408331</v>
      </c>
      <c r="AT972" t="e">
        <v>#DIV/0!</v>
      </c>
      <c r="AU972" t="e">
        <v>#DIV/0!</v>
      </c>
      <c r="AV972"/>
      <c r="AW972"/>
      <c r="FY972" s="210">
        <v>967</v>
      </c>
      <c r="FZ972">
        <v>6.0627462952556881</v>
      </c>
      <c r="GA972">
        <v>23.527095885374475</v>
      </c>
      <c r="GB972">
        <v>12.282506145880259</v>
      </c>
      <c r="GC972">
        <v>1.9838376799870288</v>
      </c>
      <c r="GD972">
        <v>0.98256932856017687</v>
      </c>
      <c r="GE972">
        <v>1.5881142822543635</v>
      </c>
      <c r="GF972">
        <v>6.140011049037156</v>
      </c>
      <c r="GG972">
        <v>3.9267142448191663</v>
      </c>
      <c r="GH972">
        <v>1.5038724992891495</v>
      </c>
      <c r="GI972">
        <v>6.1380651361909626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33.573575761722324</v>
      </c>
      <c r="AO973">
        <v>10.936912592164127</v>
      </c>
      <c r="AP973">
        <v>116.10702675556888</v>
      </c>
      <c r="AQ973">
        <v>83.351540403381222</v>
      </c>
      <c r="AR973">
        <v>10.0627016684619</v>
      </c>
      <c r="AS973">
        <v>118.68866441539402</v>
      </c>
      <c r="AT973">
        <v>6.3485393051764847</v>
      </c>
      <c r="AU973">
        <v>28.732360994387708</v>
      </c>
      <c r="AV973"/>
      <c r="AW973"/>
      <c r="FY973" s="210">
        <v>968</v>
      </c>
      <c r="FZ973">
        <v>23.738431158956434</v>
      </c>
      <c r="GA973">
        <v>44.942646690193648</v>
      </c>
      <c r="GB973">
        <v>11.939714576089848</v>
      </c>
      <c r="GC973">
        <v>1.8688104830064827</v>
      </c>
      <c r="GD973">
        <v>0.53131673288177517</v>
      </c>
      <c r="GE973">
        <v>1.3097673109793708</v>
      </c>
      <c r="GF973">
        <v>9.3571078745933747</v>
      </c>
      <c r="GG973">
        <v>8.0498355511989779</v>
      </c>
      <c r="GH973">
        <v>2.4811367888436542</v>
      </c>
      <c r="GI973">
        <v>9.2283637948401633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44.918417031563578</v>
      </c>
      <c r="AO974">
        <v>12.982664751232221</v>
      </c>
      <c r="AP974">
        <v>143.43733345547122</v>
      </c>
      <c r="AQ974">
        <v>104.982658253823</v>
      </c>
      <c r="AR974">
        <v>12.47780407273002</v>
      </c>
      <c r="AS974">
        <v>157.82236544860439</v>
      </c>
      <c r="AT974" t="e">
        <v>#DIV/0!</v>
      </c>
      <c r="AU974" t="e">
        <v>#DIV/0!</v>
      </c>
      <c r="AV974"/>
      <c r="AW974"/>
      <c r="FY974" s="210">
        <v>969</v>
      </c>
      <c r="FZ974">
        <v>3.0952663590916392</v>
      </c>
      <c r="GA974">
        <v>27.008091240707685</v>
      </c>
      <c r="GB974">
        <v>13.267020267021152</v>
      </c>
      <c r="GC974">
        <v>1.8444817477636835</v>
      </c>
      <c r="GD974">
        <v>0.75497706741414738</v>
      </c>
      <c r="GE974">
        <v>1.4520245775858855</v>
      </c>
      <c r="GF974">
        <v>4.5776151045127342</v>
      </c>
      <c r="GG974">
        <v>3.1946908347081049</v>
      </c>
      <c r="GH974">
        <v>2.6094684551532397</v>
      </c>
      <c r="GI974">
        <v>5.7651133038623081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24.941451719576719</v>
      </c>
      <c r="AO975">
        <v>10.365624625175352</v>
      </c>
      <c r="AP975">
        <v>108.93726762899698</v>
      </c>
      <c r="AQ975">
        <v>73.036820370126293</v>
      </c>
      <c r="AR975">
        <v>9.9584468863093232</v>
      </c>
      <c r="AS975">
        <v>123.17689452959728</v>
      </c>
      <c r="AT975" t="e">
        <v>#DIV/0!</v>
      </c>
      <c r="AU975" t="e">
        <v>#DIV/0!</v>
      </c>
      <c r="AV975"/>
      <c r="AW975"/>
      <c r="FY975" s="210">
        <v>970</v>
      </c>
      <c r="FZ975">
        <v>12.570950148999961</v>
      </c>
      <c r="GA975">
        <v>33.627455992477088</v>
      </c>
      <c r="GB975">
        <v>10.839298097451977</v>
      </c>
      <c r="GC975">
        <v>1.7164275691558628</v>
      </c>
      <c r="GD975">
        <v>1.0331296706677655</v>
      </c>
      <c r="GE975">
        <v>4.0633357836272452</v>
      </c>
      <c r="GF975">
        <v>7.4642875212583766</v>
      </c>
      <c r="GG975">
        <v>1.9374007881928985</v>
      </c>
      <c r="GH975">
        <v>3.88688823590789</v>
      </c>
      <c r="GI975">
        <v>7.5246635488008415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32.229662698412696</v>
      </c>
      <c r="AO976">
        <v>9.3189584848376885</v>
      </c>
      <c r="AP976">
        <v>97.722018270607379</v>
      </c>
      <c r="AQ976">
        <v>73.474289249669496</v>
      </c>
      <c r="AR976">
        <v>8.8415901881215699</v>
      </c>
      <c r="AS976">
        <v>121.24321736827949</v>
      </c>
      <c r="AT976" t="e">
        <v>#DIV/0!</v>
      </c>
      <c r="AU976" t="e">
        <v>#DIV/0!</v>
      </c>
      <c r="AV976"/>
      <c r="AW976"/>
      <c r="FY976" s="210">
        <v>971</v>
      </c>
      <c r="FZ976">
        <v>22.024956920710931</v>
      </c>
      <c r="GA976">
        <v>43.66623502151382</v>
      </c>
      <c r="GB976">
        <v>12.403411232345489</v>
      </c>
      <c r="GC976">
        <v>2.2106521499982441</v>
      </c>
      <c r="GD976">
        <v>0.55648000977259926</v>
      </c>
      <c r="GE976">
        <v>2.0558539793455489E-3</v>
      </c>
      <c r="GF976">
        <v>2.0177010194092957</v>
      </c>
      <c r="GG976">
        <v>1.8355017545834789</v>
      </c>
      <c r="GH976">
        <v>1.2774197807546503</v>
      </c>
      <c r="GI976">
        <v>7.4085248834313919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22.620336161284435</v>
      </c>
      <c r="AO977">
        <v>8.1287508254200098</v>
      </c>
      <c r="AP977">
        <v>82.066553499539737</v>
      </c>
      <c r="AQ977">
        <v>57.142784170010167</v>
      </c>
      <c r="AR977">
        <v>7.7681453785017496</v>
      </c>
      <c r="AS977">
        <v>137.19406282159534</v>
      </c>
      <c r="AT977" t="e">
        <v>#DIV/0!</v>
      </c>
      <c r="AU977" t="e">
        <v>#DIV/0!</v>
      </c>
      <c r="AV977"/>
      <c r="AW977"/>
      <c r="FY977" s="210">
        <v>972</v>
      </c>
      <c r="FZ977">
        <v>5.4645977050658017</v>
      </c>
      <c r="GA977">
        <v>13.788441776286827</v>
      </c>
      <c r="GB977">
        <v>5.8716711357943669</v>
      </c>
      <c r="GC977">
        <v>1.0950867630033581</v>
      </c>
      <c r="GD977">
        <v>0.66971806809032597</v>
      </c>
      <c r="GE977">
        <v>2.6174787679793958</v>
      </c>
      <c r="GF977">
        <v>8.3410577851911398</v>
      </c>
      <c r="GG977">
        <v>5.4534784374115652</v>
      </c>
      <c r="GH977">
        <v>6.614740694519079</v>
      </c>
      <c r="GI977">
        <v>5.4685609890786449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31.984671478744751</v>
      </c>
      <c r="AO978">
        <v>9.7545721159995189</v>
      </c>
      <c r="AP978">
        <v>103.38977138537992</v>
      </c>
      <c r="AQ978">
        <v>75.75358337734788</v>
      </c>
      <c r="AR978">
        <v>9.526239288755022</v>
      </c>
      <c r="AS978">
        <v>131.85445238668069</v>
      </c>
      <c r="AT978" t="e">
        <v>#DIV/0!</v>
      </c>
      <c r="AU978" t="e">
        <v>#DIV/0!</v>
      </c>
      <c r="AV978"/>
      <c r="AW978"/>
      <c r="FY978" s="210">
        <v>973</v>
      </c>
      <c r="FZ978">
        <v>32.609411770904536</v>
      </c>
      <c r="GA978">
        <v>46.663842422890738</v>
      </c>
      <c r="GB978">
        <v>6.6018848256750235</v>
      </c>
      <c r="GC978">
        <v>1.1731360695802602</v>
      </c>
      <c r="GD978">
        <v>0.79646324677153069</v>
      </c>
      <c r="GE978">
        <v>2.6154229140000504</v>
      </c>
      <c r="GF978">
        <v>7.7806213506113524</v>
      </c>
      <c r="GG978">
        <v>4.0325254813753073</v>
      </c>
      <c r="GH978">
        <v>3.0791984139948072</v>
      </c>
      <c r="GI978">
        <v>9.161095137912934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36.631394248312354</v>
      </c>
      <c r="AO979">
        <v>11.267349176158186</v>
      </c>
      <c r="AP979">
        <v>114.64979841238147</v>
      </c>
      <c r="AQ979">
        <v>81.803745115685871</v>
      </c>
      <c r="AR979">
        <v>10.43865321830472</v>
      </c>
      <c r="AS979">
        <v>154.47379043474325</v>
      </c>
      <c r="AT979">
        <v>6.894522294635677</v>
      </c>
      <c r="AU979">
        <v>37.218696880917143</v>
      </c>
      <c r="AV979"/>
      <c r="AW979"/>
      <c r="FY979" s="210">
        <v>974</v>
      </c>
      <c r="FZ979">
        <v>12.275454900538662</v>
      </c>
      <c r="GA979">
        <v>39.764092016837097</v>
      </c>
      <c r="GB979">
        <v>14.077191522260806</v>
      </c>
      <c r="GC979">
        <v>1.4350623944015282</v>
      </c>
      <c r="GD979">
        <v>0.756172557796575</v>
      </c>
      <c r="GE979">
        <v>0.14225726660651461</v>
      </c>
      <c r="GF979">
        <v>3.4112927128420463</v>
      </c>
      <c r="GG979">
        <v>3.93846465572972</v>
      </c>
      <c r="GH979">
        <v>1.6868330592426739</v>
      </c>
      <c r="GI979">
        <v>6.8775106948856832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31.766516716839988</v>
      </c>
      <c r="AO980">
        <v>7.9830722657240374</v>
      </c>
      <c r="AP980">
        <v>84.958895112898475</v>
      </c>
      <c r="AQ980">
        <v>63.38111912295183</v>
      </c>
      <c r="AR980">
        <v>7.5738266923348476</v>
      </c>
      <c r="AS980">
        <v>137.6111318101288</v>
      </c>
      <c r="AT980">
        <v>4.9674456704036407</v>
      </c>
      <c r="AU980">
        <v>31.378003744686978</v>
      </c>
      <c r="AV980"/>
      <c r="AW980"/>
      <c r="FY980" s="210">
        <v>975</v>
      </c>
      <c r="FZ980">
        <v>12.924557788984824</v>
      </c>
      <c r="GA980">
        <v>35.654110554836933</v>
      </c>
      <c r="GB980">
        <v>13.263532089015737</v>
      </c>
      <c r="GC980">
        <v>1.8264492829904819</v>
      </c>
      <c r="GD980">
        <v>0.80531217875844474</v>
      </c>
      <c r="GE980">
        <v>1.4520245775858855</v>
      </c>
      <c r="GF980">
        <v>8.0429314986595557</v>
      </c>
      <c r="GG980">
        <v>7.5202200531622907</v>
      </c>
      <c r="GH980">
        <v>4.2829154220838106</v>
      </c>
      <c r="GI980">
        <v>8.1510887924664797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36.962380838350654</v>
      </c>
      <c r="AO981">
        <v>10.783297948577754</v>
      </c>
      <c r="AP981">
        <v>113.41129886619532</v>
      </c>
      <c r="AQ981">
        <v>82.199252774775672</v>
      </c>
      <c r="AR981">
        <v>10.023016940861719</v>
      </c>
      <c r="AS981">
        <v>150.93937904086906</v>
      </c>
      <c r="AT981" t="e">
        <v>#DIV/0!</v>
      </c>
      <c r="AU981" t="e">
        <v>#DIV/0!</v>
      </c>
      <c r="AV981"/>
      <c r="AW981"/>
      <c r="FY981" s="210">
        <v>976</v>
      </c>
      <c r="FZ981">
        <v>12.498330305070617</v>
      </c>
      <c r="GA981">
        <v>38.411349948814944</v>
      </c>
      <c r="GB981">
        <v>15.395749352798422</v>
      </c>
      <c r="GC981">
        <v>2.6026341120251266</v>
      </c>
      <c r="GD981">
        <v>0.80448170170344169</v>
      </c>
      <c r="GE981">
        <v>3.9251902249794219</v>
      </c>
      <c r="GF981">
        <v>9.4819885406676718</v>
      </c>
      <c r="GG981">
        <v>3.0133705511523541</v>
      </c>
      <c r="GH981">
        <v>2.8962378540412832</v>
      </c>
      <c r="GI981">
        <v>8.7146850513635545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41.823528439153435</v>
      </c>
      <c r="AO982">
        <v>10.224138396480225</v>
      </c>
      <c r="AP982">
        <v>108.23410274939837</v>
      </c>
      <c r="AQ982">
        <v>85.084710869168916</v>
      </c>
      <c r="AR982">
        <v>9.7763614406349966</v>
      </c>
      <c r="AS982">
        <v>147.48813020420516</v>
      </c>
      <c r="AT982">
        <v>6.5943159504505848</v>
      </c>
      <c r="AU982">
        <v>129.89214404107685</v>
      </c>
      <c r="AV982"/>
      <c r="AW982"/>
      <c r="FY982" s="210">
        <v>977</v>
      </c>
      <c r="FZ982">
        <v>21.179933253219204</v>
      </c>
      <c r="GA982">
        <v>51.201394883869888</v>
      </c>
      <c r="GB982">
        <v>13.609880704546798</v>
      </c>
      <c r="GC982">
        <v>0.88098677395123481</v>
      </c>
      <c r="GD982">
        <v>0.41914837198302407</v>
      </c>
      <c r="GE982">
        <v>2.0558539793455489E-3</v>
      </c>
      <c r="GF982">
        <v>2.5617550367197519</v>
      </c>
      <c r="GG982">
        <v>2.5362529224741559</v>
      </c>
      <c r="GH982">
        <v>2.7812922800437998</v>
      </c>
      <c r="GI982">
        <v>7.8984396029308357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26.177115261813537</v>
      </c>
      <c r="AO983">
        <v>9.0342099636298023</v>
      </c>
      <c r="AP983">
        <v>91.427698609377117</v>
      </c>
      <c r="AQ983">
        <v>64.13553254664842</v>
      </c>
      <c r="AR983">
        <v>8.8263423758089079</v>
      </c>
      <c r="AS983">
        <v>123.87389713052602</v>
      </c>
      <c r="AT983">
        <v>5.9371569923908263</v>
      </c>
      <c r="AU983">
        <v>8.2633533198818032</v>
      </c>
      <c r="AV983"/>
      <c r="AW983"/>
      <c r="FY983" s="210">
        <v>978</v>
      </c>
      <c r="FZ983">
        <v>7.5461185103701487</v>
      </c>
      <c r="GA983">
        <v>27.283778209484542</v>
      </c>
      <c r="GB983">
        <v>13.295586698217676</v>
      </c>
      <c r="GC983">
        <v>1.999163961351087</v>
      </c>
      <c r="GD983">
        <v>0.87138601457064457</v>
      </c>
      <c r="GE983">
        <v>0.42060423788150719</v>
      </c>
      <c r="GF983">
        <v>3.4653163941468206</v>
      </c>
      <c r="GG983">
        <v>3.9854950685525132</v>
      </c>
      <c r="GH983">
        <v>1.8017786332401569</v>
      </c>
      <c r="GI983">
        <v>6.1197398907447402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53.16478174603175</v>
      </c>
      <c r="AO984">
        <v>14.053276483231731</v>
      </c>
      <c r="AP984">
        <v>150.80929249486962</v>
      </c>
      <c r="AQ984">
        <v>113.44713096158372</v>
      </c>
      <c r="AR984">
        <v>13.234005051967626</v>
      </c>
      <c r="AS984">
        <v>179.3881098302804</v>
      </c>
      <c r="AT984">
        <v>8.7969985724777864</v>
      </c>
      <c r="AU984">
        <v>39.358958991379083</v>
      </c>
      <c r="AV984"/>
      <c r="AW984"/>
      <c r="FY984" s="210">
        <v>979</v>
      </c>
      <c r="FZ984">
        <v>13.338718620372584</v>
      </c>
      <c r="GA984">
        <v>34.110212979617863</v>
      </c>
      <c r="GB984">
        <v>11.461118902324063</v>
      </c>
      <c r="GC984">
        <v>1.870565448422089</v>
      </c>
      <c r="GD984">
        <v>0.98753835071235341</v>
      </c>
      <c r="GE984">
        <v>1.3118231649587164</v>
      </c>
      <c r="GF984">
        <v>3.7567094735010591</v>
      </c>
      <c r="GG984">
        <v>2.4217714239098092</v>
      </c>
      <c r="GH984">
        <v>3.0757599845343409</v>
      </c>
      <c r="GI984">
        <v>6.7827117723695833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22.565673462871736</v>
      </c>
      <c r="AO985">
        <v>9.101198491210031</v>
      </c>
      <c r="AP985">
        <v>95.626448735741207</v>
      </c>
      <c r="AQ985">
        <v>63.568748957820574</v>
      </c>
      <c r="AR985">
        <v>8.5351351902014017</v>
      </c>
      <c r="AS985">
        <v>120.10134342785783</v>
      </c>
      <c r="AT985">
        <v>5.5615417430214835</v>
      </c>
      <c r="AU985">
        <v>-12.939384315571406</v>
      </c>
      <c r="AV985"/>
      <c r="AW985"/>
      <c r="FY985" s="210">
        <v>980</v>
      </c>
      <c r="FZ985">
        <v>3.8035142553942718</v>
      </c>
      <c r="GA985">
        <v>14.677924635996145</v>
      </c>
      <c r="GB985">
        <v>6.9610742682389679</v>
      </c>
      <c r="GC985">
        <v>1.9123901523912874</v>
      </c>
      <c r="GD985">
        <v>1.0810198542729834</v>
      </c>
      <c r="GE985">
        <v>1.7283156948815326</v>
      </c>
      <c r="GF985">
        <v>5.4975588792091354</v>
      </c>
      <c r="GG985">
        <v>3.2555558690108093</v>
      </c>
      <c r="GH985">
        <v>1.5038724992891495</v>
      </c>
      <c r="GI985">
        <v>4.355382252556792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33.080340608465612</v>
      </c>
      <c r="AO986">
        <v>11.534871145736409</v>
      </c>
      <c r="AP986">
        <v>117.76586577601508</v>
      </c>
      <c r="AQ986">
        <v>84.663837356539915</v>
      </c>
      <c r="AR986">
        <v>10.788579649064463</v>
      </c>
      <c r="AS986">
        <v>153.93590759077759</v>
      </c>
      <c r="AT986">
        <v>7.4478530108170204</v>
      </c>
      <c r="AU986">
        <v>73.571195232700958</v>
      </c>
      <c r="AV986"/>
      <c r="AW986"/>
      <c r="FY986" s="210">
        <v>981</v>
      </c>
      <c r="FZ986">
        <v>5.1397727189706615</v>
      </c>
      <c r="GA986">
        <v>15.483263941006772</v>
      </c>
      <c r="GB986">
        <v>7.0911305731206165</v>
      </c>
      <c r="GC986">
        <v>1.5281227878364878</v>
      </c>
      <c r="GD986">
        <v>1.0193143004642486</v>
      </c>
      <c r="GE986">
        <v>2.7576801806065649</v>
      </c>
      <c r="GF986">
        <v>5.5564748160749424</v>
      </c>
      <c r="GG986">
        <v>1.3730237016045368</v>
      </c>
      <c r="GH986">
        <v>0.92263539591056576</v>
      </c>
      <c r="GI986">
        <v>4.469316986605584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45.716417510490786</v>
      </c>
      <c r="AO987">
        <v>11.152066143918422</v>
      </c>
      <c r="AP987">
        <v>122.63104517459126</v>
      </c>
      <c r="AQ987">
        <v>93.40293862649925</v>
      </c>
      <c r="AR987">
        <v>10.682080760638007</v>
      </c>
      <c r="AS987">
        <v>162.11248787204369</v>
      </c>
      <c r="AT987" t="e">
        <v>#DIV/0!</v>
      </c>
      <c r="AU987" t="e">
        <v>#DIV/0!</v>
      </c>
      <c r="AV987"/>
      <c r="AW987"/>
      <c r="FY987" s="210">
        <v>982</v>
      </c>
      <c r="FZ987">
        <v>32.002066529707989</v>
      </c>
      <c r="GA987">
        <v>49.733054178991111</v>
      </c>
      <c r="GB987">
        <v>8.9641049560509884</v>
      </c>
      <c r="GC987">
        <v>1.3643945467786129</v>
      </c>
      <c r="GD987">
        <v>0.55349363063696833</v>
      </c>
      <c r="GE987">
        <v>0.14431312058586016</v>
      </c>
      <c r="GF987">
        <v>2.6984344444399193</v>
      </c>
      <c r="GG987">
        <v>3.2596060705770116</v>
      </c>
      <c r="GH987">
        <v>2.3830157366187406</v>
      </c>
      <c r="GI987">
        <v>8.311314564546981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20.3723544973545</v>
      </c>
      <c r="AO988">
        <v>7.8640829701041071</v>
      </c>
      <c r="AP988">
        <v>77.429433378554805</v>
      </c>
      <c r="AQ988">
        <v>55.384832122420505</v>
      </c>
      <c r="AR988">
        <v>7.7987198213671078</v>
      </c>
      <c r="AS988">
        <v>102.92306014430964</v>
      </c>
      <c r="AT988">
        <v>5.5274261934186972</v>
      </c>
      <c r="AU988">
        <v>12.939515584228971</v>
      </c>
      <c r="AV988"/>
      <c r="AW988"/>
      <c r="FY988" s="210">
        <v>983</v>
      </c>
      <c r="FZ988">
        <v>5.767969567892048</v>
      </c>
      <c r="GA988">
        <v>21.245551104205738</v>
      </c>
      <c r="GB988">
        <v>11.324200623405346</v>
      </c>
      <c r="GC988">
        <v>2.1798741613558188</v>
      </c>
      <c r="GD988">
        <v>0.6384400748056317</v>
      </c>
      <c r="GE988">
        <v>1.4499687236065399</v>
      </c>
      <c r="GF988">
        <v>3.4068513434764296</v>
      </c>
      <c r="GG988">
        <v>2.5564660550740594</v>
      </c>
      <c r="GH988">
        <v>2.5926439333806699</v>
      </c>
      <c r="GI988">
        <v>5.2556645680755496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56.497982804232812</v>
      </c>
      <c r="AO989">
        <v>13.643700563455798</v>
      </c>
      <c r="AP989">
        <v>145.85521043923927</v>
      </c>
      <c r="AQ989">
        <v>114.51360163371656</v>
      </c>
      <c r="AR989">
        <v>13.03892085100744</v>
      </c>
      <c r="AS989">
        <v>218.73446970053354</v>
      </c>
      <c r="AT989" t="e">
        <v>#DIV/0!</v>
      </c>
      <c r="AU989" t="e">
        <v>#DIV/0!</v>
      </c>
      <c r="AV989"/>
      <c r="AW989"/>
      <c r="FY989" s="210">
        <v>984</v>
      </c>
      <c r="FZ989">
        <v>21.233955210282392</v>
      </c>
      <c r="GA989">
        <v>46.316699803295052</v>
      </c>
      <c r="GB989">
        <v>13.28550518954548</v>
      </c>
      <c r="GC989">
        <v>1.9749568696213724</v>
      </c>
      <c r="GD989">
        <v>0.60308147889614627</v>
      </c>
      <c r="GE989">
        <v>1.4479128696271943</v>
      </c>
      <c r="GF989">
        <v>6.4454947078489937</v>
      </c>
      <c r="GG989">
        <v>6.4872729433337746</v>
      </c>
      <c r="GH989">
        <v>4.2394232635028368</v>
      </c>
      <c r="GI989">
        <v>9.0502919947722358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35.482835020981568</v>
      </c>
      <c r="AO990">
        <v>10.618867006748635</v>
      </c>
      <c r="AP990">
        <v>117.40694306180409</v>
      </c>
      <c r="AQ990">
        <v>84.364331781141303</v>
      </c>
      <c r="AR990">
        <v>10.044062088036098</v>
      </c>
      <c r="AS990">
        <v>123.41591167259001</v>
      </c>
      <c r="AT990" t="e">
        <v>#DIV/0!</v>
      </c>
      <c r="AU990" t="e">
        <v>#DIV/0!</v>
      </c>
      <c r="AV990"/>
      <c r="AW990"/>
      <c r="FY990" s="210">
        <v>985</v>
      </c>
      <c r="FZ990">
        <v>4.9437600611626795</v>
      </c>
      <c r="GA990">
        <v>7.8950799808831063</v>
      </c>
      <c r="GB990">
        <v>4.8343502154844851</v>
      </c>
      <c r="GC990">
        <v>2.1237475415184695</v>
      </c>
      <c r="GD990">
        <v>0.94625479407924407</v>
      </c>
      <c r="GE990">
        <v>0.56080565050867626</v>
      </c>
      <c r="GF990">
        <v>0.77653115979888554</v>
      </c>
      <c r="GG990">
        <v>2.5386236739022925</v>
      </c>
      <c r="GH990">
        <v>5.2189369103064793</v>
      </c>
      <c r="GI990">
        <v>3.5299488653501472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38.984308862433871</v>
      </c>
      <c r="AO991">
        <v>12.398465532426791</v>
      </c>
      <c r="AP991">
        <v>130.81171687722241</v>
      </c>
      <c r="AQ991">
        <v>93.923142238544443</v>
      </c>
      <c r="AR991">
        <v>11.816247919733236</v>
      </c>
      <c r="AS991">
        <v>174.28059647284161</v>
      </c>
      <c r="AT991">
        <v>7.680675305506738</v>
      </c>
      <c r="AU991">
        <v>27.071271326848748</v>
      </c>
      <c r="AV991"/>
      <c r="AW991"/>
      <c r="FY991" s="210">
        <v>986</v>
      </c>
      <c r="FZ991">
        <v>2.6791856205381315</v>
      </c>
      <c r="GA991">
        <v>20.028878611105007</v>
      </c>
      <c r="GB991">
        <v>11.049916409557788</v>
      </c>
      <c r="GC991">
        <v>2.4501729023239536</v>
      </c>
      <c r="GD991">
        <v>0.90566136485381898</v>
      </c>
      <c r="GE991">
        <v>4.2055930502337597</v>
      </c>
      <c r="GF991">
        <v>12.517391496123775</v>
      </c>
      <c r="GG991">
        <v>5.9026402822711619</v>
      </c>
      <c r="GH991">
        <v>1.6188180732866324</v>
      </c>
      <c r="GI991">
        <v>6.6009436132120936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42.088076423097974</v>
      </c>
      <c r="AO992">
        <v>13.237342220068374</v>
      </c>
      <c r="AP992">
        <v>136.12931626105279</v>
      </c>
      <c r="AQ992">
        <v>97.744017642616839</v>
      </c>
      <c r="AR992">
        <v>12.387324987540531</v>
      </c>
      <c r="AS992">
        <v>162.19731982178052</v>
      </c>
      <c r="AT992">
        <v>8.0699375026897666</v>
      </c>
      <c r="AU992">
        <v>16.371043594205979</v>
      </c>
      <c r="AV992"/>
      <c r="AW992"/>
      <c r="FY992" s="210">
        <v>987</v>
      </c>
      <c r="FZ992">
        <v>12.357475980327486</v>
      </c>
      <c r="GA992">
        <v>30.825037773127335</v>
      </c>
      <c r="GB992">
        <v>9.9884955188293887</v>
      </c>
      <c r="GC992">
        <v>1.9496463259187924</v>
      </c>
      <c r="GD992">
        <v>0.8160624015701623</v>
      </c>
      <c r="GE992">
        <v>1.3077114570000252</v>
      </c>
      <c r="GF992">
        <v>4.8290750820197985</v>
      </c>
      <c r="GG992">
        <v>3.4296231455278479</v>
      </c>
      <c r="GH992">
        <v>2.7244140291507226</v>
      </c>
      <c r="GI992">
        <v>6.3567197422965807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44.494542510490781</v>
      </c>
      <c r="AO993">
        <v>12.015203705900268</v>
      </c>
      <c r="AP993">
        <v>138.63823974741192</v>
      </c>
      <c r="AQ993">
        <v>103.07113968371804</v>
      </c>
      <c r="AR993">
        <v>11.480986586410497</v>
      </c>
      <c r="AS993">
        <v>125.78934381863047</v>
      </c>
      <c r="AT993" t="e">
        <v>#DIV/0!</v>
      </c>
      <c r="AU993" t="e">
        <v>#DIV/0!</v>
      </c>
      <c r="AV993"/>
      <c r="AW993"/>
      <c r="FY993" s="210">
        <v>988</v>
      </c>
      <c r="FZ993">
        <v>5.0438638858177463</v>
      </c>
      <c r="GA993">
        <v>29.828544353891878</v>
      </c>
      <c r="GB993">
        <v>14.099936006713271</v>
      </c>
      <c r="GC993">
        <v>1.5434368995192931</v>
      </c>
      <c r="GD993">
        <v>0.90340608364415109</v>
      </c>
      <c r="GE993">
        <v>1.730371548860878</v>
      </c>
      <c r="GF993">
        <v>4.7750514007150233</v>
      </c>
      <c r="GG993">
        <v>2.4530436661301942</v>
      </c>
      <c r="GH993">
        <v>1.973602458130717</v>
      </c>
      <c r="GI993">
        <v>6.3623731607579916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23.522817460317462</v>
      </c>
      <c r="AO994">
        <v>9.2657895553000795</v>
      </c>
      <c r="AP994">
        <v>97.540403135015467</v>
      </c>
      <c r="AQ994">
        <v>66.788967618559838</v>
      </c>
      <c r="AR994">
        <v>9.0818160911775418</v>
      </c>
      <c r="AS994">
        <v>120.85969259348978</v>
      </c>
      <c r="AT994" t="e">
        <v>#DIV/0!</v>
      </c>
      <c r="AU994" t="e">
        <v>#DIV/0!</v>
      </c>
      <c r="AV994"/>
      <c r="AW994"/>
      <c r="FY994" s="210">
        <v>989</v>
      </c>
      <c r="FZ994">
        <v>24.241890485559118</v>
      </c>
      <c r="GA994">
        <v>33.979249788619612</v>
      </c>
      <c r="GB994">
        <v>6.8454668678513473</v>
      </c>
      <c r="GC994">
        <v>1.7553483435044943</v>
      </c>
      <c r="GD994">
        <v>0.64324223180095408</v>
      </c>
      <c r="GE994">
        <v>0.14225726660651461</v>
      </c>
      <c r="GF994">
        <v>2.669802399329301</v>
      </c>
      <c r="GG994">
        <v>3.3898457397437669</v>
      </c>
      <c r="GH994">
        <v>2.028231351774656</v>
      </c>
      <c r="GI994">
        <v>6.6227910287328209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37.635149835796398</v>
      </c>
      <c r="AO995">
        <v>10.175193498113241</v>
      </c>
      <c r="AP995">
        <v>107.09502196945846</v>
      </c>
      <c r="AQ995">
        <v>79.116930120722458</v>
      </c>
      <c r="AR995">
        <v>9.7377959867855459</v>
      </c>
      <c r="AS995">
        <v>136.00499608427481</v>
      </c>
      <c r="AT995">
        <v>6.1755421767374266</v>
      </c>
      <c r="AU995">
        <v>19.299544161775888</v>
      </c>
      <c r="AV995"/>
      <c r="AW995"/>
      <c r="FY995" s="210">
        <v>990</v>
      </c>
      <c r="FZ995">
        <v>12.954697829593961</v>
      </c>
      <c r="GA995">
        <v>33.357342495056066</v>
      </c>
      <c r="GB995">
        <v>11.101123656373378</v>
      </c>
      <c r="GC995">
        <v>1.5996287263518267</v>
      </c>
      <c r="GD995">
        <v>0.77991068082643444</v>
      </c>
      <c r="GE995">
        <v>2.7556243266272196</v>
      </c>
      <c r="GF995">
        <v>6.0561543621726077</v>
      </c>
      <c r="GG995">
        <v>3.6694620576483739</v>
      </c>
      <c r="GH995">
        <v>6.2565178802145276</v>
      </c>
      <c r="GI995">
        <v>7.5095495922340554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22.937332375478928</v>
      </c>
      <c r="AO996">
        <v>6.6095207346456544</v>
      </c>
      <c r="AP996">
        <v>62.529603285466202</v>
      </c>
      <c r="AQ996">
        <v>44.776608361241081</v>
      </c>
      <c r="AR996">
        <v>6.2565894475461228</v>
      </c>
      <c r="AS996">
        <v>78.497874032450838</v>
      </c>
      <c r="AT996">
        <v>4.4505609455571156</v>
      </c>
      <c r="AU996">
        <v>-12.333696560281433</v>
      </c>
      <c r="AV996"/>
      <c r="AW996"/>
      <c r="FY996" s="210">
        <v>991</v>
      </c>
      <c r="FZ996">
        <v>22.423019349764225</v>
      </c>
      <c r="GA996">
        <v>41.826860293905597</v>
      </c>
      <c r="GB996">
        <v>8.9521190224351113</v>
      </c>
      <c r="GC996">
        <v>1.3795787897833192</v>
      </c>
      <c r="GD996">
        <v>0.88151747029635263</v>
      </c>
      <c r="GE996">
        <v>0.42060423788150719</v>
      </c>
      <c r="GF996">
        <v>3.7865424790608309</v>
      </c>
      <c r="GG996">
        <v>5.0011425562600378</v>
      </c>
      <c r="GH996">
        <v>3.1738810367592536</v>
      </c>
      <c r="GI996">
        <v>7.4523007138468342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22.481744891443164</v>
      </c>
      <c r="AO997">
        <v>6.5954583990210223</v>
      </c>
      <c r="AP997">
        <v>62.296636237446236</v>
      </c>
      <c r="AQ997">
        <v>45.340735402200977</v>
      </c>
      <c r="AR997">
        <v>6.2611168998557769</v>
      </c>
      <c r="AS997">
        <v>94.388353480144744</v>
      </c>
      <c r="AT997">
        <v>4.2170789451240873</v>
      </c>
      <c r="AU997">
        <v>10.09098116410617</v>
      </c>
      <c r="AV997"/>
      <c r="AW997"/>
      <c r="FY997" s="210">
        <v>992</v>
      </c>
      <c r="FZ997">
        <v>4.7883306529397718</v>
      </c>
      <c r="GA997">
        <v>21.773700689508498</v>
      </c>
      <c r="GB997">
        <v>12.768267466654574</v>
      </c>
      <c r="GC997">
        <v>2.5123652967892536</v>
      </c>
      <c r="GD997">
        <v>0.52681358283427571</v>
      </c>
      <c r="GE997">
        <v>1.3138790189380618</v>
      </c>
      <c r="GF997">
        <v>5.5769741967080648</v>
      </c>
      <c r="GG997">
        <v>3.3098392888723156</v>
      </c>
      <c r="GH997">
        <v>2.2000551766652161</v>
      </c>
      <c r="GI997">
        <v>5.7560705920890509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57.532043650793661</v>
      </c>
      <c r="AO998">
        <v>12.358449364480203</v>
      </c>
      <c r="AP998">
        <v>137.62576385500765</v>
      </c>
      <c r="AQ998">
        <v>109.41379777893418</v>
      </c>
      <c r="AR998">
        <v>11.897242267803808</v>
      </c>
      <c r="AS998">
        <v>160.77270494400361</v>
      </c>
      <c r="AT998" t="e">
        <v>#DIV/0!</v>
      </c>
      <c r="AU998" t="e">
        <v>#DIV/0!</v>
      </c>
      <c r="AV998"/>
      <c r="AW998"/>
      <c r="FY998" s="210">
        <v>993</v>
      </c>
      <c r="FZ998">
        <v>31.923407240008231</v>
      </c>
      <c r="GA998">
        <v>58.827525176247981</v>
      </c>
      <c r="GB998">
        <v>13.649989905199444</v>
      </c>
      <c r="GC998">
        <v>2.2219876118160098</v>
      </c>
      <c r="GD998">
        <v>1.1574308566586677</v>
      </c>
      <c r="GE998">
        <v>1.7324274028402236</v>
      </c>
      <c r="GF998">
        <v>4.7750514007150233</v>
      </c>
      <c r="GG998">
        <v>2.6230607410810305</v>
      </c>
      <c r="GH998">
        <v>2.7812922800437998</v>
      </c>
      <c r="GI998">
        <v>10.390369886865885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22.29171512953841</v>
      </c>
      <c r="AO999">
        <v>7.9440369793259462</v>
      </c>
      <c r="AP999">
        <v>80.531930905995651</v>
      </c>
      <c r="AQ999">
        <v>56.417630155277834</v>
      </c>
      <c r="AR999">
        <v>7.5980118837481134</v>
      </c>
      <c r="AS999">
        <v>96.668458940281624</v>
      </c>
      <c r="AT999">
        <v>5.2138374436703669</v>
      </c>
      <c r="AU999">
        <v>-9.1288028985984191</v>
      </c>
      <c r="AV999"/>
      <c r="AW999"/>
      <c r="FY999" s="210">
        <v>994</v>
      </c>
      <c r="FZ999">
        <v>4.8151933996637482</v>
      </c>
      <c r="GA999">
        <v>12.144886404399587</v>
      </c>
      <c r="GB999">
        <v>7.3043503541703174</v>
      </c>
      <c r="GC999">
        <v>2.3101009955259082</v>
      </c>
      <c r="GD999">
        <v>0.70205500323732006</v>
      </c>
      <c r="GE999">
        <v>0.14225726660651461</v>
      </c>
      <c r="GF999">
        <v>3.6881443265432665</v>
      </c>
      <c r="GG999">
        <v>3.5911350569149882</v>
      </c>
      <c r="GH999">
        <v>2.7812922800437998</v>
      </c>
      <c r="GI999">
        <v>4.2256366475488294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46.066333698230252</v>
      </c>
      <c r="AO1000">
        <v>14.186624850143502</v>
      </c>
      <c r="AP1000">
        <v>152.979146266165</v>
      </c>
      <c r="AQ1000">
        <v>111.08459433072547</v>
      </c>
      <c r="AR1000">
        <v>13.270858656685794</v>
      </c>
      <c r="AS1000">
        <v>174.57539982246621</v>
      </c>
      <c r="AT1000">
        <v>8.682556770275573</v>
      </c>
      <c r="AU1000">
        <v>100.09011590284507</v>
      </c>
      <c r="AV1000"/>
      <c r="AW1000"/>
      <c r="FY1000" s="210">
        <v>995</v>
      </c>
      <c r="FZ1000">
        <v>13.552574612239082</v>
      </c>
      <c r="GA1000">
        <v>33.930469397012473</v>
      </c>
      <c r="GB1000">
        <v>11.801281220290488</v>
      </c>
      <c r="GC1000">
        <v>1.5788268436681758</v>
      </c>
      <c r="GD1000">
        <v>0.59581527769404052</v>
      </c>
      <c r="GE1000">
        <v>1.5901701362337088</v>
      </c>
      <c r="GF1000">
        <v>8.5869855159700119</v>
      </c>
      <c r="GG1000">
        <v>9.0599669044976689</v>
      </c>
      <c r="GH1000">
        <v>6.5109318555845608</v>
      </c>
      <c r="GI1000">
        <v>8.2011151261594222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18.816731663929939</v>
      </c>
      <c r="AO1001">
        <v>4.9969297997391484</v>
      </c>
      <c r="AP1001">
        <v>45.086363174275526</v>
      </c>
      <c r="AQ1001">
        <v>33.368038852994466</v>
      </c>
      <c r="AR1001">
        <v>5.1798642015641798</v>
      </c>
      <c r="AS1001">
        <v>65.606045682039024</v>
      </c>
      <c r="AT1001" t="e">
        <v>#DIV/0!</v>
      </c>
      <c r="AU1001" t="e">
        <v>#DIV/0!</v>
      </c>
      <c r="AV1001"/>
      <c r="AW1001"/>
      <c r="FY1001" s="210">
        <v>996</v>
      </c>
      <c r="FZ1001">
        <v>14.122405565297324</v>
      </c>
      <c r="GA1001">
        <v>45.587253414199587</v>
      </c>
      <c r="GB1001">
        <v>18.904482055438582</v>
      </c>
      <c r="GC1001">
        <v>2.8536465106620228</v>
      </c>
      <c r="GD1001">
        <v>1.0553054054647983</v>
      </c>
      <c r="GE1001">
        <v>1.730371548860878</v>
      </c>
      <c r="GF1001">
        <v>4.2467398095067397</v>
      </c>
      <c r="GG1001">
        <v>2.9054751040268556</v>
      </c>
      <c r="GH1001">
        <v>2.6094684551532397</v>
      </c>
      <c r="GI1001">
        <v>8.8364668445274397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25.371360153256703</v>
      </c>
      <c r="AO1002">
        <v>10.277580175047415</v>
      </c>
      <c r="AP1002">
        <v>97.884990824068893</v>
      </c>
      <c r="AQ1002">
        <v>67.95920142350613</v>
      </c>
      <c r="AR1002">
        <v>9.3373964355186327</v>
      </c>
      <c r="AS1002">
        <v>124.13371962025654</v>
      </c>
      <c r="AT1002">
        <v>6.3453934486051295</v>
      </c>
      <c r="AU1002">
        <v>-2.006086224986706</v>
      </c>
      <c r="AV1002"/>
      <c r="AW1002"/>
      <c r="FY1002" s="210">
        <v>997</v>
      </c>
      <c r="FZ1002">
        <v>13.404788829872251</v>
      </c>
      <c r="GA1002">
        <v>29.641793850293993</v>
      </c>
      <c r="GB1002">
        <v>9.3668033729220639</v>
      </c>
      <c r="GC1002">
        <v>1.4388571438174695</v>
      </c>
      <c r="GD1002">
        <v>0.61378915012733293</v>
      </c>
      <c r="GE1002">
        <v>2.7576801806065649</v>
      </c>
      <c r="GF1002">
        <v>9.101206527720695</v>
      </c>
      <c r="GG1002">
        <v>5.2427851150677194</v>
      </c>
      <c r="GH1002">
        <v>1.6868330592426739</v>
      </c>
      <c r="GI1002">
        <v>6.9328729331461059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34.265211640211632</v>
      </c>
      <c r="AO1003">
        <v>9.7895795396478746</v>
      </c>
      <c r="AP1003">
        <v>102.32277940661753</v>
      </c>
      <c r="AQ1003">
        <v>74.584261455768129</v>
      </c>
      <c r="AR1003">
        <v>9.2184979764150157</v>
      </c>
      <c r="AS1003">
        <v>128.16358335669003</v>
      </c>
      <c r="AT1003" t="e">
        <v>#DIV/0!</v>
      </c>
      <c r="AU1003" t="e">
        <v>#DIV/0!</v>
      </c>
      <c r="AV1003"/>
      <c r="AW1003"/>
      <c r="FY1003" s="210">
        <v>998</v>
      </c>
      <c r="FZ1003">
        <v>4.9153529744864786</v>
      </c>
      <c r="GA1003">
        <v>18.081539583546594</v>
      </c>
      <c r="GB1003">
        <v>8.941071696267425</v>
      </c>
      <c r="GC1003">
        <v>2.0313441232087359</v>
      </c>
      <c r="GD1003">
        <v>1.0277419105201129</v>
      </c>
      <c r="GE1003">
        <v>1.4479128696271943</v>
      </c>
      <c r="GF1003">
        <v>3.6296792758728751</v>
      </c>
      <c r="GG1003">
        <v>1.4820377436331877</v>
      </c>
      <c r="GH1003">
        <v>1.5038724992891495</v>
      </c>
      <c r="GI1003">
        <v>4.6220351063274085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19.293882275132276</v>
      </c>
      <c r="AO1004">
        <v>9.8171365843098322</v>
      </c>
      <c r="AP1004">
        <v>104.39447056819398</v>
      </c>
      <c r="AQ1004">
        <v>68.713629464181153</v>
      </c>
      <c r="AR1004">
        <v>9.4952818537953121</v>
      </c>
      <c r="AS1004">
        <v>105.71804458218861</v>
      </c>
      <c r="AT1004" t="e">
        <v>#DIV/0!</v>
      </c>
      <c r="AU1004" t="e">
        <v>#DIV/0!</v>
      </c>
      <c r="AV1004"/>
      <c r="AW1004"/>
      <c r="FY1004" s="210">
        <v>999</v>
      </c>
      <c r="FZ1004">
        <v>4.2478335274811396</v>
      </c>
      <c r="GA1004">
        <v>21.348965293611027</v>
      </c>
      <c r="GB1004">
        <v>12.99840258243665</v>
      </c>
      <c r="GC1004">
        <v>3.0665041042345487</v>
      </c>
      <c r="GD1004">
        <v>0.87325073960612953</v>
      </c>
      <c r="GE1004">
        <v>1.4499687236065399</v>
      </c>
      <c r="GF1004">
        <v>7.2220258676478792</v>
      </c>
      <c r="GG1004">
        <v>5.058219584165113</v>
      </c>
      <c r="GH1004">
        <v>3.3590909539619167</v>
      </c>
      <c r="GI1004">
        <v>6.4199198746506729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43.26522817460318</v>
      </c>
      <c r="AO1005">
        <v>9.7505803599948191</v>
      </c>
      <c r="AP1005">
        <v>104.27450737218966</v>
      </c>
      <c r="AQ1005">
        <v>82.31812550352258</v>
      </c>
      <c r="AR1005">
        <v>9.5328509188575765</v>
      </c>
      <c r="AS1005">
        <v>151.77580922536296</v>
      </c>
      <c r="AT1005" t="e">
        <v>#DIV/0!</v>
      </c>
      <c r="AU1005" t="e">
        <v>#DIV/0!</v>
      </c>
      <c r="AV1005"/>
      <c r="AW1005"/>
      <c r="FY1005" s="210">
        <v>1000</v>
      </c>
      <c r="FZ1005">
        <v>24.429694033676945</v>
      </c>
      <c r="GA1005">
        <v>41.101495128658428</v>
      </c>
      <c r="GB1005">
        <v>10.141065924232574</v>
      </c>
      <c r="GC1005">
        <v>1.814087167805903</v>
      </c>
      <c r="GD1005">
        <v>0.74338629874726792</v>
      </c>
      <c r="GE1005">
        <v>1.5901701362337088</v>
      </c>
      <c r="GF1005">
        <v>8.784421812172301</v>
      </c>
      <c r="GG1005">
        <v>6.5497749859001981</v>
      </c>
      <c r="GH1005">
        <v>2.3115623212022323</v>
      </c>
      <c r="GI1005">
        <v>8.8416936460553472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36.40977068509396</v>
      </c>
      <c r="AO1006">
        <v>11.289791850337492</v>
      </c>
      <c r="AP1006">
        <v>118.01207251616761</v>
      </c>
      <c r="AQ1006">
        <v>86.04001160709845</v>
      </c>
      <c r="AR1006">
        <v>10.781863981854613</v>
      </c>
      <c r="AS1006">
        <v>157.68124119605653</v>
      </c>
      <c r="AT1006">
        <v>6.9706473643032991</v>
      </c>
      <c r="AU1006">
        <v>25.544431710830839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43.276802248677242</v>
      </c>
      <c r="AO1007">
        <v>11.364397921021238</v>
      </c>
      <c r="AP1007">
        <v>123.26869960389485</v>
      </c>
      <c r="AQ1007">
        <v>95.297565949993086</v>
      </c>
      <c r="AR1007">
        <v>10.752539630235166</v>
      </c>
      <c r="AS1007">
        <v>143.81668721910953</v>
      </c>
      <c r="AT1007" t="e">
        <v>#DIV/0!</v>
      </c>
      <c r="AU1007" t="e">
        <v>#DIV/0!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23.896560846560845</v>
      </c>
      <c r="AO1008">
        <v>8.5243656887160313</v>
      </c>
      <c r="AP1008">
        <v>86.591199536731835</v>
      </c>
      <c r="AQ1008">
        <v>60.526295961999089</v>
      </c>
      <c r="AR1008">
        <v>8.2514748313528745</v>
      </c>
      <c r="AS1008">
        <v>108.88306929401432</v>
      </c>
      <c r="AT1008">
        <v>5.560551914962546</v>
      </c>
      <c r="AU1008">
        <v>-8.7966799493172889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65.069626322751333</v>
      </c>
      <c r="AO1009">
        <v>15.566642374633375</v>
      </c>
      <c r="AP1009">
        <v>168.3111720244429</v>
      </c>
      <c r="AQ1009">
        <v>130.0825425014763</v>
      </c>
      <c r="AR1009">
        <v>14.874387056281595</v>
      </c>
      <c r="AS1009">
        <v>209.99990278239014</v>
      </c>
      <c r="AT1009">
        <v>9.498293538781061</v>
      </c>
      <c r="AU1009">
        <v>90.850637173320806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18.496807722131003</v>
      </c>
      <c r="AO1010">
        <v>6.1069940613573701</v>
      </c>
      <c r="AP1010">
        <v>59.408762517562302</v>
      </c>
      <c r="AQ1010">
        <v>41.705051734654276</v>
      </c>
      <c r="AR1010">
        <v>6.2010099730179693</v>
      </c>
      <c r="AS1010">
        <v>76.979015574998044</v>
      </c>
      <c r="AT1010" t="e">
        <v>#DIV/0!</v>
      </c>
      <c r="AU1010" t="e">
        <v>#DIV/0!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38.576701902025171</v>
      </c>
      <c r="AO1011">
        <v>12.5228681983432</v>
      </c>
      <c r="AP1011">
        <v>132.13701031577216</v>
      </c>
      <c r="AQ1011">
        <v>95.408136889349635</v>
      </c>
      <c r="AR1011">
        <v>11.911972541384641</v>
      </c>
      <c r="AS1011">
        <v>166.37344845108822</v>
      </c>
      <c r="AT1011">
        <v>8.043207852754378</v>
      </c>
      <c r="AU1011">
        <v>41.794103235030775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45.514185367633651</v>
      </c>
      <c r="AO1012">
        <v>13.383305107577723</v>
      </c>
      <c r="AP1012">
        <v>141.35690442311557</v>
      </c>
      <c r="AQ1012">
        <v>102.85161471313744</v>
      </c>
      <c r="AR1012">
        <v>12.674211922230363</v>
      </c>
      <c r="AS1012">
        <v>184.8936848576555</v>
      </c>
      <c r="AT1012">
        <v>8.2634724293285071</v>
      </c>
      <c r="AU1012">
        <v>23.86358254058597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36.36575499452654</v>
      </c>
      <c r="AO1013">
        <v>10.652610446861578</v>
      </c>
      <c r="AP1013">
        <v>110.16593963071905</v>
      </c>
      <c r="AQ1013">
        <v>80.18741016281686</v>
      </c>
      <c r="AR1013">
        <v>9.9250577751527125</v>
      </c>
      <c r="AS1013">
        <v>135.88877328866249</v>
      </c>
      <c r="AT1013">
        <v>6.4014235577162237</v>
      </c>
      <c r="AU1013">
        <v>52.156717937266414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22.806597222222226</v>
      </c>
      <c r="AO1014">
        <v>6.8609785428520969</v>
      </c>
      <c r="AP1014">
        <v>67.142393745155303</v>
      </c>
      <c r="AQ1014">
        <v>47.682587782779159</v>
      </c>
      <c r="AR1014">
        <v>6.651062496300149</v>
      </c>
      <c r="AS1014">
        <v>82.781551927711192</v>
      </c>
      <c r="AT1014">
        <v>4.5361895327345492</v>
      </c>
      <c r="AU1014">
        <v>1.4451539837410596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30.519576719576719</v>
      </c>
      <c r="AO1015">
        <v>9.4300685195727638</v>
      </c>
      <c r="AP1015">
        <v>92.586486864643945</v>
      </c>
      <c r="AQ1015">
        <v>66.044181251401611</v>
      </c>
      <c r="AR1015">
        <v>9.1132848510655347</v>
      </c>
      <c r="AS1015">
        <v>114.48634746223038</v>
      </c>
      <c r="AT1015">
        <v>6.3478519689841377</v>
      </c>
      <c r="AU1015">
        <v>-11.177866896086309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49.037449256522528</v>
      </c>
      <c r="AO1016">
        <v>13.129072197802722</v>
      </c>
      <c r="AP1016">
        <v>139.14450440107959</v>
      </c>
      <c r="AQ1016">
        <v>106.30735145468492</v>
      </c>
      <c r="AR1016">
        <v>12.626626048686809</v>
      </c>
      <c r="AS1016">
        <v>185.37875962796301</v>
      </c>
      <c r="AT1016">
        <v>8.259878478152789</v>
      </c>
      <c r="AU1016">
        <v>42.275866330916486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M12:FN12"/>
    <mergeCell ref="FM13:FN13"/>
    <mergeCell ref="FM14:FN14"/>
    <mergeCell ref="FM15:FN15"/>
    <mergeCell ref="FM16:FN16"/>
    <mergeCell ref="FM7:FN7"/>
    <mergeCell ref="FM8:FN8"/>
    <mergeCell ref="FM9:FN9"/>
    <mergeCell ref="FM10:FN10"/>
    <mergeCell ref="FM11:FN11"/>
    <mergeCell ref="FK12:FL12"/>
    <mergeCell ref="FK13:FL13"/>
    <mergeCell ref="FK14:FL14"/>
    <mergeCell ref="FK15:FL15"/>
    <mergeCell ref="FK16:FL16"/>
    <mergeCell ref="FI11:FJ11"/>
    <mergeCell ref="FK7:FL7"/>
    <mergeCell ref="FK8:FL8"/>
    <mergeCell ref="FK9:FL9"/>
    <mergeCell ref="FK10:FL10"/>
    <mergeCell ref="FK11:FL11"/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2011-01-12T18:10:24Z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